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NGA/R6/"/>
    </mc:Choice>
  </mc:AlternateContent>
  <xr:revisionPtr revIDLastSave="0" documentId="13_ncr:1_{05194F35-3CC3-2A43-86B1-8CE29FAD223F}" xr6:coauthVersionLast="47" xr6:coauthVersionMax="47" xr10:uidLastSave="{00000000-0000-0000-0000-000000000000}"/>
  <bookViews>
    <workbookView xWindow="0" yWindow="0" windowWidth="33600" windowHeight="21000"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0" i="1" l="1"/>
  <c r="X296" i="1"/>
  <c r="W296" i="1"/>
  <c r="X295" i="1"/>
  <c r="W295" i="1"/>
  <c r="X294" i="1"/>
  <c r="W294" i="1"/>
  <c r="X293" i="1"/>
  <c r="W293" i="1"/>
  <c r="X292" i="1"/>
  <c r="W292" i="1"/>
  <c r="X291" i="1"/>
  <c r="W291" i="1"/>
  <c r="X290" i="1"/>
  <c r="W290" i="1"/>
  <c r="X289" i="1"/>
  <c r="W289" i="1"/>
  <c r="X288" i="1"/>
  <c r="W288" i="1"/>
  <c r="X287" i="1"/>
  <c r="W287" i="1"/>
  <c r="X286" i="1"/>
  <c r="W286" i="1"/>
  <c r="X285" i="1"/>
  <c r="W285" i="1"/>
  <c r="X284" i="1"/>
  <c r="W284" i="1"/>
  <c r="X281" i="1"/>
  <c r="W281" i="1"/>
  <c r="X280" i="1"/>
  <c r="W280" i="1"/>
  <c r="X279" i="1"/>
  <c r="W279" i="1"/>
  <c r="X278" i="1"/>
  <c r="W278" i="1"/>
  <c r="X277" i="1"/>
  <c r="W277" i="1"/>
  <c r="X276" i="1"/>
  <c r="W276" i="1"/>
  <c r="X275" i="1"/>
  <c r="W275" i="1"/>
  <c r="X274" i="1"/>
  <c r="W274" i="1"/>
  <c r="X273" i="1"/>
  <c r="W273" i="1"/>
  <c r="X272" i="1"/>
  <c r="W272" i="1"/>
  <c r="X271" i="1"/>
  <c r="W271" i="1"/>
  <c r="X270" i="1"/>
  <c r="W270"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X206" i="1"/>
  <c r="W206" i="1"/>
  <c r="X205" i="1"/>
  <c r="W205" i="1"/>
  <c r="X204" i="1"/>
  <c r="W204" i="1"/>
  <c r="X203" i="1"/>
  <c r="W203" i="1"/>
  <c r="X202" i="1"/>
  <c r="W202" i="1"/>
  <c r="X201" i="1"/>
  <c r="W201" i="1"/>
  <c r="X200" i="1"/>
  <c r="W200" i="1"/>
  <c r="X199" i="1"/>
  <c r="W199" i="1"/>
  <c r="X198" i="1"/>
  <c r="W198" i="1"/>
  <c r="X197" i="1"/>
  <c r="W197" i="1"/>
  <c r="X196" i="1"/>
  <c r="W196" i="1"/>
  <c r="X195" i="1"/>
  <c r="W195" i="1"/>
  <c r="X194" i="1"/>
  <c r="W194" i="1"/>
  <c r="X193" i="1"/>
  <c r="W193" i="1"/>
  <c r="X192" i="1"/>
  <c r="W192" i="1"/>
  <c r="V192" i="1"/>
  <c r="X191" i="1"/>
  <c r="W191" i="1"/>
  <c r="V191" i="1"/>
  <c r="X190" i="1"/>
  <c r="W190" i="1"/>
  <c r="V190" i="1"/>
  <c r="X189" i="1"/>
  <c r="W189" i="1"/>
  <c r="V189" i="1"/>
  <c r="X188" i="1"/>
  <c r="V188" i="1"/>
  <c r="W188" i="1" s="1"/>
  <c r="V187" i="1"/>
  <c r="X187" i="1" s="1"/>
  <c r="X186" i="1"/>
  <c r="W186" i="1"/>
  <c r="V186" i="1"/>
  <c r="X185" i="1"/>
  <c r="W185" i="1"/>
  <c r="V185" i="1"/>
  <c r="X184" i="1"/>
  <c r="W184" i="1"/>
  <c r="V184" i="1"/>
  <c r="W183" i="1"/>
  <c r="V183" i="1"/>
  <c r="X183" i="1" s="1"/>
  <c r="X182" i="1"/>
  <c r="W182" i="1"/>
  <c r="V182" i="1"/>
  <c r="X181" i="1"/>
  <c r="W181" i="1"/>
  <c r="X180" i="1"/>
  <c r="W180" i="1"/>
  <c r="X179" i="1"/>
  <c r="W179" i="1"/>
  <c r="V179" i="1"/>
  <c r="X178" i="1"/>
  <c r="W178" i="1"/>
  <c r="V178" i="1"/>
  <c r="W177" i="1"/>
  <c r="V177" i="1"/>
  <c r="X177" i="1" s="1"/>
  <c r="V176" i="1"/>
  <c r="X176" i="1" s="1"/>
  <c r="X175" i="1"/>
  <c r="W175" i="1"/>
  <c r="V175" i="1"/>
  <c r="X174" i="1"/>
  <c r="V174" i="1"/>
  <c r="W174" i="1" s="1"/>
  <c r="X173" i="1"/>
  <c r="W173" i="1"/>
  <c r="V173" i="1"/>
  <c r="X172" i="1"/>
  <c r="V172" i="1"/>
  <c r="W172" i="1" s="1"/>
  <c r="X171" i="1"/>
  <c r="W171" i="1"/>
  <c r="V171" i="1"/>
  <c r="X170" i="1"/>
  <c r="W170" i="1"/>
  <c r="V170" i="1"/>
  <c r="X169" i="1"/>
  <c r="W169" i="1"/>
  <c r="X168" i="1"/>
  <c r="W168" i="1"/>
  <c r="X167" i="1"/>
  <c r="W167" i="1"/>
  <c r="V167" i="1"/>
  <c r="X166" i="1"/>
  <c r="V166" i="1"/>
  <c r="W166" i="1" s="1"/>
  <c r="X165" i="1"/>
  <c r="W165" i="1"/>
  <c r="V165" i="1"/>
  <c r="X164" i="1"/>
  <c r="W164" i="1"/>
  <c r="V164" i="1"/>
  <c r="X163" i="1"/>
  <c r="W163" i="1"/>
  <c r="V163" i="1"/>
  <c r="X162" i="1"/>
  <c r="W162" i="1"/>
  <c r="V162" i="1"/>
  <c r="X161" i="1"/>
  <c r="W161" i="1"/>
  <c r="V161" i="1"/>
  <c r="X160" i="1"/>
  <c r="W160" i="1"/>
  <c r="V160" i="1"/>
  <c r="X159" i="1"/>
  <c r="W159" i="1"/>
  <c r="V159" i="1"/>
  <c r="X158" i="1"/>
  <c r="W158" i="1"/>
  <c r="X157" i="1"/>
  <c r="W157" i="1"/>
  <c r="X156" i="1"/>
  <c r="W156" i="1"/>
  <c r="V156" i="1"/>
  <c r="X155" i="1"/>
  <c r="W155" i="1"/>
  <c r="V155" i="1"/>
  <c r="X154" i="1"/>
  <c r="W154" i="1"/>
  <c r="V154" i="1"/>
  <c r="V153" i="1"/>
  <c r="X153" i="1" s="1"/>
  <c r="V152" i="1"/>
  <c r="W152" i="1" s="1"/>
  <c r="X151" i="1"/>
  <c r="W151" i="1"/>
  <c r="V151" i="1"/>
  <c r="V150" i="1"/>
  <c r="X150" i="1" s="1"/>
  <c r="X149" i="1"/>
  <c r="W149" i="1"/>
  <c r="V149" i="1"/>
  <c r="X148" i="1"/>
  <c r="W148" i="1"/>
  <c r="V148" i="1"/>
  <c r="X147" i="1"/>
  <c r="W147" i="1"/>
  <c r="V147" i="1"/>
  <c r="X146" i="1"/>
  <c r="V146" i="1"/>
  <c r="W146" i="1" s="1"/>
  <c r="X145" i="1"/>
  <c r="W145" i="1"/>
  <c r="V145" i="1"/>
  <c r="X144" i="1"/>
  <c r="W144" i="1"/>
  <c r="V144" i="1"/>
  <c r="V143" i="1"/>
  <c r="X143" i="1" s="1"/>
  <c r="X142" i="1"/>
  <c r="W142" i="1"/>
  <c r="V142" i="1"/>
  <c r="X141" i="1"/>
  <c r="W141" i="1"/>
  <c r="V141" i="1"/>
  <c r="X140" i="1"/>
  <c r="W140" i="1"/>
  <c r="X139" i="1"/>
  <c r="W139" i="1"/>
  <c r="X138" i="1"/>
  <c r="W138" i="1"/>
  <c r="V138" i="1"/>
  <c r="V137" i="1"/>
  <c r="X137" i="1" s="1"/>
  <c r="X136" i="1"/>
  <c r="W136" i="1"/>
  <c r="V136" i="1"/>
  <c r="X135" i="1"/>
  <c r="W135" i="1"/>
  <c r="V135" i="1"/>
  <c r="V134" i="1"/>
  <c r="X134" i="1" s="1"/>
  <c r="V133" i="1"/>
  <c r="V132" i="1"/>
  <c r="V131" i="1"/>
  <c r="W130" i="1"/>
  <c r="V130" i="1"/>
  <c r="V129" i="1"/>
  <c r="W129" i="1" s="1"/>
  <c r="X128" i="1"/>
  <c r="W128" i="1"/>
  <c r="V128" i="1"/>
  <c r="X127" i="1"/>
  <c r="W127" i="1"/>
  <c r="X126" i="1"/>
  <c r="W126" i="1"/>
  <c r="X125" i="1"/>
  <c r="W125" i="1"/>
  <c r="V125" i="1"/>
  <c r="X119" i="1"/>
  <c r="V119" i="1"/>
  <c r="W119" i="1" s="1"/>
  <c r="V118" i="1"/>
  <c r="X118" i="1" s="1"/>
  <c r="X117" i="1"/>
  <c r="W117" i="1"/>
  <c r="V117" i="1"/>
  <c r="X116" i="1"/>
  <c r="W116" i="1"/>
  <c r="V116" i="1"/>
  <c r="X115" i="1"/>
  <c r="W115" i="1"/>
  <c r="V115" i="1"/>
  <c r="X114" i="1"/>
  <c r="W114" i="1"/>
  <c r="V114" i="1"/>
  <c r="X113" i="1"/>
  <c r="W113" i="1"/>
  <c r="V113" i="1"/>
  <c r="X112" i="1"/>
  <c r="W112" i="1"/>
  <c r="V112" i="1"/>
  <c r="V111" i="1"/>
  <c r="W111" i="1" s="1"/>
  <c r="X110" i="1"/>
  <c r="W110" i="1"/>
  <c r="V110" i="1"/>
  <c r="X109" i="1"/>
  <c r="W109" i="1"/>
  <c r="V109" i="1"/>
  <c r="X108" i="1"/>
  <c r="W108" i="1"/>
  <c r="V108" i="1"/>
  <c r="V107" i="1"/>
  <c r="X107" i="1" s="1"/>
  <c r="X106" i="1"/>
  <c r="W106" i="1"/>
  <c r="V106" i="1"/>
  <c r="X105" i="1"/>
  <c r="V105" i="1"/>
  <c r="W105" i="1" s="1"/>
  <c r="W104" i="1"/>
  <c r="V104" i="1"/>
  <c r="X104" i="1" s="1"/>
  <c r="X103" i="1"/>
  <c r="W103" i="1"/>
  <c r="V103" i="1"/>
  <c r="V102" i="1"/>
  <c r="X102" i="1" s="1"/>
  <c r="X101" i="1"/>
  <c r="W101" i="1"/>
  <c r="X100" i="1"/>
  <c r="W100" i="1"/>
  <c r="X99" i="1"/>
  <c r="W99" i="1"/>
  <c r="V99" i="1"/>
  <c r="W98" i="1"/>
  <c r="V98" i="1"/>
  <c r="X98" i="1" s="1"/>
  <c r="X97" i="1"/>
  <c r="W97" i="1"/>
  <c r="V97" i="1"/>
  <c r="V96" i="1"/>
  <c r="X96" i="1" s="1"/>
  <c r="X95" i="1"/>
  <c r="W95" i="1"/>
  <c r="V95" i="1"/>
  <c r="X93" i="1"/>
  <c r="W93" i="1"/>
  <c r="V93" i="1"/>
  <c r="V92" i="1"/>
  <c r="X92" i="1" s="1"/>
  <c r="X91" i="1"/>
  <c r="W91" i="1"/>
  <c r="V91" i="1"/>
  <c r="X90" i="1"/>
  <c r="W90" i="1"/>
  <c r="V90" i="1"/>
  <c r="X89" i="1"/>
  <c r="W89" i="1"/>
  <c r="V89" i="1"/>
  <c r="V88" i="1"/>
  <c r="W88" i="1" s="1"/>
  <c r="X87" i="1"/>
  <c r="W87" i="1"/>
  <c r="V87" i="1"/>
  <c r="X86" i="1"/>
  <c r="W86" i="1"/>
  <c r="V86" i="1"/>
  <c r="X85" i="1"/>
  <c r="W85" i="1"/>
  <c r="V85" i="1"/>
  <c r="X83" i="1"/>
  <c r="W83" i="1"/>
  <c r="V83" i="1"/>
  <c r="X82" i="1"/>
  <c r="W82" i="1"/>
  <c r="V82" i="1"/>
  <c r="X81" i="1"/>
  <c r="V81" i="1"/>
  <c r="W81" i="1" s="1"/>
  <c r="W80" i="1"/>
  <c r="V80" i="1"/>
  <c r="X80" i="1" s="1"/>
  <c r="X79" i="1"/>
  <c r="W79" i="1"/>
  <c r="V79" i="1"/>
  <c r="V78" i="1"/>
  <c r="X78" i="1" s="1"/>
  <c r="X77" i="1"/>
  <c r="W77" i="1"/>
  <c r="V77" i="1"/>
  <c r="X76" i="1"/>
  <c r="W76" i="1"/>
  <c r="V76" i="1"/>
  <c r="X75" i="1"/>
  <c r="W75" i="1"/>
  <c r="V75" i="1"/>
  <c r="X72" i="1"/>
  <c r="W72" i="1"/>
  <c r="V72" i="1"/>
  <c r="X71" i="1"/>
  <c r="W71" i="1"/>
  <c r="V71" i="1"/>
  <c r="V70" i="1"/>
  <c r="W70" i="1" s="1"/>
  <c r="V69" i="1"/>
  <c r="W69" i="1" s="1"/>
  <c r="X68" i="1"/>
  <c r="W68" i="1"/>
  <c r="V68" i="1"/>
  <c r="X67" i="1"/>
  <c r="W67" i="1"/>
  <c r="V67" i="1"/>
  <c r="X66" i="1"/>
  <c r="W66" i="1"/>
  <c r="V66" i="1"/>
  <c r="X65" i="1"/>
  <c r="W65" i="1"/>
  <c r="V65" i="1"/>
  <c r="X64" i="1"/>
  <c r="W64" i="1"/>
  <c r="V64" i="1"/>
  <c r="X63" i="1"/>
  <c r="W63" i="1"/>
  <c r="V63" i="1"/>
  <c r="X62" i="1"/>
  <c r="V62" i="1"/>
  <c r="W62" i="1" s="1"/>
  <c r="X61" i="1"/>
  <c r="V61" i="1"/>
  <c r="W61" i="1" s="1"/>
  <c r="X58" i="1"/>
  <c r="V58" i="1"/>
  <c r="W58" i="1" s="1"/>
  <c r="X57" i="1"/>
  <c r="W57" i="1"/>
  <c r="V57" i="1"/>
  <c r="X56" i="1"/>
  <c r="W56" i="1"/>
  <c r="V56" i="1"/>
  <c r="X54" i="1"/>
  <c r="V54" i="1"/>
  <c r="W54" i="1" s="1"/>
  <c r="X53" i="1"/>
  <c r="W53" i="1"/>
  <c r="V53" i="1"/>
  <c r="X52" i="1"/>
  <c r="W52" i="1"/>
  <c r="V52" i="1"/>
  <c r="V51" i="1"/>
  <c r="W51" i="1" s="1"/>
  <c r="V50" i="1"/>
  <c r="W50" i="1" s="1"/>
  <c r="X49" i="1"/>
  <c r="W49" i="1"/>
  <c r="V49" i="1"/>
  <c r="X48" i="1"/>
  <c r="W48" i="1"/>
  <c r="V48" i="1"/>
  <c r="X47" i="1"/>
  <c r="W47" i="1"/>
  <c r="V47" i="1"/>
  <c r="V46" i="1"/>
  <c r="X46" i="1" s="1"/>
  <c r="X44" i="1"/>
  <c r="W44" i="1"/>
  <c r="V44" i="1"/>
  <c r="X43" i="1"/>
  <c r="W43" i="1"/>
  <c r="X42" i="1"/>
  <c r="W42" i="1"/>
  <c r="X41" i="1"/>
  <c r="W41" i="1"/>
  <c r="V41" i="1"/>
  <c r="X40" i="1"/>
  <c r="W40" i="1"/>
  <c r="V40" i="1"/>
  <c r="V39" i="1"/>
  <c r="X39" i="1" s="1"/>
  <c r="X38" i="1"/>
  <c r="W38" i="1"/>
  <c r="V38" i="1"/>
  <c r="X37" i="1"/>
  <c r="W37" i="1"/>
  <c r="V37" i="1"/>
  <c r="V36" i="1"/>
  <c r="X36" i="1" s="1"/>
  <c r="X35" i="1"/>
  <c r="W35" i="1"/>
  <c r="V35" i="1"/>
  <c r="V34" i="1"/>
  <c r="X34" i="1" s="1"/>
  <c r="X33" i="1"/>
  <c r="W33" i="1"/>
  <c r="V33" i="1"/>
  <c r="X32" i="1"/>
  <c r="W32" i="1"/>
  <c r="V32" i="1"/>
  <c r="X31" i="1"/>
  <c r="V31" i="1"/>
  <c r="W31" i="1" s="1"/>
  <c r="X30" i="1"/>
  <c r="W30" i="1"/>
  <c r="V30" i="1"/>
  <c r="X29" i="1"/>
  <c r="W29" i="1"/>
  <c r="V29" i="1"/>
  <c r="X28" i="1"/>
  <c r="V28" i="1"/>
  <c r="W28" i="1" s="1"/>
  <c r="X27" i="1"/>
  <c r="V27" i="1"/>
  <c r="W27" i="1" s="1"/>
  <c r="X26" i="1"/>
  <c r="W26" i="1"/>
  <c r="V26" i="1"/>
  <c r="X25" i="1"/>
  <c r="W25" i="1"/>
  <c r="V25" i="1"/>
  <c r="V24" i="1"/>
  <c r="X24" i="1" s="1"/>
  <c r="X23" i="1"/>
  <c r="W23" i="1"/>
  <c r="V23" i="1"/>
  <c r="X22" i="1"/>
  <c r="W22" i="1"/>
  <c r="V22" i="1"/>
  <c r="X21" i="1"/>
  <c r="W21" i="1"/>
  <c r="V21" i="1"/>
  <c r="V20" i="1"/>
  <c r="X20" i="1" s="1"/>
  <c r="X19" i="1"/>
  <c r="V19" i="1"/>
  <c r="W19" i="1" s="1"/>
  <c r="X18" i="1"/>
  <c r="W18" i="1"/>
  <c r="X17" i="1"/>
  <c r="W17" i="1"/>
  <c r="X16" i="1"/>
  <c r="W16" i="1"/>
  <c r="X15" i="1"/>
  <c r="W15" i="1"/>
  <c r="W14" i="1"/>
  <c r="V13" i="1"/>
  <c r="X13" i="1" s="1"/>
  <c r="X12" i="1"/>
  <c r="W12" i="1"/>
  <c r="X10" i="1"/>
  <c r="W10" i="1"/>
  <c r="X9" i="1"/>
  <c r="W9" i="1"/>
  <c r="X5" i="1"/>
  <c r="W5" i="1"/>
  <c r="X4" i="1"/>
  <c r="W4" i="1"/>
  <c r="X3" i="1"/>
  <c r="W3" i="1"/>
  <c r="X2" i="1"/>
  <c r="W2" i="1"/>
  <c r="X50" i="1" l="1"/>
  <c r="X307" i="1" s="1"/>
  <c r="X69" i="1"/>
  <c r="X88" i="1"/>
  <c r="X111" i="1"/>
  <c r="X152" i="1"/>
  <c r="W153" i="1"/>
  <c r="W187" i="1"/>
  <c r="W39" i="1"/>
  <c r="X51" i="1"/>
  <c r="W107" i="1"/>
  <c r="W176" i="1"/>
  <c r="W46" i="1"/>
  <c r="X70" i="1"/>
  <c r="W34" i="1"/>
  <c r="W78" i="1"/>
  <c r="W96" i="1"/>
  <c r="W102" i="1"/>
  <c r="W118" i="1"/>
  <c r="W137" i="1"/>
  <c r="W143" i="1"/>
  <c r="W24" i="1"/>
  <c r="W150" i="1"/>
  <c r="W20" i="1"/>
  <c r="W36" i="1"/>
  <c r="W13" i="1"/>
  <c r="W307" i="1" s="1"/>
  <c r="W92" i="1"/>
  <c r="W134" i="1"/>
</calcChain>
</file>

<file path=xl/sharedStrings.xml><?xml version="1.0" encoding="utf-8"?>
<sst xmlns="http://schemas.openxmlformats.org/spreadsheetml/2006/main" count="6922" uniqueCount="3113">
  <si>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</si>
  <si>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</si>
  <si>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</si>
  <si>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</si>
  <si>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</si>
  <si>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</si>
  <si>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</si>
  <si>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</si>
  <si>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</si>
  <si>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</si>
  <si>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</si>
  <si>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</si>
  <si>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</si>
  <si>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</si>
  <si>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</si>
  <si>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</si>
  <si>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</si>
  <si>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</si>
  <si>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</si>
  <si>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</si>
  <si>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</si>
  <si>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</si>
  <si>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</si>
  <si>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</si>
  <si>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</si>
  <si>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</si>
  <si>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</si>
  <si>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</si>
  <si>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</si>
  <si>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</si>
  <si>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</si>
  <si>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</si>
  <si>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</si>
  <si>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</si>
  <si>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</si>
  <si>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</si>
  <si>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</si>
  <si>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</si>
  <si>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</si>
  <si>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</si>
  <si>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</si>
  <si>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</si>
  <si>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</si>
  <si>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</si>
  <si>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</si>
  <si>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</si>
  <si>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</si>
  <si>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</si>
  <si>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</si>
  <si>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</si>
  <si>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</si>
  <si>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</si>
  <si>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</si>
  <si>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</si>
  <si>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</si>
  <si>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</si>
  <si>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</si>
  <si>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</si>
  <si>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</si>
  <si>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</si>
  <si>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</si>
  <si>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</si>
  <si>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</si>
  <si>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</si>
  <si>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</si>
  <si>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</si>
  <si>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</si>
  <si>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</si>
  <si>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</si>
  <si>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</si>
  <si>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</si>
  <si>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</si>
  <si>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</si>
  <si>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</si>
  <si>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</si>
  <si>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</si>
  <si>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</si>
  <si>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regex(.,’^[0-9]{11}$’)</t>
  </si>
  <si>
    <t>Please enter the telephone number in the correct format, e.g. 09135223695</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</si>
  <si>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</si>
  <si>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</si>
  <si>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</si>
  <si>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</si>
  <si>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</si>
  <si>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</si>
  <si>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</si>
  <si>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</si>
  <si>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</si>
  <si>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</si>
  <si>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</si>
  <si>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</si>
  <si>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</si>
  <si>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</si>
  <si>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</si>
  <si>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</si>
  <si>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</si>
  <si>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State does your household reside?</t>
  </si>
  <si>
    <t>[HINT: HOUSEHOLD CONSISTS OF ALL MEMBERS LIVING TOGETHER, SHARING RESOURCES &amp; EATING FROM THE SAME POT.]</t>
  </si>
  <si>
    <t>autocomplete</t>
  </si>
  <si>
    <t>adm1_name</t>
  </si>
  <si>
    <t>jr:choice-name(${adm1_pcode},'${adm1_pcode}')</t>
  </si>
  <si>
    <t>select_one admin2</t>
  </si>
  <si>
    <t xml:space="preserve">adm2_pcode </t>
  </si>
  <si>
    <t>Currently, in which Local Government Area (LGA) does your household reside?</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</si>
  <si>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</si>
  <si>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</si>
  <si>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</si>
  <si>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</si>
  <si>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</si>
  <si>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</si>
  <si>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</si>
  <si>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</si>
  <si>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</si>
  <si>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</si>
  <si>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</si>
  <si>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</si>
  <si>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</si>
  <si>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</si>
  <si>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</si>
  <si>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</si>
  <si>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</si>
  <si>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</si>
  <si>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</si>
  <si>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</si>
  <si>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</si>
  <si>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</si>
  <si>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</si>
  <si>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</si>
  <si>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</si>
  <si>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</si>
  <si>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</si>
  <si>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</si>
  <si>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</si>
  <si>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</si>
  <si>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</si>
  <si>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</si>
  <si>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</si>
  <si>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o_hh_residencetype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</si>
  <si>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</si>
  <si>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</si>
  <si>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o_hh_displaced_num</t>
  </si>
  <si>
    <t>How many people are you hosting in your house at the moment?</t>
  </si>
  <si>
    <t>[INSTRUCTIONS: RECORD THE NUMBER OF PEOPLE EXCLUDING HOUSEHOLD MEMBERS. ENTER 888 FOR DON'T KNOW AND 999 FOR REFUSED.]</t>
  </si>
  <si>
    <t xml:space="preserve">(. &gt;= 1 and . &lt;= 50) or . = 888 or . = 999 </t>
  </si>
  <si>
    <t>${o_hh_residencetype} = '2'</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</si>
  <si>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</si>
  <si>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</si>
  <si>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</si>
  <si>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</si>
  <si>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</si>
  <si>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</si>
  <si>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</si>
  <si>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</si>
  <si>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</si>
  <si>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</si>
  <si>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</si>
  <si>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select_multiple asset_dom</t>
  </si>
  <si>
    <t>o_hh_asset_dom</t>
  </si>
  <si>
    <t>Does your household own any of the following domestic assets?</t>
  </si>
  <si>
    <t xml:space="preserve">[INSTRUCTIONS: MULTIPLE RESPONSES POSSIBLE. READ ANSWER OPTIONS OUT LOUD.] </t>
  </si>
  <si>
    <t>o_hh_bank account</t>
  </si>
  <si>
    <t>Do you or any member of household own any type of bank account (e.g., savings, deposit, checking, current, etc.)?</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</si>
  <si>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</si>
  <si>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</si>
  <si>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</si>
  <si>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</si>
  <si>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</si>
  <si>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</si>
  <si>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</si>
  <si>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</si>
  <si>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</si>
  <si>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</si>
  <si>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</si>
  <si>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</si>
  <si>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</si>
  <si>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</si>
  <si>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</si>
  <si>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</si>
  <si>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</si>
  <si>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</si>
  <si>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</si>
  <si>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</si>
  <si>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</si>
  <si>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</si>
  <si>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</si>
  <si>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</si>
  <si>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select_one gender_inc_1</t>
  </si>
  <si>
    <t>income_main_gender</t>
  </si>
  <si>
    <t xml:space="preserve">What is the gender of the household member(s) generating income from this source? </t>
  </si>
  <si>
    <t>${income_main} != '19' and ${income_main} != '20'</t>
  </si>
  <si>
    <t>select_one gender_inc_2</t>
  </si>
  <si>
    <t>income_main_control</t>
  </si>
  <si>
    <t xml:space="preserve">Who controls the revenue that is earned from this source? </t>
  </si>
  <si>
    <t>select_one change</t>
  </si>
  <si>
    <t>income_main_comp</t>
  </si>
  <si>
    <t>Has your household's income from ${incomemain} changed in the last 3 months compared to the same period of a normal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</si>
  <si>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</si>
  <si>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</si>
  <si>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</si>
  <si>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</si>
  <si>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</si>
  <si>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</si>
  <si>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</si>
  <si>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</si>
  <si>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</si>
  <si>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</si>
  <si>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</si>
  <si>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</si>
  <si>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</si>
  <si>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</si>
  <si>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</si>
  <si>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income_sec_comp</t>
  </si>
  <si>
    <t>Has your household's income from ${incomesec} changed in the last 3 months compared to the same period of a normal year?</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</si>
  <si>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</si>
  <si>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</si>
  <si>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</si>
  <si>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</si>
  <si>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</si>
  <si>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</si>
  <si>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</si>
  <si>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</si>
  <si>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</si>
  <si>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</si>
  <si>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</si>
  <si>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</si>
  <si>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income_third_gender</t>
  </si>
  <si>
    <t xml:space="preserve">${income_main} != '19' and ${income_main} != '20' and ${income_sec} != '19' and ${income_sec} != '20' and ${income_sec} != '21' and ${income_third} != '19' and ${income_third} != '20' and ${income_third} != '21' </t>
  </si>
  <si>
    <t>income_third_comp</t>
  </si>
  <si>
    <t>Has your household's income from ${incomethird} changed in the last 3 months compared to the same period of a normal year?</t>
  </si>
  <si>
    <t>select_multiple shock</t>
  </si>
  <si>
    <t>shock</t>
  </si>
  <si>
    <t xml:space="preserve">Has your household or community faced any particular challenge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</si>
  <si>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</si>
  <si>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</si>
  <si>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</si>
  <si>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</si>
  <si>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</si>
  <si>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</si>
  <si>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Post-Harvest.</t>
  </si>
  <si>
    <t>decimal</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</si>
  <si>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</si>
  <si>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</si>
  <si>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</si>
  <si>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</si>
  <si>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</si>
  <si>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</si>
  <si>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</si>
  <si>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</si>
  <si>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</si>
  <si>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</si>
  <si>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</si>
  <si>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What is the main crop that your household grows for food or income generation in Post-Harvest, if any?</t>
  </si>
  <si>
    <t>[INSTRUCTIONS: "NO CROP PRODUCTION" APPEARS AT THE END OF THE LIST OF OPTIONS.]</t>
  </si>
  <si>
    <t>crpmain</t>
  </si>
  <si>
    <t>jr:choice-name(${crp_main},'${crp_main}')</t>
  </si>
  <si>
    <t>select_one cropcheck</t>
  </si>
  <si>
    <t>crp_main_check</t>
  </si>
  <si>
    <t>Why did you not produce any crops in Post-Harvest?</t>
  </si>
  <si>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</si>
  <si>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</si>
  <si>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</si>
  <si>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</si>
  <si>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</si>
  <si>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</si>
  <si>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</si>
  <si>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</si>
  <si>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</si>
  <si>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crp_area_change</t>
  </si>
  <si>
    <t>How did the ***area planted*** for ${crpmain} from Post-Harvest compare to a normal year?</t>
  </si>
  <si>
    <t>crp_harv_change</t>
  </si>
  <si>
    <t xml:space="preserve">How does the  ***harvest*** of ${crpmain} in the Post-Harvest compare to a normal year? </t>
  </si>
  <si>
    <t>crp_proddif</t>
  </si>
  <si>
    <t>Has your household faced any significant difficulty ***in terms of crop production*** in Post-Harvest?</t>
  </si>
  <si>
    <t>${crp_main} != '888' and ${crp_main} != '999' and ${crp_main_check} != 1</t>
  </si>
  <si>
    <t>select_multiple cropproddiff</t>
  </si>
  <si>
    <t>crp_proddif_</t>
  </si>
  <si>
    <t>Which difficulties has your household faced with crop production in Post-Harvest?</t>
  </si>
  <si>
    <t>[INSTRUCTIONS: MULTIPLE RESPONSES POSSIBLE. SELECT OPTION(S) THAT BEST FIT THE INFORMATION PROVIDED BY THE RESPONDENTS.]</t>
  </si>
  <si>
    <t>if(selected(., 'ref') or selected(., 'dk'), count-selected(.) = 1, count-selected(.) &gt;= 1)</t>
  </si>
  <si>
    <t>${crp_proddif} = '1' and (${crp_main} != '888' and ${crp_main} != '999' and ${crp_main_check} != 1)</t>
  </si>
  <si>
    <t>o_crp_dryseason</t>
  </si>
  <si>
    <t xml:space="preserve">Has your household participated in the ongoing dry season planting? </t>
  </si>
  <si>
    <t>select_one harvprospect</t>
  </si>
  <si>
    <t>o_crp_dryseason_harvest</t>
  </si>
  <si>
    <t>What are your harvest prospects?</t>
  </si>
  <si>
    <t>${o_crp_dryseason} = '1'</t>
  </si>
  <si>
    <t>select_multiple crop</t>
  </si>
  <si>
    <t>o_crp_dryseason_crop</t>
  </si>
  <si>
    <t>Select at most three main crops cultivated during the dry season.</t>
  </si>
  <si>
    <t>count-selected(.)&lt;=3</t>
  </si>
  <si>
    <t>A maximum of 3 different options are permitted for this response.</t>
  </si>
  <si>
    <t>o_crp_dryseason_diff</t>
  </si>
  <si>
    <t>Why did you not participate?</t>
  </si>
  <si>
    <t>${o_crp_dryseason} = '2'</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</si>
  <si>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</si>
  <si>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</si>
  <si>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</si>
  <si>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</si>
  <si>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</si>
  <si>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</si>
  <si>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</si>
  <si>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</si>
  <si>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</si>
  <si>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</si>
  <si>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</si>
  <si>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</si>
  <si>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</si>
  <si>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</si>
  <si>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</si>
  <si>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</si>
  <si>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</si>
  <si>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</si>
  <si>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</si>
  <si>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</si>
  <si>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</si>
  <si>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</si>
  <si>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</si>
  <si>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</si>
  <si>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</si>
  <si>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</si>
  <si>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</si>
  <si>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</si>
  <si>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</si>
  <si>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</si>
  <si>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</si>
  <si>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</si>
  <si>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</si>
  <si>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</si>
  <si>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</si>
  <si>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</si>
  <si>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</si>
  <si>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</si>
  <si>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</si>
  <si>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</si>
  <si>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</si>
  <si>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</si>
  <si>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</si>
  <si>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</si>
  <si>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</si>
  <si>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</si>
  <si>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</si>
  <si>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</si>
  <si>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</si>
  <si>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[INSTRUCTIONS: MULTIPLE RESPONSES POSSIBLE.]</t>
  </si>
  <si>
    <t>if(selected(., 'inc_dec_dk') or selected(., 'inc_dec_ref'), count-selected(.) = 1, count-selected(.) &gt;= 1)</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</si>
  <si>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</si>
  <si>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</si>
  <si>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</si>
  <si>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</si>
  <si>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</si>
  <si>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</si>
  <si>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</si>
  <si>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</si>
  <si>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</si>
  <si>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</si>
  <si>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</si>
  <si>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</si>
  <si>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</si>
  <si>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</si>
  <si>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</si>
  <si>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</si>
  <si>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</si>
  <si>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</si>
  <si>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</si>
  <si>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</si>
  <si>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</si>
  <si>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</si>
  <si>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</si>
  <si>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</si>
  <si>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</si>
  <si>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</si>
  <si>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</si>
  <si>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</si>
  <si>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a normal year?</t>
  </si>
  <si>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</si>
  <si>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</si>
  <si>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</si>
  <si>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</si>
  <si>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</si>
  <si>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</si>
  <si>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</si>
  <si>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</si>
  <si>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</si>
  <si>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</si>
  <si>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</si>
  <si>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</si>
  <si>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</si>
  <si>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</si>
  <si>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</si>
  <si>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</si>
  <si>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</si>
  <si>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</si>
  <si>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</si>
  <si>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</si>
  <si>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</si>
  <si>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</si>
  <si>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</si>
  <si>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</si>
  <si>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</si>
  <si>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</si>
  <si>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</si>
  <si>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</si>
  <si>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</si>
  <si>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</si>
  <si>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</si>
  <si>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</si>
  <si>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</si>
  <si>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</si>
  <si>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</si>
  <si>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</si>
  <si>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</si>
  <si>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</si>
  <si>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</si>
  <si>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</si>
  <si>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</si>
  <si>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</si>
  <si>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</si>
  <si>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</si>
  <si>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</si>
  <si>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</si>
  <si>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</si>
  <si>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</si>
  <si>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</si>
  <si>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</si>
  <si>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</si>
  <si>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</si>
  <si>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</si>
  <si>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</si>
  <si>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</si>
  <si>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</si>
  <si>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</si>
  <si>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</si>
  <si>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</si>
  <si>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</si>
  <si>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</si>
  <si>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</si>
  <si>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</si>
  <si>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</si>
  <si>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</si>
  <si>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</si>
  <si>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</si>
  <si>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</si>
  <si>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</si>
  <si>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</si>
  <si>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</si>
  <si>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</si>
  <si>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</si>
  <si>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</si>
  <si>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</si>
  <si>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</si>
  <si>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</si>
  <si>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</si>
  <si>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</si>
  <si>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</si>
  <si>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</si>
  <si>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cs_stress_borrowed_money</t>
  </si>
  <si>
    <t>**Borrow money**</t>
  </si>
  <si>
    <t>cs_crisis_sold_prod_assets</t>
  </si>
  <si>
    <t>**Sell productive assets or means of transport** (sewing machine, wheelbarrow, bicycle, car, etc.)</t>
  </si>
  <si>
    <t>cs_crisis_no_school</t>
  </si>
  <si>
    <t>**Withdraw children from school**</t>
  </si>
  <si>
    <t>cs_stress_reduced_health_exp</t>
  </si>
  <si>
    <t>**Reduce expenses on health** (including drugs)</t>
  </si>
  <si>
    <t>cs_emergency_sold_house</t>
  </si>
  <si>
    <t>**Sell a house or land**</t>
  </si>
  <si>
    <t>cs_emergency_begged</t>
  </si>
  <si>
    <t>**Beg**</t>
  </si>
  <si>
    <t>cs_emergency_illegal</t>
  </si>
  <si>
    <t>**Engage in illegal or degrading income activities** (theft, prostitution)</t>
  </si>
  <si>
    <t>cs_crisis_sold_last_female</t>
  </si>
  <si>
    <t>**Sell your last female animals**</t>
  </si>
  <si>
    <t>grp_borrowing</t>
  </si>
  <si>
    <t>Borrowing</t>
  </si>
  <si>
    <t>o_hh_borrow</t>
  </si>
  <si>
    <t xml:space="preserve">Has your household borrowed money over the last 30 days? </t>
  </si>
  <si>
    <t>o_hh_borrow_amount</t>
  </si>
  <si>
    <t xml:space="preserve">How much debt was incurred (in Naira) in the past 30 days? </t>
  </si>
  <si>
    <t xml:space="preserve">[INSTRUCTIONS: MAKE SURE THE INFORMATION IS RECORDED IN THE CORRECT CURRENCY. ENTER 888 FOR DON'T KNOW AND 999 FOR REFUSED.] </t>
  </si>
  <si>
    <t xml:space="preserve">. &gt;= 1 or . = 888 or . = 999 </t>
  </si>
  <si>
    <t>${o_hh_borrow} = '1'</t>
  </si>
  <si>
    <t>select_one borrow_reason</t>
  </si>
  <si>
    <t>o_hh_borrow_reason</t>
  </si>
  <si>
    <t>What was the primary reason for the household to borrow money?</t>
  </si>
  <si>
    <t>o_hh_borrow_reason_other</t>
  </si>
  <si>
    <t>${o_hh_borrow} = '1' and ${o_hh_borrow_reason} = '13'</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</si>
  <si>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</si>
  <si>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</si>
  <si>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</si>
  <si>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</si>
  <si>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</si>
  <si>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</si>
  <si>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</si>
  <si>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</si>
  <si>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</si>
  <si>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</si>
  <si>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</si>
  <si>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</si>
  <si>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</si>
  <si>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</si>
  <si>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</si>
  <si>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</si>
  <si>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</si>
  <si>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</si>
  <si>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</si>
  <si>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</si>
  <si>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</si>
  <si>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</si>
  <si>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t>How many days over *the last 7 days*, did members of your household eat **vegetables or leaves** such as Cabbage, Carrots, Green pepper, Cauliflower, Cucumber, Tomatoes, Lettuce, Onions, Red Pepper and/or other leaves/vegetables?</t>
  </si>
  <si>
    <t>fcs_fruit_days</t>
  </si>
  <si>
    <t>How many days over *the last 7 days*, did members of your household eat **fruit** such as Mangoes, Oranges, Pawpaw, Apples, Yellow Banana, Water Melon, Pineapples,  and/or other fruits?</t>
  </si>
  <si>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</si>
  <si>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</si>
  <si>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</si>
  <si>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</si>
  <si>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</si>
  <si>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</si>
  <si>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</si>
  <si>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</si>
  <si>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</si>
  <si>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</si>
  <si>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</si>
  <si>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</si>
  <si>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</si>
  <si>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</si>
  <si>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</si>
  <si>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</si>
  <si>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</si>
  <si>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</si>
  <si>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</si>
  <si>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</si>
  <si>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</si>
  <si>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</si>
  <si>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</si>
  <si>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</si>
  <si>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</si>
  <si>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select_one foodstock</t>
  </si>
  <si>
    <t>o_food_stock</t>
  </si>
  <si>
    <t>Does your household currently have any food stock, and if yes, how long would such stock last for?</t>
  </si>
  <si>
    <t>select_one affordmeal</t>
  </si>
  <si>
    <t>o_afford_meal</t>
  </si>
  <si>
    <t>Compared to a typical year/period, would you say you are able to afford a quality, balanced meal for the household?</t>
  </si>
  <si>
    <t>select_one nutri_support</t>
  </si>
  <si>
    <t>o_acute_malntn</t>
  </si>
  <si>
    <t>In your household, is there a child or any other member of the family that you think needs malnutrition treation or nutrition support?</t>
  </si>
  <si>
    <t>o_acute_child_name</t>
  </si>
  <si>
    <t>Name of child</t>
  </si>
  <si>
    <t>${o_acute_malntn} = '1'</t>
  </si>
  <si>
    <t>o_acute_child_sex</t>
  </si>
  <si>
    <t>Sex of child</t>
  </si>
  <si>
    <t>o_acute_child_age</t>
  </si>
  <si>
    <t>Age of child</t>
  </si>
  <si>
    <t>(. &gt;= 1 and . &lt;= 100) or . = 888</t>
  </si>
  <si>
    <t>o_acute_woman_name</t>
  </si>
  <si>
    <t>Name of pregnant/lactating woman</t>
  </si>
  <si>
    <t>${o_acute_malntn} = '2'</t>
  </si>
  <si>
    <t>o_acute_woman_age</t>
  </si>
  <si>
    <t>Age of pregnant/lactating woman</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</si>
  <si>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</si>
  <si>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</si>
  <si>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</si>
  <si>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</si>
  <si>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</si>
  <si>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</si>
  <si>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</si>
  <si>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</si>
  <si>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</si>
  <si>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</si>
  <si>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</si>
  <si>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</si>
  <si>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</si>
  <si>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</si>
  <si>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</si>
  <si>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</si>
  <si>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</si>
  <si>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</si>
  <si>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</si>
  <si>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</si>
  <si>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</si>
  <si>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</si>
  <si>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</si>
  <si>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</si>
  <si>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</si>
  <si>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</si>
  <si>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</si>
  <si>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</si>
  <si>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</si>
  <si>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</si>
  <si>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</si>
  <si>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</si>
  <si>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</si>
  <si>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</si>
  <si>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t>For future interviews, in which day(s) can I call you?</t>
  </si>
  <si>
    <t>[INSTRUCTIONS: MULTIPLE ANSWERS POSSIBLE.]</t>
  </si>
  <si>
    <t>${callback} = '1'</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</si>
  <si>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</si>
  <si>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</si>
  <si>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</si>
  <si>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</si>
  <si>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</si>
  <si>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</si>
  <si>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</si>
  <si>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</si>
  <si>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</si>
  <si>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</si>
  <si>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</si>
  <si>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</si>
  <si>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</si>
  <si>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</si>
  <si>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</si>
  <si>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</si>
  <si>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</si>
  <si>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</si>
  <si>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</si>
  <si>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</si>
  <si>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</si>
  <si>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</si>
  <si>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</si>
  <si>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</si>
  <si>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</si>
  <si>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</si>
  <si>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</si>
  <si>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</si>
  <si>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</si>
  <si>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</si>
  <si>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</si>
  <si>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</si>
  <si>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</si>
  <si>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</si>
  <si>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</si>
  <si>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</si>
  <si>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</si>
  <si>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</si>
  <si>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</si>
  <si>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</si>
  <si>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</si>
  <si>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</si>
  <si>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</si>
  <si>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</si>
  <si>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</si>
  <si>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</si>
  <si>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</si>
  <si>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</si>
  <si>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</si>
  <si>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</si>
  <si>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</si>
  <si>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</si>
  <si>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</si>
  <si>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</si>
  <si>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</si>
  <si>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</si>
  <si>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</si>
  <si>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</si>
  <si>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</si>
  <si>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</si>
  <si>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</si>
  <si>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</si>
  <si>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</si>
  <si>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</si>
  <si>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</si>
  <si>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</si>
  <si>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</si>
  <si>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</si>
  <si>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</si>
  <si>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</si>
  <si>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</si>
  <si>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</si>
  <si>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</si>
  <si>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</si>
  <si>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</si>
  <si>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</si>
  <si>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</si>
  <si>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</si>
  <si>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</si>
  <si>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</si>
  <si>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</si>
  <si>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</si>
  <si>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</si>
  <si>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</si>
  <si>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</si>
  <si>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</si>
  <si>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</si>
  <si>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 xml:space="preserve">Permanent Resident NOT hosting people displaced  - People who have been living here (the location being assessed) for more than three years and who consider it their habitual residence. </t>
  </si>
  <si>
    <t xml:space="preserve">Permanent Resident hosting displaced persons - People who have been living here (the location being assessed) for more than three years and who consider it their habitual residence and currently hosting displaced persons </t>
  </si>
  <si>
    <t xml:space="preserve">Recent migrant not forcefully displaced - People living here (the location being assessed) for less than three years who moved there voluntarily for work / family or other reasons, not related to conflict or natural disaster </t>
  </si>
  <si>
    <t xml:space="preserve">Returnee - People who were permanent residents in the location being assessed who were previously forced to move somewhere else (within Nigeria or to another country) due to conflict or natural disasters but have returned here (to the location being assessed) within the last three years. </t>
  </si>
  <si>
    <t xml:space="preserve">Internally displaced person [IDP] - Nigerian nationals displaced from other locations, who arrived here (the location being assessed) less than three years ago. </t>
  </si>
  <si>
    <t xml:space="preserve">Refugee - People from another country (non-Nigerian nationals) who were forced to come here (the location being assessed) because of conflict or natural disasters in their country of origin. </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</si>
  <si>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</si>
  <si>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</si>
  <si>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</si>
  <si>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</si>
  <si>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</si>
  <si>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</si>
  <si>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</si>
  <si>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</si>
  <si>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</si>
  <si>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</si>
  <si>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</si>
  <si>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</si>
  <si>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</si>
  <si>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</si>
  <si>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</si>
  <si>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</si>
  <si>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</si>
  <si>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</si>
  <si>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</si>
  <si>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</si>
  <si>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</si>
  <si>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</si>
  <si>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</si>
  <si>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</si>
  <si>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</si>
  <si>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</si>
  <si>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</si>
  <si>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</si>
  <si>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</si>
  <si>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</si>
  <si>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</si>
  <si>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</si>
  <si>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</si>
  <si>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</si>
  <si>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asset_dom</t>
  </si>
  <si>
    <t>bed</t>
  </si>
  <si>
    <t>Bed</t>
  </si>
  <si>
    <t>stove</t>
  </si>
  <si>
    <t>Stove</t>
  </si>
  <si>
    <t>iron</t>
  </si>
  <si>
    <t>Iron</t>
  </si>
  <si>
    <t>microwave</t>
  </si>
  <si>
    <t>Microwave</t>
  </si>
  <si>
    <t>kettle</t>
  </si>
  <si>
    <t>Kettle</t>
  </si>
  <si>
    <t>refrigerator</t>
  </si>
  <si>
    <t>Refrigerator</t>
  </si>
  <si>
    <t>radio</t>
  </si>
  <si>
    <t>Radio</t>
  </si>
  <si>
    <t>television</t>
  </si>
  <si>
    <t>Television</t>
  </si>
  <si>
    <t>telephone</t>
  </si>
  <si>
    <t>Telephone (landline)</t>
  </si>
  <si>
    <t>cellphone</t>
  </si>
  <si>
    <t>Cellphone / Mobile phone</t>
  </si>
  <si>
    <t>computer</t>
  </si>
  <si>
    <t>Computer / Laptop</t>
  </si>
  <si>
    <t>washing</t>
  </si>
  <si>
    <t>Washing machine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</si>
  <si>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</si>
  <si>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</si>
  <si>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</si>
  <si>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</si>
  <si>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</si>
  <si>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</si>
  <si>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</si>
  <si>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</si>
  <si>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</si>
  <si>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</si>
  <si>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</si>
  <si>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</si>
  <si>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</si>
  <si>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</si>
  <si>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</si>
  <si>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</si>
  <si>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</si>
  <si>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</si>
  <si>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</si>
  <si>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</si>
  <si>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</si>
  <si>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</si>
  <si>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</si>
  <si>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</si>
  <si>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</si>
  <si>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</si>
  <si>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</si>
  <si>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</si>
  <si>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</si>
  <si>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</si>
  <si>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</si>
  <si>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</si>
  <si>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</si>
  <si>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</si>
  <si>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</si>
  <si>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</si>
  <si>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</si>
  <si>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</si>
  <si>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</si>
  <si>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</si>
  <si>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</si>
  <si>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</si>
  <si>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</si>
  <si>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</si>
  <si>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</si>
  <si>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</si>
  <si>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</si>
  <si>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</si>
  <si>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</si>
  <si>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</si>
  <si>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</si>
  <si>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</si>
  <si>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</si>
  <si>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</si>
  <si>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</si>
  <si>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</si>
  <si>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</si>
  <si>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</si>
  <si>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</si>
  <si>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</si>
  <si>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</si>
  <si>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</si>
  <si>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</si>
  <si>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</si>
  <si>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</si>
  <si>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</si>
  <si>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</si>
  <si>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</si>
  <si>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</si>
  <si>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</si>
  <si>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</si>
  <si>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</si>
  <si>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</si>
  <si>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</si>
  <si>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</si>
  <si>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</si>
  <si>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</si>
  <si>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</si>
  <si>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</si>
  <si>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</si>
  <si>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</si>
  <si>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</si>
  <si>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</si>
  <si>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</si>
  <si>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</si>
  <si>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</si>
  <si>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</si>
  <si>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</si>
  <si>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</si>
  <si>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</si>
  <si>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</si>
  <si>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</si>
  <si>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</si>
  <si>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</si>
  <si>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</si>
  <si>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</si>
  <si>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</si>
  <si>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</si>
  <si>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</si>
  <si>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</si>
  <si>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</si>
  <si>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</si>
  <si>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</si>
  <si>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</si>
  <si>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</si>
  <si>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</si>
  <si>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</si>
  <si>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</si>
  <si>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</si>
  <si>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</si>
  <si>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</si>
  <si>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</si>
  <si>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</si>
  <si>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</si>
  <si>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</si>
  <si>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</si>
  <si>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</si>
  <si>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</si>
  <si>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</si>
  <si>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</si>
  <si>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</si>
  <si>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</si>
  <si>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</si>
  <si>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</si>
  <si>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</si>
  <si>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Hactares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</si>
  <si>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</si>
  <si>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</si>
  <si>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</si>
  <si>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</si>
  <si>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</si>
  <si>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</si>
  <si>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</si>
  <si>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</si>
  <si>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</si>
  <si>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</si>
  <si>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</si>
  <si>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</si>
  <si>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</si>
  <si>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</si>
  <si>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</si>
  <si>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</si>
  <si>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</si>
  <si>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</si>
  <si>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</si>
  <si>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</si>
  <si>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</si>
  <si>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</si>
  <si>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</si>
  <si>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</si>
  <si>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</si>
  <si>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</si>
  <si>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</si>
  <si>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</si>
  <si>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</si>
  <si>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</si>
  <si>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</si>
  <si>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</si>
  <si>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</si>
  <si>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</si>
  <si>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</si>
  <si>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</si>
  <si>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</si>
  <si>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</si>
  <si>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</si>
  <si>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</si>
  <si>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</si>
  <si>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</si>
  <si>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</si>
  <si>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</si>
  <si>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</si>
  <si>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</si>
  <si>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</si>
  <si>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</si>
  <si>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</si>
  <si>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</si>
  <si>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</si>
  <si>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</si>
  <si>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</si>
  <si>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</si>
  <si>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</si>
  <si>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</si>
  <si>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</si>
  <si>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</si>
  <si>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</si>
  <si>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</si>
  <si>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</si>
  <si>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</si>
  <si>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</si>
  <si>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</si>
  <si>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</si>
  <si>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</si>
  <si>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</si>
  <si>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</si>
  <si>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</si>
  <si>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</si>
  <si>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</si>
  <si>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</si>
  <si>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</si>
  <si>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</si>
  <si>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</si>
  <si>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</si>
  <si>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</si>
  <si>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</si>
  <si>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</si>
  <si>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</si>
  <si>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</si>
  <si>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</si>
  <si>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</si>
  <si>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</si>
  <si>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</si>
  <si>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</si>
  <si>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</si>
  <si>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</si>
  <si>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</si>
  <si>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</si>
  <si>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</si>
  <si>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</si>
  <si>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</si>
  <si>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</si>
  <si>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</si>
  <si>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</si>
  <si>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</si>
  <si>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</si>
  <si>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</si>
  <si>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</si>
  <si>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</si>
  <si>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</si>
  <si>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</si>
  <si>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</si>
  <si>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</si>
  <si>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</si>
  <si>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</si>
  <si>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</si>
  <si>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</si>
  <si>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</si>
  <si>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</si>
  <si>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</si>
  <si>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</si>
  <si>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</si>
  <si>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</si>
  <si>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</si>
  <si>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</si>
  <si>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</si>
  <si>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</si>
  <si>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</si>
  <si>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</si>
  <si>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</si>
  <si>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</si>
  <si>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</si>
  <si>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</si>
  <si>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</si>
  <si>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</si>
  <si>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</si>
  <si>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</si>
  <si>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</si>
  <si>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</si>
  <si>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</si>
  <si>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</si>
  <si>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</si>
  <si>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</si>
  <si>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</si>
  <si>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</si>
  <si>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</si>
  <si>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</si>
  <si>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</si>
  <si>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</si>
  <si>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</si>
  <si>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</si>
  <si>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</si>
  <si>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</si>
  <si>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</si>
  <si>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</si>
  <si>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</si>
  <si>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</si>
  <si>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</si>
  <si>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</si>
  <si>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</si>
  <si>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</si>
  <si>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</si>
  <si>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</si>
  <si>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</si>
  <si>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</si>
  <si>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</si>
  <si>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</si>
  <si>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</si>
  <si>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</si>
  <si>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</si>
  <si>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</si>
  <si>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</si>
  <si>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</si>
  <si>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</si>
  <si>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</si>
  <si>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</si>
  <si>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</si>
  <si>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</si>
  <si>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</si>
  <si>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</si>
  <si>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</si>
  <si>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</si>
  <si>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</si>
  <si>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</si>
  <si>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</si>
  <si>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</si>
  <si>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</si>
  <si>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</si>
  <si>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</si>
  <si>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</si>
  <si>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</si>
  <si>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</si>
  <si>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</si>
  <si>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</si>
  <si>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</si>
  <si>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</si>
  <si>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</si>
  <si>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</si>
  <si>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</si>
  <si>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</si>
  <si>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</si>
  <si>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</si>
  <si>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</si>
  <si>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</si>
  <si>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</si>
  <si>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</si>
  <si>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</si>
  <si>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</si>
  <si>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</si>
  <si>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</si>
  <si>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</si>
  <si>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</si>
  <si>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</si>
  <si>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</si>
  <si>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</si>
  <si>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</si>
  <si>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</si>
  <si>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</si>
  <si>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</si>
  <si>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</si>
  <si>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</si>
  <si>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</si>
  <si>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</si>
  <si>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</si>
  <si>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</si>
  <si>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</si>
  <si>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</si>
  <si>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</si>
  <si>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</si>
  <si>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</si>
  <si>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</si>
  <si>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</si>
  <si>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</si>
  <si>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</si>
  <si>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</si>
  <si>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</si>
  <si>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</si>
  <si>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</si>
  <si>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</si>
  <si>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</si>
  <si>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</si>
  <si>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</si>
  <si>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</si>
  <si>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</si>
  <si>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</si>
  <si>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</si>
  <si>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</si>
  <si>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</si>
  <si>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</si>
  <si>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</si>
  <si>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</si>
  <si>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</si>
  <si>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</si>
  <si>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</si>
  <si>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</si>
  <si>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</si>
  <si>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</si>
  <si>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</si>
  <si>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</si>
  <si>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</si>
  <si>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</si>
  <si>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</si>
  <si>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</si>
  <si>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</si>
  <si>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</si>
  <si>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</si>
  <si>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</si>
  <si>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</si>
  <si>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</si>
  <si>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</si>
  <si>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</si>
  <si>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</si>
  <si>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</si>
  <si>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</si>
  <si>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ls_feed</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</si>
  <si>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</si>
  <si>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</si>
  <si>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</si>
  <si>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</si>
  <si>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</si>
  <si>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</si>
  <si>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</si>
  <si>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</si>
  <si>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</si>
  <si>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</si>
  <si>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</si>
  <si>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</si>
  <si>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</si>
  <si>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</si>
  <si>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</si>
  <si>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</si>
  <si>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</si>
  <si>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</si>
  <si>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</si>
  <si>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</si>
  <si>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</si>
  <si>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</si>
  <si>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</si>
  <si>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</si>
  <si>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</si>
  <si>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</si>
  <si>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</si>
  <si>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</si>
  <si>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</si>
  <si>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</si>
  <si>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</si>
  <si>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</si>
  <si>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</si>
  <si>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</si>
  <si>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</si>
  <si>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</si>
  <si>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</si>
  <si>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</si>
  <si>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</si>
  <si>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</si>
  <si>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</si>
  <si>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</si>
  <si>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</si>
  <si>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</si>
  <si>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</si>
  <si>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</si>
  <si>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</si>
  <si>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</si>
  <si>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</si>
  <si>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</si>
  <si>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</si>
  <si>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</si>
  <si>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</si>
  <si>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</si>
  <si>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</si>
  <si>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</si>
  <si>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</si>
  <si>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</si>
  <si>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</si>
  <si>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</si>
  <si>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</si>
  <si>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</si>
  <si>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</si>
  <si>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</si>
  <si>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</si>
  <si>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</si>
  <si>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</si>
  <si>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borrow_reason</t>
  </si>
  <si>
    <t>To buy food</t>
  </si>
  <si>
    <t>To buy non-food items (clothes, small furniture, etc.) </t>
  </si>
  <si>
    <t>To rent an accommodation </t>
  </si>
  <si>
    <t>To pay school, education costs </t>
  </si>
  <si>
    <t>To cover health expenses </t>
  </si>
  <si>
    <t>To pay for durable goods (scooter, TV, etc.) </t>
  </si>
  <si>
    <t>To pay for ceremonial/social events </t>
  </si>
  <si>
    <t>To rent/buy a flat/house </t>
  </si>
  <si>
    <t>To pay ticker/cover travel for migration </t>
  </si>
  <si>
    <t>To buy agricultural land, inputs, or livestock </t>
  </si>
  <si>
    <t>To invest in business </t>
  </si>
  <si>
    <t>To pay other loans </t>
  </si>
  <si>
    <t>Other </t>
  </si>
  <si>
    <t>DON'T KNOW </t>
  </si>
  <si>
    <t>REFUSED </t>
  </si>
  <si>
    <t>foodstock</t>
  </si>
  <si>
    <t>No, we do not have any food stock.</t>
  </si>
  <si>
    <t>Yes - 1 week or less</t>
  </si>
  <si>
    <t>Yes - 2 weeks to 1 month</t>
  </si>
  <si>
    <t>Yes - 2  to 3 months</t>
  </si>
  <si>
    <t>Yes - 4 to 6 months</t>
  </si>
  <si>
    <t>Yes - more than 6 months</t>
  </si>
  <si>
    <t>affordmeal</t>
  </si>
  <si>
    <t xml:space="preserve">No, price of food items is way too high. </t>
  </si>
  <si>
    <t xml:space="preserve">No, lack of sufficient income to buy a quality meal. </t>
  </si>
  <si>
    <t>No, quality foods are not available in the markets.</t>
  </si>
  <si>
    <t>No, no functional markets (or markets are not accessible).</t>
  </si>
  <si>
    <t>harvprospect</t>
  </si>
  <si>
    <t>Poor</t>
  </si>
  <si>
    <t>Fair</t>
  </si>
  <si>
    <t>Excellent</t>
  </si>
  <si>
    <t>nutri_support</t>
  </si>
  <si>
    <t>Yes - Child</t>
  </si>
  <si>
    <t>Yes - Pregnant and/or lactating woman</t>
  </si>
  <si>
    <t>Yes - Other</t>
  </si>
  <si>
    <t>crop</t>
  </si>
  <si>
    <t>1.1</t>
  </si>
  <si>
    <t>Rice</t>
  </si>
  <si>
    <t>1.3</t>
  </si>
  <si>
    <t>Millet</t>
  </si>
  <si>
    <t>1.5</t>
  </si>
  <si>
    <t>Maize</t>
  </si>
  <si>
    <t>2.3</t>
  </si>
  <si>
    <t>Sweet Potatoes</t>
  </si>
  <si>
    <t>3.1</t>
  </si>
  <si>
    <t>Beans</t>
  </si>
  <si>
    <t>4.1</t>
  </si>
  <si>
    <t>Cabbage</t>
  </si>
  <si>
    <t>5.8</t>
  </si>
  <si>
    <t>Onions</t>
  </si>
  <si>
    <t>7.4</t>
  </si>
  <si>
    <t>Mango</t>
  </si>
  <si>
    <t>8.2</t>
  </si>
  <si>
    <t>Groundnut/peanut</t>
  </si>
  <si>
    <t>8.5</t>
  </si>
  <si>
    <t>Sesame</t>
  </si>
  <si>
    <t>1.2</t>
  </si>
  <si>
    <t>Wheat</t>
  </si>
  <si>
    <t>1.4</t>
  </si>
  <si>
    <t>Sorghum</t>
  </si>
  <si>
    <t>1.6</t>
  </si>
  <si>
    <t>Barley</t>
  </si>
  <si>
    <t>1.99</t>
  </si>
  <si>
    <t>Other Cereal</t>
  </si>
  <si>
    <t>2.1</t>
  </si>
  <si>
    <t>Cassava</t>
  </si>
  <si>
    <t>2.2</t>
  </si>
  <si>
    <t>Potatoe</t>
  </si>
  <si>
    <t>2.4</t>
  </si>
  <si>
    <t>Yams</t>
  </si>
  <si>
    <t>2.5</t>
  </si>
  <si>
    <t>Carrots</t>
  </si>
  <si>
    <t>2.6</t>
  </si>
  <si>
    <t>Cocoyam</t>
  </si>
  <si>
    <t>2.99</t>
  </si>
  <si>
    <t>Other tubers</t>
  </si>
  <si>
    <t>3.2</t>
  </si>
  <si>
    <t>Lentils</t>
  </si>
  <si>
    <t>3.3</t>
  </si>
  <si>
    <t>Peas</t>
  </si>
  <si>
    <t>3.4</t>
  </si>
  <si>
    <t>Soybeans</t>
  </si>
  <si>
    <t>3.5</t>
  </si>
  <si>
    <t>Chickpeas</t>
  </si>
  <si>
    <t>3.6</t>
  </si>
  <si>
    <t>Fava beans</t>
  </si>
  <si>
    <t>3.7</t>
  </si>
  <si>
    <t>Broad beans</t>
  </si>
  <si>
    <t>3.99</t>
  </si>
  <si>
    <t>Other pulses</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</si>
  <si>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</si>
  <si>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</si>
  <si>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</si>
  <si>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</si>
  <si>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</si>
  <si>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</si>
  <si>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</si>
  <si>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</si>
  <si>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</si>
  <si>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</si>
  <si>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</si>
  <si>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</si>
  <si>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</si>
  <si>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</si>
  <si>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</si>
  <si>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</si>
  <si>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</si>
  <si>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</si>
  <si>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t>
  </si>
  <si>
    <t>Tomatoes</t>
  </si>
  <si>
    <t>5.101</t>
  </si>
  <si>
    <t>Green peas</t>
  </si>
  <si>
    <t>5.11</t>
  </si>
  <si>
    <t>Fava beans green</t>
  </si>
  <si>
    <t>5.2</t>
  </si>
  <si>
    <t>Cucumber</t>
  </si>
  <si>
    <t>5.3</t>
  </si>
  <si>
    <t>Pumpkin</t>
  </si>
  <si>
    <t>5.4</t>
  </si>
  <si>
    <t>Eggplant/aubergine</t>
  </si>
  <si>
    <t>5.5</t>
  </si>
  <si>
    <t>Zucchini</t>
  </si>
  <si>
    <t>5.6</t>
  </si>
  <si>
    <t>Okra</t>
  </si>
  <si>
    <t>5.7</t>
  </si>
  <si>
    <t>Bell pepper</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</si>
  <si>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</si>
  <si>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</si>
  <si>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</si>
  <si>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</si>
  <si>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</si>
  <si>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</si>
  <si>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</si>
  <si>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</si>
  <si>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</si>
  <si>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</si>
  <si>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</si>
  <si>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</si>
  <si>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</si>
  <si>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</si>
  <si>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</si>
  <si>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</si>
  <si>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</si>
  <si>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</si>
  <si>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</si>
  <si>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</si>
  <si>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</si>
  <si>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</si>
  <si>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</si>
  <si>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</si>
  <si>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</si>
  <si>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</si>
  <si>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</si>
  <si>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</si>
  <si>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</si>
  <si>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</si>
  <si>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</si>
  <si>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</si>
  <si>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</si>
  <si>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</si>
  <si>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</si>
  <si>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</si>
  <si>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</si>
  <si>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</si>
  <si>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7.5</t>
  </si>
  <si>
    <t>Guava</t>
  </si>
  <si>
    <t>7.6</t>
  </si>
  <si>
    <t>Pineapple</t>
  </si>
  <si>
    <t>7.7</t>
  </si>
  <si>
    <t>Avocado</t>
  </si>
  <si>
    <t>7.8</t>
  </si>
  <si>
    <t>Water Melon</t>
  </si>
  <si>
    <t>7.9</t>
  </si>
  <si>
    <t>Dates</t>
  </si>
  <si>
    <t>7.99</t>
  </si>
  <si>
    <t>Other fruit</t>
  </si>
  <si>
    <t>8.1</t>
  </si>
  <si>
    <t>Coconuts</t>
  </si>
  <si>
    <t>8.3</t>
  </si>
  <si>
    <t>Cashew Nut</t>
  </si>
  <si>
    <t>8.4</t>
  </si>
  <si>
    <t>Kola Nut</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</si>
  <si>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</si>
  <si>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</si>
  <si>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</si>
  <si>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</si>
  <si>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</si>
  <si>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</si>
  <si>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</si>
  <si>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</si>
  <si>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</si>
  <si>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</si>
  <si>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</si>
  <si>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</si>
  <si>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</si>
  <si>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</si>
  <si>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</si>
  <si>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</si>
  <si>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</si>
  <si>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</si>
  <si>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</si>
  <si>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</si>
  <si>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</si>
  <si>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</si>
  <si>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</si>
  <si>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</si>
  <si>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</si>
  <si>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</si>
  <si>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</si>
  <si>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</si>
  <si>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</si>
  <si>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</si>
  <si>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</si>
  <si>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</si>
  <si>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</si>
  <si>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</si>
  <si>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</si>
  <si>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</si>
  <si>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</si>
  <si>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Don't know</t>
  </si>
  <si>
    <t>999</t>
  </si>
  <si>
    <t>Refused</t>
  </si>
  <si>
    <t>crop2</t>
  </si>
  <si>
    <t>666</t>
  </si>
  <si>
    <t>No other crop</t>
  </si>
  <si>
    <t>crop3</t>
  </si>
  <si>
    <t>admin1</t>
  </si>
  <si>
    <t>NG001</t>
  </si>
  <si>
    <t>Abia</t>
  </si>
  <si>
    <t>NG002</t>
  </si>
  <si>
    <t>Adamawa</t>
  </si>
  <si>
    <t>NG003</t>
  </si>
  <si>
    <t>Akwa Ibom</t>
  </si>
  <si>
    <t>NG004</t>
  </si>
  <si>
    <t>Anambra</t>
  </si>
  <si>
    <t>NG005</t>
  </si>
  <si>
    <t>Bauchi</t>
  </si>
  <si>
    <t>NG006</t>
  </si>
  <si>
    <t>Bayelsa</t>
  </si>
  <si>
    <t>NG007</t>
  </si>
  <si>
    <t>Benue</t>
  </si>
  <si>
    <t>NG008</t>
  </si>
  <si>
    <t>Borno</t>
  </si>
  <si>
    <t>NG009</t>
  </si>
  <si>
    <t>Cross River</t>
  </si>
  <si>
    <t>NG010</t>
  </si>
  <si>
    <t>Delta</t>
  </si>
  <si>
    <t>NG011</t>
  </si>
  <si>
    <t>Ebonyi</t>
  </si>
  <si>
    <t>NG012</t>
  </si>
  <si>
    <t>Edo</t>
  </si>
  <si>
    <t>NG013</t>
  </si>
  <si>
    <t>Ekiti</t>
  </si>
  <si>
    <t>NG014</t>
  </si>
  <si>
    <t>Enugu</t>
  </si>
  <si>
    <t>NG015</t>
  </si>
  <si>
    <t>Federal Capital Territory</t>
  </si>
  <si>
    <t>NG016</t>
  </si>
  <si>
    <t>Gombe</t>
  </si>
  <si>
    <t>NG017</t>
  </si>
  <si>
    <t>Imo</t>
  </si>
  <si>
    <t>NG018</t>
  </si>
  <si>
    <t>Jigawa</t>
  </si>
  <si>
    <t>NG019</t>
  </si>
  <si>
    <t>Kaduna</t>
  </si>
  <si>
    <t>NG020</t>
  </si>
  <si>
    <t>Kano</t>
  </si>
  <si>
    <t>NG021</t>
  </si>
  <si>
    <t>Katsina</t>
  </si>
  <si>
    <t>NG022</t>
  </si>
  <si>
    <t>Kebbi</t>
  </si>
  <si>
    <t>NG023</t>
  </si>
  <si>
    <t>Kogi</t>
  </si>
  <si>
    <t>NG024</t>
  </si>
  <si>
    <t>Kwara</t>
  </si>
  <si>
    <t>NG025</t>
  </si>
  <si>
    <t>Lagos</t>
  </si>
  <si>
    <t>NG026</t>
  </si>
  <si>
    <t>Nasarawa</t>
  </si>
  <si>
    <t>NG027</t>
  </si>
  <si>
    <t>Niger</t>
  </si>
  <si>
    <t>NG028</t>
  </si>
  <si>
    <t>Ogun</t>
  </si>
  <si>
    <t>NG029</t>
  </si>
  <si>
    <t>Ondo</t>
  </si>
  <si>
    <t>NG030</t>
  </si>
  <si>
    <t>Osun</t>
  </si>
  <si>
    <t>NG031</t>
  </si>
  <si>
    <t>Oyo</t>
  </si>
  <si>
    <t>NG032</t>
  </si>
  <si>
    <t>Plateau</t>
  </si>
  <si>
    <t>NG033</t>
  </si>
  <si>
    <t>Rivers</t>
  </si>
  <si>
    <t>NG034</t>
  </si>
  <si>
    <t>Sokoto</t>
  </si>
  <si>
    <t>NG035</t>
  </si>
  <si>
    <t>Taraba</t>
  </si>
  <si>
    <t>NG036</t>
  </si>
  <si>
    <t>Yobe</t>
  </si>
  <si>
    <t>NG037</t>
  </si>
  <si>
    <t>Zamfara</t>
  </si>
  <si>
    <t>admin2</t>
  </si>
  <si>
    <t>NG001001</t>
  </si>
  <si>
    <t>Aba North</t>
  </si>
  <si>
    <t>NG001002</t>
  </si>
  <si>
    <t>Aba South</t>
  </si>
  <si>
    <t>NG001003</t>
  </si>
  <si>
    <t>Arochukwu</t>
  </si>
  <si>
    <t>NG001004</t>
  </si>
  <si>
    <t>Bende</t>
  </si>
  <si>
    <t>NG001005</t>
  </si>
  <si>
    <t>Ikwuano</t>
  </si>
  <si>
    <t>NG001006</t>
  </si>
  <si>
    <t>Isiala-Ngwa North</t>
  </si>
  <si>
    <t>NG001007</t>
  </si>
  <si>
    <t>Isiala-Ngwa South</t>
  </si>
  <si>
    <t>NG001008</t>
  </si>
  <si>
    <t>Isiukwuato</t>
  </si>
  <si>
    <t>NG001009</t>
  </si>
  <si>
    <t>Obi Ngwa</t>
  </si>
  <si>
    <t>NG001010</t>
  </si>
  <si>
    <t>Ohafia</t>
  </si>
  <si>
    <t>NG001011</t>
  </si>
  <si>
    <t>Osisioma Ngwa</t>
  </si>
  <si>
    <t>NG001012</t>
  </si>
  <si>
    <t>Ugwunagbo</t>
  </si>
  <si>
    <t>NG001013</t>
  </si>
  <si>
    <t>Ukwa East</t>
  </si>
  <si>
    <t>NG001014</t>
  </si>
  <si>
    <t>Ukwa West</t>
  </si>
  <si>
    <t>NG001015</t>
  </si>
  <si>
    <t>Umuahia North</t>
  </si>
  <si>
    <t>NG001016</t>
  </si>
  <si>
    <t>Umuahia South</t>
  </si>
  <si>
    <t>NG001017</t>
  </si>
  <si>
    <t>Umu-Nneochi</t>
  </si>
  <si>
    <t>NG002001</t>
  </si>
  <si>
    <t>Demsa</t>
  </si>
  <si>
    <t>NG002002</t>
  </si>
  <si>
    <t>Fufore</t>
  </si>
  <si>
    <t>NG002003</t>
  </si>
  <si>
    <t>Ganye</t>
  </si>
  <si>
    <t>NG002004</t>
  </si>
  <si>
    <t>Gombi</t>
  </si>
  <si>
    <t>NG002005</t>
  </si>
  <si>
    <t>Girei</t>
  </si>
  <si>
    <t>NG002006</t>
  </si>
  <si>
    <t>Guyuk</t>
  </si>
  <si>
    <t>NG002007</t>
  </si>
  <si>
    <t>Hong</t>
  </si>
  <si>
    <t>NG002008</t>
  </si>
  <si>
    <t>Jada</t>
  </si>
  <si>
    <t>NG002009</t>
  </si>
  <si>
    <t>Lamurde</t>
  </si>
  <si>
    <t>NG002010</t>
  </si>
  <si>
    <t>Madagali</t>
  </si>
  <si>
    <t>NG002011</t>
  </si>
  <si>
    <t>Maiha</t>
  </si>
  <si>
    <t>NG002012</t>
  </si>
  <si>
    <t>Mayo-Belwa</t>
  </si>
  <si>
    <t>NG002013</t>
  </si>
  <si>
    <t>Michika</t>
  </si>
  <si>
    <t>NG002014</t>
  </si>
  <si>
    <t>Mubi North</t>
  </si>
  <si>
    <t>NG002015</t>
  </si>
  <si>
    <t>Mubi South</t>
  </si>
  <si>
    <t>NG002016</t>
  </si>
  <si>
    <t>Numan</t>
  </si>
  <si>
    <t>NG002017</t>
  </si>
  <si>
    <t>Shelleng</t>
  </si>
  <si>
    <t>NG002018</t>
  </si>
  <si>
    <t>Song</t>
  </si>
  <si>
    <t>NG002019</t>
  </si>
  <si>
    <t>Toungo</t>
  </si>
  <si>
    <t>NG002020</t>
  </si>
  <si>
    <t>Yola North</t>
  </si>
  <si>
    <t>NG002021</t>
  </si>
  <si>
    <t>Yola South</t>
  </si>
  <si>
    <t>NG003001</t>
  </si>
  <si>
    <t>Abak</t>
  </si>
  <si>
    <t>NG003002</t>
  </si>
  <si>
    <t>Eastern Obolo</t>
  </si>
  <si>
    <t>NG003003</t>
  </si>
  <si>
    <t>Eket</t>
  </si>
  <si>
    <t>NG003004</t>
  </si>
  <si>
    <t>Esit - Eket</t>
  </si>
  <si>
    <t>NG003005</t>
  </si>
  <si>
    <t>Essien Udim</t>
  </si>
  <si>
    <t>NG003006</t>
  </si>
  <si>
    <t>Etim Ekpo</t>
  </si>
  <si>
    <t>NG003007</t>
  </si>
  <si>
    <t>Etinan</t>
  </si>
  <si>
    <t>NG003008</t>
  </si>
  <si>
    <t>Ibeno</t>
  </si>
  <si>
    <t>NG003009</t>
  </si>
  <si>
    <t>Ibesikpo Asutan</t>
  </si>
  <si>
    <t>NG003010</t>
  </si>
  <si>
    <t>Ibiono Ibom</t>
  </si>
  <si>
    <t>NG003011</t>
  </si>
  <si>
    <t>Ika</t>
  </si>
  <si>
    <t>NG003012</t>
  </si>
  <si>
    <t>Ikono</t>
  </si>
  <si>
    <t>NG003013</t>
  </si>
  <si>
    <t>Ikot Abasi</t>
  </si>
  <si>
    <t>NG003014</t>
  </si>
  <si>
    <t>Ikot Ekpene</t>
  </si>
  <si>
    <t>NG003015</t>
  </si>
  <si>
    <t>Ini</t>
  </si>
  <si>
    <t>NG003016</t>
  </si>
  <si>
    <t>Itu</t>
  </si>
  <si>
    <t>NG003017</t>
  </si>
  <si>
    <t>Mbo</t>
  </si>
  <si>
    <t>NG003018</t>
  </si>
  <si>
    <t>Mkpat Enin</t>
  </si>
  <si>
    <t>NG003019</t>
  </si>
  <si>
    <t>Nsit Atai</t>
  </si>
  <si>
    <t>NG003020</t>
  </si>
  <si>
    <t>Nsit Ibom</t>
  </si>
  <si>
    <t>NG003021</t>
  </si>
  <si>
    <t>Nsit Ubium</t>
  </si>
  <si>
    <t>NG003022</t>
  </si>
  <si>
    <t>Obot Akara</t>
  </si>
  <si>
    <t>NG003023</t>
  </si>
  <si>
    <t>Okobo</t>
  </si>
  <si>
    <t>NG003024</t>
  </si>
  <si>
    <t>Onna</t>
  </si>
  <si>
    <t>NG003025</t>
  </si>
  <si>
    <t>Oron</t>
  </si>
  <si>
    <t>NG003026</t>
  </si>
  <si>
    <t>Oruk Anam</t>
  </si>
  <si>
    <t>NG003027</t>
  </si>
  <si>
    <t>Udung Uko</t>
  </si>
  <si>
    <t>NG003028</t>
  </si>
  <si>
    <t>Ukanafun</t>
  </si>
  <si>
    <t>NG003029</t>
  </si>
  <si>
    <t>Uruan</t>
  </si>
  <si>
    <t>NG003030</t>
  </si>
  <si>
    <t>Urue-Offong/Oruko</t>
  </si>
  <si>
    <t>NG003031</t>
  </si>
  <si>
    <t>Uyo</t>
  </si>
  <si>
    <t>NG004001</t>
  </si>
  <si>
    <t>Aguata</t>
  </si>
  <si>
    <t>NG004002</t>
  </si>
  <si>
    <t>Anambra East</t>
  </si>
  <si>
    <t>NG004003</t>
  </si>
  <si>
    <t>Anambra West</t>
  </si>
  <si>
    <t>NG004004</t>
  </si>
  <si>
    <t>Anaocha</t>
  </si>
  <si>
    <t>NG004005</t>
  </si>
  <si>
    <t>Awka North</t>
  </si>
  <si>
    <t>NG004006</t>
  </si>
  <si>
    <t>Awka South</t>
  </si>
  <si>
    <t>NG004007</t>
  </si>
  <si>
    <t>Ayamelum</t>
  </si>
  <si>
    <t>NG004008</t>
  </si>
  <si>
    <t>Dunukofia</t>
  </si>
  <si>
    <t>NG004009</t>
  </si>
  <si>
    <t>Ekwusigo</t>
  </si>
  <si>
    <t>NG004010</t>
  </si>
  <si>
    <t>Idemili North</t>
  </si>
  <si>
    <t>NG004011</t>
  </si>
  <si>
    <t>Idemili South</t>
  </si>
  <si>
    <t>NG004012</t>
  </si>
  <si>
    <t>Ihiala</t>
  </si>
  <si>
    <t>NG004013</t>
  </si>
  <si>
    <t>Njikoka</t>
  </si>
  <si>
    <t>NG004014</t>
  </si>
  <si>
    <t>Nnewi North</t>
  </si>
  <si>
    <t>NG004015</t>
  </si>
  <si>
    <t>Nnewi South</t>
  </si>
  <si>
    <t>NG004016</t>
  </si>
  <si>
    <t>Ogbaru</t>
  </si>
  <si>
    <t>NG004017</t>
  </si>
  <si>
    <t>Onitsha North</t>
  </si>
  <si>
    <t>NG004018</t>
  </si>
  <si>
    <t>Onitsha South</t>
  </si>
  <si>
    <t>NG004019</t>
  </si>
  <si>
    <t>Orumba North</t>
  </si>
  <si>
    <t>NG004020</t>
  </si>
  <si>
    <t>Orumba South</t>
  </si>
  <si>
    <t>NG004021</t>
  </si>
  <si>
    <t>Oyi</t>
  </si>
  <si>
    <t>NG005001</t>
  </si>
  <si>
    <t>Alkaleri</t>
  </si>
  <si>
    <t>NG005002</t>
  </si>
  <si>
    <t>NG005003</t>
  </si>
  <si>
    <t>Bogoro</t>
  </si>
  <si>
    <t>NG005004</t>
  </si>
  <si>
    <t>Damban</t>
  </si>
  <si>
    <t>NG005005</t>
  </si>
  <si>
    <t>Darazo</t>
  </si>
  <si>
    <t>NG005006</t>
  </si>
  <si>
    <t>Dass</t>
  </si>
  <si>
    <t>NG005007</t>
  </si>
  <si>
    <t>Gamawa</t>
  </si>
  <si>
    <t>NG005008</t>
  </si>
  <si>
    <t>Ganjuwa</t>
  </si>
  <si>
    <t>NG005009</t>
  </si>
  <si>
    <t>Giade</t>
  </si>
  <si>
    <t>NG005010</t>
  </si>
  <si>
    <t>Itas/Gadau</t>
  </si>
  <si>
    <t>NG005011</t>
  </si>
  <si>
    <t>Jama'are</t>
  </si>
  <si>
    <t>NG005012</t>
  </si>
  <si>
    <t>Katagum</t>
  </si>
  <si>
    <t>NG005013</t>
  </si>
  <si>
    <t>Kirfi</t>
  </si>
  <si>
    <t>NG005014</t>
  </si>
  <si>
    <t>Misau</t>
  </si>
  <si>
    <t>NG005015</t>
  </si>
  <si>
    <t>Ningi</t>
  </si>
  <si>
    <t>NG005016</t>
  </si>
  <si>
    <t>Shira</t>
  </si>
  <si>
    <t>NG005017</t>
  </si>
  <si>
    <t>Tafawa-Balewa</t>
  </si>
  <si>
    <t>NG005018</t>
  </si>
  <si>
    <t>Toro</t>
  </si>
  <si>
    <t>NG005019</t>
  </si>
  <si>
    <t>Warji</t>
  </si>
  <si>
    <t>NG005020</t>
  </si>
  <si>
    <t>Zaki</t>
  </si>
  <si>
    <t>NG006001</t>
  </si>
  <si>
    <t>Brass</t>
  </si>
  <si>
    <t>NG006002</t>
  </si>
  <si>
    <t>Ekeremor</t>
  </si>
  <si>
    <t>NG006003</t>
  </si>
  <si>
    <t>Kolokuma/Opokuma</t>
  </si>
  <si>
    <t>NG006004</t>
  </si>
  <si>
    <t>Nembe</t>
  </si>
  <si>
    <t>NG006005</t>
  </si>
  <si>
    <t>Ogbia</t>
  </si>
  <si>
    <t>NG006006</t>
  </si>
  <si>
    <t>Sagbama</t>
  </si>
  <si>
    <t>NG006007</t>
  </si>
  <si>
    <t>Southern Ijaw</t>
  </si>
  <si>
    <t>NG006008</t>
  </si>
  <si>
    <t>Yenegoa</t>
  </si>
  <si>
    <t>NG007001</t>
  </si>
  <si>
    <t>Ado</t>
  </si>
  <si>
    <t>NG007002</t>
  </si>
  <si>
    <t>Agatu</t>
  </si>
  <si>
    <t>NG007003</t>
  </si>
  <si>
    <t>Apa</t>
  </si>
  <si>
    <t>NG007004</t>
  </si>
  <si>
    <t>Buruku</t>
  </si>
  <si>
    <t>NG007005</t>
  </si>
  <si>
    <t>Gboko</t>
  </si>
  <si>
    <t>NG007006</t>
  </si>
  <si>
    <t>Guma</t>
  </si>
  <si>
    <t>NG007007</t>
  </si>
  <si>
    <t>Gwer East</t>
  </si>
  <si>
    <t>NG007008</t>
  </si>
  <si>
    <t>Gwer West</t>
  </si>
  <si>
    <t>NG007009</t>
  </si>
  <si>
    <t>Katsina-Ala</t>
  </si>
  <si>
    <t>NG007010</t>
  </si>
  <si>
    <t>Konshisha</t>
  </si>
  <si>
    <t>NG007011</t>
  </si>
  <si>
    <t>Kwande</t>
  </si>
  <si>
    <t>NG007012</t>
  </si>
  <si>
    <t>Logo</t>
  </si>
  <si>
    <t>NG007013</t>
  </si>
  <si>
    <t>Makurdi</t>
  </si>
  <si>
    <t>NG007014</t>
  </si>
  <si>
    <t>Obi</t>
  </si>
  <si>
    <t>NG007015</t>
  </si>
  <si>
    <t>Ogbadibo</t>
  </si>
  <si>
    <t>NG007016</t>
  </si>
  <si>
    <t>Ohimini</t>
  </si>
  <si>
    <t>NG007017</t>
  </si>
  <si>
    <t>Oju</t>
  </si>
  <si>
    <t>NG007018</t>
  </si>
  <si>
    <t>Okpokwu</t>
  </si>
  <si>
    <t>NG007019</t>
  </si>
  <si>
    <t>Oturkpo</t>
  </si>
  <si>
    <t>NG007020</t>
  </si>
  <si>
    <t>Tarka</t>
  </si>
  <si>
    <t>NG007021</t>
  </si>
  <si>
    <t>Ukum</t>
  </si>
  <si>
    <t>NG007022</t>
  </si>
  <si>
    <t>Ushongo</t>
  </si>
  <si>
    <t>NG007023</t>
  </si>
  <si>
    <t>Vandeikya</t>
  </si>
  <si>
    <t>NG008001</t>
  </si>
  <si>
    <t>Abadam</t>
  </si>
  <si>
    <t>NG008002</t>
  </si>
  <si>
    <t>Askira/Uba</t>
  </si>
  <si>
    <t>NG008003</t>
  </si>
  <si>
    <t>Bama</t>
  </si>
  <si>
    <t>NG008004</t>
  </si>
  <si>
    <t>Bayo</t>
  </si>
  <si>
    <t>NG008005</t>
  </si>
  <si>
    <t>Biu</t>
  </si>
  <si>
    <t>NG008006</t>
  </si>
  <si>
    <t>Chibok</t>
  </si>
  <si>
    <t>NG008007</t>
  </si>
  <si>
    <t>Damboa</t>
  </si>
  <si>
    <t>NG008008</t>
  </si>
  <si>
    <t>Dikwa</t>
  </si>
  <si>
    <t>NG008009</t>
  </si>
  <si>
    <t>Gubio</t>
  </si>
  <si>
    <t>NG008010</t>
  </si>
  <si>
    <t>Guzamala</t>
  </si>
  <si>
    <t>NG008011</t>
  </si>
  <si>
    <t>Gwoza</t>
  </si>
  <si>
    <t>NG008012</t>
  </si>
  <si>
    <t>Hawul</t>
  </si>
  <si>
    <t>NG008013</t>
  </si>
  <si>
    <t>Jere</t>
  </si>
  <si>
    <t>NG008014</t>
  </si>
  <si>
    <t>Kaga</t>
  </si>
  <si>
    <t>NG008015</t>
  </si>
  <si>
    <t>Kala/Balge</t>
  </si>
  <si>
    <t>NG008016</t>
  </si>
  <si>
    <t>Konduga</t>
  </si>
  <si>
    <t>NG008017</t>
  </si>
  <si>
    <t>Kukawa</t>
  </si>
  <si>
    <t>NG008018</t>
  </si>
  <si>
    <t>Kwaya Kusar</t>
  </si>
  <si>
    <t>NG008019</t>
  </si>
  <si>
    <t>Mafa</t>
  </si>
  <si>
    <t>NG008020</t>
  </si>
  <si>
    <t>Magumeri</t>
  </si>
  <si>
    <t>NG008021</t>
  </si>
  <si>
    <t>Maiduguri</t>
  </si>
  <si>
    <t>NG008022</t>
  </si>
  <si>
    <t>Marte</t>
  </si>
  <si>
    <t>NG008023</t>
  </si>
  <si>
    <t>Mobbar</t>
  </si>
  <si>
    <t>NG008024</t>
  </si>
  <si>
    <t>Monguno</t>
  </si>
  <si>
    <t>NG008025</t>
  </si>
  <si>
    <t>Ngala</t>
  </si>
  <si>
    <t>NG008026</t>
  </si>
  <si>
    <t>Nganzai</t>
  </si>
  <si>
    <t>NG008027</t>
  </si>
  <si>
    <t>Shani</t>
  </si>
  <si>
    <t>NG009001</t>
  </si>
  <si>
    <t>Abi</t>
  </si>
  <si>
    <t>NG009002</t>
  </si>
  <si>
    <t>Akamkpa</t>
  </si>
  <si>
    <t>NG009003</t>
  </si>
  <si>
    <t>Akpabuyo</t>
  </si>
  <si>
    <t>NG009005</t>
  </si>
  <si>
    <t>Bakassi</t>
  </si>
  <si>
    <t>NG009006</t>
  </si>
  <si>
    <t>Bekwara</t>
  </si>
  <si>
    <t>NG009007</t>
  </si>
  <si>
    <t>Biase</t>
  </si>
  <si>
    <t>NG009008</t>
  </si>
  <si>
    <t>Boki</t>
  </si>
  <si>
    <t>NG009009</t>
  </si>
  <si>
    <t>Calabar South</t>
  </si>
  <si>
    <t>NG009010</t>
  </si>
  <si>
    <t>Calabar-Municipal</t>
  </si>
  <si>
    <t>NG009011</t>
  </si>
  <si>
    <t>Etung</t>
  </si>
  <si>
    <t>NG009012</t>
  </si>
  <si>
    <t>Ikom</t>
  </si>
  <si>
    <t>NG009013</t>
  </si>
  <si>
    <t>Obanliku</t>
  </si>
  <si>
    <t>NG009014</t>
  </si>
  <si>
    <t>Obubra</t>
  </si>
  <si>
    <t>NG009015</t>
  </si>
  <si>
    <t>Obudu</t>
  </si>
  <si>
    <t>NG009016</t>
  </si>
  <si>
    <t>Odukpani</t>
  </si>
  <si>
    <t>NG009017</t>
  </si>
  <si>
    <t>Ogoja</t>
  </si>
  <si>
    <t>NG009018</t>
  </si>
  <si>
    <t>Yakurr</t>
  </si>
  <si>
    <t>NG009019</t>
  </si>
  <si>
    <t>Yala</t>
  </si>
  <si>
    <t>NG010001</t>
  </si>
  <si>
    <t>Aniocha North</t>
  </si>
  <si>
    <t>NG010002</t>
  </si>
  <si>
    <t>Aniocha South</t>
  </si>
  <si>
    <t>NG010003</t>
  </si>
  <si>
    <t>Bomadi</t>
  </si>
  <si>
    <t>NG010004</t>
  </si>
  <si>
    <t>Burutu</t>
  </si>
  <si>
    <t>NG010005</t>
  </si>
  <si>
    <t>Ethiope East</t>
  </si>
  <si>
    <t>NG010006</t>
  </si>
  <si>
    <t>Ethiope West</t>
  </si>
  <si>
    <t>NG010007</t>
  </si>
  <si>
    <t>Ika North East</t>
  </si>
  <si>
    <t>NG010008</t>
  </si>
  <si>
    <t>Ika South</t>
  </si>
  <si>
    <t>NG010009</t>
  </si>
  <si>
    <t>Isoko North</t>
  </si>
  <si>
    <t>NG010010</t>
  </si>
  <si>
    <t>Isoko South</t>
  </si>
  <si>
    <t>NG010011</t>
  </si>
  <si>
    <t>Ndokwa East</t>
  </si>
  <si>
    <t>NG010012</t>
  </si>
  <si>
    <t>Ndokwa West</t>
  </si>
  <si>
    <t>NG010013</t>
  </si>
  <si>
    <t>Okpe</t>
  </si>
  <si>
    <t>NG010014</t>
  </si>
  <si>
    <t>Oshimili North</t>
  </si>
  <si>
    <t>NG010015</t>
  </si>
  <si>
    <t>Oshimili South</t>
  </si>
  <si>
    <t>NG010016</t>
  </si>
  <si>
    <t>Patani</t>
  </si>
  <si>
    <t>NG010017</t>
  </si>
  <si>
    <t>Sapele</t>
  </si>
  <si>
    <t>NG010018</t>
  </si>
  <si>
    <t>Udu</t>
  </si>
  <si>
    <t>NG010019</t>
  </si>
  <si>
    <t>Ughelli North</t>
  </si>
  <si>
    <t>NG010020</t>
  </si>
  <si>
    <t>Ughelli South</t>
  </si>
  <si>
    <t>NG010021</t>
  </si>
  <si>
    <t>Ukwuani</t>
  </si>
  <si>
    <t>NG010022</t>
  </si>
  <si>
    <t>Uvwie</t>
  </si>
  <si>
    <t>NG010023</t>
  </si>
  <si>
    <t>Warri North</t>
  </si>
  <si>
    <t>NG010024</t>
  </si>
  <si>
    <t>Warri South</t>
  </si>
  <si>
    <t>NG010025</t>
  </si>
  <si>
    <t>Warri South West</t>
  </si>
  <si>
    <t>NG011001</t>
  </si>
  <si>
    <t>Abakaliki</t>
  </si>
  <si>
    <t>NG011002</t>
  </si>
  <si>
    <t>Afikpo North</t>
  </si>
  <si>
    <t>NG011003</t>
  </si>
  <si>
    <t>Afikpo South</t>
  </si>
  <si>
    <t>NG011004</t>
  </si>
  <si>
    <t>NG011005</t>
  </si>
  <si>
    <t>Ezza North</t>
  </si>
  <si>
    <t>NG011006</t>
  </si>
  <si>
    <t>Ezza South</t>
  </si>
  <si>
    <t>NG011007</t>
  </si>
  <si>
    <t>Ikwo</t>
  </si>
  <si>
    <t>NG011008</t>
  </si>
  <si>
    <t>Ishielu</t>
  </si>
  <si>
    <t>NG011009</t>
  </si>
  <si>
    <t>Ivo</t>
  </si>
  <si>
    <t>NG011010</t>
  </si>
  <si>
    <t>Izzi</t>
  </si>
  <si>
    <t>NG011011</t>
  </si>
  <si>
    <t>Ohaozara</t>
  </si>
  <si>
    <t>NG011012</t>
  </si>
  <si>
    <t>Ohaukwu</t>
  </si>
  <si>
    <t>NG011013</t>
  </si>
  <si>
    <t>Onicha</t>
  </si>
  <si>
    <t>NG012001</t>
  </si>
  <si>
    <t>Akoko-Edo</t>
  </si>
  <si>
    <t>NG012002</t>
  </si>
  <si>
    <t>Egor</t>
  </si>
  <si>
    <t>NG012003</t>
  </si>
  <si>
    <t>Esan Central</t>
  </si>
  <si>
    <t>NG012004</t>
  </si>
  <si>
    <t>Esan North East</t>
  </si>
  <si>
    <t>NG012005</t>
  </si>
  <si>
    <t>Esan South East</t>
  </si>
  <si>
    <t>NG012006</t>
  </si>
  <si>
    <t>Esan West</t>
  </si>
  <si>
    <t>NG012007</t>
  </si>
  <si>
    <t>Etsako Central</t>
  </si>
  <si>
    <t>NG012008</t>
  </si>
  <si>
    <t>Etsako East</t>
  </si>
  <si>
    <t>NG012009</t>
  </si>
  <si>
    <t>Etsako West</t>
  </si>
  <si>
    <t>NG012010</t>
  </si>
  <si>
    <t>Igueben</t>
  </si>
  <si>
    <t>NG012011</t>
  </si>
  <si>
    <t>Ikpoba-Okha</t>
  </si>
  <si>
    <t>NG012012</t>
  </si>
  <si>
    <t>Oredo</t>
  </si>
  <si>
    <t>NG012013</t>
  </si>
  <si>
    <t>Orhionmwon</t>
  </si>
  <si>
    <t>NG012014</t>
  </si>
  <si>
    <t>Ovia North East</t>
  </si>
  <si>
    <t>NG012015</t>
  </si>
  <si>
    <t>Ovia South West</t>
  </si>
  <si>
    <t>NG012016</t>
  </si>
  <si>
    <t>Owan East</t>
  </si>
  <si>
    <t>NG012017</t>
  </si>
  <si>
    <t>Owan West</t>
  </si>
  <si>
    <t>NG012018</t>
  </si>
  <si>
    <t>Uhunmwonde</t>
  </si>
  <si>
    <t>NG013001</t>
  </si>
  <si>
    <t>Ado Ekiti</t>
  </si>
  <si>
    <t>NG013002</t>
  </si>
  <si>
    <t>Aiyekire (Gbonyin)</t>
  </si>
  <si>
    <t>NG013003</t>
  </si>
  <si>
    <t>Efon</t>
  </si>
  <si>
    <t>NG013004</t>
  </si>
  <si>
    <t>Ekiti East</t>
  </si>
  <si>
    <t>NG013005</t>
  </si>
  <si>
    <t>Ekiti South West</t>
  </si>
  <si>
    <t>NG013006</t>
  </si>
  <si>
    <t>Ekiti West</t>
  </si>
  <si>
    <t>NG013007</t>
  </si>
  <si>
    <t>Emure</t>
  </si>
  <si>
    <t>NG013008</t>
  </si>
  <si>
    <t>Ido-Osi</t>
  </si>
  <si>
    <t>NG013009</t>
  </si>
  <si>
    <t>Ijero</t>
  </si>
  <si>
    <t>NG013010</t>
  </si>
  <si>
    <t>Ikere</t>
  </si>
  <si>
    <t>NG013011</t>
  </si>
  <si>
    <t>Ikole</t>
  </si>
  <si>
    <t>NG013012</t>
  </si>
  <si>
    <t>Ilejemeji</t>
  </si>
  <si>
    <t>NG013013</t>
  </si>
  <si>
    <t>Irepodun/Ifelodun</t>
  </si>
  <si>
    <t>NG013014</t>
  </si>
  <si>
    <t>Ise/Orun</t>
  </si>
  <si>
    <t>NG013015</t>
  </si>
  <si>
    <t>Moba</t>
  </si>
  <si>
    <t>NG013016</t>
  </si>
  <si>
    <t>Oye</t>
  </si>
  <si>
    <t>NG014001</t>
  </si>
  <si>
    <t>Aninri</t>
  </si>
  <si>
    <t>NG014002</t>
  </si>
  <si>
    <t>Awgu</t>
  </si>
  <si>
    <t>NG014003</t>
  </si>
  <si>
    <t>Enugu East</t>
  </si>
  <si>
    <t>NG014004</t>
  </si>
  <si>
    <t>Enugu North</t>
  </si>
  <si>
    <t>NG014005</t>
  </si>
  <si>
    <t>Enugu South</t>
  </si>
  <si>
    <t>NG014006</t>
  </si>
  <si>
    <t>Ezeagu</t>
  </si>
  <si>
    <t>NG014007</t>
  </si>
  <si>
    <t>Igbo-Etiti</t>
  </si>
  <si>
    <t>NG014008</t>
  </si>
  <si>
    <t>Igbo-Eze North</t>
  </si>
  <si>
    <t>NG014009</t>
  </si>
  <si>
    <t>Igbo-Eze South</t>
  </si>
  <si>
    <t>NG014010</t>
  </si>
  <si>
    <t>Isi-Uzo</t>
  </si>
  <si>
    <t>NG014011</t>
  </si>
  <si>
    <t>Nkanu East</t>
  </si>
  <si>
    <t>NG014012</t>
  </si>
  <si>
    <t>Nkanu West</t>
  </si>
  <si>
    <t>NG014013</t>
  </si>
  <si>
    <t>Nsukka</t>
  </si>
  <si>
    <t>NG014014</t>
  </si>
  <si>
    <t>Oji-River</t>
  </si>
  <si>
    <t>NG014015</t>
  </si>
  <si>
    <t>Udenu</t>
  </si>
  <si>
    <t>NG014016</t>
  </si>
  <si>
    <t>Udi</t>
  </si>
  <si>
    <t>NG014017</t>
  </si>
  <si>
    <t>Uzo-Uwani</t>
  </si>
  <si>
    <t>NG015001</t>
  </si>
  <si>
    <t>Abaji</t>
  </si>
  <si>
    <t>NG015002</t>
  </si>
  <si>
    <t>Abuja Municipal</t>
  </si>
  <si>
    <t>NG015003</t>
  </si>
  <si>
    <t>Bwari</t>
  </si>
  <si>
    <t>NG015004</t>
  </si>
  <si>
    <t>Gwagwalada</t>
  </si>
  <si>
    <t>NG015005</t>
  </si>
  <si>
    <t>Kuje</t>
  </si>
  <si>
    <t>NG015006</t>
  </si>
  <si>
    <t>Kwali</t>
  </si>
  <si>
    <t>NG016001</t>
  </si>
  <si>
    <t>Akko</t>
  </si>
  <si>
    <t>NG016002</t>
  </si>
  <si>
    <t>Balanga</t>
  </si>
  <si>
    <t>NG016003</t>
  </si>
  <si>
    <t>Billiri</t>
  </si>
  <si>
    <t>NG016004</t>
  </si>
  <si>
    <t>Dukku</t>
  </si>
  <si>
    <t>NG016005</t>
  </si>
  <si>
    <t>Funakaye</t>
  </si>
  <si>
    <t>NG016006</t>
  </si>
  <si>
    <t>NG016007</t>
  </si>
  <si>
    <t>Kaltungo</t>
  </si>
  <si>
    <t>NG016008</t>
  </si>
  <si>
    <t>Kwami</t>
  </si>
  <si>
    <t>NG016009</t>
  </si>
  <si>
    <t>Nafada</t>
  </si>
  <si>
    <t>NG016010</t>
  </si>
  <si>
    <t>Shomgom</t>
  </si>
  <si>
    <t>NG016011</t>
  </si>
  <si>
    <t>Yamaltu/Deba</t>
  </si>
  <si>
    <t>NG017001</t>
  </si>
  <si>
    <t>Aboh-Mbaise</t>
  </si>
  <si>
    <t>NG017002</t>
  </si>
  <si>
    <t>Ahiazu-Mbaise</t>
  </si>
  <si>
    <t>NG017003</t>
  </si>
  <si>
    <t>Ehime-Mbano</t>
  </si>
  <si>
    <t>NG017004</t>
  </si>
  <si>
    <t>Ezinihitte</t>
  </si>
  <si>
    <t>NG017005</t>
  </si>
  <si>
    <t>Ideato North</t>
  </si>
  <si>
    <t>NG017006</t>
  </si>
  <si>
    <t>Ideato South</t>
  </si>
  <si>
    <t>NG017007</t>
  </si>
  <si>
    <t>Ihitte/Uboma</t>
  </si>
  <si>
    <t>NG017008</t>
  </si>
  <si>
    <t>Ikeduru</t>
  </si>
  <si>
    <t>NG017009</t>
  </si>
  <si>
    <t>Isiala Mbano</t>
  </si>
  <si>
    <t>NG017010</t>
  </si>
  <si>
    <t>Isu</t>
  </si>
  <si>
    <t>NG017011</t>
  </si>
  <si>
    <t>Mbaitoli</t>
  </si>
  <si>
    <t>NG017012</t>
  </si>
  <si>
    <t>Ngor-Okpala</t>
  </si>
  <si>
    <t>NG017013</t>
  </si>
  <si>
    <t>Njaba</t>
  </si>
  <si>
    <t>NG017014</t>
  </si>
  <si>
    <t>Nkwerre</t>
  </si>
  <si>
    <t>NG017015</t>
  </si>
  <si>
    <t>Nwangele</t>
  </si>
  <si>
    <t>NG017016</t>
  </si>
  <si>
    <t>Obowo</t>
  </si>
  <si>
    <t>NG017017</t>
  </si>
  <si>
    <t>Oguta</t>
  </si>
  <si>
    <t>NG017018</t>
  </si>
  <si>
    <t>Ohaji/Egbema</t>
  </si>
  <si>
    <t>NG017019</t>
  </si>
  <si>
    <t>Okigwe</t>
  </si>
  <si>
    <t>NG017020</t>
  </si>
  <si>
    <t>Orlu</t>
  </si>
  <si>
    <t>NG017021</t>
  </si>
  <si>
    <t>Orsu</t>
  </si>
  <si>
    <t>NG017022</t>
  </si>
  <si>
    <t>Oru East</t>
  </si>
  <si>
    <t>NG017023</t>
  </si>
  <si>
    <t>Oru West</t>
  </si>
  <si>
    <t>NG017024</t>
  </si>
  <si>
    <t>Owerri North</t>
  </si>
  <si>
    <t>NG017025</t>
  </si>
  <si>
    <t>Owerri West</t>
  </si>
  <si>
    <t>NG017026</t>
  </si>
  <si>
    <t>Owerri-Municipal</t>
  </si>
  <si>
    <t>NG017027</t>
  </si>
  <si>
    <t>Unuimo</t>
  </si>
  <si>
    <t>NG018001</t>
  </si>
  <si>
    <t>Auyo</t>
  </si>
  <si>
    <t>NG018002</t>
  </si>
  <si>
    <t>Babura</t>
  </si>
  <si>
    <t>NG018003</t>
  </si>
  <si>
    <t>Biriniwa</t>
  </si>
  <si>
    <t>NG018004</t>
  </si>
  <si>
    <t>Birni Kudu</t>
  </si>
  <si>
    <t>NG018005</t>
  </si>
  <si>
    <t>Buji</t>
  </si>
  <si>
    <t>NG018006</t>
  </si>
  <si>
    <t>Dutse</t>
  </si>
  <si>
    <t>NG018007</t>
  </si>
  <si>
    <t>Gagarawa</t>
  </si>
  <si>
    <t>NG018008</t>
  </si>
  <si>
    <t>Garki</t>
  </si>
  <si>
    <t>NG018009</t>
  </si>
  <si>
    <t>Gumel</t>
  </si>
  <si>
    <t>NG018010</t>
  </si>
  <si>
    <t>Guri</t>
  </si>
  <si>
    <t>NG018011</t>
  </si>
  <si>
    <t>Gwaram</t>
  </si>
  <si>
    <t>NG018012</t>
  </si>
  <si>
    <t>Gwiwa</t>
  </si>
  <si>
    <t>NG018013</t>
  </si>
  <si>
    <t>Hadejia</t>
  </si>
  <si>
    <t>NG018014</t>
  </si>
  <si>
    <t>Jahun</t>
  </si>
  <si>
    <t>NG018015</t>
  </si>
  <si>
    <t>Kafin Hausa</t>
  </si>
  <si>
    <t>NG018016</t>
  </si>
  <si>
    <t>Kaugama</t>
  </si>
  <si>
    <t>NG018017</t>
  </si>
  <si>
    <t>Kazaure</t>
  </si>
  <si>
    <t>NG018018</t>
  </si>
  <si>
    <t>Kiri Kasamma</t>
  </si>
  <si>
    <t>NG018019</t>
  </si>
  <si>
    <t>Kiyawa</t>
  </si>
  <si>
    <t>NG018020</t>
  </si>
  <si>
    <t>Maigatari</t>
  </si>
  <si>
    <t>NG018021</t>
  </si>
  <si>
    <t>Malam Madori</t>
  </si>
  <si>
    <t>NG018022</t>
  </si>
  <si>
    <t>Miga</t>
  </si>
  <si>
    <t>NG018023</t>
  </si>
  <si>
    <t>Ringim</t>
  </si>
  <si>
    <t>NG018024</t>
  </si>
  <si>
    <t>Roni</t>
  </si>
  <si>
    <t>NG018025</t>
  </si>
  <si>
    <t>Sule-Tankarkar</t>
  </si>
  <si>
    <t>NG018026</t>
  </si>
  <si>
    <t>Taura</t>
  </si>
  <si>
    <t>NG018027</t>
  </si>
  <si>
    <t>Yankwashi</t>
  </si>
  <si>
    <t>NG019001</t>
  </si>
  <si>
    <t>Birnin-Gwari</t>
  </si>
  <si>
    <t>NG019002</t>
  </si>
  <si>
    <t>Chikun</t>
  </si>
  <si>
    <t>NG019003</t>
  </si>
  <si>
    <t>Giwa</t>
  </si>
  <si>
    <t>NG019004</t>
  </si>
  <si>
    <t>Igabi</t>
  </si>
  <si>
    <t>NG019005</t>
  </si>
  <si>
    <t>Ikara</t>
  </si>
  <si>
    <t>NG019006</t>
  </si>
  <si>
    <t>Jaba</t>
  </si>
  <si>
    <t>NG019007</t>
  </si>
  <si>
    <t>Jema'a</t>
  </si>
  <si>
    <t>NG019008</t>
  </si>
  <si>
    <t>Kachia</t>
  </si>
  <si>
    <t>NG019009</t>
  </si>
  <si>
    <t>Kaduna North</t>
  </si>
  <si>
    <t>NG019010</t>
  </si>
  <si>
    <t>Kaduna South</t>
  </si>
  <si>
    <t>NG019011</t>
  </si>
  <si>
    <t>Kagarko</t>
  </si>
  <si>
    <t>NG019012</t>
  </si>
  <si>
    <t>Kajuru</t>
  </si>
  <si>
    <t>NG019013</t>
  </si>
  <si>
    <t>Kaura</t>
  </si>
  <si>
    <t>NG019014</t>
  </si>
  <si>
    <t>Kauru</t>
  </si>
  <si>
    <t>NG019015</t>
  </si>
  <si>
    <t>Kubau</t>
  </si>
  <si>
    <t>NG019016</t>
  </si>
  <si>
    <t>Kudan</t>
  </si>
  <si>
    <t>NG019017</t>
  </si>
  <si>
    <t>Lere</t>
  </si>
  <si>
    <t>NG019018</t>
  </si>
  <si>
    <t>Markafi</t>
  </si>
  <si>
    <t>NG019019</t>
  </si>
  <si>
    <t>Sabon-Gari</t>
  </si>
  <si>
    <t>NG019020</t>
  </si>
  <si>
    <t>Sanga</t>
  </si>
  <si>
    <t>NG019021</t>
  </si>
  <si>
    <t>Soba</t>
  </si>
  <si>
    <t>NG019022</t>
  </si>
  <si>
    <t>Zango-Kataf</t>
  </si>
  <si>
    <t>NG019023</t>
  </si>
  <si>
    <t>Zaria</t>
  </si>
  <si>
    <t>NG020001</t>
  </si>
  <si>
    <t>Ajingi</t>
  </si>
  <si>
    <t>NG020002</t>
  </si>
  <si>
    <t>Albasu</t>
  </si>
  <si>
    <t>NG020003</t>
  </si>
  <si>
    <t>Bagwai</t>
  </si>
  <si>
    <t>NG020004</t>
  </si>
  <si>
    <t>Bebeji</t>
  </si>
  <si>
    <t>NG020005</t>
  </si>
  <si>
    <t>Bichi</t>
  </si>
  <si>
    <t>NG020006</t>
  </si>
  <si>
    <t>Bunkure</t>
  </si>
  <si>
    <t>NG020007</t>
  </si>
  <si>
    <t>Dala</t>
  </si>
  <si>
    <t>NG020008</t>
  </si>
  <si>
    <t>Dambatta</t>
  </si>
  <si>
    <t>NG020009</t>
  </si>
  <si>
    <t>Dawakin Kudu</t>
  </si>
  <si>
    <t>NG020010</t>
  </si>
  <si>
    <t>Dawakin Tofa</t>
  </si>
  <si>
    <t>NG020011</t>
  </si>
  <si>
    <t>Doguwa</t>
  </si>
  <si>
    <t>NG020012</t>
  </si>
  <si>
    <t>Fagge</t>
  </si>
  <si>
    <t>NG020013</t>
  </si>
  <si>
    <t>Gabasawa</t>
  </si>
  <si>
    <t>NG020014</t>
  </si>
  <si>
    <t>Garko</t>
  </si>
  <si>
    <t>NG020015</t>
  </si>
  <si>
    <t>Garum Mallam</t>
  </si>
  <si>
    <t>NG020016</t>
  </si>
  <si>
    <t>Gaya</t>
  </si>
  <si>
    <t>NG020017</t>
  </si>
  <si>
    <t>Gezawa</t>
  </si>
  <si>
    <t>NG020018</t>
  </si>
  <si>
    <t>Gwale</t>
  </si>
  <si>
    <t>NG020019</t>
  </si>
  <si>
    <t>Gwarzo</t>
  </si>
  <si>
    <t>NG020020</t>
  </si>
  <si>
    <t>Kabo</t>
  </si>
  <si>
    <t>NG020021</t>
  </si>
  <si>
    <t>Kano Municipal</t>
  </si>
  <si>
    <t>NG020022</t>
  </si>
  <si>
    <t>Karaye</t>
  </si>
  <si>
    <t>NG020023</t>
  </si>
  <si>
    <t>Kibiya</t>
  </si>
  <si>
    <t>NG020024</t>
  </si>
  <si>
    <t>Kiru</t>
  </si>
  <si>
    <t>NG020025</t>
  </si>
  <si>
    <t>Kumbotso</t>
  </si>
  <si>
    <t>NG020026</t>
  </si>
  <si>
    <t>Kunchi</t>
  </si>
  <si>
    <t>NG020027</t>
  </si>
  <si>
    <t>Kura</t>
  </si>
  <si>
    <t>NG020028</t>
  </si>
  <si>
    <t>Madobi</t>
  </si>
  <si>
    <t>NG020029</t>
  </si>
  <si>
    <t>Makoda</t>
  </si>
  <si>
    <t>NG020030</t>
  </si>
  <si>
    <t>Minjibir</t>
  </si>
  <si>
    <t>NG020031</t>
  </si>
  <si>
    <t>NG020032</t>
  </si>
  <si>
    <t>Rano</t>
  </si>
  <si>
    <t>NG020033</t>
  </si>
  <si>
    <t>Rimin Gado</t>
  </si>
  <si>
    <t>NG020034</t>
  </si>
  <si>
    <t>Rogo</t>
  </si>
  <si>
    <t>NG020035</t>
  </si>
  <si>
    <t>Shanono</t>
  </si>
  <si>
    <t>NG020036</t>
  </si>
  <si>
    <t>Sumaila</t>
  </si>
  <si>
    <t>NG020037</t>
  </si>
  <si>
    <t>Takai</t>
  </si>
  <si>
    <t>NG020038</t>
  </si>
  <si>
    <t>Tarauni</t>
  </si>
  <si>
    <t>NG020039</t>
  </si>
  <si>
    <t>Tofa</t>
  </si>
  <si>
    <t>NG020040</t>
  </si>
  <si>
    <t>Tsanyawa</t>
  </si>
  <si>
    <t>NG020041</t>
  </si>
  <si>
    <t>Tudun Wada</t>
  </si>
  <si>
    <t>NG020042</t>
  </si>
  <si>
    <t>Ungogo</t>
  </si>
  <si>
    <t>NG020043</t>
  </si>
  <si>
    <t>Warawa</t>
  </si>
  <si>
    <t>NG020044</t>
  </si>
  <si>
    <t>Wudil</t>
  </si>
  <si>
    <t>NG021001</t>
  </si>
  <si>
    <t>Bakori</t>
  </si>
  <si>
    <t>NG021002</t>
  </si>
  <si>
    <t>Batagarawa</t>
  </si>
  <si>
    <t>NG021003</t>
  </si>
  <si>
    <t>Batsari</t>
  </si>
  <si>
    <t>NG021004</t>
  </si>
  <si>
    <t>Baure</t>
  </si>
  <si>
    <t>NG021005</t>
  </si>
  <si>
    <t>Bindawa</t>
  </si>
  <si>
    <t>NG021006</t>
  </si>
  <si>
    <t>Charanchi</t>
  </si>
  <si>
    <t>NG021007</t>
  </si>
  <si>
    <t>Dan Musa</t>
  </si>
  <si>
    <t>NG021008</t>
  </si>
  <si>
    <t>Dandume</t>
  </si>
  <si>
    <t>NG021009</t>
  </si>
  <si>
    <t>Danja</t>
  </si>
  <si>
    <t>NG021010</t>
  </si>
  <si>
    <t>Daura</t>
  </si>
  <si>
    <t>NG021011</t>
  </si>
  <si>
    <t>Dutsi</t>
  </si>
  <si>
    <t>NG021012</t>
  </si>
  <si>
    <t>Dutsin-Ma</t>
  </si>
  <si>
    <t>NG021013</t>
  </si>
  <si>
    <t>Faskari</t>
  </si>
  <si>
    <t>NG021014</t>
  </si>
  <si>
    <t>Funtua</t>
  </si>
  <si>
    <t>NG021015</t>
  </si>
  <si>
    <t>Ingawa</t>
  </si>
  <si>
    <t>NG021016</t>
  </si>
  <si>
    <t>Jibia</t>
  </si>
  <si>
    <t>NG021017</t>
  </si>
  <si>
    <t>Kafur</t>
  </si>
  <si>
    <t>NG021018</t>
  </si>
  <si>
    <t>Kaita</t>
  </si>
  <si>
    <t>NG021019</t>
  </si>
  <si>
    <t>Kankara</t>
  </si>
  <si>
    <t>NG021020</t>
  </si>
  <si>
    <t>Kankia</t>
  </si>
  <si>
    <t>NG021021</t>
  </si>
  <si>
    <t>NG021022</t>
  </si>
  <si>
    <t>Kurfi</t>
  </si>
  <si>
    <t>NG021023</t>
  </si>
  <si>
    <t>Kusada</t>
  </si>
  <si>
    <t>NG021024</t>
  </si>
  <si>
    <t>Mai'adua</t>
  </si>
  <si>
    <t>NG021025</t>
  </si>
  <si>
    <t>Malumfashi</t>
  </si>
  <si>
    <t>NG021026</t>
  </si>
  <si>
    <t>Mani</t>
  </si>
  <si>
    <t>NG021027</t>
  </si>
  <si>
    <t>Mashi</t>
  </si>
  <si>
    <t>NG021028</t>
  </si>
  <si>
    <t>Matazu</t>
  </si>
  <si>
    <t>NG021029</t>
  </si>
  <si>
    <t>Musawa</t>
  </si>
  <si>
    <t>NG021030</t>
  </si>
  <si>
    <t>Rimi</t>
  </si>
  <si>
    <t>NG021031</t>
  </si>
  <si>
    <t>Sabuwa</t>
  </si>
  <si>
    <t>NG021032</t>
  </si>
  <si>
    <t>Safana</t>
  </si>
  <si>
    <t>NG021033</t>
  </si>
  <si>
    <t>Sandamu</t>
  </si>
  <si>
    <t>NG021034</t>
  </si>
  <si>
    <t>Zango</t>
  </si>
  <si>
    <t>NG022001</t>
  </si>
  <si>
    <t>Aleiro</t>
  </si>
  <si>
    <t>NG022002</t>
  </si>
  <si>
    <t>Arewa-Dandi</t>
  </si>
  <si>
    <t>NG022003</t>
  </si>
  <si>
    <t>Argungu</t>
  </si>
  <si>
    <t>NG022004</t>
  </si>
  <si>
    <t>Augie</t>
  </si>
  <si>
    <t>NG022005</t>
  </si>
  <si>
    <t>Bagudo</t>
  </si>
  <si>
    <t>NG022006</t>
  </si>
  <si>
    <t>Birnin Kebbi</t>
  </si>
  <si>
    <t>NG022007</t>
  </si>
  <si>
    <t>Bunza</t>
  </si>
  <si>
    <t>NG022008</t>
  </si>
  <si>
    <t>Dandi</t>
  </si>
  <si>
    <t>NG022009</t>
  </si>
  <si>
    <t>Fakai</t>
  </si>
  <si>
    <t>NG022010</t>
  </si>
  <si>
    <t>Gwandu</t>
  </si>
  <si>
    <t>NG022011</t>
  </si>
  <si>
    <t>Jega</t>
  </si>
  <si>
    <t>NG022012</t>
  </si>
  <si>
    <t>Kalgo</t>
  </si>
  <si>
    <t>NG022013</t>
  </si>
  <si>
    <t>Koko/Besse</t>
  </si>
  <si>
    <t>NG022014</t>
  </si>
  <si>
    <t>Maiyama</t>
  </si>
  <si>
    <t>NG022015</t>
  </si>
  <si>
    <t>Ngaski</t>
  </si>
  <si>
    <t>NG022016</t>
  </si>
  <si>
    <t>Sakaba</t>
  </si>
  <si>
    <t>NG022017</t>
  </si>
  <si>
    <t>Shanga</t>
  </si>
  <si>
    <t>NG022018</t>
  </si>
  <si>
    <t>Suru</t>
  </si>
  <si>
    <t>NG022019</t>
  </si>
  <si>
    <t>Wasagu/Danko</t>
  </si>
  <si>
    <t>NG022020</t>
  </si>
  <si>
    <t>Yauri</t>
  </si>
  <si>
    <t>NG022021</t>
  </si>
  <si>
    <t>Zuru</t>
  </si>
  <si>
    <t>NG023001</t>
  </si>
  <si>
    <t>Adavi</t>
  </si>
  <si>
    <t>NG023002</t>
  </si>
  <si>
    <t>Ajaokuta</t>
  </si>
  <si>
    <t>NG023003</t>
  </si>
  <si>
    <t>Ankpa</t>
  </si>
  <si>
    <t>NG023004</t>
  </si>
  <si>
    <t>Bassa</t>
  </si>
  <si>
    <t>NG023005</t>
  </si>
  <si>
    <t>Dekina</t>
  </si>
  <si>
    <t>NG023006</t>
  </si>
  <si>
    <t>Ibaji</t>
  </si>
  <si>
    <t>NG023007</t>
  </si>
  <si>
    <t>Idah</t>
  </si>
  <si>
    <t>NG023008</t>
  </si>
  <si>
    <t>Igalamela-Odolu</t>
  </si>
  <si>
    <t>NG023009</t>
  </si>
  <si>
    <t>Ijumu</t>
  </si>
  <si>
    <t>NG023010</t>
  </si>
  <si>
    <t>Kabba/Bunu</t>
  </si>
  <si>
    <t>NG023011</t>
  </si>
  <si>
    <t>NG023012</t>
  </si>
  <si>
    <t>Lokoja</t>
  </si>
  <si>
    <t>NG023013</t>
  </si>
  <si>
    <t>Mopa-Muro</t>
  </si>
  <si>
    <t>NG023014</t>
  </si>
  <si>
    <t>Ofu</t>
  </si>
  <si>
    <t>NG023015</t>
  </si>
  <si>
    <t>Ogori/Magongo</t>
  </si>
  <si>
    <t>NG023016</t>
  </si>
  <si>
    <t>Okehi</t>
  </si>
  <si>
    <t>NG023017</t>
  </si>
  <si>
    <t>Okene</t>
  </si>
  <si>
    <t>NG023018</t>
  </si>
  <si>
    <t>Olamabolo</t>
  </si>
  <si>
    <t>NG023019</t>
  </si>
  <si>
    <t>Omala</t>
  </si>
  <si>
    <t>NG023020</t>
  </si>
  <si>
    <t>Yagba East</t>
  </si>
  <si>
    <t>NG023021</t>
  </si>
  <si>
    <t>Yagba West</t>
  </si>
  <si>
    <t>NG024001</t>
  </si>
  <si>
    <t>Asa</t>
  </si>
  <si>
    <t>NG024002</t>
  </si>
  <si>
    <t>Baruten</t>
  </si>
  <si>
    <t>NG024003</t>
  </si>
  <si>
    <t>Edu</t>
  </si>
  <si>
    <t>NG024004</t>
  </si>
  <si>
    <t>NG024005</t>
  </si>
  <si>
    <t>Ifelodun</t>
  </si>
  <si>
    <t>NG024006</t>
  </si>
  <si>
    <t>Ilorin East</t>
  </si>
  <si>
    <t>NG024007</t>
  </si>
  <si>
    <t>Ilorin South</t>
  </si>
  <si>
    <t>NG024008</t>
  </si>
  <si>
    <t>Ilorin West</t>
  </si>
  <si>
    <t>NG024009</t>
  </si>
  <si>
    <t>Irepodun</t>
  </si>
  <si>
    <t>NG024010</t>
  </si>
  <si>
    <t>Isin</t>
  </si>
  <si>
    <t>NG024011</t>
  </si>
  <si>
    <t>Kaiama</t>
  </si>
  <si>
    <t>NG024012</t>
  </si>
  <si>
    <t>Moro</t>
  </si>
  <si>
    <t>NG024013</t>
  </si>
  <si>
    <t>Offa</t>
  </si>
  <si>
    <t>NG024014</t>
  </si>
  <si>
    <t>Oke-Ero</t>
  </si>
  <si>
    <t>NG024015</t>
  </si>
  <si>
    <t>Oyun</t>
  </si>
  <si>
    <t>NG024016</t>
  </si>
  <si>
    <t>Pategi</t>
  </si>
  <si>
    <t>NG025001</t>
  </si>
  <si>
    <t>Agege</t>
  </si>
  <si>
    <t>NG025002</t>
  </si>
  <si>
    <t>Ajeromi-Ifelodun</t>
  </si>
  <si>
    <t>NG025003</t>
  </si>
  <si>
    <t>Alimosho</t>
  </si>
  <si>
    <t>NG025004</t>
  </si>
  <si>
    <t>Amuwo-Odofin</t>
  </si>
  <si>
    <t>NG025005</t>
  </si>
  <si>
    <t>Apapa</t>
  </si>
  <si>
    <t>NG025006</t>
  </si>
  <si>
    <t>Badagry</t>
  </si>
  <si>
    <t>NG025007</t>
  </si>
  <si>
    <t>Epe</t>
  </si>
  <si>
    <t>NG025008</t>
  </si>
  <si>
    <t>Eti-Osa</t>
  </si>
  <si>
    <t>NG025009</t>
  </si>
  <si>
    <t>Ibeju/Lekki</t>
  </si>
  <si>
    <t>NG025010</t>
  </si>
  <si>
    <t>Ifako-Ijaye</t>
  </si>
  <si>
    <t>NG025011</t>
  </si>
  <si>
    <t>Ikeja</t>
  </si>
  <si>
    <t>NG025012</t>
  </si>
  <si>
    <t>Ikorodu</t>
  </si>
  <si>
    <t>NG025013</t>
  </si>
  <si>
    <t>Kosofe</t>
  </si>
  <si>
    <t>NG025014</t>
  </si>
  <si>
    <t>Lagos Island</t>
  </si>
  <si>
    <t>NG025015</t>
  </si>
  <si>
    <t>Lagos Mainland</t>
  </si>
  <si>
    <t>NG025016</t>
  </si>
  <si>
    <t>Mushin</t>
  </si>
  <si>
    <t>NG025017</t>
  </si>
  <si>
    <t>Ojo</t>
  </si>
  <si>
    <t>NG025018</t>
  </si>
  <si>
    <t>Oshodi-Isolo</t>
  </si>
  <si>
    <t>NG025019</t>
  </si>
  <si>
    <t>Shomolu</t>
  </si>
  <si>
    <t>NG025020</t>
  </si>
  <si>
    <t>Surulere</t>
  </si>
  <si>
    <t>NG026001</t>
  </si>
  <si>
    <t>Akwanga</t>
  </si>
  <si>
    <t>NG026002</t>
  </si>
  <si>
    <t>Awe</t>
  </si>
  <si>
    <t>NG026003</t>
  </si>
  <si>
    <t>Doma</t>
  </si>
  <si>
    <t>NG026004</t>
  </si>
  <si>
    <t>Karu</t>
  </si>
  <si>
    <t>NG026005</t>
  </si>
  <si>
    <t>Keana</t>
  </si>
  <si>
    <t>NG026006</t>
  </si>
  <si>
    <t>Keffi</t>
  </si>
  <si>
    <t>NG026007</t>
  </si>
  <si>
    <t>Kokona</t>
  </si>
  <si>
    <t>NG026008</t>
  </si>
  <si>
    <t>Lafia</t>
  </si>
  <si>
    <t>NG026009</t>
  </si>
  <si>
    <t>NG026010</t>
  </si>
  <si>
    <t>Nasarawa-Eggon</t>
  </si>
  <si>
    <t>NG026011</t>
  </si>
  <si>
    <t>NG026012</t>
  </si>
  <si>
    <t>Toto</t>
  </si>
  <si>
    <t>NG026013</t>
  </si>
  <si>
    <t>Wamba</t>
  </si>
  <si>
    <t>NG027001</t>
  </si>
  <si>
    <t>Agaie</t>
  </si>
  <si>
    <t>NG027002</t>
  </si>
  <si>
    <t>Agwara</t>
  </si>
  <si>
    <t>NG027003</t>
  </si>
  <si>
    <t>Bida</t>
  </si>
  <si>
    <t>NG027004</t>
  </si>
  <si>
    <t>Borgu</t>
  </si>
  <si>
    <t>NG027005</t>
  </si>
  <si>
    <t>Bosso</t>
  </si>
  <si>
    <t>NG027006</t>
  </si>
  <si>
    <t>Chanchaga</t>
  </si>
  <si>
    <t>NG027007</t>
  </si>
  <si>
    <t>Edati</t>
  </si>
  <si>
    <t>NG027008</t>
  </si>
  <si>
    <t>Gbako</t>
  </si>
  <si>
    <t>NG027009</t>
  </si>
  <si>
    <t>Gurara</t>
  </si>
  <si>
    <t>NG027010</t>
  </si>
  <si>
    <t>Katcha</t>
  </si>
  <si>
    <t>NG027011</t>
  </si>
  <si>
    <t>Kontagora</t>
  </si>
  <si>
    <t>NG027012</t>
  </si>
  <si>
    <t>Lapai</t>
  </si>
  <si>
    <t>NG027013</t>
  </si>
  <si>
    <t>Lavun</t>
  </si>
  <si>
    <t>NG027014</t>
  </si>
  <si>
    <t>Magama</t>
  </si>
  <si>
    <t>NG027015</t>
  </si>
  <si>
    <t>Mariga</t>
  </si>
  <si>
    <t>NG027016</t>
  </si>
  <si>
    <t>Mashegu</t>
  </si>
  <si>
    <t>NG027017</t>
  </si>
  <si>
    <t>Mokwa</t>
  </si>
  <si>
    <t>NG027018</t>
  </si>
  <si>
    <t>Muya</t>
  </si>
  <si>
    <t>NG027019</t>
  </si>
  <si>
    <t>Paikoro</t>
  </si>
  <si>
    <t>NG027020</t>
  </si>
  <si>
    <t>Rafi</t>
  </si>
  <si>
    <t>NG027021</t>
  </si>
  <si>
    <t>Rijau</t>
  </si>
  <si>
    <t>NG027022</t>
  </si>
  <si>
    <t>Shiroro</t>
  </si>
  <si>
    <t>NG027023</t>
  </si>
  <si>
    <t>Suleja</t>
  </si>
  <si>
    <t>NG027024</t>
  </si>
  <si>
    <t>Tafa</t>
  </si>
  <si>
    <t>NG027025</t>
  </si>
  <si>
    <t>Wushishi</t>
  </si>
  <si>
    <t>NG028001</t>
  </si>
  <si>
    <t>Abeokuta North</t>
  </si>
  <si>
    <t>NG028002</t>
  </si>
  <si>
    <t>Abeokuta South</t>
  </si>
  <si>
    <t>NG028003</t>
  </si>
  <si>
    <t>Ado-Odo/Ota</t>
  </si>
  <si>
    <t>NG028004</t>
  </si>
  <si>
    <t>Egbado North</t>
  </si>
  <si>
    <t>NG028005</t>
  </si>
  <si>
    <t>Egbado South</t>
  </si>
  <si>
    <t>NG028006</t>
  </si>
  <si>
    <t>Ewekoro</t>
  </si>
  <si>
    <t>NG028007</t>
  </si>
  <si>
    <t>Ifo</t>
  </si>
  <si>
    <t>NG028008</t>
  </si>
  <si>
    <t>Ijebu East</t>
  </si>
  <si>
    <t>NG028009</t>
  </si>
  <si>
    <t>Ijebu North</t>
  </si>
  <si>
    <t>NG028010</t>
  </si>
  <si>
    <t>Ijebu North East</t>
  </si>
  <si>
    <t>NG028011</t>
  </si>
  <si>
    <t>Ijebu Ode</t>
  </si>
  <si>
    <t>NG028012</t>
  </si>
  <si>
    <t>Ikenne</t>
  </si>
  <si>
    <t>NG028013</t>
  </si>
  <si>
    <t>Imeko-Afon</t>
  </si>
  <si>
    <t>NG028014</t>
  </si>
  <si>
    <t>Ipokia</t>
  </si>
  <si>
    <t>NG028015</t>
  </si>
  <si>
    <t>Obafemi-Owode</t>
  </si>
  <si>
    <t>NG028016</t>
  </si>
  <si>
    <t>Odeda</t>
  </si>
  <si>
    <t>NG028017</t>
  </si>
  <si>
    <t>Odogbolu</t>
  </si>
  <si>
    <t>NG028018</t>
  </si>
  <si>
    <t>Ogun waterside</t>
  </si>
  <si>
    <t>NG028019</t>
  </si>
  <si>
    <t>Remo North</t>
  </si>
  <si>
    <t>NG028020</t>
  </si>
  <si>
    <t>Shagamu</t>
  </si>
  <si>
    <t>NG029001</t>
  </si>
  <si>
    <t>Akoko North East</t>
  </si>
  <si>
    <t>NG029002</t>
  </si>
  <si>
    <t>Akoko North West</t>
  </si>
  <si>
    <t>NG029003</t>
  </si>
  <si>
    <t>Akoko South East</t>
  </si>
  <si>
    <t>NG029004</t>
  </si>
  <si>
    <t>Akoko South West</t>
  </si>
  <si>
    <t>NG029005</t>
  </si>
  <si>
    <t>Akure North</t>
  </si>
  <si>
    <t>NG029006</t>
  </si>
  <si>
    <t>Akure South</t>
  </si>
  <si>
    <t>NG029007</t>
  </si>
  <si>
    <t>Ese-Odo</t>
  </si>
  <si>
    <t>NG029008</t>
  </si>
  <si>
    <t>Idanre</t>
  </si>
  <si>
    <t>NG029009</t>
  </si>
  <si>
    <t>Ifedore</t>
  </si>
  <si>
    <t>NG029010</t>
  </si>
  <si>
    <t>Ilaje</t>
  </si>
  <si>
    <t>NG029011</t>
  </si>
  <si>
    <t>Ile-Oluji-Okeigbo</t>
  </si>
  <si>
    <t>NG029012</t>
  </si>
  <si>
    <t>Irele</t>
  </si>
  <si>
    <t>NG029013</t>
  </si>
  <si>
    <t>Odigbo</t>
  </si>
  <si>
    <t>NG029014</t>
  </si>
  <si>
    <t>Okitipupa</t>
  </si>
  <si>
    <t>NG029015</t>
  </si>
  <si>
    <t>Ondo East</t>
  </si>
  <si>
    <t>NG029016</t>
  </si>
  <si>
    <t>Ondo West</t>
  </si>
  <si>
    <t>NG029017</t>
  </si>
  <si>
    <t>Ose</t>
  </si>
  <si>
    <t>NG029018</t>
  </si>
  <si>
    <t>Owo</t>
  </si>
  <si>
    <t>NG030001</t>
  </si>
  <si>
    <t>Aiyedade</t>
  </si>
  <si>
    <t>NG030002</t>
  </si>
  <si>
    <t>Aiyedire</t>
  </si>
  <si>
    <t>NG030003</t>
  </si>
  <si>
    <t>Atakumosa East</t>
  </si>
  <si>
    <t>NG030004</t>
  </si>
  <si>
    <t>Atakumosa West</t>
  </si>
  <si>
    <t>NG030005</t>
  </si>
  <si>
    <t>Boluwaduro</t>
  </si>
  <si>
    <t>NG030006</t>
  </si>
  <si>
    <t>Boripe</t>
  </si>
  <si>
    <t>NG030007</t>
  </si>
  <si>
    <t>Ede North</t>
  </si>
  <si>
    <t>NG030008</t>
  </si>
  <si>
    <t>Ede South</t>
  </si>
  <si>
    <t>NG030009</t>
  </si>
  <si>
    <t>Egbedore</t>
  </si>
  <si>
    <t>NG030010</t>
  </si>
  <si>
    <t>Ejigbo</t>
  </si>
  <si>
    <t>NG030011</t>
  </si>
  <si>
    <t>Ife Central</t>
  </si>
  <si>
    <t>NG030012</t>
  </si>
  <si>
    <t>Ife East</t>
  </si>
  <si>
    <t>NG030013</t>
  </si>
  <si>
    <t>Ife North</t>
  </si>
  <si>
    <t>NG030014</t>
  </si>
  <si>
    <t>Ife South</t>
  </si>
  <si>
    <t>NG030015</t>
  </si>
  <si>
    <t>Ifedayo</t>
  </si>
  <si>
    <t>NG030016</t>
  </si>
  <si>
    <t>NG030017</t>
  </si>
  <si>
    <t>Ila</t>
  </si>
  <si>
    <t>NG030018</t>
  </si>
  <si>
    <t>Ilesha East</t>
  </si>
  <si>
    <t>NG030019</t>
  </si>
  <si>
    <t>Ilesha West</t>
  </si>
  <si>
    <t>NG030020</t>
  </si>
  <si>
    <t>NG030021</t>
  </si>
  <si>
    <t>Irewole</t>
  </si>
  <si>
    <t>NG030022</t>
  </si>
  <si>
    <t>Isokan</t>
  </si>
  <si>
    <t>NG030023</t>
  </si>
  <si>
    <t>Iwo</t>
  </si>
  <si>
    <t>NG030024</t>
  </si>
  <si>
    <t>Obokun</t>
  </si>
  <si>
    <t>NG030025</t>
  </si>
  <si>
    <t>Odo-Otin</t>
  </si>
  <si>
    <t>NG030026</t>
  </si>
  <si>
    <t>Ola-oluwa</t>
  </si>
  <si>
    <t>NG030027</t>
  </si>
  <si>
    <t>Olorunda</t>
  </si>
  <si>
    <t>NG030028</t>
  </si>
  <si>
    <t>Oriade</t>
  </si>
  <si>
    <t>NG030029</t>
  </si>
  <si>
    <t>Orolu</t>
  </si>
  <si>
    <t>NG030030</t>
  </si>
  <si>
    <t>Osogbo</t>
  </si>
  <si>
    <t>NG031001</t>
  </si>
  <si>
    <t>Afijio</t>
  </si>
  <si>
    <t>NG031002</t>
  </si>
  <si>
    <t>Akinyele</t>
  </si>
  <si>
    <t>NG031003</t>
  </si>
  <si>
    <t>Atiba</t>
  </si>
  <si>
    <t>NG031004</t>
  </si>
  <si>
    <t>Atigbo</t>
  </si>
  <si>
    <t>NG031005</t>
  </si>
  <si>
    <t>Egbeda</t>
  </si>
  <si>
    <t>NG031006</t>
  </si>
  <si>
    <t>Ibadan North</t>
  </si>
  <si>
    <t>NG031007</t>
  </si>
  <si>
    <t>Ibadan North East</t>
  </si>
  <si>
    <t>NG031008</t>
  </si>
  <si>
    <t>Ibadan North West</t>
  </si>
  <si>
    <t>NG031009</t>
  </si>
  <si>
    <t>Ibadan South East</t>
  </si>
  <si>
    <t>NG031010</t>
  </si>
  <si>
    <t>Ibadan South West</t>
  </si>
  <si>
    <t>NG031011</t>
  </si>
  <si>
    <t>Ibarapa Central</t>
  </si>
  <si>
    <t>NG031012</t>
  </si>
  <si>
    <t>Ibarapa East</t>
  </si>
  <si>
    <t>NG031013</t>
  </si>
  <si>
    <t>Ibarapa North</t>
  </si>
  <si>
    <t>NG031014</t>
  </si>
  <si>
    <t>Ido</t>
  </si>
  <si>
    <t>NG031015</t>
  </si>
  <si>
    <t>Irepo</t>
  </si>
  <si>
    <t>NG031016</t>
  </si>
  <si>
    <t>Iseyin</t>
  </si>
  <si>
    <t>NG031017</t>
  </si>
  <si>
    <t>Itesiwaju</t>
  </si>
  <si>
    <t>NG031018</t>
  </si>
  <si>
    <t>Iwajowa</t>
  </si>
  <si>
    <t>NG031019</t>
  </si>
  <si>
    <t>Kajola</t>
  </si>
  <si>
    <t>NG031020</t>
  </si>
  <si>
    <t>Lagelu</t>
  </si>
  <si>
    <t>NG031021</t>
  </si>
  <si>
    <t>Ogbomosho North</t>
  </si>
  <si>
    <t>NG031022</t>
  </si>
  <si>
    <t>Ogbomosho South</t>
  </si>
  <si>
    <t>NG031023</t>
  </si>
  <si>
    <t>Ogo Oluwa</t>
  </si>
  <si>
    <t>NG031024</t>
  </si>
  <si>
    <t>Olorunsogo</t>
  </si>
  <si>
    <t>NG031025</t>
  </si>
  <si>
    <t>Oluyole</t>
  </si>
  <si>
    <t>NG031026</t>
  </si>
  <si>
    <t>Ona-Ara</t>
  </si>
  <si>
    <t>NG031027</t>
  </si>
  <si>
    <t>Orelope</t>
  </si>
  <si>
    <t>NG031028</t>
  </si>
  <si>
    <t>Ori Ire</t>
  </si>
  <si>
    <t>NG031029</t>
  </si>
  <si>
    <t>Oyo East</t>
  </si>
  <si>
    <t>NG031030</t>
  </si>
  <si>
    <t>Oyo West</t>
  </si>
  <si>
    <t>NG031031</t>
  </si>
  <si>
    <t>Saki East</t>
  </si>
  <si>
    <t>NG031032</t>
  </si>
  <si>
    <t>Saki West</t>
  </si>
  <si>
    <t>NG031033</t>
  </si>
  <si>
    <t>NG032001</t>
  </si>
  <si>
    <t>Barikin Ladi</t>
  </si>
  <si>
    <t>NG032002</t>
  </si>
  <si>
    <t>NG032003</t>
  </si>
  <si>
    <t>Bokkos</t>
  </si>
  <si>
    <t>NG032004</t>
  </si>
  <si>
    <t>Jos East</t>
  </si>
  <si>
    <t>NG032005</t>
  </si>
  <si>
    <t>Jos North</t>
  </si>
  <si>
    <t>NG032006</t>
  </si>
  <si>
    <t>Jos South</t>
  </si>
  <si>
    <t>NG032007</t>
  </si>
  <si>
    <t>Kanam</t>
  </si>
  <si>
    <t>NG032008</t>
  </si>
  <si>
    <t>Kanke</t>
  </si>
  <si>
    <t>NG032009</t>
  </si>
  <si>
    <t>Langtang North</t>
  </si>
  <si>
    <t>NG032010</t>
  </si>
  <si>
    <t>Langtang South</t>
  </si>
  <si>
    <t>NG032011</t>
  </si>
  <si>
    <t>Mangu</t>
  </si>
  <si>
    <t>NG032012</t>
  </si>
  <si>
    <t>Mikang</t>
  </si>
  <si>
    <t>NG032013</t>
  </si>
  <si>
    <t>Pankshin</t>
  </si>
  <si>
    <t>NG032014</t>
  </si>
  <si>
    <t>Qua'an Pan</t>
  </si>
  <si>
    <t>NG032015</t>
  </si>
  <si>
    <t>Riyom</t>
  </si>
  <si>
    <t>NG032016</t>
  </si>
  <si>
    <t>Shendam</t>
  </si>
  <si>
    <t>NG032017</t>
  </si>
  <si>
    <t>Wase</t>
  </si>
  <si>
    <t>NG033001</t>
  </si>
  <si>
    <t>Abua/Odual</t>
  </si>
  <si>
    <t>NG033002</t>
  </si>
  <si>
    <t>Ahoada East</t>
  </si>
  <si>
    <t>NG033003</t>
  </si>
  <si>
    <t>Ahoada West</t>
  </si>
  <si>
    <t>NG033004</t>
  </si>
  <si>
    <t>Akuku Toru</t>
  </si>
  <si>
    <t>NG033005</t>
  </si>
  <si>
    <t>Andoni</t>
  </si>
  <si>
    <t>NG033006</t>
  </si>
  <si>
    <t>Asari-Toru</t>
  </si>
  <si>
    <t>NG033007</t>
  </si>
  <si>
    <t>Bonny</t>
  </si>
  <si>
    <t>NG033008</t>
  </si>
  <si>
    <t>Degema</t>
  </si>
  <si>
    <t>NG033009</t>
  </si>
  <si>
    <t>Eleme</t>
  </si>
  <si>
    <t>NG033010</t>
  </si>
  <si>
    <t>Emohua</t>
  </si>
  <si>
    <t>NG033011</t>
  </si>
  <si>
    <t>Etche</t>
  </si>
  <si>
    <t>NG033012</t>
  </si>
  <si>
    <t>Gokana</t>
  </si>
  <si>
    <t>NG033013</t>
  </si>
  <si>
    <t>Ikwerre</t>
  </si>
  <si>
    <t>NG033014</t>
  </si>
  <si>
    <t>Khana</t>
  </si>
  <si>
    <t>NG033015</t>
  </si>
  <si>
    <t>Obia/Akpor</t>
  </si>
  <si>
    <t>NG033016</t>
  </si>
  <si>
    <t>Ogba/Egbema/Ndoni</t>
  </si>
  <si>
    <t>NG033017</t>
  </si>
  <si>
    <t>Ogu/Bolo</t>
  </si>
  <si>
    <t>NG033018</t>
  </si>
  <si>
    <t>Okrika</t>
  </si>
  <si>
    <t>NG033019</t>
  </si>
  <si>
    <t>Omumma</t>
  </si>
  <si>
    <t>NG033020</t>
  </si>
  <si>
    <t>Opobo/Nkoro</t>
  </si>
  <si>
    <t>NG033021</t>
  </si>
  <si>
    <t>Oyigbo</t>
  </si>
  <si>
    <t>NG033022</t>
  </si>
  <si>
    <t>Port-Harcourt</t>
  </si>
  <si>
    <t>NG033023</t>
  </si>
  <si>
    <t>Tai</t>
  </si>
  <si>
    <t>NG034001</t>
  </si>
  <si>
    <t>Binji</t>
  </si>
  <si>
    <t>NG034002</t>
  </si>
  <si>
    <t>Bodinga</t>
  </si>
  <si>
    <t>NG034003</t>
  </si>
  <si>
    <t>Dange-Shuni</t>
  </si>
  <si>
    <t>NG034004</t>
  </si>
  <si>
    <t>Gada</t>
  </si>
  <si>
    <t>NG034005</t>
  </si>
  <si>
    <t>Gwadabawa</t>
  </si>
  <si>
    <t>NG034006</t>
  </si>
  <si>
    <t>Goronyo</t>
  </si>
  <si>
    <t>NG034007</t>
  </si>
  <si>
    <t>Gudu</t>
  </si>
  <si>
    <t>NG034008</t>
  </si>
  <si>
    <t>Illela</t>
  </si>
  <si>
    <t>NG034009</t>
  </si>
  <si>
    <t>Isa</t>
  </si>
  <si>
    <t>NG034010</t>
  </si>
  <si>
    <t>Kebbe</t>
  </si>
  <si>
    <t>NG034011</t>
  </si>
  <si>
    <t>Kware</t>
  </si>
  <si>
    <t>NG034012</t>
  </si>
  <si>
    <t>Rabah</t>
  </si>
  <si>
    <t>NG034013</t>
  </si>
  <si>
    <t>Sabon Birni</t>
  </si>
  <si>
    <t>NG034014</t>
  </si>
  <si>
    <t>Shagari</t>
  </si>
  <si>
    <t>NG034015</t>
  </si>
  <si>
    <t>Silame</t>
  </si>
  <si>
    <t>NG034016</t>
  </si>
  <si>
    <t>Sokoto North</t>
  </si>
  <si>
    <t>NG034017</t>
  </si>
  <si>
    <t>Sokoto South</t>
  </si>
  <si>
    <t>NG034018</t>
  </si>
  <si>
    <t>Tambuwal</t>
  </si>
  <si>
    <t>NG034019</t>
  </si>
  <si>
    <t>Tangaza</t>
  </si>
  <si>
    <t>NG034020</t>
  </si>
  <si>
    <t>Tureta</t>
  </si>
  <si>
    <t>NG034021</t>
  </si>
  <si>
    <t>Wamako</t>
  </si>
  <si>
    <t>NG034022</t>
  </si>
  <si>
    <t>Wurno</t>
  </si>
  <si>
    <t>NG034023</t>
  </si>
  <si>
    <t>Yabo</t>
  </si>
  <si>
    <t>NG035001</t>
  </si>
  <si>
    <t>Ardo-Kola</t>
  </si>
  <si>
    <t>NG035002</t>
  </si>
  <si>
    <t>Bali</t>
  </si>
  <si>
    <t>NG035003</t>
  </si>
  <si>
    <t>Donga</t>
  </si>
  <si>
    <t>NG035004</t>
  </si>
  <si>
    <t>Gashaka</t>
  </si>
  <si>
    <t>NG035005</t>
  </si>
  <si>
    <t>Gassol</t>
  </si>
  <si>
    <t>NG035006</t>
  </si>
  <si>
    <t>Ibi</t>
  </si>
  <si>
    <t>NG035007</t>
  </si>
  <si>
    <t>Jalingo</t>
  </si>
  <si>
    <t>NG035008</t>
  </si>
  <si>
    <t>Karim-Lamido</t>
  </si>
  <si>
    <t>NG035009</t>
  </si>
  <si>
    <t>Kurmi</t>
  </si>
  <si>
    <t>NG035010</t>
  </si>
  <si>
    <t>Lau</t>
  </si>
  <si>
    <t>NG035011</t>
  </si>
  <si>
    <t>Sardauna</t>
  </si>
  <si>
    <t>NG035012</t>
  </si>
  <si>
    <t>Takum</t>
  </si>
  <si>
    <t>NG035013</t>
  </si>
  <si>
    <t>Ussa</t>
  </si>
  <si>
    <t>NG035014</t>
  </si>
  <si>
    <t>Wukari</t>
  </si>
  <si>
    <t>NG035015</t>
  </si>
  <si>
    <t>Yorro</t>
  </si>
  <si>
    <t>NG035016</t>
  </si>
  <si>
    <t>Zing</t>
  </si>
  <si>
    <t>NG036001</t>
  </si>
  <si>
    <t>Bade</t>
  </si>
  <si>
    <t>NG036002</t>
  </si>
  <si>
    <t>Bursari</t>
  </si>
  <si>
    <t>NG036003</t>
  </si>
  <si>
    <t>Damaturu</t>
  </si>
  <si>
    <t>NG036004</t>
  </si>
  <si>
    <t>Fika</t>
  </si>
  <si>
    <t>NG036005</t>
  </si>
  <si>
    <t>Fune</t>
  </si>
  <si>
    <t>NG036006</t>
  </si>
  <si>
    <t>Geidam</t>
  </si>
  <si>
    <t>NG036007</t>
  </si>
  <si>
    <t>Gujba</t>
  </si>
  <si>
    <t>NG036008</t>
  </si>
  <si>
    <t>Gulani</t>
  </si>
  <si>
    <t>NG036009</t>
  </si>
  <si>
    <t>Jakusko</t>
  </si>
  <si>
    <t>NG036010</t>
  </si>
  <si>
    <t>Karasuwa</t>
  </si>
  <si>
    <t>NG036011</t>
  </si>
  <si>
    <t>Machina</t>
  </si>
  <si>
    <t>NG036012</t>
  </si>
  <si>
    <t>Nangere</t>
  </si>
  <si>
    <t>NG036013</t>
  </si>
  <si>
    <t>Nguru</t>
  </si>
  <si>
    <t>NG036014</t>
  </si>
  <si>
    <t>Potiskum</t>
  </si>
  <si>
    <t>NG036015</t>
  </si>
  <si>
    <t>Tarmua</t>
  </si>
  <si>
    <t>NG036016</t>
  </si>
  <si>
    <t>Yunusari</t>
  </si>
  <si>
    <t>NG036017</t>
  </si>
  <si>
    <t>Yusufari</t>
  </si>
  <si>
    <t>NG037001</t>
  </si>
  <si>
    <t>Anka</t>
  </si>
  <si>
    <t>NG037002</t>
  </si>
  <si>
    <t>Bakura</t>
  </si>
  <si>
    <t>NG037003</t>
  </si>
  <si>
    <t>Birnin Magaji</t>
  </si>
  <si>
    <t>NG037004</t>
  </si>
  <si>
    <t>Bukkuyum</t>
  </si>
  <si>
    <t>NG037005</t>
  </si>
  <si>
    <t>Bungudu</t>
  </si>
  <si>
    <t>NG037006</t>
  </si>
  <si>
    <t>Gummi</t>
  </si>
  <si>
    <t>NG037007</t>
  </si>
  <si>
    <t>Gusau</t>
  </si>
  <si>
    <t>NG037008</t>
  </si>
  <si>
    <t>Kaura Namoda</t>
  </si>
  <si>
    <t>NG037009</t>
  </si>
  <si>
    <t>Maradun</t>
  </si>
  <si>
    <t>NG037010</t>
  </si>
  <si>
    <t>Maru</t>
  </si>
  <si>
    <t>NG037011</t>
  </si>
  <si>
    <t>Shinkafi</t>
  </si>
  <si>
    <t>NG037012</t>
  </si>
  <si>
    <t>Talata Mafara</t>
  </si>
  <si>
    <t>NG037013</t>
  </si>
  <si>
    <t>Tsafe</t>
  </si>
  <si>
    <t>NG037014</t>
  </si>
  <si>
    <t>Zurmi</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</si>
  <si>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</si>
  <si>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</si>
  <si>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</si>
  <si>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</si>
  <si>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</si>
  <si>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</si>
  <si>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</si>
  <si>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</si>
  <si>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</si>
  <si>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</si>
  <si>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</si>
  <si>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</si>
  <si>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</si>
  <si>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</si>
  <si>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</si>
  <si>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</si>
  <si>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</si>
  <si>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09135223695</t>
  </si>
  <si>
    <t>Type a phone number from your country in typical format, e.g. 77******* [please use exactly the number of characters that are found in a phone number].</t>
  </si>
  <si>
    <t>070******</t>
  </si>
  <si>
    <t>age</t>
  </si>
  <si>
    <t>Minimum age of respondent (recommend 18 years old)</t>
  </si>
  <si>
    <t>ADMIN1</t>
  </si>
  <si>
    <t>State</t>
  </si>
  <si>
    <t>The first subdivision of the country, after national level; region; province; governorate; etc. Only one word should be inputted - Do not include spaces.</t>
  </si>
  <si>
    <t>region</t>
  </si>
  <si>
    <t>ADMIN2</t>
  </si>
  <si>
    <t>Local Government Area (LGA)</t>
  </si>
  <si>
    <t>The second subdivision of the country; district; municipality; LGA; etc. Only one word should be inputted - Do not include spaces.</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</si>
  <si>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</si>
  <si>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</si>
  <si>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</si>
  <si>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</si>
  <si>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</si>
  <si>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Post-Harvest</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</si>
  <si>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</si>
  <si>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</si>
  <si>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</si>
  <si>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</si>
  <si>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</si>
  <si>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</si>
  <si>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</si>
  <si>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</si>
  <si>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</si>
  <si>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</si>
  <si>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</si>
  <si>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</si>
  <si>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</si>
  <si>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Naira</t>
  </si>
  <si>
    <t xml:space="preserve">The name of the main currency used nationally; USD; Naira; Rial; Pesos; etc. </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</si>
  <si>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</si>
  <si>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</si>
  <si>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</si>
  <si>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</si>
  <si>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</si>
  <si>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Cabbage, Carrots, Green pepper, Cauliflower, Cucumber, Tomatoes, Lettuce, Onions, Red Pepper</t>
  </si>
  <si>
    <t>Input some common local vegetables [to be used as examples in the food consumption score indicator].</t>
  </si>
  <si>
    <t>eggplants, zucchini, cauliflower</t>
  </si>
  <si>
    <t>local fruits</t>
  </si>
  <si>
    <t xml:space="preserve">Mangoes, Oranges, Pawpaw, Apples, Yellow Banana, Water Melon, Pineapples, </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</si>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</sst>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sz val="11"/>
      <color rgb="FF00B0F0"/>
      <name val="Calibri"/>
      <family val="2"/>
      <scheme val="minor"/>
    </font>
    <font>
      <b/>
      <sz val="11"/>
      <color rgb="FF00B0F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cellStyleXfs>
  <cellXfs count="276">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9"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5" fillId="0" borderId="32" xfId="10" applyFont="1" applyBorder="1" applyAlignment="1">
      <alignment horizontal="center" vertical="center" wrapText="1"/>
    </xf>
    <xf numFmtId="0" fontId="15" fillId="0" borderId="28" xfId="10" applyFont="1" applyBorder="1" applyAlignment="1">
      <alignment horizontal="center" vertical="center" wrapText="1"/>
    </xf>
    <xf numFmtId="0" fontId="16" fillId="0" borderId="28" xfId="10" applyFont="1" applyBorder="1" applyAlignment="1">
      <alignment horizontal="center" vertical="center" wrapText="1"/>
    </xf>
    <xf numFmtId="0" fontId="16" fillId="0" borderId="35" xfId="10" applyFont="1" applyBorder="1" applyAlignment="1">
      <alignment vertical="center" wrapText="1"/>
    </xf>
    <xf numFmtId="0" fontId="16" fillId="0" borderId="19" xfId="10" applyFont="1" applyBorder="1" applyAlignment="1">
      <alignment vertical="center" wrapText="1"/>
    </xf>
    <xf numFmtId="0" fontId="16" fillId="0" borderId="30" xfId="10" applyFont="1" applyBorder="1" applyAlignment="1">
      <alignment vertical="center" wrapText="1"/>
    </xf>
    <xf numFmtId="9" fontId="16" fillId="0" borderId="21" xfId="7" applyFont="1" applyBorder="1" applyAlignment="1">
      <alignment horizontal="center" vertical="center" wrapText="1"/>
    </xf>
    <xf numFmtId="9" fontId="16" fillId="0" borderId="22" xfId="7" applyFont="1" applyBorder="1" applyAlignment="1">
      <alignment horizontal="center" vertical="center" wrapText="1"/>
    </xf>
    <xf numFmtId="0" fontId="3" fillId="0" borderId="3" xfId="10" applyFont="1" applyBorder="1"/>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5" fillId="0" borderId="10" xfId="5" applyFont="1" applyBorder="1" applyAlignment="1">
      <alignment horizontal="left" vertical="center"/>
    </xf>
    <xf numFmtId="0" fontId="15" fillId="0" borderId="38" xfId="10" applyFont="1" applyBorder="1" applyAlignment="1">
      <alignment horizontal="left" vertical="center"/>
    </xf>
    <xf numFmtId="0" fontId="15" fillId="0" borderId="37" xfId="10" applyFont="1" applyBorder="1" applyAlignment="1">
      <alignment horizontal="left" vertical="center"/>
    </xf>
    <xf numFmtId="0" fontId="15" fillId="0" borderId="10" xfId="10" applyFont="1" applyBorder="1" applyAlignment="1">
      <alignment horizontal="left" vertical="center"/>
    </xf>
    <xf numFmtId="0" fontId="22" fillId="0" borderId="8" xfId="10" applyFont="1" applyBorder="1" applyAlignment="1">
      <alignment horizontal="center" vertical="center" wrapText="1"/>
    </xf>
    <xf numFmtId="0" fontId="22" fillId="0" borderId="5" xfId="10" applyFont="1" applyBorder="1" applyAlignment="1">
      <alignment horizontal="center" vertical="center" wrapText="1"/>
    </xf>
    <xf numFmtId="0" fontId="20"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7" fillId="0" borderId="26" xfId="10" applyFont="1" applyBorder="1" applyAlignment="1">
      <alignment horizontal="center" vertical="center"/>
    </xf>
    <xf numFmtId="0" fontId="15" fillId="0" borderId="31" xfId="10" applyFont="1" applyBorder="1" applyAlignment="1">
      <alignment vertical="center" wrapText="1"/>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5" fillId="0" borderId="15" xfId="5" applyFont="1" applyBorder="1" applyAlignment="1">
      <alignment horizontal="left" vertical="center" wrapText="1"/>
    </xf>
    <xf numFmtId="0" fontId="22" fillId="0" borderId="15" xfId="10" applyFont="1" applyBorder="1" applyAlignment="1">
      <alignment horizontal="center" vertical="center" wrapText="1"/>
    </xf>
    <xf numFmtId="9" fontId="16" fillId="0" borderId="41" xfId="7" applyFont="1" applyBorder="1" applyAlignment="1">
      <alignment horizontal="center" vertical="center" wrapText="1"/>
    </xf>
    <xf numFmtId="0" fontId="26" fillId="0" borderId="16" xfId="10" applyFont="1" applyBorder="1" applyAlignment="1">
      <alignment vertical="center" wrapText="1"/>
    </xf>
    <xf numFmtId="0" fontId="26" fillId="0" borderId="7" xfId="10" applyFont="1" applyBorder="1" applyAlignment="1">
      <alignment vertical="center" wrapText="1"/>
    </xf>
    <xf numFmtId="0" fontId="26"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5" fillId="5" borderId="34" xfId="10" applyFont="1" applyFill="1" applyBorder="1" applyAlignment="1">
      <alignment vertical="center"/>
    </xf>
    <xf numFmtId="0" fontId="16" fillId="5" borderId="35" xfId="10" applyFont="1" applyFill="1" applyBorder="1" applyAlignment="1">
      <alignment vertical="center" wrapText="1"/>
    </xf>
    <xf numFmtId="0" fontId="16"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5"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7" fillId="0" borderId="12" xfId="10" applyFont="1" applyBorder="1" applyAlignment="1">
      <alignment horizontal="center" vertical="center" wrapText="1"/>
    </xf>
    <xf numFmtId="0" fontId="17" fillId="0" borderId="11" xfId="10" applyFont="1" applyBorder="1" applyAlignment="1">
      <alignment horizontal="center" vertical="center"/>
    </xf>
    <xf numFmtId="0" fontId="17" fillId="0" borderId="18" xfId="10" applyFont="1" applyBorder="1" applyAlignment="1">
      <alignment horizontal="center" vertical="center"/>
    </xf>
    <xf numFmtId="0" fontId="3" fillId="0" borderId="23" xfId="10" applyFont="1" applyBorder="1" applyAlignment="1">
      <alignment vertical="center"/>
    </xf>
    <xf numFmtId="0" fontId="8" fillId="0" borderId="42" xfId="5" applyFont="1" applyBorder="1" applyAlignment="1">
      <alignment horizontal="center" vertical="center"/>
    </xf>
    <xf numFmtId="0" fontId="8" fillId="0" borderId="43" xfId="5" applyFont="1" applyBorder="1" applyAlignment="1">
      <alignment horizontal="center"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0"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0"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4"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0"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pplyProtection="1">
      <alignment vertical="center"/>
      <protection locked="0"/>
    </xf>
    <xf numFmtId="0" fontId="24"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0" fillId="0" borderId="0" xfId="0" applyFont="1" applyAlignment="1">
      <alignment vertical="center"/>
    </xf>
    <xf numFmtId="0" fontId="13" fillId="0" borderId="0" xfId="0" applyFont="1" applyAlignment="1" applyProtection="1">
      <alignment vertical="center"/>
      <protection locked="0"/>
    </xf>
    <xf numFmtId="0" fontId="6" fillId="0" borderId="0" xfId="0" applyFont="1" applyAlignment="1">
      <alignment vertical="center"/>
    </xf>
    <xf numFmtId="0" fontId="15" fillId="0" borderId="5" xfId="10" applyFont="1" applyBorder="1" applyAlignment="1">
      <alignment horizontal="left" vertical="center" wrapText="1"/>
    </xf>
    <xf numFmtId="0" fontId="15" fillId="0" borderId="8" xfId="10" applyFont="1" applyBorder="1" applyAlignment="1">
      <alignment horizontal="left" vertical="center"/>
    </xf>
    <xf numFmtId="0" fontId="16" fillId="0" borderId="19" xfId="5" applyFont="1" applyBorder="1" applyAlignment="1">
      <alignment vertical="center" wrapText="1"/>
    </xf>
    <xf numFmtId="0" fontId="3" fillId="5" borderId="24" xfId="10" applyFont="1" applyFill="1" applyBorder="1" applyAlignment="1">
      <alignment horizontal="center" vertical="center"/>
    </xf>
    <xf numFmtId="0" fontId="16"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0"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0" fillId="0" borderId="17" xfId="7" applyFont="1" applyBorder="1" applyAlignment="1" applyProtection="1">
      <alignment vertical="top"/>
      <protection locked="0"/>
    </xf>
    <xf numFmtId="0" fontId="20" fillId="0" borderId="18" xfId="0" applyFont="1" applyBorder="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27" fillId="0" borderId="0" xfId="0" applyNumberFormat="1" applyFont="1" applyAlignment="1">
      <alignment horizontal="left" vertical="top" wrapText="1"/>
    </xf>
    <xf numFmtId="1" fontId="25" fillId="2" borderId="7" xfId="5" applyNumberFormat="1" applyFont="1" applyFill="1" applyBorder="1" applyAlignment="1" applyProtection="1">
      <alignment horizontal="center" vertical="center"/>
      <protection locked="0"/>
    </xf>
    <xf numFmtId="0" fontId="16" fillId="0" borderId="16" xfId="5" applyFont="1" applyBorder="1" applyAlignment="1">
      <alignment vertical="center" wrapText="1"/>
    </xf>
    <xf numFmtId="0" fontId="15" fillId="0" borderId="9" xfId="5" applyFont="1" applyBorder="1" applyAlignment="1">
      <alignment vertical="center" wrapText="1"/>
    </xf>
    <xf numFmtId="0" fontId="15" fillId="0" borderId="7" xfId="5" applyFont="1" applyBorder="1" applyAlignment="1">
      <alignment vertical="center" wrapText="1"/>
    </xf>
    <xf numFmtId="0" fontId="16"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9"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0"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9" fontId="20" fillId="6" borderId="11" xfId="7" applyFont="1" applyFill="1" applyBorder="1" applyAlignment="1" applyProtection="1">
      <alignment horizontal="center" vertical="center" wrapText="1"/>
      <protection locked="0"/>
    </xf>
    <xf numFmtId="0" fontId="20" fillId="6" borderId="11" xfId="0" applyFont="1" applyFill="1" applyBorder="1" applyAlignment="1" applyProtection="1">
      <alignment horizontal="center" vertical="center" wrapText="1"/>
      <protection locked="0"/>
    </xf>
    <xf numFmtId="0" fontId="19"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5" fillId="0" borderId="8" xfId="5" applyFont="1" applyBorder="1" applyAlignment="1">
      <alignment vertical="center"/>
    </xf>
    <xf numFmtId="0" fontId="15" fillId="0" borderId="19" xfId="5" applyFont="1" applyBorder="1" applyAlignment="1">
      <alignment horizontal="left" vertical="center" wrapText="1"/>
    </xf>
    <xf numFmtId="0" fontId="15" fillId="0" borderId="28" xfId="5" applyFont="1" applyBorder="1" applyAlignment="1">
      <alignment horizontal="center" vertical="center" wrapText="1"/>
    </xf>
    <xf numFmtId="0" fontId="4" fillId="0" borderId="23" xfId="5" applyFont="1" applyBorder="1"/>
    <xf numFmtId="0" fontId="4" fillId="0" borderId="2" xfId="5" applyFont="1" applyBorder="1"/>
    <xf numFmtId="0" fontId="10" fillId="3" borderId="0" xfId="0" applyFont="1" applyFill="1" applyProtection="1">
      <protection locked="0"/>
    </xf>
    <xf numFmtId="0" fontId="21" fillId="2" borderId="0" xfId="0" applyFont="1" applyFill="1" applyProtection="1">
      <protection locked="0"/>
    </xf>
    <xf numFmtId="0" fontId="21" fillId="0" borderId="0" xfId="0" applyFont="1" applyProtection="1">
      <protection locked="0"/>
    </xf>
    <xf numFmtId="0" fontId="0" fillId="3" borderId="0" xfId="0" applyFill="1" applyProtection="1">
      <protection locked="0"/>
    </xf>
    <xf numFmtId="0" fontId="16" fillId="0" borderId="28" xfId="5" applyFont="1" applyBorder="1" applyAlignment="1">
      <alignment horizontal="center" vertical="center" wrapText="1"/>
    </xf>
    <xf numFmtId="0" fontId="16" fillId="0" borderId="36" xfId="5" applyFont="1" applyBorder="1" applyAlignment="1">
      <alignment horizontal="center" vertical="center" wrapText="1"/>
    </xf>
    <xf numFmtId="0" fontId="15" fillId="0" borderId="44" xfId="5" applyFont="1" applyBorder="1" applyAlignment="1">
      <alignment vertical="center"/>
    </xf>
    <xf numFmtId="0" fontId="15"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11" fillId="0" borderId="0" xfId="0" applyFont="1"/>
    <xf numFmtId="0" fontId="9" fillId="0" borderId="0" xfId="0" applyFont="1"/>
    <xf numFmtId="0" fontId="10" fillId="0" borderId="0" xfId="0" applyFont="1"/>
    <xf numFmtId="0" fontId="23" fillId="0" borderId="0" xfId="0" applyFont="1"/>
    <xf numFmtId="164" fontId="3" fillId="2" borderId="16" xfId="10" applyNumberFormat="1" applyFont="1" applyFill="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29" fillId="0" borderId="0" xfId="0" applyFont="1" applyAlignment="1" applyProtection="1">
      <alignment vertical="top" wrapText="1"/>
      <protection locked="0"/>
    </xf>
    <xf numFmtId="0" fontId="29" fillId="0" borderId="0" xfId="0" applyFont="1" applyAlignment="1" applyProtection="1">
      <alignment vertical="top"/>
      <protection locked="0"/>
    </xf>
    <xf numFmtId="0" fontId="29" fillId="2" borderId="0" xfId="0" applyFont="1" applyFill="1" applyAlignment="1" applyProtection="1">
      <alignment vertical="top"/>
      <protection locked="0"/>
    </xf>
    <xf numFmtId="0" fontId="29" fillId="0" borderId="0" xfId="0" applyFont="1" applyAlignment="1" applyProtection="1">
      <alignment vertical="center"/>
      <protection locked="0"/>
    </xf>
    <xf numFmtId="165" fontId="29" fillId="0" borderId="0" xfId="0" applyNumberFormat="1" applyFont="1" applyAlignment="1" applyProtection="1">
      <alignment horizontal="right" vertical="top"/>
      <protection locked="0"/>
    </xf>
    <xf numFmtId="9" fontId="29" fillId="0" borderId="0" xfId="7" applyFont="1" applyAlignment="1" applyProtection="1">
      <alignment vertical="top"/>
      <protection locked="0"/>
    </xf>
    <xf numFmtId="165" fontId="29" fillId="0" borderId="0" xfId="0" applyNumberFormat="1" applyFont="1" applyAlignment="1" applyProtection="1">
      <alignment vertical="top"/>
      <protection locked="0"/>
    </xf>
    <xf numFmtId="0" fontId="29" fillId="2" borderId="0" xfId="0" applyFont="1" applyFill="1" applyAlignment="1" applyProtection="1">
      <alignment vertical="top" wrapText="1"/>
      <protection locked="0"/>
    </xf>
    <xf numFmtId="164" fontId="29" fillId="0" borderId="0" xfId="0" applyNumberFormat="1" applyFont="1" applyAlignment="1" applyProtection="1">
      <alignment vertical="top"/>
      <protection locked="0"/>
    </xf>
    <xf numFmtId="0" fontId="30" fillId="0" borderId="0" xfId="0" applyFont="1" applyAlignment="1" applyProtection="1">
      <alignment vertical="top" wrapText="1"/>
      <protection locked="0"/>
    </xf>
    <xf numFmtId="9" fontId="29" fillId="0" borderId="0" xfId="0" applyNumberFormat="1" applyFont="1" applyAlignment="1" applyProtection="1">
      <alignment vertical="top"/>
      <protection locked="0"/>
    </xf>
    <xf numFmtId="0" fontId="29" fillId="7" borderId="0" xfId="0" applyFont="1" applyFill="1" applyAlignment="1" applyProtection="1">
      <alignment vertical="top"/>
      <protection locked="0"/>
    </xf>
    <xf numFmtId="0" fontId="29" fillId="0" borderId="0" xfId="0" applyFont="1" applyAlignment="1" applyProtection="1">
      <alignment vertical="center" wrapText="1"/>
      <protection locked="0"/>
    </xf>
    <xf numFmtId="49" fontId="1" fillId="3" borderId="16" xfId="5" applyNumberFormat="1"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9" fillId="8" borderId="0" xfId="0" applyFont="1" applyFill="1"/>
    <xf numFmtId="0" fontId="29" fillId="8" borderId="0" xfId="0" applyFont="1" applyFill="1" applyAlignment="1" applyProtection="1">
      <alignment vertical="top"/>
      <protection locked="0"/>
    </xf>
    <xf numFmtId="0" fontId="29" fillId="8" borderId="0" xfId="0" applyFont="1" applyFill="1" applyAlignment="1" applyProtection="1">
      <alignment vertical="top" wrapText="1"/>
      <protection locked="0"/>
    </xf>
    <xf numFmtId="0" fontId="9" fillId="8" borderId="0" xfId="0" applyFont="1" applyFill="1" applyAlignment="1" applyProtection="1">
      <alignment vertical="top"/>
      <protection locked="0"/>
    </xf>
    <xf numFmtId="0" fontId="9" fillId="8" borderId="0" xfId="0" applyFont="1" applyFill="1" applyAlignment="1" applyProtection="1">
      <alignment vertical="top" wrapText="1"/>
      <protection locked="0"/>
    </xf>
    <xf numFmtId="0" fontId="29" fillId="8" borderId="0" xfId="0" applyFont="1" applyFill="1" applyAlignment="1" applyProtection="1">
      <alignment vertical="center"/>
      <protection locked="0"/>
    </xf>
    <xf numFmtId="165" fontId="29" fillId="8" borderId="0" xfId="0" applyNumberFormat="1" applyFont="1" applyFill="1" applyAlignment="1" applyProtection="1">
      <alignment horizontal="right" vertical="top"/>
      <protection locked="0"/>
    </xf>
    <xf numFmtId="9" fontId="29" fillId="8" borderId="0" xfId="7" applyFont="1" applyFill="1" applyAlignment="1" applyProtection="1">
      <alignment vertical="top"/>
      <protection locked="0"/>
    </xf>
    <xf numFmtId="165" fontId="29" fillId="8" borderId="0" xfId="0" applyNumberFormat="1" applyFont="1" applyFill="1" applyAlignment="1" applyProtection="1">
      <alignment vertical="top"/>
      <protection locked="0"/>
    </xf>
    <xf numFmtId="0" fontId="9" fillId="8" borderId="0" xfId="0" applyFont="1" applyFill="1" applyAlignment="1" applyProtection="1">
      <alignment vertical="center"/>
      <protection locked="0"/>
    </xf>
    <xf numFmtId="165" fontId="9" fillId="8" borderId="0" xfId="0" applyNumberFormat="1" applyFont="1" applyFill="1" applyAlignment="1" applyProtection="1">
      <alignment horizontal="right" vertical="top"/>
      <protection locked="0"/>
    </xf>
    <xf numFmtId="9" fontId="9" fillId="8" borderId="0" xfId="7" applyFont="1" applyFill="1" applyAlignment="1" applyProtection="1">
      <alignment vertical="top"/>
      <protection locked="0"/>
    </xf>
    <xf numFmtId="165" fontId="9" fillId="8" borderId="0" xfId="0" applyNumberFormat="1" applyFont="1" applyFill="1" applyAlignment="1" applyProtection="1">
      <alignment vertical="top"/>
      <protection locked="0"/>
    </xf>
    <xf numFmtId="0" fontId="9" fillId="8" borderId="0" xfId="0" quotePrefix="1" applyFont="1" applyFill="1" applyAlignment="1" applyProtection="1">
      <alignment vertical="center"/>
      <protection locked="0"/>
    </xf>
    <xf numFmtId="9" fontId="9" fillId="8" borderId="0" xfId="0" applyNumberFormat="1" applyFont="1" applyFill="1" applyAlignment="1" applyProtection="1">
      <alignment vertical="top"/>
      <protection locked="0"/>
    </xf>
    <xf numFmtId="0" fontId="20" fillId="8" borderId="0" xfId="0" applyFont="1" applyFill="1" applyAlignment="1" applyProtection="1">
      <alignment vertical="top" wrapText="1"/>
      <protection locked="0"/>
    </xf>
    <xf numFmtId="0" fontId="0" fillId="8" borderId="0" xfId="0" applyFill="1" applyProtection="1">
      <protection locked="0"/>
    </xf>
    <xf numFmtId="0" fontId="28" fillId="8" borderId="0" xfId="0" applyFont="1" applyFill="1" applyProtection="1">
      <protection locked="0"/>
    </xf>
    <xf numFmtId="0" fontId="28" fillId="8" borderId="0" xfId="0" applyFont="1" applyFill="1"/>
    <xf numFmtId="0" fontId="0" fillId="8" borderId="0" xfId="0" applyFill="1" applyAlignment="1">
      <alignment horizontal="left" vertical="center"/>
    </xf>
    <xf numFmtId="0" fontId="0" fillId="8" borderId="0" xfId="0" applyFill="1" applyAlignment="1">
      <alignment vertical="top"/>
    </xf>
    <xf numFmtId="0" fontId="0" fillId="8" borderId="0" xfId="0" applyFill="1" applyAlignment="1">
      <alignment vertical="top" wrapText="1"/>
    </xf>
    <xf numFmtId="0" fontId="0" fillId="8" borderId="0" xfId="0" applyFill="1" applyAlignment="1" applyProtection="1">
      <alignment vertical="top" wrapText="1"/>
      <protection locked="0"/>
    </xf>
    <xf numFmtId="0" fontId="0" fillId="8" borderId="0" xfId="0" applyFill="1" applyAlignment="1" applyProtection="1">
      <alignment vertical="top"/>
      <protection locked="0"/>
    </xf>
    <xf numFmtId="0" fontId="0" fillId="8" borderId="0" xfId="0" applyFill="1" applyAlignment="1">
      <alignment vertical="center"/>
    </xf>
    <xf numFmtId="0" fontId="9" fillId="8" borderId="0" xfId="0" applyFont="1" applyFill="1" applyAlignment="1">
      <alignment vertical="center"/>
    </xf>
    <xf numFmtId="0" fontId="0" fillId="8" borderId="0" xfId="0" quotePrefix="1" applyFill="1" applyAlignment="1">
      <alignment vertical="center"/>
    </xf>
    <xf numFmtId="0" fontId="9" fillId="8" borderId="0" xfId="0" applyFont="1" applyFill="1" applyAlignment="1">
      <alignment vertical="top"/>
    </xf>
    <xf numFmtId="0" fontId="9" fillId="8" borderId="0" xfId="0" applyFont="1" applyFill="1" applyAlignment="1">
      <alignment vertical="top" wrapText="1"/>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7">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7"/>
  <sheetViews>
    <sheetView tabSelected="1" zoomScaleNormal="100" workbookViewId="0">
      <pane ySplit="1" topLeftCell="A254" activePane="bottomLeft" state="frozen"/>
      <selection pane="bottomLeft" activeCell="F268" sqref="F268"/>
    </sheetView>
  </sheetViews>
  <sheetFormatPr baseColWidth="10" defaultColWidth="8.6640625" defaultRowHeight="15" x14ac:dyDescent="0.2"/>
  <cols>
    <col min="1" max="1" width="21.1640625" style="46" customWidth="1"/>
    <col min="2" max="2" width="25.6640625" style="46" customWidth="1"/>
    <col min="3" max="3" width="66" style="47" customWidth="1"/>
    <col min="4" max="4" width="16.6640625" style="47" customWidth="1"/>
    <col min="5" max="5" width="28" style="46" customWidth="1"/>
    <col min="6" max="6" width="15.5" style="46" customWidth="1"/>
    <col min="7" max="8" width="8.6640625" style="126" customWidth="1"/>
    <col min="9" max="9" width="29.1640625" style="126" customWidth="1"/>
    <col min="10" max="14" width="8.6640625" style="126" customWidth="1"/>
    <col min="15" max="18" width="8.6640625" style="46" customWidth="1"/>
    <col min="19" max="19" width="9.5" style="46" hidden="1" customWidth="1"/>
    <col min="20" max="20" width="9" style="46" customWidth="1"/>
    <col min="21" max="21" width="18.1640625" style="184" hidden="1" customWidth="1"/>
    <col min="22" max="22" width="18.33203125" style="164" hidden="1" customWidth="1"/>
    <col min="23" max="23" width="14.1640625" style="77" customWidth="1"/>
    <col min="24" max="24" width="19.6640625" style="77" hidden="1" customWidth="1"/>
    <col min="25" max="25" width="8.6640625" style="77" customWidth="1"/>
    <col min="26" max="27" width="8.6640625" style="46" customWidth="1"/>
    <col min="28" max="16384" width="8.6640625" style="46"/>
  </cols>
  <sheetData>
    <row r="1" spans="1:25" s="117" customFormat="1" ht="44" customHeight="1" thickBot="1" x14ac:dyDescent="0.25">
      <c r="A1" s="113" t="s">
        <v>0</v>
      </c>
      <c r="B1" s="113" t="s">
        <v>1</v>
      </c>
      <c r="C1" s="114" t="s">
        <v>2</v>
      </c>
      <c r="D1" s="115" t="s">
        <v>3</v>
      </c>
      <c r="E1" s="113" t="s">
        <v>4</v>
      </c>
      <c r="F1" s="116" t="s">
        <v>5</v>
      </c>
      <c r="G1" s="113" t="s">
        <v>6</v>
      </c>
      <c r="H1" s="113" t="s">
        <v>7</v>
      </c>
      <c r="I1" s="113" t="s">
        <v>8</v>
      </c>
      <c r="J1" s="113" t="s">
        <v>9</v>
      </c>
      <c r="K1" s="113" t="s">
        <v>10</v>
      </c>
      <c r="L1" s="113" t="s">
        <v>11</v>
      </c>
      <c r="M1" s="113" t="s">
        <v>12</v>
      </c>
      <c r="N1" s="113" t="s">
        <v>13</v>
      </c>
      <c r="S1" s="189" t="s">
        <v>14</v>
      </c>
      <c r="U1" s="190" t="s">
        <v>15</v>
      </c>
      <c r="V1" s="191" t="s">
        <v>16</v>
      </c>
      <c r="W1" s="192" t="s">
        <v>17</v>
      </c>
      <c r="X1" s="37" t="s">
        <v>18</v>
      </c>
      <c r="Y1" s="118"/>
    </row>
    <row r="2" spans="1:25" x14ac:dyDescent="0.2">
      <c r="A2" s="76" t="s">
        <v>19</v>
      </c>
      <c r="B2" s="76" t="s">
        <v>19</v>
      </c>
      <c r="C2" s="45"/>
      <c r="D2" s="89"/>
      <c r="E2" s="76"/>
      <c r="F2" s="90"/>
      <c r="G2" s="119"/>
      <c r="H2" s="119"/>
      <c r="I2" s="119"/>
      <c r="J2" s="119"/>
      <c r="K2" s="119"/>
      <c r="L2" s="119"/>
      <c r="M2" s="119"/>
      <c r="N2" s="119"/>
      <c r="U2" s="185"/>
      <c r="W2" s="165" t="str">
        <f>IF(U2&lt;&gt;"",U2*V2,"")</f>
        <v/>
      </c>
      <c r="X2" s="165" t="str">
        <f>IF(AND(U2&lt;&gt;"",S2="yes"),U2*V2,"")</f>
        <v/>
      </c>
    </row>
    <row r="3" spans="1:25" x14ac:dyDescent="0.2">
      <c r="A3" s="76" t="s">
        <v>20</v>
      </c>
      <c r="B3" s="76" t="s">
        <v>20</v>
      </c>
      <c r="C3" s="45"/>
      <c r="D3" s="89"/>
      <c r="E3" s="76"/>
      <c r="F3" s="90"/>
      <c r="G3" s="119"/>
      <c r="H3" s="119"/>
      <c r="I3" s="119"/>
      <c r="J3" s="119"/>
      <c r="K3" s="119"/>
      <c r="L3" s="119"/>
      <c r="M3" s="119"/>
      <c r="N3" s="119"/>
      <c r="U3" s="185"/>
      <c r="W3" s="165" t="str">
        <f>IF(U3&lt;&gt;"",U3*V3,"")</f>
        <v/>
      </c>
      <c r="X3" s="165" t="str">
        <f>IF(AND(U3&lt;&gt;"",S3="yes"),U3*V3,"")</f>
        <v/>
      </c>
    </row>
    <row r="4" spans="1:25" x14ac:dyDescent="0.2">
      <c r="A4" s="76" t="s">
        <v>21</v>
      </c>
      <c r="B4" s="76" t="s">
        <v>21</v>
      </c>
      <c r="C4" s="45"/>
      <c r="D4" s="89"/>
      <c r="E4" s="76"/>
      <c r="F4" s="90"/>
      <c r="G4" s="119"/>
      <c r="H4" s="119"/>
      <c r="I4" s="119"/>
      <c r="J4" s="119"/>
      <c r="K4" s="119"/>
      <c r="L4" s="119"/>
      <c r="M4" s="119"/>
      <c r="N4" s="119"/>
      <c r="U4" s="185"/>
      <c r="W4" s="165" t="str">
        <f>IF(U4&lt;&gt;"",U4*V4,"")</f>
        <v/>
      </c>
      <c r="X4" s="165" t="str">
        <f>IF(AND(U4&lt;&gt;"",S4="yes"),U4*V4,"")</f>
        <v/>
      </c>
    </row>
    <row r="5" spans="1:25" x14ac:dyDescent="0.2">
      <c r="A5" s="76" t="s">
        <v>22</v>
      </c>
      <c r="B5" s="76" t="s">
        <v>22</v>
      </c>
      <c r="C5" s="45"/>
      <c r="D5" s="89"/>
      <c r="E5" s="76"/>
      <c r="F5" s="90"/>
      <c r="G5" s="119"/>
      <c r="H5" s="119"/>
      <c r="I5" s="119"/>
      <c r="J5" s="119"/>
      <c r="K5" s="119"/>
      <c r="L5" s="119"/>
      <c r="M5" s="119"/>
      <c r="N5" s="119"/>
      <c r="U5" s="185"/>
      <c r="W5" s="165" t="str">
        <f>IF(U5&lt;&gt;"",U5*V5,"")</f>
        <v/>
      </c>
      <c r="X5" s="165" t="str">
        <f>IF(AND(U5&lt;&gt;"",S5="yes"),U5*V5,"")</f>
        <v/>
      </c>
    </row>
    <row r="6" spans="1:25" x14ac:dyDescent="0.2">
      <c r="A6" s="76" t="s">
        <v>23</v>
      </c>
      <c r="B6" s="76" t="s">
        <v>23</v>
      </c>
      <c r="C6" s="45"/>
      <c r="D6" s="89"/>
      <c r="E6" s="76"/>
      <c r="F6" s="90"/>
      <c r="G6" s="119"/>
      <c r="H6" s="119"/>
      <c r="I6" s="119"/>
      <c r="J6" s="119"/>
      <c r="K6" s="119"/>
      <c r="L6" s="119"/>
      <c r="M6" s="119"/>
      <c r="N6" s="119"/>
      <c r="U6" s="185"/>
      <c r="W6" s="165"/>
      <c r="X6" s="165"/>
    </row>
    <row r="7" spans="1:25" x14ac:dyDescent="0.2">
      <c r="A7" s="76" t="s">
        <v>24</v>
      </c>
      <c r="B7" s="76" t="s">
        <v>25</v>
      </c>
      <c r="C7" s="45"/>
      <c r="D7" s="89"/>
      <c r="E7" s="76"/>
      <c r="F7" s="90"/>
      <c r="G7" s="119"/>
      <c r="H7" s="119"/>
      <c r="I7" s="119"/>
      <c r="J7" s="119"/>
      <c r="K7" s="46"/>
      <c r="L7" s="119"/>
      <c r="M7" s="119"/>
      <c r="N7" s="119" t="s">
        <v>26</v>
      </c>
      <c r="U7" s="185"/>
      <c r="W7" s="165"/>
      <c r="X7" s="165"/>
    </row>
    <row r="8" spans="1:25" x14ac:dyDescent="0.2">
      <c r="A8" s="76" t="s">
        <v>27</v>
      </c>
      <c r="B8" s="76" t="s">
        <v>27</v>
      </c>
      <c r="C8" s="45"/>
      <c r="D8" s="89"/>
      <c r="E8" s="76"/>
      <c r="F8" s="90"/>
      <c r="G8" s="119"/>
      <c r="H8" s="119"/>
      <c r="I8" s="119"/>
      <c r="J8" s="119"/>
      <c r="K8" s="119" t="s">
        <v>28</v>
      </c>
      <c r="L8" s="119"/>
      <c r="M8" s="119" t="s">
        <v>29</v>
      </c>
      <c r="N8" s="119"/>
      <c r="U8" s="185"/>
      <c r="W8" s="165"/>
      <c r="X8" s="165"/>
    </row>
    <row r="9" spans="1:25" ht="16" x14ac:dyDescent="0.2">
      <c r="A9" s="76" t="s">
        <v>30</v>
      </c>
      <c r="B9" s="76" t="s">
        <v>31</v>
      </c>
      <c r="C9" s="45" t="s">
        <v>32</v>
      </c>
      <c r="D9" s="89"/>
      <c r="E9" s="76"/>
      <c r="F9" s="90"/>
      <c r="G9" s="119" t="s">
        <v>33</v>
      </c>
      <c r="H9" s="119"/>
      <c r="I9" s="119"/>
      <c r="J9" s="119"/>
      <c r="K9" s="119"/>
      <c r="L9" s="120" t="s">
        <v>34</v>
      </c>
      <c r="M9" s="119"/>
      <c r="N9" s="119"/>
      <c r="S9" s="46" t="s">
        <v>35</v>
      </c>
      <c r="U9" s="185"/>
      <c r="W9" s="165" t="str">
        <f>IF(U9&lt;&gt;"",U9*V9,"")</f>
        <v/>
      </c>
      <c r="X9" s="165" t="str">
        <f>IF(AND(U9&lt;&gt;"",S9="yes"),U9*V9,"")</f>
        <v/>
      </c>
    </row>
    <row r="10" spans="1:25" x14ac:dyDescent="0.2">
      <c r="A10" s="76" t="s">
        <v>24</v>
      </c>
      <c r="B10" s="76" t="s">
        <v>36</v>
      </c>
      <c r="C10" s="45"/>
      <c r="D10" s="89"/>
      <c r="E10" s="76"/>
      <c r="F10" s="90"/>
      <c r="G10" s="119"/>
      <c r="H10" s="119"/>
      <c r="I10" s="119"/>
      <c r="J10" s="119"/>
      <c r="K10" s="119"/>
      <c r="L10" s="119"/>
      <c r="M10" s="119"/>
      <c r="N10" s="119" t="s">
        <v>37</v>
      </c>
      <c r="S10" s="46" t="s">
        <v>35</v>
      </c>
      <c r="U10" s="185"/>
      <c r="W10" s="165" t="str">
        <f>IF(U10&lt;&gt;"",U10*V10,"")</f>
        <v/>
      </c>
      <c r="X10" s="165" t="str">
        <f>IF(AND(U10&lt;&gt;"",S10="yes"),U10*V10,"")</f>
        <v/>
      </c>
    </row>
    <row r="11" spans="1:25" s="78" customFormat="1" ht="15" customHeight="1" thickBot="1" x14ac:dyDescent="0.25">
      <c r="A11" s="85"/>
      <c r="B11" s="85"/>
      <c r="C11" s="86"/>
      <c r="D11" s="87"/>
      <c r="E11" s="85"/>
      <c r="F11" s="88"/>
      <c r="G11" s="122"/>
      <c r="H11" s="122"/>
      <c r="I11" s="122"/>
      <c r="J11" s="122"/>
      <c r="K11" s="122"/>
      <c r="L11" s="122"/>
      <c r="M11" s="122"/>
      <c r="N11" s="122"/>
      <c r="U11" s="185"/>
      <c r="V11" s="164"/>
      <c r="W11" s="165"/>
      <c r="X11" s="165"/>
      <c r="Y11" s="77"/>
    </row>
    <row r="12" spans="1:25" ht="203.5" customHeight="1" thickTop="1" x14ac:dyDescent="0.2">
      <c r="A12" s="76" t="s">
        <v>38</v>
      </c>
      <c r="B12" s="76" t="s">
        <v>39</v>
      </c>
      <c r="C12" s="174" t="s">
        <v>40</v>
      </c>
      <c r="D12" s="89"/>
      <c r="E12" s="76" t="s">
        <v>41</v>
      </c>
      <c r="F12" s="90"/>
      <c r="G12" s="119" t="s">
        <v>42</v>
      </c>
      <c r="H12" s="119"/>
      <c r="I12" s="119"/>
      <c r="J12" s="119"/>
      <c r="K12" s="119"/>
      <c r="L12" s="119"/>
      <c r="M12" s="119"/>
      <c r="N12" s="119"/>
      <c r="S12" s="46" t="s">
        <v>43</v>
      </c>
      <c r="U12" s="185">
        <v>50.822540283203118</v>
      </c>
      <c r="W12" s="165">
        <f t="shared" ref="W12:W44" si="0">IF(U12&lt;&gt;"",U12*V12,"")</f>
        <v>0</v>
      </c>
      <c r="X12" s="165" t="str">
        <f>IF(AND(U12&lt;&gt;"",S12="yes"),U12*V12,"")</f>
        <v/>
      </c>
    </row>
    <row r="13" spans="1:25" ht="16" x14ac:dyDescent="0.2">
      <c r="A13" s="76" t="s">
        <v>44</v>
      </c>
      <c r="B13" s="76" t="s">
        <v>45</v>
      </c>
      <c r="C13" s="45" t="s">
        <v>46</v>
      </c>
      <c r="D13" s="89"/>
      <c r="E13" s="76"/>
      <c r="F13" s="90"/>
      <c r="G13" s="119" t="s">
        <v>42</v>
      </c>
      <c r="H13" s="119"/>
      <c r="I13" s="119"/>
      <c r="J13" s="119"/>
      <c r="K13" s="119"/>
      <c r="L13" s="119"/>
      <c r="M13" s="119"/>
      <c r="N13" s="119"/>
      <c r="S13" s="46" t="s">
        <v>35</v>
      </c>
      <c r="U13" s="185">
        <v>3.5</v>
      </c>
      <c r="V13" s="164">
        <f>1</f>
        <v>1</v>
      </c>
      <c r="W13" s="165">
        <f t="shared" si="0"/>
        <v>3.5</v>
      </c>
      <c r="X13" s="165">
        <f>IF(AND(U13&lt;&gt;"",S13="yes"),U13*V13,"")</f>
        <v>3.5</v>
      </c>
    </row>
    <row r="14" spans="1:25" s="78" customFormat="1" ht="16" x14ac:dyDescent="0.2">
      <c r="A14" s="77" t="s">
        <v>47</v>
      </c>
      <c r="B14" s="77" t="s">
        <v>48</v>
      </c>
      <c r="C14" s="48" t="s">
        <v>49</v>
      </c>
      <c r="D14" s="80"/>
      <c r="E14" s="77" t="s">
        <v>50</v>
      </c>
      <c r="F14" s="84"/>
      <c r="G14" s="126" t="s">
        <v>42</v>
      </c>
      <c r="H14" s="120"/>
      <c r="I14" s="120"/>
      <c r="J14" s="120"/>
      <c r="K14" s="126" t="s">
        <v>51</v>
      </c>
      <c r="L14" s="120"/>
      <c r="M14" s="120"/>
      <c r="N14" s="120"/>
      <c r="U14" s="185">
        <v>0</v>
      </c>
      <c r="V14" s="164">
        <v>1</v>
      </c>
      <c r="W14" s="165">
        <f t="shared" si="0"/>
        <v>0</v>
      </c>
      <c r="X14" s="165"/>
      <c r="Y14" s="77"/>
    </row>
    <row r="15" spans="1:25" s="77" customFormat="1" ht="16" x14ac:dyDescent="0.2">
      <c r="A15" s="81" t="s">
        <v>38</v>
      </c>
      <c r="B15" s="81" t="s">
        <v>52</v>
      </c>
      <c r="C15" s="82" t="s">
        <v>53</v>
      </c>
      <c r="D15" s="100"/>
      <c r="E15" s="81"/>
      <c r="F15" s="102"/>
      <c r="G15" s="121" t="s">
        <v>42</v>
      </c>
      <c r="H15" s="121"/>
      <c r="I15" s="121"/>
      <c r="J15" s="121"/>
      <c r="K15" s="121" t="s">
        <v>54</v>
      </c>
      <c r="L15" s="121"/>
      <c r="M15" s="121"/>
      <c r="N15" s="121"/>
      <c r="S15" s="77" t="s">
        <v>43</v>
      </c>
      <c r="U15" s="185">
        <v>0</v>
      </c>
      <c r="V15" s="164">
        <v>1</v>
      </c>
      <c r="W15" s="165">
        <f t="shared" si="0"/>
        <v>0</v>
      </c>
      <c r="X15" s="165" t="str">
        <f t="shared" ref="X15:X44" si="1">IF(AND(U15&lt;&gt;"",S15="yes"),U15*V15,"")</f>
        <v/>
      </c>
    </row>
    <row r="16" spans="1:25" s="77" customFormat="1" ht="15" customHeight="1" thickBot="1" x14ac:dyDescent="0.25">
      <c r="A16" s="91"/>
      <c r="B16" s="91"/>
      <c r="C16" s="92"/>
      <c r="D16" s="93"/>
      <c r="E16" s="91"/>
      <c r="F16" s="94"/>
      <c r="G16" s="123"/>
      <c r="H16" s="123"/>
      <c r="I16" s="123"/>
      <c r="J16" s="123"/>
      <c r="K16" s="123"/>
      <c r="L16" s="123"/>
      <c r="M16" s="123"/>
      <c r="N16" s="123"/>
      <c r="U16" s="185"/>
      <c r="V16" s="164"/>
      <c r="W16" s="165" t="str">
        <f t="shared" si="0"/>
        <v/>
      </c>
      <c r="X16" s="165" t="str">
        <f t="shared" si="1"/>
        <v/>
      </c>
    </row>
    <row r="17" spans="1:25" s="74" customFormat="1" ht="15" customHeight="1" thickTop="1" x14ac:dyDescent="0.2">
      <c r="A17" s="71" t="s">
        <v>55</v>
      </c>
      <c r="B17" s="71" t="s">
        <v>56</v>
      </c>
      <c r="C17" s="95" t="s">
        <v>57</v>
      </c>
      <c r="D17" s="72"/>
      <c r="E17" s="71"/>
      <c r="F17" s="73"/>
      <c r="G17" s="124" t="s">
        <v>42</v>
      </c>
      <c r="H17" s="124"/>
      <c r="I17" s="124"/>
      <c r="J17" s="124"/>
      <c r="K17" s="124" t="s">
        <v>51</v>
      </c>
      <c r="L17" s="124"/>
      <c r="M17" s="124"/>
      <c r="N17" s="124"/>
      <c r="S17" s="46" t="s">
        <v>35</v>
      </c>
      <c r="U17" s="185"/>
      <c r="V17" s="164"/>
      <c r="W17" s="165" t="str">
        <f t="shared" si="0"/>
        <v/>
      </c>
      <c r="X17" s="165" t="str">
        <f t="shared" si="1"/>
        <v/>
      </c>
      <c r="Y17" s="75"/>
    </row>
    <row r="18" spans="1:25" s="78" customFormat="1" x14ac:dyDescent="0.2">
      <c r="C18" s="79"/>
      <c r="D18" s="80"/>
      <c r="F18" s="84"/>
      <c r="G18" s="120"/>
      <c r="H18" s="120"/>
      <c r="I18" s="120"/>
      <c r="J18" s="120"/>
      <c r="K18" s="120"/>
      <c r="L18" s="120"/>
      <c r="M18" s="120"/>
      <c r="N18" s="120"/>
      <c r="U18" s="185"/>
      <c r="V18" s="77"/>
      <c r="W18" s="165" t="str">
        <f t="shared" si="0"/>
        <v/>
      </c>
      <c r="X18" s="165" t="str">
        <f t="shared" si="1"/>
        <v/>
      </c>
      <c r="Y18" s="77"/>
    </row>
    <row r="19" spans="1:25" s="78" customFormat="1" ht="16" x14ac:dyDescent="0.2">
      <c r="A19" s="81" t="s">
        <v>58</v>
      </c>
      <c r="B19" s="81" t="s">
        <v>59</v>
      </c>
      <c r="C19" s="82" t="s">
        <v>60</v>
      </c>
      <c r="D19" s="80"/>
      <c r="E19" s="77" t="s">
        <v>61</v>
      </c>
      <c r="F19" s="84"/>
      <c r="G19" s="121" t="s">
        <v>33</v>
      </c>
      <c r="H19" s="121"/>
      <c r="I19" s="121"/>
      <c r="J19" s="121"/>
      <c r="K19" s="121"/>
      <c r="L19" s="121"/>
      <c r="M19" s="121"/>
      <c r="N19" s="121"/>
      <c r="S19" s="77" t="s">
        <v>35</v>
      </c>
      <c r="U19" s="185">
        <v>10</v>
      </c>
      <c r="V19" s="164">
        <f>1</f>
        <v>1</v>
      </c>
      <c r="W19" s="165">
        <f t="shared" si="0"/>
        <v>10</v>
      </c>
      <c r="X19" s="165">
        <f t="shared" si="1"/>
        <v>10</v>
      </c>
      <c r="Y19" s="77"/>
    </row>
    <row r="20" spans="1:25" s="78" customFormat="1" ht="16" x14ac:dyDescent="0.2">
      <c r="A20" s="81" t="s">
        <v>58</v>
      </c>
      <c r="B20" s="81" t="s">
        <v>62</v>
      </c>
      <c r="C20" s="82" t="s">
        <v>63</v>
      </c>
      <c r="D20" s="80"/>
      <c r="E20" s="77" t="s">
        <v>64</v>
      </c>
      <c r="F20" s="84"/>
      <c r="G20" s="121" t="s">
        <v>33</v>
      </c>
      <c r="H20" s="121"/>
      <c r="I20" s="121"/>
      <c r="J20" s="121"/>
      <c r="K20" s="121"/>
      <c r="L20" s="121"/>
      <c r="M20" s="121"/>
      <c r="N20" s="121"/>
      <c r="S20" s="77" t="s">
        <v>35</v>
      </c>
      <c r="U20" s="185">
        <v>10</v>
      </c>
      <c r="V20" s="164">
        <f>1</f>
        <v>1</v>
      </c>
      <c r="W20" s="165">
        <f t="shared" si="0"/>
        <v>10</v>
      </c>
      <c r="X20" s="165">
        <f t="shared" si="1"/>
        <v>10</v>
      </c>
      <c r="Y20" s="77"/>
    </row>
    <row r="21" spans="1:25" s="78" customFormat="1" x14ac:dyDescent="0.2">
      <c r="C21" s="79"/>
      <c r="D21" s="80"/>
      <c r="F21" s="84"/>
      <c r="G21" s="120"/>
      <c r="H21" s="120"/>
      <c r="I21" s="120"/>
      <c r="J21" s="120"/>
      <c r="K21" s="120"/>
      <c r="L21" s="120"/>
      <c r="M21" s="120"/>
      <c r="N21" s="120"/>
      <c r="U21" s="185"/>
      <c r="V21" s="164">
        <f>1</f>
        <v>1</v>
      </c>
      <c r="W21" s="165" t="str">
        <f t="shared" si="0"/>
        <v/>
      </c>
      <c r="X21" s="165" t="str">
        <f t="shared" si="1"/>
        <v/>
      </c>
      <c r="Y21" s="77"/>
    </row>
    <row r="22" spans="1:25" ht="16" x14ac:dyDescent="0.2">
      <c r="A22" s="76" t="s">
        <v>65</v>
      </c>
      <c r="B22" s="76" t="s">
        <v>66</v>
      </c>
      <c r="C22" s="45" t="s">
        <v>67</v>
      </c>
      <c r="D22" s="100"/>
      <c r="E22" s="81" t="s">
        <v>68</v>
      </c>
      <c r="F22" s="90"/>
      <c r="G22" s="119" t="s">
        <v>33</v>
      </c>
      <c r="H22" s="119"/>
      <c r="I22" s="119" t="s">
        <v>69</v>
      </c>
      <c r="J22" s="119"/>
      <c r="K22" s="119"/>
      <c r="L22" s="119"/>
      <c r="M22" s="119"/>
      <c r="N22" s="119"/>
      <c r="S22" s="46" t="s">
        <v>35</v>
      </c>
      <c r="U22" s="185">
        <v>13.753072738647459</v>
      </c>
      <c r="V22" s="164">
        <f>1</f>
        <v>1</v>
      </c>
      <c r="W22" s="165">
        <f t="shared" si="0"/>
        <v>13.753072738647459</v>
      </c>
      <c r="X22" s="165">
        <f t="shared" si="1"/>
        <v>13.753072738647459</v>
      </c>
    </row>
    <row r="23" spans="1:25" x14ac:dyDescent="0.2">
      <c r="D23" s="89"/>
      <c r="F23" s="90"/>
      <c r="U23" s="185"/>
      <c r="V23" s="164">
        <f>1</f>
        <v>1</v>
      </c>
      <c r="W23" s="165" t="str">
        <f t="shared" si="0"/>
        <v/>
      </c>
      <c r="X23" s="165" t="str">
        <f t="shared" si="1"/>
        <v/>
      </c>
    </row>
    <row r="24" spans="1:25" s="77" customFormat="1" ht="16" x14ac:dyDescent="0.2">
      <c r="A24" s="81" t="s">
        <v>70</v>
      </c>
      <c r="B24" s="81" t="s">
        <v>71</v>
      </c>
      <c r="C24" s="82" t="s">
        <v>72</v>
      </c>
      <c r="D24" s="100"/>
      <c r="E24" s="77" t="s">
        <v>73</v>
      </c>
      <c r="F24" s="102"/>
      <c r="G24" s="131" t="s">
        <v>33</v>
      </c>
      <c r="H24" s="131"/>
      <c r="I24" s="131"/>
      <c r="J24" s="131"/>
      <c r="K24" s="131"/>
      <c r="L24" s="131"/>
      <c r="M24" s="131"/>
      <c r="N24" s="131"/>
      <c r="S24" s="46" t="s">
        <v>35</v>
      </c>
      <c r="U24" s="185">
        <v>2.1173560619354248</v>
      </c>
      <c r="V24" s="164">
        <f>1</f>
        <v>1</v>
      </c>
      <c r="W24" s="165">
        <f t="shared" si="0"/>
        <v>2.1173560619354248</v>
      </c>
      <c r="X24" s="165">
        <f t="shared" si="1"/>
        <v>2.1173560619354248</v>
      </c>
    </row>
    <row r="25" spans="1:25" s="78" customFormat="1" x14ac:dyDescent="0.2">
      <c r="C25" s="79"/>
      <c r="D25" s="80"/>
      <c r="F25" s="84"/>
      <c r="G25" s="120"/>
      <c r="H25" s="120"/>
      <c r="I25" s="120"/>
      <c r="J25" s="127"/>
      <c r="K25" s="120"/>
      <c r="L25" s="120"/>
      <c r="M25" s="120"/>
      <c r="N25" s="120"/>
      <c r="U25" s="185"/>
      <c r="V25" s="164">
        <f>1</f>
        <v>1</v>
      </c>
      <c r="W25" s="165" t="str">
        <f t="shared" si="0"/>
        <v/>
      </c>
      <c r="X25" s="165" t="str">
        <f t="shared" si="1"/>
        <v/>
      </c>
      <c r="Y25" s="77"/>
    </row>
    <row r="26" spans="1:25" s="97" customFormat="1" ht="16" x14ac:dyDescent="0.2">
      <c r="A26" s="159" t="s">
        <v>58</v>
      </c>
      <c r="B26" s="159" t="s">
        <v>74</v>
      </c>
      <c r="C26" s="160" t="s">
        <v>75</v>
      </c>
      <c r="D26" s="162"/>
      <c r="E26" s="161"/>
      <c r="F26" s="163"/>
      <c r="G26" s="158" t="s">
        <v>33</v>
      </c>
      <c r="H26" s="158" t="s">
        <v>76</v>
      </c>
      <c r="I26" s="129" t="s">
        <v>77</v>
      </c>
      <c r="J26" s="158" t="s">
        <v>78</v>
      </c>
      <c r="K26" s="158"/>
      <c r="L26" s="158"/>
      <c r="M26" s="158"/>
      <c r="N26" s="128"/>
      <c r="S26" s="161" t="s">
        <v>79</v>
      </c>
      <c r="U26" s="185">
        <v>10</v>
      </c>
      <c r="V26" s="164">
        <f>1</f>
        <v>1</v>
      </c>
      <c r="W26" s="165">
        <f t="shared" si="0"/>
        <v>10</v>
      </c>
      <c r="X26" s="165" t="str">
        <f t="shared" si="1"/>
        <v/>
      </c>
    </row>
    <row r="27" spans="1:25" s="97" customFormat="1" ht="43.5" customHeight="1" x14ac:dyDescent="0.2">
      <c r="A27" s="159" t="s">
        <v>80</v>
      </c>
      <c r="B27" s="159" t="s">
        <v>81</v>
      </c>
      <c r="C27" s="160" t="s">
        <v>82</v>
      </c>
      <c r="D27" s="162"/>
      <c r="E27" s="161"/>
      <c r="F27" s="163"/>
      <c r="G27" s="158" t="s">
        <v>33</v>
      </c>
      <c r="H27" s="158"/>
      <c r="I27" s="128"/>
      <c r="J27" s="158"/>
      <c r="K27" s="158"/>
      <c r="L27" s="158"/>
      <c r="M27" s="158"/>
      <c r="N27" s="128"/>
      <c r="S27" s="161" t="s">
        <v>79</v>
      </c>
      <c r="U27" s="185">
        <v>10</v>
      </c>
      <c r="V27" s="164">
        <f>1</f>
        <v>1</v>
      </c>
      <c r="W27" s="165">
        <f t="shared" si="0"/>
        <v>10</v>
      </c>
      <c r="X27" s="165" t="str">
        <f t="shared" si="1"/>
        <v/>
      </c>
    </row>
    <row r="28" spans="1:25" s="97" customFormat="1" ht="16" x14ac:dyDescent="0.2">
      <c r="A28" s="159" t="s">
        <v>58</v>
      </c>
      <c r="B28" s="159" t="s">
        <v>83</v>
      </c>
      <c r="C28" s="160" t="s">
        <v>84</v>
      </c>
      <c r="D28" s="162"/>
      <c r="E28" s="161"/>
      <c r="F28" s="163"/>
      <c r="G28" s="158" t="s">
        <v>33</v>
      </c>
      <c r="H28" s="158" t="s">
        <v>76</v>
      </c>
      <c r="I28" s="129" t="s">
        <v>77</v>
      </c>
      <c r="J28" s="158" t="s">
        <v>78</v>
      </c>
      <c r="K28" s="158" t="s">
        <v>85</v>
      </c>
      <c r="L28" s="158"/>
      <c r="M28" s="158"/>
      <c r="N28" s="128"/>
      <c r="S28" s="161" t="s">
        <v>79</v>
      </c>
      <c r="U28" s="185">
        <v>10</v>
      </c>
      <c r="V28" s="164">
        <f>1</f>
        <v>1</v>
      </c>
      <c r="W28" s="165">
        <f t="shared" si="0"/>
        <v>10</v>
      </c>
      <c r="X28" s="165" t="str">
        <f t="shared" si="1"/>
        <v/>
      </c>
    </row>
    <row r="29" spans="1:25" s="97" customFormat="1" ht="16" x14ac:dyDescent="0.2">
      <c r="A29" s="159" t="s">
        <v>58</v>
      </c>
      <c r="B29" s="159" t="s">
        <v>86</v>
      </c>
      <c r="C29" s="160" t="s">
        <v>87</v>
      </c>
      <c r="D29" s="162"/>
      <c r="E29" s="161"/>
      <c r="F29" s="163"/>
      <c r="G29" s="158" t="s">
        <v>33</v>
      </c>
      <c r="H29" s="158"/>
      <c r="I29" s="128"/>
      <c r="J29" s="158"/>
      <c r="K29" s="158" t="s">
        <v>88</v>
      </c>
      <c r="L29" s="158"/>
      <c r="M29" s="158"/>
      <c r="N29" s="128"/>
      <c r="S29" s="161" t="s">
        <v>79</v>
      </c>
      <c r="U29" s="185">
        <v>10</v>
      </c>
      <c r="V29" s="164">
        <f>1</f>
        <v>1</v>
      </c>
      <c r="W29" s="165">
        <f t="shared" si="0"/>
        <v>10</v>
      </c>
      <c r="X29" s="165" t="str">
        <f t="shared" si="1"/>
        <v/>
      </c>
    </row>
    <row r="30" spans="1:25" s="97" customFormat="1" ht="43.5" customHeight="1" x14ac:dyDescent="0.2">
      <c r="A30" s="159" t="s">
        <v>80</v>
      </c>
      <c r="B30" s="159" t="s">
        <v>89</v>
      </c>
      <c r="C30" s="160" t="s">
        <v>82</v>
      </c>
      <c r="D30" s="162"/>
      <c r="E30" s="161"/>
      <c r="F30" s="163"/>
      <c r="G30" s="158" t="s">
        <v>33</v>
      </c>
      <c r="H30" s="158"/>
      <c r="I30" s="128"/>
      <c r="J30" s="158"/>
      <c r="K30" s="158" t="s">
        <v>85</v>
      </c>
      <c r="L30" s="158"/>
      <c r="M30" s="158"/>
      <c r="N30" s="128"/>
      <c r="S30" s="161" t="s">
        <v>79</v>
      </c>
      <c r="U30" s="185">
        <v>10</v>
      </c>
      <c r="V30" s="164">
        <f>1</f>
        <v>1</v>
      </c>
      <c r="W30" s="165">
        <f t="shared" si="0"/>
        <v>10</v>
      </c>
      <c r="X30" s="165" t="str">
        <f t="shared" si="1"/>
        <v/>
      </c>
    </row>
    <row r="31" spans="1:25" s="97" customFormat="1" ht="16" x14ac:dyDescent="0.2">
      <c r="A31" s="159" t="s">
        <v>58</v>
      </c>
      <c r="B31" s="159" t="s">
        <v>90</v>
      </c>
      <c r="C31" s="160" t="s">
        <v>84</v>
      </c>
      <c r="D31" s="162"/>
      <c r="E31" s="161"/>
      <c r="F31" s="163"/>
      <c r="G31" s="158" t="s">
        <v>33</v>
      </c>
      <c r="H31" s="158" t="s">
        <v>76</v>
      </c>
      <c r="I31" s="129" t="s">
        <v>77</v>
      </c>
      <c r="J31" s="158" t="s">
        <v>78</v>
      </c>
      <c r="K31" s="158" t="s">
        <v>91</v>
      </c>
      <c r="L31" s="158"/>
      <c r="M31" s="158"/>
      <c r="N31" s="128"/>
      <c r="S31" s="161" t="s">
        <v>79</v>
      </c>
      <c r="U31" s="185">
        <v>10</v>
      </c>
      <c r="V31" s="164">
        <f>1</f>
        <v>1</v>
      </c>
      <c r="W31" s="165">
        <f t="shared" si="0"/>
        <v>10</v>
      </c>
      <c r="X31" s="165" t="str">
        <f t="shared" si="1"/>
        <v/>
      </c>
    </row>
    <row r="32" spans="1:25" s="97" customFormat="1" ht="16" x14ac:dyDescent="0.2">
      <c r="A32" s="159" t="s">
        <v>58</v>
      </c>
      <c r="B32" s="159" t="s">
        <v>92</v>
      </c>
      <c r="C32" s="160" t="s">
        <v>87</v>
      </c>
      <c r="D32" s="162"/>
      <c r="E32" s="161"/>
      <c r="F32" s="163"/>
      <c r="G32" s="158" t="s">
        <v>33</v>
      </c>
      <c r="H32" s="158"/>
      <c r="I32" s="128"/>
      <c r="J32" s="158"/>
      <c r="K32" s="158" t="s">
        <v>93</v>
      </c>
      <c r="L32" s="158"/>
      <c r="M32" s="158"/>
      <c r="N32" s="128"/>
      <c r="S32" s="161" t="s">
        <v>79</v>
      </c>
      <c r="U32" s="185">
        <v>10</v>
      </c>
      <c r="V32" s="164">
        <f>1</f>
        <v>1</v>
      </c>
      <c r="W32" s="165">
        <f t="shared" si="0"/>
        <v>10</v>
      </c>
      <c r="X32" s="165" t="str">
        <f t="shared" si="1"/>
        <v/>
      </c>
    </row>
    <row r="33" spans="1:25" s="78" customFormat="1" x14ac:dyDescent="0.2">
      <c r="C33" s="79"/>
      <c r="D33" s="80"/>
      <c r="F33" s="84"/>
      <c r="G33" s="120"/>
      <c r="H33" s="120"/>
      <c r="I33" s="120"/>
      <c r="J33" s="127"/>
      <c r="K33" s="120"/>
      <c r="L33" s="120"/>
      <c r="M33" s="120"/>
      <c r="N33" s="120"/>
      <c r="U33" s="185"/>
      <c r="V33" s="164">
        <f>1</f>
        <v>1</v>
      </c>
      <c r="W33" s="165" t="str">
        <f t="shared" si="0"/>
        <v/>
      </c>
      <c r="X33" s="165" t="str">
        <f t="shared" si="1"/>
        <v/>
      </c>
      <c r="Y33" s="77"/>
    </row>
    <row r="34" spans="1:25" ht="16" x14ac:dyDescent="0.2">
      <c r="A34" s="76" t="s">
        <v>94</v>
      </c>
      <c r="B34" s="76" t="s">
        <v>95</v>
      </c>
      <c r="C34" s="45" t="s">
        <v>96</v>
      </c>
      <c r="D34" s="89"/>
      <c r="E34" s="76" t="s">
        <v>97</v>
      </c>
      <c r="F34" s="90"/>
      <c r="G34" s="119" t="s">
        <v>33</v>
      </c>
      <c r="H34" s="121" t="s">
        <v>98</v>
      </c>
      <c r="I34" s="119"/>
      <c r="J34" s="128"/>
      <c r="K34" s="119"/>
      <c r="L34" s="119"/>
      <c r="M34" s="119"/>
      <c r="N34" s="119"/>
      <c r="S34" s="46" t="s">
        <v>35</v>
      </c>
      <c r="U34" s="185">
        <v>8.8000000000000007</v>
      </c>
      <c r="V34" s="164">
        <f>1</f>
        <v>1</v>
      </c>
      <c r="W34" s="165">
        <f t="shared" si="0"/>
        <v>8.8000000000000007</v>
      </c>
      <c r="X34" s="165">
        <f t="shared" si="1"/>
        <v>8.8000000000000007</v>
      </c>
    </row>
    <row r="35" spans="1:25" x14ac:dyDescent="0.2">
      <c r="A35" s="76" t="s">
        <v>24</v>
      </c>
      <c r="B35" s="76" t="s">
        <v>99</v>
      </c>
      <c r="C35" s="45"/>
      <c r="D35" s="89"/>
      <c r="E35" s="76"/>
      <c r="F35" s="90"/>
      <c r="G35" s="119"/>
      <c r="H35" s="119"/>
      <c r="I35" s="119"/>
      <c r="J35" s="119"/>
      <c r="K35" s="119"/>
      <c r="L35" s="119"/>
      <c r="M35" s="119"/>
      <c r="N35" s="119" t="s">
        <v>100</v>
      </c>
      <c r="S35" s="46" t="s">
        <v>35</v>
      </c>
      <c r="U35" s="185"/>
      <c r="V35" s="164">
        <f>1</f>
        <v>1</v>
      </c>
      <c r="W35" s="165" t="str">
        <f t="shared" si="0"/>
        <v/>
      </c>
      <c r="X35" s="165" t="str">
        <f t="shared" si="1"/>
        <v/>
      </c>
    </row>
    <row r="36" spans="1:25" ht="16" x14ac:dyDescent="0.2">
      <c r="A36" s="76" t="s">
        <v>101</v>
      </c>
      <c r="B36" s="76" t="s">
        <v>102</v>
      </c>
      <c r="C36" s="45" t="s">
        <v>103</v>
      </c>
      <c r="D36" s="89"/>
      <c r="E36" s="76"/>
      <c r="F36" s="90"/>
      <c r="G36" s="119" t="s">
        <v>33</v>
      </c>
      <c r="H36" s="121" t="s">
        <v>98</v>
      </c>
      <c r="I36" s="119"/>
      <c r="J36" s="119"/>
      <c r="K36" s="119"/>
      <c r="L36" s="119" t="s">
        <v>104</v>
      </c>
      <c r="M36" s="119"/>
      <c r="N36" s="119"/>
      <c r="S36" s="46" t="s">
        <v>35</v>
      </c>
      <c r="U36" s="185">
        <v>10.4</v>
      </c>
      <c r="V36" s="164">
        <f>1</f>
        <v>1</v>
      </c>
      <c r="W36" s="165">
        <f t="shared" si="0"/>
        <v>10.4</v>
      </c>
      <c r="X36" s="165">
        <f t="shared" si="1"/>
        <v>10.4</v>
      </c>
    </row>
    <row r="37" spans="1:25" x14ac:dyDescent="0.2">
      <c r="A37" s="76" t="s">
        <v>24</v>
      </c>
      <c r="B37" s="76" t="s">
        <v>105</v>
      </c>
      <c r="C37" s="45"/>
      <c r="D37" s="89"/>
      <c r="E37" s="76"/>
      <c r="F37" s="90"/>
      <c r="G37" s="119"/>
      <c r="H37" s="119"/>
      <c r="I37" s="119"/>
      <c r="J37" s="119"/>
      <c r="K37" s="119"/>
      <c r="L37" s="119"/>
      <c r="M37" s="119"/>
      <c r="N37" s="119" t="s">
        <v>106</v>
      </c>
      <c r="S37" s="46" t="s">
        <v>35</v>
      </c>
      <c r="U37" s="185"/>
      <c r="V37" s="164">
        <f>1</f>
        <v>1</v>
      </c>
      <c r="W37" s="165" t="str">
        <f t="shared" si="0"/>
        <v/>
      </c>
      <c r="X37" s="165" t="str">
        <f t="shared" si="1"/>
        <v/>
      </c>
    </row>
    <row r="38" spans="1:25" x14ac:dyDescent="0.2">
      <c r="D38" s="89"/>
      <c r="F38" s="90"/>
      <c r="U38" s="185"/>
      <c r="V38" s="164">
        <f>1</f>
        <v>1</v>
      </c>
      <c r="W38" s="165" t="str">
        <f t="shared" si="0"/>
        <v/>
      </c>
      <c r="X38" s="165" t="str">
        <f t="shared" si="1"/>
        <v/>
      </c>
    </row>
    <row r="39" spans="1:25" s="47" customFormat="1" ht="43.5" customHeight="1" x14ac:dyDescent="0.2">
      <c r="A39" s="45" t="s">
        <v>107</v>
      </c>
      <c r="B39" s="45" t="s">
        <v>108</v>
      </c>
      <c r="C39" s="45" t="s">
        <v>109</v>
      </c>
      <c r="D39" s="89"/>
      <c r="E39" s="108" t="s">
        <v>110</v>
      </c>
      <c r="F39" s="89"/>
      <c r="G39" s="44" t="s">
        <v>33</v>
      </c>
      <c r="H39" s="44"/>
      <c r="I39" s="44"/>
      <c r="J39" s="44"/>
      <c r="K39" s="44"/>
      <c r="L39" s="44"/>
      <c r="M39" s="44"/>
      <c r="N39" s="44"/>
      <c r="S39" s="47" t="s">
        <v>35</v>
      </c>
      <c r="U39" s="188">
        <v>31.372377395629879</v>
      </c>
      <c r="V39" s="164">
        <f>1</f>
        <v>1</v>
      </c>
      <c r="W39" s="166">
        <f t="shared" si="0"/>
        <v>31.372377395629879</v>
      </c>
      <c r="X39" s="166">
        <f t="shared" si="1"/>
        <v>31.372377395629879</v>
      </c>
      <c r="Y39" s="48"/>
    </row>
    <row r="40" spans="1:25" s="227" customFormat="1" ht="43.5" customHeight="1" x14ac:dyDescent="0.2">
      <c r="A40" s="227" t="s">
        <v>111</v>
      </c>
      <c r="B40" s="227" t="s">
        <v>112</v>
      </c>
      <c r="C40" s="226" t="s">
        <v>113</v>
      </c>
      <c r="D40" s="228"/>
      <c r="E40" s="227" t="s">
        <v>114</v>
      </c>
      <c r="F40" s="228"/>
      <c r="G40" s="229" t="s">
        <v>33</v>
      </c>
      <c r="H40" s="229"/>
      <c r="I40" s="229"/>
      <c r="J40" s="229"/>
      <c r="K40" s="229"/>
      <c r="L40" s="229"/>
      <c r="M40" s="229"/>
      <c r="N40" s="229"/>
      <c r="S40" s="227" t="s">
        <v>43</v>
      </c>
      <c r="U40" s="230">
        <v>17</v>
      </c>
      <c r="V40" s="231">
        <f>1</f>
        <v>1</v>
      </c>
      <c r="W40" s="232">
        <f t="shared" si="0"/>
        <v>17</v>
      </c>
      <c r="X40" s="232" t="str">
        <f t="shared" si="1"/>
        <v/>
      </c>
    </row>
    <row r="41" spans="1:25" x14ac:dyDescent="0.2">
      <c r="D41" s="89"/>
      <c r="F41" s="90"/>
      <c r="U41" s="185"/>
      <c r="V41" s="164">
        <f>1</f>
        <v>1</v>
      </c>
      <c r="W41" s="165" t="str">
        <f t="shared" si="0"/>
        <v/>
      </c>
      <c r="X41" s="165" t="str">
        <f t="shared" si="1"/>
        <v/>
      </c>
    </row>
    <row r="42" spans="1:25" s="77" customFormat="1" ht="15" customHeight="1" thickBot="1" x14ac:dyDescent="0.25">
      <c r="A42" s="98" t="s">
        <v>115</v>
      </c>
      <c r="B42" s="98"/>
      <c r="C42" s="99"/>
      <c r="D42" s="93"/>
      <c r="E42" s="98"/>
      <c r="F42" s="94"/>
      <c r="G42" s="130"/>
      <c r="H42" s="130"/>
      <c r="I42" s="130"/>
      <c r="J42" s="130"/>
      <c r="K42" s="130"/>
      <c r="L42" s="130"/>
      <c r="M42" s="130"/>
      <c r="N42" s="130"/>
      <c r="U42" s="185"/>
      <c r="V42" s="164"/>
      <c r="W42" s="165" t="str">
        <f t="shared" si="0"/>
        <v/>
      </c>
      <c r="X42" s="165" t="str">
        <f t="shared" si="1"/>
        <v/>
      </c>
    </row>
    <row r="43" spans="1:25" s="74" customFormat="1" ht="15" customHeight="1" thickTop="1" x14ac:dyDescent="0.2">
      <c r="A43" s="71" t="s">
        <v>55</v>
      </c>
      <c r="B43" s="71" t="s">
        <v>116</v>
      </c>
      <c r="C43" s="95" t="s">
        <v>117</v>
      </c>
      <c r="D43" s="72"/>
      <c r="E43" s="71"/>
      <c r="F43" s="73"/>
      <c r="G43" s="124" t="s">
        <v>42</v>
      </c>
      <c r="H43" s="124"/>
      <c r="I43" s="124"/>
      <c r="J43" s="124"/>
      <c r="K43" s="124" t="s">
        <v>118</v>
      </c>
      <c r="L43" s="124"/>
      <c r="M43" s="124"/>
      <c r="N43" s="124"/>
      <c r="S43" s="46" t="s">
        <v>35</v>
      </c>
      <c r="U43" s="185"/>
      <c r="V43" s="164"/>
      <c r="W43" s="165" t="str">
        <f t="shared" si="0"/>
        <v/>
      </c>
      <c r="X43" s="165" t="str">
        <f t="shared" si="1"/>
        <v/>
      </c>
      <c r="Y43" s="75"/>
    </row>
    <row r="44" spans="1:25" x14ac:dyDescent="0.2">
      <c r="D44" s="89"/>
      <c r="F44" s="90"/>
      <c r="U44" s="185"/>
      <c r="V44" s="164">
        <f>1</f>
        <v>1</v>
      </c>
      <c r="W44" s="165" t="str">
        <f t="shared" si="0"/>
        <v/>
      </c>
      <c r="X44" s="165" t="str">
        <f t="shared" si="1"/>
        <v/>
      </c>
    </row>
    <row r="45" spans="1:25" ht="16" x14ac:dyDescent="0.2">
      <c r="A45" s="76" t="s">
        <v>111</v>
      </c>
      <c r="B45" s="76" t="s">
        <v>119</v>
      </c>
      <c r="C45" s="45" t="s">
        <v>120</v>
      </c>
      <c r="D45" s="89"/>
      <c r="E45" s="76"/>
      <c r="F45" s="90"/>
      <c r="G45" s="119" t="s">
        <v>33</v>
      </c>
      <c r="H45" s="119"/>
      <c r="I45" s="119"/>
      <c r="J45" s="119"/>
      <c r="K45" s="119"/>
      <c r="L45" s="119"/>
      <c r="M45" s="119"/>
      <c r="N45" s="119"/>
      <c r="S45" s="46" t="s">
        <v>35</v>
      </c>
      <c r="U45" s="209"/>
      <c r="V45" s="210"/>
      <c r="W45" s="211"/>
      <c r="X45" s="165"/>
    </row>
    <row r="46" spans="1:25" ht="16" x14ac:dyDescent="0.2">
      <c r="A46" s="76" t="s">
        <v>70</v>
      </c>
      <c r="B46" s="76" t="s">
        <v>121</v>
      </c>
      <c r="C46" s="45" t="s">
        <v>122</v>
      </c>
      <c r="D46" s="89"/>
      <c r="E46" s="76"/>
      <c r="F46" s="90"/>
      <c r="G46" s="119" t="s">
        <v>33</v>
      </c>
      <c r="H46" s="119"/>
      <c r="I46" s="119"/>
      <c r="J46" s="119"/>
      <c r="K46" s="119" t="s">
        <v>123</v>
      </c>
      <c r="L46" s="119"/>
      <c r="M46" s="119"/>
      <c r="N46" s="119"/>
      <c r="S46" s="46" t="s">
        <v>35</v>
      </c>
      <c r="U46" s="185">
        <v>10.08573150634766</v>
      </c>
      <c r="V46" s="164">
        <f>1</f>
        <v>1</v>
      </c>
      <c r="W46" s="165">
        <f t="shared" ref="W46:W54" si="2">IF(U46&lt;&gt;"",U46*V46,"")</f>
        <v>10.08573150634766</v>
      </c>
      <c r="X46" s="165">
        <f t="shared" ref="X46:X54" si="3">IF(AND(U46&lt;&gt;"",S46="yes"),U46*V46,"")</f>
        <v>10.08573150634766</v>
      </c>
    </row>
    <row r="47" spans="1:25" x14ac:dyDescent="0.2">
      <c r="D47" s="89"/>
      <c r="F47" s="90"/>
      <c r="U47" s="185"/>
      <c r="V47" s="164">
        <f>1</f>
        <v>1</v>
      </c>
      <c r="W47" s="165" t="str">
        <f t="shared" si="2"/>
        <v/>
      </c>
      <c r="X47" s="165" t="str">
        <f t="shared" si="3"/>
        <v/>
      </c>
    </row>
    <row r="48" spans="1:25" ht="16" x14ac:dyDescent="0.2">
      <c r="A48" s="76" t="s">
        <v>124</v>
      </c>
      <c r="B48" s="76" t="s">
        <v>125</v>
      </c>
      <c r="C48" s="45" t="s">
        <v>126</v>
      </c>
      <c r="D48" s="89"/>
      <c r="E48" s="76"/>
      <c r="F48" s="90"/>
      <c r="G48" s="119" t="s">
        <v>33</v>
      </c>
      <c r="H48" s="119"/>
      <c r="I48" s="119"/>
      <c r="J48" s="119"/>
      <c r="K48" s="119"/>
      <c r="L48" s="119"/>
      <c r="M48" s="119"/>
      <c r="N48" s="119"/>
      <c r="S48" s="46" t="s">
        <v>35</v>
      </c>
      <c r="U48" s="185">
        <v>12.894034385681151</v>
      </c>
      <c r="V48" s="164">
        <f>1</f>
        <v>1</v>
      </c>
      <c r="W48" s="165">
        <f t="shared" si="2"/>
        <v>12.894034385681151</v>
      </c>
      <c r="X48" s="165">
        <f t="shared" si="3"/>
        <v>12.894034385681151</v>
      </c>
    </row>
    <row r="49" spans="1:25" x14ac:dyDescent="0.2">
      <c r="D49" s="89"/>
      <c r="F49" s="90"/>
      <c r="U49" s="185"/>
      <c r="V49" s="164">
        <f>1</f>
        <v>1</v>
      </c>
      <c r="W49" s="165" t="str">
        <f t="shared" si="2"/>
        <v/>
      </c>
      <c r="X49" s="165" t="str">
        <f t="shared" si="3"/>
        <v/>
      </c>
    </row>
    <row r="50" spans="1:25" s="77" customFormat="1" ht="16" x14ac:dyDescent="0.2">
      <c r="A50" s="77" t="s">
        <v>127</v>
      </c>
      <c r="B50" s="77" t="s">
        <v>128</v>
      </c>
      <c r="C50" s="48" t="s">
        <v>129</v>
      </c>
      <c r="D50" s="100"/>
      <c r="E50" s="101"/>
      <c r="F50" s="102"/>
      <c r="G50" s="126" t="s">
        <v>33</v>
      </c>
      <c r="H50" s="131"/>
      <c r="I50" s="131"/>
      <c r="J50" s="131"/>
      <c r="K50" s="131"/>
      <c r="L50" s="131"/>
      <c r="M50" s="131"/>
      <c r="N50" s="131"/>
      <c r="S50" s="77" t="s">
        <v>35</v>
      </c>
      <c r="U50" s="185">
        <v>15.265829086303709</v>
      </c>
      <c r="V50" s="164">
        <f>1</f>
        <v>1</v>
      </c>
      <c r="W50" s="165">
        <f t="shared" si="2"/>
        <v>15.265829086303709</v>
      </c>
      <c r="X50" s="165">
        <f t="shared" si="3"/>
        <v>15.265829086303709</v>
      </c>
    </row>
    <row r="51" spans="1:25" s="77" customFormat="1" ht="16" x14ac:dyDescent="0.2">
      <c r="A51" s="77" t="s">
        <v>130</v>
      </c>
      <c r="B51" s="77" t="s">
        <v>131</v>
      </c>
      <c r="C51" s="48" t="s">
        <v>132</v>
      </c>
      <c r="D51" s="100"/>
      <c r="E51" s="101"/>
      <c r="F51" s="102"/>
      <c r="G51" s="126" t="s">
        <v>33</v>
      </c>
      <c r="H51" s="131"/>
      <c r="I51" s="131"/>
      <c r="J51" s="131"/>
      <c r="K51" s="131"/>
      <c r="L51" s="131"/>
      <c r="M51" s="131"/>
      <c r="N51" s="131"/>
      <c r="S51" s="77" t="s">
        <v>35</v>
      </c>
      <c r="U51" s="185">
        <v>15.12371826171875</v>
      </c>
      <c r="V51" s="164">
        <f>1</f>
        <v>1</v>
      </c>
      <c r="W51" s="165">
        <f t="shared" si="2"/>
        <v>15.12371826171875</v>
      </c>
      <c r="X51" s="165">
        <f t="shared" si="3"/>
        <v>15.12371826171875</v>
      </c>
    </row>
    <row r="52" spans="1:25" s="77" customFormat="1" ht="16" x14ac:dyDescent="0.2">
      <c r="A52" s="77" t="s">
        <v>133</v>
      </c>
      <c r="B52" s="77" t="s">
        <v>134</v>
      </c>
      <c r="C52" s="48" t="s">
        <v>135</v>
      </c>
      <c r="D52" s="100"/>
      <c r="E52" s="101"/>
      <c r="F52" s="102"/>
      <c r="G52" s="126" t="s">
        <v>33</v>
      </c>
      <c r="H52" s="131"/>
      <c r="I52" s="131"/>
      <c r="J52" s="131"/>
      <c r="K52" s="131"/>
      <c r="L52" s="131"/>
      <c r="M52" s="131"/>
      <c r="N52" s="131"/>
      <c r="S52" s="77" t="s">
        <v>35</v>
      </c>
      <c r="U52" s="185">
        <v>13.76013851165771</v>
      </c>
      <c r="V52" s="164">
        <f>1</f>
        <v>1</v>
      </c>
      <c r="W52" s="165">
        <f t="shared" si="2"/>
        <v>13.76013851165771</v>
      </c>
      <c r="X52" s="165">
        <f t="shared" si="3"/>
        <v>13.76013851165771</v>
      </c>
    </row>
    <row r="53" spans="1:25" s="77" customFormat="1" x14ac:dyDescent="0.2">
      <c r="C53" s="48"/>
      <c r="D53" s="100"/>
      <c r="E53" s="101"/>
      <c r="F53" s="102"/>
      <c r="G53" s="131"/>
      <c r="H53" s="131"/>
      <c r="I53" s="131"/>
      <c r="J53" s="131"/>
      <c r="K53" s="131"/>
      <c r="L53" s="131"/>
      <c r="M53" s="131"/>
      <c r="N53" s="131"/>
      <c r="U53" s="185"/>
      <c r="V53" s="164">
        <f>1</f>
        <v>1</v>
      </c>
      <c r="W53" s="165" t="str">
        <f t="shared" si="2"/>
        <v/>
      </c>
      <c r="X53" s="165" t="str">
        <f t="shared" si="3"/>
        <v/>
      </c>
    </row>
    <row r="54" spans="1:25" s="243" customFormat="1" ht="16" x14ac:dyDescent="0.2">
      <c r="A54" s="243" t="s">
        <v>136</v>
      </c>
      <c r="B54" s="243" t="s">
        <v>137</v>
      </c>
      <c r="C54" s="244" t="s">
        <v>138</v>
      </c>
      <c r="D54" s="244"/>
      <c r="E54" s="243" t="s">
        <v>139</v>
      </c>
      <c r="G54" s="247" t="s">
        <v>33</v>
      </c>
      <c r="H54" s="247"/>
      <c r="I54" s="247"/>
      <c r="J54" s="247"/>
      <c r="K54" s="247"/>
      <c r="L54" s="247"/>
      <c r="M54" s="247"/>
      <c r="N54" s="247"/>
      <c r="S54" s="243" t="s">
        <v>43</v>
      </c>
      <c r="U54" s="248">
        <v>30.646188735961911</v>
      </c>
      <c r="V54" s="249">
        <f>1</f>
        <v>1</v>
      </c>
      <c r="W54" s="250">
        <f t="shared" si="2"/>
        <v>30.646188735961911</v>
      </c>
      <c r="X54" s="250" t="str">
        <f t="shared" si="3"/>
        <v/>
      </c>
    </row>
    <row r="55" spans="1:25" s="245" customFormat="1" x14ac:dyDescent="0.2">
      <c r="A55" s="245" t="s">
        <v>65</v>
      </c>
      <c r="B55" s="245" t="s">
        <v>140</v>
      </c>
      <c r="C55" s="245" t="s">
        <v>141</v>
      </c>
      <c r="D55" s="246"/>
      <c r="E55" s="245" t="s">
        <v>142</v>
      </c>
      <c r="G55" s="255" t="s">
        <v>33</v>
      </c>
      <c r="H55" s="251"/>
      <c r="I55" s="251" t="s">
        <v>143</v>
      </c>
      <c r="J55" s="251"/>
      <c r="K55" s="251" t="s">
        <v>144</v>
      </c>
      <c r="L55" s="251"/>
      <c r="M55" s="251"/>
      <c r="N55" s="251"/>
      <c r="U55" s="252"/>
      <c r="V55" s="253"/>
      <c r="W55" s="254"/>
      <c r="X55" s="254"/>
    </row>
    <row r="56" spans="1:25" s="227" customFormat="1" ht="16" x14ac:dyDescent="0.2">
      <c r="A56" s="227" t="s">
        <v>65</v>
      </c>
      <c r="B56" s="227" t="s">
        <v>145</v>
      </c>
      <c r="C56" s="226" t="s">
        <v>146</v>
      </c>
      <c r="D56" s="233"/>
      <c r="E56" s="227" t="s">
        <v>147</v>
      </c>
      <c r="F56" s="228"/>
      <c r="G56" s="229" t="s">
        <v>33</v>
      </c>
      <c r="H56" s="229"/>
      <c r="I56" s="229" t="s">
        <v>143</v>
      </c>
      <c r="J56" s="229"/>
      <c r="K56" s="229"/>
      <c r="L56" s="229"/>
      <c r="M56" s="229"/>
      <c r="N56" s="229"/>
      <c r="S56" s="227" t="s">
        <v>43</v>
      </c>
      <c r="U56" s="230">
        <v>15.21184825897217</v>
      </c>
      <c r="V56" s="231">
        <f>1</f>
        <v>1</v>
      </c>
      <c r="W56" s="232">
        <f>IF(U56&lt;&gt;"",U56*V56,"")</f>
        <v>15.21184825897217</v>
      </c>
      <c r="X56" s="232" t="str">
        <f>IF(AND(U56&lt;&gt;"",S56="yes"),U56*V56,"")</f>
        <v/>
      </c>
    </row>
    <row r="57" spans="1:25" s="227" customFormat="1" ht="16" x14ac:dyDescent="0.2">
      <c r="A57" s="227" t="s">
        <v>148</v>
      </c>
      <c r="B57" s="227" t="s">
        <v>149</v>
      </c>
      <c r="C57" s="226" t="s">
        <v>150</v>
      </c>
      <c r="D57" s="233"/>
      <c r="E57" s="227" t="s">
        <v>151</v>
      </c>
      <c r="F57" s="228"/>
      <c r="G57" s="229" t="s">
        <v>33</v>
      </c>
      <c r="H57" s="229"/>
      <c r="I57" s="229" t="s">
        <v>152</v>
      </c>
      <c r="J57" s="229"/>
      <c r="K57" s="229"/>
      <c r="L57" s="229"/>
      <c r="M57" s="229"/>
      <c r="N57" s="229"/>
      <c r="S57" s="227" t="s">
        <v>43</v>
      </c>
      <c r="U57" s="230">
        <v>17</v>
      </c>
      <c r="V57" s="231">
        <f>1</f>
        <v>1</v>
      </c>
      <c r="W57" s="232">
        <f>IF(U57&lt;&gt;"",U57*V57,"")</f>
        <v>17</v>
      </c>
      <c r="X57" s="232" t="str">
        <f>IF(AND(U57&lt;&gt;"",S57="yes"),U57*V57,"")</f>
        <v/>
      </c>
    </row>
    <row r="58" spans="1:25" s="227" customFormat="1" ht="29" customHeight="1" x14ac:dyDescent="0.2">
      <c r="A58" s="227" t="s">
        <v>153</v>
      </c>
      <c r="B58" s="227" t="s">
        <v>154</v>
      </c>
      <c r="C58" s="226" t="s">
        <v>155</v>
      </c>
      <c r="D58" s="233"/>
      <c r="E58" s="227" t="s">
        <v>151</v>
      </c>
      <c r="F58" s="228"/>
      <c r="G58" s="229" t="s">
        <v>33</v>
      </c>
      <c r="H58" s="229"/>
      <c r="I58" s="229" t="s">
        <v>152</v>
      </c>
      <c r="J58" s="229"/>
      <c r="K58" s="229"/>
      <c r="L58" s="229"/>
      <c r="M58" s="229"/>
      <c r="N58" s="229"/>
      <c r="S58" s="227" t="s">
        <v>43</v>
      </c>
      <c r="U58" s="230">
        <v>17</v>
      </c>
      <c r="V58" s="231">
        <f>1</f>
        <v>1</v>
      </c>
      <c r="W58" s="232">
        <f>IF(U58&lt;&gt;"",U58*V58,"")</f>
        <v>17</v>
      </c>
      <c r="X58" s="232" t="str">
        <f>IF(AND(U58&lt;&gt;"",S58="yes"),U58*V58,"")</f>
        <v/>
      </c>
    </row>
    <row r="59" spans="1:25" s="245" customFormat="1" ht="16" x14ac:dyDescent="0.2">
      <c r="A59" s="245" t="s">
        <v>156</v>
      </c>
      <c r="B59" s="245" t="s">
        <v>157</v>
      </c>
      <c r="C59" s="246" t="s">
        <v>158</v>
      </c>
      <c r="D59" s="246"/>
      <c r="E59" s="245" t="s">
        <v>159</v>
      </c>
      <c r="G59" s="255" t="s">
        <v>33</v>
      </c>
      <c r="H59" s="251"/>
      <c r="I59" s="251" t="s">
        <v>152</v>
      </c>
      <c r="J59" s="251"/>
      <c r="K59" s="251"/>
      <c r="L59" s="251"/>
      <c r="M59" s="251"/>
      <c r="N59" s="251"/>
      <c r="U59" s="252"/>
      <c r="V59" s="253"/>
      <c r="W59" s="254"/>
      <c r="X59" s="254"/>
    </row>
    <row r="60" spans="1:25" s="245" customFormat="1" ht="29" customHeight="1" x14ac:dyDescent="0.2">
      <c r="A60" s="245" t="s">
        <v>111</v>
      </c>
      <c r="B60" s="245" t="s">
        <v>160</v>
      </c>
      <c r="C60" s="246" t="s">
        <v>161</v>
      </c>
      <c r="D60" s="246"/>
      <c r="G60" s="255" t="s">
        <v>33</v>
      </c>
      <c r="H60" s="251"/>
      <c r="I60" s="251"/>
      <c r="J60" s="251"/>
      <c r="K60" s="251"/>
      <c r="L60" s="251"/>
      <c r="M60" s="251"/>
      <c r="N60" s="251"/>
      <c r="U60" s="252"/>
      <c r="V60" s="253"/>
      <c r="W60" s="254"/>
      <c r="X60" s="254"/>
    </row>
    <row r="61" spans="1:25" s="227" customFormat="1" ht="16" x14ac:dyDescent="0.2">
      <c r="A61" s="227" t="s">
        <v>162</v>
      </c>
      <c r="B61" s="227" t="s">
        <v>163</v>
      </c>
      <c r="C61" s="226" t="s">
        <v>164</v>
      </c>
      <c r="D61" s="233"/>
      <c r="F61" s="228"/>
      <c r="G61" s="229" t="s">
        <v>33</v>
      </c>
      <c r="H61" s="229"/>
      <c r="I61" s="229"/>
      <c r="J61" s="229"/>
      <c r="K61" s="229"/>
      <c r="L61" s="229"/>
      <c r="M61" s="229"/>
      <c r="N61" s="229"/>
      <c r="S61" s="227" t="s">
        <v>43</v>
      </c>
      <c r="U61" s="230">
        <v>17</v>
      </c>
      <c r="V61" s="231">
        <f>1</f>
        <v>1</v>
      </c>
      <c r="W61" s="232">
        <f t="shared" ref="W61:W72" si="4">IF(U61&lt;&gt;"",U61*V61,"")</f>
        <v>17</v>
      </c>
      <c r="X61" s="232" t="str">
        <f t="shared" ref="X61:X72" si="5">IF(AND(U61&lt;&gt;"",S61="yes"),U61*V61,"")</f>
        <v/>
      </c>
    </row>
    <row r="62" spans="1:25" s="227" customFormat="1" ht="16" x14ac:dyDescent="0.2">
      <c r="A62" s="227" t="s">
        <v>165</v>
      </c>
      <c r="B62" s="227" t="s">
        <v>166</v>
      </c>
      <c r="C62" s="226" t="s">
        <v>167</v>
      </c>
      <c r="D62" s="233"/>
      <c r="F62" s="228"/>
      <c r="G62" s="229" t="s">
        <v>33</v>
      </c>
      <c r="H62" s="229"/>
      <c r="I62" s="229"/>
      <c r="J62" s="229"/>
      <c r="K62" s="229"/>
      <c r="L62" s="229"/>
      <c r="M62" s="229"/>
      <c r="N62" s="229"/>
      <c r="S62" s="227" t="s">
        <v>43</v>
      </c>
      <c r="U62" s="230">
        <v>8.2288064956665039</v>
      </c>
      <c r="V62" s="231">
        <f>1</f>
        <v>1</v>
      </c>
      <c r="W62" s="232">
        <f t="shared" si="4"/>
        <v>8.2288064956665039</v>
      </c>
      <c r="X62" s="232" t="str">
        <f t="shared" si="5"/>
        <v/>
      </c>
    </row>
    <row r="63" spans="1:25" s="78" customFormat="1" x14ac:dyDescent="0.2">
      <c r="C63" s="79"/>
      <c r="D63" s="80"/>
      <c r="F63" s="84"/>
      <c r="G63" s="120"/>
      <c r="H63" s="120"/>
      <c r="I63" s="120"/>
      <c r="J63" s="120"/>
      <c r="K63" s="120"/>
      <c r="L63" s="120"/>
      <c r="M63" s="120"/>
      <c r="N63" s="120"/>
      <c r="U63" s="185"/>
      <c r="V63" s="164">
        <f>1</f>
        <v>1</v>
      </c>
      <c r="W63" s="165" t="str">
        <f t="shared" si="4"/>
        <v/>
      </c>
      <c r="X63" s="165" t="str">
        <f t="shared" si="5"/>
        <v/>
      </c>
      <c r="Y63" s="77"/>
    </row>
    <row r="64" spans="1:25" ht="15" customHeight="1" thickBot="1" x14ac:dyDescent="0.25">
      <c r="A64" s="103" t="s">
        <v>115</v>
      </c>
      <c r="B64" s="103"/>
      <c r="C64" s="104"/>
      <c r="D64" s="111"/>
      <c r="E64" s="103"/>
      <c r="F64" s="112"/>
      <c r="G64" s="132"/>
      <c r="H64" s="132"/>
      <c r="I64" s="132"/>
      <c r="J64" s="132"/>
      <c r="K64" s="132"/>
      <c r="L64" s="132"/>
      <c r="M64" s="132"/>
      <c r="N64" s="132"/>
      <c r="U64" s="185"/>
      <c r="V64" s="164">
        <f>1</f>
        <v>1</v>
      </c>
      <c r="W64" s="165" t="str">
        <f t="shared" si="4"/>
        <v/>
      </c>
      <c r="X64" s="165" t="str">
        <f t="shared" si="5"/>
        <v/>
      </c>
    </row>
    <row r="65" spans="1:25" s="74" customFormat="1" ht="15" customHeight="1" thickTop="1" x14ac:dyDescent="0.2">
      <c r="A65" s="83" t="s">
        <v>55</v>
      </c>
      <c r="B65" s="83" t="s">
        <v>168</v>
      </c>
      <c r="C65" s="105" t="s">
        <v>169</v>
      </c>
      <c r="D65" s="172"/>
      <c r="E65" s="83"/>
      <c r="F65" s="173"/>
      <c r="G65" s="133" t="s">
        <v>42</v>
      </c>
      <c r="H65" s="133"/>
      <c r="I65" s="133"/>
      <c r="J65" s="133"/>
      <c r="K65" s="133" t="s">
        <v>118</v>
      </c>
      <c r="L65" s="133"/>
      <c r="M65" s="133"/>
      <c r="N65" s="133"/>
      <c r="S65" s="46" t="s">
        <v>35</v>
      </c>
      <c r="U65" s="185"/>
      <c r="V65" s="164">
        <f>1</f>
        <v>1</v>
      </c>
      <c r="W65" s="165" t="str">
        <f t="shared" si="4"/>
        <v/>
      </c>
      <c r="X65" s="165" t="str">
        <f t="shared" si="5"/>
        <v/>
      </c>
      <c r="Y65" s="75"/>
    </row>
    <row r="66" spans="1:25" x14ac:dyDescent="0.2">
      <c r="D66" s="89"/>
      <c r="F66" s="90"/>
      <c r="U66" s="185"/>
      <c r="V66" s="164">
        <f>1</f>
        <v>1</v>
      </c>
      <c r="W66" s="165" t="str">
        <f t="shared" si="4"/>
        <v/>
      </c>
      <c r="X66" s="165" t="str">
        <f t="shared" si="5"/>
        <v/>
      </c>
    </row>
    <row r="67" spans="1:25" ht="16" x14ac:dyDescent="0.2">
      <c r="A67" s="81" t="s">
        <v>170</v>
      </c>
      <c r="B67" s="81" t="s">
        <v>171</v>
      </c>
      <c r="C67" s="82" t="s">
        <v>172</v>
      </c>
      <c r="D67" s="100"/>
      <c r="E67" s="77" t="s">
        <v>173</v>
      </c>
      <c r="F67" s="102"/>
      <c r="G67" s="121" t="s">
        <v>33</v>
      </c>
      <c r="H67" s="121" t="s">
        <v>174</v>
      </c>
      <c r="I67" s="121"/>
      <c r="J67" s="121"/>
      <c r="K67" s="121"/>
      <c r="L67" s="121"/>
      <c r="M67" s="121"/>
      <c r="N67" s="121"/>
      <c r="S67" s="46" t="s">
        <v>35</v>
      </c>
      <c r="U67" s="185">
        <v>36.928733825683587</v>
      </c>
      <c r="V67" s="164">
        <f>1</f>
        <v>1</v>
      </c>
      <c r="W67" s="165">
        <f t="shared" si="4"/>
        <v>36.928733825683587</v>
      </c>
      <c r="X67" s="165">
        <f t="shared" si="5"/>
        <v>36.928733825683587</v>
      </c>
    </row>
    <row r="68" spans="1:25" x14ac:dyDescent="0.2">
      <c r="A68" s="81" t="s">
        <v>24</v>
      </c>
      <c r="B68" s="81" t="s">
        <v>175</v>
      </c>
      <c r="C68" s="82"/>
      <c r="D68" s="100"/>
      <c r="E68" s="77"/>
      <c r="F68" s="102"/>
      <c r="G68" s="121"/>
      <c r="H68" s="121"/>
      <c r="I68" s="121"/>
      <c r="J68" s="121"/>
      <c r="K68" s="121"/>
      <c r="L68" s="121"/>
      <c r="M68" s="121"/>
      <c r="N68" s="121" t="s">
        <v>176</v>
      </c>
      <c r="S68" s="46" t="s">
        <v>35</v>
      </c>
      <c r="U68" s="185"/>
      <c r="V68" s="164">
        <f>1</f>
        <v>1</v>
      </c>
      <c r="W68" s="165" t="str">
        <f t="shared" si="4"/>
        <v/>
      </c>
      <c r="X68" s="165" t="str">
        <f t="shared" si="5"/>
        <v/>
      </c>
    </row>
    <row r="69" spans="1:25" ht="16" x14ac:dyDescent="0.2">
      <c r="A69" s="81" t="s">
        <v>111</v>
      </c>
      <c r="B69" s="81" t="s">
        <v>177</v>
      </c>
      <c r="C69" s="82" t="s">
        <v>178</v>
      </c>
      <c r="D69" s="100"/>
      <c r="E69" s="77"/>
      <c r="F69" s="102"/>
      <c r="G69" s="121" t="s">
        <v>33</v>
      </c>
      <c r="H69" s="121"/>
      <c r="I69" s="121"/>
      <c r="J69" s="121"/>
      <c r="K69" s="121" t="s">
        <v>179</v>
      </c>
      <c r="L69" s="121"/>
      <c r="M69" s="121"/>
      <c r="N69" s="121"/>
      <c r="S69" s="46" t="s">
        <v>35</v>
      </c>
      <c r="U69" s="185">
        <v>0</v>
      </c>
      <c r="V69" s="164">
        <f>1</f>
        <v>1</v>
      </c>
      <c r="W69" s="165">
        <f t="shared" si="4"/>
        <v>0</v>
      </c>
      <c r="X69" s="165">
        <f t="shared" si="5"/>
        <v>0</v>
      </c>
    </row>
    <row r="70" spans="1:25" ht="29" customHeight="1" x14ac:dyDescent="0.2">
      <c r="A70" s="81" t="s">
        <v>111</v>
      </c>
      <c r="B70" s="81" t="s">
        <v>180</v>
      </c>
      <c r="C70" s="82" t="s">
        <v>181</v>
      </c>
      <c r="D70" s="100"/>
      <c r="E70" s="77"/>
      <c r="F70" s="102"/>
      <c r="G70" s="121" t="s">
        <v>33</v>
      </c>
      <c r="H70" s="121"/>
      <c r="I70" s="121"/>
      <c r="J70" s="121"/>
      <c r="K70" s="121" t="s">
        <v>182</v>
      </c>
      <c r="L70" s="121"/>
      <c r="M70" s="121"/>
      <c r="N70" s="121"/>
      <c r="S70" s="46" t="s">
        <v>35</v>
      </c>
      <c r="U70" s="185">
        <v>0</v>
      </c>
      <c r="V70" s="164">
        <f>1</f>
        <v>1</v>
      </c>
      <c r="W70" s="165">
        <f t="shared" si="4"/>
        <v>0</v>
      </c>
      <c r="X70" s="165">
        <f t="shared" si="5"/>
        <v>0</v>
      </c>
    </row>
    <row r="71" spans="1:25" ht="29" customHeight="1" x14ac:dyDescent="0.2">
      <c r="A71" s="81" t="s">
        <v>111</v>
      </c>
      <c r="B71" s="81" t="s">
        <v>183</v>
      </c>
      <c r="C71" s="82" t="s">
        <v>184</v>
      </c>
      <c r="D71" s="100"/>
      <c r="E71" s="77"/>
      <c r="F71" s="102"/>
      <c r="G71" s="121" t="s">
        <v>33</v>
      </c>
      <c r="H71" s="121"/>
      <c r="I71" s="121"/>
      <c r="J71" s="121"/>
      <c r="K71" s="121" t="s">
        <v>185</v>
      </c>
      <c r="L71" s="121"/>
      <c r="M71" s="121"/>
      <c r="N71" s="121"/>
      <c r="S71" s="46" t="s">
        <v>35</v>
      </c>
      <c r="U71" s="185">
        <v>0</v>
      </c>
      <c r="V71" s="164">
        <f>1</f>
        <v>1</v>
      </c>
      <c r="W71" s="165">
        <f t="shared" si="4"/>
        <v>0</v>
      </c>
      <c r="X71" s="165">
        <f t="shared" si="5"/>
        <v>0</v>
      </c>
    </row>
    <row r="72" spans="1:25" x14ac:dyDescent="0.2">
      <c r="D72" s="89"/>
      <c r="F72" s="90"/>
      <c r="U72" s="185"/>
      <c r="V72" s="164">
        <f>1</f>
        <v>1</v>
      </c>
      <c r="W72" s="165" t="str">
        <f t="shared" si="4"/>
        <v/>
      </c>
      <c r="X72" s="165" t="str">
        <f t="shared" si="5"/>
        <v/>
      </c>
    </row>
    <row r="73" spans="1:25" s="81" customFormat="1" x14ac:dyDescent="0.2">
      <c r="A73" s="81" t="s">
        <v>186</v>
      </c>
      <c r="B73" s="81" t="s">
        <v>187</v>
      </c>
      <c r="C73" s="81" t="s">
        <v>188</v>
      </c>
      <c r="D73" s="102"/>
      <c r="F73" s="102"/>
      <c r="G73" s="121" t="s">
        <v>33</v>
      </c>
      <c r="H73" s="121"/>
      <c r="I73" s="121"/>
      <c r="J73" s="121"/>
      <c r="K73" s="121" t="s">
        <v>189</v>
      </c>
      <c r="L73" s="121"/>
      <c r="M73" s="121"/>
      <c r="N73" s="121"/>
      <c r="S73" s="81" t="s">
        <v>35</v>
      </c>
      <c r="U73" s="186"/>
      <c r="V73" s="212"/>
      <c r="W73" s="213"/>
      <c r="X73" s="213"/>
    </row>
    <row r="74" spans="1:25" s="81" customFormat="1" x14ac:dyDescent="0.2">
      <c r="A74" s="81" t="s">
        <v>190</v>
      </c>
      <c r="B74" s="81" t="s">
        <v>191</v>
      </c>
      <c r="C74" s="81" t="s">
        <v>192</v>
      </c>
      <c r="D74" s="102"/>
      <c r="F74" s="102"/>
      <c r="G74" s="121" t="s">
        <v>33</v>
      </c>
      <c r="H74" s="121"/>
      <c r="I74" s="121"/>
      <c r="J74" s="121"/>
      <c r="K74" s="121" t="s">
        <v>189</v>
      </c>
      <c r="L74" s="121"/>
      <c r="M74" s="121"/>
      <c r="N74" s="121"/>
      <c r="S74" s="81" t="s">
        <v>35</v>
      </c>
      <c r="U74" s="186"/>
      <c r="V74" s="212"/>
      <c r="W74" s="213"/>
      <c r="X74" s="213"/>
    </row>
    <row r="75" spans="1:25" x14ac:dyDescent="0.2">
      <c r="D75" s="89"/>
      <c r="F75" s="90"/>
      <c r="U75" s="185"/>
      <c r="V75" s="164">
        <f>1</f>
        <v>1</v>
      </c>
      <c r="W75" s="165" t="str">
        <f t="shared" ref="W75:W83" si="6">IF(U75&lt;&gt;"",U75*V75,"")</f>
        <v/>
      </c>
      <c r="X75" s="165" t="str">
        <f t="shared" ref="X75:X83" si="7">IF(AND(U75&lt;&gt;"",S75="yes"),U75*V75,"")</f>
        <v/>
      </c>
    </row>
    <row r="76" spans="1:25" ht="29" customHeight="1" x14ac:dyDescent="0.2">
      <c r="A76" s="81" t="s">
        <v>193</v>
      </c>
      <c r="B76" s="81" t="s">
        <v>194</v>
      </c>
      <c r="C76" s="82" t="s">
        <v>195</v>
      </c>
      <c r="D76" s="100"/>
      <c r="E76" s="81"/>
      <c r="F76" s="102"/>
      <c r="G76" s="121" t="s">
        <v>33</v>
      </c>
      <c r="H76" s="121"/>
      <c r="I76" s="121"/>
      <c r="J76" s="121"/>
      <c r="K76" s="121" t="s">
        <v>189</v>
      </c>
      <c r="L76" s="121"/>
      <c r="M76" s="121"/>
      <c r="N76" s="121"/>
      <c r="S76" s="46" t="s">
        <v>35</v>
      </c>
      <c r="U76" s="185">
        <v>27.242166519165039</v>
      </c>
      <c r="V76" s="164">
        <f>1</f>
        <v>1</v>
      </c>
      <c r="W76" s="165">
        <f t="shared" si="6"/>
        <v>27.242166519165039</v>
      </c>
      <c r="X76" s="165">
        <f t="shared" si="7"/>
        <v>27.242166519165039</v>
      </c>
    </row>
    <row r="77" spans="1:25" x14ac:dyDescent="0.2">
      <c r="D77" s="89"/>
      <c r="F77" s="90"/>
      <c r="U77" s="185"/>
      <c r="V77" s="164">
        <f>1</f>
        <v>1</v>
      </c>
      <c r="W77" s="165" t="str">
        <f t="shared" si="6"/>
        <v/>
      </c>
      <c r="X77" s="165" t="str">
        <f t="shared" si="7"/>
        <v/>
      </c>
    </row>
    <row r="78" spans="1:25" ht="29" customHeight="1" x14ac:dyDescent="0.2">
      <c r="A78" s="81" t="s">
        <v>196</v>
      </c>
      <c r="B78" s="81" t="s">
        <v>197</v>
      </c>
      <c r="C78" s="82" t="s">
        <v>198</v>
      </c>
      <c r="D78" s="100"/>
      <c r="E78" s="77" t="s">
        <v>199</v>
      </c>
      <c r="F78" s="102"/>
      <c r="G78" s="121" t="s">
        <v>33</v>
      </c>
      <c r="H78" s="121" t="s">
        <v>174</v>
      </c>
      <c r="I78" s="121"/>
      <c r="J78" s="121"/>
      <c r="K78" s="121" t="s">
        <v>189</v>
      </c>
      <c r="L78" s="121" t="s">
        <v>200</v>
      </c>
      <c r="M78" s="121"/>
      <c r="N78" s="121"/>
      <c r="S78" s="46" t="s">
        <v>35</v>
      </c>
      <c r="U78" s="185">
        <v>25.308004379272461</v>
      </c>
      <c r="V78" s="164">
        <f>1</f>
        <v>1</v>
      </c>
      <c r="W78" s="165">
        <f t="shared" si="6"/>
        <v>25.308004379272461</v>
      </c>
      <c r="X78" s="165">
        <f t="shared" si="7"/>
        <v>25.308004379272461</v>
      </c>
    </row>
    <row r="79" spans="1:25" x14ac:dyDescent="0.2">
      <c r="A79" s="81" t="s">
        <v>24</v>
      </c>
      <c r="B79" s="81" t="s">
        <v>201</v>
      </c>
      <c r="C79" s="82"/>
      <c r="D79" s="100"/>
      <c r="E79" s="77"/>
      <c r="F79" s="102"/>
      <c r="G79" s="121"/>
      <c r="H79" s="121"/>
      <c r="I79" s="121"/>
      <c r="J79" s="121"/>
      <c r="K79" s="121"/>
      <c r="L79" s="121"/>
      <c r="M79" s="121"/>
      <c r="N79" s="121" t="s">
        <v>202</v>
      </c>
      <c r="S79" s="46" t="s">
        <v>35</v>
      </c>
      <c r="U79" s="185"/>
      <c r="V79" s="164">
        <f>1</f>
        <v>1</v>
      </c>
      <c r="W79" s="165" t="str">
        <f t="shared" si="6"/>
        <v/>
      </c>
      <c r="X79" s="165" t="str">
        <f t="shared" si="7"/>
        <v/>
      </c>
    </row>
    <row r="80" spans="1:25" ht="16" x14ac:dyDescent="0.2">
      <c r="A80" s="81" t="s">
        <v>111</v>
      </c>
      <c r="B80" s="81" t="s">
        <v>203</v>
      </c>
      <c r="C80" s="82" t="s">
        <v>178</v>
      </c>
      <c r="D80" s="100"/>
      <c r="E80" s="77"/>
      <c r="F80" s="102"/>
      <c r="G80" s="121" t="s">
        <v>33</v>
      </c>
      <c r="H80" s="121"/>
      <c r="I80" s="121"/>
      <c r="J80" s="121"/>
      <c r="K80" s="121" t="s">
        <v>204</v>
      </c>
      <c r="L80" s="121"/>
      <c r="M80" s="121"/>
      <c r="N80" s="121"/>
      <c r="S80" s="46" t="s">
        <v>35</v>
      </c>
      <c r="U80" s="185">
        <v>0</v>
      </c>
      <c r="V80" s="164">
        <f>1</f>
        <v>1</v>
      </c>
      <c r="W80" s="165">
        <f t="shared" si="6"/>
        <v>0</v>
      </c>
      <c r="X80" s="165">
        <f t="shared" si="7"/>
        <v>0</v>
      </c>
    </row>
    <row r="81" spans="1:25" ht="29" customHeight="1" x14ac:dyDescent="0.2">
      <c r="A81" s="81" t="s">
        <v>111</v>
      </c>
      <c r="B81" s="81" t="s">
        <v>205</v>
      </c>
      <c r="C81" s="82" t="s">
        <v>181</v>
      </c>
      <c r="D81" s="100"/>
      <c r="E81" s="77"/>
      <c r="F81" s="102"/>
      <c r="G81" s="121" t="s">
        <v>33</v>
      </c>
      <c r="H81" s="121"/>
      <c r="I81" s="121"/>
      <c r="J81" s="121"/>
      <c r="K81" s="121" t="s">
        <v>206</v>
      </c>
      <c r="L81" s="121"/>
      <c r="M81" s="121"/>
      <c r="N81" s="121"/>
      <c r="S81" s="46" t="s">
        <v>35</v>
      </c>
      <c r="U81" s="185">
        <v>0</v>
      </c>
      <c r="V81" s="164">
        <f>1</f>
        <v>1</v>
      </c>
      <c r="W81" s="165">
        <f t="shared" si="6"/>
        <v>0</v>
      </c>
      <c r="X81" s="165">
        <f t="shared" si="7"/>
        <v>0</v>
      </c>
    </row>
    <row r="82" spans="1:25" ht="29" customHeight="1" x14ac:dyDescent="0.2">
      <c r="A82" s="81" t="s">
        <v>111</v>
      </c>
      <c r="B82" s="81" t="s">
        <v>207</v>
      </c>
      <c r="C82" s="82" t="s">
        <v>184</v>
      </c>
      <c r="D82" s="100"/>
      <c r="E82" s="77"/>
      <c r="F82" s="102"/>
      <c r="G82" s="121" t="s">
        <v>33</v>
      </c>
      <c r="H82" s="121"/>
      <c r="I82" s="121"/>
      <c r="J82" s="121"/>
      <c r="K82" s="121" t="s">
        <v>208</v>
      </c>
      <c r="L82" s="121"/>
      <c r="M82" s="121"/>
      <c r="N82" s="121"/>
      <c r="S82" s="46" t="s">
        <v>35</v>
      </c>
      <c r="U82" s="185">
        <v>0</v>
      </c>
      <c r="V82" s="164">
        <f>1</f>
        <v>1</v>
      </c>
      <c r="W82" s="165">
        <f t="shared" si="6"/>
        <v>0</v>
      </c>
      <c r="X82" s="165">
        <f t="shared" si="7"/>
        <v>0</v>
      </c>
    </row>
    <row r="83" spans="1:25" x14ac:dyDescent="0.2">
      <c r="D83" s="89"/>
      <c r="F83" s="90"/>
      <c r="U83" s="185"/>
      <c r="V83" s="164">
        <f>1</f>
        <v>1</v>
      </c>
      <c r="W83" s="165" t="str">
        <f t="shared" si="6"/>
        <v/>
      </c>
      <c r="X83" s="165" t="str">
        <f t="shared" si="7"/>
        <v/>
      </c>
    </row>
    <row r="84" spans="1:25" s="227" customFormat="1" x14ac:dyDescent="0.2">
      <c r="A84" s="227" t="s">
        <v>186</v>
      </c>
      <c r="B84" s="227" t="s">
        <v>209</v>
      </c>
      <c r="C84" s="227" t="s">
        <v>188</v>
      </c>
      <c r="D84" s="228"/>
      <c r="F84" s="228"/>
      <c r="G84" s="229" t="s">
        <v>33</v>
      </c>
      <c r="H84" s="229"/>
      <c r="I84" s="229"/>
      <c r="J84" s="229"/>
      <c r="K84" s="229" t="s">
        <v>210</v>
      </c>
      <c r="L84" s="229"/>
      <c r="M84" s="229"/>
      <c r="N84" s="229"/>
      <c r="S84" s="227" t="s">
        <v>43</v>
      </c>
      <c r="U84" s="230"/>
      <c r="V84" s="231"/>
      <c r="W84" s="232"/>
      <c r="X84" s="232"/>
    </row>
    <row r="85" spans="1:25" s="78" customFormat="1" x14ac:dyDescent="0.2">
      <c r="C85" s="79"/>
      <c r="D85" s="80"/>
      <c r="F85" s="84"/>
      <c r="G85" s="120"/>
      <c r="H85" s="120"/>
      <c r="I85" s="120"/>
      <c r="J85" s="120"/>
      <c r="K85" s="120"/>
      <c r="L85" s="120"/>
      <c r="M85" s="120"/>
      <c r="N85" s="120"/>
      <c r="U85" s="185"/>
      <c r="V85" s="164">
        <f>1</f>
        <v>1</v>
      </c>
      <c r="W85" s="165" t="str">
        <f t="shared" ref="W85:W93" si="8">IF(U85&lt;&gt;"",U85*V85,"")</f>
        <v/>
      </c>
      <c r="X85" s="165" t="str">
        <f t="shared" ref="X85:X93" si="9">IF(AND(U85&lt;&gt;"",S85="yes"),U85*V85,"")</f>
        <v/>
      </c>
      <c r="Y85" s="77"/>
    </row>
    <row r="86" spans="1:25" ht="29" customHeight="1" x14ac:dyDescent="0.2">
      <c r="A86" s="81" t="s">
        <v>193</v>
      </c>
      <c r="B86" s="81" t="s">
        <v>211</v>
      </c>
      <c r="C86" s="82" t="s">
        <v>212</v>
      </c>
      <c r="D86" s="100"/>
      <c r="E86" s="81"/>
      <c r="F86" s="102"/>
      <c r="G86" s="121" t="s">
        <v>33</v>
      </c>
      <c r="H86" s="121"/>
      <c r="I86" s="121"/>
      <c r="J86" s="121"/>
      <c r="K86" s="121" t="s">
        <v>210</v>
      </c>
      <c r="L86" s="121"/>
      <c r="M86" s="121"/>
      <c r="N86" s="121"/>
      <c r="S86" s="46" t="s">
        <v>35</v>
      </c>
      <c r="U86" s="185">
        <v>21.193256378173832</v>
      </c>
      <c r="V86" s="164">
        <f>1</f>
        <v>1</v>
      </c>
      <c r="W86" s="165">
        <f t="shared" si="8"/>
        <v>21.193256378173832</v>
      </c>
      <c r="X86" s="165">
        <f t="shared" si="9"/>
        <v>21.193256378173832</v>
      </c>
    </row>
    <row r="87" spans="1:25" x14ac:dyDescent="0.2">
      <c r="D87" s="89"/>
      <c r="F87" s="90"/>
      <c r="K87" s="131"/>
      <c r="U87" s="185"/>
      <c r="V87" s="164">
        <f>1</f>
        <v>1</v>
      </c>
      <c r="W87" s="165" t="str">
        <f t="shared" si="8"/>
        <v/>
      </c>
      <c r="X87" s="165" t="str">
        <f t="shared" si="9"/>
        <v/>
      </c>
    </row>
    <row r="88" spans="1:25" x14ac:dyDescent="0.2">
      <c r="A88" s="81" t="s">
        <v>213</v>
      </c>
      <c r="B88" s="81" t="s">
        <v>214</v>
      </c>
      <c r="C88" s="81" t="s">
        <v>215</v>
      </c>
      <c r="D88" s="102"/>
      <c r="E88" s="77" t="s">
        <v>199</v>
      </c>
      <c r="F88" s="102"/>
      <c r="G88" s="121" t="s">
        <v>33</v>
      </c>
      <c r="H88" s="121" t="s">
        <v>174</v>
      </c>
      <c r="I88" s="121"/>
      <c r="J88" s="121"/>
      <c r="K88" s="121" t="s">
        <v>210</v>
      </c>
      <c r="L88" s="121" t="s">
        <v>216</v>
      </c>
      <c r="M88" s="121"/>
      <c r="N88" s="121"/>
      <c r="S88" s="46" t="s">
        <v>35</v>
      </c>
      <c r="U88" s="185">
        <v>20.229927062988281</v>
      </c>
      <c r="V88" s="164">
        <f>1</f>
        <v>1</v>
      </c>
      <c r="W88" s="165">
        <f t="shared" si="8"/>
        <v>20.229927062988281</v>
      </c>
      <c r="X88" s="165">
        <f t="shared" si="9"/>
        <v>20.229927062988281</v>
      </c>
    </row>
    <row r="89" spans="1:25" x14ac:dyDescent="0.2">
      <c r="A89" s="81" t="s">
        <v>24</v>
      </c>
      <c r="B89" s="81" t="s">
        <v>217</v>
      </c>
      <c r="C89" s="82"/>
      <c r="D89" s="100"/>
      <c r="E89" s="77"/>
      <c r="F89" s="102"/>
      <c r="G89" s="121"/>
      <c r="H89" s="121"/>
      <c r="I89" s="121"/>
      <c r="J89" s="121"/>
      <c r="K89" s="121"/>
      <c r="L89" s="121"/>
      <c r="M89" s="121"/>
      <c r="N89" s="121" t="s">
        <v>218</v>
      </c>
      <c r="S89" s="46" t="s">
        <v>35</v>
      </c>
      <c r="U89" s="185"/>
      <c r="V89" s="164">
        <f>1</f>
        <v>1</v>
      </c>
      <c r="W89" s="165" t="str">
        <f t="shared" si="8"/>
        <v/>
      </c>
      <c r="X89" s="165" t="str">
        <f t="shared" si="9"/>
        <v/>
      </c>
    </row>
    <row r="90" spans="1:25" ht="16" x14ac:dyDescent="0.2">
      <c r="A90" s="81" t="s">
        <v>111</v>
      </c>
      <c r="B90" s="81" t="s">
        <v>219</v>
      </c>
      <c r="C90" s="82" t="s">
        <v>178</v>
      </c>
      <c r="D90" s="100"/>
      <c r="E90" s="77"/>
      <c r="F90" s="102"/>
      <c r="G90" s="121" t="s">
        <v>33</v>
      </c>
      <c r="H90" s="121"/>
      <c r="I90" s="121"/>
      <c r="J90" s="121"/>
      <c r="K90" s="121" t="s">
        <v>220</v>
      </c>
      <c r="L90" s="121"/>
      <c r="M90" s="121"/>
      <c r="N90" s="121"/>
      <c r="S90" s="46" t="s">
        <v>35</v>
      </c>
      <c r="U90" s="185">
        <v>0</v>
      </c>
      <c r="V90" s="164">
        <f>1</f>
        <v>1</v>
      </c>
      <c r="W90" s="165">
        <f t="shared" si="8"/>
        <v>0</v>
      </c>
      <c r="X90" s="165">
        <f t="shared" si="9"/>
        <v>0</v>
      </c>
    </row>
    <row r="91" spans="1:25" ht="29" customHeight="1" x14ac:dyDescent="0.2">
      <c r="A91" s="81" t="s">
        <v>111</v>
      </c>
      <c r="B91" s="81" t="s">
        <v>221</v>
      </c>
      <c r="C91" s="82" t="s">
        <v>181</v>
      </c>
      <c r="D91" s="100"/>
      <c r="E91" s="77"/>
      <c r="F91" s="102"/>
      <c r="G91" s="121" t="s">
        <v>33</v>
      </c>
      <c r="H91" s="121"/>
      <c r="I91" s="121"/>
      <c r="J91" s="121"/>
      <c r="K91" s="121" t="s">
        <v>222</v>
      </c>
      <c r="L91" s="121"/>
      <c r="M91" s="121"/>
      <c r="N91" s="121"/>
      <c r="S91" s="46" t="s">
        <v>35</v>
      </c>
      <c r="U91" s="185">
        <v>0</v>
      </c>
      <c r="V91" s="164">
        <f>1</f>
        <v>1</v>
      </c>
      <c r="W91" s="165">
        <f t="shared" si="8"/>
        <v>0</v>
      </c>
      <c r="X91" s="165">
        <f t="shared" si="9"/>
        <v>0</v>
      </c>
    </row>
    <row r="92" spans="1:25" ht="29" customHeight="1" x14ac:dyDescent="0.2">
      <c r="A92" s="81" t="s">
        <v>111</v>
      </c>
      <c r="B92" s="81" t="s">
        <v>223</v>
      </c>
      <c r="C92" s="82" t="s">
        <v>184</v>
      </c>
      <c r="D92" s="100"/>
      <c r="E92" s="77"/>
      <c r="F92" s="102"/>
      <c r="G92" s="121" t="s">
        <v>33</v>
      </c>
      <c r="H92" s="121"/>
      <c r="I92" s="121"/>
      <c r="J92" s="121"/>
      <c r="K92" s="121" t="s">
        <v>224</v>
      </c>
      <c r="L92" s="121"/>
      <c r="M92" s="121"/>
      <c r="N92" s="121"/>
      <c r="S92" s="46" t="s">
        <v>35</v>
      </c>
      <c r="U92" s="185">
        <v>0</v>
      </c>
      <c r="V92" s="164">
        <f>1</f>
        <v>1</v>
      </c>
      <c r="W92" s="165">
        <f t="shared" si="8"/>
        <v>0</v>
      </c>
      <c r="X92" s="165">
        <f t="shared" si="9"/>
        <v>0</v>
      </c>
    </row>
    <row r="93" spans="1:25" x14ac:dyDescent="0.2">
      <c r="D93" s="89"/>
      <c r="F93" s="90"/>
      <c r="U93" s="185"/>
      <c r="V93" s="164">
        <f>1</f>
        <v>1</v>
      </c>
      <c r="W93" s="165" t="str">
        <f t="shared" si="8"/>
        <v/>
      </c>
      <c r="X93" s="165" t="str">
        <f t="shared" si="9"/>
        <v/>
      </c>
    </row>
    <row r="94" spans="1:25" s="227" customFormat="1" x14ac:dyDescent="0.2">
      <c r="A94" s="227" t="s">
        <v>186</v>
      </c>
      <c r="B94" s="227" t="s">
        <v>225</v>
      </c>
      <c r="C94" s="227" t="s">
        <v>188</v>
      </c>
      <c r="D94" s="228"/>
      <c r="F94" s="228"/>
      <c r="G94" s="229" t="s">
        <v>33</v>
      </c>
      <c r="H94" s="229"/>
      <c r="I94" s="229"/>
      <c r="J94" s="229"/>
      <c r="K94" s="229" t="s">
        <v>226</v>
      </c>
      <c r="L94" s="229"/>
      <c r="M94" s="229"/>
      <c r="N94" s="229"/>
      <c r="S94" s="227" t="s">
        <v>43</v>
      </c>
      <c r="U94" s="230"/>
      <c r="V94" s="231"/>
      <c r="W94" s="232"/>
      <c r="X94" s="232"/>
    </row>
    <row r="95" spans="1:25" s="78" customFormat="1" x14ac:dyDescent="0.2">
      <c r="C95" s="79"/>
      <c r="D95" s="80"/>
      <c r="F95" s="106"/>
      <c r="G95" s="120"/>
      <c r="H95" s="120"/>
      <c r="I95" s="120"/>
      <c r="J95" s="120"/>
      <c r="K95" s="134"/>
      <c r="L95" s="120"/>
      <c r="M95" s="120"/>
      <c r="N95" s="120"/>
      <c r="U95" s="185"/>
      <c r="V95" s="164">
        <f>1</f>
        <v>1</v>
      </c>
      <c r="W95" s="165" t="str">
        <f t="shared" ref="W95:W119" si="10">IF(U95&lt;&gt;"",U95*V95,"")</f>
        <v/>
      </c>
      <c r="X95" s="165" t="str">
        <f t="shared" ref="X95:X119" si="11">IF(AND(U95&lt;&gt;"",S95="yes"),U95*V95,"")</f>
        <v/>
      </c>
      <c r="Y95" s="77"/>
    </row>
    <row r="96" spans="1:25" ht="29" customHeight="1" x14ac:dyDescent="0.2">
      <c r="A96" s="81" t="s">
        <v>193</v>
      </c>
      <c r="B96" s="81" t="s">
        <v>227</v>
      </c>
      <c r="C96" s="82" t="s">
        <v>228</v>
      </c>
      <c r="D96" s="100"/>
      <c r="E96" s="81"/>
      <c r="F96" s="102"/>
      <c r="G96" s="121" t="s">
        <v>33</v>
      </c>
      <c r="H96" s="121"/>
      <c r="I96" s="121"/>
      <c r="J96" s="121"/>
      <c r="K96" s="121" t="s">
        <v>226</v>
      </c>
      <c r="L96" s="121"/>
      <c r="M96" s="121"/>
      <c r="N96" s="121"/>
      <c r="S96" s="46" t="s">
        <v>35</v>
      </c>
      <c r="U96" s="185">
        <v>16.348396301269531</v>
      </c>
      <c r="V96" s="164">
        <f>1</f>
        <v>1</v>
      </c>
      <c r="W96" s="165">
        <f t="shared" si="10"/>
        <v>16.348396301269531</v>
      </c>
      <c r="X96" s="165">
        <f t="shared" si="11"/>
        <v>16.348396301269531</v>
      </c>
    </row>
    <row r="97" spans="1:25" s="78" customFormat="1" x14ac:dyDescent="0.2">
      <c r="C97" s="79"/>
      <c r="D97" s="80"/>
      <c r="F97" s="84"/>
      <c r="G97" s="120"/>
      <c r="H97" s="120"/>
      <c r="I97" s="120"/>
      <c r="J97" s="120"/>
      <c r="K97" s="120"/>
      <c r="L97" s="120"/>
      <c r="M97" s="120"/>
      <c r="N97" s="120"/>
      <c r="U97" s="185"/>
      <c r="V97" s="164">
        <f>1</f>
        <v>1</v>
      </c>
      <c r="W97" s="165" t="str">
        <f t="shared" si="10"/>
        <v/>
      </c>
      <c r="X97" s="165" t="str">
        <f t="shared" si="11"/>
        <v/>
      </c>
      <c r="Y97" s="77"/>
    </row>
    <row r="98" spans="1:25" s="265" customFormat="1" ht="59.25" customHeight="1" x14ac:dyDescent="0.2">
      <c r="A98" s="269" t="s">
        <v>229</v>
      </c>
      <c r="B98" s="269" t="s">
        <v>230</v>
      </c>
      <c r="C98" s="270" t="s">
        <v>231</v>
      </c>
      <c r="D98" s="246"/>
      <c r="E98" s="269" t="s">
        <v>232</v>
      </c>
      <c r="F98" s="245"/>
      <c r="G98" s="267" t="s">
        <v>33</v>
      </c>
      <c r="H98" s="267"/>
      <c r="I98" s="267" t="s">
        <v>233</v>
      </c>
      <c r="J98" s="267"/>
      <c r="K98" s="267"/>
      <c r="L98" s="267"/>
      <c r="M98" s="267"/>
      <c r="N98" s="267"/>
      <c r="S98" s="265" t="s">
        <v>35</v>
      </c>
      <c r="U98" s="252">
        <v>46.247528076171882</v>
      </c>
      <c r="V98" s="253">
        <f>1</f>
        <v>1</v>
      </c>
      <c r="W98" s="254">
        <f t="shared" si="10"/>
        <v>46.247528076171882</v>
      </c>
      <c r="X98" s="254">
        <f t="shared" si="11"/>
        <v>46.247528076171882</v>
      </c>
      <c r="Y98" s="245"/>
    </row>
    <row r="99" spans="1:25" x14ac:dyDescent="0.2">
      <c r="D99" s="89"/>
      <c r="F99" s="90"/>
      <c r="U99" s="185"/>
      <c r="V99" s="164">
        <f>1</f>
        <v>1</v>
      </c>
      <c r="W99" s="165" t="str">
        <f t="shared" si="10"/>
        <v/>
      </c>
      <c r="X99" s="165" t="str">
        <f t="shared" si="11"/>
        <v/>
      </c>
    </row>
    <row r="100" spans="1:25" ht="15" customHeight="1" thickBot="1" x14ac:dyDescent="0.25">
      <c r="A100" s="98" t="s">
        <v>115</v>
      </c>
      <c r="B100" s="98"/>
      <c r="C100" s="99"/>
      <c r="D100" s="93"/>
      <c r="E100" s="98"/>
      <c r="F100" s="94"/>
      <c r="G100" s="130"/>
      <c r="H100" s="130"/>
      <c r="I100" s="130"/>
      <c r="J100" s="130"/>
      <c r="K100" s="130"/>
      <c r="L100" s="130"/>
      <c r="M100" s="130"/>
      <c r="N100" s="130"/>
      <c r="U100" s="185"/>
      <c r="V100" s="77"/>
      <c r="W100" s="165" t="str">
        <f t="shared" si="10"/>
        <v/>
      </c>
      <c r="X100" s="165" t="str">
        <f t="shared" si="11"/>
        <v/>
      </c>
    </row>
    <row r="101" spans="1:25" s="74" customFormat="1" ht="15" customHeight="1" thickTop="1" x14ac:dyDescent="0.2">
      <c r="A101" s="71" t="s">
        <v>55</v>
      </c>
      <c r="B101" s="71" t="s">
        <v>234</v>
      </c>
      <c r="C101" s="95" t="s">
        <v>235</v>
      </c>
      <c r="D101" s="72"/>
      <c r="E101" s="71"/>
      <c r="F101" s="73"/>
      <c r="G101" s="124" t="s">
        <v>42</v>
      </c>
      <c r="H101" s="124"/>
      <c r="I101" s="124"/>
      <c r="J101" s="124"/>
      <c r="K101" s="124" t="s">
        <v>236</v>
      </c>
      <c r="L101" s="124"/>
      <c r="M101" s="124"/>
      <c r="N101" s="124"/>
      <c r="S101" s="46" t="s">
        <v>35</v>
      </c>
      <c r="U101" s="185"/>
      <c r="V101" s="75"/>
      <c r="W101" s="165" t="str">
        <f t="shared" si="10"/>
        <v/>
      </c>
      <c r="X101" s="165" t="str">
        <f t="shared" si="11"/>
        <v/>
      </c>
      <c r="Y101" s="75"/>
    </row>
    <row r="102" spans="1:25" s="47" customFormat="1" ht="49.25" customHeight="1" x14ac:dyDescent="0.2">
      <c r="A102" s="45" t="s">
        <v>38</v>
      </c>
      <c r="B102" s="45" t="s">
        <v>237</v>
      </c>
      <c r="C102" s="45" t="s">
        <v>238</v>
      </c>
      <c r="D102" s="89"/>
      <c r="E102" s="45"/>
      <c r="F102" s="89"/>
      <c r="G102" s="44"/>
      <c r="H102" s="44"/>
      <c r="I102" s="44"/>
      <c r="J102" s="44"/>
      <c r="K102" s="44"/>
      <c r="L102" s="44"/>
      <c r="M102" s="44"/>
      <c r="N102" s="44"/>
      <c r="S102" s="47" t="s">
        <v>35</v>
      </c>
      <c r="U102" s="188">
        <v>7.5</v>
      </c>
      <c r="V102" s="167">
        <f>'Additional information'!$D$18</f>
        <v>0.91</v>
      </c>
      <c r="W102" s="166">
        <f t="shared" si="10"/>
        <v>6.8250000000000002</v>
      </c>
      <c r="X102" s="166">
        <f t="shared" si="11"/>
        <v>6.8250000000000002</v>
      </c>
      <c r="Y102" s="48"/>
    </row>
    <row r="103" spans="1:25" x14ac:dyDescent="0.2">
      <c r="D103" s="89"/>
      <c r="F103" s="90"/>
      <c r="U103" s="185"/>
      <c r="V103" s="164">
        <f>'Additional information'!$D$18</f>
        <v>0.91</v>
      </c>
      <c r="W103" s="165" t="str">
        <f t="shared" si="10"/>
        <v/>
      </c>
      <c r="X103" s="165" t="str">
        <f t="shared" si="11"/>
        <v/>
      </c>
    </row>
    <row r="104" spans="1:25" s="77" customFormat="1" ht="16" x14ac:dyDescent="0.2">
      <c r="A104" s="81" t="s">
        <v>239</v>
      </c>
      <c r="B104" s="81" t="s">
        <v>240</v>
      </c>
      <c r="C104" s="82" t="s">
        <v>241</v>
      </c>
      <c r="D104" s="100"/>
      <c r="E104" s="81" t="s">
        <v>242</v>
      </c>
      <c r="F104" s="102"/>
      <c r="G104" s="121" t="s">
        <v>33</v>
      </c>
      <c r="H104" s="121"/>
      <c r="I104" s="121" t="s">
        <v>243</v>
      </c>
      <c r="J104" s="121"/>
      <c r="K104" s="121"/>
      <c r="L104" s="121"/>
      <c r="M104" s="121"/>
      <c r="N104" s="121"/>
      <c r="S104" s="77" t="s">
        <v>35</v>
      </c>
      <c r="U104" s="185">
        <v>17</v>
      </c>
      <c r="V104" s="164">
        <f>'Additional information'!$D$18</f>
        <v>0.91</v>
      </c>
      <c r="W104" s="165">
        <f t="shared" si="10"/>
        <v>15.47</v>
      </c>
      <c r="X104" s="165">
        <f t="shared" si="11"/>
        <v>15.47</v>
      </c>
    </row>
    <row r="105" spans="1:25" s="77" customFormat="1" ht="16" x14ac:dyDescent="0.2">
      <c r="A105" s="81" t="s">
        <v>244</v>
      </c>
      <c r="B105" s="81" t="s">
        <v>245</v>
      </c>
      <c r="C105" s="82" t="s">
        <v>246</v>
      </c>
      <c r="D105" s="100"/>
      <c r="E105" s="81" t="s">
        <v>247</v>
      </c>
      <c r="F105" s="102"/>
      <c r="G105" s="121" t="s">
        <v>33</v>
      </c>
      <c r="H105" s="121"/>
      <c r="I105" s="121"/>
      <c r="J105" s="121"/>
      <c r="K105" s="121" t="s">
        <v>248</v>
      </c>
      <c r="L105" s="121"/>
      <c r="M105" s="121"/>
      <c r="N105" s="121"/>
      <c r="S105" s="77" t="s">
        <v>35</v>
      </c>
      <c r="U105" s="185">
        <v>0</v>
      </c>
      <c r="V105" s="164">
        <f>'Additional information'!$D$18</f>
        <v>0.91</v>
      </c>
      <c r="W105" s="165">
        <f t="shared" si="10"/>
        <v>0</v>
      </c>
      <c r="X105" s="165">
        <f t="shared" si="11"/>
        <v>0</v>
      </c>
    </row>
    <row r="106" spans="1:25" s="74" customFormat="1" x14ac:dyDescent="0.2">
      <c r="C106" s="96"/>
      <c r="D106" s="72"/>
      <c r="F106" s="73"/>
      <c r="G106" s="125"/>
      <c r="H106" s="125"/>
      <c r="I106" s="125"/>
      <c r="J106" s="125"/>
      <c r="K106" s="125"/>
      <c r="L106" s="125"/>
      <c r="M106" s="125"/>
      <c r="N106" s="125"/>
      <c r="S106" s="46"/>
      <c r="U106" s="185"/>
      <c r="V106" s="164">
        <f>'Additional information'!$D$18</f>
        <v>0.91</v>
      </c>
      <c r="W106" s="165" t="str">
        <f t="shared" si="10"/>
        <v/>
      </c>
      <c r="X106" s="165" t="str">
        <f t="shared" si="11"/>
        <v/>
      </c>
      <c r="Y106" s="75"/>
    </row>
    <row r="107" spans="1:25" ht="29" customHeight="1" x14ac:dyDescent="0.2">
      <c r="A107" s="76" t="s">
        <v>249</v>
      </c>
      <c r="B107" s="76" t="s">
        <v>250</v>
      </c>
      <c r="C107" s="45" t="s">
        <v>251</v>
      </c>
      <c r="D107" s="89"/>
      <c r="E107" s="76" t="s">
        <v>252</v>
      </c>
      <c r="F107" s="90"/>
      <c r="G107" s="119" t="s">
        <v>33</v>
      </c>
      <c r="H107" s="121" t="s">
        <v>98</v>
      </c>
      <c r="I107" s="119"/>
      <c r="J107" s="119"/>
      <c r="K107" s="119"/>
      <c r="L107" s="119"/>
      <c r="M107" s="119"/>
      <c r="N107" s="119"/>
      <c r="S107" s="46" t="s">
        <v>35</v>
      </c>
      <c r="U107" s="185">
        <v>27.057552337646481</v>
      </c>
      <c r="V107" s="164">
        <f>'Additional information'!$D$18</f>
        <v>0.91</v>
      </c>
      <c r="W107" s="165">
        <f t="shared" si="10"/>
        <v>24.622372627258297</v>
      </c>
      <c r="X107" s="165">
        <f t="shared" si="11"/>
        <v>24.622372627258297</v>
      </c>
    </row>
    <row r="108" spans="1:25" x14ac:dyDescent="0.2">
      <c r="A108" s="76" t="s">
        <v>24</v>
      </c>
      <c r="B108" s="76" t="s">
        <v>253</v>
      </c>
      <c r="C108" s="45"/>
      <c r="D108" s="89"/>
      <c r="F108" s="90"/>
      <c r="G108" s="119"/>
      <c r="H108" s="119"/>
      <c r="I108" s="119"/>
      <c r="J108" s="119"/>
      <c r="K108" s="119"/>
      <c r="L108" s="119"/>
      <c r="M108" s="119"/>
      <c r="N108" s="119" t="s">
        <v>254</v>
      </c>
      <c r="S108" s="46" t="s">
        <v>35</v>
      </c>
      <c r="U108" s="185"/>
      <c r="V108" s="164">
        <f>'Additional information'!$D$18</f>
        <v>0.91</v>
      </c>
      <c r="W108" s="165" t="str">
        <f t="shared" si="10"/>
        <v/>
      </c>
      <c r="X108" s="165" t="str">
        <f t="shared" si="11"/>
        <v/>
      </c>
    </row>
    <row r="109" spans="1:25" ht="16" x14ac:dyDescent="0.2">
      <c r="A109" s="76" t="s">
        <v>255</v>
      </c>
      <c r="B109" s="76" t="s">
        <v>256</v>
      </c>
      <c r="C109" s="45" t="s">
        <v>257</v>
      </c>
      <c r="D109" s="89"/>
      <c r="F109" s="90"/>
      <c r="G109" s="119" t="s">
        <v>33</v>
      </c>
      <c r="H109" s="119"/>
      <c r="I109" s="119"/>
      <c r="J109" s="119"/>
      <c r="K109" s="119" t="s">
        <v>258</v>
      </c>
      <c r="L109" s="119"/>
      <c r="M109" s="119"/>
      <c r="N109" s="119"/>
      <c r="S109" s="46" t="s">
        <v>35</v>
      </c>
      <c r="U109" s="185">
        <v>0</v>
      </c>
      <c r="V109" s="164">
        <f>'Additional information'!$D$18</f>
        <v>0.91</v>
      </c>
      <c r="W109" s="165">
        <f t="shared" si="10"/>
        <v>0</v>
      </c>
      <c r="X109" s="165">
        <f t="shared" si="11"/>
        <v>0</v>
      </c>
    </row>
    <row r="110" spans="1:25" s="77" customFormat="1" x14ac:dyDescent="0.2">
      <c r="C110" s="48"/>
      <c r="D110" s="100"/>
      <c r="F110" s="102"/>
      <c r="G110" s="131"/>
      <c r="H110" s="131"/>
      <c r="I110" s="131"/>
      <c r="J110" s="131"/>
      <c r="K110" s="131"/>
      <c r="L110" s="131"/>
      <c r="M110" s="131"/>
      <c r="N110" s="131"/>
      <c r="U110" s="185"/>
      <c r="V110" s="164">
        <f>'Additional information'!$D$18</f>
        <v>0.91</v>
      </c>
      <c r="W110" s="165" t="str">
        <f t="shared" si="10"/>
        <v/>
      </c>
      <c r="X110" s="165" t="str">
        <f t="shared" si="11"/>
        <v/>
      </c>
    </row>
    <row r="111" spans="1:25" ht="32" customHeight="1" x14ac:dyDescent="0.2">
      <c r="A111" s="76" t="s">
        <v>259</v>
      </c>
      <c r="B111" s="76" t="s">
        <v>260</v>
      </c>
      <c r="C111" s="76" t="s">
        <v>261</v>
      </c>
      <c r="D111" s="90"/>
      <c r="F111" s="90"/>
      <c r="G111" s="119" t="s">
        <v>33</v>
      </c>
      <c r="H111" s="119"/>
      <c r="I111" s="119"/>
      <c r="J111" s="119"/>
      <c r="K111" s="119" t="s">
        <v>262</v>
      </c>
      <c r="L111" s="119"/>
      <c r="M111" s="119"/>
      <c r="N111" s="119"/>
      <c r="S111" s="46" t="s">
        <v>35</v>
      </c>
      <c r="U111" s="185">
        <v>15.95429515838623</v>
      </c>
      <c r="V111" s="164">
        <f>'Additional information'!$D$18</f>
        <v>0.91</v>
      </c>
      <c r="W111" s="165">
        <f t="shared" si="10"/>
        <v>14.51840859413147</v>
      </c>
      <c r="X111" s="165">
        <f t="shared" si="11"/>
        <v>14.51840859413147</v>
      </c>
    </row>
    <row r="112" spans="1:25" ht="15.75" customHeight="1" x14ac:dyDescent="0.2">
      <c r="A112" s="76" t="s">
        <v>58</v>
      </c>
      <c r="B112" s="76" t="s">
        <v>263</v>
      </c>
      <c r="C112" s="82" t="s">
        <v>264</v>
      </c>
      <c r="D112" s="100"/>
      <c r="E112" s="77" t="s">
        <v>265</v>
      </c>
      <c r="F112" s="90"/>
      <c r="G112" s="119" t="s">
        <v>33</v>
      </c>
      <c r="H112" s="119"/>
      <c r="I112" s="119"/>
      <c r="J112" s="119"/>
      <c r="K112" s="119" t="s">
        <v>266</v>
      </c>
      <c r="L112" s="119"/>
      <c r="M112" s="119"/>
      <c r="N112" s="119"/>
      <c r="S112" s="46" t="s">
        <v>35</v>
      </c>
      <c r="U112" s="185"/>
      <c r="V112" s="164">
        <f>'Additional information'!$D$18</f>
        <v>0.91</v>
      </c>
      <c r="W112" s="165" t="str">
        <f t="shared" si="10"/>
        <v/>
      </c>
      <c r="X112" s="165" t="str">
        <f t="shared" si="11"/>
        <v/>
      </c>
    </row>
    <row r="113" spans="1:25" s="78" customFormat="1" ht="15.75" customHeight="1" x14ac:dyDescent="0.2">
      <c r="C113" s="79"/>
      <c r="D113" s="80"/>
      <c r="F113" s="84"/>
      <c r="G113" s="120"/>
      <c r="H113" s="120"/>
      <c r="I113" s="120"/>
      <c r="J113" s="120"/>
      <c r="K113" s="120"/>
      <c r="L113" s="120"/>
      <c r="M113" s="120"/>
      <c r="N113" s="120"/>
      <c r="U113" s="185"/>
      <c r="V113" s="164">
        <f>'Additional information'!$D$18</f>
        <v>0.91</v>
      </c>
      <c r="W113" s="165" t="str">
        <f t="shared" si="10"/>
        <v/>
      </c>
      <c r="X113" s="165" t="str">
        <f t="shared" si="11"/>
        <v/>
      </c>
      <c r="Y113" s="77"/>
    </row>
    <row r="114" spans="1:25" ht="29" customHeight="1" x14ac:dyDescent="0.2">
      <c r="A114" s="76" t="s">
        <v>193</v>
      </c>
      <c r="B114" s="76" t="s">
        <v>267</v>
      </c>
      <c r="C114" s="45" t="s">
        <v>268</v>
      </c>
      <c r="D114" s="89"/>
      <c r="E114" s="76"/>
      <c r="F114" s="90"/>
      <c r="G114" s="119" t="s">
        <v>33</v>
      </c>
      <c r="H114" s="119"/>
      <c r="I114" s="119"/>
      <c r="J114" s="119"/>
      <c r="K114" s="121" t="s">
        <v>262</v>
      </c>
      <c r="L114" s="119"/>
      <c r="M114" s="119"/>
      <c r="N114" s="119"/>
      <c r="S114" s="46" t="s">
        <v>35</v>
      </c>
      <c r="U114" s="185">
        <v>25.436874389648441</v>
      </c>
      <c r="V114" s="164">
        <f>'Additional information'!$D$18</f>
        <v>0.91</v>
      </c>
      <c r="W114" s="165">
        <f t="shared" si="10"/>
        <v>23.147555694580081</v>
      </c>
      <c r="X114" s="165">
        <f t="shared" si="11"/>
        <v>23.147555694580081</v>
      </c>
    </row>
    <row r="115" spans="1:25" x14ac:dyDescent="0.2">
      <c r="D115" s="89"/>
      <c r="F115" s="90"/>
      <c r="K115" s="131"/>
      <c r="U115" s="185"/>
      <c r="V115" s="164">
        <f>'Additional information'!$D$18</f>
        <v>0.91</v>
      </c>
      <c r="W115" s="165" t="str">
        <f t="shared" si="10"/>
        <v/>
      </c>
      <c r="X115" s="165" t="str">
        <f t="shared" si="11"/>
        <v/>
      </c>
    </row>
    <row r="116" spans="1:25" ht="29" customHeight="1" x14ac:dyDescent="0.2">
      <c r="A116" s="76" t="s">
        <v>193</v>
      </c>
      <c r="B116" s="76" t="s">
        <v>269</v>
      </c>
      <c r="C116" s="45" t="s">
        <v>270</v>
      </c>
      <c r="D116" s="89"/>
      <c r="F116" s="90"/>
      <c r="G116" s="119" t="s">
        <v>33</v>
      </c>
      <c r="H116" s="119"/>
      <c r="I116" s="119"/>
      <c r="J116" s="119"/>
      <c r="K116" s="121" t="s">
        <v>262</v>
      </c>
      <c r="L116" s="119"/>
      <c r="M116" s="119"/>
      <c r="N116" s="119"/>
      <c r="S116" s="46" t="s">
        <v>35</v>
      </c>
      <c r="U116" s="185">
        <v>19.364946365356449</v>
      </c>
      <c r="V116" s="164">
        <f>'Additional information'!$D$18</f>
        <v>0.91</v>
      </c>
      <c r="W116" s="165">
        <f t="shared" si="10"/>
        <v>17.622101192474368</v>
      </c>
      <c r="X116" s="165">
        <f t="shared" si="11"/>
        <v>17.622101192474368</v>
      </c>
    </row>
    <row r="117" spans="1:25" s="78" customFormat="1" x14ac:dyDescent="0.2">
      <c r="C117" s="79"/>
      <c r="D117" s="80"/>
      <c r="F117" s="84"/>
      <c r="G117" s="120"/>
      <c r="H117" s="120"/>
      <c r="I117" s="120"/>
      <c r="J117" s="120"/>
      <c r="K117" s="120"/>
      <c r="L117" s="120"/>
      <c r="M117" s="120"/>
      <c r="N117" s="120"/>
      <c r="U117" s="185"/>
      <c r="V117" s="164">
        <f>'Additional information'!$D$18</f>
        <v>0.91</v>
      </c>
      <c r="W117" s="165" t="str">
        <f t="shared" si="10"/>
        <v/>
      </c>
      <c r="X117" s="165" t="str">
        <f t="shared" si="11"/>
        <v/>
      </c>
      <c r="Y117" s="77"/>
    </row>
    <row r="118" spans="1:25" ht="29" customHeight="1" x14ac:dyDescent="0.2">
      <c r="A118" s="76" t="s">
        <v>111</v>
      </c>
      <c r="B118" s="76" t="s">
        <v>271</v>
      </c>
      <c r="C118" s="45" t="s">
        <v>272</v>
      </c>
      <c r="D118" s="89"/>
      <c r="F118" s="90"/>
      <c r="G118" s="119" t="s">
        <v>33</v>
      </c>
      <c r="H118" s="119"/>
      <c r="I118" s="119"/>
      <c r="J118" s="119"/>
      <c r="K118" s="121" t="s">
        <v>273</v>
      </c>
      <c r="L118" s="119"/>
      <c r="M118" s="119"/>
      <c r="N118" s="119"/>
      <c r="S118" s="46" t="s">
        <v>35</v>
      </c>
      <c r="U118" s="185">
        <v>13.458864212036129</v>
      </c>
      <c r="V118" s="164">
        <f>'Additional information'!$D$18</f>
        <v>0.91</v>
      </c>
      <c r="W118" s="165">
        <f t="shared" si="10"/>
        <v>12.247566432952878</v>
      </c>
      <c r="X118" s="165">
        <f t="shared" si="11"/>
        <v>12.247566432952878</v>
      </c>
    </row>
    <row r="119" spans="1:25" ht="29" customHeight="1" x14ac:dyDescent="0.2">
      <c r="A119" s="76" t="s">
        <v>274</v>
      </c>
      <c r="B119" s="76" t="s">
        <v>275</v>
      </c>
      <c r="C119" s="45" t="s">
        <v>276</v>
      </c>
      <c r="D119" s="89"/>
      <c r="E119" s="46" t="s">
        <v>277</v>
      </c>
      <c r="F119" s="90"/>
      <c r="G119" s="119" t="s">
        <v>33</v>
      </c>
      <c r="H119" s="119"/>
      <c r="I119" s="121" t="s">
        <v>278</v>
      </c>
      <c r="J119" s="119"/>
      <c r="K119" s="121" t="s">
        <v>279</v>
      </c>
      <c r="L119" s="119"/>
      <c r="M119" s="119"/>
      <c r="N119" s="119"/>
      <c r="S119" s="46" t="s">
        <v>35</v>
      </c>
      <c r="U119" s="185">
        <v>37.523288726806641</v>
      </c>
      <c r="V119" s="164">
        <f>'Additional information'!$D$18</f>
        <v>0.91</v>
      </c>
      <c r="W119" s="165">
        <f t="shared" si="10"/>
        <v>34.146192741394046</v>
      </c>
      <c r="X119" s="165">
        <f t="shared" si="11"/>
        <v>34.146192741394046</v>
      </c>
    </row>
    <row r="120" spans="1:25" x14ac:dyDescent="0.2">
      <c r="A120" s="76"/>
      <c r="B120" s="76"/>
      <c r="C120" s="45"/>
      <c r="D120" s="89"/>
      <c r="F120" s="90"/>
      <c r="G120" s="119"/>
      <c r="H120" s="119"/>
      <c r="I120" s="121"/>
      <c r="J120" s="119"/>
      <c r="K120" s="121"/>
      <c r="L120" s="119"/>
      <c r="M120" s="119"/>
      <c r="N120" s="119"/>
      <c r="U120" s="185"/>
      <c r="W120" s="165"/>
      <c r="X120" s="165"/>
    </row>
    <row r="121" spans="1:25" s="265" customFormat="1" ht="16" x14ac:dyDescent="0.2">
      <c r="A121" s="262" t="s">
        <v>111</v>
      </c>
      <c r="B121" s="262" t="s">
        <v>280</v>
      </c>
      <c r="C121" s="263" t="s">
        <v>281</v>
      </c>
      <c r="D121" s="264"/>
      <c r="G121" s="268" t="s">
        <v>33</v>
      </c>
      <c r="H121" s="266"/>
      <c r="I121" s="267"/>
      <c r="J121" s="266"/>
      <c r="K121" s="267"/>
      <c r="L121" s="266"/>
      <c r="M121" s="266"/>
      <c r="N121" s="266"/>
      <c r="U121" s="252"/>
      <c r="V121" s="253"/>
      <c r="W121" s="254"/>
      <c r="X121" s="254"/>
      <c r="Y121" s="245"/>
    </row>
    <row r="122" spans="1:25" s="265" customFormat="1" ht="16" x14ac:dyDescent="0.2">
      <c r="A122" s="262" t="s">
        <v>282</v>
      </c>
      <c r="B122" s="262" t="s">
        <v>283</v>
      </c>
      <c r="C122" s="263" t="s">
        <v>284</v>
      </c>
      <c r="D122" s="264"/>
      <c r="G122" s="268" t="s">
        <v>33</v>
      </c>
      <c r="H122" s="266"/>
      <c r="I122" s="267"/>
      <c r="J122" s="266"/>
      <c r="K122" s="267" t="s">
        <v>285</v>
      </c>
      <c r="L122" s="266"/>
      <c r="M122" s="266"/>
      <c r="N122" s="266"/>
      <c r="U122" s="252"/>
      <c r="V122" s="253"/>
      <c r="W122" s="254"/>
      <c r="X122" s="254"/>
      <c r="Y122" s="245"/>
    </row>
    <row r="123" spans="1:25" s="265" customFormat="1" ht="16" x14ac:dyDescent="0.2">
      <c r="A123" s="262" t="s">
        <v>286</v>
      </c>
      <c r="B123" s="262" t="s">
        <v>287</v>
      </c>
      <c r="C123" s="263" t="s">
        <v>288</v>
      </c>
      <c r="D123" s="264"/>
      <c r="G123" s="268" t="s">
        <v>33</v>
      </c>
      <c r="H123" s="266"/>
      <c r="I123" s="267" t="s">
        <v>289</v>
      </c>
      <c r="J123" s="266" t="s">
        <v>290</v>
      </c>
      <c r="K123" s="267" t="s">
        <v>285</v>
      </c>
      <c r="L123" s="266"/>
      <c r="M123" s="266"/>
      <c r="N123" s="266"/>
      <c r="U123" s="252"/>
      <c r="V123" s="253"/>
      <c r="W123" s="254"/>
      <c r="X123" s="254"/>
      <c r="Y123" s="245"/>
    </row>
    <row r="124" spans="1:25" s="265" customFormat="1" ht="16" x14ac:dyDescent="0.2">
      <c r="A124" s="262" t="s">
        <v>274</v>
      </c>
      <c r="B124" s="262" t="s">
        <v>291</v>
      </c>
      <c r="C124" s="263" t="s">
        <v>292</v>
      </c>
      <c r="D124" s="264"/>
      <c r="G124" s="268" t="s">
        <v>33</v>
      </c>
      <c r="H124" s="266"/>
      <c r="I124" s="267" t="s">
        <v>278</v>
      </c>
      <c r="J124" s="266"/>
      <c r="K124" s="267" t="s">
        <v>293</v>
      </c>
      <c r="L124" s="266"/>
      <c r="M124" s="266"/>
      <c r="N124" s="266"/>
      <c r="U124" s="252"/>
      <c r="V124" s="253"/>
      <c r="W124" s="254"/>
      <c r="X124" s="254"/>
      <c r="Y124" s="245"/>
    </row>
    <row r="125" spans="1:25" x14ac:dyDescent="0.2">
      <c r="D125" s="89"/>
      <c r="F125" s="90"/>
      <c r="K125" s="131"/>
      <c r="U125" s="185"/>
      <c r="V125" s="164">
        <f>'Additional information'!$D$18</f>
        <v>0.91</v>
      </c>
      <c r="W125" s="165" t="str">
        <f t="shared" ref="W125:W130" si="12">IF(U125&lt;&gt;"",U125*V125,"")</f>
        <v/>
      </c>
      <c r="X125" s="165" t="str">
        <f>IF(AND(U125&lt;&gt;"",S125="yes"),U125*V125,"")</f>
        <v/>
      </c>
    </row>
    <row r="126" spans="1:25" ht="15" customHeight="1" thickBot="1" x14ac:dyDescent="0.25">
      <c r="A126" s="103" t="s">
        <v>115</v>
      </c>
      <c r="B126" s="103"/>
      <c r="C126" s="104"/>
      <c r="D126" s="111"/>
      <c r="E126" s="103"/>
      <c r="F126" s="112"/>
      <c r="G126" s="132"/>
      <c r="H126" s="132"/>
      <c r="I126" s="132"/>
      <c r="J126" s="132"/>
      <c r="K126" s="132"/>
      <c r="L126" s="132"/>
      <c r="M126" s="132"/>
      <c r="N126" s="132"/>
      <c r="U126" s="185"/>
      <c r="W126" s="165" t="str">
        <f t="shared" si="12"/>
        <v/>
      </c>
      <c r="X126" s="165" t="str">
        <f>IF(AND(U126&lt;&gt;"",S126="yes"),U126*V126,"")</f>
        <v/>
      </c>
    </row>
    <row r="127" spans="1:25" s="74" customFormat="1" ht="15" customHeight="1" thickTop="1" x14ac:dyDescent="0.2">
      <c r="A127" s="71" t="s">
        <v>55</v>
      </c>
      <c r="B127" s="71" t="s">
        <v>294</v>
      </c>
      <c r="C127" s="95" t="s">
        <v>295</v>
      </c>
      <c r="D127" s="72"/>
      <c r="E127" s="71"/>
      <c r="F127" s="73"/>
      <c r="G127" s="124" t="s">
        <v>42</v>
      </c>
      <c r="H127" s="124"/>
      <c r="I127" s="124"/>
      <c r="J127" s="124"/>
      <c r="K127" s="124" t="s">
        <v>296</v>
      </c>
      <c r="L127" s="124"/>
      <c r="M127" s="124"/>
      <c r="N127" s="124"/>
      <c r="S127" s="46" t="s">
        <v>35</v>
      </c>
      <c r="U127" s="185"/>
      <c r="V127" s="164"/>
      <c r="W127" s="165" t="str">
        <f t="shared" si="12"/>
        <v/>
      </c>
      <c r="X127" s="165" t="str">
        <f>IF(AND(U127&lt;&gt;"",S127="yes"),U127*V127,"")</f>
        <v/>
      </c>
      <c r="Y127" s="75"/>
    </row>
    <row r="128" spans="1:25" s="74" customFormat="1" x14ac:dyDescent="0.2">
      <c r="C128" s="96"/>
      <c r="D128" s="72"/>
      <c r="F128" s="73"/>
      <c r="G128" s="125"/>
      <c r="H128" s="125"/>
      <c r="I128" s="125"/>
      <c r="J128" s="125"/>
      <c r="K128" s="125"/>
      <c r="L128" s="125"/>
      <c r="M128" s="125"/>
      <c r="N128" s="125"/>
      <c r="S128" s="46"/>
      <c r="U128" s="185"/>
      <c r="V128" s="109">
        <f>'Additional information'!$D$19</f>
        <v>0.91</v>
      </c>
      <c r="W128" s="165" t="str">
        <f t="shared" si="12"/>
        <v/>
      </c>
      <c r="X128" s="165" t="str">
        <f>IF(AND(U128&lt;&gt;"",S128="yes"),U128*V128,"")</f>
        <v/>
      </c>
      <c r="Y128" s="75"/>
    </row>
    <row r="129" spans="1:25" ht="16" x14ac:dyDescent="0.2">
      <c r="A129" s="76" t="s">
        <v>111</v>
      </c>
      <c r="B129" s="76" t="s">
        <v>297</v>
      </c>
      <c r="C129" s="82" t="s">
        <v>298</v>
      </c>
      <c r="D129" s="89"/>
      <c r="F129" s="90"/>
      <c r="G129" s="121" t="s">
        <v>33</v>
      </c>
      <c r="H129" s="121"/>
      <c r="I129" s="121"/>
      <c r="J129" s="121"/>
      <c r="K129" s="121"/>
      <c r="L129" s="81"/>
      <c r="M129" s="121"/>
      <c r="N129" s="121"/>
      <c r="S129" s="46" t="s">
        <v>35</v>
      </c>
      <c r="U129" s="185">
        <v>13.55</v>
      </c>
      <c r="V129" s="164">
        <f>'Additional information'!$D$18</f>
        <v>0.91</v>
      </c>
      <c r="W129" s="165">
        <f t="shared" si="12"/>
        <v>12.330500000000001</v>
      </c>
      <c r="X129" s="165"/>
    </row>
    <row r="130" spans="1:25" ht="16" x14ac:dyDescent="0.2">
      <c r="A130" s="76" t="s">
        <v>299</v>
      </c>
      <c r="B130" s="76" t="s">
        <v>300</v>
      </c>
      <c r="C130" s="45" t="s">
        <v>301</v>
      </c>
      <c r="D130" s="89"/>
      <c r="F130" s="90"/>
      <c r="G130" s="121" t="s">
        <v>33</v>
      </c>
      <c r="H130" s="121" t="s">
        <v>98</v>
      </c>
      <c r="I130" s="121"/>
      <c r="J130" s="121"/>
      <c r="K130" s="121" t="s">
        <v>302</v>
      </c>
      <c r="L130" s="121" t="s">
        <v>303</v>
      </c>
      <c r="M130" s="121"/>
      <c r="N130" s="121"/>
      <c r="S130" s="46" t="s">
        <v>35</v>
      </c>
      <c r="U130" s="185">
        <v>13.55</v>
      </c>
      <c r="V130" s="164">
        <f>'Additional information'!$D$18</f>
        <v>0.91</v>
      </c>
      <c r="W130" s="165">
        <f t="shared" si="12"/>
        <v>12.330500000000001</v>
      </c>
      <c r="X130" s="165"/>
    </row>
    <row r="131" spans="1:25" x14ac:dyDescent="0.2">
      <c r="A131" s="76" t="s">
        <v>24</v>
      </c>
      <c r="B131" s="76" t="s">
        <v>304</v>
      </c>
      <c r="C131" s="45"/>
      <c r="D131" s="89"/>
      <c r="F131" s="90"/>
      <c r="G131" s="121"/>
      <c r="H131" s="121"/>
      <c r="I131" s="121"/>
      <c r="J131" s="121"/>
      <c r="K131" s="121"/>
      <c r="L131" s="121"/>
      <c r="M131" s="121"/>
      <c r="N131" s="121" t="s">
        <v>305</v>
      </c>
      <c r="S131" s="46" t="s">
        <v>35</v>
      </c>
      <c r="U131" s="185"/>
      <c r="V131" s="164">
        <f>'Additional information'!$D$18</f>
        <v>0.91</v>
      </c>
      <c r="W131" s="165"/>
      <c r="X131" s="165"/>
    </row>
    <row r="132" spans="1:25" x14ac:dyDescent="0.2">
      <c r="A132" s="76" t="s">
        <v>24</v>
      </c>
      <c r="B132" s="76" t="s">
        <v>306</v>
      </c>
      <c r="C132" s="45"/>
      <c r="D132" s="89"/>
      <c r="F132" s="90"/>
      <c r="G132" s="121"/>
      <c r="H132" s="121"/>
      <c r="I132" s="121"/>
      <c r="J132" s="121"/>
      <c r="K132" s="121"/>
      <c r="L132" s="121"/>
      <c r="M132" s="121"/>
      <c r="N132" s="121" t="s">
        <v>307</v>
      </c>
      <c r="S132" s="46" t="s">
        <v>35</v>
      </c>
      <c r="U132" s="185"/>
      <c r="V132" s="164">
        <f>'Additional information'!$D$18</f>
        <v>0.91</v>
      </c>
      <c r="W132" s="165"/>
      <c r="X132" s="165"/>
    </row>
    <row r="133" spans="1:25" x14ac:dyDescent="0.2">
      <c r="D133" s="89"/>
      <c r="F133" s="90"/>
      <c r="U133" s="185"/>
      <c r="V133" s="164">
        <f>'Additional information'!$D$18</f>
        <v>0.91</v>
      </c>
      <c r="W133" s="165"/>
      <c r="X133" s="165"/>
    </row>
    <row r="134" spans="1:25" ht="29" customHeight="1" x14ac:dyDescent="0.2">
      <c r="A134" s="76" t="s">
        <v>111</v>
      </c>
      <c r="B134" s="76" t="s">
        <v>308</v>
      </c>
      <c r="C134" s="45" t="s">
        <v>309</v>
      </c>
      <c r="D134" s="89"/>
      <c r="E134" s="101"/>
      <c r="F134" s="107"/>
      <c r="G134" s="119" t="s">
        <v>33</v>
      </c>
      <c r="H134" s="119"/>
      <c r="I134" s="119"/>
      <c r="J134" s="119"/>
      <c r="K134" s="119"/>
      <c r="L134" s="119"/>
      <c r="M134" s="119"/>
      <c r="N134" s="119"/>
      <c r="S134" s="46" t="s">
        <v>35</v>
      </c>
      <c r="U134" s="185">
        <v>12.68148708343506</v>
      </c>
      <c r="V134" s="164">
        <f>'Additional information'!$D$18</f>
        <v>0.91</v>
      </c>
      <c r="W134" s="165">
        <f t="shared" ref="W134:W165" si="13">IF(U134&lt;&gt;"",U134*V134,"")</f>
        <v>11.540153245925906</v>
      </c>
      <c r="X134" s="165">
        <f t="shared" ref="X134:X165" si="14">IF(AND(U134&lt;&gt;"",S134="yes"),U134*V134,"")</f>
        <v>11.540153245925906</v>
      </c>
    </row>
    <row r="135" spans="1:25" ht="29" customHeight="1" x14ac:dyDescent="0.2">
      <c r="A135" s="76" t="s">
        <v>310</v>
      </c>
      <c r="B135" s="76" t="s">
        <v>311</v>
      </c>
      <c r="C135" s="82" t="s">
        <v>312</v>
      </c>
      <c r="D135" s="100"/>
      <c r="E135" s="46" t="s">
        <v>277</v>
      </c>
      <c r="F135" s="90"/>
      <c r="G135" s="119" t="s">
        <v>33</v>
      </c>
      <c r="H135" s="119"/>
      <c r="I135" s="121" t="s">
        <v>313</v>
      </c>
      <c r="J135" s="119"/>
      <c r="K135" s="121" t="s">
        <v>314</v>
      </c>
      <c r="L135" s="119"/>
      <c r="M135" s="119"/>
      <c r="N135" s="119"/>
      <c r="S135" s="46" t="s">
        <v>35</v>
      </c>
      <c r="U135" s="185">
        <v>22.61360931396484</v>
      </c>
      <c r="V135" s="164">
        <f>'Additional information'!$D$18</f>
        <v>0.91</v>
      </c>
      <c r="W135" s="165">
        <f t="shared" si="13"/>
        <v>20.578384475708006</v>
      </c>
      <c r="X135" s="165">
        <f t="shared" si="14"/>
        <v>20.578384475708006</v>
      </c>
    </row>
    <row r="136" spans="1:25" x14ac:dyDescent="0.2">
      <c r="D136" s="89"/>
      <c r="F136" s="90"/>
      <c r="K136" s="131"/>
      <c r="U136" s="185"/>
      <c r="V136" s="164">
        <f>'Additional information'!$D$18</f>
        <v>0.91</v>
      </c>
      <c r="W136" s="165" t="str">
        <f t="shared" si="13"/>
        <v/>
      </c>
      <c r="X136" s="165" t="str">
        <f t="shared" si="14"/>
        <v/>
      </c>
    </row>
    <row r="137" spans="1:25" ht="29" customHeight="1" x14ac:dyDescent="0.2">
      <c r="A137" s="76" t="s">
        <v>193</v>
      </c>
      <c r="B137" s="76" t="s">
        <v>315</v>
      </c>
      <c r="C137" s="82" t="s">
        <v>316</v>
      </c>
      <c r="D137" s="100"/>
      <c r="E137" s="108" t="s">
        <v>317</v>
      </c>
      <c r="F137" s="107"/>
      <c r="G137" s="119" t="s">
        <v>33</v>
      </c>
      <c r="H137" s="119"/>
      <c r="I137" s="119"/>
      <c r="J137" s="119"/>
      <c r="K137" s="121"/>
      <c r="L137" s="119"/>
      <c r="M137" s="119"/>
      <c r="N137" s="119"/>
      <c r="S137" s="46" t="s">
        <v>35</v>
      </c>
      <c r="U137" s="185">
        <v>21.701908111572269</v>
      </c>
      <c r="V137" s="164">
        <f>'Additional information'!$D$18</f>
        <v>0.91</v>
      </c>
      <c r="W137" s="165">
        <f t="shared" si="13"/>
        <v>19.748736381530765</v>
      </c>
      <c r="X137" s="165">
        <f t="shared" si="14"/>
        <v>19.748736381530765</v>
      </c>
    </row>
    <row r="138" spans="1:25" x14ac:dyDescent="0.2">
      <c r="C138" s="48"/>
      <c r="D138" s="100"/>
      <c r="E138" s="101"/>
      <c r="F138" s="107"/>
      <c r="K138" s="131"/>
      <c r="U138" s="185"/>
      <c r="V138" s="164">
        <f>'Additional information'!$D$18</f>
        <v>0.91</v>
      </c>
      <c r="W138" s="165" t="str">
        <f t="shared" si="13"/>
        <v/>
      </c>
      <c r="X138" s="165" t="str">
        <f t="shared" si="14"/>
        <v/>
      </c>
    </row>
    <row r="139" spans="1:25" ht="15" customHeight="1" thickBot="1" x14ac:dyDescent="0.25">
      <c r="A139" s="103" t="s">
        <v>115</v>
      </c>
      <c r="B139" s="103"/>
      <c r="C139" s="104"/>
      <c r="D139" s="111"/>
      <c r="E139" s="103"/>
      <c r="F139" s="112"/>
      <c r="G139" s="132"/>
      <c r="H139" s="132"/>
      <c r="I139" s="132"/>
      <c r="J139" s="132"/>
      <c r="K139" s="132"/>
      <c r="L139" s="132"/>
      <c r="M139" s="132"/>
      <c r="N139" s="132"/>
      <c r="U139" s="185"/>
      <c r="W139" s="165" t="str">
        <f t="shared" si="13"/>
        <v/>
      </c>
      <c r="X139" s="165" t="str">
        <f t="shared" si="14"/>
        <v/>
      </c>
    </row>
    <row r="140" spans="1:25" s="74" customFormat="1" ht="15" customHeight="1" thickTop="1" x14ac:dyDescent="0.2">
      <c r="A140" s="71" t="s">
        <v>55</v>
      </c>
      <c r="B140" s="71" t="s">
        <v>318</v>
      </c>
      <c r="C140" s="95" t="s">
        <v>319</v>
      </c>
      <c r="D140" s="72"/>
      <c r="E140" s="71"/>
      <c r="F140" s="73"/>
      <c r="G140" s="124" t="s">
        <v>42</v>
      </c>
      <c r="H140" s="124"/>
      <c r="I140" s="124"/>
      <c r="J140" s="124"/>
      <c r="K140" s="124" t="s">
        <v>320</v>
      </c>
      <c r="L140" s="124"/>
      <c r="M140" s="124"/>
      <c r="N140" s="124"/>
      <c r="S140" s="46" t="s">
        <v>35</v>
      </c>
      <c r="U140" s="185"/>
      <c r="V140" s="75"/>
      <c r="W140" s="165" t="str">
        <f t="shared" si="13"/>
        <v/>
      </c>
      <c r="X140" s="165" t="str">
        <f t="shared" si="14"/>
        <v/>
      </c>
      <c r="Y140" s="75"/>
    </row>
    <row r="141" spans="1:25" ht="43.5" customHeight="1" x14ac:dyDescent="0.2">
      <c r="A141" s="76" t="s">
        <v>38</v>
      </c>
      <c r="B141" s="76" t="s">
        <v>321</v>
      </c>
      <c r="C141" s="45" t="s">
        <v>322</v>
      </c>
      <c r="D141" s="89"/>
      <c r="E141" s="76"/>
      <c r="F141" s="90"/>
      <c r="G141" s="119"/>
      <c r="H141" s="119"/>
      <c r="I141" s="119"/>
      <c r="J141" s="119"/>
      <c r="K141" s="119"/>
      <c r="L141" s="119"/>
      <c r="M141" s="119"/>
      <c r="N141" s="119"/>
      <c r="S141" s="46" t="s">
        <v>35</v>
      </c>
      <c r="U141" s="185">
        <v>7.5</v>
      </c>
      <c r="V141" s="109">
        <f>'Additional information'!$D$19</f>
        <v>0.91</v>
      </c>
      <c r="W141" s="165">
        <f t="shared" si="13"/>
        <v>6.8250000000000002</v>
      </c>
      <c r="X141" s="165">
        <f t="shared" si="14"/>
        <v>6.8250000000000002</v>
      </c>
    </row>
    <row r="142" spans="1:25" s="74" customFormat="1" x14ac:dyDescent="0.2">
      <c r="C142" s="96"/>
      <c r="D142" s="72"/>
      <c r="F142" s="73"/>
      <c r="G142" s="125"/>
      <c r="H142" s="125"/>
      <c r="I142" s="125"/>
      <c r="J142" s="125"/>
      <c r="K142" s="125"/>
      <c r="L142" s="125"/>
      <c r="M142" s="125"/>
      <c r="N142" s="125"/>
      <c r="S142" s="46"/>
      <c r="U142" s="185"/>
      <c r="V142" s="109">
        <f>'Additional information'!$D$19</f>
        <v>0.91</v>
      </c>
      <c r="W142" s="165" t="str">
        <f t="shared" si="13"/>
        <v/>
      </c>
      <c r="X142" s="165" t="str">
        <f t="shared" si="14"/>
        <v/>
      </c>
      <c r="Y142" s="75"/>
    </row>
    <row r="143" spans="1:25" ht="29" customHeight="1" x14ac:dyDescent="0.2">
      <c r="A143" s="76" t="s">
        <v>323</v>
      </c>
      <c r="B143" s="76" t="s">
        <v>324</v>
      </c>
      <c r="C143" s="45" t="s">
        <v>325</v>
      </c>
      <c r="D143" s="89"/>
      <c r="E143" s="46" t="s">
        <v>326</v>
      </c>
      <c r="F143" s="90"/>
      <c r="G143" s="119" t="s">
        <v>33</v>
      </c>
      <c r="H143" s="119" t="s">
        <v>174</v>
      </c>
      <c r="I143" s="119"/>
      <c r="J143" s="119"/>
      <c r="K143" s="119"/>
      <c r="L143" s="119"/>
      <c r="M143" s="119"/>
      <c r="N143" s="119"/>
      <c r="S143" s="46" t="s">
        <v>35</v>
      </c>
      <c r="U143" s="185">
        <v>20.2944221496582</v>
      </c>
      <c r="V143" s="109">
        <f>'Additional information'!$D$19</f>
        <v>0.91</v>
      </c>
      <c r="W143" s="165">
        <f t="shared" si="13"/>
        <v>18.467924156188964</v>
      </c>
      <c r="X143" s="165">
        <f t="shared" si="14"/>
        <v>18.467924156188964</v>
      </c>
    </row>
    <row r="144" spans="1:25" x14ac:dyDescent="0.2">
      <c r="A144" s="76" t="s">
        <v>24</v>
      </c>
      <c r="B144" s="76" t="s">
        <v>327</v>
      </c>
      <c r="C144" s="45"/>
      <c r="D144" s="89"/>
      <c r="F144" s="90"/>
      <c r="G144" s="119"/>
      <c r="H144" s="119"/>
      <c r="I144" s="119"/>
      <c r="J144" s="119"/>
      <c r="K144" s="119"/>
      <c r="L144" s="119"/>
      <c r="M144" s="119"/>
      <c r="N144" s="119" t="s">
        <v>328</v>
      </c>
      <c r="S144" s="46" t="s">
        <v>35</v>
      </c>
      <c r="U144" s="185"/>
      <c r="V144" s="109">
        <f>'Additional information'!$D$19</f>
        <v>0.91</v>
      </c>
      <c r="W144" s="165" t="str">
        <f t="shared" si="13"/>
        <v/>
      </c>
      <c r="X144" s="165" t="str">
        <f t="shared" si="14"/>
        <v/>
      </c>
    </row>
    <row r="145" spans="1:25" x14ac:dyDescent="0.2">
      <c r="D145" s="89"/>
      <c r="F145" s="90"/>
      <c r="K145" s="131"/>
      <c r="U145" s="185"/>
      <c r="V145" s="109">
        <f>'Additional information'!$D$19</f>
        <v>0.91</v>
      </c>
      <c r="W145" s="165" t="str">
        <f t="shared" si="13"/>
        <v/>
      </c>
      <c r="X145" s="165" t="str">
        <f t="shared" si="14"/>
        <v/>
      </c>
    </row>
    <row r="146" spans="1:25" ht="16" x14ac:dyDescent="0.2">
      <c r="A146" s="76" t="s">
        <v>65</v>
      </c>
      <c r="B146" s="76" t="s">
        <v>329</v>
      </c>
      <c r="C146" s="45" t="s">
        <v>330</v>
      </c>
      <c r="D146" s="89"/>
      <c r="E146" s="76" t="s">
        <v>331</v>
      </c>
      <c r="F146" s="90"/>
      <c r="G146" s="119" t="s">
        <v>33</v>
      </c>
      <c r="H146" s="119"/>
      <c r="I146" s="119" t="s">
        <v>332</v>
      </c>
      <c r="J146" s="119"/>
      <c r="K146" s="119" t="s">
        <v>333</v>
      </c>
      <c r="L146" s="119"/>
      <c r="M146" s="119"/>
      <c r="N146" s="119"/>
      <c r="S146" s="46" t="s">
        <v>35</v>
      </c>
      <c r="U146" s="185">
        <v>18.539077758789059</v>
      </c>
      <c r="V146" s="109">
        <f>'Additional information'!$D$19</f>
        <v>0.91</v>
      </c>
      <c r="W146" s="165">
        <f t="shared" si="13"/>
        <v>16.870560760498044</v>
      </c>
      <c r="X146" s="165">
        <f t="shared" si="14"/>
        <v>16.870560760498044</v>
      </c>
    </row>
    <row r="147" spans="1:25" ht="16" x14ac:dyDescent="0.2">
      <c r="A147" s="76" t="s">
        <v>65</v>
      </c>
      <c r="B147" s="76" t="s">
        <v>334</v>
      </c>
      <c r="C147" s="45" t="s">
        <v>335</v>
      </c>
      <c r="D147" s="89"/>
      <c r="E147" s="76" t="s">
        <v>331</v>
      </c>
      <c r="F147" s="90"/>
      <c r="G147" s="119" t="s">
        <v>33</v>
      </c>
      <c r="H147" s="119"/>
      <c r="I147" s="119" t="s">
        <v>332</v>
      </c>
      <c r="J147" s="119"/>
      <c r="K147" s="119" t="s">
        <v>333</v>
      </c>
      <c r="L147" s="119"/>
      <c r="M147" s="119"/>
      <c r="N147" s="119"/>
      <c r="S147" s="46" t="s">
        <v>35</v>
      </c>
      <c r="U147" s="185">
        <v>8.9158916473388672</v>
      </c>
      <c r="V147" s="109">
        <f>'Additional information'!$D$19</f>
        <v>0.91</v>
      </c>
      <c r="W147" s="165">
        <f t="shared" si="13"/>
        <v>8.1134613990783695</v>
      </c>
      <c r="X147" s="165">
        <f t="shared" si="14"/>
        <v>8.1134613990783695</v>
      </c>
    </row>
    <row r="148" spans="1:25" ht="16" x14ac:dyDescent="0.2">
      <c r="A148" s="76" t="s">
        <v>24</v>
      </c>
      <c r="B148" s="76" t="s">
        <v>336</v>
      </c>
      <c r="C148" s="45" t="s">
        <v>337</v>
      </c>
      <c r="D148" s="89"/>
      <c r="E148" s="76"/>
      <c r="F148" s="90"/>
      <c r="G148" s="119" t="s">
        <v>33</v>
      </c>
      <c r="H148" s="119"/>
      <c r="I148" s="119"/>
      <c r="J148" s="119"/>
      <c r="K148" s="119" t="s">
        <v>338</v>
      </c>
      <c r="L148" s="119"/>
      <c r="M148" s="119"/>
      <c r="N148" s="119" t="s">
        <v>339</v>
      </c>
      <c r="S148" s="46" t="s">
        <v>35</v>
      </c>
      <c r="U148" s="185"/>
      <c r="V148" s="109">
        <f>'Additional information'!$D$19</f>
        <v>0.91</v>
      </c>
      <c r="W148" s="165" t="str">
        <f t="shared" si="13"/>
        <v/>
      </c>
      <c r="X148" s="165" t="str">
        <f t="shared" si="14"/>
        <v/>
      </c>
    </row>
    <row r="149" spans="1:25" x14ac:dyDescent="0.2">
      <c r="D149" s="89"/>
      <c r="F149" s="90"/>
      <c r="U149" s="185"/>
      <c r="V149" s="109">
        <f>'Additional information'!$D$19</f>
        <v>0.91</v>
      </c>
      <c r="W149" s="165" t="str">
        <f t="shared" si="13"/>
        <v/>
      </c>
      <c r="X149" s="165" t="str">
        <f t="shared" si="14"/>
        <v/>
      </c>
    </row>
    <row r="150" spans="1:25" ht="16" x14ac:dyDescent="0.2">
      <c r="A150" s="76" t="s">
        <v>340</v>
      </c>
      <c r="B150" s="76" t="s">
        <v>341</v>
      </c>
      <c r="C150" s="45" t="s">
        <v>342</v>
      </c>
      <c r="D150" s="89"/>
      <c r="E150" s="46" t="s">
        <v>343</v>
      </c>
      <c r="F150" s="90"/>
      <c r="G150" s="119" t="s">
        <v>33</v>
      </c>
      <c r="H150" s="119"/>
      <c r="I150" s="119" t="s">
        <v>344</v>
      </c>
      <c r="J150" s="119"/>
      <c r="K150" s="119" t="s">
        <v>333</v>
      </c>
      <c r="L150" s="119"/>
      <c r="M150" s="119"/>
      <c r="N150" s="119"/>
      <c r="S150" s="46" t="s">
        <v>35</v>
      </c>
      <c r="U150" s="185">
        <v>25.81001091003418</v>
      </c>
      <c r="V150" s="109">
        <f>'Additional information'!$D$19</f>
        <v>0.91</v>
      </c>
      <c r="W150" s="165">
        <f t="shared" si="13"/>
        <v>23.487109928131105</v>
      </c>
      <c r="X150" s="165">
        <f t="shared" si="14"/>
        <v>23.487109928131105</v>
      </c>
    </row>
    <row r="151" spans="1:25" x14ac:dyDescent="0.2">
      <c r="D151" s="89"/>
      <c r="F151" s="90"/>
      <c r="K151" s="131"/>
      <c r="U151" s="185"/>
      <c r="V151" s="109">
        <f>'Additional information'!$D$19</f>
        <v>0.91</v>
      </c>
      <c r="W151" s="165" t="str">
        <f t="shared" si="13"/>
        <v/>
      </c>
      <c r="X151" s="165" t="str">
        <f t="shared" si="14"/>
        <v/>
      </c>
    </row>
    <row r="152" spans="1:25" ht="29" customHeight="1" x14ac:dyDescent="0.2">
      <c r="A152" s="76" t="s">
        <v>111</v>
      </c>
      <c r="B152" s="76" t="s">
        <v>345</v>
      </c>
      <c r="C152" s="45" t="s">
        <v>346</v>
      </c>
      <c r="D152" s="89"/>
      <c r="F152" s="90"/>
      <c r="G152" s="119" t="s">
        <v>33</v>
      </c>
      <c r="H152" s="119"/>
      <c r="I152" s="119"/>
      <c r="J152" s="119"/>
      <c r="K152" s="121"/>
      <c r="L152" s="119"/>
      <c r="M152" s="119"/>
      <c r="N152" s="119"/>
      <c r="S152" s="46" t="s">
        <v>35</v>
      </c>
      <c r="U152" s="185">
        <v>13.613316535949711</v>
      </c>
      <c r="V152" s="109">
        <f>'Additional information'!$D$19</f>
        <v>0.91</v>
      </c>
      <c r="W152" s="165">
        <f t="shared" si="13"/>
        <v>12.388118047714237</v>
      </c>
      <c r="X152" s="165">
        <f t="shared" si="14"/>
        <v>12.388118047714237</v>
      </c>
    </row>
    <row r="153" spans="1:25" ht="29" customHeight="1" x14ac:dyDescent="0.2">
      <c r="A153" s="76" t="s">
        <v>347</v>
      </c>
      <c r="B153" s="76" t="s">
        <v>348</v>
      </c>
      <c r="C153" s="45" t="s">
        <v>349</v>
      </c>
      <c r="D153" s="89"/>
      <c r="E153" s="46" t="s">
        <v>277</v>
      </c>
      <c r="F153" s="90"/>
      <c r="G153" s="119" t="s">
        <v>33</v>
      </c>
      <c r="H153" s="119"/>
      <c r="I153" s="121" t="s">
        <v>313</v>
      </c>
      <c r="J153" s="119"/>
      <c r="K153" s="121" t="s">
        <v>350</v>
      </c>
      <c r="L153" s="119"/>
      <c r="M153" s="119"/>
      <c r="N153" s="119"/>
      <c r="S153" s="46" t="s">
        <v>35</v>
      </c>
      <c r="U153" s="185">
        <v>27.754648208618161</v>
      </c>
      <c r="V153" s="109">
        <f>'Additional information'!$D$19</f>
        <v>0.91</v>
      </c>
      <c r="W153" s="165">
        <f t="shared" si="13"/>
        <v>25.256729869842527</v>
      </c>
      <c r="X153" s="165">
        <f t="shared" si="14"/>
        <v>25.256729869842527</v>
      </c>
    </row>
    <row r="154" spans="1:25" x14ac:dyDescent="0.2">
      <c r="D154" s="89"/>
      <c r="F154" s="90"/>
      <c r="K154" s="131"/>
      <c r="U154" s="185"/>
      <c r="V154" s="109">
        <f>'Additional information'!$D$19</f>
        <v>0.91</v>
      </c>
      <c r="W154" s="165" t="str">
        <f t="shared" si="13"/>
        <v/>
      </c>
      <c r="X154" s="165" t="str">
        <f t="shared" si="14"/>
        <v/>
      </c>
    </row>
    <row r="155" spans="1:25" s="227" customFormat="1" ht="16" x14ac:dyDescent="0.2">
      <c r="A155" s="227" t="s">
        <v>351</v>
      </c>
      <c r="B155" s="227" t="s">
        <v>352</v>
      </c>
      <c r="C155" s="226" t="s">
        <v>353</v>
      </c>
      <c r="D155" s="233"/>
      <c r="E155" s="227" t="s">
        <v>354</v>
      </c>
      <c r="F155" s="228"/>
      <c r="G155" s="229" t="s">
        <v>33</v>
      </c>
      <c r="H155" s="229" t="s">
        <v>174</v>
      </c>
      <c r="I155" s="229" t="s">
        <v>355</v>
      </c>
      <c r="J155" s="229"/>
      <c r="K155" s="229" t="s">
        <v>356</v>
      </c>
      <c r="L155" s="229" t="s">
        <v>357</v>
      </c>
      <c r="M155" s="229"/>
      <c r="N155" s="229"/>
      <c r="S155" s="227" t="s">
        <v>43</v>
      </c>
      <c r="U155" s="230">
        <v>17</v>
      </c>
      <c r="V155" s="234">
        <f>'Additional information'!$D$19</f>
        <v>0.91</v>
      </c>
      <c r="W155" s="232">
        <f t="shared" si="13"/>
        <v>15.47</v>
      </c>
      <c r="X155" s="232" t="str">
        <f t="shared" si="14"/>
        <v/>
      </c>
    </row>
    <row r="156" spans="1:25" x14ac:dyDescent="0.2">
      <c r="D156" s="89"/>
      <c r="F156" s="90"/>
      <c r="K156" s="131"/>
      <c r="U156" s="185"/>
      <c r="V156" s="109">
        <f>'Additional information'!$D$19</f>
        <v>0.91</v>
      </c>
      <c r="W156" s="165" t="str">
        <f t="shared" si="13"/>
        <v/>
      </c>
      <c r="X156" s="165" t="str">
        <f t="shared" si="14"/>
        <v/>
      </c>
    </row>
    <row r="157" spans="1:25" ht="15" customHeight="1" thickBot="1" x14ac:dyDescent="0.25">
      <c r="A157" s="103" t="s">
        <v>115</v>
      </c>
      <c r="B157" s="103"/>
      <c r="C157" s="104"/>
      <c r="D157" s="111"/>
      <c r="E157" s="103"/>
      <c r="F157" s="112"/>
      <c r="G157" s="132"/>
      <c r="H157" s="132"/>
      <c r="I157" s="132"/>
      <c r="J157" s="132"/>
      <c r="K157" s="132"/>
      <c r="L157" s="132"/>
      <c r="M157" s="132"/>
      <c r="N157" s="132"/>
      <c r="U157" s="185"/>
      <c r="W157" s="165" t="str">
        <f t="shared" si="13"/>
        <v/>
      </c>
      <c r="X157" s="165" t="str">
        <f t="shared" si="14"/>
        <v/>
      </c>
    </row>
    <row r="158" spans="1:25" s="74" customFormat="1" ht="15" customHeight="1" thickTop="1" x14ac:dyDescent="0.2">
      <c r="A158" s="71" t="s">
        <v>55</v>
      </c>
      <c r="B158" s="71" t="s">
        <v>358</v>
      </c>
      <c r="C158" s="95" t="s">
        <v>359</v>
      </c>
      <c r="D158" s="72"/>
      <c r="E158" s="71"/>
      <c r="F158" s="73"/>
      <c r="G158" s="124" t="s">
        <v>42</v>
      </c>
      <c r="H158" s="124"/>
      <c r="I158" s="124"/>
      <c r="J158" s="124"/>
      <c r="K158" s="124" t="s">
        <v>360</v>
      </c>
      <c r="L158" s="124"/>
      <c r="M158" s="124"/>
      <c r="N158" s="124"/>
      <c r="S158" s="46" t="s">
        <v>35</v>
      </c>
      <c r="U158" s="185"/>
      <c r="V158" s="164"/>
      <c r="W158" s="165" t="str">
        <f t="shared" si="13"/>
        <v/>
      </c>
      <c r="X158" s="165" t="str">
        <f t="shared" si="14"/>
        <v/>
      </c>
      <c r="Y158" s="75"/>
    </row>
    <row r="159" spans="1:25" s="74" customFormat="1" x14ac:dyDescent="0.2">
      <c r="C159" s="96"/>
      <c r="D159" s="72"/>
      <c r="F159" s="73"/>
      <c r="G159" s="125"/>
      <c r="H159" s="125"/>
      <c r="I159" s="125"/>
      <c r="J159" s="125"/>
      <c r="K159" s="125"/>
      <c r="L159" s="125"/>
      <c r="M159" s="125"/>
      <c r="N159" s="125"/>
      <c r="S159" s="46"/>
      <c r="U159" s="185"/>
      <c r="V159" s="109">
        <f>'Additional information'!$D$19</f>
        <v>0.91</v>
      </c>
      <c r="W159" s="165" t="str">
        <f t="shared" si="13"/>
        <v/>
      </c>
      <c r="X159" s="165" t="str">
        <f t="shared" si="14"/>
        <v/>
      </c>
      <c r="Y159" s="75"/>
    </row>
    <row r="160" spans="1:25" s="74" customFormat="1" ht="29" customHeight="1" x14ac:dyDescent="0.2">
      <c r="A160" s="76" t="s">
        <v>361</v>
      </c>
      <c r="B160" s="76" t="s">
        <v>362</v>
      </c>
      <c r="C160" s="45" t="s">
        <v>363</v>
      </c>
      <c r="D160" s="89"/>
      <c r="E160" s="46"/>
      <c r="F160" s="90"/>
      <c r="G160" s="119" t="s">
        <v>33</v>
      </c>
      <c r="H160" s="119" t="s">
        <v>174</v>
      </c>
      <c r="I160" s="124"/>
      <c r="J160" s="124"/>
      <c r="K160" s="124"/>
      <c r="L160" s="124"/>
      <c r="M160" s="124"/>
      <c r="N160" s="124"/>
      <c r="S160" s="46" t="s">
        <v>35</v>
      </c>
      <c r="U160" s="185">
        <v>13.99939060211182</v>
      </c>
      <c r="V160" s="109">
        <f>'Additional information'!$D$19</f>
        <v>0.91</v>
      </c>
      <c r="W160" s="165">
        <f t="shared" si="13"/>
        <v>12.739445447921756</v>
      </c>
      <c r="X160" s="165">
        <f t="shared" si="14"/>
        <v>12.739445447921756</v>
      </c>
      <c r="Y160" s="75"/>
    </row>
    <row r="161" spans="1:25" x14ac:dyDescent="0.2">
      <c r="A161" s="76" t="s">
        <v>24</v>
      </c>
      <c r="B161" s="76" t="s">
        <v>364</v>
      </c>
      <c r="C161" s="45"/>
      <c r="D161" s="89"/>
      <c r="F161" s="90"/>
      <c r="G161" s="119"/>
      <c r="H161" s="119"/>
      <c r="I161" s="119"/>
      <c r="J161" s="119"/>
      <c r="K161" s="119"/>
      <c r="L161" s="119"/>
      <c r="M161" s="119"/>
      <c r="N161" s="119" t="s">
        <v>365</v>
      </c>
      <c r="S161" s="46" t="s">
        <v>35</v>
      </c>
      <c r="U161" s="185"/>
      <c r="V161" s="109">
        <f>'Additional information'!$D$19</f>
        <v>0.91</v>
      </c>
      <c r="W161" s="165" t="str">
        <f t="shared" si="13"/>
        <v/>
      </c>
      <c r="X161" s="165" t="str">
        <f t="shared" si="14"/>
        <v/>
      </c>
    </row>
    <row r="162" spans="1:25" x14ac:dyDescent="0.2">
      <c r="D162" s="89"/>
      <c r="F162" s="90"/>
      <c r="U162" s="185"/>
      <c r="V162" s="109">
        <f>'Additional information'!$D$19</f>
        <v>0.91</v>
      </c>
      <c r="W162" s="165" t="str">
        <f t="shared" si="13"/>
        <v/>
      </c>
      <c r="X162" s="165" t="str">
        <f t="shared" si="14"/>
        <v/>
      </c>
    </row>
    <row r="163" spans="1:25" ht="29" customHeight="1" x14ac:dyDescent="0.2">
      <c r="A163" s="76" t="s">
        <v>111</v>
      </c>
      <c r="B163" s="76" t="s">
        <v>366</v>
      </c>
      <c r="C163" s="45" t="s">
        <v>367</v>
      </c>
      <c r="D163" s="89"/>
      <c r="F163" s="90"/>
      <c r="G163" s="119" t="s">
        <v>33</v>
      </c>
      <c r="H163" s="119"/>
      <c r="I163" s="119"/>
      <c r="J163" s="119"/>
      <c r="K163" s="119"/>
      <c r="L163" s="119"/>
      <c r="M163" s="119"/>
      <c r="N163" s="119"/>
      <c r="S163" s="46" t="s">
        <v>35</v>
      </c>
      <c r="U163" s="185">
        <v>10.25279426574707</v>
      </c>
      <c r="V163" s="109">
        <f>'Additional information'!$D$19</f>
        <v>0.91</v>
      </c>
      <c r="W163" s="165">
        <f t="shared" si="13"/>
        <v>9.3300427818298335</v>
      </c>
      <c r="X163" s="165">
        <f t="shared" si="14"/>
        <v>9.3300427818298335</v>
      </c>
    </row>
    <row r="164" spans="1:25" ht="29" customHeight="1" x14ac:dyDescent="0.2">
      <c r="A164" s="76" t="s">
        <v>368</v>
      </c>
      <c r="B164" s="76" t="s">
        <v>369</v>
      </c>
      <c r="C164" s="45" t="s">
        <v>370</v>
      </c>
      <c r="D164" s="89"/>
      <c r="E164" s="46" t="s">
        <v>277</v>
      </c>
      <c r="F164" s="90"/>
      <c r="G164" s="119" t="s">
        <v>33</v>
      </c>
      <c r="H164" s="119"/>
      <c r="I164" s="121" t="s">
        <v>313</v>
      </c>
      <c r="J164" s="121"/>
      <c r="K164" s="121" t="s">
        <v>371</v>
      </c>
      <c r="L164" s="119"/>
      <c r="M164" s="119"/>
      <c r="N164" s="119"/>
      <c r="S164" s="46" t="s">
        <v>35</v>
      </c>
      <c r="U164" s="185">
        <v>24.194343566894531</v>
      </c>
      <c r="V164" s="109">
        <f>'Additional information'!$D$19</f>
        <v>0.91</v>
      </c>
      <c r="W164" s="165">
        <f t="shared" si="13"/>
        <v>22.016852645874025</v>
      </c>
      <c r="X164" s="165">
        <f t="shared" si="14"/>
        <v>22.016852645874025</v>
      </c>
    </row>
    <row r="165" spans="1:25" x14ac:dyDescent="0.2">
      <c r="D165" s="89"/>
      <c r="F165" s="90"/>
      <c r="K165" s="131"/>
      <c r="U165" s="185"/>
      <c r="V165" s="109">
        <f>'Additional information'!$D$19</f>
        <v>0.91</v>
      </c>
      <c r="W165" s="165" t="str">
        <f t="shared" si="13"/>
        <v/>
      </c>
      <c r="X165" s="165" t="str">
        <f t="shared" si="14"/>
        <v/>
      </c>
    </row>
    <row r="166" spans="1:25" ht="29" customHeight="1" x14ac:dyDescent="0.2">
      <c r="A166" s="76" t="s">
        <v>193</v>
      </c>
      <c r="B166" s="76" t="s">
        <v>372</v>
      </c>
      <c r="C166" s="82" t="s">
        <v>373</v>
      </c>
      <c r="D166" s="89"/>
      <c r="E166" s="76" t="s">
        <v>317</v>
      </c>
      <c r="F166" s="90"/>
      <c r="G166" s="119" t="s">
        <v>33</v>
      </c>
      <c r="H166" s="119"/>
      <c r="I166" s="119"/>
      <c r="J166" s="119"/>
      <c r="K166" s="121"/>
      <c r="L166" s="119"/>
      <c r="M166" s="119"/>
      <c r="N166" s="119"/>
      <c r="S166" s="46" t="s">
        <v>35</v>
      </c>
      <c r="U166" s="185">
        <v>19.321737289428711</v>
      </c>
      <c r="V166" s="109">
        <f>'Additional information'!$D$19</f>
        <v>0.91</v>
      </c>
      <c r="W166" s="165">
        <f t="shared" ref="W166:W197" si="15">IF(U166&lt;&gt;"",U166*V166,"")</f>
        <v>17.582780933380128</v>
      </c>
      <c r="X166" s="165">
        <f t="shared" ref="X166:X197" si="16">IF(AND(U166&lt;&gt;"",S166="yes"),U166*V166,"")</f>
        <v>17.582780933380128</v>
      </c>
    </row>
    <row r="167" spans="1:25" x14ac:dyDescent="0.2">
      <c r="C167" s="48"/>
      <c r="D167" s="89"/>
      <c r="F167" s="90"/>
      <c r="K167" s="131"/>
      <c r="U167" s="185"/>
      <c r="V167" s="109">
        <f>'Additional information'!$D$19</f>
        <v>0.91</v>
      </c>
      <c r="W167" s="165" t="str">
        <f t="shared" si="15"/>
        <v/>
      </c>
      <c r="X167" s="165" t="str">
        <f t="shared" si="16"/>
        <v/>
      </c>
    </row>
    <row r="168" spans="1:25" ht="15" customHeight="1" thickBot="1" x14ac:dyDescent="0.25">
      <c r="A168" s="103" t="s">
        <v>115</v>
      </c>
      <c r="B168" s="103"/>
      <c r="C168" s="104"/>
      <c r="D168" s="111"/>
      <c r="E168" s="103"/>
      <c r="F168" s="112"/>
      <c r="G168" s="132"/>
      <c r="H168" s="132"/>
      <c r="I168" s="132"/>
      <c r="J168" s="132"/>
      <c r="K168" s="132"/>
      <c r="L168" s="132"/>
      <c r="M168" s="132"/>
      <c r="N168" s="132"/>
      <c r="U168" s="185"/>
      <c r="W168" s="165" t="str">
        <f t="shared" si="15"/>
        <v/>
      </c>
      <c r="X168" s="165" t="str">
        <f t="shared" si="16"/>
        <v/>
      </c>
    </row>
    <row r="169" spans="1:25" s="74" customFormat="1" ht="15" customHeight="1" thickTop="1" x14ac:dyDescent="0.2">
      <c r="A169" s="71" t="s">
        <v>55</v>
      </c>
      <c r="B169" s="71" t="s">
        <v>374</v>
      </c>
      <c r="C169" s="95" t="s">
        <v>375</v>
      </c>
      <c r="D169" s="72"/>
      <c r="E169" s="71"/>
      <c r="F169" s="73"/>
      <c r="G169" s="124" t="s">
        <v>42</v>
      </c>
      <c r="H169" s="124"/>
      <c r="I169" s="124"/>
      <c r="J169" s="124"/>
      <c r="K169" s="124" t="s">
        <v>376</v>
      </c>
      <c r="L169" s="124"/>
      <c r="M169" s="124"/>
      <c r="N169" s="124"/>
      <c r="S169" s="46" t="s">
        <v>35</v>
      </c>
      <c r="U169" s="185"/>
      <c r="V169" s="75"/>
      <c r="W169" s="165" t="str">
        <f t="shared" si="15"/>
        <v/>
      </c>
      <c r="X169" s="165" t="str">
        <f t="shared" si="16"/>
        <v/>
      </c>
      <c r="Y169" s="75"/>
    </row>
    <row r="170" spans="1:25" s="77" customFormat="1" ht="43.5" customHeight="1" x14ac:dyDescent="0.2">
      <c r="A170" s="81" t="s">
        <v>38</v>
      </c>
      <c r="B170" s="81" t="s">
        <v>377</v>
      </c>
      <c r="C170" s="82" t="s">
        <v>378</v>
      </c>
      <c r="D170" s="100"/>
      <c r="F170" s="102"/>
      <c r="G170" s="121"/>
      <c r="H170" s="121"/>
      <c r="I170" s="121"/>
      <c r="J170" s="121"/>
      <c r="K170" s="121"/>
      <c r="L170" s="121"/>
      <c r="M170" s="121"/>
      <c r="N170" s="121"/>
      <c r="S170" s="77" t="s">
        <v>35</v>
      </c>
      <c r="U170" s="185">
        <v>7.5</v>
      </c>
      <c r="V170" s="109">
        <f>'Additional information'!$D$20</f>
        <v>0.05</v>
      </c>
      <c r="W170" s="165">
        <f t="shared" si="15"/>
        <v>0.375</v>
      </c>
      <c r="X170" s="165">
        <f t="shared" si="16"/>
        <v>0.375</v>
      </c>
    </row>
    <row r="171" spans="1:25" s="74" customFormat="1" x14ac:dyDescent="0.2">
      <c r="C171" s="96"/>
      <c r="D171" s="72"/>
      <c r="F171" s="73"/>
      <c r="G171" s="125"/>
      <c r="H171" s="125"/>
      <c r="I171" s="125"/>
      <c r="J171" s="125"/>
      <c r="K171" s="125"/>
      <c r="L171" s="125"/>
      <c r="M171" s="125"/>
      <c r="N171" s="125"/>
      <c r="S171" s="46"/>
      <c r="U171" s="185"/>
      <c r="V171" s="109">
        <f>'Additional information'!$D$20</f>
        <v>0.05</v>
      </c>
      <c r="W171" s="165" t="str">
        <f t="shared" si="15"/>
        <v/>
      </c>
      <c r="X171" s="165" t="str">
        <f t="shared" si="16"/>
        <v/>
      </c>
      <c r="Y171" s="75"/>
    </row>
    <row r="172" spans="1:25" ht="16" x14ac:dyDescent="0.2">
      <c r="A172" s="76" t="s">
        <v>379</v>
      </c>
      <c r="B172" s="76" t="s">
        <v>380</v>
      </c>
      <c r="C172" s="45" t="s">
        <v>381</v>
      </c>
      <c r="D172" s="89"/>
      <c r="E172" s="46" t="s">
        <v>382</v>
      </c>
      <c r="F172" s="90"/>
      <c r="G172" s="119" t="s">
        <v>33</v>
      </c>
      <c r="H172" s="119"/>
      <c r="I172" s="119" t="s">
        <v>313</v>
      </c>
      <c r="J172" s="119"/>
      <c r="K172" s="119"/>
      <c r="L172" s="119"/>
      <c r="M172" s="119"/>
      <c r="N172" s="119"/>
      <c r="S172" s="46" t="s">
        <v>35</v>
      </c>
      <c r="U172" s="185">
        <v>19.090116500854489</v>
      </c>
      <c r="V172" s="109">
        <f>'Additional information'!$D$20</f>
        <v>0.05</v>
      </c>
      <c r="W172" s="165">
        <f t="shared" si="15"/>
        <v>0.95450582504272452</v>
      </c>
      <c r="X172" s="165">
        <f t="shared" si="16"/>
        <v>0.95450582504272452</v>
      </c>
    </row>
    <row r="173" spans="1:25" x14ac:dyDescent="0.2">
      <c r="D173" s="89"/>
      <c r="F173" s="90"/>
      <c r="U173" s="185"/>
      <c r="V173" s="109">
        <f>'Additional information'!$D$20</f>
        <v>0.05</v>
      </c>
      <c r="W173" s="165" t="str">
        <f t="shared" si="15"/>
        <v/>
      </c>
      <c r="X173" s="165" t="str">
        <f t="shared" si="16"/>
        <v/>
      </c>
    </row>
    <row r="174" spans="1:25" ht="29" customHeight="1" x14ac:dyDescent="0.2">
      <c r="A174" s="76" t="s">
        <v>193</v>
      </c>
      <c r="B174" s="76" t="s">
        <v>383</v>
      </c>
      <c r="C174" s="45" t="s">
        <v>384</v>
      </c>
      <c r="D174" s="89"/>
      <c r="F174" s="90"/>
      <c r="G174" s="119" t="s">
        <v>33</v>
      </c>
      <c r="H174" s="119"/>
      <c r="I174" s="119"/>
      <c r="J174" s="119"/>
      <c r="K174" s="119"/>
      <c r="L174" s="119"/>
      <c r="M174" s="119"/>
      <c r="N174" s="119"/>
      <c r="S174" s="46" t="s">
        <v>35</v>
      </c>
      <c r="U174" s="185">
        <v>17.656976699829102</v>
      </c>
      <c r="V174" s="109">
        <f>'Additional information'!$D$20</f>
        <v>0.05</v>
      </c>
      <c r="W174" s="165">
        <f t="shared" si="15"/>
        <v>0.88284883499145517</v>
      </c>
      <c r="X174" s="165">
        <f t="shared" si="16"/>
        <v>0.88284883499145517</v>
      </c>
    </row>
    <row r="175" spans="1:25" x14ac:dyDescent="0.2">
      <c r="D175" s="89"/>
      <c r="F175" s="90"/>
      <c r="U175" s="185"/>
      <c r="V175" s="109">
        <f>'Additional information'!$D$20</f>
        <v>0.05</v>
      </c>
      <c r="W175" s="165" t="str">
        <f t="shared" si="15"/>
        <v/>
      </c>
      <c r="X175" s="165" t="str">
        <f t="shared" si="16"/>
        <v/>
      </c>
    </row>
    <row r="176" spans="1:25" ht="29" customHeight="1" x14ac:dyDescent="0.2">
      <c r="A176" s="76" t="s">
        <v>111</v>
      </c>
      <c r="B176" s="76" t="s">
        <v>385</v>
      </c>
      <c r="C176" s="45" t="s">
        <v>386</v>
      </c>
      <c r="D176" s="89"/>
      <c r="F176" s="90"/>
      <c r="G176" s="119" t="s">
        <v>33</v>
      </c>
      <c r="H176" s="119"/>
      <c r="I176" s="119"/>
      <c r="J176" s="119"/>
      <c r="K176" s="119"/>
      <c r="L176" s="119"/>
      <c r="M176" s="119"/>
      <c r="N176" s="119"/>
      <c r="S176" s="46" t="s">
        <v>35</v>
      </c>
      <c r="U176" s="186">
        <v>8.7647056579589844</v>
      </c>
      <c r="V176" s="109">
        <f>'Additional information'!$D$20</f>
        <v>0.05</v>
      </c>
      <c r="W176" s="165">
        <f t="shared" si="15"/>
        <v>0.43823528289794922</v>
      </c>
      <c r="X176" s="165">
        <f t="shared" si="16"/>
        <v>0.43823528289794922</v>
      </c>
    </row>
    <row r="177" spans="1:25" ht="29" customHeight="1" x14ac:dyDescent="0.2">
      <c r="A177" s="76" t="s">
        <v>387</v>
      </c>
      <c r="B177" s="76" t="s">
        <v>388</v>
      </c>
      <c r="C177" s="45" t="s">
        <v>389</v>
      </c>
      <c r="D177" s="89"/>
      <c r="E177" s="46" t="s">
        <v>277</v>
      </c>
      <c r="F177" s="90"/>
      <c r="G177" s="119"/>
      <c r="H177" s="119"/>
      <c r="I177" s="121" t="s">
        <v>313</v>
      </c>
      <c r="J177" s="119"/>
      <c r="K177" s="121" t="s">
        <v>390</v>
      </c>
      <c r="L177" s="119"/>
      <c r="M177" s="119"/>
      <c r="N177" s="119"/>
      <c r="S177" s="46" t="s">
        <v>35</v>
      </c>
      <c r="U177" s="186">
        <v>27.9538459777832</v>
      </c>
      <c r="V177" s="109">
        <f>'Additional information'!$D$20</f>
        <v>0.05</v>
      </c>
      <c r="W177" s="165">
        <f t="shared" si="15"/>
        <v>1.39769229888916</v>
      </c>
      <c r="X177" s="165">
        <f t="shared" si="16"/>
        <v>1.39769229888916</v>
      </c>
    </row>
    <row r="178" spans="1:25" ht="16" x14ac:dyDescent="0.2">
      <c r="A178" s="76" t="s">
        <v>58</v>
      </c>
      <c r="B178" s="76" t="s">
        <v>391</v>
      </c>
      <c r="C178" s="82" t="s">
        <v>264</v>
      </c>
      <c r="D178" s="100"/>
      <c r="E178" s="77" t="s">
        <v>265</v>
      </c>
      <c r="F178" s="90"/>
      <c r="G178" s="119" t="s">
        <v>33</v>
      </c>
      <c r="H178" s="119"/>
      <c r="I178" s="119"/>
      <c r="J178" s="119"/>
      <c r="K178" s="119" t="s">
        <v>392</v>
      </c>
      <c r="L178" s="119"/>
      <c r="M178" s="119"/>
      <c r="N178" s="119"/>
      <c r="S178" s="46" t="s">
        <v>35</v>
      </c>
      <c r="U178" s="185"/>
      <c r="V178" s="109">
        <f>'Additional information'!$D$20</f>
        <v>0.05</v>
      </c>
      <c r="W178" s="165" t="str">
        <f t="shared" si="15"/>
        <v/>
      </c>
      <c r="X178" s="165" t="str">
        <f t="shared" si="16"/>
        <v/>
      </c>
    </row>
    <row r="179" spans="1:25" x14ac:dyDescent="0.2">
      <c r="D179" s="89"/>
      <c r="F179" s="90"/>
      <c r="U179" s="185"/>
      <c r="V179" s="109">
        <f>'Additional information'!$D$20</f>
        <v>0.05</v>
      </c>
      <c r="W179" s="165" t="str">
        <f t="shared" si="15"/>
        <v/>
      </c>
      <c r="X179" s="165" t="str">
        <f t="shared" si="16"/>
        <v/>
      </c>
    </row>
    <row r="180" spans="1:25" ht="15" customHeight="1" thickBot="1" x14ac:dyDescent="0.25">
      <c r="A180" s="98" t="s">
        <v>115</v>
      </c>
      <c r="B180" s="98"/>
      <c r="C180" s="99"/>
      <c r="D180" s="93"/>
      <c r="E180" s="98"/>
      <c r="F180" s="94"/>
      <c r="G180" s="130"/>
      <c r="H180" s="130"/>
      <c r="I180" s="130"/>
      <c r="J180" s="130"/>
      <c r="K180" s="130"/>
      <c r="L180" s="130"/>
      <c r="M180" s="130"/>
      <c r="N180" s="130"/>
      <c r="U180" s="185"/>
      <c r="W180" s="165" t="str">
        <f t="shared" si="15"/>
        <v/>
      </c>
      <c r="X180" s="165" t="str">
        <f t="shared" si="16"/>
        <v/>
      </c>
    </row>
    <row r="181" spans="1:25" s="74" customFormat="1" ht="15" customHeight="1" thickTop="1" x14ac:dyDescent="0.2">
      <c r="A181" s="71" t="s">
        <v>55</v>
      </c>
      <c r="B181" s="71" t="s">
        <v>393</v>
      </c>
      <c r="C181" s="95" t="s">
        <v>394</v>
      </c>
      <c r="D181" s="72"/>
      <c r="E181" s="71"/>
      <c r="F181" s="73"/>
      <c r="G181" s="124" t="s">
        <v>42</v>
      </c>
      <c r="H181" s="124"/>
      <c r="I181" s="124"/>
      <c r="J181" s="124"/>
      <c r="K181" s="124" t="s">
        <v>395</v>
      </c>
      <c r="L181" s="124"/>
      <c r="M181" s="124"/>
      <c r="N181" s="124"/>
      <c r="S181" s="46" t="s">
        <v>35</v>
      </c>
      <c r="U181" s="185"/>
      <c r="V181" s="75"/>
      <c r="W181" s="165" t="str">
        <f t="shared" si="15"/>
        <v/>
      </c>
      <c r="X181" s="165" t="str">
        <f t="shared" si="16"/>
        <v/>
      </c>
      <c r="Y181" s="75"/>
    </row>
    <row r="182" spans="1:25" s="74" customFormat="1" x14ac:dyDescent="0.2">
      <c r="C182" s="96"/>
      <c r="D182" s="72"/>
      <c r="F182" s="73"/>
      <c r="G182" s="125"/>
      <c r="H182" s="125"/>
      <c r="I182" s="125"/>
      <c r="J182" s="125"/>
      <c r="K182" s="125"/>
      <c r="L182" s="125"/>
      <c r="M182" s="125"/>
      <c r="N182" s="125"/>
      <c r="S182" s="46"/>
      <c r="U182" s="185"/>
      <c r="V182" s="109">
        <f>'Additional information'!$D$20</f>
        <v>0.05</v>
      </c>
      <c r="W182" s="165" t="str">
        <f t="shared" si="15"/>
        <v/>
      </c>
      <c r="X182" s="165" t="str">
        <f t="shared" si="16"/>
        <v/>
      </c>
      <c r="Y182" s="75"/>
    </row>
    <row r="183" spans="1:25" s="74" customFormat="1" ht="29" customHeight="1" x14ac:dyDescent="0.2">
      <c r="A183" s="76" t="s">
        <v>396</v>
      </c>
      <c r="B183" s="76" t="s">
        <v>397</v>
      </c>
      <c r="C183" s="45" t="s">
        <v>398</v>
      </c>
      <c r="D183" s="89"/>
      <c r="E183" s="76"/>
      <c r="F183" s="90"/>
      <c r="G183" s="119" t="s">
        <v>33</v>
      </c>
      <c r="H183" s="124"/>
      <c r="I183" s="124"/>
      <c r="J183" s="124"/>
      <c r="K183" s="124"/>
      <c r="L183" s="124"/>
      <c r="M183" s="124"/>
      <c r="N183" s="124"/>
      <c r="S183" s="46" t="s">
        <v>35</v>
      </c>
      <c r="U183" s="185">
        <v>14.38495540618896</v>
      </c>
      <c r="V183" s="109">
        <f>'Additional information'!$D$20</f>
        <v>0.05</v>
      </c>
      <c r="W183" s="165">
        <f t="shared" si="15"/>
        <v>0.71924777030944798</v>
      </c>
      <c r="X183" s="165">
        <f t="shared" si="16"/>
        <v>0.71924777030944798</v>
      </c>
      <c r="Y183" s="75"/>
    </row>
    <row r="184" spans="1:25" x14ac:dyDescent="0.2">
      <c r="A184" s="76" t="s">
        <v>24</v>
      </c>
      <c r="B184" s="76" t="s">
        <v>399</v>
      </c>
      <c r="C184" s="45"/>
      <c r="D184" s="89"/>
      <c r="E184" s="76"/>
      <c r="F184" s="90"/>
      <c r="G184" s="119"/>
      <c r="H184" s="119"/>
      <c r="I184" s="119"/>
      <c r="J184" s="119"/>
      <c r="K184" s="119"/>
      <c r="L184" s="119"/>
      <c r="M184" s="119"/>
      <c r="N184" s="119" t="s">
        <v>400</v>
      </c>
      <c r="S184" s="46" t="s">
        <v>35</v>
      </c>
      <c r="U184" s="185"/>
      <c r="V184" s="109">
        <f>'Additional information'!$D$20</f>
        <v>0.05</v>
      </c>
      <c r="W184" s="165" t="str">
        <f t="shared" si="15"/>
        <v/>
      </c>
      <c r="X184" s="165" t="str">
        <f t="shared" si="16"/>
        <v/>
      </c>
    </row>
    <row r="185" spans="1:25" ht="16" x14ac:dyDescent="0.2">
      <c r="A185" s="76" t="s">
        <v>58</v>
      </c>
      <c r="B185" s="76" t="s">
        <v>401</v>
      </c>
      <c r="C185" s="82" t="s">
        <v>264</v>
      </c>
      <c r="D185" s="100"/>
      <c r="E185" s="77" t="s">
        <v>265</v>
      </c>
      <c r="F185" s="90"/>
      <c r="G185" s="119" t="s">
        <v>33</v>
      </c>
      <c r="H185" s="119"/>
      <c r="I185" s="119"/>
      <c r="J185" s="119"/>
      <c r="K185" s="121" t="s">
        <v>402</v>
      </c>
      <c r="L185" s="119"/>
      <c r="M185" s="119"/>
      <c r="N185" s="119"/>
      <c r="S185" s="46" t="s">
        <v>35</v>
      </c>
      <c r="U185" s="185"/>
      <c r="V185" s="109">
        <f>'Additional information'!$D$20</f>
        <v>0.05</v>
      </c>
      <c r="W185" s="165" t="str">
        <f t="shared" si="15"/>
        <v/>
      </c>
      <c r="X185" s="165" t="str">
        <f t="shared" si="16"/>
        <v/>
      </c>
    </row>
    <row r="186" spans="1:25" x14ac:dyDescent="0.2">
      <c r="D186" s="89"/>
      <c r="F186" s="90"/>
      <c r="K186" s="131"/>
      <c r="U186" s="185"/>
      <c r="V186" s="109">
        <f>'Additional information'!$D$20</f>
        <v>0.05</v>
      </c>
      <c r="W186" s="165" t="str">
        <f t="shared" si="15"/>
        <v/>
      </c>
      <c r="X186" s="165" t="str">
        <f t="shared" si="16"/>
        <v/>
      </c>
    </row>
    <row r="187" spans="1:25" ht="29" customHeight="1" x14ac:dyDescent="0.2">
      <c r="A187" s="76" t="s">
        <v>111</v>
      </c>
      <c r="B187" s="76" t="s">
        <v>403</v>
      </c>
      <c r="C187" s="45" t="s">
        <v>404</v>
      </c>
      <c r="D187" s="89"/>
      <c r="E187" s="76"/>
      <c r="F187" s="90"/>
      <c r="G187" s="119" t="s">
        <v>33</v>
      </c>
      <c r="H187" s="119"/>
      <c r="I187" s="119"/>
      <c r="J187" s="119"/>
      <c r="K187" s="119"/>
      <c r="L187" s="119"/>
      <c r="M187" s="119"/>
      <c r="N187" s="119"/>
      <c r="S187" s="46" t="s">
        <v>35</v>
      </c>
      <c r="U187" s="185">
        <v>9.4380531311035156</v>
      </c>
      <c r="V187" s="109">
        <f>'Additional information'!$D$20</f>
        <v>0.05</v>
      </c>
      <c r="W187" s="165">
        <f t="shared" si="15"/>
        <v>0.47190265655517583</v>
      </c>
      <c r="X187" s="165">
        <f t="shared" si="16"/>
        <v>0.47190265655517583</v>
      </c>
    </row>
    <row r="188" spans="1:25" ht="29" customHeight="1" x14ac:dyDescent="0.2">
      <c r="A188" s="76" t="s">
        <v>405</v>
      </c>
      <c r="B188" s="76" t="s">
        <v>406</v>
      </c>
      <c r="C188" s="45" t="s">
        <v>407</v>
      </c>
      <c r="D188" s="89"/>
      <c r="E188" s="76" t="s">
        <v>343</v>
      </c>
      <c r="F188" s="90"/>
      <c r="G188" s="119" t="s">
        <v>33</v>
      </c>
      <c r="H188" s="119"/>
      <c r="I188" s="121" t="s">
        <v>313</v>
      </c>
      <c r="J188" s="119"/>
      <c r="K188" s="121" t="s">
        <v>408</v>
      </c>
      <c r="L188" s="119"/>
      <c r="M188" s="119"/>
      <c r="N188" s="119"/>
      <c r="S188" s="46" t="s">
        <v>35</v>
      </c>
      <c r="U188" s="185">
        <v>27.76699066162109</v>
      </c>
      <c r="V188" s="109">
        <f>'Additional information'!$D$20</f>
        <v>0.05</v>
      </c>
      <c r="W188" s="165">
        <f t="shared" si="15"/>
        <v>1.3883495330810547</v>
      </c>
      <c r="X188" s="165">
        <f t="shared" si="16"/>
        <v>1.3883495330810547</v>
      </c>
    </row>
    <row r="189" spans="1:25" ht="16" x14ac:dyDescent="0.2">
      <c r="A189" s="76" t="s">
        <v>58</v>
      </c>
      <c r="B189" s="76" t="s">
        <v>409</v>
      </c>
      <c r="C189" s="82" t="s">
        <v>264</v>
      </c>
      <c r="D189" s="100"/>
      <c r="E189" s="77" t="s">
        <v>265</v>
      </c>
      <c r="F189" s="90"/>
      <c r="G189" s="119" t="s">
        <v>33</v>
      </c>
      <c r="H189" s="119"/>
      <c r="I189" s="119"/>
      <c r="J189" s="119"/>
      <c r="K189" s="121" t="s">
        <v>410</v>
      </c>
      <c r="L189" s="119"/>
      <c r="M189" s="119"/>
      <c r="N189" s="119"/>
      <c r="S189" s="46" t="s">
        <v>35</v>
      </c>
      <c r="U189" s="185"/>
      <c r="V189" s="109">
        <f>'Additional information'!$D$20</f>
        <v>0.05</v>
      </c>
      <c r="W189" s="165" t="str">
        <f t="shared" si="15"/>
        <v/>
      </c>
      <c r="X189" s="165" t="str">
        <f t="shared" si="16"/>
        <v/>
      </c>
    </row>
    <row r="190" spans="1:25" x14ac:dyDescent="0.2">
      <c r="D190" s="89"/>
      <c r="F190" s="90"/>
      <c r="K190" s="131"/>
      <c r="U190" s="185"/>
      <c r="V190" s="109">
        <f>'Additional information'!$D$20</f>
        <v>0.05</v>
      </c>
      <c r="W190" s="165" t="str">
        <f t="shared" si="15"/>
        <v/>
      </c>
      <c r="X190" s="165" t="str">
        <f t="shared" si="16"/>
        <v/>
      </c>
    </row>
    <row r="191" spans="1:25" ht="29" customHeight="1" x14ac:dyDescent="0.2">
      <c r="A191" s="76" t="s">
        <v>193</v>
      </c>
      <c r="B191" s="76" t="s">
        <v>411</v>
      </c>
      <c r="C191" s="82" t="s">
        <v>412</v>
      </c>
      <c r="D191" s="89"/>
      <c r="E191" s="76" t="s">
        <v>317</v>
      </c>
      <c r="F191" s="90"/>
      <c r="G191" s="119" t="s">
        <v>33</v>
      </c>
      <c r="H191" s="119"/>
      <c r="I191" s="119"/>
      <c r="J191" s="119"/>
      <c r="K191" s="121"/>
      <c r="L191" s="119"/>
      <c r="M191" s="119"/>
      <c r="N191" s="119"/>
      <c r="S191" s="46" t="s">
        <v>35</v>
      </c>
      <c r="U191" s="185">
        <v>13.705752372741699</v>
      </c>
      <c r="V191" s="109">
        <f>'Additional information'!$D$20</f>
        <v>0.05</v>
      </c>
      <c r="W191" s="165">
        <f t="shared" si="15"/>
        <v>0.68528761863708498</v>
      </c>
      <c r="X191" s="165">
        <f t="shared" si="16"/>
        <v>0.68528761863708498</v>
      </c>
    </row>
    <row r="192" spans="1:25" x14ac:dyDescent="0.2">
      <c r="C192" s="48"/>
      <c r="D192" s="89"/>
      <c r="F192" s="90"/>
      <c r="K192" s="131"/>
      <c r="U192" s="185"/>
      <c r="V192" s="109">
        <f>'Additional information'!$D$20</f>
        <v>0.05</v>
      </c>
      <c r="W192" s="165" t="str">
        <f t="shared" si="15"/>
        <v/>
      </c>
      <c r="X192" s="165" t="str">
        <f t="shared" si="16"/>
        <v/>
      </c>
    </row>
    <row r="193" spans="1:25" ht="15" customHeight="1" thickBot="1" x14ac:dyDescent="0.25">
      <c r="A193" s="103" t="s">
        <v>115</v>
      </c>
      <c r="B193" s="103"/>
      <c r="C193" s="104"/>
      <c r="D193" s="111"/>
      <c r="E193" s="103"/>
      <c r="F193" s="112"/>
      <c r="G193" s="132"/>
      <c r="H193" s="132"/>
      <c r="I193" s="132"/>
      <c r="J193" s="132"/>
      <c r="K193" s="132"/>
      <c r="L193" s="132"/>
      <c r="M193" s="132"/>
      <c r="N193" s="132"/>
      <c r="U193" s="185"/>
      <c r="W193" s="165" t="str">
        <f t="shared" si="15"/>
        <v/>
      </c>
      <c r="X193" s="165" t="str">
        <f t="shared" si="16"/>
        <v/>
      </c>
    </row>
    <row r="194" spans="1:25" s="74" customFormat="1" ht="15" customHeight="1" thickTop="1" x14ac:dyDescent="0.2">
      <c r="A194" s="71" t="s">
        <v>55</v>
      </c>
      <c r="B194" s="71" t="s">
        <v>413</v>
      </c>
      <c r="C194" s="95" t="s">
        <v>414</v>
      </c>
      <c r="D194" s="72"/>
      <c r="E194" s="71"/>
      <c r="F194" s="73"/>
      <c r="G194" s="124" t="s">
        <v>42</v>
      </c>
      <c r="H194" s="124"/>
      <c r="I194" s="124"/>
      <c r="J194" s="124"/>
      <c r="K194" s="124" t="s">
        <v>118</v>
      </c>
      <c r="L194" s="124"/>
      <c r="M194" s="124"/>
      <c r="N194" s="124"/>
      <c r="S194" s="46" t="s">
        <v>35</v>
      </c>
      <c r="U194" s="185"/>
      <c r="V194" s="75"/>
      <c r="W194" s="165" t="str">
        <f t="shared" si="15"/>
        <v/>
      </c>
      <c r="X194" s="165" t="str">
        <f t="shared" si="16"/>
        <v/>
      </c>
      <c r="Y194" s="75"/>
    </row>
    <row r="195" spans="1:25" x14ac:dyDescent="0.2">
      <c r="C195" s="48"/>
      <c r="D195" s="89"/>
      <c r="F195" s="90"/>
      <c r="K195" s="131"/>
      <c r="U195" s="185"/>
      <c r="V195" s="109">
        <v>1</v>
      </c>
      <c r="W195" s="165" t="str">
        <f t="shared" si="15"/>
        <v/>
      </c>
      <c r="X195" s="165" t="str">
        <f t="shared" si="16"/>
        <v/>
      </c>
    </row>
    <row r="196" spans="1:25" s="74" customFormat="1" ht="43.5" customHeight="1" x14ac:dyDescent="0.2">
      <c r="A196" s="76" t="s">
        <v>38</v>
      </c>
      <c r="B196" s="76" t="s">
        <v>415</v>
      </c>
      <c r="C196" s="45" t="s">
        <v>416</v>
      </c>
      <c r="D196" s="72"/>
      <c r="F196" s="73"/>
      <c r="G196" s="124"/>
      <c r="H196" s="124"/>
      <c r="I196" s="124"/>
      <c r="J196" s="124"/>
      <c r="K196" s="124"/>
      <c r="L196" s="124"/>
      <c r="M196" s="124"/>
      <c r="N196" s="124"/>
      <c r="S196" s="46" t="s">
        <v>43</v>
      </c>
      <c r="U196" s="185"/>
      <c r="V196" s="110">
        <v>1</v>
      </c>
      <c r="W196" s="165" t="str">
        <f t="shared" si="15"/>
        <v/>
      </c>
      <c r="X196" s="165" t="str">
        <f t="shared" si="16"/>
        <v/>
      </c>
      <c r="Y196" s="75"/>
    </row>
    <row r="197" spans="1:25" x14ac:dyDescent="0.2">
      <c r="C197" s="48"/>
      <c r="D197" s="89"/>
      <c r="F197" s="90"/>
      <c r="K197" s="131"/>
      <c r="U197" s="185"/>
      <c r="V197" s="109">
        <v>1</v>
      </c>
      <c r="W197" s="165" t="str">
        <f t="shared" si="15"/>
        <v/>
      </c>
      <c r="X197" s="165" t="str">
        <f t="shared" si="16"/>
        <v/>
      </c>
    </row>
    <row r="198" spans="1:25" s="74" customFormat="1" ht="16" x14ac:dyDescent="0.2">
      <c r="A198" s="76" t="s">
        <v>55</v>
      </c>
      <c r="B198" s="76" t="s">
        <v>417</v>
      </c>
      <c r="C198" s="95" t="s">
        <v>418</v>
      </c>
      <c r="D198" s="72"/>
      <c r="E198" s="71"/>
      <c r="F198" s="73"/>
      <c r="G198" s="124"/>
      <c r="H198" s="124"/>
      <c r="I198" s="124"/>
      <c r="J198" s="124"/>
      <c r="K198" s="124"/>
      <c r="L198" s="124"/>
      <c r="M198" s="124"/>
      <c r="N198" s="124"/>
      <c r="S198" s="46"/>
      <c r="U198" s="185"/>
      <c r="V198" s="110">
        <v>1</v>
      </c>
      <c r="W198" s="165" t="str">
        <f t="shared" ref="W198:W229" si="17">IF(U198&lt;&gt;"",U198*V198,"")</f>
        <v/>
      </c>
      <c r="X198" s="165" t="str">
        <f t="shared" ref="X198:X225" si="18">IF(AND(U198&lt;&gt;"",S198="yes"),U198*V198,"")</f>
        <v/>
      </c>
      <c r="Y198" s="75"/>
    </row>
    <row r="199" spans="1:25" ht="29" customHeight="1" x14ac:dyDescent="0.2">
      <c r="A199" s="76" t="s">
        <v>38</v>
      </c>
      <c r="B199" s="76" t="s">
        <v>419</v>
      </c>
      <c r="C199" s="45" t="s">
        <v>420</v>
      </c>
      <c r="D199" s="89"/>
      <c r="E199" s="76"/>
      <c r="F199" s="90"/>
      <c r="G199" s="119" t="s">
        <v>42</v>
      </c>
      <c r="H199" s="119"/>
      <c r="I199" s="119"/>
      <c r="J199" s="119"/>
      <c r="K199" s="119"/>
      <c r="L199" s="119"/>
      <c r="M199" s="119"/>
      <c r="N199" s="119"/>
      <c r="S199" s="46" t="s">
        <v>35</v>
      </c>
      <c r="U199" s="185">
        <v>12.77690315246582</v>
      </c>
      <c r="V199" s="110">
        <v>1</v>
      </c>
      <c r="W199" s="165">
        <f t="shared" si="17"/>
        <v>12.77690315246582</v>
      </c>
      <c r="X199" s="165">
        <f t="shared" si="18"/>
        <v>12.77690315246582</v>
      </c>
    </row>
    <row r="200" spans="1:25" ht="43.5" customHeight="1" x14ac:dyDescent="0.2">
      <c r="A200" s="76" t="s">
        <v>111</v>
      </c>
      <c r="B200" s="76" t="s">
        <v>421</v>
      </c>
      <c r="C200" s="45" t="s">
        <v>422</v>
      </c>
      <c r="D200" s="89"/>
      <c r="E200" s="76"/>
      <c r="F200" s="90"/>
      <c r="G200" s="119" t="s">
        <v>33</v>
      </c>
      <c r="H200" s="119"/>
      <c r="I200" s="119"/>
      <c r="J200" s="119"/>
      <c r="K200" s="119"/>
      <c r="L200" s="119"/>
      <c r="M200" s="119"/>
      <c r="N200" s="119"/>
      <c r="S200" s="46" t="s">
        <v>35</v>
      </c>
      <c r="U200" s="185">
        <v>21.398605346679691</v>
      </c>
      <c r="V200" s="110">
        <v>1</v>
      </c>
      <c r="W200" s="165">
        <f t="shared" si="17"/>
        <v>21.398605346679691</v>
      </c>
      <c r="X200" s="165">
        <f t="shared" si="18"/>
        <v>21.398605346679691</v>
      </c>
    </row>
    <row r="201" spans="1:25" ht="43.5" customHeight="1" x14ac:dyDescent="0.2">
      <c r="A201" s="76" t="s">
        <v>111</v>
      </c>
      <c r="B201" s="76" t="s">
        <v>423</v>
      </c>
      <c r="C201" s="45" t="s">
        <v>424</v>
      </c>
      <c r="D201" s="89"/>
      <c r="E201" s="76"/>
      <c r="F201" s="90"/>
      <c r="G201" s="119" t="s">
        <v>33</v>
      </c>
      <c r="H201" s="119"/>
      <c r="I201" s="119"/>
      <c r="J201" s="119"/>
      <c r="K201" s="119"/>
      <c r="L201" s="119"/>
      <c r="M201" s="119"/>
      <c r="N201" s="119"/>
      <c r="S201" s="46" t="s">
        <v>35</v>
      </c>
      <c r="U201" s="185">
        <v>14.980740547180179</v>
      </c>
      <c r="V201" s="110">
        <v>1</v>
      </c>
      <c r="W201" s="165">
        <f t="shared" si="17"/>
        <v>14.980740547180179</v>
      </c>
      <c r="X201" s="165">
        <f t="shared" si="18"/>
        <v>14.980740547180179</v>
      </c>
    </row>
    <row r="202" spans="1:25" ht="43.5" customHeight="1" x14ac:dyDescent="0.2">
      <c r="A202" s="76" t="s">
        <v>111</v>
      </c>
      <c r="B202" s="76" t="s">
        <v>425</v>
      </c>
      <c r="C202" s="45" t="s">
        <v>426</v>
      </c>
      <c r="D202" s="89"/>
      <c r="E202" s="76"/>
      <c r="F202" s="90"/>
      <c r="G202" s="119" t="s">
        <v>33</v>
      </c>
      <c r="H202" s="119"/>
      <c r="I202" s="119"/>
      <c r="J202" s="119"/>
      <c r="K202" s="119"/>
      <c r="L202" s="119"/>
      <c r="M202" s="119"/>
      <c r="N202" s="119"/>
      <c r="S202" s="46" t="s">
        <v>35</v>
      </c>
      <c r="U202" s="185">
        <v>13.72302150726318</v>
      </c>
      <c r="V202" s="110">
        <v>1</v>
      </c>
      <c r="W202" s="165">
        <f t="shared" si="17"/>
        <v>13.72302150726318</v>
      </c>
      <c r="X202" s="165">
        <f t="shared" si="18"/>
        <v>13.72302150726318</v>
      </c>
    </row>
    <row r="203" spans="1:25" ht="43.5" customHeight="1" x14ac:dyDescent="0.2">
      <c r="A203" s="76" t="s">
        <v>111</v>
      </c>
      <c r="B203" s="76" t="s">
        <v>427</v>
      </c>
      <c r="C203" s="45" t="s">
        <v>428</v>
      </c>
      <c r="D203" s="89"/>
      <c r="E203" s="76"/>
      <c r="F203" s="90"/>
      <c r="G203" s="119" t="s">
        <v>33</v>
      </c>
      <c r="H203" s="119"/>
      <c r="I203" s="119"/>
      <c r="J203" s="119"/>
      <c r="K203" s="119"/>
      <c r="L203" s="119"/>
      <c r="M203" s="119"/>
      <c r="N203" s="119"/>
      <c r="S203" s="46" t="s">
        <v>35</v>
      </c>
      <c r="U203" s="185">
        <v>13.06220054626465</v>
      </c>
      <c r="V203" s="110">
        <v>1</v>
      </c>
      <c r="W203" s="165">
        <f t="shared" si="17"/>
        <v>13.06220054626465</v>
      </c>
      <c r="X203" s="165">
        <f t="shared" si="18"/>
        <v>13.06220054626465</v>
      </c>
    </row>
    <row r="204" spans="1:25" ht="43.5" customHeight="1" x14ac:dyDescent="0.2">
      <c r="A204" s="76" t="s">
        <v>111</v>
      </c>
      <c r="B204" s="76" t="s">
        <v>429</v>
      </c>
      <c r="C204" s="45" t="s">
        <v>430</v>
      </c>
      <c r="D204" s="89"/>
      <c r="E204" s="76"/>
      <c r="F204" s="90"/>
      <c r="G204" s="119" t="s">
        <v>33</v>
      </c>
      <c r="H204" s="119"/>
      <c r="I204" s="119"/>
      <c r="J204" s="119"/>
      <c r="K204" s="119"/>
      <c r="L204" s="119"/>
      <c r="M204" s="119"/>
      <c r="N204" s="119"/>
      <c r="S204" s="46" t="s">
        <v>35</v>
      </c>
      <c r="U204" s="185">
        <v>13.09532356262207</v>
      </c>
      <c r="V204" s="110">
        <v>1</v>
      </c>
      <c r="W204" s="165">
        <f t="shared" si="17"/>
        <v>13.09532356262207</v>
      </c>
      <c r="X204" s="165">
        <f t="shared" si="18"/>
        <v>13.09532356262207</v>
      </c>
    </row>
    <row r="205" spans="1:25" ht="29" customHeight="1" x14ac:dyDescent="0.2">
      <c r="A205" s="76" t="s">
        <v>111</v>
      </c>
      <c r="B205" s="76" t="s">
        <v>431</v>
      </c>
      <c r="C205" s="45" t="s">
        <v>432</v>
      </c>
      <c r="D205" s="89"/>
      <c r="E205" s="76"/>
      <c r="F205" s="90"/>
      <c r="G205" s="119" t="s">
        <v>33</v>
      </c>
      <c r="H205" s="119"/>
      <c r="I205" s="119"/>
      <c r="J205" s="119"/>
      <c r="K205" s="119"/>
      <c r="L205" s="119"/>
      <c r="M205" s="119"/>
      <c r="N205" s="119"/>
      <c r="S205" s="46" t="s">
        <v>35</v>
      </c>
      <c r="U205" s="185">
        <v>16.10101918465228</v>
      </c>
      <c r="V205" s="110">
        <v>1</v>
      </c>
      <c r="W205" s="165">
        <f t="shared" si="17"/>
        <v>16.10101918465228</v>
      </c>
      <c r="X205" s="165">
        <f t="shared" si="18"/>
        <v>16.10101918465228</v>
      </c>
    </row>
    <row r="206" spans="1:25" s="77" customFormat="1" ht="16" x14ac:dyDescent="0.2">
      <c r="A206" s="81" t="s">
        <v>433</v>
      </c>
      <c r="B206" s="81" t="s">
        <v>434</v>
      </c>
      <c r="C206" s="82" t="s">
        <v>435</v>
      </c>
      <c r="D206" s="100"/>
      <c r="E206" s="81"/>
      <c r="F206" s="102"/>
      <c r="G206" s="121" t="s">
        <v>33</v>
      </c>
      <c r="H206" s="121"/>
      <c r="I206" s="121"/>
      <c r="J206" s="121"/>
      <c r="K206" s="121" t="s">
        <v>436</v>
      </c>
      <c r="L206" s="121"/>
      <c r="M206" s="121"/>
      <c r="N206" s="121"/>
      <c r="S206" s="77" t="s">
        <v>35</v>
      </c>
      <c r="U206" s="185">
        <v>11.76504325866699</v>
      </c>
      <c r="V206" s="110">
        <v>1</v>
      </c>
      <c r="W206" s="165">
        <f t="shared" si="17"/>
        <v>11.76504325866699</v>
      </c>
      <c r="X206" s="165">
        <f t="shared" si="18"/>
        <v>11.76504325866699</v>
      </c>
    </row>
    <row r="207" spans="1:25" s="77" customFormat="1" ht="29" customHeight="1" x14ac:dyDescent="0.2">
      <c r="A207" s="81" t="s">
        <v>111</v>
      </c>
      <c r="B207" s="81" t="s">
        <v>437</v>
      </c>
      <c r="C207" s="82" t="s">
        <v>438</v>
      </c>
      <c r="D207" s="100"/>
      <c r="E207" s="81"/>
      <c r="F207" s="102"/>
      <c r="G207" s="121" t="s">
        <v>33</v>
      </c>
      <c r="H207" s="121"/>
      <c r="I207" s="121"/>
      <c r="J207" s="121"/>
      <c r="K207" s="121"/>
      <c r="L207" s="121"/>
      <c r="M207" s="121"/>
      <c r="N207" s="121"/>
      <c r="S207" s="77" t="s">
        <v>35</v>
      </c>
      <c r="U207" s="185">
        <v>12.432478904724119</v>
      </c>
      <c r="V207" s="110">
        <v>1</v>
      </c>
      <c r="W207" s="165">
        <f t="shared" si="17"/>
        <v>12.432478904724119</v>
      </c>
      <c r="X207" s="165">
        <f t="shared" si="18"/>
        <v>12.432478904724119</v>
      </c>
    </row>
    <row r="208" spans="1:25" s="77" customFormat="1" ht="16" x14ac:dyDescent="0.2">
      <c r="A208" s="81" t="s">
        <v>433</v>
      </c>
      <c r="B208" s="81" t="s">
        <v>439</v>
      </c>
      <c r="C208" s="82" t="s">
        <v>435</v>
      </c>
      <c r="D208" s="100"/>
      <c r="E208" s="81"/>
      <c r="F208" s="102"/>
      <c r="G208" s="121" t="s">
        <v>33</v>
      </c>
      <c r="H208" s="121"/>
      <c r="I208" s="121"/>
      <c r="J208" s="121"/>
      <c r="K208" s="121" t="s">
        <v>440</v>
      </c>
      <c r="L208" s="121"/>
      <c r="M208" s="121"/>
      <c r="N208" s="121"/>
      <c r="S208" s="77" t="s">
        <v>35</v>
      </c>
      <c r="U208" s="185">
        <v>8.9801836013793945</v>
      </c>
      <c r="V208" s="110">
        <v>1</v>
      </c>
      <c r="W208" s="165">
        <f t="shared" si="17"/>
        <v>8.9801836013793945</v>
      </c>
      <c r="X208" s="165">
        <f t="shared" si="18"/>
        <v>8.9801836013793945</v>
      </c>
    </row>
    <row r="209" spans="1:24" s="77" customFormat="1" ht="43.5" customHeight="1" x14ac:dyDescent="0.2">
      <c r="A209" s="81" t="s">
        <v>111</v>
      </c>
      <c r="B209" s="81" t="s">
        <v>441</v>
      </c>
      <c r="C209" s="82" t="s">
        <v>442</v>
      </c>
      <c r="D209" s="100"/>
      <c r="E209" s="81"/>
      <c r="F209" s="102"/>
      <c r="G209" s="121" t="s">
        <v>33</v>
      </c>
      <c r="H209" s="121"/>
      <c r="I209" s="121"/>
      <c r="J209" s="121"/>
      <c r="K209" s="121"/>
      <c r="L209" s="121"/>
      <c r="M209" s="121"/>
      <c r="N209" s="121"/>
      <c r="S209" s="77" t="s">
        <v>35</v>
      </c>
      <c r="U209" s="185">
        <v>11.089328765869141</v>
      </c>
      <c r="V209" s="110">
        <v>1</v>
      </c>
      <c r="W209" s="165">
        <f t="shared" si="17"/>
        <v>11.089328765869141</v>
      </c>
      <c r="X209" s="165">
        <f t="shared" si="18"/>
        <v>11.089328765869141</v>
      </c>
    </row>
    <row r="210" spans="1:24" s="77" customFormat="1" ht="16" x14ac:dyDescent="0.2">
      <c r="A210" s="81" t="s">
        <v>433</v>
      </c>
      <c r="B210" s="81" t="s">
        <v>443</v>
      </c>
      <c r="C210" s="82" t="s">
        <v>435</v>
      </c>
      <c r="D210" s="100"/>
      <c r="E210" s="81"/>
      <c r="F210" s="102"/>
      <c r="G210" s="121" t="s">
        <v>33</v>
      </c>
      <c r="H210" s="121"/>
      <c r="I210" s="121"/>
      <c r="J210" s="121"/>
      <c r="K210" s="121" t="s">
        <v>444</v>
      </c>
      <c r="L210" s="121"/>
      <c r="M210" s="121"/>
      <c r="N210" s="121"/>
      <c r="S210" s="77" t="s">
        <v>35</v>
      </c>
      <c r="U210" s="185">
        <v>8.0683355331420898</v>
      </c>
      <c r="V210" s="110">
        <v>1</v>
      </c>
      <c r="W210" s="165">
        <f t="shared" si="17"/>
        <v>8.0683355331420898</v>
      </c>
      <c r="X210" s="165">
        <f t="shared" si="18"/>
        <v>8.0683355331420898</v>
      </c>
    </row>
    <row r="211" spans="1:24" x14ac:dyDescent="0.2">
      <c r="A211" s="81" t="s">
        <v>115</v>
      </c>
      <c r="B211" s="81"/>
      <c r="C211" s="45"/>
      <c r="D211" s="89"/>
      <c r="E211" s="76"/>
      <c r="F211" s="90"/>
      <c r="G211" s="119"/>
      <c r="H211" s="119"/>
      <c r="I211" s="119"/>
      <c r="J211" s="119"/>
      <c r="K211" s="119"/>
      <c r="L211" s="119"/>
      <c r="M211" s="119"/>
      <c r="N211" s="119"/>
      <c r="U211" s="185"/>
      <c r="V211" s="110">
        <v>1</v>
      </c>
      <c r="W211" s="165" t="str">
        <f t="shared" si="17"/>
        <v/>
      </c>
      <c r="X211" s="165" t="str">
        <f t="shared" si="18"/>
        <v/>
      </c>
    </row>
    <row r="212" spans="1:24" x14ac:dyDescent="0.2">
      <c r="A212" s="77"/>
      <c r="B212" s="77"/>
      <c r="D212" s="89"/>
      <c r="F212" s="90"/>
      <c r="U212" s="185"/>
      <c r="V212" s="110">
        <v>1</v>
      </c>
      <c r="W212" s="165" t="str">
        <f t="shared" si="17"/>
        <v/>
      </c>
      <c r="X212" s="165" t="str">
        <f t="shared" si="18"/>
        <v/>
      </c>
    </row>
    <row r="213" spans="1:24" s="227" customFormat="1" ht="16" x14ac:dyDescent="0.2">
      <c r="A213" s="227" t="s">
        <v>55</v>
      </c>
      <c r="B213" s="227" t="s">
        <v>445</v>
      </c>
      <c r="C213" s="235" t="s">
        <v>446</v>
      </c>
      <c r="D213" s="233"/>
      <c r="F213" s="228"/>
      <c r="G213" s="229"/>
      <c r="H213" s="229" t="s">
        <v>447</v>
      </c>
      <c r="I213" s="229"/>
      <c r="J213" s="229"/>
      <c r="K213" s="229"/>
      <c r="L213" s="229"/>
      <c r="M213" s="229"/>
      <c r="N213" s="229"/>
      <c r="U213" s="230"/>
      <c r="V213" s="236">
        <v>1</v>
      </c>
      <c r="W213" s="232" t="str">
        <f t="shared" si="17"/>
        <v/>
      </c>
      <c r="X213" s="232" t="str">
        <f t="shared" si="18"/>
        <v/>
      </c>
    </row>
    <row r="214" spans="1:24" s="227" customFormat="1" ht="58" customHeight="1" x14ac:dyDescent="0.2">
      <c r="A214" s="227" t="s">
        <v>38</v>
      </c>
      <c r="B214" s="227" t="s">
        <v>448</v>
      </c>
      <c r="C214" s="226" t="s">
        <v>449</v>
      </c>
      <c r="D214" s="233"/>
      <c r="F214" s="228"/>
      <c r="G214" s="229"/>
      <c r="H214" s="229"/>
      <c r="I214" s="229"/>
      <c r="J214" s="229"/>
      <c r="K214" s="229"/>
      <c r="L214" s="229"/>
      <c r="M214" s="229"/>
      <c r="N214" s="229"/>
      <c r="S214" s="227" t="s">
        <v>43</v>
      </c>
      <c r="U214" s="230">
        <v>5.7112536430358887</v>
      </c>
      <c r="V214" s="236">
        <v>1</v>
      </c>
      <c r="W214" s="232">
        <f t="shared" si="17"/>
        <v>5.7112536430358887</v>
      </c>
      <c r="X214" s="232" t="str">
        <f t="shared" si="18"/>
        <v/>
      </c>
    </row>
    <row r="215" spans="1:24" s="227" customFormat="1" ht="16" x14ac:dyDescent="0.2">
      <c r="A215" s="227" t="s">
        <v>450</v>
      </c>
      <c r="B215" s="227" t="s">
        <v>451</v>
      </c>
      <c r="C215" s="226" t="s">
        <v>452</v>
      </c>
      <c r="D215" s="233"/>
      <c r="F215" s="228"/>
      <c r="G215" s="229" t="s">
        <v>33</v>
      </c>
      <c r="H215" s="229" t="s">
        <v>174</v>
      </c>
      <c r="I215" s="229"/>
      <c r="J215" s="229"/>
      <c r="K215" s="229"/>
      <c r="L215" s="229"/>
      <c r="M215" s="229"/>
      <c r="N215" s="229"/>
      <c r="S215" s="227" t="s">
        <v>43</v>
      </c>
      <c r="U215" s="230">
        <v>19.851530075073239</v>
      </c>
      <c r="V215" s="236">
        <v>1</v>
      </c>
      <c r="W215" s="232">
        <f t="shared" si="17"/>
        <v>19.851530075073239</v>
      </c>
      <c r="X215" s="232" t="str">
        <f t="shared" si="18"/>
        <v/>
      </c>
    </row>
    <row r="216" spans="1:24" s="227" customFormat="1" ht="16" x14ac:dyDescent="0.2">
      <c r="A216" s="227" t="s">
        <v>450</v>
      </c>
      <c r="B216" s="227" t="s">
        <v>453</v>
      </c>
      <c r="C216" s="226" t="s">
        <v>454</v>
      </c>
      <c r="D216" s="233"/>
      <c r="F216" s="228"/>
      <c r="G216" s="229" t="s">
        <v>33</v>
      </c>
      <c r="H216" s="229" t="s">
        <v>174</v>
      </c>
      <c r="I216" s="229"/>
      <c r="J216" s="229"/>
      <c r="K216" s="229"/>
      <c r="L216" s="229"/>
      <c r="M216" s="229"/>
      <c r="N216" s="229"/>
      <c r="S216" s="227" t="s">
        <v>43</v>
      </c>
      <c r="U216" s="230">
        <v>15.436671257019039</v>
      </c>
      <c r="V216" s="236">
        <v>1</v>
      </c>
      <c r="W216" s="232">
        <f t="shared" si="17"/>
        <v>15.436671257019039</v>
      </c>
      <c r="X216" s="232" t="str">
        <f t="shared" si="18"/>
        <v/>
      </c>
    </row>
    <row r="217" spans="1:24" s="227" customFormat="1" ht="16" x14ac:dyDescent="0.2">
      <c r="A217" s="227" t="s">
        <v>450</v>
      </c>
      <c r="B217" s="227" t="s">
        <v>455</v>
      </c>
      <c r="C217" s="226" t="s">
        <v>456</v>
      </c>
      <c r="D217" s="233"/>
      <c r="F217" s="228"/>
      <c r="G217" s="229" t="s">
        <v>33</v>
      </c>
      <c r="H217" s="229" t="s">
        <v>174</v>
      </c>
      <c r="I217" s="229"/>
      <c r="J217" s="229"/>
      <c r="K217" s="229"/>
      <c r="L217" s="229"/>
      <c r="M217" s="229"/>
      <c r="N217" s="229"/>
      <c r="S217" s="227" t="s">
        <v>43</v>
      </c>
      <c r="U217" s="230">
        <v>9.2894678115844727</v>
      </c>
      <c r="V217" s="236">
        <v>1</v>
      </c>
      <c r="W217" s="232">
        <f t="shared" si="17"/>
        <v>9.2894678115844727</v>
      </c>
      <c r="X217" s="232" t="str">
        <f t="shared" si="18"/>
        <v/>
      </c>
    </row>
    <row r="218" spans="1:24" s="227" customFormat="1" ht="29" customHeight="1" x14ac:dyDescent="0.2">
      <c r="A218" s="227" t="s">
        <v>450</v>
      </c>
      <c r="B218" s="227" t="s">
        <v>457</v>
      </c>
      <c r="C218" s="226" t="s">
        <v>458</v>
      </c>
      <c r="D218" s="233"/>
      <c r="F218" s="228"/>
      <c r="G218" s="229" t="s">
        <v>33</v>
      </c>
      <c r="H218" s="229" t="s">
        <v>174</v>
      </c>
      <c r="I218" s="229"/>
      <c r="J218" s="229"/>
      <c r="K218" s="229"/>
      <c r="L218" s="229"/>
      <c r="M218" s="229"/>
      <c r="N218" s="229"/>
      <c r="S218" s="227" t="s">
        <v>43</v>
      </c>
      <c r="U218" s="230">
        <v>14.41095890410959</v>
      </c>
      <c r="V218" s="236">
        <v>1</v>
      </c>
      <c r="W218" s="232">
        <f t="shared" si="17"/>
        <v>14.41095890410959</v>
      </c>
      <c r="X218" s="232" t="str">
        <f t="shared" si="18"/>
        <v/>
      </c>
    </row>
    <row r="219" spans="1:24" s="227" customFormat="1" ht="16" x14ac:dyDescent="0.2">
      <c r="A219" s="227" t="s">
        <v>450</v>
      </c>
      <c r="B219" s="227" t="s">
        <v>459</v>
      </c>
      <c r="C219" s="226" t="s">
        <v>460</v>
      </c>
      <c r="D219" s="233"/>
      <c r="F219" s="228"/>
      <c r="G219" s="229" t="s">
        <v>33</v>
      </c>
      <c r="H219" s="229" t="s">
        <v>174</v>
      </c>
      <c r="I219" s="229"/>
      <c r="J219" s="229"/>
      <c r="K219" s="229"/>
      <c r="L219" s="229"/>
      <c r="M219" s="229"/>
      <c r="N219" s="229"/>
      <c r="S219" s="227" t="s">
        <v>43</v>
      </c>
      <c r="U219" s="230">
        <v>15.40838527679443</v>
      </c>
      <c r="V219" s="236">
        <v>1</v>
      </c>
      <c r="W219" s="232">
        <f t="shared" si="17"/>
        <v>15.40838527679443</v>
      </c>
      <c r="X219" s="232" t="str">
        <f t="shared" si="18"/>
        <v/>
      </c>
    </row>
    <row r="220" spans="1:24" s="227" customFormat="1" ht="16" x14ac:dyDescent="0.2">
      <c r="A220" s="227" t="s">
        <v>450</v>
      </c>
      <c r="B220" s="237" t="s">
        <v>461</v>
      </c>
      <c r="C220" s="226" t="s">
        <v>462</v>
      </c>
      <c r="D220" s="233"/>
      <c r="F220" s="228"/>
      <c r="G220" s="229" t="s">
        <v>33</v>
      </c>
      <c r="H220" s="229" t="s">
        <v>174</v>
      </c>
      <c r="I220" s="229"/>
      <c r="J220" s="229"/>
      <c r="K220" s="229"/>
      <c r="L220" s="229"/>
      <c r="M220" s="229"/>
      <c r="N220" s="229"/>
      <c r="S220" s="227" t="s">
        <v>43</v>
      </c>
      <c r="U220" s="230">
        <v>15.543986320495611</v>
      </c>
      <c r="V220" s="236">
        <v>1</v>
      </c>
      <c r="W220" s="232">
        <f t="shared" si="17"/>
        <v>15.543986320495611</v>
      </c>
      <c r="X220" s="232" t="str">
        <f t="shared" si="18"/>
        <v/>
      </c>
    </row>
    <row r="221" spans="1:24" s="227" customFormat="1" ht="16" x14ac:dyDescent="0.2">
      <c r="A221" s="227" t="s">
        <v>450</v>
      </c>
      <c r="B221" s="227" t="s">
        <v>463</v>
      </c>
      <c r="C221" s="226" t="s">
        <v>464</v>
      </c>
      <c r="D221" s="233"/>
      <c r="F221" s="228"/>
      <c r="G221" s="229" t="s">
        <v>33</v>
      </c>
      <c r="H221" s="229" t="s">
        <v>174</v>
      </c>
      <c r="I221" s="229"/>
      <c r="J221" s="229"/>
      <c r="K221" s="229"/>
      <c r="L221" s="229"/>
      <c r="M221" s="229"/>
      <c r="N221" s="229"/>
      <c r="S221" s="227" t="s">
        <v>43</v>
      </c>
      <c r="U221" s="230">
        <v>10.668112754821779</v>
      </c>
      <c r="V221" s="236">
        <v>1</v>
      </c>
      <c r="W221" s="232">
        <f t="shared" si="17"/>
        <v>10.668112754821779</v>
      </c>
      <c r="X221" s="232" t="str">
        <f t="shared" si="18"/>
        <v/>
      </c>
    </row>
    <row r="222" spans="1:24" s="227" customFormat="1" ht="16" x14ac:dyDescent="0.2">
      <c r="A222" s="227" t="s">
        <v>450</v>
      </c>
      <c r="B222" s="227" t="s">
        <v>465</v>
      </c>
      <c r="C222" s="226" t="s">
        <v>466</v>
      </c>
      <c r="D222" s="233"/>
      <c r="F222" s="228"/>
      <c r="G222" s="229" t="s">
        <v>33</v>
      </c>
      <c r="H222" s="229" t="s">
        <v>174</v>
      </c>
      <c r="I222" s="229"/>
      <c r="J222" s="229"/>
      <c r="K222" s="229"/>
      <c r="L222" s="229"/>
      <c r="M222" s="229"/>
      <c r="N222" s="229"/>
      <c r="S222" s="227" t="s">
        <v>43</v>
      </c>
      <c r="U222" s="230">
        <v>9.716710090637207</v>
      </c>
      <c r="V222" s="236">
        <v>1</v>
      </c>
      <c r="W222" s="232">
        <f t="shared" si="17"/>
        <v>9.716710090637207</v>
      </c>
      <c r="X222" s="232" t="str">
        <f t="shared" si="18"/>
        <v/>
      </c>
    </row>
    <row r="223" spans="1:24" s="227" customFormat="1" ht="16" x14ac:dyDescent="0.2">
      <c r="A223" s="227" t="s">
        <v>450</v>
      </c>
      <c r="B223" s="227" t="s">
        <v>467</v>
      </c>
      <c r="C223" s="226" t="s">
        <v>468</v>
      </c>
      <c r="D223" s="233"/>
      <c r="F223" s="228"/>
      <c r="G223" s="229" t="s">
        <v>33</v>
      </c>
      <c r="H223" s="229" t="s">
        <v>174</v>
      </c>
      <c r="I223" s="229"/>
      <c r="J223" s="229"/>
      <c r="K223" s="229"/>
      <c r="L223" s="229"/>
      <c r="M223" s="229"/>
      <c r="N223" s="229"/>
      <c r="S223" s="227" t="s">
        <v>43</v>
      </c>
      <c r="U223" s="230">
        <v>10.953365325927731</v>
      </c>
      <c r="V223" s="236">
        <v>1</v>
      </c>
      <c r="W223" s="232">
        <f t="shared" si="17"/>
        <v>10.953365325927731</v>
      </c>
      <c r="X223" s="232" t="str">
        <f t="shared" si="18"/>
        <v/>
      </c>
    </row>
    <row r="224" spans="1:24" s="227" customFormat="1" ht="16" x14ac:dyDescent="0.2">
      <c r="A224" s="227" t="s">
        <v>450</v>
      </c>
      <c r="B224" s="237" t="s">
        <v>469</v>
      </c>
      <c r="C224" s="226" t="s">
        <v>470</v>
      </c>
      <c r="D224" s="233"/>
      <c r="F224" s="228"/>
      <c r="G224" s="229" t="s">
        <v>33</v>
      </c>
      <c r="H224" s="229" t="s">
        <v>174</v>
      </c>
      <c r="I224" s="229"/>
      <c r="J224" s="229"/>
      <c r="K224" s="229"/>
      <c r="L224" s="229"/>
      <c r="M224" s="229"/>
      <c r="N224" s="229"/>
      <c r="S224" s="227" t="s">
        <v>43</v>
      </c>
      <c r="U224" s="230">
        <v>10.114131927490231</v>
      </c>
      <c r="V224" s="236">
        <v>1</v>
      </c>
      <c r="W224" s="232">
        <f t="shared" si="17"/>
        <v>10.114131927490231</v>
      </c>
      <c r="X224" s="232" t="str">
        <f t="shared" si="18"/>
        <v/>
      </c>
    </row>
    <row r="225" spans="1:24" x14ac:dyDescent="0.2">
      <c r="A225" s="78" t="s">
        <v>115</v>
      </c>
      <c r="B225" s="78"/>
      <c r="C225" s="79"/>
      <c r="D225" s="89"/>
      <c r="F225" s="90"/>
      <c r="G225" s="120"/>
      <c r="U225" s="185"/>
      <c r="V225" s="110">
        <v>1</v>
      </c>
      <c r="W225" s="165" t="str">
        <f t="shared" si="17"/>
        <v/>
      </c>
      <c r="X225" s="165" t="str">
        <f t="shared" si="18"/>
        <v/>
      </c>
    </row>
    <row r="226" spans="1:24" x14ac:dyDescent="0.2">
      <c r="A226" s="78"/>
      <c r="B226" s="78"/>
      <c r="C226" s="79"/>
      <c r="D226" s="89"/>
      <c r="F226" s="90"/>
      <c r="G226" s="120"/>
      <c r="U226" s="185"/>
      <c r="V226" s="110"/>
      <c r="W226" s="165"/>
      <c r="X226" s="165"/>
    </row>
    <row r="227" spans="1:24" s="245" customFormat="1" ht="16" x14ac:dyDescent="0.2">
      <c r="A227" s="245" t="s">
        <v>55</v>
      </c>
      <c r="B227" s="245" t="s">
        <v>471</v>
      </c>
      <c r="C227" s="257" t="s">
        <v>472</v>
      </c>
      <c r="D227" s="246"/>
      <c r="G227" s="251"/>
      <c r="H227" s="251"/>
      <c r="I227" s="251"/>
      <c r="J227" s="251"/>
      <c r="K227" s="251"/>
      <c r="L227" s="251"/>
      <c r="M227" s="251"/>
      <c r="N227" s="251"/>
      <c r="U227" s="252"/>
      <c r="V227" s="256"/>
      <c r="W227" s="254"/>
      <c r="X227" s="254"/>
    </row>
    <row r="228" spans="1:24" s="245" customFormat="1" ht="16" x14ac:dyDescent="0.2">
      <c r="A228" s="245" t="s">
        <v>111</v>
      </c>
      <c r="B228" s="245" t="s">
        <v>473</v>
      </c>
      <c r="C228" s="246" t="s">
        <v>474</v>
      </c>
      <c r="D228" s="246"/>
      <c r="G228" s="255" t="s">
        <v>33</v>
      </c>
      <c r="H228" s="251"/>
      <c r="I228" s="251"/>
      <c r="J228" s="251"/>
      <c r="K228" s="251"/>
      <c r="L228" s="251"/>
      <c r="M228" s="251"/>
      <c r="N228" s="251"/>
      <c r="U228" s="252"/>
      <c r="V228" s="256"/>
      <c r="W228" s="254"/>
      <c r="X228" s="254"/>
    </row>
    <row r="229" spans="1:24" s="245" customFormat="1" ht="16" x14ac:dyDescent="0.2">
      <c r="A229" s="245" t="s">
        <v>65</v>
      </c>
      <c r="B229" s="245" t="s">
        <v>475</v>
      </c>
      <c r="C229" s="246" t="s">
        <v>476</v>
      </c>
      <c r="D229" s="246"/>
      <c r="E229" s="245" t="s">
        <v>477</v>
      </c>
      <c r="G229" s="255" t="s">
        <v>33</v>
      </c>
      <c r="H229" s="251"/>
      <c r="I229" s="251" t="s">
        <v>478</v>
      </c>
      <c r="J229" s="251"/>
      <c r="K229" s="251" t="s">
        <v>479</v>
      </c>
      <c r="L229" s="251"/>
      <c r="M229" s="251"/>
      <c r="N229" s="251"/>
      <c r="U229" s="252"/>
      <c r="V229" s="256"/>
      <c r="W229" s="254"/>
      <c r="X229" s="254"/>
    </row>
    <row r="230" spans="1:24" s="245" customFormat="1" ht="16" x14ac:dyDescent="0.2">
      <c r="A230" s="245" t="s">
        <v>480</v>
      </c>
      <c r="B230" s="245" t="s">
        <v>481</v>
      </c>
      <c r="C230" s="246" t="s">
        <v>482</v>
      </c>
      <c r="D230" s="246"/>
      <c r="G230" s="255" t="s">
        <v>33</v>
      </c>
      <c r="H230" s="251"/>
      <c r="I230" s="251"/>
      <c r="J230" s="251"/>
      <c r="K230" s="251" t="s">
        <v>479</v>
      </c>
      <c r="L230" s="251"/>
      <c r="M230" s="251"/>
      <c r="N230" s="251"/>
      <c r="U230" s="252"/>
      <c r="V230" s="256"/>
      <c r="W230" s="254"/>
      <c r="X230" s="254"/>
    </row>
    <row r="231" spans="1:24" s="245" customFormat="1" ht="16" x14ac:dyDescent="0.2">
      <c r="A231" s="245" t="s">
        <v>58</v>
      </c>
      <c r="B231" s="245" t="s">
        <v>483</v>
      </c>
      <c r="C231" s="246" t="s">
        <v>264</v>
      </c>
      <c r="D231" s="246"/>
      <c r="G231" s="251"/>
      <c r="H231" s="251"/>
      <c r="I231" s="251"/>
      <c r="J231" s="251"/>
      <c r="K231" s="251" t="s">
        <v>484</v>
      </c>
      <c r="L231" s="251"/>
      <c r="M231" s="251"/>
      <c r="N231" s="251"/>
      <c r="U231" s="252"/>
      <c r="V231" s="256"/>
      <c r="W231" s="254"/>
      <c r="X231" s="254"/>
    </row>
    <row r="232" spans="1:24" s="245" customFormat="1" x14ac:dyDescent="0.2">
      <c r="A232" s="245" t="s">
        <v>115</v>
      </c>
      <c r="C232" s="246"/>
      <c r="D232" s="246"/>
      <c r="G232" s="251"/>
      <c r="H232" s="251"/>
      <c r="I232" s="251"/>
      <c r="J232" s="251"/>
      <c r="K232" s="251"/>
      <c r="L232" s="251"/>
      <c r="M232" s="251"/>
      <c r="N232" s="251"/>
      <c r="U232" s="252"/>
      <c r="V232" s="256"/>
      <c r="W232" s="254"/>
      <c r="X232" s="254"/>
    </row>
    <row r="233" spans="1:24" x14ac:dyDescent="0.2">
      <c r="A233" s="78"/>
      <c r="B233" s="78"/>
      <c r="C233" s="79"/>
      <c r="D233" s="89"/>
      <c r="F233" s="90"/>
      <c r="G233" s="120"/>
      <c r="U233" s="185"/>
      <c r="V233" s="110"/>
      <c r="W233" s="165"/>
      <c r="X233" s="165"/>
    </row>
    <row r="234" spans="1:24" ht="16" x14ac:dyDescent="0.2">
      <c r="A234" s="81" t="s">
        <v>55</v>
      </c>
      <c r="B234" s="81" t="s">
        <v>485</v>
      </c>
      <c r="C234" s="95" t="s">
        <v>486</v>
      </c>
      <c r="D234" s="89"/>
      <c r="E234" s="76"/>
      <c r="F234" s="90"/>
      <c r="G234" s="119"/>
      <c r="H234" s="119"/>
      <c r="I234" s="119"/>
      <c r="J234" s="119"/>
      <c r="K234" s="119"/>
      <c r="L234" s="119"/>
      <c r="M234" s="119"/>
      <c r="N234" s="119"/>
      <c r="U234" s="185"/>
      <c r="V234" s="110">
        <v>1</v>
      </c>
      <c r="W234" s="165" t="str">
        <f t="shared" ref="W234:W260" si="19">IF(U234&lt;&gt;"",U234*V234,"")</f>
        <v/>
      </c>
      <c r="X234" s="165" t="str">
        <f t="shared" ref="X234:X260" si="20">IF(AND(U234&lt;&gt;"",S234="yes"),U234*V234,"")</f>
        <v/>
      </c>
    </row>
    <row r="235" spans="1:24" ht="29" customHeight="1" x14ac:dyDescent="0.2">
      <c r="A235" s="76" t="s">
        <v>38</v>
      </c>
      <c r="B235" s="76" t="s">
        <v>487</v>
      </c>
      <c r="C235" s="45" t="s">
        <v>488</v>
      </c>
      <c r="D235" s="89"/>
      <c r="E235" s="76"/>
      <c r="F235" s="90"/>
      <c r="G235" s="119" t="s">
        <v>42</v>
      </c>
      <c r="H235" s="119"/>
      <c r="I235" s="119"/>
      <c r="J235" s="119"/>
      <c r="K235" s="119"/>
      <c r="L235" s="119"/>
      <c r="M235" s="119"/>
      <c r="N235" s="119"/>
      <c r="S235" s="46" t="s">
        <v>35</v>
      </c>
      <c r="U235" s="185"/>
      <c r="V235" s="110">
        <v>1</v>
      </c>
      <c r="W235" s="165" t="str">
        <f t="shared" si="19"/>
        <v/>
      </c>
      <c r="X235" s="165" t="str">
        <f t="shared" si="20"/>
        <v/>
      </c>
    </row>
    <row r="236" spans="1:24" ht="43.5" customHeight="1" x14ac:dyDescent="0.2">
      <c r="A236" s="76" t="s">
        <v>489</v>
      </c>
      <c r="B236" s="76" t="s">
        <v>490</v>
      </c>
      <c r="C236" s="45" t="s">
        <v>491</v>
      </c>
      <c r="D236" s="89"/>
      <c r="E236" s="76" t="s">
        <v>492</v>
      </c>
      <c r="F236" s="90"/>
      <c r="G236" s="119" t="s">
        <v>33</v>
      </c>
      <c r="H236" s="119"/>
      <c r="I236" s="119"/>
      <c r="J236" s="119"/>
      <c r="K236" s="119"/>
      <c r="L236" s="119"/>
      <c r="M236" s="119"/>
      <c r="N236" s="119"/>
      <c r="S236" s="46" t="s">
        <v>35</v>
      </c>
      <c r="U236" s="185">
        <v>72.295135498046875</v>
      </c>
      <c r="V236" s="110">
        <v>1</v>
      </c>
      <c r="W236" s="165">
        <f t="shared" si="19"/>
        <v>72.295135498046875</v>
      </c>
      <c r="X236" s="165">
        <f t="shared" si="20"/>
        <v>72.295135498046875</v>
      </c>
    </row>
    <row r="237" spans="1:24" ht="43.5" customHeight="1" x14ac:dyDescent="0.2">
      <c r="A237" s="76" t="s">
        <v>38</v>
      </c>
      <c r="B237" s="76" t="s">
        <v>493</v>
      </c>
      <c r="C237" s="45" t="s">
        <v>494</v>
      </c>
      <c r="D237" s="89"/>
      <c r="E237" s="76"/>
      <c r="F237" s="90"/>
      <c r="G237" s="119" t="s">
        <v>42</v>
      </c>
      <c r="H237" s="119"/>
      <c r="I237" s="119"/>
      <c r="J237" s="119"/>
      <c r="K237" s="119"/>
      <c r="L237" s="119"/>
      <c r="M237" s="119"/>
      <c r="N237" s="119"/>
      <c r="S237" s="46" t="s">
        <v>35</v>
      </c>
      <c r="U237" s="185">
        <v>3.7052218914031978</v>
      </c>
      <c r="V237" s="110">
        <v>1</v>
      </c>
      <c r="W237" s="165">
        <f t="shared" si="19"/>
        <v>3.7052218914031978</v>
      </c>
      <c r="X237" s="165">
        <f t="shared" si="20"/>
        <v>3.7052218914031978</v>
      </c>
    </row>
    <row r="238" spans="1:24" ht="16.25" customHeight="1" x14ac:dyDescent="0.2">
      <c r="A238" s="76" t="s">
        <v>115</v>
      </c>
      <c r="B238" s="76"/>
      <c r="C238" s="45"/>
      <c r="D238" s="89"/>
      <c r="E238" s="76"/>
      <c r="F238" s="90"/>
      <c r="G238" s="119"/>
      <c r="H238" s="119"/>
      <c r="I238" s="119"/>
      <c r="J238" s="119"/>
      <c r="K238" s="119"/>
      <c r="L238" s="119"/>
      <c r="M238" s="119"/>
      <c r="N238" s="119"/>
      <c r="U238" s="185"/>
      <c r="V238" s="110">
        <v>1</v>
      </c>
      <c r="W238" s="165" t="str">
        <f t="shared" si="19"/>
        <v/>
      </c>
      <c r="X238" s="165" t="str">
        <f t="shared" si="20"/>
        <v/>
      </c>
    </row>
    <row r="239" spans="1:24" x14ac:dyDescent="0.2">
      <c r="A239" s="77"/>
      <c r="B239" s="77"/>
      <c r="D239" s="89"/>
      <c r="F239" s="90"/>
      <c r="U239" s="185"/>
      <c r="V239" s="110">
        <v>1</v>
      </c>
      <c r="W239" s="165" t="str">
        <f t="shared" si="19"/>
        <v/>
      </c>
      <c r="X239" s="165" t="str">
        <f t="shared" si="20"/>
        <v/>
      </c>
    </row>
    <row r="240" spans="1:24" s="227" customFormat="1" ht="16" x14ac:dyDescent="0.2">
      <c r="A240" s="227" t="s">
        <v>55</v>
      </c>
      <c r="B240" s="227" t="s">
        <v>495</v>
      </c>
      <c r="C240" s="226" t="s">
        <v>496</v>
      </c>
      <c r="D240" s="233"/>
      <c r="F240" s="228"/>
      <c r="G240" s="229"/>
      <c r="H240" s="229"/>
      <c r="I240" s="229"/>
      <c r="J240" s="229"/>
      <c r="K240" s="229"/>
      <c r="L240" s="229"/>
      <c r="M240" s="229"/>
      <c r="N240" s="229"/>
      <c r="S240" s="227" t="s">
        <v>43</v>
      </c>
      <c r="U240" s="230"/>
      <c r="V240" s="236">
        <v>1</v>
      </c>
      <c r="W240" s="232" t="str">
        <f t="shared" si="19"/>
        <v/>
      </c>
      <c r="X240" s="232" t="str">
        <f t="shared" si="20"/>
        <v/>
      </c>
    </row>
    <row r="241" spans="1:24" s="226" customFormat="1" ht="43.5" customHeight="1" x14ac:dyDescent="0.2">
      <c r="A241" s="226" t="s">
        <v>38</v>
      </c>
      <c r="B241" s="226" t="s">
        <v>497</v>
      </c>
      <c r="C241" s="226" t="s">
        <v>498</v>
      </c>
      <c r="D241" s="233"/>
      <c r="F241" s="233"/>
      <c r="G241" s="229" t="s">
        <v>42</v>
      </c>
      <c r="H241" s="238"/>
      <c r="I241" s="238"/>
      <c r="J241" s="229"/>
      <c r="K241" s="238"/>
      <c r="L241" s="238"/>
      <c r="M241" s="238"/>
      <c r="N241" s="238"/>
      <c r="S241" s="226" t="s">
        <v>43</v>
      </c>
      <c r="U241" s="230">
        <v>0</v>
      </c>
      <c r="V241" s="236">
        <v>1</v>
      </c>
      <c r="W241" s="232">
        <f t="shared" si="19"/>
        <v>0</v>
      </c>
      <c r="X241" s="232" t="str">
        <f t="shared" si="20"/>
        <v/>
      </c>
    </row>
    <row r="242" spans="1:24" s="226" customFormat="1" ht="43.5" customHeight="1" x14ac:dyDescent="0.2">
      <c r="A242" s="226" t="s">
        <v>65</v>
      </c>
      <c r="B242" s="226" t="s">
        <v>499</v>
      </c>
      <c r="C242" s="226" t="s">
        <v>500</v>
      </c>
      <c r="D242" s="233"/>
      <c r="E242" s="227" t="s">
        <v>501</v>
      </c>
      <c r="F242" s="233"/>
      <c r="G242" s="229" t="s">
        <v>33</v>
      </c>
      <c r="H242" s="238"/>
      <c r="I242" s="238" t="s">
        <v>502</v>
      </c>
      <c r="J242" s="229" t="s">
        <v>503</v>
      </c>
      <c r="K242" s="238"/>
      <c r="L242" s="238"/>
      <c r="M242" s="238"/>
      <c r="N242" s="238"/>
      <c r="S242" s="226" t="s">
        <v>43</v>
      </c>
      <c r="U242" s="230">
        <v>17</v>
      </c>
      <c r="V242" s="236">
        <v>1</v>
      </c>
      <c r="W242" s="232">
        <f t="shared" si="19"/>
        <v>17</v>
      </c>
      <c r="X242" s="232" t="str">
        <f t="shared" si="20"/>
        <v/>
      </c>
    </row>
    <row r="243" spans="1:24" s="226" customFormat="1" ht="43.5" customHeight="1" x14ac:dyDescent="0.2">
      <c r="A243" s="226" t="s">
        <v>65</v>
      </c>
      <c r="B243" s="226" t="s">
        <v>504</v>
      </c>
      <c r="C243" s="226" t="s">
        <v>505</v>
      </c>
      <c r="D243" s="233"/>
      <c r="E243" s="227" t="s">
        <v>501</v>
      </c>
      <c r="F243" s="233"/>
      <c r="G243" s="229" t="s">
        <v>33</v>
      </c>
      <c r="H243" s="238"/>
      <c r="I243" s="238" t="s">
        <v>502</v>
      </c>
      <c r="J243" s="229" t="s">
        <v>503</v>
      </c>
      <c r="K243" s="238"/>
      <c r="L243" s="238"/>
      <c r="M243" s="238"/>
      <c r="N243" s="238"/>
      <c r="S243" s="226" t="s">
        <v>43</v>
      </c>
      <c r="U243" s="230">
        <v>17</v>
      </c>
      <c r="V243" s="236">
        <v>1</v>
      </c>
      <c r="W243" s="232">
        <f t="shared" si="19"/>
        <v>17</v>
      </c>
      <c r="X243" s="232" t="str">
        <f t="shared" si="20"/>
        <v/>
      </c>
    </row>
    <row r="244" spans="1:24" s="226" customFormat="1" ht="43.5" customHeight="1" x14ac:dyDescent="0.2">
      <c r="A244" s="226" t="s">
        <v>65</v>
      </c>
      <c r="B244" s="226" t="s">
        <v>506</v>
      </c>
      <c r="C244" s="226" t="s">
        <v>507</v>
      </c>
      <c r="D244" s="233"/>
      <c r="E244" s="227" t="s">
        <v>501</v>
      </c>
      <c r="F244" s="233"/>
      <c r="G244" s="229" t="s">
        <v>33</v>
      </c>
      <c r="H244" s="238"/>
      <c r="I244" s="238" t="s">
        <v>502</v>
      </c>
      <c r="J244" s="229" t="s">
        <v>503</v>
      </c>
      <c r="K244" s="238"/>
      <c r="L244" s="238"/>
      <c r="M244" s="238"/>
      <c r="N244" s="238"/>
      <c r="S244" s="226" t="s">
        <v>43</v>
      </c>
      <c r="U244" s="230">
        <v>17</v>
      </c>
      <c r="V244" s="236">
        <v>1</v>
      </c>
      <c r="W244" s="232">
        <f t="shared" si="19"/>
        <v>17</v>
      </c>
      <c r="X244" s="232" t="str">
        <f t="shared" si="20"/>
        <v/>
      </c>
    </row>
    <row r="245" spans="1:24" s="226" customFormat="1" ht="29" customHeight="1" x14ac:dyDescent="0.2">
      <c r="A245" s="226" t="s">
        <v>65</v>
      </c>
      <c r="B245" s="226" t="s">
        <v>508</v>
      </c>
      <c r="C245" s="226" t="s">
        <v>509</v>
      </c>
      <c r="D245" s="233"/>
      <c r="E245" s="227" t="s">
        <v>501</v>
      </c>
      <c r="F245" s="233"/>
      <c r="G245" s="229" t="s">
        <v>33</v>
      </c>
      <c r="H245" s="238"/>
      <c r="I245" s="238" t="s">
        <v>502</v>
      </c>
      <c r="J245" s="229" t="s">
        <v>503</v>
      </c>
      <c r="K245" s="238"/>
      <c r="L245" s="238"/>
      <c r="M245" s="238"/>
      <c r="N245" s="238"/>
      <c r="S245" s="226" t="s">
        <v>43</v>
      </c>
      <c r="U245" s="230">
        <v>17</v>
      </c>
      <c r="V245" s="236">
        <v>1</v>
      </c>
      <c r="W245" s="232">
        <f t="shared" si="19"/>
        <v>17</v>
      </c>
      <c r="X245" s="232" t="str">
        <f t="shared" si="20"/>
        <v/>
      </c>
    </row>
    <row r="246" spans="1:24" s="226" customFormat="1" ht="43.5" customHeight="1" x14ac:dyDescent="0.2">
      <c r="A246" s="226" t="s">
        <v>65</v>
      </c>
      <c r="B246" s="226" t="s">
        <v>510</v>
      </c>
      <c r="C246" s="226" t="s">
        <v>511</v>
      </c>
      <c r="D246" s="233"/>
      <c r="E246" s="227" t="s">
        <v>501</v>
      </c>
      <c r="F246" s="233"/>
      <c r="G246" s="229" t="s">
        <v>33</v>
      </c>
      <c r="H246" s="238"/>
      <c r="I246" s="238" t="s">
        <v>502</v>
      </c>
      <c r="J246" s="229" t="s">
        <v>503</v>
      </c>
      <c r="K246" s="238"/>
      <c r="L246" s="238"/>
      <c r="M246" s="238"/>
      <c r="N246" s="238"/>
      <c r="S246" s="226" t="s">
        <v>43</v>
      </c>
      <c r="U246" s="230">
        <v>17</v>
      </c>
      <c r="V246" s="236">
        <v>1</v>
      </c>
      <c r="W246" s="232">
        <f t="shared" si="19"/>
        <v>17</v>
      </c>
      <c r="X246" s="232" t="str">
        <f t="shared" si="20"/>
        <v/>
      </c>
    </row>
    <row r="247" spans="1:24" s="226" customFormat="1" ht="43.5" customHeight="1" x14ac:dyDescent="0.2">
      <c r="A247" s="226" t="s">
        <v>65</v>
      </c>
      <c r="B247" s="226" t="s">
        <v>512</v>
      </c>
      <c r="C247" s="226" t="s">
        <v>513</v>
      </c>
      <c r="D247" s="233"/>
      <c r="E247" s="227" t="s">
        <v>501</v>
      </c>
      <c r="F247" s="233"/>
      <c r="G247" s="229" t="s">
        <v>33</v>
      </c>
      <c r="H247" s="238"/>
      <c r="I247" s="238" t="s">
        <v>502</v>
      </c>
      <c r="J247" s="229" t="s">
        <v>503</v>
      </c>
      <c r="K247" s="238"/>
      <c r="L247" s="238"/>
      <c r="M247" s="238"/>
      <c r="N247" s="238"/>
      <c r="S247" s="226" t="s">
        <v>43</v>
      </c>
      <c r="U247" s="230">
        <v>17</v>
      </c>
      <c r="V247" s="236">
        <v>1</v>
      </c>
      <c r="W247" s="232">
        <f t="shared" si="19"/>
        <v>17</v>
      </c>
      <c r="X247" s="232" t="str">
        <f t="shared" si="20"/>
        <v/>
      </c>
    </row>
    <row r="248" spans="1:24" s="226" customFormat="1" ht="43.5" customHeight="1" x14ac:dyDescent="0.2">
      <c r="A248" s="226" t="s">
        <v>65</v>
      </c>
      <c r="B248" s="226" t="s">
        <v>514</v>
      </c>
      <c r="C248" s="226" t="s">
        <v>515</v>
      </c>
      <c r="D248" s="233"/>
      <c r="E248" s="227" t="s">
        <v>501</v>
      </c>
      <c r="F248" s="233"/>
      <c r="G248" s="229" t="s">
        <v>33</v>
      </c>
      <c r="H248" s="238"/>
      <c r="I248" s="238" t="s">
        <v>502</v>
      </c>
      <c r="J248" s="229" t="s">
        <v>503</v>
      </c>
      <c r="K248" s="238"/>
      <c r="L248" s="238"/>
      <c r="M248" s="238"/>
      <c r="N248" s="238"/>
      <c r="S248" s="226" t="s">
        <v>43</v>
      </c>
      <c r="U248" s="230">
        <v>17</v>
      </c>
      <c r="V248" s="236">
        <v>1</v>
      </c>
      <c r="W248" s="232">
        <f t="shared" si="19"/>
        <v>17</v>
      </c>
      <c r="X248" s="232" t="str">
        <f t="shared" si="20"/>
        <v/>
      </c>
    </row>
    <row r="249" spans="1:24" s="226" customFormat="1" ht="43.5" customHeight="1" x14ac:dyDescent="0.2">
      <c r="A249" s="226" t="s">
        <v>65</v>
      </c>
      <c r="B249" s="226" t="s">
        <v>516</v>
      </c>
      <c r="C249" s="226" t="s">
        <v>517</v>
      </c>
      <c r="D249" s="233"/>
      <c r="E249" s="227" t="s">
        <v>501</v>
      </c>
      <c r="F249" s="233"/>
      <c r="G249" s="229" t="s">
        <v>33</v>
      </c>
      <c r="H249" s="238"/>
      <c r="I249" s="238" t="s">
        <v>502</v>
      </c>
      <c r="J249" s="229" t="s">
        <v>503</v>
      </c>
      <c r="K249" s="238"/>
      <c r="L249" s="238"/>
      <c r="M249" s="238"/>
      <c r="N249" s="238"/>
      <c r="S249" s="226" t="s">
        <v>43</v>
      </c>
      <c r="U249" s="230">
        <v>17</v>
      </c>
      <c r="V249" s="236">
        <v>1</v>
      </c>
      <c r="W249" s="232">
        <f t="shared" si="19"/>
        <v>17</v>
      </c>
      <c r="X249" s="232" t="str">
        <f t="shared" si="20"/>
        <v/>
      </c>
    </row>
    <row r="250" spans="1:24" s="226" customFormat="1" ht="43.5" customHeight="1" x14ac:dyDescent="0.2">
      <c r="A250" s="226" t="s">
        <v>65</v>
      </c>
      <c r="B250" s="226" t="s">
        <v>518</v>
      </c>
      <c r="C250" s="226" t="s">
        <v>519</v>
      </c>
      <c r="D250" s="233"/>
      <c r="E250" s="227" t="s">
        <v>501</v>
      </c>
      <c r="F250" s="233"/>
      <c r="G250" s="229" t="s">
        <v>33</v>
      </c>
      <c r="H250" s="238"/>
      <c r="I250" s="238" t="s">
        <v>502</v>
      </c>
      <c r="J250" s="229" t="s">
        <v>503</v>
      </c>
      <c r="K250" s="238"/>
      <c r="L250" s="238"/>
      <c r="M250" s="238"/>
      <c r="N250" s="238"/>
      <c r="S250" s="226" t="s">
        <v>43</v>
      </c>
      <c r="U250" s="230">
        <v>17</v>
      </c>
      <c r="V250" s="236">
        <v>1</v>
      </c>
      <c r="W250" s="232">
        <f t="shared" si="19"/>
        <v>17</v>
      </c>
      <c r="X250" s="232" t="str">
        <f t="shared" si="20"/>
        <v/>
      </c>
    </row>
    <row r="251" spans="1:24" s="227" customFormat="1" x14ac:dyDescent="0.2">
      <c r="A251" s="227" t="s">
        <v>115</v>
      </c>
      <c r="C251" s="226"/>
      <c r="D251" s="233"/>
      <c r="F251" s="228"/>
      <c r="G251" s="229"/>
      <c r="H251" s="229"/>
      <c r="I251" s="229"/>
      <c r="J251" s="229"/>
      <c r="K251" s="229"/>
      <c r="L251" s="229"/>
      <c r="M251" s="229"/>
      <c r="N251" s="229"/>
      <c r="U251" s="230">
        <v>17</v>
      </c>
      <c r="V251" s="236">
        <v>1</v>
      </c>
      <c r="W251" s="232">
        <f t="shared" si="19"/>
        <v>17</v>
      </c>
      <c r="X251" s="232" t="str">
        <f t="shared" si="20"/>
        <v/>
      </c>
    </row>
    <row r="252" spans="1:24" s="227" customFormat="1" x14ac:dyDescent="0.2">
      <c r="C252" s="226"/>
      <c r="D252" s="233"/>
      <c r="F252" s="228"/>
      <c r="G252" s="229"/>
      <c r="H252" s="229"/>
      <c r="I252" s="229"/>
      <c r="J252" s="229"/>
      <c r="K252" s="229"/>
      <c r="L252" s="229"/>
      <c r="M252" s="229"/>
      <c r="N252" s="229"/>
      <c r="U252" s="230">
        <v>17</v>
      </c>
      <c r="V252" s="236">
        <v>1</v>
      </c>
      <c r="W252" s="232">
        <f t="shared" si="19"/>
        <v>17</v>
      </c>
      <c r="X252" s="232" t="str">
        <f t="shared" si="20"/>
        <v/>
      </c>
    </row>
    <row r="253" spans="1:24" s="227" customFormat="1" ht="16" x14ac:dyDescent="0.2">
      <c r="A253" s="227" t="s">
        <v>55</v>
      </c>
      <c r="B253" s="227" t="s">
        <v>520</v>
      </c>
      <c r="C253" s="226" t="s">
        <v>521</v>
      </c>
      <c r="D253" s="233"/>
      <c r="F253" s="228"/>
      <c r="G253" s="229"/>
      <c r="H253" s="229"/>
      <c r="I253" s="229"/>
      <c r="J253" s="229"/>
      <c r="K253" s="229"/>
      <c r="L253" s="229"/>
      <c r="M253" s="229"/>
      <c r="N253" s="229"/>
      <c r="S253" s="227" t="s">
        <v>43</v>
      </c>
      <c r="U253" s="230"/>
      <c r="V253" s="236">
        <v>1</v>
      </c>
      <c r="W253" s="232" t="str">
        <f t="shared" si="19"/>
        <v/>
      </c>
      <c r="X253" s="232" t="str">
        <f t="shared" si="20"/>
        <v/>
      </c>
    </row>
    <row r="254" spans="1:24" s="227" customFormat="1" ht="43.5" customHeight="1" x14ac:dyDescent="0.2">
      <c r="A254" s="227" t="s">
        <v>38</v>
      </c>
      <c r="B254" s="227" t="s">
        <v>522</v>
      </c>
      <c r="C254" s="226" t="s">
        <v>523</v>
      </c>
      <c r="D254" s="233"/>
      <c r="F254" s="228"/>
      <c r="G254" s="229" t="s">
        <v>42</v>
      </c>
      <c r="H254" s="229"/>
      <c r="I254" s="229"/>
      <c r="J254" s="229"/>
      <c r="K254" s="229"/>
      <c r="L254" s="229"/>
      <c r="M254" s="229"/>
      <c r="N254" s="229"/>
      <c r="S254" s="227" t="s">
        <v>43</v>
      </c>
      <c r="U254" s="230">
        <v>17</v>
      </c>
      <c r="V254" s="236">
        <v>1</v>
      </c>
      <c r="W254" s="232">
        <f t="shared" si="19"/>
        <v>17</v>
      </c>
      <c r="X254" s="232" t="str">
        <f t="shared" si="20"/>
        <v/>
      </c>
    </row>
    <row r="255" spans="1:24" s="227" customFormat="1" ht="29" customHeight="1" x14ac:dyDescent="0.2">
      <c r="A255" s="227" t="s">
        <v>65</v>
      </c>
      <c r="B255" s="227" t="s">
        <v>524</v>
      </c>
      <c r="C255" s="226" t="s">
        <v>525</v>
      </c>
      <c r="D255" s="233"/>
      <c r="E255" s="227" t="s">
        <v>526</v>
      </c>
      <c r="F255" s="228"/>
      <c r="G255" s="229" t="s">
        <v>33</v>
      </c>
      <c r="H255" s="229"/>
      <c r="I255" s="229" t="s">
        <v>502</v>
      </c>
      <c r="J255" s="229" t="s">
        <v>503</v>
      </c>
      <c r="K255" s="229"/>
      <c r="L255" s="229"/>
      <c r="M255" s="229"/>
      <c r="N255" s="229"/>
      <c r="S255" s="227" t="s">
        <v>43</v>
      </c>
      <c r="U255" s="230">
        <v>17</v>
      </c>
      <c r="V255" s="236">
        <v>1</v>
      </c>
      <c r="W255" s="232">
        <f t="shared" si="19"/>
        <v>17</v>
      </c>
      <c r="X255" s="232" t="str">
        <f t="shared" si="20"/>
        <v/>
      </c>
    </row>
    <row r="256" spans="1:24" s="227" customFormat="1" ht="43.5" customHeight="1" x14ac:dyDescent="0.2">
      <c r="A256" s="227" t="s">
        <v>65</v>
      </c>
      <c r="B256" s="227" t="s">
        <v>527</v>
      </c>
      <c r="C256" s="226" t="s">
        <v>528</v>
      </c>
      <c r="D256" s="233"/>
      <c r="E256" s="227" t="s">
        <v>526</v>
      </c>
      <c r="F256" s="228"/>
      <c r="G256" s="229" t="s">
        <v>33</v>
      </c>
      <c r="H256" s="229"/>
      <c r="I256" s="229" t="s">
        <v>502</v>
      </c>
      <c r="J256" s="229" t="s">
        <v>503</v>
      </c>
      <c r="K256" s="229"/>
      <c r="L256" s="229"/>
      <c r="M256" s="229"/>
      <c r="N256" s="229"/>
      <c r="S256" s="227" t="s">
        <v>43</v>
      </c>
      <c r="U256" s="230">
        <v>17</v>
      </c>
      <c r="V256" s="236">
        <v>1</v>
      </c>
      <c r="W256" s="232">
        <f t="shared" si="19"/>
        <v>17</v>
      </c>
      <c r="X256" s="232" t="str">
        <f t="shared" si="20"/>
        <v/>
      </c>
    </row>
    <row r="257" spans="1:25" s="227" customFormat="1" ht="29" customHeight="1" x14ac:dyDescent="0.2">
      <c r="A257" s="227" t="s">
        <v>65</v>
      </c>
      <c r="B257" s="227" t="s">
        <v>529</v>
      </c>
      <c r="C257" s="226" t="s">
        <v>530</v>
      </c>
      <c r="D257" s="233"/>
      <c r="E257" s="227" t="s">
        <v>526</v>
      </c>
      <c r="F257" s="228"/>
      <c r="G257" s="229" t="s">
        <v>33</v>
      </c>
      <c r="H257" s="229"/>
      <c r="I257" s="229" t="s">
        <v>502</v>
      </c>
      <c r="J257" s="229" t="s">
        <v>503</v>
      </c>
      <c r="K257" s="229"/>
      <c r="L257" s="229"/>
      <c r="M257" s="229"/>
      <c r="N257" s="229"/>
      <c r="S257" s="227" t="s">
        <v>43</v>
      </c>
      <c r="U257" s="230">
        <v>17</v>
      </c>
      <c r="V257" s="236">
        <v>1</v>
      </c>
      <c r="W257" s="232">
        <f t="shared" si="19"/>
        <v>17</v>
      </c>
      <c r="X257" s="232" t="str">
        <f t="shared" si="20"/>
        <v/>
      </c>
    </row>
    <row r="258" spans="1:25" s="227" customFormat="1" ht="29" customHeight="1" x14ac:dyDescent="0.2">
      <c r="A258" s="227" t="s">
        <v>65</v>
      </c>
      <c r="B258" s="227" t="s">
        <v>531</v>
      </c>
      <c r="C258" s="226" t="s">
        <v>532</v>
      </c>
      <c r="D258" s="233"/>
      <c r="E258" s="227" t="s">
        <v>526</v>
      </c>
      <c r="F258" s="228"/>
      <c r="G258" s="229" t="s">
        <v>33</v>
      </c>
      <c r="H258" s="229"/>
      <c r="I258" s="229" t="s">
        <v>502</v>
      </c>
      <c r="J258" s="229" t="s">
        <v>503</v>
      </c>
      <c r="K258" s="229"/>
      <c r="L258" s="229"/>
      <c r="M258" s="229"/>
      <c r="N258" s="229"/>
      <c r="S258" s="227" t="s">
        <v>43</v>
      </c>
      <c r="U258" s="230">
        <v>17</v>
      </c>
      <c r="V258" s="236">
        <v>1</v>
      </c>
      <c r="W258" s="232">
        <f t="shared" si="19"/>
        <v>17</v>
      </c>
      <c r="X258" s="232" t="str">
        <f t="shared" si="20"/>
        <v/>
      </c>
    </row>
    <row r="259" spans="1:25" s="227" customFormat="1" ht="43.5" customHeight="1" x14ac:dyDescent="0.2">
      <c r="A259" s="227" t="s">
        <v>65</v>
      </c>
      <c r="B259" s="227" t="s">
        <v>533</v>
      </c>
      <c r="C259" s="226" t="s">
        <v>534</v>
      </c>
      <c r="D259" s="233"/>
      <c r="E259" s="227" t="s">
        <v>526</v>
      </c>
      <c r="F259" s="228"/>
      <c r="G259" s="229" t="s">
        <v>33</v>
      </c>
      <c r="H259" s="229"/>
      <c r="I259" s="229" t="s">
        <v>502</v>
      </c>
      <c r="J259" s="229" t="s">
        <v>503</v>
      </c>
      <c r="K259" s="229"/>
      <c r="L259" s="229"/>
      <c r="M259" s="229"/>
      <c r="N259" s="229"/>
      <c r="S259" s="227" t="s">
        <v>43</v>
      </c>
      <c r="U259" s="230">
        <v>17</v>
      </c>
      <c r="V259" s="236">
        <v>1</v>
      </c>
      <c r="W259" s="232">
        <f t="shared" si="19"/>
        <v>17</v>
      </c>
      <c r="X259" s="232" t="str">
        <f t="shared" si="20"/>
        <v/>
      </c>
    </row>
    <row r="260" spans="1:25" s="227" customFormat="1" x14ac:dyDescent="0.2">
      <c r="A260" s="227" t="s">
        <v>115</v>
      </c>
      <c r="C260" s="226"/>
      <c r="D260" s="233"/>
      <c r="F260" s="228"/>
      <c r="G260" s="229"/>
      <c r="H260" s="229"/>
      <c r="I260" s="229"/>
      <c r="J260" s="229"/>
      <c r="K260" s="229"/>
      <c r="L260" s="229"/>
      <c r="M260" s="229"/>
      <c r="N260" s="229"/>
      <c r="U260" s="230"/>
      <c r="V260" s="236">
        <v>1</v>
      </c>
      <c r="W260" s="232" t="str">
        <f t="shared" si="19"/>
        <v/>
      </c>
      <c r="X260" s="232" t="str">
        <f t="shared" si="20"/>
        <v/>
      </c>
    </row>
    <row r="261" spans="1:25" s="227" customFormat="1" x14ac:dyDescent="0.2">
      <c r="C261" s="226"/>
      <c r="D261" s="233"/>
      <c r="F261" s="228"/>
      <c r="G261" s="229"/>
      <c r="H261" s="229"/>
      <c r="I261" s="229"/>
      <c r="J261" s="229"/>
      <c r="K261" s="229"/>
      <c r="L261" s="229"/>
      <c r="M261" s="229"/>
      <c r="N261" s="229"/>
      <c r="U261" s="230"/>
      <c r="V261" s="236"/>
      <c r="W261" s="232"/>
      <c r="X261" s="232"/>
    </row>
    <row r="262" spans="1:25" s="245" customFormat="1" ht="29" customHeight="1" x14ac:dyDescent="0.2">
      <c r="A262" s="245" t="s">
        <v>535</v>
      </c>
      <c r="B262" s="245" t="s">
        <v>536</v>
      </c>
      <c r="C262" s="246" t="s">
        <v>537</v>
      </c>
      <c r="D262" s="246"/>
      <c r="G262" s="255" t="s">
        <v>33</v>
      </c>
      <c r="H262" s="251"/>
      <c r="I262" s="251"/>
      <c r="J262" s="251"/>
      <c r="K262" s="251"/>
      <c r="L262" s="251"/>
      <c r="M262" s="251"/>
      <c r="N262" s="251"/>
      <c r="U262" s="252"/>
      <c r="V262" s="256"/>
      <c r="W262" s="254"/>
      <c r="X262" s="254"/>
    </row>
    <row r="263" spans="1:25" s="245" customFormat="1" ht="29" customHeight="1" x14ac:dyDescent="0.2">
      <c r="A263" s="245" t="s">
        <v>538</v>
      </c>
      <c r="B263" s="245" t="s">
        <v>539</v>
      </c>
      <c r="C263" s="246" t="s">
        <v>540</v>
      </c>
      <c r="D263" s="246"/>
      <c r="G263" s="255" t="s">
        <v>33</v>
      </c>
      <c r="H263" s="251"/>
      <c r="I263" s="251"/>
      <c r="J263" s="251"/>
      <c r="K263" s="251"/>
      <c r="L263" s="251"/>
      <c r="M263" s="251"/>
      <c r="N263" s="251"/>
      <c r="U263" s="252"/>
      <c r="V263" s="256"/>
      <c r="W263" s="254"/>
      <c r="X263" s="254"/>
    </row>
    <row r="264" spans="1:25" s="245" customFormat="1" ht="29" customHeight="1" x14ac:dyDescent="0.2">
      <c r="A264" s="245" t="s">
        <v>541</v>
      </c>
      <c r="B264" s="245" t="s">
        <v>542</v>
      </c>
      <c r="C264" s="246" t="s">
        <v>543</v>
      </c>
      <c r="D264" s="246"/>
      <c r="G264" s="255" t="s">
        <v>33</v>
      </c>
      <c r="H264" s="251"/>
      <c r="I264" s="251"/>
      <c r="J264" s="251"/>
      <c r="K264" s="251"/>
      <c r="L264" s="251"/>
      <c r="M264" s="251"/>
      <c r="N264" s="251"/>
      <c r="U264" s="252"/>
      <c r="V264" s="256"/>
      <c r="W264" s="254"/>
      <c r="X264" s="254"/>
    </row>
    <row r="265" spans="1:25" s="245" customFormat="1" ht="16" x14ac:dyDescent="0.2">
      <c r="A265" s="245" t="s">
        <v>58</v>
      </c>
      <c r="B265" s="245" t="s">
        <v>544</v>
      </c>
      <c r="C265" s="246" t="s">
        <v>545</v>
      </c>
      <c r="D265" s="246"/>
      <c r="G265" s="255"/>
      <c r="H265" s="251"/>
      <c r="I265" s="251"/>
      <c r="J265" s="251"/>
      <c r="K265" s="245" t="s">
        <v>546</v>
      </c>
      <c r="L265" s="251"/>
      <c r="M265" s="251"/>
      <c r="N265" s="251"/>
      <c r="U265" s="252"/>
      <c r="V265" s="256"/>
      <c r="W265" s="254"/>
      <c r="X265" s="254"/>
    </row>
    <row r="266" spans="1:25" s="245" customFormat="1" ht="16" x14ac:dyDescent="0.2">
      <c r="A266" s="245" t="s">
        <v>70</v>
      </c>
      <c r="B266" s="245" t="s">
        <v>547</v>
      </c>
      <c r="C266" s="246" t="s">
        <v>548</v>
      </c>
      <c r="D266" s="246"/>
      <c r="G266" s="255"/>
      <c r="H266" s="251"/>
      <c r="I266" s="251"/>
      <c r="J266" s="251"/>
      <c r="K266" s="245" t="s">
        <v>546</v>
      </c>
      <c r="L266" s="251"/>
      <c r="M266" s="251"/>
      <c r="N266" s="251"/>
      <c r="U266" s="252"/>
      <c r="V266" s="256"/>
      <c r="W266" s="254"/>
      <c r="X266" s="254"/>
    </row>
    <row r="267" spans="1:25" s="245" customFormat="1" ht="16" x14ac:dyDescent="0.2">
      <c r="A267" s="245" t="s">
        <v>65</v>
      </c>
      <c r="B267" s="245" t="s">
        <v>549</v>
      </c>
      <c r="C267" s="246" t="s">
        <v>550</v>
      </c>
      <c r="D267" s="246"/>
      <c r="E267" s="245" t="s">
        <v>68</v>
      </c>
      <c r="G267" s="255"/>
      <c r="H267" s="251"/>
      <c r="I267" s="251" t="s">
        <v>551</v>
      </c>
      <c r="J267" s="251"/>
      <c r="K267" s="245" t="s">
        <v>546</v>
      </c>
      <c r="L267" s="251"/>
      <c r="M267" s="251"/>
      <c r="N267" s="251"/>
      <c r="U267" s="252"/>
      <c r="V267" s="256"/>
      <c r="W267" s="254"/>
      <c r="X267" s="254"/>
    </row>
    <row r="268" spans="1:25" s="245" customFormat="1" ht="16" x14ac:dyDescent="0.2">
      <c r="A268" s="245" t="s">
        <v>58</v>
      </c>
      <c r="B268" s="245" t="s">
        <v>552</v>
      </c>
      <c r="C268" s="246" t="s">
        <v>553</v>
      </c>
      <c r="D268" s="246"/>
      <c r="G268" s="255"/>
      <c r="H268" s="251"/>
      <c r="I268" s="251"/>
      <c r="J268" s="251"/>
      <c r="K268" s="245" t="s">
        <v>554</v>
      </c>
      <c r="L268" s="251"/>
      <c r="M268" s="251"/>
      <c r="N268" s="251"/>
      <c r="U268" s="252"/>
      <c r="V268" s="256"/>
      <c r="W268" s="254"/>
      <c r="X268" s="254"/>
    </row>
    <row r="269" spans="1:25" s="245" customFormat="1" ht="16" x14ac:dyDescent="0.2">
      <c r="A269" s="245" t="s">
        <v>65</v>
      </c>
      <c r="B269" s="245" t="s">
        <v>555</v>
      </c>
      <c r="C269" s="246" t="s">
        <v>556</v>
      </c>
      <c r="D269" s="246"/>
      <c r="E269" s="245" t="s">
        <v>68</v>
      </c>
      <c r="G269" s="255"/>
      <c r="H269" s="251"/>
      <c r="I269" s="251" t="s">
        <v>551</v>
      </c>
      <c r="J269" s="251"/>
      <c r="K269" s="245" t="s">
        <v>554</v>
      </c>
      <c r="L269" s="251"/>
      <c r="M269" s="251"/>
      <c r="N269" s="251"/>
      <c r="U269" s="252"/>
      <c r="V269" s="256"/>
      <c r="W269" s="254"/>
      <c r="X269" s="254"/>
    </row>
    <row r="270" spans="1:25" s="78" customFormat="1" x14ac:dyDescent="0.2">
      <c r="C270" s="79"/>
      <c r="D270" s="80"/>
      <c r="F270" s="84"/>
      <c r="G270" s="120"/>
      <c r="H270" s="120"/>
      <c r="I270" s="120"/>
      <c r="J270" s="120"/>
      <c r="K270" s="120"/>
      <c r="L270" s="120"/>
      <c r="M270" s="120"/>
      <c r="N270" s="120"/>
      <c r="U270" s="185"/>
      <c r="V270" s="110">
        <v>1</v>
      </c>
      <c r="W270" s="165" t="str">
        <f t="shared" ref="W270:W281" si="21">IF(U270&lt;&gt;"",U270*V270,"")</f>
        <v/>
      </c>
      <c r="X270" s="165" t="str">
        <f t="shared" ref="X270:X281" si="22">IF(AND(U270&lt;&gt;"",S270="yes"),U270*V270,"")</f>
        <v/>
      </c>
    </row>
    <row r="271" spans="1:25" ht="15" customHeight="1" thickBot="1" x14ac:dyDescent="0.25">
      <c r="A271" s="103" t="s">
        <v>115</v>
      </c>
      <c r="B271" s="103"/>
      <c r="C271" s="104"/>
      <c r="D271" s="111"/>
      <c r="E271" s="103"/>
      <c r="F271" s="112"/>
      <c r="G271" s="132"/>
      <c r="H271" s="132"/>
      <c r="I271" s="132"/>
      <c r="J271" s="132"/>
      <c r="K271" s="132"/>
      <c r="L271" s="132"/>
      <c r="M271" s="132"/>
      <c r="N271" s="132"/>
      <c r="U271" s="185"/>
      <c r="W271" s="165" t="str">
        <f t="shared" si="21"/>
        <v/>
      </c>
      <c r="X271" s="165" t="str">
        <f t="shared" si="22"/>
        <v/>
      </c>
    </row>
    <row r="272" spans="1:25" s="74" customFormat="1" ht="15" customHeight="1" thickTop="1" x14ac:dyDescent="0.2">
      <c r="A272" s="71" t="s">
        <v>55</v>
      </c>
      <c r="B272" s="71" t="s">
        <v>557</v>
      </c>
      <c r="C272" s="95" t="s">
        <v>558</v>
      </c>
      <c r="D272" s="72"/>
      <c r="E272" s="71"/>
      <c r="F272" s="73"/>
      <c r="G272" s="124" t="s">
        <v>42</v>
      </c>
      <c r="H272" s="124"/>
      <c r="I272" s="124"/>
      <c r="J272" s="124"/>
      <c r="K272" s="124" t="s">
        <v>559</v>
      </c>
      <c r="L272" s="124"/>
      <c r="M272" s="124"/>
      <c r="N272" s="124"/>
      <c r="S272" s="46" t="s">
        <v>35</v>
      </c>
      <c r="U272" s="185"/>
      <c r="V272" s="75"/>
      <c r="W272" s="165" t="str">
        <f t="shared" si="21"/>
        <v/>
      </c>
      <c r="X272" s="165" t="str">
        <f t="shared" si="22"/>
        <v/>
      </c>
      <c r="Y272" s="75"/>
    </row>
    <row r="273" spans="1:25" s="74" customFormat="1" ht="15" customHeight="1" x14ac:dyDescent="0.2">
      <c r="C273" s="96"/>
      <c r="D273" s="72"/>
      <c r="F273" s="73"/>
      <c r="G273" s="125"/>
      <c r="H273" s="125"/>
      <c r="I273" s="125"/>
      <c r="J273" s="125"/>
      <c r="K273" s="125"/>
      <c r="L273" s="125"/>
      <c r="M273" s="125"/>
      <c r="N273" s="125"/>
      <c r="S273" s="46"/>
      <c r="U273" s="185"/>
      <c r="V273" s="110">
        <v>1</v>
      </c>
      <c r="W273" s="165" t="str">
        <f t="shared" si="21"/>
        <v/>
      </c>
      <c r="X273" s="165" t="str">
        <f t="shared" si="22"/>
        <v/>
      </c>
      <c r="Y273" s="75"/>
    </row>
    <row r="274" spans="1:25" ht="43.5" customHeight="1" x14ac:dyDescent="0.2">
      <c r="A274" s="76" t="s">
        <v>111</v>
      </c>
      <c r="B274" s="76" t="s">
        <v>560</v>
      </c>
      <c r="C274" s="45" t="s">
        <v>561</v>
      </c>
      <c r="D274" s="89"/>
      <c r="E274" s="76"/>
      <c r="F274" s="90"/>
      <c r="G274" s="119" t="s">
        <v>33</v>
      </c>
      <c r="H274" s="119"/>
      <c r="I274" s="119"/>
      <c r="J274" s="119"/>
      <c r="K274" s="119"/>
      <c r="L274" s="119"/>
      <c r="M274" s="119"/>
      <c r="N274" s="119"/>
      <c r="S274" s="46" t="s">
        <v>35</v>
      </c>
      <c r="U274" s="185">
        <v>19.828245162963871</v>
      </c>
      <c r="V274" s="110">
        <v>1</v>
      </c>
      <c r="W274" s="165">
        <f t="shared" si="21"/>
        <v>19.828245162963871</v>
      </c>
      <c r="X274" s="165">
        <f t="shared" si="22"/>
        <v>19.828245162963871</v>
      </c>
    </row>
    <row r="275" spans="1:25" ht="43.5" customHeight="1" x14ac:dyDescent="0.2">
      <c r="A275" s="76" t="s">
        <v>562</v>
      </c>
      <c r="B275" s="76" t="s">
        <v>563</v>
      </c>
      <c r="C275" s="45" t="s">
        <v>564</v>
      </c>
      <c r="D275" s="89"/>
      <c r="E275" s="76" t="s">
        <v>565</v>
      </c>
      <c r="F275" s="90"/>
      <c r="G275" s="119" t="s">
        <v>33</v>
      </c>
      <c r="H275" s="119"/>
      <c r="I275" s="121" t="s">
        <v>313</v>
      </c>
      <c r="J275" s="119"/>
      <c r="K275" s="119" t="s">
        <v>566</v>
      </c>
      <c r="L275" s="119"/>
      <c r="M275" s="119"/>
      <c r="N275" s="119"/>
      <c r="S275" s="46" t="s">
        <v>35</v>
      </c>
      <c r="U275" s="185">
        <v>49.529693603515618</v>
      </c>
      <c r="V275" s="110">
        <v>1</v>
      </c>
      <c r="W275" s="165">
        <f t="shared" si="21"/>
        <v>49.529693603515618</v>
      </c>
      <c r="X275" s="165">
        <f t="shared" si="22"/>
        <v>49.529693603515618</v>
      </c>
    </row>
    <row r="276" spans="1:25" ht="16" x14ac:dyDescent="0.2">
      <c r="A276" s="76" t="s">
        <v>58</v>
      </c>
      <c r="B276" s="76" t="s">
        <v>567</v>
      </c>
      <c r="C276" s="82" t="s">
        <v>264</v>
      </c>
      <c r="D276" s="100"/>
      <c r="E276" s="77" t="s">
        <v>265</v>
      </c>
      <c r="F276" s="90"/>
      <c r="G276" s="119" t="s">
        <v>33</v>
      </c>
      <c r="H276" s="119"/>
      <c r="I276" s="119"/>
      <c r="J276" s="119"/>
      <c r="K276" s="119" t="s">
        <v>568</v>
      </c>
      <c r="L276" s="119"/>
      <c r="M276" s="119"/>
      <c r="N276" s="119"/>
      <c r="S276" s="46" t="s">
        <v>35</v>
      </c>
      <c r="U276" s="185"/>
      <c r="V276" s="110">
        <v>1</v>
      </c>
      <c r="W276" s="165" t="str">
        <f t="shared" si="21"/>
        <v/>
      </c>
      <c r="X276" s="165" t="str">
        <f t="shared" si="22"/>
        <v/>
      </c>
    </row>
    <row r="277" spans="1:25" x14ac:dyDescent="0.2">
      <c r="D277" s="89"/>
      <c r="F277" s="90"/>
      <c r="U277" s="185"/>
      <c r="V277" s="110">
        <v>1</v>
      </c>
      <c r="W277" s="165" t="str">
        <f t="shared" si="21"/>
        <v/>
      </c>
      <c r="X277" s="165" t="str">
        <f t="shared" si="22"/>
        <v/>
      </c>
    </row>
    <row r="278" spans="1:25" s="77" customFormat="1" ht="29" customHeight="1" x14ac:dyDescent="0.2">
      <c r="A278" s="81" t="s">
        <v>569</v>
      </c>
      <c r="B278" s="81" t="s">
        <v>570</v>
      </c>
      <c r="C278" s="82" t="s">
        <v>571</v>
      </c>
      <c r="D278" s="100"/>
      <c r="E278" s="81" t="s">
        <v>572</v>
      </c>
      <c r="F278" s="102"/>
      <c r="G278" s="121" t="s">
        <v>33</v>
      </c>
      <c r="H278" s="121"/>
      <c r="I278" s="121" t="s">
        <v>573</v>
      </c>
      <c r="J278" s="121"/>
      <c r="K278" s="121"/>
      <c r="L278" s="121"/>
      <c r="M278" s="121"/>
      <c r="N278" s="121"/>
      <c r="S278" s="77" t="s">
        <v>35</v>
      </c>
      <c r="U278" s="185">
        <v>22.029750823974609</v>
      </c>
      <c r="V278" s="110">
        <v>1</v>
      </c>
      <c r="W278" s="165">
        <f t="shared" si="21"/>
        <v>22.029750823974609</v>
      </c>
      <c r="X278" s="165">
        <f t="shared" si="22"/>
        <v>22.029750823974609</v>
      </c>
    </row>
    <row r="279" spans="1:25" s="77" customFormat="1" ht="16" x14ac:dyDescent="0.2">
      <c r="A279" s="81" t="s">
        <v>58</v>
      </c>
      <c r="B279" s="81" t="s">
        <v>574</v>
      </c>
      <c r="C279" s="82" t="s">
        <v>264</v>
      </c>
      <c r="D279" s="100"/>
      <c r="E279" s="81" t="s">
        <v>265</v>
      </c>
      <c r="F279" s="102"/>
      <c r="G279" s="121" t="s">
        <v>33</v>
      </c>
      <c r="H279" s="121"/>
      <c r="I279" s="121"/>
      <c r="J279" s="121"/>
      <c r="K279" s="121" t="s">
        <v>575</v>
      </c>
      <c r="L279" s="121"/>
      <c r="M279" s="121"/>
      <c r="N279" s="121"/>
      <c r="S279" s="77" t="s">
        <v>35</v>
      </c>
      <c r="U279" s="185"/>
      <c r="V279" s="110">
        <v>1</v>
      </c>
      <c r="W279" s="165" t="str">
        <f t="shared" si="21"/>
        <v/>
      </c>
      <c r="X279" s="165" t="str">
        <f t="shared" si="22"/>
        <v/>
      </c>
    </row>
    <row r="280" spans="1:25" s="77" customFormat="1" ht="16" x14ac:dyDescent="0.2">
      <c r="A280" s="81" t="s">
        <v>576</v>
      </c>
      <c r="B280" s="81" t="s">
        <v>577</v>
      </c>
      <c r="C280" s="82" t="s">
        <v>578</v>
      </c>
      <c r="D280" s="100"/>
      <c r="E280" s="81" t="s">
        <v>579</v>
      </c>
      <c r="F280" s="102"/>
      <c r="G280" s="121" t="s">
        <v>33</v>
      </c>
      <c r="H280" s="121"/>
      <c r="I280" s="121"/>
      <c r="J280" s="121"/>
      <c r="K280" s="121" t="s">
        <v>580</v>
      </c>
      <c r="L280" s="121"/>
      <c r="M280" s="121"/>
      <c r="N280" s="121"/>
      <c r="S280" s="77" t="s">
        <v>35</v>
      </c>
      <c r="U280" s="185">
        <v>17</v>
      </c>
      <c r="V280" s="110">
        <v>1</v>
      </c>
      <c r="W280" s="165">
        <f t="shared" si="21"/>
        <v>17</v>
      </c>
      <c r="X280" s="165">
        <f t="shared" si="22"/>
        <v>17</v>
      </c>
    </row>
    <row r="281" spans="1:25" s="78" customFormat="1" x14ac:dyDescent="0.2">
      <c r="C281" s="79"/>
      <c r="D281" s="80"/>
      <c r="F281" s="84"/>
      <c r="G281" s="120"/>
      <c r="H281" s="120"/>
      <c r="I281" s="120"/>
      <c r="J281" s="120"/>
      <c r="K281" s="120"/>
      <c r="L281" s="120"/>
      <c r="M281" s="120"/>
      <c r="N281" s="120"/>
      <c r="P281" s="46"/>
      <c r="U281" s="185"/>
      <c r="V281" s="110">
        <v>1</v>
      </c>
      <c r="W281" s="165" t="str">
        <f t="shared" si="21"/>
        <v/>
      </c>
      <c r="X281" s="165" t="str">
        <f t="shared" si="22"/>
        <v/>
      </c>
      <c r="Y281" s="77"/>
    </row>
    <row r="282" spans="1:25" s="227" customFormat="1" ht="16" x14ac:dyDescent="0.2">
      <c r="A282" s="227" t="s">
        <v>581</v>
      </c>
      <c r="B282" s="227" t="s">
        <v>582</v>
      </c>
      <c r="C282" s="226" t="s">
        <v>583</v>
      </c>
      <c r="D282" s="233"/>
      <c r="E282" s="227" t="s">
        <v>584</v>
      </c>
      <c r="F282" s="228"/>
      <c r="G282" s="229" t="s">
        <v>33</v>
      </c>
      <c r="H282" s="229"/>
      <c r="I282" s="229" t="s">
        <v>313</v>
      </c>
      <c r="J282" s="229"/>
      <c r="K282" s="229" t="s">
        <v>580</v>
      </c>
      <c r="L282" s="229"/>
      <c r="M282" s="229"/>
      <c r="N282" s="229"/>
      <c r="S282" s="227" t="s">
        <v>43</v>
      </c>
      <c r="U282" s="230"/>
      <c r="V282" s="236"/>
      <c r="W282" s="232"/>
      <c r="X282" s="232"/>
    </row>
    <row r="283" spans="1:25" s="78" customFormat="1" x14ac:dyDescent="0.2">
      <c r="C283" s="79"/>
      <c r="D283" s="80"/>
      <c r="F283" s="84"/>
      <c r="G283" s="120"/>
      <c r="H283" s="120"/>
      <c r="I283" s="120"/>
      <c r="J283" s="120"/>
      <c r="K283" s="120"/>
      <c r="L283" s="120"/>
      <c r="M283" s="120"/>
      <c r="N283" s="120"/>
      <c r="P283" s="46"/>
      <c r="U283" s="185"/>
      <c r="V283" s="110"/>
      <c r="W283" s="165"/>
      <c r="X283" s="165"/>
      <c r="Y283" s="77"/>
    </row>
    <row r="284" spans="1:25" ht="15" customHeight="1" thickBot="1" x14ac:dyDescent="0.25">
      <c r="A284" s="103" t="s">
        <v>115</v>
      </c>
      <c r="B284" s="103"/>
      <c r="C284" s="104"/>
      <c r="D284" s="111"/>
      <c r="E284" s="103"/>
      <c r="F284" s="112"/>
      <c r="G284" s="132"/>
      <c r="H284" s="132"/>
      <c r="I284" s="132"/>
      <c r="J284" s="132"/>
      <c r="K284" s="132"/>
      <c r="L284" s="132"/>
      <c r="M284" s="132"/>
      <c r="N284" s="132"/>
      <c r="U284" s="185"/>
      <c r="W284" s="165" t="str">
        <f t="shared" ref="W284:W296" si="23">IF(U284&lt;&gt;"",U284*V284,"")</f>
        <v/>
      </c>
      <c r="X284" s="165" t="str">
        <f t="shared" ref="X284:X296" si="24">IF(AND(U284&lt;&gt;"",S284="yes"),U284*V284,"")</f>
        <v/>
      </c>
    </row>
    <row r="285" spans="1:25" s="74" customFormat="1" ht="15" customHeight="1" thickTop="1" x14ac:dyDescent="0.2">
      <c r="A285" s="71" t="s">
        <v>55</v>
      </c>
      <c r="B285" s="71" t="s">
        <v>585</v>
      </c>
      <c r="C285" s="95" t="s">
        <v>586</v>
      </c>
      <c r="D285" s="72"/>
      <c r="E285" s="71"/>
      <c r="F285" s="73"/>
      <c r="G285" s="124" t="s">
        <v>42</v>
      </c>
      <c r="H285" s="124"/>
      <c r="I285" s="124"/>
      <c r="J285" s="124"/>
      <c r="K285" s="124" t="s">
        <v>118</v>
      </c>
      <c r="L285" s="124"/>
      <c r="M285" s="124"/>
      <c r="N285" s="124"/>
      <c r="S285" s="46" t="s">
        <v>35</v>
      </c>
      <c r="U285" s="185"/>
      <c r="V285" s="164"/>
      <c r="W285" s="165" t="str">
        <f t="shared" si="23"/>
        <v/>
      </c>
      <c r="X285" s="165" t="str">
        <f t="shared" si="24"/>
        <v/>
      </c>
      <c r="Y285" s="75"/>
    </row>
    <row r="286" spans="1:25" s="74" customFormat="1" x14ac:dyDescent="0.2">
      <c r="C286" s="96"/>
      <c r="D286" s="72"/>
      <c r="F286" s="73"/>
      <c r="G286" s="125"/>
      <c r="H286" s="125"/>
      <c r="I286" s="125"/>
      <c r="J286" s="125"/>
      <c r="K286" s="125"/>
      <c r="L286" s="125"/>
      <c r="M286" s="125"/>
      <c r="N286" s="125"/>
      <c r="S286" s="46"/>
      <c r="U286" s="185"/>
      <c r="V286" s="110">
        <v>1</v>
      </c>
      <c r="W286" s="165" t="str">
        <f t="shared" si="23"/>
        <v/>
      </c>
      <c r="X286" s="165" t="str">
        <f t="shared" si="24"/>
        <v/>
      </c>
      <c r="Y286" s="75"/>
    </row>
    <row r="287" spans="1:25" ht="29" customHeight="1" x14ac:dyDescent="0.2">
      <c r="A287" s="76" t="s">
        <v>44</v>
      </c>
      <c r="B287" s="76" t="s">
        <v>587</v>
      </c>
      <c r="C287" s="45" t="s">
        <v>588</v>
      </c>
      <c r="D287" s="89"/>
      <c r="E287" s="76"/>
      <c r="F287" s="90"/>
      <c r="G287" s="119" t="s">
        <v>33</v>
      </c>
      <c r="H287" s="119"/>
      <c r="I287" s="119"/>
      <c r="J287" s="119"/>
      <c r="K287" s="119"/>
      <c r="L287" s="119"/>
      <c r="M287" s="119"/>
      <c r="N287" s="119"/>
      <c r="S287" s="46" t="s">
        <v>35</v>
      </c>
      <c r="U287" s="185">
        <v>36.783046722412109</v>
      </c>
      <c r="V287" s="110">
        <v>1</v>
      </c>
      <c r="W287" s="165">
        <f t="shared" si="23"/>
        <v>36.783046722412109</v>
      </c>
      <c r="X287" s="165">
        <f t="shared" si="24"/>
        <v>36.783046722412109</v>
      </c>
    </row>
    <row r="288" spans="1:25" x14ac:dyDescent="0.2">
      <c r="D288" s="89"/>
      <c r="F288" s="90"/>
      <c r="U288" s="185"/>
      <c r="V288" s="110">
        <v>1</v>
      </c>
      <c r="W288" s="165" t="str">
        <f t="shared" si="23"/>
        <v/>
      </c>
      <c r="X288" s="165" t="str">
        <f t="shared" si="24"/>
        <v/>
      </c>
    </row>
    <row r="289" spans="1:25" s="78" customFormat="1" ht="16" x14ac:dyDescent="0.2">
      <c r="A289" s="159" t="s">
        <v>589</v>
      </c>
      <c r="B289" s="159" t="s">
        <v>590</v>
      </c>
      <c r="C289" s="175" t="s">
        <v>591</v>
      </c>
      <c r="D289" s="162"/>
      <c r="E289" s="159" t="s">
        <v>592</v>
      </c>
      <c r="F289" s="163"/>
      <c r="G289" s="158" t="s">
        <v>33</v>
      </c>
      <c r="H289" s="158"/>
      <c r="I289" s="135"/>
      <c r="J289" s="158"/>
      <c r="K289" s="158" t="s">
        <v>593</v>
      </c>
      <c r="L289" s="129"/>
      <c r="M289" s="129"/>
      <c r="N289" s="129"/>
      <c r="S289" s="161" t="s">
        <v>79</v>
      </c>
      <c r="U289" s="185">
        <v>10</v>
      </c>
      <c r="V289" s="110">
        <v>1</v>
      </c>
      <c r="W289" s="165">
        <f t="shared" si="23"/>
        <v>10</v>
      </c>
      <c r="X289" s="165" t="str">
        <f t="shared" si="24"/>
        <v/>
      </c>
      <c r="Y289" s="77"/>
    </row>
    <row r="290" spans="1:25" s="78" customFormat="1" ht="16" x14ac:dyDescent="0.2">
      <c r="A290" s="159" t="s">
        <v>594</v>
      </c>
      <c r="B290" s="159" t="s">
        <v>595</v>
      </c>
      <c r="C290" s="175" t="s">
        <v>596</v>
      </c>
      <c r="D290" s="162"/>
      <c r="E290" s="159" t="s">
        <v>592</v>
      </c>
      <c r="F290" s="163"/>
      <c r="G290" s="158" t="s">
        <v>33</v>
      </c>
      <c r="H290" s="158"/>
      <c r="I290" s="135"/>
      <c r="J290" s="158"/>
      <c r="K290" s="158" t="s">
        <v>593</v>
      </c>
      <c r="L290" s="129"/>
      <c r="M290" s="129"/>
      <c r="N290" s="129"/>
      <c r="S290" s="161" t="s">
        <v>79</v>
      </c>
      <c r="U290" s="185">
        <v>10</v>
      </c>
      <c r="V290" s="110">
        <v>1</v>
      </c>
      <c r="W290" s="165">
        <f t="shared" si="23"/>
        <v>10</v>
      </c>
      <c r="X290" s="165" t="str">
        <f t="shared" si="24"/>
        <v/>
      </c>
      <c r="Y290" s="77"/>
    </row>
    <row r="291" spans="1:25" s="78" customFormat="1" x14ac:dyDescent="0.2">
      <c r="C291" s="79"/>
      <c r="D291" s="80"/>
      <c r="F291" s="84"/>
      <c r="G291" s="120"/>
      <c r="H291" s="120"/>
      <c r="I291" s="120"/>
      <c r="J291" s="120"/>
      <c r="K291" s="120"/>
      <c r="L291" s="120"/>
      <c r="M291" s="120"/>
      <c r="N291" s="120"/>
      <c r="U291" s="185"/>
      <c r="V291" s="110">
        <v>1</v>
      </c>
      <c r="W291" s="165" t="str">
        <f t="shared" si="23"/>
        <v/>
      </c>
      <c r="X291" s="165" t="str">
        <f t="shared" si="24"/>
        <v/>
      </c>
      <c r="Y291" s="77"/>
    </row>
    <row r="292" spans="1:25" ht="16" x14ac:dyDescent="0.2">
      <c r="A292" s="76" t="s">
        <v>597</v>
      </c>
      <c r="B292" s="76" t="s">
        <v>598</v>
      </c>
      <c r="C292" s="45" t="s">
        <v>599</v>
      </c>
      <c r="D292" s="89"/>
      <c r="E292" s="76"/>
      <c r="F292" s="90"/>
      <c r="G292" s="119" t="s">
        <v>33</v>
      </c>
      <c r="H292" s="119"/>
      <c r="I292" s="119"/>
      <c r="J292" s="119"/>
      <c r="K292" s="119"/>
      <c r="L292" s="119"/>
      <c r="M292" s="119"/>
      <c r="N292" s="119"/>
      <c r="S292" s="46" t="s">
        <v>35</v>
      </c>
      <c r="U292" s="185">
        <v>3</v>
      </c>
      <c r="V292" s="110">
        <v>1</v>
      </c>
      <c r="W292" s="165">
        <f t="shared" si="23"/>
        <v>3</v>
      </c>
      <c r="X292" s="165">
        <f t="shared" si="24"/>
        <v>3</v>
      </c>
    </row>
    <row r="293" spans="1:25" x14ac:dyDescent="0.2">
      <c r="D293" s="89"/>
      <c r="F293" s="90"/>
      <c r="U293" s="185"/>
      <c r="V293" s="110">
        <v>1</v>
      </c>
      <c r="W293" s="165" t="str">
        <f t="shared" si="23"/>
        <v/>
      </c>
      <c r="X293" s="165" t="str">
        <f t="shared" si="24"/>
        <v/>
      </c>
    </row>
    <row r="294" spans="1:25" ht="16" x14ac:dyDescent="0.2">
      <c r="A294" s="76" t="s">
        <v>38</v>
      </c>
      <c r="B294" s="76" t="s">
        <v>600</v>
      </c>
      <c r="C294" s="45" t="s">
        <v>601</v>
      </c>
      <c r="D294" s="89"/>
      <c r="E294" s="76"/>
      <c r="F294" s="90"/>
      <c r="G294" s="119" t="s">
        <v>42</v>
      </c>
      <c r="H294" s="119"/>
      <c r="I294" s="119"/>
      <c r="J294" s="119"/>
      <c r="K294" s="119"/>
      <c r="L294" s="119"/>
      <c r="M294" s="119"/>
      <c r="N294" s="119"/>
      <c r="S294" s="46" t="s">
        <v>43</v>
      </c>
      <c r="U294" s="185">
        <v>0</v>
      </c>
      <c r="V294" s="110">
        <v>1</v>
      </c>
      <c r="W294" s="165">
        <f t="shared" si="23"/>
        <v>0</v>
      </c>
      <c r="X294" s="165" t="str">
        <f t="shared" si="24"/>
        <v/>
      </c>
    </row>
    <row r="295" spans="1:25" x14ac:dyDescent="0.2">
      <c r="D295" s="89"/>
      <c r="F295" s="90"/>
      <c r="U295" s="185"/>
      <c r="V295" s="110">
        <v>1</v>
      </c>
      <c r="W295" s="165" t="str">
        <f t="shared" si="23"/>
        <v/>
      </c>
      <c r="X295" s="165" t="str">
        <f t="shared" si="24"/>
        <v/>
      </c>
    </row>
    <row r="296" spans="1:25" ht="15" customHeight="1" thickBot="1" x14ac:dyDescent="0.25">
      <c r="A296" s="103" t="s">
        <v>115</v>
      </c>
      <c r="B296" s="103"/>
      <c r="C296" s="104"/>
      <c r="D296" s="111"/>
      <c r="E296" s="103"/>
      <c r="F296" s="112"/>
      <c r="G296" s="132"/>
      <c r="H296" s="132"/>
      <c r="I296" s="132"/>
      <c r="J296" s="132"/>
      <c r="K296" s="132"/>
      <c r="L296" s="132"/>
      <c r="M296" s="132"/>
      <c r="N296" s="132"/>
      <c r="U296" s="185"/>
      <c r="W296" s="165" t="str">
        <f t="shared" si="23"/>
        <v/>
      </c>
      <c r="X296" s="165" t="str">
        <f t="shared" si="24"/>
        <v/>
      </c>
    </row>
    <row r="297" spans="1:25" s="78" customFormat="1" ht="15" customHeight="1" thickTop="1" x14ac:dyDescent="0.2">
      <c r="C297" s="79"/>
      <c r="D297" s="79"/>
      <c r="G297" s="120"/>
      <c r="H297" s="120"/>
      <c r="I297" s="120"/>
      <c r="J297" s="120"/>
      <c r="K297" s="120"/>
      <c r="L297" s="120"/>
      <c r="M297" s="120"/>
      <c r="N297" s="120"/>
      <c r="U297" s="185"/>
      <c r="V297" s="169"/>
      <c r="W297" s="168"/>
    </row>
    <row r="298" spans="1:25" ht="16" x14ac:dyDescent="0.2">
      <c r="A298" s="76" t="s">
        <v>602</v>
      </c>
      <c r="B298" s="76" t="s">
        <v>603</v>
      </c>
      <c r="C298" s="45" t="s">
        <v>604</v>
      </c>
      <c r="E298" s="76"/>
      <c r="G298" s="119" t="s">
        <v>33</v>
      </c>
      <c r="H298" s="119"/>
      <c r="I298" s="119"/>
      <c r="J298" s="119"/>
      <c r="K298" s="119" t="s">
        <v>51</v>
      </c>
      <c r="L298" s="119"/>
      <c r="M298" s="119"/>
      <c r="N298" s="119"/>
      <c r="S298" s="46" t="s">
        <v>43</v>
      </c>
      <c r="U298" s="185"/>
      <c r="W298" s="165"/>
    </row>
    <row r="299" spans="1:25" ht="29" customHeight="1" x14ac:dyDescent="0.2">
      <c r="A299" s="46" t="s">
        <v>47</v>
      </c>
      <c r="B299" s="46" t="s">
        <v>605</v>
      </c>
      <c r="C299" s="47" t="s">
        <v>606</v>
      </c>
      <c r="D299" s="181"/>
      <c r="F299" s="182"/>
      <c r="G299" s="126" t="s">
        <v>607</v>
      </c>
      <c r="K299" s="126" t="s">
        <v>608</v>
      </c>
      <c r="U299" s="185"/>
      <c r="W299" s="165"/>
    </row>
    <row r="300" spans="1:25" s="227" customFormat="1" ht="16" x14ac:dyDescent="0.2">
      <c r="A300" s="227" t="s">
        <v>58</v>
      </c>
      <c r="B300" s="227" t="s">
        <v>609</v>
      </c>
      <c r="C300" s="226" t="s">
        <v>610</v>
      </c>
      <c r="D300" s="233"/>
      <c r="E300" s="227" t="s">
        <v>611</v>
      </c>
      <c r="F300" s="228"/>
      <c r="G300" s="229" t="s">
        <v>42</v>
      </c>
      <c r="H300" s="229"/>
      <c r="I300" s="229"/>
      <c r="J300" s="229"/>
      <c r="K300" s="229"/>
      <c r="L300" s="229"/>
      <c r="M300" s="229"/>
      <c r="N300" s="229"/>
      <c r="S300" s="227" t="s">
        <v>43</v>
      </c>
      <c r="U300" s="230"/>
      <c r="V300" s="236"/>
      <c r="W300" s="232"/>
      <c r="X300" s="232" t="str">
        <f>IF(AND(U300&lt;&gt;"",S300="yes"),U300*V300,"")</f>
        <v/>
      </c>
    </row>
    <row r="301" spans="1:25" x14ac:dyDescent="0.2">
      <c r="A301" s="76" t="s">
        <v>24</v>
      </c>
      <c r="B301" s="76" t="s">
        <v>612</v>
      </c>
      <c r="C301" s="45"/>
      <c r="E301" s="76"/>
      <c r="G301" s="119" t="s">
        <v>42</v>
      </c>
      <c r="H301" s="119"/>
      <c r="I301" s="119"/>
      <c r="J301" s="119"/>
      <c r="K301" s="119"/>
      <c r="L301" s="119"/>
      <c r="M301" s="119"/>
      <c r="N301" s="119" t="s">
        <v>613</v>
      </c>
      <c r="S301" s="46" t="s">
        <v>43</v>
      </c>
      <c r="U301" s="185"/>
    </row>
    <row r="302" spans="1:25" x14ac:dyDescent="0.2">
      <c r="U302" s="185"/>
    </row>
    <row r="306" spans="17:24" ht="15" customHeight="1" thickBot="1" x14ac:dyDescent="0.25"/>
    <row r="307" spans="17:24" ht="16" customHeight="1" thickBot="1" x14ac:dyDescent="0.25">
      <c r="Q307" s="193" t="s">
        <v>614</v>
      </c>
      <c r="R307" s="194"/>
      <c r="S307" s="194"/>
      <c r="T307" s="194"/>
      <c r="U307" s="187"/>
      <c r="V307" s="170"/>
      <c r="W307" s="171">
        <f>(SUM(W4:W294)/60)</f>
        <v>29.856575535971352</v>
      </c>
      <c r="X307" s="171">
        <f>(SUM(X4:X49)+AVERAGE(X50:X52)+SUM(X53:X294))/60</f>
        <v>18.060649856237294</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09"/>
  <sheetViews>
    <sheetView zoomScaleNormal="110" workbookViewId="0">
      <pane ySplit="1" topLeftCell="A232" activePane="bottomLeft" state="frozen"/>
      <selection pane="bottomLeft" activeCell="B273" sqref="B273"/>
    </sheetView>
  </sheetViews>
  <sheetFormatPr baseColWidth="10" defaultColWidth="8.6640625" defaultRowHeight="15" x14ac:dyDescent="0.2"/>
  <cols>
    <col min="1" max="1" width="22.6640625" style="3" customWidth="1"/>
    <col min="2" max="2" width="30" style="3" customWidth="1"/>
    <col min="3" max="3" width="30.6640625" style="3" customWidth="1"/>
    <col min="4" max="4" width="20" style="3" customWidth="1"/>
    <col min="5" max="5" width="16.1640625" style="3" customWidth="1"/>
    <col min="6" max="6" width="8.6640625" style="3" customWidth="1"/>
    <col min="7" max="16384" width="8.6640625" style="3"/>
  </cols>
  <sheetData>
    <row r="1" spans="1:5" x14ac:dyDescent="0.2">
      <c r="A1" s="6" t="s">
        <v>615</v>
      </c>
      <c r="B1" s="6" t="s">
        <v>1</v>
      </c>
      <c r="C1" s="6" t="s">
        <v>2</v>
      </c>
      <c r="D1" s="1" t="s">
        <v>3</v>
      </c>
      <c r="E1" s="6" t="s">
        <v>616</v>
      </c>
    </row>
    <row r="2" spans="1:5" s="13" customFormat="1" x14ac:dyDescent="0.2">
      <c r="A2" s="13" t="s">
        <v>617</v>
      </c>
      <c r="B2" s="201">
        <v>1</v>
      </c>
      <c r="C2" s="201" t="s">
        <v>618</v>
      </c>
      <c r="D2" s="202"/>
      <c r="E2" s="203"/>
    </row>
    <row r="3" spans="1:5" s="13" customFormat="1" x14ac:dyDescent="0.2">
      <c r="A3" s="13" t="s">
        <v>617</v>
      </c>
      <c r="B3" s="201">
        <v>2</v>
      </c>
      <c r="C3" s="201" t="s">
        <v>619</v>
      </c>
      <c r="D3" s="202"/>
      <c r="E3" s="203"/>
    </row>
    <row r="4" spans="1:5" s="13" customFormat="1" x14ac:dyDescent="0.2">
      <c r="A4" s="13" t="s">
        <v>617</v>
      </c>
      <c r="B4" s="201">
        <v>3</v>
      </c>
      <c r="C4" s="201" t="s">
        <v>620</v>
      </c>
      <c r="D4" s="202"/>
      <c r="E4" s="203"/>
    </row>
    <row r="5" spans="1:5" s="13" customFormat="1" x14ac:dyDescent="0.2">
      <c r="A5" s="13" t="s">
        <v>617</v>
      </c>
      <c r="B5" s="201">
        <v>4</v>
      </c>
      <c r="C5" s="201" t="s">
        <v>621</v>
      </c>
      <c r="D5" s="202"/>
      <c r="E5" s="203"/>
    </row>
    <row r="6" spans="1:5" x14ac:dyDescent="0.2">
      <c r="A6" s="2"/>
      <c r="B6" s="2"/>
      <c r="C6" s="2"/>
      <c r="D6" s="1"/>
      <c r="E6" s="2"/>
    </row>
    <row r="7" spans="1:5" x14ac:dyDescent="0.2">
      <c r="A7" t="s">
        <v>31</v>
      </c>
      <c r="B7" s="3">
        <v>1</v>
      </c>
      <c r="C7" s="5" t="s">
        <v>622</v>
      </c>
      <c r="D7" s="4"/>
      <c r="E7" s="204"/>
    </row>
    <row r="8" spans="1:5" x14ac:dyDescent="0.2">
      <c r="A8" t="s">
        <v>31</v>
      </c>
      <c r="B8" s="3">
        <v>2</v>
      </c>
      <c r="C8" s="5" t="s">
        <v>623</v>
      </c>
      <c r="D8" s="4"/>
      <c r="E8" s="204"/>
    </row>
    <row r="9" spans="1:5" x14ac:dyDescent="0.2">
      <c r="A9" t="s">
        <v>31</v>
      </c>
      <c r="B9" s="3">
        <v>3</v>
      </c>
      <c r="C9" s="5" t="s">
        <v>624</v>
      </c>
      <c r="D9" s="4"/>
      <c r="E9" s="204"/>
    </row>
    <row r="10" spans="1:5" x14ac:dyDescent="0.2">
      <c r="D10" s="4"/>
    </row>
    <row r="11" spans="1:5" x14ac:dyDescent="0.2">
      <c r="A11" t="s">
        <v>625</v>
      </c>
      <c r="B11">
        <v>1</v>
      </c>
      <c r="C11" t="s">
        <v>626</v>
      </c>
      <c r="D11" s="4"/>
    </row>
    <row r="12" spans="1:5" x14ac:dyDescent="0.2">
      <c r="A12" t="s">
        <v>625</v>
      </c>
      <c r="B12">
        <v>2</v>
      </c>
      <c r="C12" t="s">
        <v>627</v>
      </c>
      <c r="D12" s="4"/>
    </row>
    <row r="13" spans="1:5" x14ac:dyDescent="0.2">
      <c r="A13" t="s">
        <v>625</v>
      </c>
      <c r="B13" s="214">
        <v>3</v>
      </c>
      <c r="C13" t="s">
        <v>628</v>
      </c>
      <c r="D13" s="4"/>
    </row>
    <row r="14" spans="1:5" x14ac:dyDescent="0.2">
      <c r="A14" t="s">
        <v>625</v>
      </c>
      <c r="B14" s="214">
        <v>4</v>
      </c>
      <c r="C14" t="s">
        <v>629</v>
      </c>
      <c r="D14" s="4"/>
    </row>
    <row r="15" spans="1:5" x14ac:dyDescent="0.2">
      <c r="D15" s="4"/>
    </row>
    <row r="16" spans="1:5" x14ac:dyDescent="0.2">
      <c r="A16" t="s">
        <v>630</v>
      </c>
      <c r="B16" t="s">
        <v>630</v>
      </c>
      <c r="C16" t="s">
        <v>630</v>
      </c>
      <c r="D16" s="4"/>
    </row>
    <row r="17" spans="1:4" x14ac:dyDescent="0.2">
      <c r="D17" s="4"/>
    </row>
    <row r="18" spans="1:4" x14ac:dyDescent="0.2">
      <c r="A18" t="s">
        <v>631</v>
      </c>
      <c r="B18">
        <v>1</v>
      </c>
      <c r="C18" t="s">
        <v>632</v>
      </c>
      <c r="D18" s="4"/>
    </row>
    <row r="19" spans="1:4" x14ac:dyDescent="0.2">
      <c r="A19" t="s">
        <v>631</v>
      </c>
      <c r="B19">
        <v>2</v>
      </c>
      <c r="C19" t="s">
        <v>633</v>
      </c>
      <c r="D19" s="4"/>
    </row>
    <row r="20" spans="1:4" x14ac:dyDescent="0.2">
      <c r="D20" s="4"/>
    </row>
    <row r="21" spans="1:4" s="11" customFormat="1" x14ac:dyDescent="0.2">
      <c r="A21" s="215" t="s">
        <v>634</v>
      </c>
      <c r="B21" s="215" t="s">
        <v>635</v>
      </c>
      <c r="C21" s="215" t="s">
        <v>636</v>
      </c>
      <c r="D21" s="7"/>
    </row>
    <row r="22" spans="1:4" s="11" customFormat="1" x14ac:dyDescent="0.2">
      <c r="A22" s="14" t="s">
        <v>634</v>
      </c>
      <c r="B22" s="5" t="s">
        <v>637</v>
      </c>
      <c r="C22" s="5" t="s">
        <v>638</v>
      </c>
      <c r="D22" s="7"/>
    </row>
    <row r="23" spans="1:4" x14ac:dyDescent="0.2">
      <c r="D23" s="4"/>
    </row>
    <row r="24" spans="1:4" x14ac:dyDescent="0.2">
      <c r="A24" t="s">
        <v>639</v>
      </c>
      <c r="B24">
        <v>1</v>
      </c>
      <c r="C24" t="s">
        <v>640</v>
      </c>
      <c r="D24" s="4"/>
    </row>
    <row r="25" spans="1:4" x14ac:dyDescent="0.2">
      <c r="A25" t="s">
        <v>639</v>
      </c>
      <c r="B25">
        <v>2</v>
      </c>
      <c r="C25" t="s">
        <v>641</v>
      </c>
      <c r="D25" s="4"/>
    </row>
    <row r="26" spans="1:4" x14ac:dyDescent="0.2">
      <c r="A26" t="s">
        <v>639</v>
      </c>
      <c r="B26" s="214">
        <v>3</v>
      </c>
      <c r="C26" s="215" t="s">
        <v>628</v>
      </c>
      <c r="D26" s="4"/>
    </row>
    <row r="27" spans="1:4" x14ac:dyDescent="0.2">
      <c r="A27" t="s">
        <v>639</v>
      </c>
      <c r="B27" s="214">
        <v>4</v>
      </c>
      <c r="C27" s="215" t="s">
        <v>629</v>
      </c>
      <c r="D27" s="4"/>
    </row>
    <row r="28" spans="1:4" x14ac:dyDescent="0.2">
      <c r="C28" s="14"/>
      <c r="D28" s="4"/>
    </row>
    <row r="29" spans="1:4" x14ac:dyDescent="0.2">
      <c r="A29" t="s">
        <v>642</v>
      </c>
      <c r="B29">
        <v>1</v>
      </c>
      <c r="C29" s="215" t="s">
        <v>643</v>
      </c>
      <c r="D29" s="4"/>
    </row>
    <row r="30" spans="1:4" x14ac:dyDescent="0.2">
      <c r="A30" t="s">
        <v>642</v>
      </c>
      <c r="B30">
        <v>2</v>
      </c>
      <c r="C30" s="3" t="s">
        <v>644</v>
      </c>
      <c r="D30" s="4"/>
    </row>
    <row r="31" spans="1:4" x14ac:dyDescent="0.2">
      <c r="A31" t="s">
        <v>642</v>
      </c>
      <c r="B31">
        <v>3</v>
      </c>
      <c r="C31" s="215" t="s">
        <v>645</v>
      </c>
      <c r="D31" s="4"/>
    </row>
    <row r="32" spans="1:4" x14ac:dyDescent="0.2">
      <c r="A32" t="s">
        <v>642</v>
      </c>
      <c r="B32">
        <v>4</v>
      </c>
      <c r="C32" s="215" t="s">
        <v>627</v>
      </c>
      <c r="D32" s="4"/>
    </row>
    <row r="33" spans="1:4" x14ac:dyDescent="0.2">
      <c r="C33" s="14"/>
      <c r="D33" s="4"/>
    </row>
    <row r="34" spans="1:4" x14ac:dyDescent="0.2">
      <c r="A34" t="s">
        <v>646</v>
      </c>
      <c r="B34">
        <v>1</v>
      </c>
      <c r="C34" t="s">
        <v>647</v>
      </c>
      <c r="D34" s="4"/>
    </row>
    <row r="35" spans="1:4" x14ac:dyDescent="0.2">
      <c r="A35" t="s">
        <v>646</v>
      </c>
      <c r="B35">
        <v>2</v>
      </c>
      <c r="C35" t="s">
        <v>648</v>
      </c>
      <c r="D35" s="4"/>
    </row>
    <row r="36" spans="1:4" x14ac:dyDescent="0.2">
      <c r="A36" t="s">
        <v>646</v>
      </c>
      <c r="B36">
        <v>3</v>
      </c>
      <c r="C36" t="s">
        <v>649</v>
      </c>
      <c r="D36" s="4"/>
    </row>
    <row r="37" spans="1:4" x14ac:dyDescent="0.2">
      <c r="A37" t="s">
        <v>646</v>
      </c>
      <c r="B37">
        <v>4</v>
      </c>
      <c r="C37" t="s">
        <v>633</v>
      </c>
      <c r="D37" s="4"/>
    </row>
    <row r="38" spans="1:4" x14ac:dyDescent="0.2">
      <c r="A38" t="s">
        <v>646</v>
      </c>
      <c r="B38" s="214">
        <v>5</v>
      </c>
      <c r="C38" s="215" t="s">
        <v>628</v>
      </c>
      <c r="D38" s="4"/>
    </row>
    <row r="39" spans="1:4" x14ac:dyDescent="0.2">
      <c r="A39" t="s">
        <v>646</v>
      </c>
      <c r="B39" s="214">
        <v>6</v>
      </c>
      <c r="C39" t="s">
        <v>629</v>
      </c>
      <c r="D39" s="4"/>
    </row>
    <row r="40" spans="1:4" x14ac:dyDescent="0.2">
      <c r="D40" s="4"/>
    </row>
    <row r="41" spans="1:4" x14ac:dyDescent="0.2">
      <c r="A41" t="s">
        <v>650</v>
      </c>
      <c r="B41">
        <v>1</v>
      </c>
      <c r="C41" s="215" t="s">
        <v>651</v>
      </c>
      <c r="D41" s="4"/>
    </row>
    <row r="42" spans="1:4" x14ac:dyDescent="0.2">
      <c r="A42" t="s">
        <v>650</v>
      </c>
      <c r="B42">
        <v>2</v>
      </c>
      <c r="C42" s="215" t="s">
        <v>652</v>
      </c>
      <c r="D42" s="4"/>
    </row>
    <row r="43" spans="1:4" x14ac:dyDescent="0.2">
      <c r="A43" t="s">
        <v>650</v>
      </c>
      <c r="B43">
        <v>3</v>
      </c>
      <c r="C43" s="215" t="s">
        <v>653</v>
      </c>
      <c r="D43" s="4"/>
    </row>
    <row r="44" spans="1:4" x14ac:dyDescent="0.2">
      <c r="A44" t="s">
        <v>650</v>
      </c>
      <c r="B44">
        <v>4</v>
      </c>
      <c r="C44" s="215" t="s">
        <v>654</v>
      </c>
      <c r="D44" s="4"/>
    </row>
    <row r="45" spans="1:4" x14ac:dyDescent="0.2">
      <c r="A45" t="s">
        <v>650</v>
      </c>
      <c r="B45">
        <v>5</v>
      </c>
      <c r="C45" s="215" t="s">
        <v>655</v>
      </c>
      <c r="D45" s="4"/>
    </row>
    <row r="46" spans="1:4" x14ac:dyDescent="0.2">
      <c r="A46" t="s">
        <v>650</v>
      </c>
      <c r="B46" s="214">
        <v>6</v>
      </c>
      <c r="C46" t="s">
        <v>628</v>
      </c>
      <c r="D46" s="4"/>
    </row>
    <row r="47" spans="1:4" x14ac:dyDescent="0.2">
      <c r="A47" t="s">
        <v>650</v>
      </c>
      <c r="B47" s="214">
        <v>7</v>
      </c>
      <c r="C47" t="s">
        <v>629</v>
      </c>
      <c r="D47" s="4"/>
    </row>
    <row r="48" spans="1:4" x14ac:dyDescent="0.2">
      <c r="B48" s="10"/>
      <c r="D48" s="4"/>
    </row>
    <row r="49" spans="1:4" x14ac:dyDescent="0.2">
      <c r="A49" t="s">
        <v>656</v>
      </c>
      <c r="B49" s="214">
        <v>1</v>
      </c>
      <c r="C49" t="s">
        <v>657</v>
      </c>
      <c r="D49" s="4"/>
    </row>
    <row r="50" spans="1:4" x14ac:dyDescent="0.2">
      <c r="A50" t="s">
        <v>656</v>
      </c>
      <c r="B50" s="214">
        <v>2</v>
      </c>
      <c r="C50" t="s">
        <v>658</v>
      </c>
      <c r="D50" s="4"/>
    </row>
    <row r="51" spans="1:4" x14ac:dyDescent="0.2">
      <c r="A51" t="s">
        <v>656</v>
      </c>
      <c r="B51" s="214">
        <v>3</v>
      </c>
      <c r="C51" t="s">
        <v>659</v>
      </c>
      <c r="D51" s="4"/>
    </row>
    <row r="52" spans="1:4" x14ac:dyDescent="0.2">
      <c r="A52" t="s">
        <v>656</v>
      </c>
      <c r="B52" s="214">
        <v>4</v>
      </c>
      <c r="C52" t="s">
        <v>660</v>
      </c>
      <c r="D52" s="4"/>
    </row>
    <row r="53" spans="1:4" x14ac:dyDescent="0.2">
      <c r="A53" t="s">
        <v>656</v>
      </c>
      <c r="B53" s="214">
        <v>5</v>
      </c>
      <c r="C53" t="s">
        <v>661</v>
      </c>
      <c r="D53" s="4"/>
    </row>
    <row r="54" spans="1:4" x14ac:dyDescent="0.2">
      <c r="A54" t="s">
        <v>656</v>
      </c>
      <c r="B54" s="214">
        <v>6</v>
      </c>
      <c r="C54" t="s">
        <v>662</v>
      </c>
      <c r="D54" s="4"/>
    </row>
    <row r="55" spans="1:4" x14ac:dyDescent="0.2">
      <c r="A55" t="s">
        <v>656</v>
      </c>
      <c r="B55" s="214">
        <v>7</v>
      </c>
      <c r="C55" t="s">
        <v>663</v>
      </c>
      <c r="D55" s="4"/>
    </row>
    <row r="56" spans="1:4" x14ac:dyDescent="0.2">
      <c r="A56" t="s">
        <v>656</v>
      </c>
      <c r="B56" s="214">
        <v>8</v>
      </c>
      <c r="C56" t="s">
        <v>664</v>
      </c>
      <c r="D56" s="4"/>
    </row>
    <row r="57" spans="1:4" x14ac:dyDescent="0.2">
      <c r="A57" t="s">
        <v>656</v>
      </c>
      <c r="B57" s="214">
        <v>9</v>
      </c>
      <c r="C57" t="s">
        <v>665</v>
      </c>
      <c r="D57" s="4"/>
    </row>
    <row r="58" spans="1:4" x14ac:dyDescent="0.2">
      <c r="A58" t="s">
        <v>656</v>
      </c>
      <c r="B58" s="214">
        <v>10</v>
      </c>
      <c r="C58" t="s">
        <v>666</v>
      </c>
      <c r="D58" s="4"/>
    </row>
    <row r="59" spans="1:4" x14ac:dyDescent="0.2">
      <c r="A59" t="s">
        <v>656</v>
      </c>
      <c r="B59" s="214">
        <v>11</v>
      </c>
      <c r="C59" t="s">
        <v>628</v>
      </c>
      <c r="D59" s="4"/>
    </row>
    <row r="60" spans="1:4" x14ac:dyDescent="0.2">
      <c r="A60" t="s">
        <v>656</v>
      </c>
      <c r="B60" s="214">
        <v>12</v>
      </c>
      <c r="C60" t="s">
        <v>629</v>
      </c>
      <c r="D60" s="4"/>
    </row>
    <row r="61" spans="1:4" x14ac:dyDescent="0.2">
      <c r="B61" s="10"/>
      <c r="D61" s="4"/>
    </row>
    <row r="62" spans="1:4" x14ac:dyDescent="0.2">
      <c r="A62" t="s">
        <v>667</v>
      </c>
      <c r="B62" s="214">
        <v>1</v>
      </c>
      <c r="C62" t="s">
        <v>668</v>
      </c>
      <c r="D62" s="4"/>
    </row>
    <row r="63" spans="1:4" x14ac:dyDescent="0.2">
      <c r="A63" t="s">
        <v>667</v>
      </c>
      <c r="B63" s="214">
        <v>2</v>
      </c>
      <c r="C63" t="s">
        <v>669</v>
      </c>
      <c r="D63" s="4"/>
    </row>
    <row r="64" spans="1:4" x14ac:dyDescent="0.2">
      <c r="A64" t="s">
        <v>667</v>
      </c>
      <c r="B64" s="214">
        <v>3</v>
      </c>
      <c r="C64" t="s">
        <v>670</v>
      </c>
      <c r="D64" s="4"/>
    </row>
    <row r="65" spans="1:4" x14ac:dyDescent="0.2">
      <c r="A65" t="s">
        <v>667</v>
      </c>
      <c r="B65" s="214">
        <v>4</v>
      </c>
      <c r="C65" t="s">
        <v>671</v>
      </c>
      <c r="D65" s="4"/>
    </row>
    <row r="66" spans="1:4" x14ac:dyDescent="0.2">
      <c r="A66" t="s">
        <v>667</v>
      </c>
      <c r="B66" s="214">
        <v>5</v>
      </c>
      <c r="C66" t="s">
        <v>672</v>
      </c>
      <c r="D66" s="4"/>
    </row>
    <row r="67" spans="1:4" x14ac:dyDescent="0.2">
      <c r="A67" t="s">
        <v>667</v>
      </c>
      <c r="B67" s="214">
        <v>6</v>
      </c>
      <c r="C67" t="s">
        <v>628</v>
      </c>
      <c r="D67" s="4"/>
    </row>
    <row r="68" spans="1:4" x14ac:dyDescent="0.2">
      <c r="A68" t="s">
        <v>667</v>
      </c>
      <c r="B68" s="214">
        <v>7</v>
      </c>
      <c r="C68" t="s">
        <v>629</v>
      </c>
      <c r="D68" s="4"/>
    </row>
    <row r="69" spans="1:4" x14ac:dyDescent="0.2">
      <c r="B69" s="10"/>
      <c r="D69" s="4"/>
    </row>
    <row r="70" spans="1:4" x14ac:dyDescent="0.2">
      <c r="A70" t="s">
        <v>673</v>
      </c>
      <c r="B70" s="214">
        <v>1</v>
      </c>
      <c r="C70" t="s">
        <v>674</v>
      </c>
      <c r="D70" s="4"/>
    </row>
    <row r="71" spans="1:4" x14ac:dyDescent="0.2">
      <c r="A71" t="s">
        <v>673</v>
      </c>
      <c r="B71" s="214">
        <v>2</v>
      </c>
      <c r="C71" t="s">
        <v>675</v>
      </c>
      <c r="D71" s="4"/>
    </row>
    <row r="72" spans="1:4" x14ac:dyDescent="0.2">
      <c r="A72" t="s">
        <v>673</v>
      </c>
      <c r="B72" s="214">
        <v>3</v>
      </c>
      <c r="C72" t="s">
        <v>676</v>
      </c>
      <c r="D72" s="4"/>
    </row>
    <row r="73" spans="1:4" x14ac:dyDescent="0.2">
      <c r="A73" t="s">
        <v>673</v>
      </c>
      <c r="B73" s="214">
        <v>4</v>
      </c>
      <c r="C73" t="s">
        <v>677</v>
      </c>
      <c r="D73" s="4"/>
    </row>
    <row r="74" spans="1:4" x14ac:dyDescent="0.2">
      <c r="A74" t="s">
        <v>673</v>
      </c>
      <c r="B74" s="214">
        <v>5</v>
      </c>
      <c r="C74" t="s">
        <v>678</v>
      </c>
      <c r="D74" s="4"/>
    </row>
    <row r="75" spans="1:4" x14ac:dyDescent="0.2">
      <c r="A75" t="s">
        <v>673</v>
      </c>
      <c r="B75" s="214">
        <v>6</v>
      </c>
      <c r="C75" t="s">
        <v>679</v>
      </c>
      <c r="D75" s="4"/>
    </row>
    <row r="76" spans="1:4" x14ac:dyDescent="0.2">
      <c r="A76" t="s">
        <v>673</v>
      </c>
      <c r="B76" s="214">
        <v>7</v>
      </c>
      <c r="C76" t="s">
        <v>628</v>
      </c>
      <c r="D76" s="4"/>
    </row>
    <row r="77" spans="1:4" x14ac:dyDescent="0.2">
      <c r="A77" t="s">
        <v>673</v>
      </c>
      <c r="B77" s="214">
        <v>8</v>
      </c>
      <c r="C77" t="s">
        <v>629</v>
      </c>
      <c r="D77" s="4"/>
    </row>
    <row r="78" spans="1:4" x14ac:dyDescent="0.2">
      <c r="D78" s="4"/>
    </row>
    <row r="79" spans="1:4" x14ac:dyDescent="0.2">
      <c r="A79" s="242" t="s">
        <v>680</v>
      </c>
      <c r="B79" s="242">
        <v>1</v>
      </c>
      <c r="C79" s="242" t="s">
        <v>681</v>
      </c>
      <c r="D79" s="4"/>
    </row>
    <row r="80" spans="1:4" x14ac:dyDescent="0.2">
      <c r="A80" s="242" t="s">
        <v>680</v>
      </c>
      <c r="B80" s="242">
        <v>2</v>
      </c>
      <c r="C80" s="242" t="s">
        <v>682</v>
      </c>
      <c r="D80" s="4"/>
    </row>
    <row r="81" spans="1:4" x14ac:dyDescent="0.2">
      <c r="A81" s="242" t="s">
        <v>680</v>
      </c>
      <c r="B81" s="242">
        <v>3</v>
      </c>
      <c r="C81" s="242" t="s">
        <v>683</v>
      </c>
      <c r="D81" s="4"/>
    </row>
    <row r="82" spans="1:4" x14ac:dyDescent="0.2">
      <c r="A82" s="242" t="s">
        <v>680</v>
      </c>
      <c r="B82" s="242">
        <v>4</v>
      </c>
      <c r="C82" s="242" t="s">
        <v>684</v>
      </c>
      <c r="D82" s="4"/>
    </row>
    <row r="83" spans="1:4" x14ac:dyDescent="0.2">
      <c r="A83" s="242" t="s">
        <v>680</v>
      </c>
      <c r="B83" s="242">
        <v>5</v>
      </c>
      <c r="C83" s="242" t="s">
        <v>685</v>
      </c>
      <c r="D83" s="4"/>
    </row>
    <row r="84" spans="1:4" x14ac:dyDescent="0.2">
      <c r="A84" s="242" t="s">
        <v>680</v>
      </c>
      <c r="B84" s="242">
        <v>6</v>
      </c>
      <c r="C84" s="242" t="s">
        <v>686</v>
      </c>
      <c r="D84" s="4"/>
    </row>
    <row r="85" spans="1:4" x14ac:dyDescent="0.2">
      <c r="A85" s="242" t="s">
        <v>680</v>
      </c>
      <c r="B85" s="242">
        <v>7</v>
      </c>
      <c r="C85" s="242" t="s">
        <v>628</v>
      </c>
      <c r="D85" s="4"/>
    </row>
    <row r="86" spans="1:4" x14ac:dyDescent="0.2">
      <c r="A86" s="242" t="s">
        <v>680</v>
      </c>
      <c r="B86" s="242">
        <v>8</v>
      </c>
      <c r="C86" s="242" t="s">
        <v>629</v>
      </c>
      <c r="D86" s="4"/>
    </row>
    <row r="87" spans="1:4" x14ac:dyDescent="0.2">
      <c r="A87" s="13"/>
      <c r="B87" s="13"/>
      <c r="C87" s="13"/>
      <c r="D87" s="4"/>
    </row>
    <row r="88" spans="1:4" x14ac:dyDescent="0.2">
      <c r="A88" s="216" t="s">
        <v>687</v>
      </c>
      <c r="B88" s="216" t="s">
        <v>688</v>
      </c>
      <c r="C88" s="216" t="s">
        <v>689</v>
      </c>
      <c r="D88" s="4"/>
    </row>
    <row r="89" spans="1:4" x14ac:dyDescent="0.2">
      <c r="A89" s="216" t="s">
        <v>687</v>
      </c>
      <c r="B89" s="216" t="s">
        <v>690</v>
      </c>
      <c r="C89" s="216" t="s">
        <v>691</v>
      </c>
      <c r="D89" s="4"/>
    </row>
    <row r="90" spans="1:4" x14ac:dyDescent="0.2">
      <c r="A90" s="216" t="s">
        <v>687</v>
      </c>
      <c r="B90" s="216" t="s">
        <v>692</v>
      </c>
      <c r="C90" s="216" t="s">
        <v>693</v>
      </c>
      <c r="D90" s="4"/>
    </row>
    <row r="91" spans="1:4" x14ac:dyDescent="0.2">
      <c r="A91" s="216" t="s">
        <v>687</v>
      </c>
      <c r="B91" s="216" t="s">
        <v>694</v>
      </c>
      <c r="C91" s="216" t="s">
        <v>695</v>
      </c>
      <c r="D91" s="4"/>
    </row>
    <row r="92" spans="1:4" x14ac:dyDescent="0.2">
      <c r="A92" s="216" t="s">
        <v>687</v>
      </c>
      <c r="B92" s="216" t="s">
        <v>696</v>
      </c>
      <c r="C92" s="216" t="s">
        <v>697</v>
      </c>
      <c r="D92" s="4"/>
    </row>
    <row r="93" spans="1:4" x14ac:dyDescent="0.2">
      <c r="A93" s="216" t="s">
        <v>687</v>
      </c>
      <c r="B93" s="216" t="s">
        <v>698</v>
      </c>
      <c r="C93" s="216" t="s">
        <v>699</v>
      </c>
      <c r="D93" s="4"/>
    </row>
    <row r="94" spans="1:4" x14ac:dyDescent="0.2">
      <c r="A94" s="216" t="s">
        <v>687</v>
      </c>
      <c r="B94" s="216" t="s">
        <v>700</v>
      </c>
      <c r="C94" s="216" t="s">
        <v>701</v>
      </c>
      <c r="D94" s="4"/>
    </row>
    <row r="95" spans="1:4" x14ac:dyDescent="0.2">
      <c r="A95" s="216" t="s">
        <v>687</v>
      </c>
      <c r="B95" s="216" t="s">
        <v>702</v>
      </c>
      <c r="C95" s="216" t="s">
        <v>628</v>
      </c>
      <c r="D95" s="4"/>
    </row>
    <row r="96" spans="1:4" x14ac:dyDescent="0.2">
      <c r="A96" s="216" t="s">
        <v>687</v>
      </c>
      <c r="B96" s="216" t="s">
        <v>703</v>
      </c>
      <c r="C96" s="216" t="s">
        <v>629</v>
      </c>
      <c r="D96" s="4"/>
    </row>
    <row r="97" spans="1:4" x14ac:dyDescent="0.2">
      <c r="A97" s="13"/>
      <c r="B97" s="13"/>
      <c r="C97" s="13"/>
      <c r="D97" s="4"/>
    </row>
    <row r="98" spans="1:4" x14ac:dyDescent="0.2">
      <c r="A98" s="216" t="s">
        <v>704</v>
      </c>
      <c r="B98" s="216" t="s">
        <v>705</v>
      </c>
      <c r="C98" s="216" t="s">
        <v>706</v>
      </c>
      <c r="D98" s="4"/>
    </row>
    <row r="99" spans="1:4" x14ac:dyDescent="0.2">
      <c r="A99" s="216" t="s">
        <v>704</v>
      </c>
      <c r="B99" s="216" t="s">
        <v>707</v>
      </c>
      <c r="C99" s="216" t="s">
        <v>708</v>
      </c>
      <c r="D99" s="4"/>
    </row>
    <row r="100" spans="1:4" x14ac:dyDescent="0.2">
      <c r="A100" s="216" t="s">
        <v>704</v>
      </c>
      <c r="B100" s="216" t="s">
        <v>709</v>
      </c>
      <c r="C100" s="216" t="s">
        <v>710</v>
      </c>
      <c r="D100" s="4"/>
    </row>
    <row r="101" spans="1:4" x14ac:dyDescent="0.2">
      <c r="A101" s="216" t="s">
        <v>704</v>
      </c>
      <c r="B101" s="216" t="s">
        <v>711</v>
      </c>
      <c r="C101" s="216" t="s">
        <v>712</v>
      </c>
      <c r="D101" s="4"/>
    </row>
    <row r="102" spans="1:4" x14ac:dyDescent="0.2">
      <c r="A102" s="216" t="s">
        <v>704</v>
      </c>
      <c r="B102" s="216" t="s">
        <v>713</v>
      </c>
      <c r="C102" s="216" t="s">
        <v>714</v>
      </c>
      <c r="D102" s="4"/>
    </row>
    <row r="103" spans="1:4" x14ac:dyDescent="0.2">
      <c r="A103" s="216" t="s">
        <v>704</v>
      </c>
      <c r="B103" s="216" t="s">
        <v>715</v>
      </c>
      <c r="C103" s="216" t="s">
        <v>716</v>
      </c>
      <c r="D103" s="4"/>
    </row>
    <row r="104" spans="1:4" x14ac:dyDescent="0.2">
      <c r="A104" s="216" t="s">
        <v>704</v>
      </c>
      <c r="B104" s="216" t="s">
        <v>717</v>
      </c>
      <c r="C104" s="216" t="s">
        <v>718</v>
      </c>
      <c r="D104" s="4"/>
    </row>
    <row r="105" spans="1:4" x14ac:dyDescent="0.2">
      <c r="A105" s="216" t="s">
        <v>704</v>
      </c>
      <c r="B105" s="216" t="s">
        <v>698</v>
      </c>
      <c r="C105" s="216" t="s">
        <v>719</v>
      </c>
      <c r="D105" s="4"/>
    </row>
    <row r="106" spans="1:4" x14ac:dyDescent="0.2">
      <c r="A106" s="216" t="s">
        <v>704</v>
      </c>
      <c r="B106" s="216" t="s">
        <v>700</v>
      </c>
      <c r="C106" s="216" t="s">
        <v>720</v>
      </c>
      <c r="D106" s="4"/>
    </row>
    <row r="107" spans="1:4" x14ac:dyDescent="0.2">
      <c r="A107" s="216" t="s">
        <v>704</v>
      </c>
      <c r="B107" s="216" t="s">
        <v>702</v>
      </c>
      <c r="C107" s="216" t="s">
        <v>628</v>
      </c>
      <c r="D107" s="4"/>
    </row>
    <row r="108" spans="1:4" x14ac:dyDescent="0.2">
      <c r="A108" s="216" t="s">
        <v>704</v>
      </c>
      <c r="B108" s="216" t="s">
        <v>703</v>
      </c>
      <c r="C108" s="216" t="s">
        <v>629</v>
      </c>
      <c r="D108" s="4"/>
    </row>
    <row r="109" spans="1:4" x14ac:dyDescent="0.2">
      <c r="A109" s="216"/>
      <c r="B109" s="216"/>
      <c r="C109" s="216"/>
      <c r="D109" s="4"/>
    </row>
    <row r="110" spans="1:4" x14ac:dyDescent="0.2">
      <c r="A110" s="242" t="s">
        <v>721</v>
      </c>
      <c r="B110" s="242" t="s">
        <v>722</v>
      </c>
      <c r="C110" s="242" t="s">
        <v>723</v>
      </c>
      <c r="D110" s="4"/>
    </row>
    <row r="111" spans="1:4" x14ac:dyDescent="0.2">
      <c r="A111" s="242" t="s">
        <v>721</v>
      </c>
      <c r="B111" s="242" t="s">
        <v>724</v>
      </c>
      <c r="C111" s="242" t="s">
        <v>725</v>
      </c>
      <c r="D111" s="4"/>
    </row>
    <row r="112" spans="1:4" x14ac:dyDescent="0.2">
      <c r="A112" s="242" t="s">
        <v>721</v>
      </c>
      <c r="B112" s="242" t="s">
        <v>726</v>
      </c>
      <c r="C112" s="242" t="s">
        <v>727</v>
      </c>
      <c r="D112" s="4"/>
    </row>
    <row r="113" spans="1:4" x14ac:dyDescent="0.2">
      <c r="A113" s="242" t="s">
        <v>721</v>
      </c>
      <c r="B113" s="242" t="s">
        <v>728</v>
      </c>
      <c r="C113" s="242" t="s">
        <v>729</v>
      </c>
      <c r="D113" s="4"/>
    </row>
    <row r="114" spans="1:4" x14ac:dyDescent="0.2">
      <c r="A114" s="242" t="s">
        <v>721</v>
      </c>
      <c r="B114" s="242" t="s">
        <v>730</v>
      </c>
      <c r="C114" s="242" t="s">
        <v>731</v>
      </c>
      <c r="D114" s="4"/>
    </row>
    <row r="115" spans="1:4" x14ac:dyDescent="0.2">
      <c r="A115" s="242" t="s">
        <v>721</v>
      </c>
      <c r="B115" s="242" t="s">
        <v>732</v>
      </c>
      <c r="C115" s="242" t="s">
        <v>733</v>
      </c>
      <c r="D115" s="4"/>
    </row>
    <row r="116" spans="1:4" x14ac:dyDescent="0.2">
      <c r="A116" s="242" t="s">
        <v>721</v>
      </c>
      <c r="B116" s="242" t="s">
        <v>734</v>
      </c>
      <c r="C116" s="242" t="s">
        <v>735</v>
      </c>
      <c r="D116" s="4"/>
    </row>
    <row r="117" spans="1:4" x14ac:dyDescent="0.2">
      <c r="A117" s="242" t="s">
        <v>721</v>
      </c>
      <c r="B117" s="242" t="s">
        <v>736</v>
      </c>
      <c r="C117" s="242" t="s">
        <v>737</v>
      </c>
      <c r="D117" s="4"/>
    </row>
    <row r="118" spans="1:4" x14ac:dyDescent="0.2">
      <c r="A118" s="242" t="s">
        <v>721</v>
      </c>
      <c r="B118" s="242" t="s">
        <v>738</v>
      </c>
      <c r="C118" s="242" t="s">
        <v>739</v>
      </c>
      <c r="D118" s="4"/>
    </row>
    <row r="119" spans="1:4" x14ac:dyDescent="0.2">
      <c r="A119" s="242" t="s">
        <v>721</v>
      </c>
      <c r="B119" s="242" t="s">
        <v>740</v>
      </c>
      <c r="C119" s="242" t="s">
        <v>741</v>
      </c>
      <c r="D119" s="4"/>
    </row>
    <row r="120" spans="1:4" x14ac:dyDescent="0.2">
      <c r="A120" s="242" t="s">
        <v>721</v>
      </c>
      <c r="B120" s="242" t="s">
        <v>742</v>
      </c>
      <c r="C120" s="242" t="s">
        <v>743</v>
      </c>
      <c r="D120" s="4"/>
    </row>
    <row r="121" spans="1:4" x14ac:dyDescent="0.2">
      <c r="A121" s="242" t="s">
        <v>721</v>
      </c>
      <c r="B121" s="242" t="s">
        <v>744</v>
      </c>
      <c r="C121" s="242" t="s">
        <v>745</v>
      </c>
      <c r="D121" s="4"/>
    </row>
    <row r="122" spans="1:4" x14ac:dyDescent="0.2">
      <c r="A122" s="242" t="s">
        <v>721</v>
      </c>
      <c r="B122" s="242" t="s">
        <v>700</v>
      </c>
      <c r="C122" s="242" t="s">
        <v>720</v>
      </c>
      <c r="D122" s="4"/>
    </row>
    <row r="123" spans="1:4" x14ac:dyDescent="0.2">
      <c r="A123" s="242" t="s">
        <v>721</v>
      </c>
      <c r="B123" s="242" t="s">
        <v>702</v>
      </c>
      <c r="C123" s="242" t="s">
        <v>628</v>
      </c>
      <c r="D123" s="4"/>
    </row>
    <row r="124" spans="1:4" x14ac:dyDescent="0.2">
      <c r="A124" s="242" t="s">
        <v>721</v>
      </c>
      <c r="B124" s="242" t="s">
        <v>703</v>
      </c>
      <c r="C124" s="242" t="s">
        <v>629</v>
      </c>
      <c r="D124" s="4"/>
    </row>
    <row r="125" spans="1:4" x14ac:dyDescent="0.2">
      <c r="A125" s="13"/>
      <c r="B125" s="13"/>
      <c r="C125" s="13"/>
      <c r="D125" s="4"/>
    </row>
    <row r="126" spans="1:4" x14ac:dyDescent="0.2">
      <c r="A126" s="216" t="s">
        <v>746</v>
      </c>
      <c r="B126" s="216">
        <v>1</v>
      </c>
      <c r="C126" s="216" t="s">
        <v>747</v>
      </c>
      <c r="D126" s="4"/>
    </row>
    <row r="127" spans="1:4" x14ac:dyDescent="0.2">
      <c r="A127" s="216" t="s">
        <v>746</v>
      </c>
      <c r="B127" s="216">
        <v>2</v>
      </c>
      <c r="C127" s="216" t="s">
        <v>748</v>
      </c>
      <c r="D127" s="4"/>
    </row>
    <row r="128" spans="1:4" x14ac:dyDescent="0.2">
      <c r="A128" s="216" t="s">
        <v>746</v>
      </c>
      <c r="B128" s="216">
        <v>3</v>
      </c>
      <c r="C128" s="216" t="s">
        <v>749</v>
      </c>
      <c r="D128" s="4"/>
    </row>
    <row r="129" spans="1:4" x14ac:dyDescent="0.2">
      <c r="A129" s="216" t="s">
        <v>746</v>
      </c>
      <c r="B129" s="216">
        <v>4</v>
      </c>
      <c r="C129" s="216" t="s">
        <v>750</v>
      </c>
      <c r="D129" s="4"/>
    </row>
    <row r="130" spans="1:4" x14ac:dyDescent="0.2">
      <c r="A130" s="216" t="s">
        <v>746</v>
      </c>
      <c r="B130" s="216">
        <v>5</v>
      </c>
      <c r="C130" s="216" t="s">
        <v>751</v>
      </c>
      <c r="D130" s="4"/>
    </row>
    <row r="131" spans="1:4" x14ac:dyDescent="0.2">
      <c r="A131" s="216" t="s">
        <v>746</v>
      </c>
      <c r="B131" s="216">
        <v>6</v>
      </c>
      <c r="C131" s="216" t="s">
        <v>752</v>
      </c>
      <c r="D131" s="4"/>
    </row>
    <row r="132" spans="1:4" x14ac:dyDescent="0.2">
      <c r="A132" s="216" t="s">
        <v>746</v>
      </c>
      <c r="B132" s="216">
        <v>7</v>
      </c>
      <c r="C132" s="216" t="s">
        <v>753</v>
      </c>
      <c r="D132" s="4"/>
    </row>
    <row r="133" spans="1:4" x14ac:dyDescent="0.2">
      <c r="A133" s="13"/>
      <c r="B133" s="13"/>
      <c r="C133" s="13"/>
      <c r="D133" s="4"/>
    </row>
    <row r="134" spans="1:4" x14ac:dyDescent="0.2">
      <c r="A134" s="216" t="s">
        <v>754</v>
      </c>
      <c r="B134" s="216">
        <v>1</v>
      </c>
      <c r="C134" s="216" t="s">
        <v>755</v>
      </c>
      <c r="D134" s="4"/>
    </row>
    <row r="135" spans="1:4" x14ac:dyDescent="0.2">
      <c r="A135" s="216" t="s">
        <v>754</v>
      </c>
      <c r="B135" s="216">
        <v>2</v>
      </c>
      <c r="C135" s="216" t="s">
        <v>756</v>
      </c>
      <c r="D135" s="4"/>
    </row>
    <row r="136" spans="1:4" x14ac:dyDescent="0.2">
      <c r="A136" s="216" t="s">
        <v>754</v>
      </c>
      <c r="B136" s="216">
        <v>3</v>
      </c>
      <c r="C136" s="216" t="s">
        <v>757</v>
      </c>
      <c r="D136" s="4"/>
    </row>
    <row r="137" spans="1:4" x14ac:dyDescent="0.2">
      <c r="A137" s="216" t="s">
        <v>754</v>
      </c>
      <c r="B137" s="216">
        <v>4</v>
      </c>
      <c r="C137" s="216" t="s">
        <v>758</v>
      </c>
      <c r="D137" s="4"/>
    </row>
    <row r="138" spans="1:4" x14ac:dyDescent="0.2">
      <c r="A138" s="216" t="s">
        <v>754</v>
      </c>
      <c r="B138" s="216">
        <v>5</v>
      </c>
      <c r="C138" s="216" t="s">
        <v>628</v>
      </c>
      <c r="D138" s="4"/>
    </row>
    <row r="139" spans="1:4" x14ac:dyDescent="0.2">
      <c r="A139" s="216" t="s">
        <v>754</v>
      </c>
      <c r="B139" s="216">
        <v>6</v>
      </c>
      <c r="C139" s="216" t="s">
        <v>629</v>
      </c>
      <c r="D139" s="4"/>
    </row>
    <row r="140" spans="1:4" x14ac:dyDescent="0.2">
      <c r="A140" s="13"/>
      <c r="B140" s="13"/>
      <c r="C140" s="13"/>
      <c r="D140" s="4"/>
    </row>
    <row r="141" spans="1:4" x14ac:dyDescent="0.2">
      <c r="A141" t="s">
        <v>759</v>
      </c>
      <c r="B141">
        <v>1</v>
      </c>
      <c r="C141" t="s">
        <v>760</v>
      </c>
      <c r="D141" s="4"/>
    </row>
    <row r="142" spans="1:4" x14ac:dyDescent="0.2">
      <c r="A142" t="s">
        <v>759</v>
      </c>
      <c r="B142">
        <v>2</v>
      </c>
      <c r="C142" t="s">
        <v>761</v>
      </c>
      <c r="D142" s="4"/>
    </row>
    <row r="143" spans="1:4" x14ac:dyDescent="0.2">
      <c r="A143" t="s">
        <v>759</v>
      </c>
      <c r="B143">
        <v>3</v>
      </c>
      <c r="C143" t="s">
        <v>762</v>
      </c>
      <c r="D143" s="4"/>
    </row>
    <row r="144" spans="1:4" x14ac:dyDescent="0.2">
      <c r="A144" t="s">
        <v>759</v>
      </c>
      <c r="B144">
        <v>4</v>
      </c>
      <c r="C144" t="s">
        <v>763</v>
      </c>
      <c r="D144" s="4"/>
    </row>
    <row r="145" spans="1:4" x14ac:dyDescent="0.2">
      <c r="A145" t="s">
        <v>759</v>
      </c>
      <c r="B145">
        <v>5</v>
      </c>
      <c r="C145" t="s">
        <v>764</v>
      </c>
      <c r="D145" s="4"/>
    </row>
    <row r="146" spans="1:4" x14ac:dyDescent="0.2">
      <c r="A146" t="s">
        <v>759</v>
      </c>
      <c r="B146">
        <v>6</v>
      </c>
      <c r="C146" t="s">
        <v>765</v>
      </c>
      <c r="D146" s="4"/>
    </row>
    <row r="147" spans="1:4" x14ac:dyDescent="0.2">
      <c r="A147" t="s">
        <v>759</v>
      </c>
      <c r="B147">
        <v>7</v>
      </c>
      <c r="C147" t="s">
        <v>766</v>
      </c>
      <c r="D147" s="4"/>
    </row>
    <row r="148" spans="1:4" x14ac:dyDescent="0.2">
      <c r="A148" t="s">
        <v>759</v>
      </c>
      <c r="B148">
        <v>8</v>
      </c>
      <c r="C148" t="s">
        <v>767</v>
      </c>
      <c r="D148" s="4"/>
    </row>
    <row r="149" spans="1:4" x14ac:dyDescent="0.2">
      <c r="A149" t="s">
        <v>759</v>
      </c>
      <c r="B149">
        <v>9</v>
      </c>
      <c r="C149" t="s">
        <v>768</v>
      </c>
      <c r="D149" s="4"/>
    </row>
    <row r="150" spans="1:4" x14ac:dyDescent="0.2">
      <c r="A150" t="s">
        <v>759</v>
      </c>
      <c r="B150">
        <v>10</v>
      </c>
      <c r="C150" t="s">
        <v>769</v>
      </c>
      <c r="D150" s="4"/>
    </row>
    <row r="151" spans="1:4" x14ac:dyDescent="0.2">
      <c r="A151" t="s">
        <v>759</v>
      </c>
      <c r="B151">
        <v>11</v>
      </c>
      <c r="C151" t="s">
        <v>770</v>
      </c>
      <c r="D151" s="4"/>
    </row>
    <row r="152" spans="1:4" x14ac:dyDescent="0.2">
      <c r="A152" t="s">
        <v>759</v>
      </c>
      <c r="B152">
        <v>12</v>
      </c>
      <c r="C152" t="s">
        <v>771</v>
      </c>
      <c r="D152" s="4"/>
    </row>
    <row r="153" spans="1:4" x14ac:dyDescent="0.2">
      <c r="A153" t="s">
        <v>759</v>
      </c>
      <c r="B153">
        <v>13</v>
      </c>
      <c r="C153" t="s">
        <v>772</v>
      </c>
      <c r="D153" s="4"/>
    </row>
    <row r="154" spans="1:4" x14ac:dyDescent="0.2">
      <c r="A154" t="s">
        <v>759</v>
      </c>
      <c r="B154">
        <v>14</v>
      </c>
      <c r="C154" t="s">
        <v>773</v>
      </c>
      <c r="D154" s="4"/>
    </row>
    <row r="155" spans="1:4" x14ac:dyDescent="0.2">
      <c r="A155" t="s">
        <v>759</v>
      </c>
      <c r="B155">
        <v>15</v>
      </c>
      <c r="C155" t="s">
        <v>774</v>
      </c>
      <c r="D155" s="4"/>
    </row>
    <row r="156" spans="1:4" x14ac:dyDescent="0.2">
      <c r="A156" t="s">
        <v>759</v>
      </c>
      <c r="B156">
        <v>16</v>
      </c>
      <c r="C156" t="s">
        <v>775</v>
      </c>
      <c r="D156" s="4"/>
    </row>
    <row r="157" spans="1:4" x14ac:dyDescent="0.2">
      <c r="A157" t="s">
        <v>759</v>
      </c>
      <c r="B157">
        <v>17</v>
      </c>
      <c r="C157" t="s">
        <v>776</v>
      </c>
      <c r="D157" s="4"/>
    </row>
    <row r="158" spans="1:4" x14ac:dyDescent="0.2">
      <c r="A158" t="s">
        <v>759</v>
      </c>
      <c r="B158">
        <v>18</v>
      </c>
      <c r="C158" t="s">
        <v>777</v>
      </c>
      <c r="D158" s="4"/>
    </row>
    <row r="159" spans="1:4" x14ac:dyDescent="0.2">
      <c r="A159" t="s">
        <v>759</v>
      </c>
      <c r="B159">
        <v>19</v>
      </c>
      <c r="C159" t="s">
        <v>778</v>
      </c>
      <c r="D159" s="4"/>
    </row>
    <row r="160" spans="1:4" x14ac:dyDescent="0.2">
      <c r="A160" t="s">
        <v>759</v>
      </c>
      <c r="B160">
        <v>20</v>
      </c>
      <c r="C160" t="s">
        <v>629</v>
      </c>
      <c r="D160" s="4"/>
    </row>
    <row r="161" spans="1:4" x14ac:dyDescent="0.2">
      <c r="D161" s="4"/>
    </row>
    <row r="162" spans="1:4" x14ac:dyDescent="0.2">
      <c r="A162" t="s">
        <v>779</v>
      </c>
      <c r="B162">
        <v>1</v>
      </c>
      <c r="C162" t="s">
        <v>640</v>
      </c>
      <c r="D162" s="4"/>
    </row>
    <row r="163" spans="1:4" x14ac:dyDescent="0.2">
      <c r="A163" t="s">
        <v>779</v>
      </c>
      <c r="B163">
        <v>2</v>
      </c>
      <c r="C163" t="s">
        <v>641</v>
      </c>
      <c r="D163" s="4"/>
    </row>
    <row r="164" spans="1:4" x14ac:dyDescent="0.2">
      <c r="A164" t="s">
        <v>779</v>
      </c>
      <c r="B164">
        <v>3</v>
      </c>
      <c r="C164" t="s">
        <v>780</v>
      </c>
      <c r="D164" s="4"/>
    </row>
    <row r="165" spans="1:4" x14ac:dyDescent="0.2">
      <c r="A165" t="s">
        <v>779</v>
      </c>
      <c r="B165">
        <v>4</v>
      </c>
      <c r="C165" t="s">
        <v>628</v>
      </c>
      <c r="D165" s="4"/>
    </row>
    <row r="166" spans="1:4" x14ac:dyDescent="0.2">
      <c r="A166" t="s">
        <v>779</v>
      </c>
      <c r="B166">
        <v>5</v>
      </c>
      <c r="C166" t="s">
        <v>629</v>
      </c>
      <c r="D166" s="4"/>
    </row>
    <row r="167" spans="1:4" x14ac:dyDescent="0.2">
      <c r="D167" s="4"/>
    </row>
    <row r="168" spans="1:4" x14ac:dyDescent="0.2">
      <c r="A168" t="s">
        <v>781</v>
      </c>
      <c r="B168">
        <v>1</v>
      </c>
      <c r="C168" t="s">
        <v>782</v>
      </c>
      <c r="D168" s="4"/>
    </row>
    <row r="169" spans="1:4" x14ac:dyDescent="0.2">
      <c r="A169" t="s">
        <v>781</v>
      </c>
      <c r="B169">
        <v>2</v>
      </c>
      <c r="C169" t="s">
        <v>783</v>
      </c>
      <c r="D169" s="4"/>
    </row>
    <row r="170" spans="1:4" x14ac:dyDescent="0.2">
      <c r="A170" t="s">
        <v>781</v>
      </c>
      <c r="B170">
        <v>3</v>
      </c>
      <c r="C170" t="s">
        <v>784</v>
      </c>
      <c r="D170" s="4"/>
    </row>
    <row r="171" spans="1:4" x14ac:dyDescent="0.2">
      <c r="A171" t="s">
        <v>781</v>
      </c>
      <c r="B171">
        <v>4</v>
      </c>
      <c r="C171" t="s">
        <v>628</v>
      </c>
      <c r="D171" s="4"/>
    </row>
    <row r="172" spans="1:4" x14ac:dyDescent="0.2">
      <c r="A172" t="s">
        <v>781</v>
      </c>
      <c r="B172">
        <v>5</v>
      </c>
      <c r="C172" t="s">
        <v>629</v>
      </c>
      <c r="D172" s="4"/>
    </row>
    <row r="173" spans="1:4" x14ac:dyDescent="0.2">
      <c r="D173" s="4"/>
    </row>
    <row r="174" spans="1:4" x14ac:dyDescent="0.2">
      <c r="A174" t="s">
        <v>785</v>
      </c>
      <c r="B174">
        <v>1</v>
      </c>
      <c r="C174" t="s">
        <v>786</v>
      </c>
      <c r="D174" s="4"/>
    </row>
    <row r="175" spans="1:4" x14ac:dyDescent="0.2">
      <c r="A175" t="s">
        <v>785</v>
      </c>
      <c r="B175">
        <v>2</v>
      </c>
      <c r="C175" t="s">
        <v>787</v>
      </c>
      <c r="D175" s="4"/>
    </row>
    <row r="176" spans="1:4" x14ac:dyDescent="0.2">
      <c r="A176" t="s">
        <v>785</v>
      </c>
      <c r="B176">
        <v>3</v>
      </c>
      <c r="C176" t="s">
        <v>788</v>
      </c>
      <c r="D176" s="4"/>
    </row>
    <row r="177" spans="1:4" x14ac:dyDescent="0.2">
      <c r="A177" t="s">
        <v>785</v>
      </c>
      <c r="B177">
        <v>4</v>
      </c>
      <c r="C177" t="s">
        <v>789</v>
      </c>
      <c r="D177" s="4"/>
    </row>
    <row r="178" spans="1:4" x14ac:dyDescent="0.2">
      <c r="A178" t="s">
        <v>785</v>
      </c>
      <c r="B178">
        <v>5</v>
      </c>
      <c r="C178" t="s">
        <v>790</v>
      </c>
      <c r="D178" s="4"/>
    </row>
    <row r="179" spans="1:4" x14ac:dyDescent="0.2">
      <c r="A179" t="s">
        <v>785</v>
      </c>
      <c r="B179" s="214">
        <v>6</v>
      </c>
      <c r="C179" t="s">
        <v>628</v>
      </c>
      <c r="D179" s="4"/>
    </row>
    <row r="180" spans="1:4" x14ac:dyDescent="0.2">
      <c r="A180" t="s">
        <v>785</v>
      </c>
      <c r="B180" s="214">
        <v>7</v>
      </c>
      <c r="C180" t="s">
        <v>629</v>
      </c>
      <c r="D180" s="4"/>
    </row>
    <row r="181" spans="1:4" x14ac:dyDescent="0.2">
      <c r="D181" s="4"/>
    </row>
    <row r="182" spans="1:4" s="14" customFormat="1" x14ac:dyDescent="0.2">
      <c r="A182" s="215" t="s">
        <v>791</v>
      </c>
      <c r="B182">
        <v>1</v>
      </c>
      <c r="C182" t="s">
        <v>760</v>
      </c>
      <c r="D182" s="5"/>
    </row>
    <row r="183" spans="1:4" s="14" customFormat="1" x14ac:dyDescent="0.2">
      <c r="A183" s="215" t="s">
        <v>791</v>
      </c>
      <c r="B183">
        <v>2</v>
      </c>
      <c r="C183" t="s">
        <v>761</v>
      </c>
      <c r="D183" s="5"/>
    </row>
    <row r="184" spans="1:4" s="14" customFormat="1" x14ac:dyDescent="0.2">
      <c r="A184" s="215" t="s">
        <v>791</v>
      </c>
      <c r="B184">
        <v>3</v>
      </c>
      <c r="C184" t="s">
        <v>762</v>
      </c>
      <c r="D184" s="5"/>
    </row>
    <row r="185" spans="1:4" s="14" customFormat="1" x14ac:dyDescent="0.2">
      <c r="A185" s="215" t="s">
        <v>791</v>
      </c>
      <c r="B185">
        <v>4</v>
      </c>
      <c r="C185" t="s">
        <v>763</v>
      </c>
      <c r="D185" s="5"/>
    </row>
    <row r="186" spans="1:4" s="14" customFormat="1" x14ac:dyDescent="0.2">
      <c r="A186" s="215" t="s">
        <v>791</v>
      </c>
      <c r="B186">
        <v>5</v>
      </c>
      <c r="C186" t="s">
        <v>764</v>
      </c>
      <c r="D186" s="5"/>
    </row>
    <row r="187" spans="1:4" s="14" customFormat="1" x14ac:dyDescent="0.2">
      <c r="A187" s="215" t="s">
        <v>791</v>
      </c>
      <c r="B187">
        <v>6</v>
      </c>
      <c r="C187" t="s">
        <v>765</v>
      </c>
      <c r="D187" s="5"/>
    </row>
    <row r="188" spans="1:4" s="14" customFormat="1" x14ac:dyDescent="0.2">
      <c r="A188" s="215" t="s">
        <v>791</v>
      </c>
      <c r="B188">
        <v>7</v>
      </c>
      <c r="C188" t="s">
        <v>766</v>
      </c>
      <c r="D188" s="5"/>
    </row>
    <row r="189" spans="1:4" s="14" customFormat="1" x14ac:dyDescent="0.2">
      <c r="A189" s="215" t="s">
        <v>791</v>
      </c>
      <c r="B189">
        <v>8</v>
      </c>
      <c r="C189" t="s">
        <v>767</v>
      </c>
      <c r="D189" s="5"/>
    </row>
    <row r="190" spans="1:4" s="14" customFormat="1" x14ac:dyDescent="0.2">
      <c r="A190" s="215" t="s">
        <v>791</v>
      </c>
      <c r="B190">
        <v>9</v>
      </c>
      <c r="C190" t="s">
        <v>768</v>
      </c>
      <c r="D190" s="5"/>
    </row>
    <row r="191" spans="1:4" s="14" customFormat="1" x14ac:dyDescent="0.2">
      <c r="A191" s="215" t="s">
        <v>791</v>
      </c>
      <c r="B191">
        <v>10</v>
      </c>
      <c r="C191" t="s">
        <v>769</v>
      </c>
      <c r="D191" s="5"/>
    </row>
    <row r="192" spans="1:4" s="14" customFormat="1" x14ac:dyDescent="0.2">
      <c r="A192" s="215" t="s">
        <v>791</v>
      </c>
      <c r="B192">
        <v>11</v>
      </c>
      <c r="C192" t="s">
        <v>770</v>
      </c>
      <c r="D192" s="5"/>
    </row>
    <row r="193" spans="1:4" s="14" customFormat="1" x14ac:dyDescent="0.2">
      <c r="A193" s="215" t="s">
        <v>791</v>
      </c>
      <c r="B193">
        <v>12</v>
      </c>
      <c r="C193" t="s">
        <v>771</v>
      </c>
      <c r="D193" s="5"/>
    </row>
    <row r="194" spans="1:4" s="14" customFormat="1" x14ac:dyDescent="0.2">
      <c r="A194" s="215" t="s">
        <v>791</v>
      </c>
      <c r="B194">
        <v>13</v>
      </c>
      <c r="C194" t="s">
        <v>772</v>
      </c>
      <c r="D194" s="5"/>
    </row>
    <row r="195" spans="1:4" s="14" customFormat="1" x14ac:dyDescent="0.2">
      <c r="A195" s="215" t="s">
        <v>791</v>
      </c>
      <c r="B195">
        <v>14</v>
      </c>
      <c r="C195" t="s">
        <v>773</v>
      </c>
      <c r="D195" s="5"/>
    </row>
    <row r="196" spans="1:4" s="14" customFormat="1" x14ac:dyDescent="0.2">
      <c r="A196" s="215" t="s">
        <v>791</v>
      </c>
      <c r="B196" s="215">
        <v>15</v>
      </c>
      <c r="C196" s="215" t="s">
        <v>774</v>
      </c>
      <c r="D196" s="5"/>
    </row>
    <row r="197" spans="1:4" s="14" customFormat="1" x14ac:dyDescent="0.2">
      <c r="A197" s="215" t="s">
        <v>791</v>
      </c>
      <c r="B197" s="215">
        <v>16</v>
      </c>
      <c r="C197" s="215" t="s">
        <v>775</v>
      </c>
      <c r="D197" s="5"/>
    </row>
    <row r="198" spans="1:4" s="14" customFormat="1" x14ac:dyDescent="0.2">
      <c r="A198" s="215" t="s">
        <v>791</v>
      </c>
      <c r="B198" s="215">
        <v>17</v>
      </c>
      <c r="C198" s="215" t="s">
        <v>776</v>
      </c>
      <c r="D198" s="5"/>
    </row>
    <row r="199" spans="1:4" s="14" customFormat="1" x14ac:dyDescent="0.2">
      <c r="A199" s="215" t="s">
        <v>791</v>
      </c>
      <c r="B199" s="215">
        <v>18</v>
      </c>
      <c r="C199" s="215" t="s">
        <v>792</v>
      </c>
      <c r="D199" s="5"/>
    </row>
    <row r="200" spans="1:4" s="14" customFormat="1" x14ac:dyDescent="0.2">
      <c r="A200" s="215" t="s">
        <v>791</v>
      </c>
      <c r="B200" s="215">
        <v>19</v>
      </c>
      <c r="C200" s="215" t="s">
        <v>793</v>
      </c>
      <c r="D200" s="5"/>
    </row>
    <row r="201" spans="1:4" s="14" customFormat="1" x14ac:dyDescent="0.2">
      <c r="A201" s="215" t="s">
        <v>791</v>
      </c>
      <c r="B201" s="214">
        <v>20</v>
      </c>
      <c r="C201" s="215" t="s">
        <v>628</v>
      </c>
      <c r="D201" s="5"/>
    </row>
    <row r="202" spans="1:4" s="14" customFormat="1" x14ac:dyDescent="0.2">
      <c r="A202" s="215" t="s">
        <v>791</v>
      </c>
      <c r="B202" s="214">
        <v>21</v>
      </c>
      <c r="C202" s="215" t="s">
        <v>629</v>
      </c>
      <c r="D202" s="5"/>
    </row>
    <row r="203" spans="1:4" s="14" customFormat="1" x14ac:dyDescent="0.2">
      <c r="D203" s="5"/>
    </row>
    <row r="204" spans="1:4" s="14" customFormat="1" x14ac:dyDescent="0.2">
      <c r="A204" s="215" t="s">
        <v>794</v>
      </c>
      <c r="B204">
        <v>1</v>
      </c>
      <c r="C204" t="s">
        <v>760</v>
      </c>
      <c r="D204" s="5"/>
    </row>
    <row r="205" spans="1:4" s="14" customFormat="1" x14ac:dyDescent="0.2">
      <c r="A205" s="215" t="s">
        <v>794</v>
      </c>
      <c r="B205">
        <v>2</v>
      </c>
      <c r="C205" t="s">
        <v>761</v>
      </c>
      <c r="D205" s="5"/>
    </row>
    <row r="206" spans="1:4" s="14" customFormat="1" x14ac:dyDescent="0.2">
      <c r="A206" s="215" t="s">
        <v>794</v>
      </c>
      <c r="B206">
        <v>3</v>
      </c>
      <c r="C206" t="s">
        <v>762</v>
      </c>
      <c r="D206" s="5"/>
    </row>
    <row r="207" spans="1:4" s="14" customFormat="1" x14ac:dyDescent="0.2">
      <c r="A207" s="215" t="s">
        <v>794</v>
      </c>
      <c r="B207">
        <v>4</v>
      </c>
      <c r="C207" t="s">
        <v>763</v>
      </c>
      <c r="D207" s="5"/>
    </row>
    <row r="208" spans="1:4" s="14" customFormat="1" x14ac:dyDescent="0.2">
      <c r="A208" s="215" t="s">
        <v>794</v>
      </c>
      <c r="B208">
        <v>5</v>
      </c>
      <c r="C208" t="s">
        <v>764</v>
      </c>
      <c r="D208" s="5"/>
    </row>
    <row r="209" spans="1:4" s="14" customFormat="1" x14ac:dyDescent="0.2">
      <c r="A209" s="215" t="s">
        <v>794</v>
      </c>
      <c r="B209">
        <v>6</v>
      </c>
      <c r="C209" t="s">
        <v>765</v>
      </c>
      <c r="D209" s="5"/>
    </row>
    <row r="210" spans="1:4" s="14" customFormat="1" x14ac:dyDescent="0.2">
      <c r="A210" s="215" t="s">
        <v>794</v>
      </c>
      <c r="B210">
        <v>7</v>
      </c>
      <c r="C210" t="s">
        <v>766</v>
      </c>
      <c r="D210" s="5"/>
    </row>
    <row r="211" spans="1:4" s="14" customFormat="1" x14ac:dyDescent="0.2">
      <c r="A211" s="215" t="s">
        <v>794</v>
      </c>
      <c r="B211">
        <v>8</v>
      </c>
      <c r="C211" t="s">
        <v>767</v>
      </c>
      <c r="D211" s="5"/>
    </row>
    <row r="212" spans="1:4" s="14" customFormat="1" x14ac:dyDescent="0.2">
      <c r="A212" s="215" t="s">
        <v>794</v>
      </c>
      <c r="B212">
        <v>9</v>
      </c>
      <c r="C212" t="s">
        <v>768</v>
      </c>
      <c r="D212" s="5"/>
    </row>
    <row r="213" spans="1:4" s="14" customFormat="1" x14ac:dyDescent="0.2">
      <c r="A213" s="215" t="s">
        <v>794</v>
      </c>
      <c r="B213">
        <v>10</v>
      </c>
      <c r="C213" t="s">
        <v>769</v>
      </c>
      <c r="D213" s="5"/>
    </row>
    <row r="214" spans="1:4" s="14" customFormat="1" x14ac:dyDescent="0.2">
      <c r="A214" s="215" t="s">
        <v>794</v>
      </c>
      <c r="B214">
        <v>11</v>
      </c>
      <c r="C214" t="s">
        <v>770</v>
      </c>
      <c r="D214" s="5"/>
    </row>
    <row r="215" spans="1:4" s="14" customFormat="1" x14ac:dyDescent="0.2">
      <c r="A215" s="215" t="s">
        <v>794</v>
      </c>
      <c r="B215">
        <v>12</v>
      </c>
      <c r="C215" t="s">
        <v>771</v>
      </c>
      <c r="D215" s="5"/>
    </row>
    <row r="216" spans="1:4" s="14" customFormat="1" x14ac:dyDescent="0.2">
      <c r="A216" s="215" t="s">
        <v>794</v>
      </c>
      <c r="B216">
        <v>13</v>
      </c>
      <c r="C216" t="s">
        <v>772</v>
      </c>
      <c r="D216" s="5"/>
    </row>
    <row r="217" spans="1:4" s="14" customFormat="1" x14ac:dyDescent="0.2">
      <c r="A217" s="215" t="s">
        <v>794</v>
      </c>
      <c r="B217">
        <v>14</v>
      </c>
      <c r="C217" t="s">
        <v>773</v>
      </c>
      <c r="D217" s="5"/>
    </row>
    <row r="218" spans="1:4" s="14" customFormat="1" x14ac:dyDescent="0.2">
      <c r="A218" s="215" t="s">
        <v>794</v>
      </c>
      <c r="B218" s="215">
        <v>15</v>
      </c>
      <c r="C218" s="215" t="s">
        <v>774</v>
      </c>
      <c r="D218" s="5"/>
    </row>
    <row r="219" spans="1:4" s="14" customFormat="1" x14ac:dyDescent="0.2">
      <c r="A219" s="215" t="s">
        <v>794</v>
      </c>
      <c r="B219" s="215">
        <v>16</v>
      </c>
      <c r="C219" s="215" t="s">
        <v>775</v>
      </c>
      <c r="D219" s="5"/>
    </row>
    <row r="220" spans="1:4" s="14" customFormat="1" x14ac:dyDescent="0.2">
      <c r="A220" s="215" t="s">
        <v>794</v>
      </c>
      <c r="B220" s="215">
        <v>17</v>
      </c>
      <c r="C220" s="215" t="s">
        <v>776</v>
      </c>
      <c r="D220" s="5"/>
    </row>
    <row r="221" spans="1:4" s="14" customFormat="1" x14ac:dyDescent="0.2">
      <c r="A221" s="215" t="s">
        <v>794</v>
      </c>
      <c r="B221" s="215">
        <v>18</v>
      </c>
      <c r="C221" s="215" t="s">
        <v>795</v>
      </c>
      <c r="D221" s="5"/>
    </row>
    <row r="222" spans="1:4" s="14" customFormat="1" x14ac:dyDescent="0.2">
      <c r="A222" s="215" t="s">
        <v>794</v>
      </c>
      <c r="B222" s="215">
        <v>19</v>
      </c>
      <c r="C222" s="215" t="s">
        <v>796</v>
      </c>
      <c r="D222" s="5"/>
    </row>
    <row r="223" spans="1:4" s="14" customFormat="1" x14ac:dyDescent="0.2">
      <c r="A223" s="215" t="s">
        <v>794</v>
      </c>
      <c r="B223" s="214">
        <v>20</v>
      </c>
      <c r="C223" s="215" t="s">
        <v>628</v>
      </c>
      <c r="D223" s="5"/>
    </row>
    <row r="224" spans="1:4" s="14" customFormat="1" x14ac:dyDescent="0.2">
      <c r="A224" s="215" t="s">
        <v>794</v>
      </c>
      <c r="B224" s="214">
        <v>21</v>
      </c>
      <c r="C224" s="215" t="s">
        <v>629</v>
      </c>
      <c r="D224" s="5"/>
    </row>
    <row r="225" spans="1:4" s="12" customFormat="1" x14ac:dyDescent="0.2">
      <c r="D225" s="8"/>
    </row>
    <row r="226" spans="1:4" x14ac:dyDescent="0.2">
      <c r="A226" t="s">
        <v>230</v>
      </c>
      <c r="B226" t="s">
        <v>797</v>
      </c>
      <c r="C226" t="s">
        <v>798</v>
      </c>
      <c r="D226" s="4"/>
    </row>
    <row r="227" spans="1:4" x14ac:dyDescent="0.2">
      <c r="A227" t="s">
        <v>230</v>
      </c>
      <c r="B227" t="s">
        <v>799</v>
      </c>
      <c r="C227" t="s">
        <v>800</v>
      </c>
      <c r="D227" s="4"/>
    </row>
    <row r="228" spans="1:4" x14ac:dyDescent="0.2">
      <c r="A228" t="s">
        <v>230</v>
      </c>
      <c r="B228" t="s">
        <v>801</v>
      </c>
      <c r="C228" t="s">
        <v>802</v>
      </c>
      <c r="D228" s="4"/>
    </row>
    <row r="229" spans="1:4" x14ac:dyDescent="0.2">
      <c r="A229" t="s">
        <v>230</v>
      </c>
      <c r="B229" t="s">
        <v>803</v>
      </c>
      <c r="C229" t="s">
        <v>804</v>
      </c>
      <c r="D229" s="4"/>
    </row>
    <row r="230" spans="1:4" x14ac:dyDescent="0.2">
      <c r="A230" t="s">
        <v>230</v>
      </c>
      <c r="B230" t="s">
        <v>805</v>
      </c>
      <c r="C230" t="s">
        <v>806</v>
      </c>
      <c r="D230" s="4"/>
    </row>
    <row r="231" spans="1:4" x14ac:dyDescent="0.2">
      <c r="A231" t="s">
        <v>230</v>
      </c>
      <c r="B231" t="s">
        <v>807</v>
      </c>
      <c r="C231" t="s">
        <v>808</v>
      </c>
      <c r="D231" s="4"/>
    </row>
    <row r="232" spans="1:4" x14ac:dyDescent="0.2">
      <c r="A232" t="s">
        <v>230</v>
      </c>
      <c r="B232" t="s">
        <v>809</v>
      </c>
      <c r="C232" t="s">
        <v>810</v>
      </c>
      <c r="D232" s="4"/>
    </row>
    <row r="233" spans="1:4" x14ac:dyDescent="0.2">
      <c r="A233" t="s">
        <v>230</v>
      </c>
      <c r="B233" t="s">
        <v>811</v>
      </c>
      <c r="C233" t="s">
        <v>812</v>
      </c>
      <c r="D233" s="4"/>
    </row>
    <row r="234" spans="1:4" x14ac:dyDescent="0.2">
      <c r="A234" t="s">
        <v>230</v>
      </c>
      <c r="B234" t="s">
        <v>813</v>
      </c>
      <c r="C234" t="s">
        <v>814</v>
      </c>
      <c r="D234" s="4"/>
    </row>
    <row r="235" spans="1:4" x14ac:dyDescent="0.2">
      <c r="A235" t="s">
        <v>230</v>
      </c>
      <c r="B235" t="s">
        <v>815</v>
      </c>
      <c r="C235" t="s">
        <v>816</v>
      </c>
      <c r="D235" s="4"/>
    </row>
    <row r="236" spans="1:4" x14ac:dyDescent="0.2">
      <c r="A236" t="s">
        <v>230</v>
      </c>
      <c r="B236" t="s">
        <v>817</v>
      </c>
      <c r="C236" t="s">
        <v>818</v>
      </c>
      <c r="D236" s="4"/>
    </row>
    <row r="237" spans="1:4" x14ac:dyDescent="0.2">
      <c r="A237" t="s">
        <v>230</v>
      </c>
      <c r="B237" t="s">
        <v>819</v>
      </c>
      <c r="C237" t="s">
        <v>820</v>
      </c>
      <c r="D237" s="4"/>
    </row>
    <row r="238" spans="1:4" x14ac:dyDescent="0.2">
      <c r="A238" t="s">
        <v>230</v>
      </c>
      <c r="B238" t="s">
        <v>821</v>
      </c>
      <c r="C238" t="s">
        <v>822</v>
      </c>
      <c r="D238" s="4"/>
    </row>
    <row r="239" spans="1:4" x14ac:dyDescent="0.2">
      <c r="A239" t="s">
        <v>230</v>
      </c>
      <c r="B239" t="s">
        <v>823</v>
      </c>
      <c r="C239" t="s">
        <v>824</v>
      </c>
      <c r="D239" s="4"/>
    </row>
    <row r="240" spans="1:4" x14ac:dyDescent="0.2">
      <c r="A240" t="s">
        <v>230</v>
      </c>
      <c r="B240" t="s">
        <v>825</v>
      </c>
      <c r="C240" t="s">
        <v>826</v>
      </c>
      <c r="D240" s="4"/>
    </row>
    <row r="241" spans="1:4" x14ac:dyDescent="0.2">
      <c r="A241" t="s">
        <v>230</v>
      </c>
      <c r="B241" t="s">
        <v>827</v>
      </c>
      <c r="C241" t="s">
        <v>828</v>
      </c>
      <c r="D241" s="4"/>
    </row>
    <row r="242" spans="1:4" x14ac:dyDescent="0.2">
      <c r="A242" t="s">
        <v>230</v>
      </c>
      <c r="B242" t="s">
        <v>829</v>
      </c>
      <c r="C242" t="s">
        <v>830</v>
      </c>
      <c r="D242" s="4"/>
    </row>
    <row r="243" spans="1:4" x14ac:dyDescent="0.2">
      <c r="A243" t="s">
        <v>230</v>
      </c>
      <c r="B243" t="s">
        <v>831</v>
      </c>
      <c r="C243" t="s">
        <v>832</v>
      </c>
      <c r="D243" s="4"/>
    </row>
    <row r="244" spans="1:4" x14ac:dyDescent="0.2">
      <c r="A244" t="s">
        <v>230</v>
      </c>
      <c r="B244" t="s">
        <v>833</v>
      </c>
      <c r="C244" t="s">
        <v>834</v>
      </c>
      <c r="D244" s="4"/>
    </row>
    <row r="245" spans="1:4" x14ac:dyDescent="0.2">
      <c r="A245" t="s">
        <v>230</v>
      </c>
      <c r="B245" t="s">
        <v>835</v>
      </c>
      <c r="C245" t="s">
        <v>836</v>
      </c>
      <c r="D245" s="4"/>
    </row>
    <row r="246" spans="1:4" x14ac:dyDescent="0.2">
      <c r="A246" t="s">
        <v>230</v>
      </c>
      <c r="B246" t="s">
        <v>837</v>
      </c>
      <c r="C246" t="s">
        <v>838</v>
      </c>
      <c r="D246" s="4"/>
    </row>
    <row r="247" spans="1:4" x14ac:dyDescent="0.2">
      <c r="A247" t="s">
        <v>230</v>
      </c>
      <c r="B247" t="s">
        <v>839</v>
      </c>
      <c r="C247" t="s">
        <v>840</v>
      </c>
      <c r="D247" s="4"/>
    </row>
    <row r="248" spans="1:4" x14ac:dyDescent="0.2">
      <c r="A248" t="s">
        <v>230</v>
      </c>
      <c r="B248" t="s">
        <v>841</v>
      </c>
      <c r="C248" t="s">
        <v>842</v>
      </c>
      <c r="D248" s="4"/>
    </row>
    <row r="249" spans="1:4" x14ac:dyDescent="0.2">
      <c r="A249" t="s">
        <v>230</v>
      </c>
      <c r="B249" t="s">
        <v>843</v>
      </c>
      <c r="C249" t="s">
        <v>844</v>
      </c>
      <c r="D249" s="4"/>
    </row>
    <row r="250" spans="1:4" x14ac:dyDescent="0.2">
      <c r="A250" t="s">
        <v>230</v>
      </c>
      <c r="B250" t="s">
        <v>845</v>
      </c>
      <c r="C250" t="s">
        <v>846</v>
      </c>
      <c r="D250" s="4"/>
    </row>
    <row r="251" spans="1:4" x14ac:dyDescent="0.2">
      <c r="A251" t="s">
        <v>230</v>
      </c>
      <c r="B251" t="s">
        <v>702</v>
      </c>
      <c r="C251" t="s">
        <v>628</v>
      </c>
      <c r="D251" s="4"/>
    </row>
    <row r="252" spans="1:4" x14ac:dyDescent="0.2">
      <c r="A252" t="s">
        <v>230</v>
      </c>
      <c r="B252" t="s">
        <v>703</v>
      </c>
      <c r="C252" t="s">
        <v>629</v>
      </c>
      <c r="D252" s="4"/>
    </row>
    <row r="253" spans="1:4" x14ac:dyDescent="0.2">
      <c r="D253" s="4"/>
    </row>
    <row r="254" spans="1:4" x14ac:dyDescent="0.2">
      <c r="A254" t="s">
        <v>847</v>
      </c>
      <c r="B254" t="s">
        <v>848</v>
      </c>
      <c r="C254" t="s">
        <v>849</v>
      </c>
      <c r="D254" s="4"/>
    </row>
    <row r="255" spans="1:4" x14ac:dyDescent="0.2">
      <c r="A255" t="s">
        <v>847</v>
      </c>
      <c r="B255" t="s">
        <v>850</v>
      </c>
      <c r="C255" t="s">
        <v>851</v>
      </c>
      <c r="D255" s="4"/>
    </row>
    <row r="256" spans="1:4" x14ac:dyDescent="0.2">
      <c r="A256" t="s">
        <v>847</v>
      </c>
      <c r="B256" t="s">
        <v>852</v>
      </c>
      <c r="C256" t="s">
        <v>853</v>
      </c>
      <c r="D256" s="4"/>
    </row>
    <row r="257" spans="1:4" x14ac:dyDescent="0.2">
      <c r="A257" t="s">
        <v>847</v>
      </c>
      <c r="B257" t="s">
        <v>854</v>
      </c>
      <c r="C257" t="s">
        <v>855</v>
      </c>
      <c r="D257" s="4"/>
    </row>
    <row r="258" spans="1:4" x14ac:dyDescent="0.2">
      <c r="A258" t="s">
        <v>847</v>
      </c>
      <c r="B258" t="s">
        <v>856</v>
      </c>
      <c r="C258" t="s">
        <v>857</v>
      </c>
      <c r="D258" s="4"/>
    </row>
    <row r="259" spans="1:4" x14ac:dyDescent="0.2">
      <c r="A259" t="s">
        <v>847</v>
      </c>
      <c r="B259" t="s">
        <v>858</v>
      </c>
      <c r="C259" t="s">
        <v>859</v>
      </c>
      <c r="D259" s="4"/>
    </row>
    <row r="260" spans="1:4" x14ac:dyDescent="0.2">
      <c r="A260" t="s">
        <v>847</v>
      </c>
      <c r="B260" t="s">
        <v>860</v>
      </c>
      <c r="C260" t="s">
        <v>861</v>
      </c>
      <c r="D260" s="4"/>
    </row>
    <row r="261" spans="1:4" x14ac:dyDescent="0.2">
      <c r="A261" t="s">
        <v>847</v>
      </c>
      <c r="B261" t="s">
        <v>862</v>
      </c>
      <c r="C261" t="s">
        <v>863</v>
      </c>
      <c r="D261" s="4"/>
    </row>
    <row r="262" spans="1:4" x14ac:dyDescent="0.2">
      <c r="A262" t="s">
        <v>847</v>
      </c>
      <c r="B262" t="s">
        <v>698</v>
      </c>
      <c r="C262" t="s">
        <v>864</v>
      </c>
      <c r="D262" s="4"/>
    </row>
    <row r="263" spans="1:4" x14ac:dyDescent="0.2">
      <c r="A263" t="s">
        <v>847</v>
      </c>
      <c r="B263" t="s">
        <v>700</v>
      </c>
      <c r="C263" t="s">
        <v>865</v>
      </c>
      <c r="D263" s="4"/>
    </row>
    <row r="264" spans="1:4" x14ac:dyDescent="0.2">
      <c r="A264" t="s">
        <v>847</v>
      </c>
      <c r="B264" t="s">
        <v>702</v>
      </c>
      <c r="C264" t="s">
        <v>628</v>
      </c>
      <c r="D264" s="4"/>
    </row>
    <row r="265" spans="1:4" x14ac:dyDescent="0.2">
      <c r="A265" t="s">
        <v>847</v>
      </c>
      <c r="B265" t="s">
        <v>703</v>
      </c>
      <c r="C265" t="s">
        <v>629</v>
      </c>
      <c r="D265" s="4"/>
    </row>
    <row r="266" spans="1:4" x14ac:dyDescent="0.2">
      <c r="D266" s="4"/>
    </row>
    <row r="267" spans="1:4" s="13" customFormat="1" x14ac:dyDescent="0.2">
      <c r="A267" s="215" t="s">
        <v>866</v>
      </c>
      <c r="B267" s="215">
        <v>1</v>
      </c>
      <c r="C267" s="215" t="s">
        <v>867</v>
      </c>
      <c r="D267" s="15"/>
    </row>
    <row r="268" spans="1:4" s="13" customFormat="1" x14ac:dyDescent="0.2">
      <c r="A268" s="215" t="s">
        <v>866</v>
      </c>
      <c r="B268" s="215">
        <v>2</v>
      </c>
      <c r="C268" s="215" t="s">
        <v>868</v>
      </c>
      <c r="D268" s="15"/>
    </row>
    <row r="269" spans="1:4" s="13" customFormat="1" x14ac:dyDescent="0.2">
      <c r="A269" s="215" t="s">
        <v>866</v>
      </c>
      <c r="B269" s="215">
        <v>3</v>
      </c>
      <c r="C269" s="215" t="s">
        <v>869</v>
      </c>
      <c r="D269" s="15"/>
    </row>
    <row r="270" spans="1:4" s="13" customFormat="1" x14ac:dyDescent="0.2">
      <c r="A270" s="215" t="s">
        <v>866</v>
      </c>
      <c r="B270" s="215">
        <v>4</v>
      </c>
      <c r="C270" s="215" t="s">
        <v>870</v>
      </c>
      <c r="D270" s="15"/>
    </row>
    <row r="271" spans="1:4" s="13" customFormat="1" x14ac:dyDescent="0.2">
      <c r="A271" s="215" t="s">
        <v>866</v>
      </c>
      <c r="B271" s="215">
        <v>5</v>
      </c>
      <c r="C271" s="217" t="s">
        <v>871</v>
      </c>
      <c r="D271" s="15"/>
    </row>
    <row r="272" spans="1:4" s="13" customFormat="1" x14ac:dyDescent="0.2">
      <c r="D272" s="15"/>
    </row>
    <row r="273" spans="1:4" s="14" customFormat="1" x14ac:dyDescent="0.2">
      <c r="A273" s="215" t="s">
        <v>872</v>
      </c>
      <c r="B273" s="215">
        <v>1</v>
      </c>
      <c r="C273" s="215" t="s">
        <v>873</v>
      </c>
      <c r="D273" s="5"/>
    </row>
    <row r="274" spans="1:4" s="14" customFormat="1" x14ac:dyDescent="0.2">
      <c r="A274" s="215" t="s">
        <v>872</v>
      </c>
      <c r="B274" s="215">
        <v>2</v>
      </c>
      <c r="C274" s="215" t="s">
        <v>874</v>
      </c>
      <c r="D274" s="5"/>
    </row>
    <row r="275" spans="1:4" s="13" customFormat="1" x14ac:dyDescent="0.2">
      <c r="D275" s="15"/>
    </row>
    <row r="276" spans="1:4" s="13" customFormat="1" x14ac:dyDescent="0.2">
      <c r="A276" s="215" t="s">
        <v>875</v>
      </c>
      <c r="B276" s="215">
        <v>1</v>
      </c>
      <c r="C276" s="215" t="s">
        <v>876</v>
      </c>
      <c r="D276" s="15"/>
    </row>
    <row r="277" spans="1:4" s="13" customFormat="1" x14ac:dyDescent="0.2">
      <c r="A277" s="215" t="s">
        <v>875</v>
      </c>
      <c r="B277" s="215">
        <v>2</v>
      </c>
      <c r="C277" s="215" t="s">
        <v>877</v>
      </c>
      <c r="D277" s="15"/>
    </row>
    <row r="278" spans="1:4" s="13" customFormat="1" x14ac:dyDescent="0.2">
      <c r="A278" s="215" t="s">
        <v>875</v>
      </c>
      <c r="B278" s="215">
        <v>3</v>
      </c>
      <c r="C278" s="215" t="s">
        <v>878</v>
      </c>
      <c r="D278" s="15"/>
    </row>
    <row r="279" spans="1:4" s="13" customFormat="1" x14ac:dyDescent="0.2">
      <c r="A279" s="215" t="s">
        <v>875</v>
      </c>
      <c r="B279" s="215">
        <v>4</v>
      </c>
      <c r="C279" s="215" t="s">
        <v>879</v>
      </c>
      <c r="D279" s="15"/>
    </row>
    <row r="280" spans="1:4" s="13" customFormat="1" x14ac:dyDescent="0.2">
      <c r="A280" s="215" t="s">
        <v>875</v>
      </c>
      <c r="B280" s="215">
        <v>5</v>
      </c>
      <c r="C280" s="215" t="s">
        <v>880</v>
      </c>
      <c r="D280" s="15"/>
    </row>
    <row r="281" spans="1:4" s="13" customFormat="1" x14ac:dyDescent="0.2">
      <c r="A281" s="215" t="s">
        <v>875</v>
      </c>
      <c r="B281" s="215">
        <v>6</v>
      </c>
      <c r="C281" s="215" t="s">
        <v>864</v>
      </c>
      <c r="D281" s="15"/>
    </row>
    <row r="282" spans="1:4" s="13" customFormat="1" x14ac:dyDescent="0.2">
      <c r="A282" s="215" t="s">
        <v>875</v>
      </c>
      <c r="B282" s="215">
        <v>7</v>
      </c>
      <c r="C282" s="215" t="s">
        <v>628</v>
      </c>
      <c r="D282" s="15"/>
    </row>
    <row r="283" spans="1:4" s="13" customFormat="1" x14ac:dyDescent="0.2">
      <c r="A283" s="215" t="s">
        <v>875</v>
      </c>
      <c r="B283" s="215">
        <v>8</v>
      </c>
      <c r="C283" s="215" t="s">
        <v>629</v>
      </c>
      <c r="D283" s="15"/>
    </row>
    <row r="284" spans="1:4" x14ac:dyDescent="0.2">
      <c r="D284" s="4"/>
    </row>
    <row r="285" spans="1:4" s="13" customFormat="1" x14ac:dyDescent="0.2">
      <c r="A285" s="216" t="s">
        <v>881</v>
      </c>
      <c r="B285" s="216">
        <v>1</v>
      </c>
      <c r="C285" s="216" t="s">
        <v>882</v>
      </c>
      <c r="D285" s="15"/>
    </row>
    <row r="286" spans="1:4" s="13" customFormat="1" x14ac:dyDescent="0.2">
      <c r="A286" s="216" t="s">
        <v>881</v>
      </c>
      <c r="B286" s="216">
        <v>2</v>
      </c>
      <c r="C286" s="216" t="s">
        <v>883</v>
      </c>
      <c r="D286" s="15"/>
    </row>
    <row r="287" spans="1:4" s="13" customFormat="1" x14ac:dyDescent="0.2">
      <c r="A287" s="216" t="s">
        <v>881</v>
      </c>
      <c r="B287" s="216">
        <v>3</v>
      </c>
      <c r="C287" s="216" t="s">
        <v>884</v>
      </c>
      <c r="D287" s="15"/>
    </row>
    <row r="288" spans="1:4" s="13" customFormat="1" x14ac:dyDescent="0.2">
      <c r="A288" s="216" t="s">
        <v>881</v>
      </c>
      <c r="B288" s="216">
        <v>4</v>
      </c>
      <c r="C288" s="216" t="s">
        <v>885</v>
      </c>
      <c r="D288" s="15"/>
    </row>
    <row r="289" spans="1:4" s="13" customFormat="1" x14ac:dyDescent="0.2">
      <c r="A289" s="216" t="s">
        <v>881</v>
      </c>
      <c r="B289" s="216">
        <v>5</v>
      </c>
      <c r="C289" s="216" t="s">
        <v>886</v>
      </c>
      <c r="D289" s="15"/>
    </row>
    <row r="290" spans="1:4" s="13" customFormat="1" x14ac:dyDescent="0.2">
      <c r="A290" s="216" t="s">
        <v>881</v>
      </c>
      <c r="B290" s="216">
        <v>6</v>
      </c>
      <c r="C290" s="216" t="s">
        <v>628</v>
      </c>
      <c r="D290" s="15"/>
    </row>
    <row r="291" spans="1:4" s="13" customFormat="1" x14ac:dyDescent="0.2">
      <c r="A291" s="216" t="s">
        <v>881</v>
      </c>
      <c r="B291" s="216">
        <v>7</v>
      </c>
      <c r="C291" s="216" t="s">
        <v>629</v>
      </c>
      <c r="D291" s="15"/>
    </row>
    <row r="292" spans="1:4" x14ac:dyDescent="0.2">
      <c r="D292" s="4"/>
    </row>
    <row r="293" spans="1:4" s="13" customFormat="1" x14ac:dyDescent="0.2">
      <c r="A293" s="216" t="s">
        <v>887</v>
      </c>
      <c r="B293" s="216" t="s">
        <v>888</v>
      </c>
      <c r="C293" s="216" t="s">
        <v>889</v>
      </c>
      <c r="D293" s="15"/>
    </row>
    <row r="294" spans="1:4" s="13" customFormat="1" x14ac:dyDescent="0.2">
      <c r="A294" s="216" t="s">
        <v>887</v>
      </c>
      <c r="B294" s="216" t="s">
        <v>890</v>
      </c>
      <c r="C294" s="216" t="s">
        <v>891</v>
      </c>
      <c r="D294" s="15"/>
    </row>
    <row r="295" spans="1:4" s="13" customFormat="1" x14ac:dyDescent="0.2">
      <c r="A295" s="216" t="s">
        <v>887</v>
      </c>
      <c r="B295" s="216" t="s">
        <v>892</v>
      </c>
      <c r="C295" s="216" t="s">
        <v>893</v>
      </c>
      <c r="D295" s="15"/>
    </row>
    <row r="296" spans="1:4" s="13" customFormat="1" x14ac:dyDescent="0.2">
      <c r="A296" s="216" t="s">
        <v>887</v>
      </c>
      <c r="B296" s="216" t="s">
        <v>894</v>
      </c>
      <c r="C296" s="216" t="s">
        <v>895</v>
      </c>
      <c r="D296" s="15"/>
    </row>
    <row r="297" spans="1:4" s="13" customFormat="1" x14ac:dyDescent="0.2">
      <c r="A297" s="216" t="s">
        <v>887</v>
      </c>
      <c r="B297" s="216" t="s">
        <v>896</v>
      </c>
      <c r="C297" s="216" t="s">
        <v>897</v>
      </c>
      <c r="D297" s="15"/>
    </row>
    <row r="298" spans="1:4" s="13" customFormat="1" x14ac:dyDescent="0.2">
      <c r="A298" s="216" t="s">
        <v>887</v>
      </c>
      <c r="B298" s="216" t="s">
        <v>898</v>
      </c>
      <c r="C298" s="216" t="s">
        <v>899</v>
      </c>
      <c r="D298" s="15"/>
    </row>
    <row r="299" spans="1:4" s="13" customFormat="1" x14ac:dyDescent="0.2">
      <c r="A299" s="216" t="s">
        <v>887</v>
      </c>
      <c r="B299" s="216" t="s">
        <v>900</v>
      </c>
      <c r="C299" s="216" t="s">
        <v>901</v>
      </c>
      <c r="D299" s="15"/>
    </row>
    <row r="300" spans="1:4" s="13" customFormat="1" x14ac:dyDescent="0.2">
      <c r="A300" s="216" t="s">
        <v>887</v>
      </c>
      <c r="B300" s="216" t="s">
        <v>698</v>
      </c>
      <c r="C300" s="216" t="s">
        <v>902</v>
      </c>
      <c r="D300" s="15"/>
    </row>
    <row r="301" spans="1:4" s="13" customFormat="1" x14ac:dyDescent="0.2">
      <c r="A301" s="216" t="s">
        <v>887</v>
      </c>
      <c r="B301" s="216" t="s">
        <v>702</v>
      </c>
      <c r="C301" s="216" t="s">
        <v>628</v>
      </c>
      <c r="D301" s="15"/>
    </row>
    <row r="302" spans="1:4" s="13" customFormat="1" x14ac:dyDescent="0.2">
      <c r="A302" s="216" t="s">
        <v>887</v>
      </c>
      <c r="B302" s="216" t="s">
        <v>703</v>
      </c>
      <c r="C302" s="216" t="s">
        <v>629</v>
      </c>
      <c r="D302" s="15"/>
    </row>
    <row r="303" spans="1:4" x14ac:dyDescent="0.2">
      <c r="D303" s="4"/>
    </row>
    <row r="304" spans="1:4" x14ac:dyDescent="0.2">
      <c r="A304" s="216" t="s">
        <v>903</v>
      </c>
      <c r="B304" s="216">
        <v>1</v>
      </c>
      <c r="C304" s="216" t="s">
        <v>904</v>
      </c>
      <c r="D304" s="4"/>
    </row>
    <row r="305" spans="1:4" x14ac:dyDescent="0.2">
      <c r="A305" s="216" t="s">
        <v>903</v>
      </c>
      <c r="B305" s="216">
        <v>2</v>
      </c>
      <c r="C305" s="216" t="s">
        <v>905</v>
      </c>
      <c r="D305" s="4"/>
    </row>
    <row r="306" spans="1:4" x14ac:dyDescent="0.2">
      <c r="A306" s="216" t="s">
        <v>903</v>
      </c>
      <c r="B306" s="216">
        <v>3</v>
      </c>
      <c r="C306" s="216" t="s">
        <v>906</v>
      </c>
      <c r="D306" s="4"/>
    </row>
    <row r="307" spans="1:4" x14ac:dyDescent="0.2">
      <c r="A307" s="216" t="s">
        <v>903</v>
      </c>
      <c r="B307" s="216">
        <v>4</v>
      </c>
      <c r="C307" s="216" t="s">
        <v>907</v>
      </c>
      <c r="D307" s="4"/>
    </row>
    <row r="308" spans="1:4" x14ac:dyDescent="0.2">
      <c r="A308" s="216" t="s">
        <v>903</v>
      </c>
      <c r="B308" s="216">
        <v>5</v>
      </c>
      <c r="C308" s="216" t="s">
        <v>908</v>
      </c>
      <c r="D308" s="4"/>
    </row>
    <row r="309" spans="1:4" x14ac:dyDescent="0.2">
      <c r="A309" s="216" t="s">
        <v>903</v>
      </c>
      <c r="B309" s="216">
        <v>6</v>
      </c>
      <c r="C309" s="216" t="s">
        <v>909</v>
      </c>
      <c r="D309" s="4"/>
    </row>
    <row r="310" spans="1:4" x14ac:dyDescent="0.2">
      <c r="A310" s="216" t="s">
        <v>903</v>
      </c>
      <c r="B310" s="216">
        <v>7</v>
      </c>
      <c r="C310" s="216" t="s">
        <v>910</v>
      </c>
      <c r="D310" s="4"/>
    </row>
    <row r="311" spans="1:4" x14ac:dyDescent="0.2">
      <c r="A311" s="216" t="s">
        <v>903</v>
      </c>
      <c r="B311" s="216">
        <v>8</v>
      </c>
      <c r="C311" s="216" t="s">
        <v>911</v>
      </c>
      <c r="D311" s="4"/>
    </row>
    <row r="312" spans="1:4" x14ac:dyDescent="0.2">
      <c r="A312" s="216" t="s">
        <v>903</v>
      </c>
      <c r="B312" s="216">
        <v>9</v>
      </c>
      <c r="C312" s="216" t="s">
        <v>864</v>
      </c>
      <c r="D312" s="4"/>
    </row>
    <row r="313" spans="1:4" x14ac:dyDescent="0.2">
      <c r="D313" s="4"/>
    </row>
    <row r="314" spans="1:4" x14ac:dyDescent="0.2">
      <c r="A314" s="215" t="s">
        <v>912</v>
      </c>
      <c r="B314" s="215" t="s">
        <v>913</v>
      </c>
      <c r="C314" s="215" t="s">
        <v>914</v>
      </c>
      <c r="D314" s="4"/>
    </row>
    <row r="315" spans="1:4" x14ac:dyDescent="0.2">
      <c r="A315" s="215" t="s">
        <v>912</v>
      </c>
      <c r="B315" s="215" t="s">
        <v>915</v>
      </c>
      <c r="C315" s="215" t="s">
        <v>916</v>
      </c>
      <c r="D315" s="4"/>
    </row>
    <row r="316" spans="1:4" x14ac:dyDescent="0.2">
      <c r="A316" s="215" t="s">
        <v>912</v>
      </c>
      <c r="B316" s="215" t="s">
        <v>917</v>
      </c>
      <c r="C316" s="215" t="s">
        <v>918</v>
      </c>
      <c r="D316" s="4"/>
    </row>
    <row r="317" spans="1:4" x14ac:dyDescent="0.2">
      <c r="A317" s="215" t="s">
        <v>912</v>
      </c>
      <c r="B317" s="215" t="s">
        <v>919</v>
      </c>
      <c r="C317" s="215" t="s">
        <v>920</v>
      </c>
      <c r="D317" s="4"/>
    </row>
    <row r="318" spans="1:4" x14ac:dyDescent="0.2">
      <c r="A318" s="215" t="s">
        <v>912</v>
      </c>
      <c r="B318" s="215" t="s">
        <v>921</v>
      </c>
      <c r="C318" s="215" t="s">
        <v>922</v>
      </c>
      <c r="D318" s="4"/>
    </row>
    <row r="319" spans="1:4" x14ac:dyDescent="0.2">
      <c r="A319" s="215" t="s">
        <v>912</v>
      </c>
      <c r="B319" s="215" t="s">
        <v>923</v>
      </c>
      <c r="C319" s="215" t="s">
        <v>924</v>
      </c>
      <c r="D319" s="4"/>
    </row>
    <row r="320" spans="1:4" x14ac:dyDescent="0.2">
      <c r="A320" s="215" t="s">
        <v>912</v>
      </c>
      <c r="B320" s="215" t="s">
        <v>925</v>
      </c>
      <c r="C320" s="215" t="s">
        <v>926</v>
      </c>
      <c r="D320" s="4"/>
    </row>
    <row r="321" spans="1:4" x14ac:dyDescent="0.2">
      <c r="A321" s="215" t="s">
        <v>912</v>
      </c>
      <c r="B321" s="215" t="s">
        <v>927</v>
      </c>
      <c r="C321" s="215" t="s">
        <v>928</v>
      </c>
      <c r="D321" s="4"/>
    </row>
    <row r="322" spans="1:4" x14ac:dyDescent="0.2">
      <c r="A322" s="215" t="s">
        <v>912</v>
      </c>
      <c r="B322" s="215" t="s">
        <v>929</v>
      </c>
      <c r="C322" s="215" t="s">
        <v>930</v>
      </c>
      <c r="D322" s="4"/>
    </row>
    <row r="323" spans="1:4" x14ac:dyDescent="0.2">
      <c r="A323" s="215" t="s">
        <v>912</v>
      </c>
      <c r="B323" s="215" t="s">
        <v>931</v>
      </c>
      <c r="C323" s="215" t="s">
        <v>932</v>
      </c>
      <c r="D323" s="4"/>
    </row>
    <row r="324" spans="1:4" x14ac:dyDescent="0.2">
      <c r="A324" s="215" t="s">
        <v>912</v>
      </c>
      <c r="B324" s="215" t="s">
        <v>933</v>
      </c>
      <c r="C324" s="215" t="s">
        <v>934</v>
      </c>
      <c r="D324" s="4"/>
    </row>
    <row r="325" spans="1:4" x14ac:dyDescent="0.2">
      <c r="A325" s="215" t="s">
        <v>912</v>
      </c>
      <c r="B325" s="215" t="s">
        <v>935</v>
      </c>
      <c r="C325" s="215" t="s">
        <v>936</v>
      </c>
      <c r="D325" s="4"/>
    </row>
    <row r="326" spans="1:4" x14ac:dyDescent="0.2">
      <c r="A326" s="215" t="s">
        <v>912</v>
      </c>
      <c r="B326" s="215" t="s">
        <v>937</v>
      </c>
      <c r="C326" s="215" t="s">
        <v>938</v>
      </c>
      <c r="D326" s="4"/>
    </row>
    <row r="327" spans="1:4" x14ac:dyDescent="0.2">
      <c r="A327" s="215" t="s">
        <v>912</v>
      </c>
      <c r="B327" s="215" t="s">
        <v>939</v>
      </c>
      <c r="C327" s="215" t="s">
        <v>940</v>
      </c>
      <c r="D327" s="4"/>
    </row>
    <row r="328" spans="1:4" x14ac:dyDescent="0.2">
      <c r="A328" s="215" t="s">
        <v>912</v>
      </c>
      <c r="B328" s="215" t="s">
        <v>941</v>
      </c>
      <c r="C328" s="215" t="s">
        <v>942</v>
      </c>
      <c r="D328" s="4"/>
    </row>
    <row r="329" spans="1:4" x14ac:dyDescent="0.2">
      <c r="A329" s="215" t="s">
        <v>912</v>
      </c>
      <c r="B329" s="215" t="s">
        <v>698</v>
      </c>
      <c r="C329" s="215" t="s">
        <v>902</v>
      </c>
      <c r="D329" s="4"/>
    </row>
    <row r="330" spans="1:4" x14ac:dyDescent="0.2">
      <c r="A330" s="215" t="s">
        <v>912</v>
      </c>
      <c r="B330" s="215" t="s">
        <v>702</v>
      </c>
      <c r="C330" s="215" t="s">
        <v>628</v>
      </c>
      <c r="D330" s="4"/>
    </row>
    <row r="331" spans="1:4" x14ac:dyDescent="0.2">
      <c r="A331" s="215" t="s">
        <v>912</v>
      </c>
      <c r="B331" s="215" t="s">
        <v>703</v>
      </c>
      <c r="C331" s="215" t="s">
        <v>629</v>
      </c>
      <c r="D331" s="4"/>
    </row>
    <row r="332" spans="1:4" x14ac:dyDescent="0.2">
      <c r="D332" s="4"/>
    </row>
    <row r="333" spans="1:4" s="13" customFormat="1" x14ac:dyDescent="0.2">
      <c r="A333" s="216" t="s">
        <v>943</v>
      </c>
      <c r="B333" s="216">
        <v>1</v>
      </c>
      <c r="C333" s="216" t="s">
        <v>944</v>
      </c>
      <c r="D333" s="15"/>
    </row>
    <row r="334" spans="1:4" s="13" customFormat="1" x14ac:dyDescent="0.2">
      <c r="A334" s="216" t="s">
        <v>943</v>
      </c>
      <c r="B334" s="216">
        <v>2</v>
      </c>
      <c r="C334" s="216" t="s">
        <v>945</v>
      </c>
      <c r="D334" s="15"/>
    </row>
    <row r="335" spans="1:4" s="13" customFormat="1" x14ac:dyDescent="0.2">
      <c r="A335" s="216" t="s">
        <v>943</v>
      </c>
      <c r="B335" s="216">
        <v>3</v>
      </c>
      <c r="C335" s="216" t="s">
        <v>946</v>
      </c>
      <c r="D335" s="15"/>
    </row>
    <row r="336" spans="1:4" s="13" customFormat="1" x14ac:dyDescent="0.2">
      <c r="A336" s="216" t="s">
        <v>943</v>
      </c>
      <c r="B336" s="216">
        <v>4</v>
      </c>
      <c r="C336" s="216" t="s">
        <v>947</v>
      </c>
      <c r="D336" s="15"/>
    </row>
    <row r="337" spans="1:5" s="13" customFormat="1" x14ac:dyDescent="0.2">
      <c r="A337" s="216" t="s">
        <v>943</v>
      </c>
      <c r="B337" s="216">
        <v>5</v>
      </c>
      <c r="C337" s="216" t="s">
        <v>948</v>
      </c>
      <c r="D337" s="15"/>
    </row>
    <row r="338" spans="1:5" s="13" customFormat="1" x14ac:dyDescent="0.2">
      <c r="A338" s="216" t="s">
        <v>943</v>
      </c>
      <c r="B338" s="216">
        <v>6</v>
      </c>
      <c r="C338" s="216" t="s">
        <v>949</v>
      </c>
      <c r="D338" s="15"/>
    </row>
    <row r="339" spans="1:5" s="13" customFormat="1" x14ac:dyDescent="0.2">
      <c r="A339" s="216" t="s">
        <v>943</v>
      </c>
      <c r="B339" s="216">
        <v>7</v>
      </c>
      <c r="C339" s="216" t="s">
        <v>628</v>
      </c>
      <c r="D339" s="15"/>
    </row>
    <row r="340" spans="1:5" x14ac:dyDescent="0.2">
      <c r="A340" s="216" t="s">
        <v>943</v>
      </c>
      <c r="B340" s="216">
        <v>8</v>
      </c>
      <c r="C340" s="216" t="s">
        <v>629</v>
      </c>
      <c r="D340" s="15"/>
      <c r="E340" s="13"/>
    </row>
    <row r="341" spans="1:5" x14ac:dyDescent="0.2">
      <c r="D341" s="4"/>
    </row>
    <row r="342" spans="1:5" x14ac:dyDescent="0.2">
      <c r="A342" t="s">
        <v>950</v>
      </c>
      <c r="B342" t="s">
        <v>951</v>
      </c>
      <c r="C342" t="s">
        <v>952</v>
      </c>
      <c r="D342" s="4"/>
    </row>
    <row r="343" spans="1:5" x14ac:dyDescent="0.2">
      <c r="A343" t="s">
        <v>950</v>
      </c>
      <c r="B343" t="s">
        <v>953</v>
      </c>
      <c r="C343" t="s">
        <v>954</v>
      </c>
      <c r="D343" s="4"/>
    </row>
    <row r="344" spans="1:5" x14ac:dyDescent="0.2">
      <c r="A344" t="s">
        <v>950</v>
      </c>
      <c r="B344" t="s">
        <v>955</v>
      </c>
      <c r="C344" t="s">
        <v>956</v>
      </c>
      <c r="D344" s="4"/>
    </row>
    <row r="345" spans="1:5" x14ac:dyDescent="0.2">
      <c r="A345" t="s">
        <v>950</v>
      </c>
      <c r="B345" t="s">
        <v>957</v>
      </c>
      <c r="C345" t="s">
        <v>958</v>
      </c>
      <c r="D345" s="4"/>
    </row>
    <row r="346" spans="1:5" x14ac:dyDescent="0.2">
      <c r="A346" t="s">
        <v>950</v>
      </c>
      <c r="B346" t="s">
        <v>959</v>
      </c>
      <c r="C346" t="s">
        <v>960</v>
      </c>
      <c r="D346" s="4"/>
    </row>
    <row r="347" spans="1:5" x14ac:dyDescent="0.2">
      <c r="A347" t="s">
        <v>950</v>
      </c>
      <c r="B347" t="s">
        <v>961</v>
      </c>
      <c r="C347" t="s">
        <v>962</v>
      </c>
      <c r="D347" s="4"/>
    </row>
    <row r="348" spans="1:5" x14ac:dyDescent="0.2">
      <c r="A348" t="s">
        <v>950</v>
      </c>
      <c r="B348" t="s">
        <v>963</v>
      </c>
      <c r="C348" t="s">
        <v>964</v>
      </c>
      <c r="D348" s="4"/>
    </row>
    <row r="349" spans="1:5" x14ac:dyDescent="0.2">
      <c r="A349" t="s">
        <v>950</v>
      </c>
      <c r="B349" t="s">
        <v>698</v>
      </c>
      <c r="C349" t="s">
        <v>902</v>
      </c>
      <c r="D349" s="4"/>
    </row>
    <row r="350" spans="1:5" x14ac:dyDescent="0.2">
      <c r="A350" t="s">
        <v>950</v>
      </c>
      <c r="B350" t="s">
        <v>702</v>
      </c>
      <c r="C350" t="s">
        <v>628</v>
      </c>
      <c r="D350" s="4"/>
    </row>
    <row r="351" spans="1:5" x14ac:dyDescent="0.2">
      <c r="A351" t="s">
        <v>950</v>
      </c>
      <c r="B351" t="s">
        <v>703</v>
      </c>
      <c r="C351" t="s">
        <v>629</v>
      </c>
      <c r="D351" s="4"/>
    </row>
    <row r="352" spans="1:5" x14ac:dyDescent="0.2">
      <c r="D352" s="4"/>
    </row>
    <row r="353" spans="1:4" x14ac:dyDescent="0.2">
      <c r="A353" t="s">
        <v>327</v>
      </c>
      <c r="B353">
        <v>1</v>
      </c>
      <c r="C353" t="s">
        <v>965</v>
      </c>
      <c r="D353" s="4"/>
    </row>
    <row r="354" spans="1:4" x14ac:dyDescent="0.2">
      <c r="A354" t="s">
        <v>327</v>
      </c>
      <c r="B354">
        <v>2</v>
      </c>
      <c r="C354" t="s">
        <v>966</v>
      </c>
      <c r="D354" s="4"/>
    </row>
    <row r="355" spans="1:4" x14ac:dyDescent="0.2">
      <c r="A355" t="s">
        <v>327</v>
      </c>
      <c r="B355">
        <v>3</v>
      </c>
      <c r="C355" t="s">
        <v>967</v>
      </c>
      <c r="D355" s="4"/>
    </row>
    <row r="356" spans="1:4" x14ac:dyDescent="0.2">
      <c r="A356" t="s">
        <v>327</v>
      </c>
      <c r="B356">
        <v>4</v>
      </c>
      <c r="C356" t="s">
        <v>968</v>
      </c>
      <c r="D356" s="4"/>
    </row>
    <row r="357" spans="1:4" x14ac:dyDescent="0.2">
      <c r="A357" t="s">
        <v>327</v>
      </c>
      <c r="B357">
        <v>5</v>
      </c>
      <c r="C357" t="s">
        <v>969</v>
      </c>
      <c r="D357" s="4"/>
    </row>
    <row r="358" spans="1:4" x14ac:dyDescent="0.2">
      <c r="A358" t="s">
        <v>327</v>
      </c>
      <c r="B358">
        <v>6</v>
      </c>
      <c r="C358" t="s">
        <v>970</v>
      </c>
      <c r="D358" s="4"/>
    </row>
    <row r="359" spans="1:4" x14ac:dyDescent="0.2">
      <c r="A359" t="s">
        <v>327</v>
      </c>
      <c r="B359">
        <v>7</v>
      </c>
      <c r="C359" t="s">
        <v>971</v>
      </c>
      <c r="D359" s="4"/>
    </row>
    <row r="360" spans="1:4" x14ac:dyDescent="0.2">
      <c r="A360" t="s">
        <v>327</v>
      </c>
      <c r="B360">
        <v>8</v>
      </c>
      <c r="C360" t="s">
        <v>972</v>
      </c>
      <c r="D360" s="4"/>
    </row>
    <row r="361" spans="1:4" x14ac:dyDescent="0.2">
      <c r="A361" t="s">
        <v>327</v>
      </c>
      <c r="B361">
        <v>9</v>
      </c>
      <c r="C361" t="s">
        <v>902</v>
      </c>
      <c r="D361" s="4"/>
    </row>
    <row r="362" spans="1:4" x14ac:dyDescent="0.2">
      <c r="A362" t="s">
        <v>327</v>
      </c>
      <c r="B362" s="214">
        <v>10</v>
      </c>
      <c r="C362" t="s">
        <v>628</v>
      </c>
      <c r="D362" s="4"/>
    </row>
    <row r="363" spans="1:4" x14ac:dyDescent="0.2">
      <c r="A363" t="s">
        <v>327</v>
      </c>
      <c r="B363" s="214">
        <v>11</v>
      </c>
      <c r="C363" t="s">
        <v>629</v>
      </c>
      <c r="D363" s="4"/>
    </row>
    <row r="364" spans="1:4" x14ac:dyDescent="0.2">
      <c r="D364" s="4"/>
    </row>
    <row r="365" spans="1:4" x14ac:dyDescent="0.2">
      <c r="A365" t="s">
        <v>973</v>
      </c>
      <c r="B365" t="s">
        <v>974</v>
      </c>
      <c r="C365" t="s">
        <v>975</v>
      </c>
      <c r="D365" s="4"/>
    </row>
    <row r="366" spans="1:4" x14ac:dyDescent="0.2">
      <c r="A366" t="s">
        <v>973</v>
      </c>
      <c r="B366" t="s">
        <v>976</v>
      </c>
      <c r="C366" t="s">
        <v>977</v>
      </c>
      <c r="D366" s="4"/>
    </row>
    <row r="367" spans="1:4" x14ac:dyDescent="0.2">
      <c r="A367" t="s">
        <v>973</v>
      </c>
      <c r="B367" t="s">
        <v>978</v>
      </c>
      <c r="C367" t="s">
        <v>979</v>
      </c>
      <c r="D367" s="4"/>
    </row>
    <row r="368" spans="1:4" x14ac:dyDescent="0.2">
      <c r="A368" t="s">
        <v>973</v>
      </c>
      <c r="B368" t="s">
        <v>980</v>
      </c>
      <c r="C368" t="s">
        <v>981</v>
      </c>
      <c r="D368" s="4"/>
    </row>
    <row r="369" spans="1:4" x14ac:dyDescent="0.2">
      <c r="A369" t="s">
        <v>973</v>
      </c>
      <c r="B369" t="s">
        <v>982</v>
      </c>
      <c r="C369" t="s">
        <v>983</v>
      </c>
      <c r="D369" s="4"/>
    </row>
    <row r="370" spans="1:4" x14ac:dyDescent="0.2">
      <c r="A370" t="s">
        <v>973</v>
      </c>
      <c r="B370" t="s">
        <v>984</v>
      </c>
      <c r="C370" t="s">
        <v>985</v>
      </c>
      <c r="D370" s="4"/>
    </row>
    <row r="371" spans="1:4" x14ac:dyDescent="0.2">
      <c r="A371" t="s">
        <v>973</v>
      </c>
      <c r="B371" t="s">
        <v>986</v>
      </c>
      <c r="C371" t="s">
        <v>987</v>
      </c>
      <c r="D371" s="4"/>
    </row>
    <row r="372" spans="1:4" x14ac:dyDescent="0.2">
      <c r="A372" t="s">
        <v>973</v>
      </c>
      <c r="B372" t="s">
        <v>988</v>
      </c>
      <c r="C372" t="s">
        <v>989</v>
      </c>
      <c r="D372" s="4"/>
    </row>
    <row r="373" spans="1:4" x14ac:dyDescent="0.2">
      <c r="A373" t="s">
        <v>973</v>
      </c>
      <c r="B373" t="s">
        <v>990</v>
      </c>
      <c r="C373" t="s">
        <v>991</v>
      </c>
      <c r="D373" s="4"/>
    </row>
    <row r="374" spans="1:4" x14ac:dyDescent="0.2">
      <c r="A374" t="s">
        <v>973</v>
      </c>
      <c r="B374" t="s">
        <v>992</v>
      </c>
      <c r="C374" t="s">
        <v>993</v>
      </c>
      <c r="D374" s="4"/>
    </row>
    <row r="375" spans="1:4" x14ac:dyDescent="0.2">
      <c r="A375" t="s">
        <v>973</v>
      </c>
      <c r="B375" t="s">
        <v>994</v>
      </c>
      <c r="C375" t="s">
        <v>995</v>
      </c>
      <c r="D375" s="4"/>
    </row>
    <row r="376" spans="1:4" x14ac:dyDescent="0.2">
      <c r="A376" t="s">
        <v>973</v>
      </c>
      <c r="B376" t="s">
        <v>996</v>
      </c>
      <c r="C376" t="s">
        <v>902</v>
      </c>
      <c r="D376" s="4"/>
    </row>
    <row r="377" spans="1:4" x14ac:dyDescent="0.2">
      <c r="A377" t="s">
        <v>973</v>
      </c>
      <c r="B377" t="s">
        <v>997</v>
      </c>
      <c r="C377" t="s">
        <v>628</v>
      </c>
      <c r="D377" s="4"/>
    </row>
    <row r="378" spans="1:4" ht="14.25" customHeight="1" x14ac:dyDescent="0.2">
      <c r="A378" t="s">
        <v>973</v>
      </c>
      <c r="B378" t="s">
        <v>998</v>
      </c>
      <c r="C378" t="s">
        <v>629</v>
      </c>
      <c r="D378" s="4"/>
    </row>
    <row r="379" spans="1:4" ht="14.25" customHeight="1" x14ac:dyDescent="0.2">
      <c r="D379" s="4"/>
    </row>
    <row r="380" spans="1:4" s="13" customFormat="1" ht="14.25" customHeight="1" x14ac:dyDescent="0.2">
      <c r="A380" s="216" t="s">
        <v>999</v>
      </c>
      <c r="B380" s="216" t="s">
        <v>1000</v>
      </c>
      <c r="C380" s="216" t="s">
        <v>1001</v>
      </c>
      <c r="D380" s="15"/>
    </row>
    <row r="381" spans="1:4" s="13" customFormat="1" ht="14.25" customHeight="1" x14ac:dyDescent="0.2">
      <c r="A381" s="216" t="s">
        <v>999</v>
      </c>
      <c r="B381" s="216" t="s">
        <v>1002</v>
      </c>
      <c r="C381" s="216" t="s">
        <v>1003</v>
      </c>
      <c r="D381" s="15"/>
    </row>
    <row r="382" spans="1:4" s="13" customFormat="1" ht="14.25" customHeight="1" x14ac:dyDescent="0.2">
      <c r="A382" s="216" t="s">
        <v>999</v>
      </c>
      <c r="B382" s="216" t="s">
        <v>1004</v>
      </c>
      <c r="C382" s="216" t="s">
        <v>1005</v>
      </c>
      <c r="D382" s="15"/>
    </row>
    <row r="383" spans="1:4" s="13" customFormat="1" ht="14.25" customHeight="1" x14ac:dyDescent="0.2">
      <c r="A383" s="216" t="s">
        <v>999</v>
      </c>
      <c r="B383" s="216" t="s">
        <v>1006</v>
      </c>
      <c r="C383" s="216" t="s">
        <v>1007</v>
      </c>
      <c r="D383" s="15"/>
    </row>
    <row r="384" spans="1:4" s="13" customFormat="1" ht="14.25" customHeight="1" x14ac:dyDescent="0.2">
      <c r="A384" s="216" t="s">
        <v>999</v>
      </c>
      <c r="B384" s="216" t="s">
        <v>1008</v>
      </c>
      <c r="C384" s="216" t="s">
        <v>1009</v>
      </c>
      <c r="D384" s="15"/>
    </row>
    <row r="385" spans="1:4" s="13" customFormat="1" ht="14.25" customHeight="1" x14ac:dyDescent="0.2">
      <c r="A385" s="216" t="s">
        <v>999</v>
      </c>
      <c r="B385" s="216" t="s">
        <v>698</v>
      </c>
      <c r="C385" s="216" t="s">
        <v>1010</v>
      </c>
      <c r="D385" s="15"/>
    </row>
    <row r="386" spans="1:4" s="13" customFormat="1" ht="14.25" customHeight="1" x14ac:dyDescent="0.2">
      <c r="A386" s="216" t="s">
        <v>999</v>
      </c>
      <c r="B386" s="216" t="s">
        <v>702</v>
      </c>
      <c r="C386" s="216" t="s">
        <v>628</v>
      </c>
      <c r="D386" s="15"/>
    </row>
    <row r="387" spans="1:4" s="13" customFormat="1" ht="14.25" customHeight="1" x14ac:dyDescent="0.2">
      <c r="A387" s="216" t="s">
        <v>999</v>
      </c>
      <c r="B387" s="216" t="s">
        <v>703</v>
      </c>
      <c r="C387" s="216" t="s">
        <v>629</v>
      </c>
      <c r="D387" s="15"/>
    </row>
    <row r="388" spans="1:4" ht="14.25" customHeight="1" x14ac:dyDescent="0.2">
      <c r="D388" s="4"/>
    </row>
    <row r="389" spans="1:4" x14ac:dyDescent="0.2">
      <c r="A389" t="s">
        <v>1011</v>
      </c>
      <c r="B389" t="s">
        <v>1012</v>
      </c>
      <c r="C389" t="s">
        <v>1013</v>
      </c>
      <c r="D389" s="4"/>
    </row>
    <row r="390" spans="1:4" x14ac:dyDescent="0.2">
      <c r="A390" t="s">
        <v>1011</v>
      </c>
      <c r="B390" t="s">
        <v>1014</v>
      </c>
      <c r="C390" t="s">
        <v>1015</v>
      </c>
      <c r="D390" s="4"/>
    </row>
    <row r="391" spans="1:4" x14ac:dyDescent="0.2">
      <c r="A391" t="s">
        <v>1011</v>
      </c>
      <c r="B391" t="s">
        <v>1016</v>
      </c>
      <c r="C391" t="s">
        <v>1017</v>
      </c>
      <c r="D391" s="4"/>
    </row>
    <row r="392" spans="1:4" x14ac:dyDescent="0.2">
      <c r="A392" t="s">
        <v>1011</v>
      </c>
      <c r="B392" t="s">
        <v>1018</v>
      </c>
      <c r="C392" t="s">
        <v>1019</v>
      </c>
      <c r="D392" s="4"/>
    </row>
    <row r="393" spans="1:4" x14ac:dyDescent="0.2">
      <c r="A393" t="s">
        <v>1011</v>
      </c>
      <c r="B393" t="s">
        <v>1020</v>
      </c>
      <c r="C393" t="s">
        <v>1021</v>
      </c>
      <c r="D393" s="4"/>
    </row>
    <row r="394" spans="1:4" x14ac:dyDescent="0.2">
      <c r="A394" t="s">
        <v>1011</v>
      </c>
      <c r="B394" t="s">
        <v>1022</v>
      </c>
      <c r="C394" t="s">
        <v>1023</v>
      </c>
      <c r="D394" s="4"/>
    </row>
    <row r="395" spans="1:4" x14ac:dyDescent="0.2">
      <c r="A395" t="s">
        <v>1011</v>
      </c>
      <c r="B395" t="s">
        <v>1024</v>
      </c>
      <c r="C395" t="s">
        <v>1025</v>
      </c>
      <c r="D395" s="4"/>
    </row>
    <row r="396" spans="1:4" x14ac:dyDescent="0.2">
      <c r="A396" t="s">
        <v>1011</v>
      </c>
      <c r="B396" t="s">
        <v>1026</v>
      </c>
      <c r="C396" t="s">
        <v>1027</v>
      </c>
      <c r="D396" s="4"/>
    </row>
    <row r="397" spans="1:4" x14ac:dyDescent="0.2">
      <c r="A397" t="s">
        <v>1011</v>
      </c>
      <c r="B397" t="s">
        <v>941</v>
      </c>
      <c r="C397" t="s">
        <v>942</v>
      </c>
      <c r="D397" s="4"/>
    </row>
    <row r="398" spans="1:4" x14ac:dyDescent="0.2">
      <c r="A398" t="s">
        <v>1011</v>
      </c>
      <c r="B398" t="s">
        <v>929</v>
      </c>
      <c r="C398" t="s">
        <v>930</v>
      </c>
      <c r="D398" s="4"/>
    </row>
    <row r="399" spans="1:4" x14ac:dyDescent="0.2">
      <c r="A399" t="s">
        <v>1011</v>
      </c>
      <c r="B399" t="s">
        <v>698</v>
      </c>
      <c r="C399" t="s">
        <v>902</v>
      </c>
      <c r="D399" s="4"/>
    </row>
    <row r="400" spans="1:4" x14ac:dyDescent="0.2">
      <c r="A400" t="s">
        <v>1011</v>
      </c>
      <c r="B400" t="s">
        <v>702</v>
      </c>
      <c r="C400" t="s">
        <v>628</v>
      </c>
      <c r="D400" s="4"/>
    </row>
    <row r="401" spans="1:4" x14ac:dyDescent="0.2">
      <c r="A401" t="s">
        <v>1011</v>
      </c>
      <c r="B401" t="s">
        <v>703</v>
      </c>
      <c r="C401" t="s">
        <v>629</v>
      </c>
      <c r="D401" s="4"/>
    </row>
    <row r="402" spans="1:4" x14ac:dyDescent="0.2">
      <c r="D402" s="4"/>
    </row>
    <row r="403" spans="1:4" x14ac:dyDescent="0.2">
      <c r="A403" s="216" t="s">
        <v>1028</v>
      </c>
      <c r="B403" s="216">
        <v>1</v>
      </c>
      <c r="C403" s="216" t="s">
        <v>965</v>
      </c>
      <c r="D403" s="4"/>
    </row>
    <row r="404" spans="1:4" x14ac:dyDescent="0.2">
      <c r="A404" s="216" t="s">
        <v>1028</v>
      </c>
      <c r="B404" s="216">
        <v>2</v>
      </c>
      <c r="C404" s="216" t="s">
        <v>966</v>
      </c>
      <c r="D404" s="4"/>
    </row>
    <row r="405" spans="1:4" x14ac:dyDescent="0.2">
      <c r="A405" s="216" t="s">
        <v>1028</v>
      </c>
      <c r="B405" s="216">
        <v>3</v>
      </c>
      <c r="C405" s="216" t="s">
        <v>967</v>
      </c>
      <c r="D405" s="4"/>
    </row>
    <row r="406" spans="1:4" x14ac:dyDescent="0.2">
      <c r="A406" s="216" t="s">
        <v>1028</v>
      </c>
      <c r="B406" s="216">
        <v>4</v>
      </c>
      <c r="C406" s="216" t="s">
        <v>968</v>
      </c>
      <c r="D406" s="4"/>
    </row>
    <row r="407" spans="1:4" x14ac:dyDescent="0.2">
      <c r="A407" s="216" t="s">
        <v>1028</v>
      </c>
      <c r="B407" s="216">
        <v>5</v>
      </c>
      <c r="C407" s="216" t="s">
        <v>969</v>
      </c>
      <c r="D407" s="4"/>
    </row>
    <row r="408" spans="1:4" x14ac:dyDescent="0.2">
      <c r="A408" s="216" t="s">
        <v>1028</v>
      </c>
      <c r="B408" s="216">
        <v>6</v>
      </c>
      <c r="C408" s="216" t="s">
        <v>970</v>
      </c>
      <c r="D408" s="4"/>
    </row>
    <row r="409" spans="1:4" x14ac:dyDescent="0.2">
      <c r="A409" s="216" t="s">
        <v>1028</v>
      </c>
      <c r="B409" s="216">
        <v>7</v>
      </c>
      <c r="C409" s="216" t="s">
        <v>971</v>
      </c>
      <c r="D409" s="4"/>
    </row>
    <row r="410" spans="1:4" x14ac:dyDescent="0.2">
      <c r="A410" s="216" t="s">
        <v>1028</v>
      </c>
      <c r="B410" s="216">
        <v>8</v>
      </c>
      <c r="C410" s="216" t="s">
        <v>972</v>
      </c>
      <c r="D410" s="4"/>
    </row>
    <row r="411" spans="1:4" x14ac:dyDescent="0.2">
      <c r="A411" s="216" t="s">
        <v>1028</v>
      </c>
      <c r="B411" s="216">
        <v>9</v>
      </c>
      <c r="C411" s="216" t="s">
        <v>902</v>
      </c>
      <c r="D411" s="4"/>
    </row>
    <row r="412" spans="1:4" x14ac:dyDescent="0.2">
      <c r="A412" s="216" t="s">
        <v>1028</v>
      </c>
      <c r="B412" s="216">
        <v>666</v>
      </c>
      <c r="C412" s="216" t="s">
        <v>1029</v>
      </c>
      <c r="D412" s="4"/>
    </row>
    <row r="413" spans="1:4" x14ac:dyDescent="0.2">
      <c r="A413" s="216" t="s">
        <v>1028</v>
      </c>
      <c r="B413" s="216">
        <v>10</v>
      </c>
      <c r="C413" s="216" t="s">
        <v>628</v>
      </c>
      <c r="D413" s="4"/>
    </row>
    <row r="414" spans="1:4" x14ac:dyDescent="0.2">
      <c r="A414" s="216" t="s">
        <v>1028</v>
      </c>
      <c r="B414" s="216">
        <v>11</v>
      </c>
      <c r="C414" s="216" t="s">
        <v>629</v>
      </c>
      <c r="D414" s="4"/>
    </row>
    <row r="415" spans="1:4" x14ac:dyDescent="0.2">
      <c r="B415" s="10"/>
      <c r="D415" s="4"/>
    </row>
    <row r="416" spans="1:4" x14ac:dyDescent="0.2">
      <c r="A416" t="s">
        <v>1030</v>
      </c>
      <c r="B416">
        <v>1</v>
      </c>
      <c r="C416" t="s">
        <v>965</v>
      </c>
      <c r="D416" s="4"/>
    </row>
    <row r="417" spans="1:4" x14ac:dyDescent="0.2">
      <c r="A417" t="s">
        <v>1030</v>
      </c>
      <c r="B417">
        <v>2</v>
      </c>
      <c r="C417" t="s">
        <v>966</v>
      </c>
      <c r="D417" s="4"/>
    </row>
    <row r="418" spans="1:4" x14ac:dyDescent="0.2">
      <c r="A418" t="s">
        <v>1030</v>
      </c>
      <c r="B418">
        <v>3</v>
      </c>
      <c r="C418" t="s">
        <v>967</v>
      </c>
      <c r="D418" s="4"/>
    </row>
    <row r="419" spans="1:4" x14ac:dyDescent="0.2">
      <c r="A419" t="s">
        <v>1030</v>
      </c>
      <c r="B419">
        <v>4</v>
      </c>
      <c r="C419" s="215" t="s">
        <v>968</v>
      </c>
      <c r="D419" s="4"/>
    </row>
    <row r="420" spans="1:4" x14ac:dyDescent="0.2">
      <c r="A420" t="s">
        <v>1030</v>
      </c>
      <c r="B420">
        <v>5</v>
      </c>
      <c r="C420" t="s">
        <v>1031</v>
      </c>
      <c r="D420" s="4"/>
    </row>
    <row r="421" spans="1:4" x14ac:dyDescent="0.2">
      <c r="A421" t="s">
        <v>1030</v>
      </c>
      <c r="B421">
        <v>6</v>
      </c>
      <c r="C421" t="s">
        <v>970</v>
      </c>
      <c r="D421" s="4"/>
    </row>
    <row r="422" spans="1:4" x14ac:dyDescent="0.2">
      <c r="A422" t="s">
        <v>1030</v>
      </c>
      <c r="B422">
        <v>7</v>
      </c>
      <c r="C422" t="s">
        <v>1032</v>
      </c>
      <c r="D422" s="4"/>
    </row>
    <row r="423" spans="1:4" x14ac:dyDescent="0.2">
      <c r="A423" t="s">
        <v>1030</v>
      </c>
      <c r="B423">
        <v>8</v>
      </c>
      <c r="C423" t="s">
        <v>972</v>
      </c>
      <c r="D423" s="4"/>
    </row>
    <row r="424" spans="1:4" x14ac:dyDescent="0.2">
      <c r="A424" t="s">
        <v>1030</v>
      </c>
      <c r="B424">
        <v>9</v>
      </c>
      <c r="C424" t="s">
        <v>1033</v>
      </c>
      <c r="D424" s="4"/>
    </row>
    <row r="425" spans="1:4" x14ac:dyDescent="0.2">
      <c r="A425" t="s">
        <v>1030</v>
      </c>
      <c r="B425">
        <v>10</v>
      </c>
      <c r="C425" t="s">
        <v>1034</v>
      </c>
      <c r="D425" s="4"/>
    </row>
    <row r="426" spans="1:4" x14ac:dyDescent="0.2">
      <c r="A426" t="s">
        <v>1030</v>
      </c>
      <c r="B426">
        <v>11</v>
      </c>
      <c r="C426" t="s">
        <v>1035</v>
      </c>
      <c r="D426" s="4"/>
    </row>
    <row r="427" spans="1:4" x14ac:dyDescent="0.2">
      <c r="A427" t="s">
        <v>1030</v>
      </c>
      <c r="B427" s="214">
        <v>12</v>
      </c>
      <c r="C427" t="s">
        <v>628</v>
      </c>
      <c r="D427" s="4"/>
    </row>
    <row r="428" spans="1:4" x14ac:dyDescent="0.2">
      <c r="A428" t="s">
        <v>1030</v>
      </c>
      <c r="B428" s="214">
        <v>13</v>
      </c>
      <c r="C428" t="s">
        <v>629</v>
      </c>
      <c r="D428" s="4"/>
    </row>
    <row r="429" spans="1:4" x14ac:dyDescent="0.2">
      <c r="D429" s="4"/>
    </row>
    <row r="430" spans="1:4" ht="16.25" customHeight="1" x14ac:dyDescent="0.2">
      <c r="A430" t="s">
        <v>1036</v>
      </c>
      <c r="B430" t="s">
        <v>951</v>
      </c>
      <c r="C430" t="s">
        <v>952</v>
      </c>
      <c r="D430" s="4"/>
    </row>
    <row r="431" spans="1:4" ht="16.25" customHeight="1" x14ac:dyDescent="0.2">
      <c r="A431" t="s">
        <v>1036</v>
      </c>
      <c r="B431" t="s">
        <v>953</v>
      </c>
      <c r="C431" t="s">
        <v>1037</v>
      </c>
      <c r="D431" s="4"/>
    </row>
    <row r="432" spans="1:4" ht="16.25" customHeight="1" x14ac:dyDescent="0.2">
      <c r="A432" t="s">
        <v>1036</v>
      </c>
      <c r="B432" t="s">
        <v>955</v>
      </c>
      <c r="C432" t="s">
        <v>1038</v>
      </c>
      <c r="D432" s="4"/>
    </row>
    <row r="433" spans="1:4" ht="16.25" customHeight="1" x14ac:dyDescent="0.2">
      <c r="A433" t="s">
        <v>1036</v>
      </c>
      <c r="B433" t="s">
        <v>957</v>
      </c>
      <c r="C433" t="s">
        <v>958</v>
      </c>
      <c r="D433" s="4"/>
    </row>
    <row r="434" spans="1:4" ht="16.25" customHeight="1" x14ac:dyDescent="0.2">
      <c r="A434" t="s">
        <v>1036</v>
      </c>
      <c r="B434" t="s">
        <v>959</v>
      </c>
      <c r="C434" t="s">
        <v>960</v>
      </c>
      <c r="D434" s="4"/>
    </row>
    <row r="435" spans="1:4" ht="16.25" customHeight="1" x14ac:dyDescent="0.2">
      <c r="A435" t="s">
        <v>1036</v>
      </c>
      <c r="B435" t="s">
        <v>1039</v>
      </c>
      <c r="C435" t="s">
        <v>1040</v>
      </c>
      <c r="D435" s="4"/>
    </row>
    <row r="436" spans="1:4" ht="16.25" customHeight="1" x14ac:dyDescent="0.2">
      <c r="A436" t="s">
        <v>1036</v>
      </c>
      <c r="B436" t="s">
        <v>961</v>
      </c>
      <c r="C436" t="s">
        <v>1041</v>
      </c>
      <c r="D436" s="4"/>
    </row>
    <row r="437" spans="1:4" ht="16.25" customHeight="1" x14ac:dyDescent="0.2">
      <c r="A437" t="s">
        <v>1036</v>
      </c>
      <c r="B437" t="s">
        <v>963</v>
      </c>
      <c r="C437" t="s">
        <v>964</v>
      </c>
      <c r="D437" s="4"/>
    </row>
    <row r="438" spans="1:4" ht="16.25" customHeight="1" x14ac:dyDescent="0.2">
      <c r="A438" t="s">
        <v>1036</v>
      </c>
      <c r="B438" t="s">
        <v>698</v>
      </c>
      <c r="C438" t="s">
        <v>902</v>
      </c>
      <c r="D438" s="4"/>
    </row>
    <row r="439" spans="1:4" ht="16.25" customHeight="1" x14ac:dyDescent="0.2">
      <c r="A439" t="s">
        <v>1036</v>
      </c>
      <c r="B439" t="s">
        <v>702</v>
      </c>
      <c r="C439" t="s">
        <v>628</v>
      </c>
      <c r="D439" s="4"/>
    </row>
    <row r="440" spans="1:4" ht="16.25" customHeight="1" x14ac:dyDescent="0.2">
      <c r="A440" t="s">
        <v>1036</v>
      </c>
      <c r="B440" t="s">
        <v>703</v>
      </c>
      <c r="C440" t="s">
        <v>629</v>
      </c>
      <c r="D440" s="4"/>
    </row>
    <row r="441" spans="1:4" ht="16.25" customHeight="1" x14ac:dyDescent="0.2">
      <c r="D441" s="4"/>
    </row>
    <row r="442" spans="1:4" x14ac:dyDescent="0.2">
      <c r="A442" t="s">
        <v>1042</v>
      </c>
      <c r="B442" t="s">
        <v>1043</v>
      </c>
      <c r="C442" t="s">
        <v>1044</v>
      </c>
      <c r="D442" s="4"/>
    </row>
    <row r="443" spans="1:4" x14ac:dyDescent="0.2">
      <c r="A443" t="s">
        <v>1042</v>
      </c>
      <c r="B443" t="s">
        <v>1045</v>
      </c>
      <c r="C443" t="s">
        <v>1046</v>
      </c>
      <c r="D443" s="4"/>
    </row>
    <row r="444" spans="1:4" x14ac:dyDescent="0.2">
      <c r="A444" t="s">
        <v>1042</v>
      </c>
      <c r="B444" t="s">
        <v>1047</v>
      </c>
      <c r="C444" t="s">
        <v>1048</v>
      </c>
      <c r="D444" s="4"/>
    </row>
    <row r="445" spans="1:4" x14ac:dyDescent="0.2">
      <c r="A445" t="s">
        <v>1042</v>
      </c>
      <c r="B445" t="s">
        <v>1049</v>
      </c>
      <c r="C445" t="s">
        <v>1050</v>
      </c>
      <c r="D445" s="4"/>
    </row>
    <row r="446" spans="1:4" x14ac:dyDescent="0.2">
      <c r="A446" t="s">
        <v>1042</v>
      </c>
      <c r="B446" t="s">
        <v>702</v>
      </c>
      <c r="C446" t="s">
        <v>628</v>
      </c>
      <c r="D446" s="4"/>
    </row>
    <row r="447" spans="1:4" x14ac:dyDescent="0.2">
      <c r="A447" t="s">
        <v>1042</v>
      </c>
      <c r="B447" t="s">
        <v>703</v>
      </c>
      <c r="C447" t="s">
        <v>629</v>
      </c>
      <c r="D447" s="4"/>
    </row>
    <row r="448" spans="1:4" x14ac:dyDescent="0.2">
      <c r="D448" s="4"/>
    </row>
    <row r="449" spans="1:4" x14ac:dyDescent="0.2">
      <c r="A449" t="s">
        <v>1051</v>
      </c>
      <c r="B449" t="s">
        <v>1052</v>
      </c>
      <c r="C449" t="s">
        <v>1053</v>
      </c>
      <c r="D449" s="4"/>
    </row>
    <row r="450" spans="1:4" x14ac:dyDescent="0.2">
      <c r="A450" t="s">
        <v>1051</v>
      </c>
      <c r="B450" t="s">
        <v>1054</v>
      </c>
      <c r="C450" t="s">
        <v>1055</v>
      </c>
      <c r="D450" s="4"/>
    </row>
    <row r="451" spans="1:4" x14ac:dyDescent="0.2">
      <c r="A451" t="s">
        <v>1051</v>
      </c>
      <c r="B451" t="s">
        <v>1056</v>
      </c>
      <c r="C451" t="s">
        <v>1057</v>
      </c>
      <c r="D451" s="4"/>
    </row>
    <row r="452" spans="1:4" x14ac:dyDescent="0.2">
      <c r="A452" t="s">
        <v>1051</v>
      </c>
      <c r="B452" t="s">
        <v>1058</v>
      </c>
      <c r="C452" t="s">
        <v>1059</v>
      </c>
      <c r="D452" s="4"/>
    </row>
    <row r="453" spans="1:4" x14ac:dyDescent="0.2">
      <c r="A453" t="s">
        <v>1051</v>
      </c>
      <c r="B453" t="s">
        <v>1060</v>
      </c>
      <c r="C453" t="s">
        <v>1061</v>
      </c>
      <c r="D453" s="4"/>
    </row>
    <row r="454" spans="1:4" x14ac:dyDescent="0.2">
      <c r="A454" t="s">
        <v>1051</v>
      </c>
      <c r="B454" t="s">
        <v>1062</v>
      </c>
      <c r="C454" t="s">
        <v>1063</v>
      </c>
      <c r="D454" s="4"/>
    </row>
    <row r="455" spans="1:4" x14ac:dyDescent="0.2">
      <c r="A455" t="s">
        <v>1051</v>
      </c>
      <c r="B455" t="s">
        <v>1064</v>
      </c>
      <c r="C455" t="s">
        <v>1065</v>
      </c>
      <c r="D455" s="4"/>
    </row>
    <row r="456" spans="1:4" x14ac:dyDescent="0.2">
      <c r="A456" t="s">
        <v>1051</v>
      </c>
      <c r="B456" t="s">
        <v>1066</v>
      </c>
      <c r="C456" t="s">
        <v>1067</v>
      </c>
      <c r="D456" s="4"/>
    </row>
    <row r="457" spans="1:4" x14ac:dyDescent="0.2">
      <c r="A457" t="s">
        <v>1051</v>
      </c>
      <c r="B457" t="s">
        <v>698</v>
      </c>
      <c r="C457" t="s">
        <v>864</v>
      </c>
      <c r="D457" s="4"/>
    </row>
    <row r="458" spans="1:4" x14ac:dyDescent="0.2">
      <c r="A458" t="s">
        <v>1051</v>
      </c>
      <c r="B458" t="s">
        <v>702</v>
      </c>
      <c r="C458" t="s">
        <v>628</v>
      </c>
      <c r="D458" s="4"/>
    </row>
    <row r="459" spans="1:4" x14ac:dyDescent="0.2">
      <c r="A459" t="s">
        <v>1051</v>
      </c>
      <c r="B459" t="s">
        <v>703</v>
      </c>
      <c r="C459" t="s">
        <v>629</v>
      </c>
      <c r="D459" s="4"/>
    </row>
    <row r="460" spans="1:4" x14ac:dyDescent="0.2">
      <c r="D460" s="4"/>
    </row>
    <row r="461" spans="1:4" s="13" customFormat="1" x14ac:dyDescent="0.2">
      <c r="A461" s="216" t="s">
        <v>1068</v>
      </c>
      <c r="B461" s="216" t="s">
        <v>1069</v>
      </c>
      <c r="C461" s="216" t="s">
        <v>1070</v>
      </c>
      <c r="D461" s="15"/>
    </row>
    <row r="462" spans="1:4" s="13" customFormat="1" x14ac:dyDescent="0.2">
      <c r="A462" s="216" t="s">
        <v>1068</v>
      </c>
      <c r="B462" s="216" t="s">
        <v>1071</v>
      </c>
      <c r="C462" s="216" t="s">
        <v>1072</v>
      </c>
      <c r="D462" s="15"/>
    </row>
    <row r="463" spans="1:4" s="13" customFormat="1" x14ac:dyDescent="0.2">
      <c r="A463" s="216" t="s">
        <v>1068</v>
      </c>
      <c r="B463" s="216" t="s">
        <v>1073</v>
      </c>
      <c r="C463" s="216" t="s">
        <v>1074</v>
      </c>
      <c r="D463" s="15"/>
    </row>
    <row r="464" spans="1:4" s="13" customFormat="1" x14ac:dyDescent="0.2">
      <c r="A464" s="216" t="s">
        <v>1068</v>
      </c>
      <c r="B464" s="216" t="s">
        <v>1075</v>
      </c>
      <c r="C464" s="216" t="s">
        <v>1076</v>
      </c>
      <c r="D464" s="15"/>
    </row>
    <row r="465" spans="1:5" s="13" customFormat="1" x14ac:dyDescent="0.2">
      <c r="A465" s="216" t="s">
        <v>1068</v>
      </c>
      <c r="B465" s="216" t="s">
        <v>1058</v>
      </c>
      <c r="C465" s="216" t="s">
        <v>1077</v>
      </c>
      <c r="D465" s="15"/>
    </row>
    <row r="466" spans="1:5" s="13" customFormat="1" x14ac:dyDescent="0.2">
      <c r="A466" s="216" t="s">
        <v>1068</v>
      </c>
      <c r="B466" s="216" t="s">
        <v>1078</v>
      </c>
      <c r="C466" s="216" t="s">
        <v>1079</v>
      </c>
      <c r="D466" s="15"/>
    </row>
    <row r="467" spans="1:5" s="13" customFormat="1" x14ac:dyDescent="0.2">
      <c r="A467" s="216" t="s">
        <v>1068</v>
      </c>
      <c r="B467" s="216" t="s">
        <v>1062</v>
      </c>
      <c r="C467" s="216" t="s">
        <v>1080</v>
      </c>
      <c r="D467" s="15"/>
    </row>
    <row r="468" spans="1:5" s="13" customFormat="1" x14ac:dyDescent="0.2">
      <c r="A468" s="216" t="s">
        <v>1068</v>
      </c>
      <c r="B468" s="216" t="s">
        <v>698</v>
      </c>
      <c r="C468" s="216" t="s">
        <v>864</v>
      </c>
      <c r="D468" s="15"/>
    </row>
    <row r="469" spans="1:5" s="13" customFormat="1" x14ac:dyDescent="0.2">
      <c r="A469" s="216" t="s">
        <v>1068</v>
      </c>
      <c r="B469" s="216" t="s">
        <v>702</v>
      </c>
      <c r="C469" s="216" t="s">
        <v>628</v>
      </c>
      <c r="D469" s="15"/>
    </row>
    <row r="470" spans="1:5" s="13" customFormat="1" x14ac:dyDescent="0.2">
      <c r="A470" s="216" t="s">
        <v>1068</v>
      </c>
      <c r="B470" s="216" t="s">
        <v>703</v>
      </c>
      <c r="C470" s="216" t="s">
        <v>629</v>
      </c>
      <c r="D470" s="15"/>
    </row>
    <row r="471" spans="1:5" s="13" customFormat="1" x14ac:dyDescent="0.2">
      <c r="D471" s="15"/>
    </row>
    <row r="472" spans="1:5" x14ac:dyDescent="0.2">
      <c r="A472" t="s">
        <v>1081</v>
      </c>
      <c r="B472">
        <v>1</v>
      </c>
      <c r="C472" t="s">
        <v>1082</v>
      </c>
      <c r="D472" s="4"/>
    </row>
    <row r="473" spans="1:5" x14ac:dyDescent="0.2">
      <c r="A473" t="s">
        <v>1081</v>
      </c>
      <c r="B473">
        <v>2</v>
      </c>
      <c r="C473" t="s">
        <v>1083</v>
      </c>
      <c r="D473" s="4"/>
    </row>
    <row r="474" spans="1:5" x14ac:dyDescent="0.2">
      <c r="A474" t="s">
        <v>1081</v>
      </c>
      <c r="B474">
        <v>3</v>
      </c>
      <c r="C474" t="s">
        <v>1084</v>
      </c>
      <c r="D474" s="4"/>
    </row>
    <row r="475" spans="1:5" x14ac:dyDescent="0.2">
      <c r="A475" t="s">
        <v>1081</v>
      </c>
      <c r="B475">
        <v>4</v>
      </c>
      <c r="C475" t="s">
        <v>1085</v>
      </c>
      <c r="D475" s="4"/>
    </row>
    <row r="476" spans="1:5" x14ac:dyDescent="0.2">
      <c r="A476" t="s">
        <v>1081</v>
      </c>
      <c r="B476">
        <v>5</v>
      </c>
      <c r="C476" t="s">
        <v>864</v>
      </c>
      <c r="D476" s="4"/>
    </row>
    <row r="477" spans="1:5" x14ac:dyDescent="0.2">
      <c r="A477" t="s">
        <v>1081</v>
      </c>
      <c r="B477" s="214">
        <v>6</v>
      </c>
      <c r="C477" t="s">
        <v>628</v>
      </c>
      <c r="D477" s="4"/>
    </row>
    <row r="478" spans="1:5" x14ac:dyDescent="0.2">
      <c r="A478" t="s">
        <v>1081</v>
      </c>
      <c r="B478" s="214">
        <v>7</v>
      </c>
      <c r="C478" t="s">
        <v>629</v>
      </c>
      <c r="D478" s="4"/>
    </row>
    <row r="479" spans="1:5" x14ac:dyDescent="0.2">
      <c r="D479" s="4"/>
    </row>
    <row r="480" spans="1:5" x14ac:dyDescent="0.2">
      <c r="A480" t="s">
        <v>1086</v>
      </c>
      <c r="B480" t="s">
        <v>951</v>
      </c>
      <c r="C480" t="s">
        <v>952</v>
      </c>
      <c r="D480" s="4"/>
      <c r="E480" s="13"/>
    </row>
    <row r="481" spans="1:5" x14ac:dyDescent="0.2">
      <c r="A481" t="s">
        <v>1086</v>
      </c>
      <c r="B481" t="s">
        <v>953</v>
      </c>
      <c r="C481" t="s">
        <v>1087</v>
      </c>
      <c r="D481" s="4"/>
      <c r="E481" s="13"/>
    </row>
    <row r="482" spans="1:5" x14ac:dyDescent="0.2">
      <c r="A482" t="s">
        <v>1086</v>
      </c>
      <c r="B482" t="s">
        <v>955</v>
      </c>
      <c r="C482" t="s">
        <v>1088</v>
      </c>
      <c r="D482" s="4"/>
      <c r="E482" s="13"/>
    </row>
    <row r="483" spans="1:5" x14ac:dyDescent="0.2">
      <c r="A483" t="s">
        <v>1086</v>
      </c>
      <c r="B483" t="s">
        <v>957</v>
      </c>
      <c r="C483" t="s">
        <v>1089</v>
      </c>
      <c r="D483" s="4"/>
      <c r="E483" s="13"/>
    </row>
    <row r="484" spans="1:5" x14ac:dyDescent="0.2">
      <c r="A484" t="s">
        <v>1086</v>
      </c>
      <c r="B484" t="s">
        <v>1090</v>
      </c>
      <c r="C484" t="s">
        <v>960</v>
      </c>
      <c r="D484" s="4"/>
      <c r="E484" s="13"/>
    </row>
    <row r="485" spans="1:5" x14ac:dyDescent="0.2">
      <c r="A485" t="s">
        <v>1086</v>
      </c>
      <c r="B485" t="s">
        <v>961</v>
      </c>
      <c r="C485" t="s">
        <v>1091</v>
      </c>
      <c r="D485" s="4"/>
      <c r="E485" s="13"/>
    </row>
    <row r="486" spans="1:5" x14ac:dyDescent="0.2">
      <c r="A486" t="s">
        <v>1086</v>
      </c>
      <c r="B486" t="s">
        <v>963</v>
      </c>
      <c r="C486" t="s">
        <v>1092</v>
      </c>
      <c r="D486" s="4"/>
      <c r="E486" s="13"/>
    </row>
    <row r="487" spans="1:5" x14ac:dyDescent="0.2">
      <c r="A487" t="s">
        <v>1086</v>
      </c>
      <c r="B487" t="s">
        <v>698</v>
      </c>
      <c r="C487" t="s">
        <v>902</v>
      </c>
      <c r="D487" s="4"/>
    </row>
    <row r="488" spans="1:5" x14ac:dyDescent="0.2">
      <c r="A488" t="s">
        <v>1086</v>
      </c>
      <c r="B488" t="s">
        <v>702</v>
      </c>
      <c r="C488" t="s">
        <v>628</v>
      </c>
      <c r="D488" s="4"/>
    </row>
    <row r="489" spans="1:5" ht="16.25" customHeight="1" x14ac:dyDescent="0.2">
      <c r="A489" t="s">
        <v>1086</v>
      </c>
      <c r="B489" t="s">
        <v>703</v>
      </c>
      <c r="C489" t="s">
        <v>629</v>
      </c>
      <c r="D489" s="4"/>
    </row>
    <row r="490" spans="1:5" ht="16.25" customHeight="1" x14ac:dyDescent="0.2">
      <c r="D490" s="4"/>
    </row>
    <row r="491" spans="1:5" x14ac:dyDescent="0.2">
      <c r="A491" t="s">
        <v>1093</v>
      </c>
      <c r="B491">
        <v>1</v>
      </c>
      <c r="C491" t="s">
        <v>1094</v>
      </c>
      <c r="D491" s="4"/>
    </row>
    <row r="492" spans="1:5" x14ac:dyDescent="0.2">
      <c r="A492" t="s">
        <v>1093</v>
      </c>
      <c r="B492">
        <v>2</v>
      </c>
      <c r="C492" t="s">
        <v>1095</v>
      </c>
      <c r="D492" s="4"/>
    </row>
    <row r="493" spans="1:5" x14ac:dyDescent="0.2">
      <c r="A493" t="s">
        <v>1093</v>
      </c>
      <c r="B493">
        <v>3</v>
      </c>
      <c r="C493" t="s">
        <v>1096</v>
      </c>
      <c r="D493" s="4"/>
    </row>
    <row r="494" spans="1:5" x14ac:dyDescent="0.2">
      <c r="A494" t="s">
        <v>1093</v>
      </c>
      <c r="B494">
        <v>4</v>
      </c>
      <c r="C494" t="s">
        <v>1097</v>
      </c>
      <c r="D494" s="4"/>
    </row>
    <row r="495" spans="1:5" x14ac:dyDescent="0.2">
      <c r="A495" t="s">
        <v>1093</v>
      </c>
      <c r="B495" s="214">
        <v>5</v>
      </c>
      <c r="C495" t="s">
        <v>629</v>
      </c>
      <c r="D495" s="4"/>
    </row>
    <row r="496" spans="1:5" x14ac:dyDescent="0.2">
      <c r="D496" s="4"/>
    </row>
    <row r="497" spans="1:4" x14ac:dyDescent="0.2">
      <c r="A497" t="s">
        <v>1098</v>
      </c>
      <c r="B497">
        <v>1</v>
      </c>
      <c r="C497" t="s">
        <v>632</v>
      </c>
      <c r="D497" s="4"/>
    </row>
    <row r="498" spans="1:4" x14ac:dyDescent="0.2">
      <c r="A498" t="s">
        <v>1098</v>
      </c>
      <c r="B498">
        <v>2</v>
      </c>
      <c r="C498" t="s">
        <v>1099</v>
      </c>
      <c r="D498" s="4"/>
    </row>
    <row r="499" spans="1:4" x14ac:dyDescent="0.2">
      <c r="A499" t="s">
        <v>1098</v>
      </c>
      <c r="B499">
        <v>3</v>
      </c>
      <c r="C499" t="s">
        <v>1100</v>
      </c>
      <c r="D499" s="4"/>
    </row>
    <row r="500" spans="1:4" x14ac:dyDescent="0.2">
      <c r="A500" t="s">
        <v>1098</v>
      </c>
      <c r="B500">
        <v>4</v>
      </c>
      <c r="C500" t="s">
        <v>1101</v>
      </c>
      <c r="D500" s="4"/>
    </row>
    <row r="501" spans="1:4" x14ac:dyDescent="0.2">
      <c r="A501" t="s">
        <v>1098</v>
      </c>
      <c r="B501" s="214">
        <v>5</v>
      </c>
      <c r="C501" t="s">
        <v>628</v>
      </c>
      <c r="D501" s="4"/>
    </row>
    <row r="502" spans="1:4" x14ac:dyDescent="0.2">
      <c r="A502" t="s">
        <v>1098</v>
      </c>
      <c r="B502" s="214">
        <v>6</v>
      </c>
      <c r="C502" t="s">
        <v>629</v>
      </c>
      <c r="D502" s="4"/>
    </row>
    <row r="503" spans="1:4" x14ac:dyDescent="0.2">
      <c r="D503" s="4"/>
    </row>
    <row r="504" spans="1:4" x14ac:dyDescent="0.2">
      <c r="A504" t="s">
        <v>490</v>
      </c>
      <c r="B504" t="s">
        <v>1102</v>
      </c>
      <c r="C504" t="s">
        <v>1103</v>
      </c>
      <c r="D504" s="4"/>
    </row>
    <row r="505" spans="1:4" x14ac:dyDescent="0.2">
      <c r="A505" t="s">
        <v>490</v>
      </c>
      <c r="B505" t="s">
        <v>1104</v>
      </c>
      <c r="C505" t="s">
        <v>1105</v>
      </c>
      <c r="D505" s="4"/>
    </row>
    <row r="506" spans="1:4" x14ac:dyDescent="0.2">
      <c r="A506" t="s">
        <v>490</v>
      </c>
      <c r="B506" t="s">
        <v>1106</v>
      </c>
      <c r="C506" t="s">
        <v>1107</v>
      </c>
      <c r="D506" s="4"/>
    </row>
    <row r="507" spans="1:4" x14ac:dyDescent="0.2">
      <c r="A507" t="s">
        <v>490</v>
      </c>
      <c r="B507" t="s">
        <v>1108</v>
      </c>
      <c r="C507" t="s">
        <v>1109</v>
      </c>
      <c r="D507" s="4"/>
    </row>
    <row r="508" spans="1:4" x14ac:dyDescent="0.2">
      <c r="A508" t="s">
        <v>490</v>
      </c>
      <c r="B508" t="s">
        <v>1110</v>
      </c>
      <c r="C508" t="s">
        <v>1111</v>
      </c>
      <c r="D508" s="4"/>
    </row>
    <row r="509" spans="1:4" x14ac:dyDescent="0.2">
      <c r="A509" t="s">
        <v>490</v>
      </c>
      <c r="B509" t="s">
        <v>1112</v>
      </c>
      <c r="C509" t="s">
        <v>1033</v>
      </c>
      <c r="D509" s="4"/>
    </row>
    <row r="510" spans="1:4" x14ac:dyDescent="0.2">
      <c r="A510" t="s">
        <v>490</v>
      </c>
      <c r="B510" t="s">
        <v>1113</v>
      </c>
      <c r="C510" t="s">
        <v>1114</v>
      </c>
      <c r="D510" s="4"/>
    </row>
    <row r="511" spans="1:4" x14ac:dyDescent="0.2">
      <c r="A511" t="s">
        <v>490</v>
      </c>
      <c r="B511" t="s">
        <v>1115</v>
      </c>
      <c r="C511" t="s">
        <v>1116</v>
      </c>
      <c r="D511" s="4"/>
    </row>
    <row r="512" spans="1:4" x14ac:dyDescent="0.2">
      <c r="A512" t="s">
        <v>490</v>
      </c>
      <c r="B512" t="s">
        <v>1117</v>
      </c>
      <c r="C512" t="s">
        <v>1118</v>
      </c>
      <c r="D512" s="4"/>
    </row>
    <row r="513" spans="1:4" x14ac:dyDescent="0.2">
      <c r="A513" t="s">
        <v>490</v>
      </c>
      <c r="B513" t="s">
        <v>1119</v>
      </c>
      <c r="C513" t="s">
        <v>1120</v>
      </c>
      <c r="D513" s="4"/>
    </row>
    <row r="514" spans="1:4" x14ac:dyDescent="0.2">
      <c r="A514" t="s">
        <v>490</v>
      </c>
      <c r="B514" t="s">
        <v>1121</v>
      </c>
      <c r="C514" t="s">
        <v>1122</v>
      </c>
      <c r="D514" s="4"/>
    </row>
    <row r="515" spans="1:4" x14ac:dyDescent="0.2">
      <c r="A515" t="s">
        <v>490</v>
      </c>
      <c r="B515" t="s">
        <v>1123</v>
      </c>
      <c r="C515" t="s">
        <v>1124</v>
      </c>
      <c r="D515" s="4"/>
    </row>
    <row r="516" spans="1:4" x14ac:dyDescent="0.2">
      <c r="D516" s="4"/>
    </row>
    <row r="517" spans="1:4" x14ac:dyDescent="0.2">
      <c r="A517" t="s">
        <v>1125</v>
      </c>
      <c r="B517" t="s">
        <v>1126</v>
      </c>
      <c r="C517" t="s">
        <v>1127</v>
      </c>
      <c r="D517" s="4"/>
    </row>
    <row r="518" spans="1:4" x14ac:dyDescent="0.2">
      <c r="A518" t="s">
        <v>1125</v>
      </c>
      <c r="B518" t="s">
        <v>1128</v>
      </c>
      <c r="C518" t="s">
        <v>1129</v>
      </c>
      <c r="D518" s="4"/>
    </row>
    <row r="519" spans="1:4" x14ac:dyDescent="0.2">
      <c r="A519" t="s">
        <v>1125</v>
      </c>
      <c r="B519" t="s">
        <v>1130</v>
      </c>
      <c r="C519" t="s">
        <v>1131</v>
      </c>
      <c r="D519" s="4"/>
    </row>
    <row r="520" spans="1:4" x14ac:dyDescent="0.2">
      <c r="A520" t="s">
        <v>1125</v>
      </c>
      <c r="B520" t="s">
        <v>1132</v>
      </c>
      <c r="C520" t="s">
        <v>1133</v>
      </c>
      <c r="D520" s="4"/>
    </row>
    <row r="521" spans="1:4" x14ac:dyDescent="0.2">
      <c r="A521" t="s">
        <v>1125</v>
      </c>
      <c r="B521" t="s">
        <v>1134</v>
      </c>
      <c r="C521" t="s">
        <v>1135</v>
      </c>
      <c r="D521" s="4"/>
    </row>
    <row r="522" spans="1:4" x14ac:dyDescent="0.2">
      <c r="A522" t="s">
        <v>1125</v>
      </c>
      <c r="B522" t="s">
        <v>1136</v>
      </c>
      <c r="C522" t="s">
        <v>1137</v>
      </c>
      <c r="D522" s="4"/>
    </row>
    <row r="523" spans="1:4" x14ac:dyDescent="0.2">
      <c r="A523" t="s">
        <v>1125</v>
      </c>
      <c r="B523" t="s">
        <v>1138</v>
      </c>
      <c r="C523" t="s">
        <v>1139</v>
      </c>
      <c r="D523" s="4"/>
    </row>
    <row r="524" spans="1:4" x14ac:dyDescent="0.2">
      <c r="A524" t="s">
        <v>1125</v>
      </c>
      <c r="B524" t="s">
        <v>1140</v>
      </c>
      <c r="C524" t="s">
        <v>1141</v>
      </c>
      <c r="D524" s="4"/>
    </row>
    <row r="525" spans="1:4" x14ac:dyDescent="0.2">
      <c r="A525" t="s">
        <v>1125</v>
      </c>
      <c r="B525" t="s">
        <v>1142</v>
      </c>
      <c r="C525" t="s">
        <v>1143</v>
      </c>
      <c r="D525" s="4"/>
    </row>
    <row r="526" spans="1:4" x14ac:dyDescent="0.2">
      <c r="A526" t="s">
        <v>1125</v>
      </c>
      <c r="B526" t="s">
        <v>1144</v>
      </c>
      <c r="C526" t="s">
        <v>1145</v>
      </c>
      <c r="D526" s="4"/>
    </row>
    <row r="527" spans="1:4" x14ac:dyDescent="0.2">
      <c r="A527" t="s">
        <v>1125</v>
      </c>
      <c r="B527" t="s">
        <v>1146</v>
      </c>
      <c r="C527" t="s">
        <v>1147</v>
      </c>
      <c r="D527" s="4"/>
    </row>
    <row r="528" spans="1:4" x14ac:dyDescent="0.2">
      <c r="A528" t="s">
        <v>1125</v>
      </c>
      <c r="B528" t="s">
        <v>1148</v>
      </c>
      <c r="C528" t="s">
        <v>1149</v>
      </c>
      <c r="D528" s="4"/>
    </row>
    <row r="529" spans="1:4" x14ac:dyDescent="0.2">
      <c r="A529" t="s">
        <v>1125</v>
      </c>
      <c r="B529" t="s">
        <v>1150</v>
      </c>
      <c r="C529" t="s">
        <v>1151</v>
      </c>
      <c r="D529" s="4"/>
    </row>
    <row r="530" spans="1:4" x14ac:dyDescent="0.2">
      <c r="A530" t="s">
        <v>1125</v>
      </c>
      <c r="B530" t="s">
        <v>1152</v>
      </c>
      <c r="C530" t="s">
        <v>1153</v>
      </c>
      <c r="D530" s="4"/>
    </row>
    <row r="531" spans="1:4" x14ac:dyDescent="0.2">
      <c r="A531" t="s">
        <v>1125</v>
      </c>
      <c r="B531" t="s">
        <v>1154</v>
      </c>
      <c r="C531" t="s">
        <v>1155</v>
      </c>
      <c r="D531" s="4"/>
    </row>
    <row r="532" spans="1:4" x14ac:dyDescent="0.2">
      <c r="A532" t="s">
        <v>1125</v>
      </c>
      <c r="B532" t="s">
        <v>1156</v>
      </c>
      <c r="C532" t="s">
        <v>1157</v>
      </c>
      <c r="D532" s="4"/>
    </row>
    <row r="533" spans="1:4" x14ac:dyDescent="0.2">
      <c r="A533" t="s">
        <v>1125</v>
      </c>
      <c r="B533" t="s">
        <v>698</v>
      </c>
      <c r="C533" t="s">
        <v>864</v>
      </c>
      <c r="D533" s="4"/>
    </row>
    <row r="534" spans="1:4" x14ac:dyDescent="0.2">
      <c r="A534" t="s">
        <v>1125</v>
      </c>
      <c r="B534" t="s">
        <v>702</v>
      </c>
      <c r="C534" t="s">
        <v>628</v>
      </c>
      <c r="D534" s="4"/>
    </row>
    <row r="535" spans="1:4" x14ac:dyDescent="0.2">
      <c r="A535" t="s">
        <v>1125</v>
      </c>
      <c r="B535" t="s">
        <v>703</v>
      </c>
      <c r="C535" t="s">
        <v>629</v>
      </c>
      <c r="D535" s="4"/>
    </row>
    <row r="536" spans="1:4" x14ac:dyDescent="0.2">
      <c r="D536" s="4"/>
    </row>
    <row r="537" spans="1:4" x14ac:dyDescent="0.2">
      <c r="A537" t="s">
        <v>1158</v>
      </c>
      <c r="B537" t="s">
        <v>1126</v>
      </c>
      <c r="C537" t="s">
        <v>1127</v>
      </c>
      <c r="D537" s="4"/>
    </row>
    <row r="538" spans="1:4" x14ac:dyDescent="0.2">
      <c r="A538" t="s">
        <v>1158</v>
      </c>
      <c r="B538" t="s">
        <v>1128</v>
      </c>
      <c r="C538" t="s">
        <v>1159</v>
      </c>
      <c r="D538" s="4"/>
    </row>
    <row r="539" spans="1:4" x14ac:dyDescent="0.2">
      <c r="A539" t="s">
        <v>1158</v>
      </c>
      <c r="B539" t="s">
        <v>1130</v>
      </c>
      <c r="C539" t="s">
        <v>1160</v>
      </c>
      <c r="D539" s="4"/>
    </row>
    <row r="540" spans="1:4" x14ac:dyDescent="0.2">
      <c r="A540" t="s">
        <v>1158</v>
      </c>
      <c r="B540" t="s">
        <v>1161</v>
      </c>
      <c r="C540" t="s">
        <v>1162</v>
      </c>
      <c r="D540" s="4"/>
    </row>
    <row r="541" spans="1:4" x14ac:dyDescent="0.2">
      <c r="A541" t="s">
        <v>1158</v>
      </c>
      <c r="B541" t="s">
        <v>1163</v>
      </c>
      <c r="C541" t="s">
        <v>1164</v>
      </c>
      <c r="D541" s="4"/>
    </row>
    <row r="542" spans="1:4" x14ac:dyDescent="0.2">
      <c r="A542" t="s">
        <v>1158</v>
      </c>
      <c r="B542" t="s">
        <v>1165</v>
      </c>
      <c r="C542" t="s">
        <v>1166</v>
      </c>
      <c r="D542" s="4"/>
    </row>
    <row r="543" spans="1:4" x14ac:dyDescent="0.2">
      <c r="A543" t="s">
        <v>1158</v>
      </c>
      <c r="B543" t="s">
        <v>1167</v>
      </c>
      <c r="C543" t="s">
        <v>1153</v>
      </c>
      <c r="D543" s="4"/>
    </row>
    <row r="544" spans="1:4" x14ac:dyDescent="0.2">
      <c r="A544" t="s">
        <v>1158</v>
      </c>
      <c r="B544" t="s">
        <v>1168</v>
      </c>
      <c r="C544" t="s">
        <v>1157</v>
      </c>
      <c r="D544" s="4"/>
    </row>
    <row r="545" spans="1:4" x14ac:dyDescent="0.2">
      <c r="A545" t="s">
        <v>1158</v>
      </c>
      <c r="B545" t="s">
        <v>698</v>
      </c>
      <c r="C545" t="s">
        <v>864</v>
      </c>
      <c r="D545" s="4"/>
    </row>
    <row r="546" spans="1:4" x14ac:dyDescent="0.2">
      <c r="A546" t="s">
        <v>1158</v>
      </c>
      <c r="B546" t="s">
        <v>700</v>
      </c>
      <c r="C546" t="s">
        <v>1169</v>
      </c>
      <c r="D546" s="4"/>
    </row>
    <row r="547" spans="1:4" x14ac:dyDescent="0.2">
      <c r="A547" t="s">
        <v>1158</v>
      </c>
      <c r="B547" t="s">
        <v>702</v>
      </c>
      <c r="C547" t="s">
        <v>1097</v>
      </c>
      <c r="D547" s="4"/>
    </row>
    <row r="548" spans="1:4" x14ac:dyDescent="0.2">
      <c r="A548" t="s">
        <v>1158</v>
      </c>
      <c r="B548" t="s">
        <v>703</v>
      </c>
      <c r="C548" t="s">
        <v>629</v>
      </c>
      <c r="D548" s="4"/>
    </row>
    <row r="549" spans="1:4" x14ac:dyDescent="0.2">
      <c r="D549" s="4"/>
    </row>
    <row r="550" spans="1:4" x14ac:dyDescent="0.2">
      <c r="A550" t="s">
        <v>1170</v>
      </c>
      <c r="B550">
        <v>1</v>
      </c>
      <c r="C550" t="s">
        <v>632</v>
      </c>
      <c r="D550" s="4"/>
    </row>
    <row r="551" spans="1:4" x14ac:dyDescent="0.2">
      <c r="A551" t="s">
        <v>1170</v>
      </c>
      <c r="B551">
        <v>2</v>
      </c>
      <c r="C551" t="s">
        <v>1171</v>
      </c>
      <c r="D551" s="4"/>
    </row>
    <row r="552" spans="1:4" x14ac:dyDescent="0.2">
      <c r="A552" t="s">
        <v>1170</v>
      </c>
      <c r="B552">
        <v>3</v>
      </c>
      <c r="C552" t="s">
        <v>1172</v>
      </c>
      <c r="D552" s="4"/>
    </row>
    <row r="553" spans="1:4" x14ac:dyDescent="0.2">
      <c r="A553" t="s">
        <v>1170</v>
      </c>
      <c r="B553">
        <v>4</v>
      </c>
      <c r="C553" t="s">
        <v>1173</v>
      </c>
      <c r="D553" s="4"/>
    </row>
    <row r="554" spans="1:4" x14ac:dyDescent="0.2">
      <c r="A554" t="s">
        <v>1170</v>
      </c>
      <c r="B554">
        <v>5</v>
      </c>
      <c r="C554" t="s">
        <v>1174</v>
      </c>
      <c r="D554" s="4"/>
    </row>
    <row r="555" spans="1:4" x14ac:dyDescent="0.2">
      <c r="A555" t="s">
        <v>1170</v>
      </c>
      <c r="B555">
        <v>6</v>
      </c>
      <c r="C555" t="s">
        <v>1175</v>
      </c>
      <c r="D555" s="4"/>
    </row>
    <row r="556" spans="1:4" x14ac:dyDescent="0.2">
      <c r="A556" t="s">
        <v>1170</v>
      </c>
      <c r="B556">
        <v>7</v>
      </c>
      <c r="C556" t="s">
        <v>628</v>
      </c>
      <c r="D556" s="4"/>
    </row>
    <row r="557" spans="1:4" x14ac:dyDescent="0.2">
      <c r="A557" t="s">
        <v>1170</v>
      </c>
      <c r="B557">
        <v>8</v>
      </c>
      <c r="C557" t="s">
        <v>629</v>
      </c>
      <c r="D557" s="4"/>
    </row>
    <row r="558" spans="1:4" x14ac:dyDescent="0.2">
      <c r="D558" s="4"/>
    </row>
    <row r="559" spans="1:4" x14ac:dyDescent="0.2">
      <c r="A559" t="s">
        <v>1176</v>
      </c>
      <c r="B559" t="s">
        <v>1177</v>
      </c>
      <c r="C559" t="s">
        <v>1178</v>
      </c>
      <c r="D559" s="4"/>
    </row>
    <row r="560" spans="1:4" x14ac:dyDescent="0.2">
      <c r="A560" t="s">
        <v>1176</v>
      </c>
      <c r="B560" t="s">
        <v>1179</v>
      </c>
      <c r="C560" t="s">
        <v>1180</v>
      </c>
      <c r="D560" s="4"/>
    </row>
    <row r="561" spans="1:4" x14ac:dyDescent="0.2">
      <c r="A561" t="s">
        <v>1176</v>
      </c>
      <c r="B561" t="s">
        <v>1181</v>
      </c>
      <c r="C561" t="s">
        <v>1182</v>
      </c>
      <c r="D561" s="4"/>
    </row>
    <row r="562" spans="1:4" x14ac:dyDescent="0.2">
      <c r="A562" t="s">
        <v>1176</v>
      </c>
      <c r="B562" t="s">
        <v>898</v>
      </c>
      <c r="C562" t="s">
        <v>1183</v>
      </c>
      <c r="D562" s="4"/>
    </row>
    <row r="563" spans="1:4" x14ac:dyDescent="0.2">
      <c r="A563" t="s">
        <v>1176</v>
      </c>
      <c r="B563" t="s">
        <v>894</v>
      </c>
      <c r="C563" t="s">
        <v>1184</v>
      </c>
      <c r="D563" s="4"/>
    </row>
    <row r="564" spans="1:4" x14ac:dyDescent="0.2">
      <c r="A564" t="s">
        <v>1176</v>
      </c>
      <c r="B564" t="s">
        <v>702</v>
      </c>
      <c r="C564" t="s">
        <v>628</v>
      </c>
      <c r="D564" s="4"/>
    </row>
    <row r="565" spans="1:4" x14ac:dyDescent="0.2">
      <c r="A565" t="s">
        <v>1176</v>
      </c>
      <c r="B565" t="s">
        <v>703</v>
      </c>
      <c r="C565" t="s">
        <v>629</v>
      </c>
      <c r="D565" s="4"/>
    </row>
    <row r="566" spans="1:4" x14ac:dyDescent="0.2">
      <c r="D566" s="4"/>
    </row>
    <row r="567" spans="1:4" x14ac:dyDescent="0.2">
      <c r="A567" t="s">
        <v>1185</v>
      </c>
      <c r="B567" t="s">
        <v>1186</v>
      </c>
      <c r="C567" t="s">
        <v>1187</v>
      </c>
      <c r="D567" s="4"/>
    </row>
    <row r="568" spans="1:4" x14ac:dyDescent="0.2">
      <c r="A568" t="s">
        <v>1185</v>
      </c>
      <c r="B568" t="s">
        <v>1188</v>
      </c>
      <c r="C568" t="s">
        <v>1189</v>
      </c>
      <c r="D568" s="4"/>
    </row>
    <row r="569" spans="1:4" x14ac:dyDescent="0.2">
      <c r="A569" t="s">
        <v>1185</v>
      </c>
      <c r="B569" t="s">
        <v>1190</v>
      </c>
      <c r="C569" t="s">
        <v>1191</v>
      </c>
      <c r="D569" s="4"/>
    </row>
    <row r="570" spans="1:4" x14ac:dyDescent="0.2">
      <c r="A570" t="s">
        <v>1185</v>
      </c>
      <c r="B570" t="s">
        <v>1192</v>
      </c>
      <c r="C570" t="s">
        <v>1193</v>
      </c>
      <c r="D570" s="4"/>
    </row>
    <row r="571" spans="1:4" x14ac:dyDescent="0.2">
      <c r="A571" t="s">
        <v>1185</v>
      </c>
      <c r="B571" t="s">
        <v>1194</v>
      </c>
      <c r="C571" t="s">
        <v>1195</v>
      </c>
      <c r="D571" s="4"/>
    </row>
    <row r="572" spans="1:4" x14ac:dyDescent="0.2">
      <c r="A572" t="s">
        <v>1185</v>
      </c>
      <c r="B572" t="s">
        <v>1196</v>
      </c>
      <c r="C572" t="s">
        <v>1197</v>
      </c>
      <c r="D572" s="4"/>
    </row>
    <row r="573" spans="1:4" x14ac:dyDescent="0.2">
      <c r="A573" t="s">
        <v>1185</v>
      </c>
      <c r="B573" t="s">
        <v>1198</v>
      </c>
      <c r="C573" t="s">
        <v>1199</v>
      </c>
      <c r="D573" s="4"/>
    </row>
    <row r="574" spans="1:4" x14ac:dyDescent="0.2">
      <c r="D574" s="4"/>
    </row>
    <row r="575" spans="1:4" x14ac:dyDescent="0.2">
      <c r="A575" t="s">
        <v>602</v>
      </c>
      <c r="B575" t="s">
        <v>1200</v>
      </c>
      <c r="C575" t="s">
        <v>1201</v>
      </c>
      <c r="D575" s="4"/>
    </row>
    <row r="576" spans="1:4" x14ac:dyDescent="0.2">
      <c r="A576" t="s">
        <v>602</v>
      </c>
      <c r="B576" t="s">
        <v>1202</v>
      </c>
      <c r="C576" t="s">
        <v>1203</v>
      </c>
      <c r="D576" s="4"/>
    </row>
    <row r="577" spans="1:5" x14ac:dyDescent="0.2">
      <c r="A577" t="s">
        <v>602</v>
      </c>
      <c r="B577" t="s">
        <v>1204</v>
      </c>
      <c r="C577" t="s">
        <v>1205</v>
      </c>
      <c r="D577" s="4"/>
    </row>
    <row r="578" spans="1:5" x14ac:dyDescent="0.2">
      <c r="D578" s="4"/>
    </row>
    <row r="579" spans="1:5" x14ac:dyDescent="0.2">
      <c r="A579" s="259" t="s">
        <v>1206</v>
      </c>
      <c r="B579" s="259">
        <v>1</v>
      </c>
      <c r="C579" s="260" t="s">
        <v>1207</v>
      </c>
    </row>
    <row r="580" spans="1:5" x14ac:dyDescent="0.2">
      <c r="A580" s="259" t="s">
        <v>1206</v>
      </c>
      <c r="B580" s="259">
        <v>2</v>
      </c>
      <c r="C580" s="260" t="s">
        <v>1208</v>
      </c>
      <c r="D580" s="7"/>
      <c r="E580" s="11"/>
    </row>
    <row r="581" spans="1:5" x14ac:dyDescent="0.2">
      <c r="A581" s="259" t="s">
        <v>1206</v>
      </c>
      <c r="B581" s="259">
        <v>3</v>
      </c>
      <c r="C581" s="260" t="s">
        <v>1209</v>
      </c>
    </row>
    <row r="582" spans="1:5" x14ac:dyDescent="0.2">
      <c r="A582" s="259" t="s">
        <v>1206</v>
      </c>
      <c r="B582" s="259">
        <v>4</v>
      </c>
      <c r="C582" s="260" t="s">
        <v>1210</v>
      </c>
    </row>
    <row r="583" spans="1:5" x14ac:dyDescent="0.2">
      <c r="A583" s="259" t="s">
        <v>1206</v>
      </c>
      <c r="B583" s="259">
        <v>5</v>
      </c>
      <c r="C583" s="260" t="s">
        <v>1211</v>
      </c>
    </row>
    <row r="584" spans="1:5" x14ac:dyDescent="0.2">
      <c r="A584" s="259" t="s">
        <v>1206</v>
      </c>
      <c r="B584" s="259">
        <v>6</v>
      </c>
      <c r="C584" s="260" t="s">
        <v>1212</v>
      </c>
    </row>
    <row r="585" spans="1:5" x14ac:dyDescent="0.2">
      <c r="A585" s="259" t="s">
        <v>1206</v>
      </c>
      <c r="B585" s="259">
        <v>7</v>
      </c>
      <c r="C585" s="260" t="s">
        <v>1213</v>
      </c>
    </row>
    <row r="586" spans="1:5" x14ac:dyDescent="0.2">
      <c r="A586" s="259" t="s">
        <v>1206</v>
      </c>
      <c r="B586" s="259">
        <v>8</v>
      </c>
      <c r="C586" s="260" t="s">
        <v>1214</v>
      </c>
    </row>
    <row r="587" spans="1:5" x14ac:dyDescent="0.2">
      <c r="A587" s="259" t="s">
        <v>1206</v>
      </c>
      <c r="B587" s="259">
        <v>9</v>
      </c>
      <c r="C587" s="260" t="s">
        <v>1215</v>
      </c>
    </row>
    <row r="588" spans="1:5" x14ac:dyDescent="0.2">
      <c r="A588" s="259" t="s">
        <v>1206</v>
      </c>
      <c r="B588" s="259">
        <v>10</v>
      </c>
      <c r="C588" s="260" t="s">
        <v>1216</v>
      </c>
    </row>
    <row r="589" spans="1:5" x14ac:dyDescent="0.2">
      <c r="A589" s="259" t="s">
        <v>1206</v>
      </c>
      <c r="B589" s="259">
        <v>11</v>
      </c>
      <c r="C589" s="260" t="s">
        <v>1217</v>
      </c>
    </row>
    <row r="590" spans="1:5" x14ac:dyDescent="0.2">
      <c r="A590" s="259" t="s">
        <v>1206</v>
      </c>
      <c r="B590" s="259">
        <v>12</v>
      </c>
      <c r="C590" s="260" t="s">
        <v>1218</v>
      </c>
    </row>
    <row r="591" spans="1:5" x14ac:dyDescent="0.2">
      <c r="A591" s="259" t="s">
        <v>1206</v>
      </c>
      <c r="B591" s="259">
        <v>13</v>
      </c>
      <c r="C591" s="260" t="s">
        <v>1219</v>
      </c>
    </row>
    <row r="592" spans="1:5" x14ac:dyDescent="0.2">
      <c r="A592" s="259" t="s">
        <v>1206</v>
      </c>
      <c r="B592" s="259">
        <v>14</v>
      </c>
      <c r="C592" s="260" t="s">
        <v>1220</v>
      </c>
    </row>
    <row r="593" spans="1:3" x14ac:dyDescent="0.2">
      <c r="A593" s="259" t="s">
        <v>1206</v>
      </c>
      <c r="B593" s="259">
        <v>15</v>
      </c>
      <c r="C593" s="260" t="s">
        <v>1221</v>
      </c>
    </row>
    <row r="595" spans="1:3" x14ac:dyDescent="0.2">
      <c r="A595" s="258" t="s">
        <v>1222</v>
      </c>
      <c r="B595" s="258">
        <v>0</v>
      </c>
      <c r="C595" s="258" t="s">
        <v>1223</v>
      </c>
    </row>
    <row r="596" spans="1:3" x14ac:dyDescent="0.2">
      <c r="A596" s="258" t="s">
        <v>1222</v>
      </c>
      <c r="B596" s="258">
        <v>1</v>
      </c>
      <c r="C596" s="258" t="s">
        <v>1224</v>
      </c>
    </row>
    <row r="597" spans="1:3" x14ac:dyDescent="0.2">
      <c r="A597" s="258" t="s">
        <v>1222</v>
      </c>
      <c r="B597" s="258">
        <v>2</v>
      </c>
      <c r="C597" s="258" t="s">
        <v>1225</v>
      </c>
    </row>
    <row r="598" spans="1:3" x14ac:dyDescent="0.2">
      <c r="A598" s="258" t="s">
        <v>1222</v>
      </c>
      <c r="B598" s="258">
        <v>3</v>
      </c>
      <c r="C598" s="258" t="s">
        <v>1226</v>
      </c>
    </row>
    <row r="599" spans="1:3" x14ac:dyDescent="0.2">
      <c r="A599" s="258" t="s">
        <v>1222</v>
      </c>
      <c r="B599" s="258">
        <v>4</v>
      </c>
      <c r="C599" s="258" t="s">
        <v>1227</v>
      </c>
    </row>
    <row r="600" spans="1:3" x14ac:dyDescent="0.2">
      <c r="A600" s="258" t="s">
        <v>1222</v>
      </c>
      <c r="B600" s="258">
        <v>5</v>
      </c>
      <c r="C600" s="258" t="s">
        <v>1228</v>
      </c>
    </row>
    <row r="602" spans="1:3" x14ac:dyDescent="0.2">
      <c r="A602" s="258" t="s">
        <v>1229</v>
      </c>
      <c r="B602" s="258">
        <v>1</v>
      </c>
      <c r="C602" s="261" t="s">
        <v>632</v>
      </c>
    </row>
    <row r="603" spans="1:3" x14ac:dyDescent="0.2">
      <c r="A603" s="258" t="s">
        <v>1229</v>
      </c>
      <c r="B603" s="258">
        <v>2</v>
      </c>
      <c r="C603" s="261" t="s">
        <v>1230</v>
      </c>
    </row>
    <row r="604" spans="1:3" x14ac:dyDescent="0.2">
      <c r="A604" s="258" t="s">
        <v>1229</v>
      </c>
      <c r="B604" s="258">
        <v>3</v>
      </c>
      <c r="C604" s="261" t="s">
        <v>1231</v>
      </c>
    </row>
    <row r="605" spans="1:3" x14ac:dyDescent="0.2">
      <c r="A605" s="258" t="s">
        <v>1229</v>
      </c>
      <c r="B605" s="258">
        <v>4</v>
      </c>
      <c r="C605" s="261" t="s">
        <v>1232</v>
      </c>
    </row>
    <row r="606" spans="1:3" x14ac:dyDescent="0.2">
      <c r="A606" s="258" t="s">
        <v>1229</v>
      </c>
      <c r="B606" s="258">
        <v>5</v>
      </c>
      <c r="C606" s="261" t="s">
        <v>1233</v>
      </c>
    </row>
    <row r="608" spans="1:3" x14ac:dyDescent="0.2">
      <c r="A608" s="258" t="s">
        <v>1234</v>
      </c>
      <c r="B608" s="258">
        <v>1</v>
      </c>
      <c r="C608" s="258" t="s">
        <v>1235</v>
      </c>
    </row>
    <row r="609" spans="1:3" x14ac:dyDescent="0.2">
      <c r="A609" s="258" t="s">
        <v>1234</v>
      </c>
      <c r="B609" s="258">
        <v>2</v>
      </c>
      <c r="C609" s="258" t="s">
        <v>1236</v>
      </c>
    </row>
    <row r="610" spans="1:3" x14ac:dyDescent="0.2">
      <c r="A610" s="258" t="s">
        <v>1234</v>
      </c>
      <c r="B610" s="258">
        <v>3</v>
      </c>
      <c r="C610" s="258" t="s">
        <v>1237</v>
      </c>
    </row>
    <row r="612" spans="1:3" x14ac:dyDescent="0.2">
      <c r="A612" s="258" t="s">
        <v>1238</v>
      </c>
      <c r="B612" s="258">
        <v>1</v>
      </c>
      <c r="C612" s="258" t="s">
        <v>1239</v>
      </c>
    </row>
    <row r="613" spans="1:3" x14ac:dyDescent="0.2">
      <c r="A613" s="258" t="s">
        <v>1238</v>
      </c>
      <c r="B613" s="258">
        <v>2</v>
      </c>
      <c r="C613" s="258" t="s">
        <v>1240</v>
      </c>
    </row>
    <row r="614" spans="1:3" x14ac:dyDescent="0.2">
      <c r="A614" s="258" t="s">
        <v>1238</v>
      </c>
      <c r="B614" s="258">
        <v>3</v>
      </c>
      <c r="C614" s="258" t="s">
        <v>1241</v>
      </c>
    </row>
    <row r="615" spans="1:3" x14ac:dyDescent="0.2">
      <c r="A615" s="258" t="s">
        <v>1238</v>
      </c>
      <c r="B615" s="258">
        <v>4</v>
      </c>
      <c r="C615" s="258" t="s">
        <v>633</v>
      </c>
    </row>
    <row r="617" spans="1:3" x14ac:dyDescent="0.2">
      <c r="A617" t="s">
        <v>1242</v>
      </c>
      <c r="B617" t="s">
        <v>1243</v>
      </c>
      <c r="C617" t="s">
        <v>1244</v>
      </c>
    </row>
    <row r="618" spans="1:3" x14ac:dyDescent="0.2">
      <c r="A618" t="s">
        <v>1242</v>
      </c>
      <c r="B618" t="s">
        <v>1245</v>
      </c>
      <c r="C618" t="s">
        <v>1246</v>
      </c>
    </row>
    <row r="619" spans="1:3" x14ac:dyDescent="0.2">
      <c r="A619" t="s">
        <v>1242</v>
      </c>
      <c r="B619" t="s">
        <v>1247</v>
      </c>
      <c r="C619" t="s">
        <v>1248</v>
      </c>
    </row>
    <row r="620" spans="1:3" x14ac:dyDescent="0.2">
      <c r="A620" t="s">
        <v>1242</v>
      </c>
      <c r="B620" t="s">
        <v>1249</v>
      </c>
      <c r="C620" t="s">
        <v>1250</v>
      </c>
    </row>
    <row r="621" spans="1:3" x14ac:dyDescent="0.2">
      <c r="A621" t="s">
        <v>1242</v>
      </c>
      <c r="B621" t="s">
        <v>1251</v>
      </c>
      <c r="C621" t="s">
        <v>1252</v>
      </c>
    </row>
    <row r="622" spans="1:3" x14ac:dyDescent="0.2">
      <c r="A622" t="s">
        <v>1242</v>
      </c>
      <c r="B622" t="s">
        <v>1253</v>
      </c>
      <c r="C622" t="s">
        <v>1254</v>
      </c>
    </row>
    <row r="623" spans="1:3" x14ac:dyDescent="0.2">
      <c r="A623" t="s">
        <v>1242</v>
      </c>
      <c r="B623" t="s">
        <v>1255</v>
      </c>
      <c r="C623" t="s">
        <v>1256</v>
      </c>
    </row>
    <row r="624" spans="1:3" x14ac:dyDescent="0.2">
      <c r="A624" t="s">
        <v>1242</v>
      </c>
      <c r="B624" t="s">
        <v>1257</v>
      </c>
      <c r="C624" t="s">
        <v>1258</v>
      </c>
    </row>
    <row r="625" spans="1:3" x14ac:dyDescent="0.2">
      <c r="A625" t="s">
        <v>1242</v>
      </c>
      <c r="B625" t="s">
        <v>1259</v>
      </c>
      <c r="C625" t="s">
        <v>1260</v>
      </c>
    </row>
    <row r="626" spans="1:3" x14ac:dyDescent="0.2">
      <c r="A626" t="s">
        <v>1242</v>
      </c>
      <c r="B626" t="s">
        <v>1261</v>
      </c>
      <c r="C626" t="s">
        <v>1262</v>
      </c>
    </row>
    <row r="627" spans="1:3" x14ac:dyDescent="0.2">
      <c r="A627" t="s">
        <v>1242</v>
      </c>
      <c r="B627" t="s">
        <v>1263</v>
      </c>
      <c r="C627" t="s">
        <v>1264</v>
      </c>
    </row>
    <row r="628" spans="1:3" x14ac:dyDescent="0.2">
      <c r="A628" t="s">
        <v>1242</v>
      </c>
      <c r="B628" t="s">
        <v>1265</v>
      </c>
      <c r="C628" t="s">
        <v>1266</v>
      </c>
    </row>
    <row r="629" spans="1:3" x14ac:dyDescent="0.2">
      <c r="A629" t="s">
        <v>1242</v>
      </c>
      <c r="B629" t="s">
        <v>1267</v>
      </c>
      <c r="C629" t="s">
        <v>1268</v>
      </c>
    </row>
    <row r="630" spans="1:3" x14ac:dyDescent="0.2">
      <c r="A630" t="s">
        <v>1242</v>
      </c>
      <c r="B630" t="s">
        <v>1269</v>
      </c>
      <c r="C630" t="s">
        <v>1270</v>
      </c>
    </row>
    <row r="631" spans="1:3" x14ac:dyDescent="0.2">
      <c r="A631" t="s">
        <v>1242</v>
      </c>
      <c r="B631" t="s">
        <v>1271</v>
      </c>
      <c r="C631" t="s">
        <v>1272</v>
      </c>
    </row>
    <row r="632" spans="1:3" x14ac:dyDescent="0.2">
      <c r="A632" t="s">
        <v>1242</v>
      </c>
      <c r="B632" t="s">
        <v>1273</v>
      </c>
      <c r="C632" t="s">
        <v>1274</v>
      </c>
    </row>
    <row r="633" spans="1:3" x14ac:dyDescent="0.2">
      <c r="A633" t="s">
        <v>1242</v>
      </c>
      <c r="B633" t="s">
        <v>1275</v>
      </c>
      <c r="C633" t="s">
        <v>1276</v>
      </c>
    </row>
    <row r="634" spans="1:3" x14ac:dyDescent="0.2">
      <c r="A634" t="s">
        <v>1242</v>
      </c>
      <c r="B634" t="s">
        <v>1277</v>
      </c>
      <c r="C634" t="s">
        <v>1278</v>
      </c>
    </row>
    <row r="635" spans="1:3" x14ac:dyDescent="0.2">
      <c r="A635" t="s">
        <v>1242</v>
      </c>
      <c r="B635" t="s">
        <v>1279</v>
      </c>
      <c r="C635" t="s">
        <v>1280</v>
      </c>
    </row>
    <row r="636" spans="1:3" x14ac:dyDescent="0.2">
      <c r="A636" t="s">
        <v>1242</v>
      </c>
      <c r="B636" t="s">
        <v>1281</v>
      </c>
      <c r="C636" t="s">
        <v>1282</v>
      </c>
    </row>
    <row r="637" spans="1:3" x14ac:dyDescent="0.2">
      <c r="A637" t="s">
        <v>1242</v>
      </c>
      <c r="B637" t="s">
        <v>1283</v>
      </c>
      <c r="C637" t="s">
        <v>1284</v>
      </c>
    </row>
    <row r="638" spans="1:3" x14ac:dyDescent="0.2">
      <c r="A638" t="s">
        <v>1242</v>
      </c>
      <c r="B638" t="s">
        <v>1285</v>
      </c>
      <c r="C638" t="s">
        <v>1286</v>
      </c>
    </row>
    <row r="639" spans="1:3" x14ac:dyDescent="0.2">
      <c r="A639" t="s">
        <v>1242</v>
      </c>
      <c r="B639" t="s">
        <v>1287</v>
      </c>
      <c r="C639" t="s">
        <v>1288</v>
      </c>
    </row>
    <row r="640" spans="1:3" x14ac:dyDescent="0.2">
      <c r="A640" t="s">
        <v>1242</v>
      </c>
      <c r="B640" t="s">
        <v>1289</v>
      </c>
      <c r="C640" t="s">
        <v>1290</v>
      </c>
    </row>
    <row r="641" spans="1:3" x14ac:dyDescent="0.2">
      <c r="A641" t="s">
        <v>1242</v>
      </c>
      <c r="B641" t="s">
        <v>1291</v>
      </c>
      <c r="C641" t="s">
        <v>1292</v>
      </c>
    </row>
    <row r="642" spans="1:3" x14ac:dyDescent="0.2">
      <c r="A642" t="s">
        <v>1242</v>
      </c>
      <c r="B642" t="s">
        <v>1293</v>
      </c>
      <c r="C642" t="s">
        <v>1294</v>
      </c>
    </row>
    <row r="643" spans="1:3" x14ac:dyDescent="0.2">
      <c r="A643" t="s">
        <v>1242</v>
      </c>
      <c r="B643" t="s">
        <v>1295</v>
      </c>
      <c r="C643" t="s">
        <v>1296</v>
      </c>
    </row>
    <row r="644" spans="1:3" x14ac:dyDescent="0.2">
      <c r="A644" t="s">
        <v>1242</v>
      </c>
      <c r="B644" t="s">
        <v>1297</v>
      </c>
      <c r="C644" t="s">
        <v>1298</v>
      </c>
    </row>
    <row r="645" spans="1:3" x14ac:dyDescent="0.2">
      <c r="A645" t="s">
        <v>1242</v>
      </c>
      <c r="B645" t="s">
        <v>1299</v>
      </c>
      <c r="C645" t="s">
        <v>1300</v>
      </c>
    </row>
    <row r="646" spans="1:3" x14ac:dyDescent="0.2">
      <c r="A646" t="s">
        <v>1242</v>
      </c>
      <c r="B646" t="s">
        <v>1301</v>
      </c>
      <c r="C646" t="s">
        <v>1302</v>
      </c>
    </row>
    <row r="647" spans="1:3" x14ac:dyDescent="0.2">
      <c r="A647" t="s">
        <v>1242</v>
      </c>
      <c r="B647" t="s">
        <v>1303</v>
      </c>
      <c r="C647" t="s">
        <v>1304</v>
      </c>
    </row>
    <row r="648" spans="1:3" x14ac:dyDescent="0.2">
      <c r="A648" t="s">
        <v>1242</v>
      </c>
      <c r="B648" t="s">
        <v>1305</v>
      </c>
      <c r="C648" t="s">
        <v>1306</v>
      </c>
    </row>
    <row r="649" spans="1:3" x14ac:dyDescent="0.2">
      <c r="A649" t="s">
        <v>1242</v>
      </c>
      <c r="B649" t="s">
        <v>1307</v>
      </c>
      <c r="C649" t="s">
        <v>1308</v>
      </c>
    </row>
    <row r="650" spans="1:3" x14ac:dyDescent="0.2">
      <c r="A650" t="s">
        <v>1242</v>
      </c>
      <c r="B650" t="s">
        <v>1309</v>
      </c>
      <c r="C650" t="s">
        <v>1310</v>
      </c>
    </row>
    <row r="651" spans="1:3" x14ac:dyDescent="0.2">
      <c r="A651" t="s">
        <v>1242</v>
      </c>
      <c r="B651" t="s">
        <v>1311</v>
      </c>
      <c r="C651" t="s">
        <v>1312</v>
      </c>
    </row>
    <row r="652" spans="1:3" x14ac:dyDescent="0.2">
      <c r="A652" t="s">
        <v>1242</v>
      </c>
      <c r="B652" t="s">
        <v>1313</v>
      </c>
      <c r="C652" t="s">
        <v>1314</v>
      </c>
    </row>
    <row r="653" spans="1:3" x14ac:dyDescent="0.2">
      <c r="A653" t="s">
        <v>1242</v>
      </c>
      <c r="B653" t="s">
        <v>1315</v>
      </c>
      <c r="C653" t="s">
        <v>1316</v>
      </c>
    </row>
    <row r="654" spans="1:3" x14ac:dyDescent="0.2">
      <c r="A654" t="s">
        <v>1242</v>
      </c>
      <c r="B654" t="s">
        <v>1317</v>
      </c>
      <c r="C654" t="s">
        <v>1318</v>
      </c>
    </row>
    <row r="655" spans="1:3" x14ac:dyDescent="0.2">
      <c r="A655" t="s">
        <v>1242</v>
      </c>
      <c r="B655" t="s">
        <v>1319</v>
      </c>
      <c r="C655" t="s">
        <v>1320</v>
      </c>
    </row>
    <row r="656" spans="1:3" x14ac:dyDescent="0.2">
      <c r="A656" t="s">
        <v>1242</v>
      </c>
      <c r="B656" t="s">
        <v>1321</v>
      </c>
      <c r="C656" t="s">
        <v>1322</v>
      </c>
    </row>
    <row r="657" spans="1:3" x14ac:dyDescent="0.2">
      <c r="A657" t="s">
        <v>1242</v>
      </c>
      <c r="B657" t="s">
        <v>1323</v>
      </c>
      <c r="C657" t="s">
        <v>1324</v>
      </c>
    </row>
    <row r="658" spans="1:3" x14ac:dyDescent="0.2">
      <c r="A658" t="s">
        <v>1242</v>
      </c>
      <c r="B658" t="s">
        <v>1325</v>
      </c>
      <c r="C658" t="s">
        <v>1326</v>
      </c>
    </row>
    <row r="659" spans="1:3" x14ac:dyDescent="0.2">
      <c r="A659" t="s">
        <v>1242</v>
      </c>
      <c r="B659" t="s">
        <v>1327</v>
      </c>
      <c r="C659" t="s">
        <v>1328</v>
      </c>
    </row>
    <row r="660" spans="1:3" x14ac:dyDescent="0.2">
      <c r="A660" t="s">
        <v>1242</v>
      </c>
      <c r="B660" t="s">
        <v>1329</v>
      </c>
      <c r="C660" t="s">
        <v>1330</v>
      </c>
    </row>
    <row r="661" spans="1:3" x14ac:dyDescent="0.2">
      <c r="A661" t="s">
        <v>1242</v>
      </c>
      <c r="B661" t="s">
        <v>1331</v>
      </c>
      <c r="C661" t="s">
        <v>1332</v>
      </c>
    </row>
    <row r="662" spans="1:3" x14ac:dyDescent="0.2">
      <c r="A662" t="s">
        <v>1242</v>
      </c>
      <c r="B662" t="s">
        <v>1333</v>
      </c>
      <c r="C662" t="s">
        <v>1334</v>
      </c>
    </row>
    <row r="663" spans="1:3" x14ac:dyDescent="0.2">
      <c r="A663" t="s">
        <v>1242</v>
      </c>
      <c r="B663" t="s">
        <v>1335</v>
      </c>
      <c r="C663" t="s">
        <v>1336</v>
      </c>
    </row>
    <row r="664" spans="1:3" x14ac:dyDescent="0.2">
      <c r="A664" t="s">
        <v>1242</v>
      </c>
      <c r="B664" t="s">
        <v>1337</v>
      </c>
      <c r="C664" t="s">
        <v>1338</v>
      </c>
    </row>
    <row r="665" spans="1:3" x14ac:dyDescent="0.2">
      <c r="A665" t="s">
        <v>1242</v>
      </c>
      <c r="B665" t="s">
        <v>1339</v>
      </c>
      <c r="C665" t="s">
        <v>1340</v>
      </c>
    </row>
    <row r="666" spans="1:3" x14ac:dyDescent="0.2">
      <c r="A666" t="s">
        <v>1242</v>
      </c>
      <c r="B666" t="s">
        <v>1341</v>
      </c>
      <c r="C666" t="s">
        <v>1342</v>
      </c>
    </row>
    <row r="667" spans="1:3" x14ac:dyDescent="0.2">
      <c r="A667" t="s">
        <v>1242</v>
      </c>
      <c r="B667" t="s">
        <v>1343</v>
      </c>
      <c r="C667" t="s">
        <v>1344</v>
      </c>
    </row>
    <row r="668" spans="1:3" x14ac:dyDescent="0.2">
      <c r="A668" t="s">
        <v>1242</v>
      </c>
      <c r="B668" t="s">
        <v>1345</v>
      </c>
      <c r="C668" t="s">
        <v>1346</v>
      </c>
    </row>
    <row r="669" spans="1:3" x14ac:dyDescent="0.2">
      <c r="A669" t="s">
        <v>1242</v>
      </c>
      <c r="B669" t="s">
        <v>1347</v>
      </c>
      <c r="C669" t="s">
        <v>1348</v>
      </c>
    </row>
    <row r="670" spans="1:3" x14ac:dyDescent="0.2">
      <c r="A670" t="s">
        <v>1242</v>
      </c>
      <c r="B670" t="s">
        <v>1349</v>
      </c>
      <c r="C670" t="s">
        <v>1350</v>
      </c>
    </row>
    <row r="671" spans="1:3" x14ac:dyDescent="0.2">
      <c r="A671" t="s">
        <v>1242</v>
      </c>
      <c r="B671" t="s">
        <v>1351</v>
      </c>
      <c r="C671" t="s">
        <v>1352</v>
      </c>
    </row>
    <row r="672" spans="1:3" x14ac:dyDescent="0.2">
      <c r="A672" t="s">
        <v>1242</v>
      </c>
      <c r="B672" t="s">
        <v>1353</v>
      </c>
      <c r="C672" t="s">
        <v>1354</v>
      </c>
    </row>
    <row r="673" spans="1:3" x14ac:dyDescent="0.2">
      <c r="A673" t="s">
        <v>1242</v>
      </c>
      <c r="B673" t="s">
        <v>1355</v>
      </c>
      <c r="C673" t="s">
        <v>1356</v>
      </c>
    </row>
    <row r="674" spans="1:3" x14ac:dyDescent="0.2">
      <c r="A674" t="s">
        <v>1242</v>
      </c>
      <c r="B674" t="s">
        <v>1357</v>
      </c>
      <c r="C674" t="s">
        <v>1358</v>
      </c>
    </row>
    <row r="675" spans="1:3" x14ac:dyDescent="0.2">
      <c r="A675" t="s">
        <v>1242</v>
      </c>
      <c r="B675" t="s">
        <v>1359</v>
      </c>
      <c r="C675" t="s">
        <v>1360</v>
      </c>
    </row>
    <row r="676" spans="1:3" x14ac:dyDescent="0.2">
      <c r="A676" t="s">
        <v>1242</v>
      </c>
      <c r="B676" t="s">
        <v>1361</v>
      </c>
      <c r="C676" t="s">
        <v>1362</v>
      </c>
    </row>
    <row r="677" spans="1:3" x14ac:dyDescent="0.2">
      <c r="A677" t="s">
        <v>1242</v>
      </c>
      <c r="B677" t="s">
        <v>1363</v>
      </c>
      <c r="C677" t="s">
        <v>1364</v>
      </c>
    </row>
    <row r="678" spans="1:3" x14ac:dyDescent="0.2">
      <c r="A678" t="s">
        <v>1242</v>
      </c>
      <c r="B678" t="s">
        <v>1365</v>
      </c>
      <c r="C678" t="s">
        <v>1366</v>
      </c>
    </row>
    <row r="679" spans="1:3" x14ac:dyDescent="0.2">
      <c r="A679" t="s">
        <v>1242</v>
      </c>
      <c r="B679" t="s">
        <v>1367</v>
      </c>
      <c r="C679" t="s">
        <v>1368</v>
      </c>
    </row>
    <row r="680" spans="1:3" x14ac:dyDescent="0.2">
      <c r="A680" t="s">
        <v>1242</v>
      </c>
      <c r="B680" t="s">
        <v>1369</v>
      </c>
      <c r="C680" t="s">
        <v>1370</v>
      </c>
    </row>
    <row r="681" spans="1:3" x14ac:dyDescent="0.2">
      <c r="A681" t="s">
        <v>1242</v>
      </c>
      <c r="B681" t="s">
        <v>1371</v>
      </c>
      <c r="C681" t="s">
        <v>1372</v>
      </c>
    </row>
    <row r="682" spans="1:3" x14ac:dyDescent="0.2">
      <c r="A682" t="s">
        <v>1242</v>
      </c>
      <c r="B682" t="s">
        <v>1373</v>
      </c>
      <c r="C682" t="s">
        <v>1374</v>
      </c>
    </row>
    <row r="683" spans="1:3" x14ac:dyDescent="0.2">
      <c r="A683" t="s">
        <v>1242</v>
      </c>
      <c r="B683" t="s">
        <v>1375</v>
      </c>
      <c r="C683" t="s">
        <v>1376</v>
      </c>
    </row>
    <row r="684" spans="1:3" x14ac:dyDescent="0.2">
      <c r="A684" t="s">
        <v>1242</v>
      </c>
      <c r="B684" t="s">
        <v>1377</v>
      </c>
      <c r="C684" t="s">
        <v>1378</v>
      </c>
    </row>
    <row r="685" spans="1:3" x14ac:dyDescent="0.2">
      <c r="A685" t="s">
        <v>1242</v>
      </c>
      <c r="B685" t="s">
        <v>1379</v>
      </c>
      <c r="C685" t="s">
        <v>1380</v>
      </c>
    </row>
    <row r="686" spans="1:3" x14ac:dyDescent="0.2">
      <c r="A686" t="s">
        <v>1242</v>
      </c>
      <c r="B686" t="s">
        <v>1381</v>
      </c>
      <c r="C686" t="s">
        <v>1382</v>
      </c>
    </row>
    <row r="687" spans="1:3" x14ac:dyDescent="0.2">
      <c r="A687" t="s">
        <v>1242</v>
      </c>
      <c r="B687" t="s">
        <v>1383</v>
      </c>
      <c r="C687" t="s">
        <v>1384</v>
      </c>
    </row>
    <row r="688" spans="1:3" x14ac:dyDescent="0.2">
      <c r="A688" t="s">
        <v>1242</v>
      </c>
      <c r="B688" t="s">
        <v>1385</v>
      </c>
      <c r="C688" t="s">
        <v>1386</v>
      </c>
    </row>
    <row r="689" spans="1:3" x14ac:dyDescent="0.2">
      <c r="A689" t="s">
        <v>1242</v>
      </c>
      <c r="B689" t="s">
        <v>1387</v>
      </c>
      <c r="C689" t="s">
        <v>1388</v>
      </c>
    </row>
    <row r="690" spans="1:3" x14ac:dyDescent="0.2">
      <c r="A690" t="s">
        <v>1242</v>
      </c>
      <c r="B690" t="s">
        <v>1389</v>
      </c>
      <c r="C690" t="s">
        <v>1390</v>
      </c>
    </row>
    <row r="691" spans="1:3" x14ac:dyDescent="0.2">
      <c r="A691" t="s">
        <v>1242</v>
      </c>
      <c r="B691" t="s">
        <v>1391</v>
      </c>
      <c r="C691" t="s">
        <v>1392</v>
      </c>
    </row>
    <row r="692" spans="1:3" x14ac:dyDescent="0.2">
      <c r="A692" t="s">
        <v>1242</v>
      </c>
      <c r="B692" t="s">
        <v>1393</v>
      </c>
      <c r="C692" t="s">
        <v>1394</v>
      </c>
    </row>
    <row r="693" spans="1:3" x14ac:dyDescent="0.2">
      <c r="A693" t="s">
        <v>1242</v>
      </c>
      <c r="B693" t="s">
        <v>1395</v>
      </c>
      <c r="C693" t="s">
        <v>1396</v>
      </c>
    </row>
    <row r="694" spans="1:3" x14ac:dyDescent="0.2">
      <c r="A694" t="s">
        <v>1242</v>
      </c>
      <c r="B694" t="s">
        <v>1397</v>
      </c>
      <c r="C694" t="s">
        <v>1398</v>
      </c>
    </row>
    <row r="695" spans="1:3" x14ac:dyDescent="0.2">
      <c r="A695" t="s">
        <v>1242</v>
      </c>
      <c r="B695" t="s">
        <v>1399</v>
      </c>
      <c r="C695" t="s">
        <v>1400</v>
      </c>
    </row>
    <row r="696" spans="1:3" x14ac:dyDescent="0.2">
      <c r="A696" t="s">
        <v>1242</v>
      </c>
      <c r="B696" t="s">
        <v>1401</v>
      </c>
      <c r="C696" t="s">
        <v>1402</v>
      </c>
    </row>
    <row r="697" spans="1:3" x14ac:dyDescent="0.2">
      <c r="A697" t="s">
        <v>1242</v>
      </c>
      <c r="B697" t="s">
        <v>1403</v>
      </c>
      <c r="C697" t="s">
        <v>1404</v>
      </c>
    </row>
    <row r="698" spans="1:3" x14ac:dyDescent="0.2">
      <c r="A698" t="s">
        <v>1242</v>
      </c>
      <c r="B698" t="s">
        <v>1405</v>
      </c>
      <c r="C698" t="s">
        <v>1406</v>
      </c>
    </row>
    <row r="699" spans="1:3" x14ac:dyDescent="0.2">
      <c r="A699" t="s">
        <v>1242</v>
      </c>
      <c r="B699" t="s">
        <v>1407</v>
      </c>
      <c r="C699" t="s">
        <v>1408</v>
      </c>
    </row>
    <row r="700" spans="1:3" x14ac:dyDescent="0.2">
      <c r="A700" t="s">
        <v>1242</v>
      </c>
      <c r="B700" t="s">
        <v>1409</v>
      </c>
      <c r="C700" t="s">
        <v>1410</v>
      </c>
    </row>
    <row r="701" spans="1:3" x14ac:dyDescent="0.2">
      <c r="A701" t="s">
        <v>1242</v>
      </c>
      <c r="B701" t="s">
        <v>1411</v>
      </c>
      <c r="C701" t="s">
        <v>1412</v>
      </c>
    </row>
    <row r="702" spans="1:3" x14ac:dyDescent="0.2">
      <c r="A702" t="s">
        <v>1242</v>
      </c>
      <c r="B702" t="s">
        <v>1413</v>
      </c>
      <c r="C702" t="s">
        <v>1414</v>
      </c>
    </row>
    <row r="703" spans="1:3" x14ac:dyDescent="0.2">
      <c r="A703" t="s">
        <v>1242</v>
      </c>
      <c r="B703" t="s">
        <v>1415</v>
      </c>
      <c r="C703" t="s">
        <v>1416</v>
      </c>
    </row>
    <row r="704" spans="1:3" x14ac:dyDescent="0.2">
      <c r="A704" t="s">
        <v>1242</v>
      </c>
      <c r="B704" t="s">
        <v>1417</v>
      </c>
      <c r="C704" t="s">
        <v>1418</v>
      </c>
    </row>
    <row r="705" spans="1:3" x14ac:dyDescent="0.2">
      <c r="A705" t="s">
        <v>1242</v>
      </c>
      <c r="B705" t="s">
        <v>1419</v>
      </c>
      <c r="C705" t="s">
        <v>1420</v>
      </c>
    </row>
    <row r="706" spans="1:3" x14ac:dyDescent="0.2">
      <c r="A706" t="s">
        <v>1242</v>
      </c>
      <c r="B706" t="s">
        <v>1421</v>
      </c>
      <c r="C706" t="s">
        <v>1422</v>
      </c>
    </row>
    <row r="707" spans="1:3" x14ac:dyDescent="0.2">
      <c r="A707" t="s">
        <v>1242</v>
      </c>
      <c r="B707" t="s">
        <v>1423</v>
      </c>
      <c r="C707" t="s">
        <v>1424</v>
      </c>
    </row>
    <row r="708" spans="1:3" x14ac:dyDescent="0.2">
      <c r="A708" t="s">
        <v>1242</v>
      </c>
      <c r="B708" t="s">
        <v>1425</v>
      </c>
      <c r="C708" t="s">
        <v>1426</v>
      </c>
    </row>
    <row r="709" spans="1:3" x14ac:dyDescent="0.2">
      <c r="A709" t="s">
        <v>1242</v>
      </c>
      <c r="B709" t="s">
        <v>1427</v>
      </c>
      <c r="C709" t="s">
        <v>1428</v>
      </c>
    </row>
    <row r="711" spans="1:3" x14ac:dyDescent="0.2">
      <c r="A711" t="s">
        <v>1429</v>
      </c>
      <c r="B711" t="s">
        <v>1243</v>
      </c>
      <c r="C711" t="s">
        <v>1244</v>
      </c>
    </row>
    <row r="712" spans="1:3" x14ac:dyDescent="0.2">
      <c r="A712" t="s">
        <v>1429</v>
      </c>
      <c r="B712" t="s">
        <v>1245</v>
      </c>
      <c r="C712" t="s">
        <v>1246</v>
      </c>
    </row>
    <row r="713" spans="1:3" x14ac:dyDescent="0.2">
      <c r="A713" t="s">
        <v>1429</v>
      </c>
      <c r="B713" t="s">
        <v>1247</v>
      </c>
      <c r="C713" t="s">
        <v>1248</v>
      </c>
    </row>
    <row r="714" spans="1:3" x14ac:dyDescent="0.2">
      <c r="A714" t="s">
        <v>1429</v>
      </c>
      <c r="B714" t="s">
        <v>1249</v>
      </c>
      <c r="C714" t="s">
        <v>1250</v>
      </c>
    </row>
    <row r="715" spans="1:3" x14ac:dyDescent="0.2">
      <c r="A715" t="s">
        <v>1429</v>
      </c>
      <c r="B715" t="s">
        <v>1251</v>
      </c>
      <c r="C715" t="s">
        <v>1252</v>
      </c>
    </row>
    <row r="716" spans="1:3" x14ac:dyDescent="0.2">
      <c r="A716" t="s">
        <v>1429</v>
      </c>
      <c r="B716" t="s">
        <v>1253</v>
      </c>
      <c r="C716" t="s">
        <v>1254</v>
      </c>
    </row>
    <row r="717" spans="1:3" x14ac:dyDescent="0.2">
      <c r="A717" t="s">
        <v>1429</v>
      </c>
      <c r="B717" t="s">
        <v>1255</v>
      </c>
      <c r="C717" t="s">
        <v>1256</v>
      </c>
    </row>
    <row r="718" spans="1:3" x14ac:dyDescent="0.2">
      <c r="A718" t="s">
        <v>1429</v>
      </c>
      <c r="B718" t="s">
        <v>1257</v>
      </c>
      <c r="C718" t="s">
        <v>1258</v>
      </c>
    </row>
    <row r="719" spans="1:3" x14ac:dyDescent="0.2">
      <c r="A719" t="s">
        <v>1429</v>
      </c>
      <c r="B719" t="s">
        <v>1259</v>
      </c>
      <c r="C719" t="s">
        <v>1260</v>
      </c>
    </row>
    <row r="720" spans="1:3" x14ac:dyDescent="0.2">
      <c r="A720" t="s">
        <v>1429</v>
      </c>
      <c r="B720" t="s">
        <v>1261</v>
      </c>
      <c r="C720" t="s">
        <v>1262</v>
      </c>
    </row>
    <row r="721" spans="1:3" x14ac:dyDescent="0.2">
      <c r="A721" t="s">
        <v>1429</v>
      </c>
      <c r="B721" t="s">
        <v>1263</v>
      </c>
      <c r="C721" t="s">
        <v>1264</v>
      </c>
    </row>
    <row r="722" spans="1:3" x14ac:dyDescent="0.2">
      <c r="A722" t="s">
        <v>1429</v>
      </c>
      <c r="B722" t="s">
        <v>1265</v>
      </c>
      <c r="C722" t="s">
        <v>1266</v>
      </c>
    </row>
    <row r="723" spans="1:3" x14ac:dyDescent="0.2">
      <c r="A723" t="s">
        <v>1429</v>
      </c>
      <c r="B723" t="s">
        <v>1267</v>
      </c>
      <c r="C723" t="s">
        <v>1268</v>
      </c>
    </row>
    <row r="724" spans="1:3" x14ac:dyDescent="0.2">
      <c r="A724" t="s">
        <v>1429</v>
      </c>
      <c r="B724" t="s">
        <v>1269</v>
      </c>
      <c r="C724" t="s">
        <v>1270</v>
      </c>
    </row>
    <row r="725" spans="1:3" x14ac:dyDescent="0.2">
      <c r="A725" t="s">
        <v>1429</v>
      </c>
      <c r="B725" t="s">
        <v>1271</v>
      </c>
      <c r="C725" t="s">
        <v>1272</v>
      </c>
    </row>
    <row r="726" spans="1:3" x14ac:dyDescent="0.2">
      <c r="A726" t="s">
        <v>1429</v>
      </c>
      <c r="B726" t="s">
        <v>1273</v>
      </c>
      <c r="C726" t="s">
        <v>1274</v>
      </c>
    </row>
    <row r="727" spans="1:3" x14ac:dyDescent="0.2">
      <c r="A727" t="s">
        <v>1429</v>
      </c>
      <c r="B727" t="s">
        <v>1275</v>
      </c>
      <c r="C727" t="s">
        <v>1276</v>
      </c>
    </row>
    <row r="728" spans="1:3" x14ac:dyDescent="0.2">
      <c r="A728" t="s">
        <v>1429</v>
      </c>
      <c r="B728" t="s">
        <v>1277</v>
      </c>
      <c r="C728" t="s">
        <v>1278</v>
      </c>
    </row>
    <row r="729" spans="1:3" x14ac:dyDescent="0.2">
      <c r="A729" t="s">
        <v>1429</v>
      </c>
      <c r="B729" t="s">
        <v>1279</v>
      </c>
      <c r="C729" t="s">
        <v>1280</v>
      </c>
    </row>
    <row r="730" spans="1:3" x14ac:dyDescent="0.2">
      <c r="A730" t="s">
        <v>1429</v>
      </c>
      <c r="B730" t="s">
        <v>1281</v>
      </c>
      <c r="C730" t="s">
        <v>1282</v>
      </c>
    </row>
    <row r="731" spans="1:3" x14ac:dyDescent="0.2">
      <c r="A731" t="s">
        <v>1429</v>
      </c>
      <c r="B731" t="s">
        <v>1283</v>
      </c>
      <c r="C731" t="s">
        <v>1284</v>
      </c>
    </row>
    <row r="732" spans="1:3" x14ac:dyDescent="0.2">
      <c r="A732" t="s">
        <v>1429</v>
      </c>
      <c r="B732" t="s">
        <v>1285</v>
      </c>
      <c r="C732" t="s">
        <v>1286</v>
      </c>
    </row>
    <row r="733" spans="1:3" x14ac:dyDescent="0.2">
      <c r="A733" t="s">
        <v>1429</v>
      </c>
      <c r="B733" t="s">
        <v>1287</v>
      </c>
      <c r="C733" t="s">
        <v>1288</v>
      </c>
    </row>
    <row r="734" spans="1:3" x14ac:dyDescent="0.2">
      <c r="A734" t="s">
        <v>1429</v>
      </c>
      <c r="B734" t="s">
        <v>1289</v>
      </c>
      <c r="C734" t="s">
        <v>1290</v>
      </c>
    </row>
    <row r="735" spans="1:3" x14ac:dyDescent="0.2">
      <c r="A735" t="s">
        <v>1429</v>
      </c>
      <c r="B735" t="s">
        <v>1291</v>
      </c>
      <c r="C735" t="s">
        <v>1292</v>
      </c>
    </row>
    <row r="736" spans="1:3" x14ac:dyDescent="0.2">
      <c r="A736" t="s">
        <v>1429</v>
      </c>
      <c r="B736" t="s">
        <v>1293</v>
      </c>
      <c r="C736" t="s">
        <v>1294</v>
      </c>
    </row>
    <row r="737" spans="1:3" x14ac:dyDescent="0.2">
      <c r="A737" t="s">
        <v>1429</v>
      </c>
      <c r="B737" t="s">
        <v>1295</v>
      </c>
      <c r="C737" t="s">
        <v>1296</v>
      </c>
    </row>
    <row r="738" spans="1:3" x14ac:dyDescent="0.2">
      <c r="A738" t="s">
        <v>1429</v>
      </c>
      <c r="B738" t="s">
        <v>1297</v>
      </c>
      <c r="C738" t="s">
        <v>1298</v>
      </c>
    </row>
    <row r="739" spans="1:3" x14ac:dyDescent="0.2">
      <c r="A739" t="s">
        <v>1429</v>
      </c>
      <c r="B739" t="s">
        <v>1299</v>
      </c>
      <c r="C739" t="s">
        <v>1300</v>
      </c>
    </row>
    <row r="740" spans="1:3" x14ac:dyDescent="0.2">
      <c r="A740" t="s">
        <v>1429</v>
      </c>
      <c r="B740" t="s">
        <v>1301</v>
      </c>
      <c r="C740" t="s">
        <v>1302</v>
      </c>
    </row>
    <row r="741" spans="1:3" x14ac:dyDescent="0.2">
      <c r="A741" t="s">
        <v>1429</v>
      </c>
      <c r="B741" t="s">
        <v>1303</v>
      </c>
      <c r="C741" t="s">
        <v>1304</v>
      </c>
    </row>
    <row r="742" spans="1:3" x14ac:dyDescent="0.2">
      <c r="A742" t="s">
        <v>1429</v>
      </c>
      <c r="B742" t="s">
        <v>1305</v>
      </c>
      <c r="C742" t="s">
        <v>1306</v>
      </c>
    </row>
    <row r="743" spans="1:3" x14ac:dyDescent="0.2">
      <c r="A743" t="s">
        <v>1429</v>
      </c>
      <c r="B743" t="s">
        <v>1307</v>
      </c>
      <c r="C743" t="s">
        <v>1308</v>
      </c>
    </row>
    <row r="744" spans="1:3" x14ac:dyDescent="0.2">
      <c r="A744" t="s">
        <v>1429</v>
      </c>
      <c r="B744" t="s">
        <v>1309</v>
      </c>
      <c r="C744" t="s">
        <v>1310</v>
      </c>
    </row>
    <row r="745" spans="1:3" x14ac:dyDescent="0.2">
      <c r="A745" t="s">
        <v>1429</v>
      </c>
      <c r="B745" t="s">
        <v>1311</v>
      </c>
      <c r="C745" t="s">
        <v>1312</v>
      </c>
    </row>
    <row r="746" spans="1:3" x14ac:dyDescent="0.2">
      <c r="A746" t="s">
        <v>1429</v>
      </c>
      <c r="B746" t="s">
        <v>1313</v>
      </c>
      <c r="C746" t="s">
        <v>1314</v>
      </c>
    </row>
    <row r="747" spans="1:3" x14ac:dyDescent="0.2">
      <c r="A747" t="s">
        <v>1429</v>
      </c>
      <c r="B747" t="s">
        <v>1315</v>
      </c>
      <c r="C747" t="s">
        <v>1316</v>
      </c>
    </row>
    <row r="748" spans="1:3" x14ac:dyDescent="0.2">
      <c r="A748" t="s">
        <v>1429</v>
      </c>
      <c r="B748" t="s">
        <v>1317</v>
      </c>
      <c r="C748" t="s">
        <v>1318</v>
      </c>
    </row>
    <row r="749" spans="1:3" x14ac:dyDescent="0.2">
      <c r="A749" t="s">
        <v>1429</v>
      </c>
      <c r="B749" t="s">
        <v>1319</v>
      </c>
      <c r="C749" t="s">
        <v>1320</v>
      </c>
    </row>
    <row r="750" spans="1:3" x14ac:dyDescent="0.2">
      <c r="A750" t="s">
        <v>1429</v>
      </c>
      <c r="B750" t="s">
        <v>1321</v>
      </c>
      <c r="C750" t="s">
        <v>1322</v>
      </c>
    </row>
    <row r="751" spans="1:3" x14ac:dyDescent="0.2">
      <c r="A751" t="s">
        <v>1429</v>
      </c>
      <c r="B751" t="s">
        <v>1323</v>
      </c>
      <c r="C751" t="s">
        <v>1324</v>
      </c>
    </row>
    <row r="752" spans="1:3" x14ac:dyDescent="0.2">
      <c r="A752" t="s">
        <v>1429</v>
      </c>
      <c r="B752" t="s">
        <v>1325</v>
      </c>
      <c r="C752" t="s">
        <v>1326</v>
      </c>
    </row>
    <row r="753" spans="1:3" x14ac:dyDescent="0.2">
      <c r="A753" t="s">
        <v>1429</v>
      </c>
      <c r="B753" t="s">
        <v>1327</v>
      </c>
      <c r="C753" t="s">
        <v>1328</v>
      </c>
    </row>
    <row r="754" spans="1:3" x14ac:dyDescent="0.2">
      <c r="A754" t="s">
        <v>1429</v>
      </c>
      <c r="B754" t="s">
        <v>1329</v>
      </c>
      <c r="C754" t="s">
        <v>1330</v>
      </c>
    </row>
    <row r="755" spans="1:3" x14ac:dyDescent="0.2">
      <c r="A755" t="s">
        <v>1429</v>
      </c>
      <c r="B755" t="s">
        <v>1331</v>
      </c>
      <c r="C755" t="s">
        <v>1332</v>
      </c>
    </row>
    <row r="756" spans="1:3" x14ac:dyDescent="0.2">
      <c r="A756" t="s">
        <v>1429</v>
      </c>
      <c r="B756" t="s">
        <v>1333</v>
      </c>
      <c r="C756" t="s">
        <v>1334</v>
      </c>
    </row>
    <row r="757" spans="1:3" x14ac:dyDescent="0.2">
      <c r="A757" t="s">
        <v>1429</v>
      </c>
      <c r="B757" t="s">
        <v>1335</v>
      </c>
      <c r="C757" t="s">
        <v>1336</v>
      </c>
    </row>
    <row r="758" spans="1:3" x14ac:dyDescent="0.2">
      <c r="A758" t="s">
        <v>1429</v>
      </c>
      <c r="B758" t="s">
        <v>1337</v>
      </c>
      <c r="C758" t="s">
        <v>1338</v>
      </c>
    </row>
    <row r="759" spans="1:3" x14ac:dyDescent="0.2">
      <c r="A759" t="s">
        <v>1429</v>
      </c>
      <c r="B759" t="s">
        <v>1339</v>
      </c>
      <c r="C759" t="s">
        <v>1340</v>
      </c>
    </row>
    <row r="760" spans="1:3" x14ac:dyDescent="0.2">
      <c r="A760" t="s">
        <v>1429</v>
      </c>
      <c r="B760" t="s">
        <v>1341</v>
      </c>
      <c r="C760" t="s">
        <v>1342</v>
      </c>
    </row>
    <row r="761" spans="1:3" x14ac:dyDescent="0.2">
      <c r="A761" t="s">
        <v>1429</v>
      </c>
      <c r="B761" t="s">
        <v>1343</v>
      </c>
      <c r="C761" t="s">
        <v>1344</v>
      </c>
    </row>
    <row r="762" spans="1:3" x14ac:dyDescent="0.2">
      <c r="A762" t="s">
        <v>1429</v>
      </c>
      <c r="B762" t="s">
        <v>1345</v>
      </c>
      <c r="C762" t="s">
        <v>1346</v>
      </c>
    </row>
    <row r="763" spans="1:3" x14ac:dyDescent="0.2">
      <c r="A763" t="s">
        <v>1429</v>
      </c>
      <c r="B763" t="s">
        <v>1347</v>
      </c>
      <c r="C763" t="s">
        <v>1348</v>
      </c>
    </row>
    <row r="764" spans="1:3" x14ac:dyDescent="0.2">
      <c r="A764" t="s">
        <v>1429</v>
      </c>
      <c r="B764" t="s">
        <v>1349</v>
      </c>
      <c r="C764" t="s">
        <v>1350</v>
      </c>
    </row>
    <row r="765" spans="1:3" x14ac:dyDescent="0.2">
      <c r="A765" t="s">
        <v>1429</v>
      </c>
      <c r="B765" t="s">
        <v>1351</v>
      </c>
      <c r="C765" t="s">
        <v>1352</v>
      </c>
    </row>
    <row r="766" spans="1:3" x14ac:dyDescent="0.2">
      <c r="A766" t="s">
        <v>1429</v>
      </c>
      <c r="B766" t="s">
        <v>1353</v>
      </c>
      <c r="C766" t="s">
        <v>1354</v>
      </c>
    </row>
    <row r="767" spans="1:3" x14ac:dyDescent="0.2">
      <c r="A767" t="s">
        <v>1429</v>
      </c>
      <c r="B767" t="s">
        <v>1355</v>
      </c>
      <c r="C767" t="s">
        <v>1356</v>
      </c>
    </row>
    <row r="768" spans="1:3" x14ac:dyDescent="0.2">
      <c r="A768" t="s">
        <v>1429</v>
      </c>
      <c r="B768" t="s">
        <v>1357</v>
      </c>
      <c r="C768" t="s">
        <v>1358</v>
      </c>
    </row>
    <row r="769" spans="1:3" x14ac:dyDescent="0.2">
      <c r="A769" t="s">
        <v>1429</v>
      </c>
      <c r="B769" t="s">
        <v>1359</v>
      </c>
      <c r="C769" t="s">
        <v>1360</v>
      </c>
    </row>
    <row r="770" spans="1:3" x14ac:dyDescent="0.2">
      <c r="A770" t="s">
        <v>1429</v>
      </c>
      <c r="B770" t="s">
        <v>1361</v>
      </c>
      <c r="C770" t="s">
        <v>1362</v>
      </c>
    </row>
    <row r="771" spans="1:3" x14ac:dyDescent="0.2">
      <c r="A771" t="s">
        <v>1429</v>
      </c>
      <c r="B771" t="s">
        <v>1363</v>
      </c>
      <c r="C771" t="s">
        <v>1364</v>
      </c>
    </row>
    <row r="772" spans="1:3" x14ac:dyDescent="0.2">
      <c r="A772" t="s">
        <v>1429</v>
      </c>
      <c r="B772" t="s">
        <v>1365</v>
      </c>
      <c r="C772" t="s">
        <v>1366</v>
      </c>
    </row>
    <row r="773" spans="1:3" x14ac:dyDescent="0.2">
      <c r="A773" t="s">
        <v>1429</v>
      </c>
      <c r="B773" t="s">
        <v>1367</v>
      </c>
      <c r="C773" t="s">
        <v>1368</v>
      </c>
    </row>
    <row r="774" spans="1:3" x14ac:dyDescent="0.2">
      <c r="A774" t="s">
        <v>1429</v>
      </c>
      <c r="B774" t="s">
        <v>1369</v>
      </c>
      <c r="C774" t="s">
        <v>1370</v>
      </c>
    </row>
    <row r="775" spans="1:3" x14ac:dyDescent="0.2">
      <c r="A775" t="s">
        <v>1429</v>
      </c>
      <c r="B775" t="s">
        <v>1371</v>
      </c>
      <c r="C775" t="s">
        <v>1372</v>
      </c>
    </row>
    <row r="776" spans="1:3" x14ac:dyDescent="0.2">
      <c r="A776" t="s">
        <v>1429</v>
      </c>
      <c r="B776" t="s">
        <v>1373</v>
      </c>
      <c r="C776" t="s">
        <v>1374</v>
      </c>
    </row>
    <row r="777" spans="1:3" x14ac:dyDescent="0.2">
      <c r="A777" t="s">
        <v>1429</v>
      </c>
      <c r="B777" t="s">
        <v>1375</v>
      </c>
      <c r="C777" t="s">
        <v>1376</v>
      </c>
    </row>
    <row r="778" spans="1:3" x14ac:dyDescent="0.2">
      <c r="A778" t="s">
        <v>1429</v>
      </c>
      <c r="B778" t="s">
        <v>1377</v>
      </c>
      <c r="C778" t="s">
        <v>1378</v>
      </c>
    </row>
    <row r="779" spans="1:3" x14ac:dyDescent="0.2">
      <c r="A779" t="s">
        <v>1429</v>
      </c>
      <c r="B779" t="s">
        <v>1379</v>
      </c>
      <c r="C779" t="s">
        <v>1380</v>
      </c>
    </row>
    <row r="780" spans="1:3" x14ac:dyDescent="0.2">
      <c r="A780" t="s">
        <v>1429</v>
      </c>
      <c r="B780" t="s">
        <v>1381</v>
      </c>
      <c r="C780" t="s">
        <v>1382</v>
      </c>
    </row>
    <row r="781" spans="1:3" x14ac:dyDescent="0.2">
      <c r="A781" t="s">
        <v>1429</v>
      </c>
      <c r="B781" t="s">
        <v>1383</v>
      </c>
      <c r="C781" t="s">
        <v>1384</v>
      </c>
    </row>
    <row r="782" spans="1:3" x14ac:dyDescent="0.2">
      <c r="A782" t="s">
        <v>1429</v>
      </c>
      <c r="B782" t="s">
        <v>1385</v>
      </c>
      <c r="C782" t="s">
        <v>1386</v>
      </c>
    </row>
    <row r="783" spans="1:3" x14ac:dyDescent="0.2">
      <c r="A783" t="s">
        <v>1429</v>
      </c>
      <c r="B783" t="s">
        <v>1387</v>
      </c>
      <c r="C783" t="s">
        <v>1388</v>
      </c>
    </row>
    <row r="784" spans="1:3" x14ac:dyDescent="0.2">
      <c r="A784" t="s">
        <v>1429</v>
      </c>
      <c r="B784" t="s">
        <v>1389</v>
      </c>
      <c r="C784" t="s">
        <v>1390</v>
      </c>
    </row>
    <row r="785" spans="1:3" x14ac:dyDescent="0.2">
      <c r="A785" t="s">
        <v>1429</v>
      </c>
      <c r="B785" t="s">
        <v>1391</v>
      </c>
      <c r="C785" t="s">
        <v>1392</v>
      </c>
    </row>
    <row r="786" spans="1:3" x14ac:dyDescent="0.2">
      <c r="A786" t="s">
        <v>1429</v>
      </c>
      <c r="B786" t="s">
        <v>1393</v>
      </c>
      <c r="C786" t="s">
        <v>1394</v>
      </c>
    </row>
    <row r="787" spans="1:3" x14ac:dyDescent="0.2">
      <c r="A787" t="s">
        <v>1429</v>
      </c>
      <c r="B787" t="s">
        <v>1395</v>
      </c>
      <c r="C787" t="s">
        <v>1396</v>
      </c>
    </row>
    <row r="788" spans="1:3" x14ac:dyDescent="0.2">
      <c r="A788" t="s">
        <v>1429</v>
      </c>
      <c r="B788" t="s">
        <v>1397</v>
      </c>
      <c r="C788" t="s">
        <v>1398</v>
      </c>
    </row>
    <row r="789" spans="1:3" x14ac:dyDescent="0.2">
      <c r="A789" t="s">
        <v>1429</v>
      </c>
      <c r="B789" t="s">
        <v>1399</v>
      </c>
      <c r="C789" t="s">
        <v>1400</v>
      </c>
    </row>
    <row r="790" spans="1:3" x14ac:dyDescent="0.2">
      <c r="A790" t="s">
        <v>1429</v>
      </c>
      <c r="B790" t="s">
        <v>1401</v>
      </c>
      <c r="C790" t="s">
        <v>1402</v>
      </c>
    </row>
    <row r="791" spans="1:3" x14ac:dyDescent="0.2">
      <c r="A791" t="s">
        <v>1429</v>
      </c>
      <c r="B791" t="s">
        <v>1403</v>
      </c>
      <c r="C791" t="s">
        <v>1404</v>
      </c>
    </row>
    <row r="792" spans="1:3" x14ac:dyDescent="0.2">
      <c r="A792" t="s">
        <v>1429</v>
      </c>
      <c r="B792" t="s">
        <v>1405</v>
      </c>
      <c r="C792" t="s">
        <v>1406</v>
      </c>
    </row>
    <row r="793" spans="1:3" x14ac:dyDescent="0.2">
      <c r="A793" t="s">
        <v>1429</v>
      </c>
      <c r="B793" t="s">
        <v>1407</v>
      </c>
      <c r="C793" t="s">
        <v>1408</v>
      </c>
    </row>
    <row r="794" spans="1:3" x14ac:dyDescent="0.2">
      <c r="A794" t="s">
        <v>1429</v>
      </c>
      <c r="B794" t="s">
        <v>1409</v>
      </c>
      <c r="C794" t="s">
        <v>1410</v>
      </c>
    </row>
    <row r="795" spans="1:3" x14ac:dyDescent="0.2">
      <c r="A795" t="s">
        <v>1429</v>
      </c>
      <c r="B795" t="s">
        <v>1411</v>
      </c>
      <c r="C795" t="s">
        <v>1412</v>
      </c>
    </row>
    <row r="796" spans="1:3" x14ac:dyDescent="0.2">
      <c r="A796" t="s">
        <v>1429</v>
      </c>
      <c r="B796" t="s">
        <v>1413</v>
      </c>
      <c r="C796" t="s">
        <v>1414</v>
      </c>
    </row>
    <row r="797" spans="1:3" x14ac:dyDescent="0.2">
      <c r="A797" t="s">
        <v>1429</v>
      </c>
      <c r="B797" t="s">
        <v>1415</v>
      </c>
      <c r="C797" t="s">
        <v>1416</v>
      </c>
    </row>
    <row r="798" spans="1:3" x14ac:dyDescent="0.2">
      <c r="A798" t="s">
        <v>1429</v>
      </c>
      <c r="B798" t="s">
        <v>1417</v>
      </c>
      <c r="C798" t="s">
        <v>1418</v>
      </c>
    </row>
    <row r="799" spans="1:3" x14ac:dyDescent="0.2">
      <c r="A799" t="s">
        <v>1429</v>
      </c>
      <c r="B799" t="s">
        <v>1419</v>
      </c>
      <c r="C799" t="s">
        <v>1420</v>
      </c>
    </row>
    <row r="800" spans="1:3" x14ac:dyDescent="0.2">
      <c r="A800" t="s">
        <v>1429</v>
      </c>
      <c r="B800" t="s">
        <v>1421</v>
      </c>
      <c r="C800" t="s">
        <v>1422</v>
      </c>
    </row>
    <row r="801" spans="1:3" x14ac:dyDescent="0.2">
      <c r="A801" t="s">
        <v>1429</v>
      </c>
      <c r="B801" t="s">
        <v>1430</v>
      </c>
      <c r="C801" t="s">
        <v>1431</v>
      </c>
    </row>
    <row r="802" spans="1:3" x14ac:dyDescent="0.2">
      <c r="A802" t="s">
        <v>1429</v>
      </c>
      <c r="B802" t="s">
        <v>1425</v>
      </c>
      <c r="C802" t="s">
        <v>1426</v>
      </c>
    </row>
    <row r="803" spans="1:3" x14ac:dyDescent="0.2">
      <c r="A803" t="s">
        <v>1429</v>
      </c>
      <c r="B803" t="s">
        <v>1427</v>
      </c>
      <c r="C803" t="s">
        <v>1428</v>
      </c>
    </row>
    <row r="805" spans="1:3" x14ac:dyDescent="0.2">
      <c r="A805" t="s">
        <v>1432</v>
      </c>
      <c r="B805" t="s">
        <v>1243</v>
      </c>
      <c r="C805" t="s">
        <v>1244</v>
      </c>
    </row>
    <row r="806" spans="1:3" x14ac:dyDescent="0.2">
      <c r="A806" t="s">
        <v>1432</v>
      </c>
      <c r="B806" t="s">
        <v>1245</v>
      </c>
      <c r="C806" t="s">
        <v>1246</v>
      </c>
    </row>
    <row r="807" spans="1:3" x14ac:dyDescent="0.2">
      <c r="A807" t="s">
        <v>1432</v>
      </c>
      <c r="B807" t="s">
        <v>1247</v>
      </c>
      <c r="C807" t="s">
        <v>1248</v>
      </c>
    </row>
    <row r="808" spans="1:3" x14ac:dyDescent="0.2">
      <c r="A808" t="s">
        <v>1432</v>
      </c>
      <c r="B808" t="s">
        <v>1249</v>
      </c>
      <c r="C808" t="s">
        <v>1250</v>
      </c>
    </row>
    <row r="809" spans="1:3" x14ac:dyDescent="0.2">
      <c r="A809" t="s">
        <v>1432</v>
      </c>
      <c r="B809" t="s">
        <v>1251</v>
      </c>
      <c r="C809" t="s">
        <v>1252</v>
      </c>
    </row>
    <row r="810" spans="1:3" x14ac:dyDescent="0.2">
      <c r="A810" t="s">
        <v>1432</v>
      </c>
      <c r="B810" t="s">
        <v>1253</v>
      </c>
      <c r="C810" t="s">
        <v>1254</v>
      </c>
    </row>
    <row r="811" spans="1:3" x14ac:dyDescent="0.2">
      <c r="A811" t="s">
        <v>1432</v>
      </c>
      <c r="B811" t="s">
        <v>1255</v>
      </c>
      <c r="C811" t="s">
        <v>1256</v>
      </c>
    </row>
    <row r="812" spans="1:3" x14ac:dyDescent="0.2">
      <c r="A812" t="s">
        <v>1432</v>
      </c>
      <c r="B812" t="s">
        <v>1257</v>
      </c>
      <c r="C812" t="s">
        <v>1258</v>
      </c>
    </row>
    <row r="813" spans="1:3" x14ac:dyDescent="0.2">
      <c r="A813" t="s">
        <v>1432</v>
      </c>
      <c r="B813" t="s">
        <v>1259</v>
      </c>
      <c r="C813" t="s">
        <v>1260</v>
      </c>
    </row>
    <row r="814" spans="1:3" x14ac:dyDescent="0.2">
      <c r="A814" t="s">
        <v>1432</v>
      </c>
      <c r="B814" t="s">
        <v>1261</v>
      </c>
      <c r="C814" t="s">
        <v>1262</v>
      </c>
    </row>
    <row r="815" spans="1:3" x14ac:dyDescent="0.2">
      <c r="A815" t="s">
        <v>1432</v>
      </c>
      <c r="B815" t="s">
        <v>1263</v>
      </c>
      <c r="C815" t="s">
        <v>1264</v>
      </c>
    </row>
    <row r="816" spans="1:3" x14ac:dyDescent="0.2">
      <c r="A816" t="s">
        <v>1432</v>
      </c>
      <c r="B816" t="s">
        <v>1265</v>
      </c>
      <c r="C816" t="s">
        <v>1266</v>
      </c>
    </row>
    <row r="817" spans="1:3" x14ac:dyDescent="0.2">
      <c r="A817" t="s">
        <v>1432</v>
      </c>
      <c r="B817" t="s">
        <v>1267</v>
      </c>
      <c r="C817" t="s">
        <v>1268</v>
      </c>
    </row>
    <row r="818" spans="1:3" x14ac:dyDescent="0.2">
      <c r="A818" t="s">
        <v>1432</v>
      </c>
      <c r="B818" t="s">
        <v>1269</v>
      </c>
      <c r="C818" t="s">
        <v>1270</v>
      </c>
    </row>
    <row r="819" spans="1:3" x14ac:dyDescent="0.2">
      <c r="A819" t="s">
        <v>1432</v>
      </c>
      <c r="B819" t="s">
        <v>1271</v>
      </c>
      <c r="C819" t="s">
        <v>1272</v>
      </c>
    </row>
    <row r="820" spans="1:3" x14ac:dyDescent="0.2">
      <c r="A820" t="s">
        <v>1432</v>
      </c>
      <c r="B820" t="s">
        <v>1273</v>
      </c>
      <c r="C820" t="s">
        <v>1274</v>
      </c>
    </row>
    <row r="821" spans="1:3" x14ac:dyDescent="0.2">
      <c r="A821" t="s">
        <v>1432</v>
      </c>
      <c r="B821" t="s">
        <v>1275</v>
      </c>
      <c r="C821" t="s">
        <v>1276</v>
      </c>
    </row>
    <row r="822" spans="1:3" x14ac:dyDescent="0.2">
      <c r="A822" t="s">
        <v>1432</v>
      </c>
      <c r="B822" t="s">
        <v>1277</v>
      </c>
      <c r="C822" t="s">
        <v>1278</v>
      </c>
    </row>
    <row r="823" spans="1:3" x14ac:dyDescent="0.2">
      <c r="A823" t="s">
        <v>1432</v>
      </c>
      <c r="B823" t="s">
        <v>1279</v>
      </c>
      <c r="C823" t="s">
        <v>1280</v>
      </c>
    </row>
    <row r="824" spans="1:3" x14ac:dyDescent="0.2">
      <c r="A824" t="s">
        <v>1432</v>
      </c>
      <c r="B824" t="s">
        <v>1281</v>
      </c>
      <c r="C824" t="s">
        <v>1282</v>
      </c>
    </row>
    <row r="825" spans="1:3" x14ac:dyDescent="0.2">
      <c r="A825" t="s">
        <v>1432</v>
      </c>
      <c r="B825" t="s">
        <v>1283</v>
      </c>
      <c r="C825" t="s">
        <v>1284</v>
      </c>
    </row>
    <row r="826" spans="1:3" x14ac:dyDescent="0.2">
      <c r="A826" t="s">
        <v>1432</v>
      </c>
      <c r="B826" t="s">
        <v>1285</v>
      </c>
      <c r="C826" t="s">
        <v>1286</v>
      </c>
    </row>
    <row r="827" spans="1:3" x14ac:dyDescent="0.2">
      <c r="A827" t="s">
        <v>1432</v>
      </c>
      <c r="B827" t="s">
        <v>1287</v>
      </c>
      <c r="C827" t="s">
        <v>1288</v>
      </c>
    </row>
    <row r="828" spans="1:3" x14ac:dyDescent="0.2">
      <c r="A828" t="s">
        <v>1432</v>
      </c>
      <c r="B828" t="s">
        <v>1289</v>
      </c>
      <c r="C828" t="s">
        <v>1290</v>
      </c>
    </row>
    <row r="829" spans="1:3" x14ac:dyDescent="0.2">
      <c r="A829" t="s">
        <v>1432</v>
      </c>
      <c r="B829" t="s">
        <v>1291</v>
      </c>
      <c r="C829" t="s">
        <v>1292</v>
      </c>
    </row>
    <row r="830" spans="1:3" x14ac:dyDescent="0.2">
      <c r="A830" t="s">
        <v>1432</v>
      </c>
      <c r="B830" t="s">
        <v>1293</v>
      </c>
      <c r="C830" t="s">
        <v>1294</v>
      </c>
    </row>
    <row r="831" spans="1:3" x14ac:dyDescent="0.2">
      <c r="A831" t="s">
        <v>1432</v>
      </c>
      <c r="B831" t="s">
        <v>1295</v>
      </c>
      <c r="C831" t="s">
        <v>1296</v>
      </c>
    </row>
    <row r="832" spans="1:3" x14ac:dyDescent="0.2">
      <c r="A832" t="s">
        <v>1432</v>
      </c>
      <c r="B832" t="s">
        <v>1297</v>
      </c>
      <c r="C832" t="s">
        <v>1298</v>
      </c>
    </row>
    <row r="833" spans="1:3" x14ac:dyDescent="0.2">
      <c r="A833" t="s">
        <v>1432</v>
      </c>
      <c r="B833" t="s">
        <v>1299</v>
      </c>
      <c r="C833" t="s">
        <v>1300</v>
      </c>
    </row>
    <row r="834" spans="1:3" x14ac:dyDescent="0.2">
      <c r="A834" t="s">
        <v>1432</v>
      </c>
      <c r="B834" t="s">
        <v>1301</v>
      </c>
      <c r="C834" t="s">
        <v>1302</v>
      </c>
    </row>
    <row r="835" spans="1:3" x14ac:dyDescent="0.2">
      <c r="A835" t="s">
        <v>1432</v>
      </c>
      <c r="B835" t="s">
        <v>1303</v>
      </c>
      <c r="C835" t="s">
        <v>1304</v>
      </c>
    </row>
    <row r="836" spans="1:3" x14ac:dyDescent="0.2">
      <c r="A836" t="s">
        <v>1432</v>
      </c>
      <c r="B836" t="s">
        <v>1305</v>
      </c>
      <c r="C836" t="s">
        <v>1306</v>
      </c>
    </row>
    <row r="837" spans="1:3" x14ac:dyDescent="0.2">
      <c r="A837" t="s">
        <v>1432</v>
      </c>
      <c r="B837" t="s">
        <v>1307</v>
      </c>
      <c r="C837" t="s">
        <v>1308</v>
      </c>
    </row>
    <row r="838" spans="1:3" x14ac:dyDescent="0.2">
      <c r="A838" t="s">
        <v>1432</v>
      </c>
      <c r="B838" t="s">
        <v>1309</v>
      </c>
      <c r="C838" t="s">
        <v>1310</v>
      </c>
    </row>
    <row r="839" spans="1:3" x14ac:dyDescent="0.2">
      <c r="A839" t="s">
        <v>1432</v>
      </c>
      <c r="B839" t="s">
        <v>1311</v>
      </c>
      <c r="C839" t="s">
        <v>1312</v>
      </c>
    </row>
    <row r="840" spans="1:3" x14ac:dyDescent="0.2">
      <c r="A840" t="s">
        <v>1432</v>
      </c>
      <c r="B840" t="s">
        <v>1313</v>
      </c>
      <c r="C840" t="s">
        <v>1314</v>
      </c>
    </row>
    <row r="841" spans="1:3" x14ac:dyDescent="0.2">
      <c r="A841" t="s">
        <v>1432</v>
      </c>
      <c r="B841" t="s">
        <v>1315</v>
      </c>
      <c r="C841" t="s">
        <v>1316</v>
      </c>
    </row>
    <row r="842" spans="1:3" x14ac:dyDescent="0.2">
      <c r="A842" t="s">
        <v>1432</v>
      </c>
      <c r="B842" t="s">
        <v>1317</v>
      </c>
      <c r="C842" t="s">
        <v>1318</v>
      </c>
    </row>
    <row r="843" spans="1:3" x14ac:dyDescent="0.2">
      <c r="A843" t="s">
        <v>1432</v>
      </c>
      <c r="B843" t="s">
        <v>1319</v>
      </c>
      <c r="C843" t="s">
        <v>1320</v>
      </c>
    </row>
    <row r="844" spans="1:3" x14ac:dyDescent="0.2">
      <c r="A844" t="s">
        <v>1432</v>
      </c>
      <c r="B844" t="s">
        <v>1321</v>
      </c>
      <c r="C844" t="s">
        <v>1322</v>
      </c>
    </row>
    <row r="845" spans="1:3" x14ac:dyDescent="0.2">
      <c r="A845" t="s">
        <v>1432</v>
      </c>
      <c r="B845" t="s">
        <v>1323</v>
      </c>
      <c r="C845" t="s">
        <v>1324</v>
      </c>
    </row>
    <row r="846" spans="1:3" x14ac:dyDescent="0.2">
      <c r="A846" t="s">
        <v>1432</v>
      </c>
      <c r="B846" t="s">
        <v>1325</v>
      </c>
      <c r="C846" t="s">
        <v>1326</v>
      </c>
    </row>
    <row r="847" spans="1:3" x14ac:dyDescent="0.2">
      <c r="A847" t="s">
        <v>1432</v>
      </c>
      <c r="B847" t="s">
        <v>1327</v>
      </c>
      <c r="C847" t="s">
        <v>1328</v>
      </c>
    </row>
    <row r="848" spans="1:3" x14ac:dyDescent="0.2">
      <c r="A848" t="s">
        <v>1432</v>
      </c>
      <c r="B848" t="s">
        <v>1329</v>
      </c>
      <c r="C848" t="s">
        <v>1330</v>
      </c>
    </row>
    <row r="849" spans="1:3" x14ac:dyDescent="0.2">
      <c r="A849" t="s">
        <v>1432</v>
      </c>
      <c r="B849" t="s">
        <v>1331</v>
      </c>
      <c r="C849" t="s">
        <v>1332</v>
      </c>
    </row>
    <row r="850" spans="1:3" x14ac:dyDescent="0.2">
      <c r="A850" t="s">
        <v>1432</v>
      </c>
      <c r="B850" t="s">
        <v>1333</v>
      </c>
      <c r="C850" t="s">
        <v>1334</v>
      </c>
    </row>
    <row r="851" spans="1:3" x14ac:dyDescent="0.2">
      <c r="A851" t="s">
        <v>1432</v>
      </c>
      <c r="B851" t="s">
        <v>1335</v>
      </c>
      <c r="C851" t="s">
        <v>1336</v>
      </c>
    </row>
    <row r="852" spans="1:3" x14ac:dyDescent="0.2">
      <c r="A852" t="s">
        <v>1432</v>
      </c>
      <c r="B852" t="s">
        <v>1337</v>
      </c>
      <c r="C852" t="s">
        <v>1338</v>
      </c>
    </row>
    <row r="853" spans="1:3" x14ac:dyDescent="0.2">
      <c r="A853" t="s">
        <v>1432</v>
      </c>
      <c r="B853" t="s">
        <v>1339</v>
      </c>
      <c r="C853" t="s">
        <v>1340</v>
      </c>
    </row>
    <row r="854" spans="1:3" x14ac:dyDescent="0.2">
      <c r="A854" t="s">
        <v>1432</v>
      </c>
      <c r="B854" t="s">
        <v>1341</v>
      </c>
      <c r="C854" t="s">
        <v>1342</v>
      </c>
    </row>
    <row r="855" spans="1:3" x14ac:dyDescent="0.2">
      <c r="A855" t="s">
        <v>1432</v>
      </c>
      <c r="B855" t="s">
        <v>1343</v>
      </c>
      <c r="C855" t="s">
        <v>1344</v>
      </c>
    </row>
    <row r="856" spans="1:3" x14ac:dyDescent="0.2">
      <c r="A856" t="s">
        <v>1432</v>
      </c>
      <c r="B856" t="s">
        <v>1345</v>
      </c>
      <c r="C856" t="s">
        <v>1346</v>
      </c>
    </row>
    <row r="857" spans="1:3" x14ac:dyDescent="0.2">
      <c r="A857" t="s">
        <v>1432</v>
      </c>
      <c r="B857" t="s">
        <v>1347</v>
      </c>
      <c r="C857" t="s">
        <v>1348</v>
      </c>
    </row>
    <row r="858" spans="1:3" x14ac:dyDescent="0.2">
      <c r="A858" t="s">
        <v>1432</v>
      </c>
      <c r="B858" t="s">
        <v>1349</v>
      </c>
      <c r="C858" t="s">
        <v>1350</v>
      </c>
    </row>
    <row r="859" spans="1:3" x14ac:dyDescent="0.2">
      <c r="A859" t="s">
        <v>1432</v>
      </c>
      <c r="B859" t="s">
        <v>1351</v>
      </c>
      <c r="C859" t="s">
        <v>1352</v>
      </c>
    </row>
    <row r="860" spans="1:3" x14ac:dyDescent="0.2">
      <c r="A860" t="s">
        <v>1432</v>
      </c>
      <c r="B860" t="s">
        <v>1353</v>
      </c>
      <c r="C860" t="s">
        <v>1354</v>
      </c>
    </row>
    <row r="861" spans="1:3" x14ac:dyDescent="0.2">
      <c r="A861" t="s">
        <v>1432</v>
      </c>
      <c r="B861" t="s">
        <v>1355</v>
      </c>
      <c r="C861" t="s">
        <v>1356</v>
      </c>
    </row>
    <row r="862" spans="1:3" x14ac:dyDescent="0.2">
      <c r="A862" t="s">
        <v>1432</v>
      </c>
      <c r="B862" t="s">
        <v>1357</v>
      </c>
      <c r="C862" t="s">
        <v>1358</v>
      </c>
    </row>
    <row r="863" spans="1:3" x14ac:dyDescent="0.2">
      <c r="A863" t="s">
        <v>1432</v>
      </c>
      <c r="B863" t="s">
        <v>1359</v>
      </c>
      <c r="C863" t="s">
        <v>1360</v>
      </c>
    </row>
    <row r="864" spans="1:3" x14ac:dyDescent="0.2">
      <c r="A864" t="s">
        <v>1432</v>
      </c>
      <c r="B864" t="s">
        <v>1361</v>
      </c>
      <c r="C864" t="s">
        <v>1362</v>
      </c>
    </row>
    <row r="865" spans="1:3" x14ac:dyDescent="0.2">
      <c r="A865" t="s">
        <v>1432</v>
      </c>
      <c r="B865" t="s">
        <v>1363</v>
      </c>
      <c r="C865" t="s">
        <v>1364</v>
      </c>
    </row>
    <row r="866" spans="1:3" x14ac:dyDescent="0.2">
      <c r="A866" t="s">
        <v>1432</v>
      </c>
      <c r="B866" t="s">
        <v>1365</v>
      </c>
      <c r="C866" t="s">
        <v>1366</v>
      </c>
    </row>
    <row r="867" spans="1:3" x14ac:dyDescent="0.2">
      <c r="A867" t="s">
        <v>1432</v>
      </c>
      <c r="B867" t="s">
        <v>1367</v>
      </c>
      <c r="C867" t="s">
        <v>1368</v>
      </c>
    </row>
    <row r="868" spans="1:3" x14ac:dyDescent="0.2">
      <c r="A868" t="s">
        <v>1432</v>
      </c>
      <c r="B868" t="s">
        <v>1369</v>
      </c>
      <c r="C868" t="s">
        <v>1370</v>
      </c>
    </row>
    <row r="869" spans="1:3" x14ac:dyDescent="0.2">
      <c r="A869" t="s">
        <v>1432</v>
      </c>
      <c r="B869" t="s">
        <v>1371</v>
      </c>
      <c r="C869" t="s">
        <v>1372</v>
      </c>
    </row>
    <row r="870" spans="1:3" x14ac:dyDescent="0.2">
      <c r="A870" t="s">
        <v>1432</v>
      </c>
      <c r="B870" t="s">
        <v>1373</v>
      </c>
      <c r="C870" t="s">
        <v>1374</v>
      </c>
    </row>
    <row r="871" spans="1:3" x14ac:dyDescent="0.2">
      <c r="A871" t="s">
        <v>1432</v>
      </c>
      <c r="B871" t="s">
        <v>1375</v>
      </c>
      <c r="C871" t="s">
        <v>1376</v>
      </c>
    </row>
    <row r="872" spans="1:3" x14ac:dyDescent="0.2">
      <c r="A872" t="s">
        <v>1432</v>
      </c>
      <c r="B872" t="s">
        <v>1377</v>
      </c>
      <c r="C872" t="s">
        <v>1378</v>
      </c>
    </row>
    <row r="873" spans="1:3" x14ac:dyDescent="0.2">
      <c r="A873" t="s">
        <v>1432</v>
      </c>
      <c r="B873" t="s">
        <v>1379</v>
      </c>
      <c r="C873" t="s">
        <v>1380</v>
      </c>
    </row>
    <row r="874" spans="1:3" x14ac:dyDescent="0.2">
      <c r="A874" t="s">
        <v>1432</v>
      </c>
      <c r="B874" t="s">
        <v>1381</v>
      </c>
      <c r="C874" t="s">
        <v>1382</v>
      </c>
    </row>
    <row r="875" spans="1:3" x14ac:dyDescent="0.2">
      <c r="A875" t="s">
        <v>1432</v>
      </c>
      <c r="B875" t="s">
        <v>1383</v>
      </c>
      <c r="C875" t="s">
        <v>1384</v>
      </c>
    </row>
    <row r="876" spans="1:3" x14ac:dyDescent="0.2">
      <c r="A876" t="s">
        <v>1432</v>
      </c>
      <c r="B876" t="s">
        <v>1385</v>
      </c>
      <c r="C876" t="s">
        <v>1386</v>
      </c>
    </row>
    <row r="877" spans="1:3" x14ac:dyDescent="0.2">
      <c r="A877" t="s">
        <v>1432</v>
      </c>
      <c r="B877" t="s">
        <v>1387</v>
      </c>
      <c r="C877" t="s">
        <v>1388</v>
      </c>
    </row>
    <row r="878" spans="1:3" x14ac:dyDescent="0.2">
      <c r="A878" t="s">
        <v>1432</v>
      </c>
      <c r="B878" t="s">
        <v>1389</v>
      </c>
      <c r="C878" t="s">
        <v>1390</v>
      </c>
    </row>
    <row r="879" spans="1:3" x14ac:dyDescent="0.2">
      <c r="A879" t="s">
        <v>1432</v>
      </c>
      <c r="B879" t="s">
        <v>1391</v>
      </c>
      <c r="C879" t="s">
        <v>1392</v>
      </c>
    </row>
    <row r="880" spans="1:3" x14ac:dyDescent="0.2">
      <c r="A880" t="s">
        <v>1432</v>
      </c>
      <c r="B880" t="s">
        <v>1393</v>
      </c>
      <c r="C880" t="s">
        <v>1394</v>
      </c>
    </row>
    <row r="881" spans="1:3" x14ac:dyDescent="0.2">
      <c r="A881" t="s">
        <v>1432</v>
      </c>
      <c r="B881" t="s">
        <v>1395</v>
      </c>
      <c r="C881" t="s">
        <v>1396</v>
      </c>
    </row>
    <row r="882" spans="1:3" x14ac:dyDescent="0.2">
      <c r="A882" t="s">
        <v>1432</v>
      </c>
      <c r="B882" t="s">
        <v>1397</v>
      </c>
      <c r="C882" t="s">
        <v>1398</v>
      </c>
    </row>
    <row r="883" spans="1:3" x14ac:dyDescent="0.2">
      <c r="A883" t="s">
        <v>1432</v>
      </c>
      <c r="B883" t="s">
        <v>1399</v>
      </c>
      <c r="C883" t="s">
        <v>1400</v>
      </c>
    </row>
    <row r="884" spans="1:3" x14ac:dyDescent="0.2">
      <c r="A884" t="s">
        <v>1432</v>
      </c>
      <c r="B884" t="s">
        <v>1401</v>
      </c>
      <c r="C884" t="s">
        <v>1402</v>
      </c>
    </row>
    <row r="885" spans="1:3" x14ac:dyDescent="0.2">
      <c r="A885" t="s">
        <v>1432</v>
      </c>
      <c r="B885" t="s">
        <v>1403</v>
      </c>
      <c r="C885" t="s">
        <v>1404</v>
      </c>
    </row>
    <row r="886" spans="1:3" x14ac:dyDescent="0.2">
      <c r="A886" t="s">
        <v>1432</v>
      </c>
      <c r="B886" t="s">
        <v>1405</v>
      </c>
      <c r="C886" t="s">
        <v>1406</v>
      </c>
    </row>
    <row r="887" spans="1:3" x14ac:dyDescent="0.2">
      <c r="A887" t="s">
        <v>1432</v>
      </c>
      <c r="B887" t="s">
        <v>1407</v>
      </c>
      <c r="C887" t="s">
        <v>1408</v>
      </c>
    </row>
    <row r="888" spans="1:3" x14ac:dyDescent="0.2">
      <c r="A888" t="s">
        <v>1432</v>
      </c>
      <c r="B888" t="s">
        <v>1409</v>
      </c>
      <c r="C888" t="s">
        <v>1410</v>
      </c>
    </row>
    <row r="889" spans="1:3" x14ac:dyDescent="0.2">
      <c r="A889" t="s">
        <v>1432</v>
      </c>
      <c r="B889" t="s">
        <v>1411</v>
      </c>
      <c r="C889" t="s">
        <v>1412</v>
      </c>
    </row>
    <row r="890" spans="1:3" x14ac:dyDescent="0.2">
      <c r="A890" t="s">
        <v>1432</v>
      </c>
      <c r="B890" t="s">
        <v>1413</v>
      </c>
      <c r="C890" t="s">
        <v>1414</v>
      </c>
    </row>
    <row r="891" spans="1:3" x14ac:dyDescent="0.2">
      <c r="A891" t="s">
        <v>1432</v>
      </c>
      <c r="B891" t="s">
        <v>1415</v>
      </c>
      <c r="C891" t="s">
        <v>1416</v>
      </c>
    </row>
    <row r="892" spans="1:3" x14ac:dyDescent="0.2">
      <c r="A892" t="s">
        <v>1432</v>
      </c>
      <c r="B892" t="s">
        <v>1417</v>
      </c>
      <c r="C892" t="s">
        <v>1418</v>
      </c>
    </row>
    <row r="893" spans="1:3" x14ac:dyDescent="0.2">
      <c r="A893" t="s">
        <v>1432</v>
      </c>
      <c r="B893" t="s">
        <v>1419</v>
      </c>
      <c r="C893" t="s">
        <v>1420</v>
      </c>
    </row>
    <row r="894" spans="1:3" x14ac:dyDescent="0.2">
      <c r="A894" t="s">
        <v>1432</v>
      </c>
      <c r="B894" t="s">
        <v>1421</v>
      </c>
      <c r="C894" t="s">
        <v>1422</v>
      </c>
    </row>
    <row r="895" spans="1:3" x14ac:dyDescent="0.2">
      <c r="A895" t="s">
        <v>1432</v>
      </c>
      <c r="B895" t="s">
        <v>1425</v>
      </c>
      <c r="C895" t="s">
        <v>1426</v>
      </c>
    </row>
    <row r="896" spans="1:3" x14ac:dyDescent="0.2">
      <c r="A896" t="s">
        <v>1432</v>
      </c>
      <c r="B896" t="s">
        <v>1427</v>
      </c>
      <c r="C896" t="s">
        <v>1428</v>
      </c>
    </row>
    <row r="898" spans="1:3" x14ac:dyDescent="0.2">
      <c r="A898" t="s">
        <v>1433</v>
      </c>
      <c r="B898" t="s">
        <v>1434</v>
      </c>
      <c r="C898" t="s">
        <v>1435</v>
      </c>
    </row>
    <row r="899" spans="1:3" x14ac:dyDescent="0.2">
      <c r="A899" t="s">
        <v>1433</v>
      </c>
      <c r="B899" t="s">
        <v>1436</v>
      </c>
      <c r="C899" t="s">
        <v>1437</v>
      </c>
    </row>
    <row r="900" spans="1:3" x14ac:dyDescent="0.2">
      <c r="A900" t="s">
        <v>1433</v>
      </c>
      <c r="B900" t="s">
        <v>1438</v>
      </c>
      <c r="C900" t="s">
        <v>1439</v>
      </c>
    </row>
    <row r="901" spans="1:3" x14ac:dyDescent="0.2">
      <c r="A901" t="s">
        <v>1433</v>
      </c>
      <c r="B901" t="s">
        <v>1440</v>
      </c>
      <c r="C901" t="s">
        <v>1441</v>
      </c>
    </row>
    <row r="902" spans="1:3" x14ac:dyDescent="0.2">
      <c r="A902" t="s">
        <v>1433</v>
      </c>
      <c r="B902" t="s">
        <v>1442</v>
      </c>
      <c r="C902" t="s">
        <v>1443</v>
      </c>
    </row>
    <row r="903" spans="1:3" x14ac:dyDescent="0.2">
      <c r="A903" t="s">
        <v>1433</v>
      </c>
      <c r="B903" t="s">
        <v>1444</v>
      </c>
      <c r="C903" t="s">
        <v>1445</v>
      </c>
    </row>
    <row r="904" spans="1:3" x14ac:dyDescent="0.2">
      <c r="A904" t="s">
        <v>1433</v>
      </c>
      <c r="B904" t="s">
        <v>1446</v>
      </c>
      <c r="C904" t="s">
        <v>1447</v>
      </c>
    </row>
    <row r="905" spans="1:3" x14ac:dyDescent="0.2">
      <c r="A905" t="s">
        <v>1433</v>
      </c>
      <c r="B905" t="s">
        <v>1448</v>
      </c>
      <c r="C905" t="s">
        <v>1449</v>
      </c>
    </row>
    <row r="906" spans="1:3" x14ac:dyDescent="0.2">
      <c r="A906" t="s">
        <v>1433</v>
      </c>
      <c r="B906" t="s">
        <v>1450</v>
      </c>
      <c r="C906" t="s">
        <v>1451</v>
      </c>
    </row>
    <row r="907" spans="1:3" x14ac:dyDescent="0.2">
      <c r="A907" t="s">
        <v>1433</v>
      </c>
      <c r="B907" t="s">
        <v>1452</v>
      </c>
      <c r="C907" t="s">
        <v>1453</v>
      </c>
    </row>
    <row r="908" spans="1:3" x14ac:dyDescent="0.2">
      <c r="A908" t="s">
        <v>1433</v>
      </c>
      <c r="B908" t="s">
        <v>1454</v>
      </c>
      <c r="C908" t="s">
        <v>1455</v>
      </c>
    </row>
    <row r="909" spans="1:3" x14ac:dyDescent="0.2">
      <c r="A909" t="s">
        <v>1433</v>
      </c>
      <c r="B909" t="s">
        <v>1456</v>
      </c>
      <c r="C909" t="s">
        <v>1457</v>
      </c>
    </row>
    <row r="910" spans="1:3" x14ac:dyDescent="0.2">
      <c r="A910" t="s">
        <v>1433</v>
      </c>
      <c r="B910" t="s">
        <v>1458</v>
      </c>
      <c r="C910" t="s">
        <v>1459</v>
      </c>
    </row>
    <row r="911" spans="1:3" x14ac:dyDescent="0.2">
      <c r="A911" t="s">
        <v>1433</v>
      </c>
      <c r="B911" t="s">
        <v>1460</v>
      </c>
      <c r="C911" t="s">
        <v>1461</v>
      </c>
    </row>
    <row r="912" spans="1:3" x14ac:dyDescent="0.2">
      <c r="A912" t="s">
        <v>1433</v>
      </c>
      <c r="B912" t="s">
        <v>1462</v>
      </c>
      <c r="C912" t="s">
        <v>1463</v>
      </c>
    </row>
    <row r="913" spans="1:3" x14ac:dyDescent="0.2">
      <c r="A913" t="s">
        <v>1433</v>
      </c>
      <c r="B913" t="s">
        <v>1464</v>
      </c>
      <c r="C913" t="s">
        <v>1465</v>
      </c>
    </row>
    <row r="914" spans="1:3" x14ac:dyDescent="0.2">
      <c r="A914" t="s">
        <v>1433</v>
      </c>
      <c r="B914" t="s">
        <v>1466</v>
      </c>
      <c r="C914" t="s">
        <v>1467</v>
      </c>
    </row>
    <row r="915" spans="1:3" x14ac:dyDescent="0.2">
      <c r="A915" t="s">
        <v>1433</v>
      </c>
      <c r="B915" t="s">
        <v>1468</v>
      </c>
      <c r="C915" t="s">
        <v>1469</v>
      </c>
    </row>
    <row r="916" spans="1:3" x14ac:dyDescent="0.2">
      <c r="A916" t="s">
        <v>1433</v>
      </c>
      <c r="B916" t="s">
        <v>1470</v>
      </c>
      <c r="C916" t="s">
        <v>1471</v>
      </c>
    </row>
    <row r="917" spans="1:3" x14ac:dyDescent="0.2">
      <c r="A917" t="s">
        <v>1433</v>
      </c>
      <c r="B917" t="s">
        <v>1472</v>
      </c>
      <c r="C917" t="s">
        <v>1473</v>
      </c>
    </row>
    <row r="918" spans="1:3" x14ac:dyDescent="0.2">
      <c r="A918" t="s">
        <v>1433</v>
      </c>
      <c r="B918" t="s">
        <v>1474</v>
      </c>
      <c r="C918" t="s">
        <v>1475</v>
      </c>
    </row>
    <row r="919" spans="1:3" x14ac:dyDescent="0.2">
      <c r="A919" t="s">
        <v>1433</v>
      </c>
      <c r="B919" t="s">
        <v>1476</v>
      </c>
      <c r="C919" t="s">
        <v>1477</v>
      </c>
    </row>
    <row r="920" spans="1:3" x14ac:dyDescent="0.2">
      <c r="A920" t="s">
        <v>1433</v>
      </c>
      <c r="B920" t="s">
        <v>1478</v>
      </c>
      <c r="C920" t="s">
        <v>1479</v>
      </c>
    </row>
    <row r="921" spans="1:3" x14ac:dyDescent="0.2">
      <c r="A921" t="s">
        <v>1433</v>
      </c>
      <c r="B921" t="s">
        <v>1480</v>
      </c>
      <c r="C921" t="s">
        <v>1481</v>
      </c>
    </row>
    <row r="922" spans="1:3" x14ac:dyDescent="0.2">
      <c r="A922" t="s">
        <v>1433</v>
      </c>
      <c r="B922" t="s">
        <v>1482</v>
      </c>
      <c r="C922" t="s">
        <v>1483</v>
      </c>
    </row>
    <row r="923" spans="1:3" x14ac:dyDescent="0.2">
      <c r="A923" t="s">
        <v>1433</v>
      </c>
      <c r="B923" t="s">
        <v>1484</v>
      </c>
      <c r="C923" t="s">
        <v>1485</v>
      </c>
    </row>
    <row r="924" spans="1:3" x14ac:dyDescent="0.2">
      <c r="A924" t="s">
        <v>1433</v>
      </c>
      <c r="B924" t="s">
        <v>1486</v>
      </c>
      <c r="C924" t="s">
        <v>1487</v>
      </c>
    </row>
    <row r="925" spans="1:3" x14ac:dyDescent="0.2">
      <c r="A925" t="s">
        <v>1433</v>
      </c>
      <c r="B925" t="s">
        <v>1488</v>
      </c>
      <c r="C925" t="s">
        <v>1489</v>
      </c>
    </row>
    <row r="926" spans="1:3" x14ac:dyDescent="0.2">
      <c r="A926" t="s">
        <v>1433</v>
      </c>
      <c r="B926" t="s">
        <v>1490</v>
      </c>
      <c r="C926" t="s">
        <v>1491</v>
      </c>
    </row>
    <row r="927" spans="1:3" x14ac:dyDescent="0.2">
      <c r="A927" t="s">
        <v>1433</v>
      </c>
      <c r="B927" t="s">
        <v>1492</v>
      </c>
      <c r="C927" t="s">
        <v>1493</v>
      </c>
    </row>
    <row r="928" spans="1:3" x14ac:dyDescent="0.2">
      <c r="A928" t="s">
        <v>1433</v>
      </c>
      <c r="B928" t="s">
        <v>1494</v>
      </c>
      <c r="C928" t="s">
        <v>1495</v>
      </c>
    </row>
    <row r="929" spans="1:5" x14ac:dyDescent="0.2">
      <c r="A929" t="s">
        <v>1433</v>
      </c>
      <c r="B929" t="s">
        <v>1496</v>
      </c>
      <c r="C929" t="s">
        <v>1497</v>
      </c>
    </row>
    <row r="930" spans="1:5" x14ac:dyDescent="0.2">
      <c r="A930" t="s">
        <v>1433</v>
      </c>
      <c r="B930" t="s">
        <v>1498</v>
      </c>
      <c r="C930" t="s">
        <v>1499</v>
      </c>
    </row>
    <row r="931" spans="1:5" x14ac:dyDescent="0.2">
      <c r="A931" t="s">
        <v>1433</v>
      </c>
      <c r="B931" t="s">
        <v>1500</v>
      </c>
      <c r="C931" t="s">
        <v>1501</v>
      </c>
    </row>
    <row r="932" spans="1:5" x14ac:dyDescent="0.2">
      <c r="A932" t="s">
        <v>1433</v>
      </c>
      <c r="B932" t="s">
        <v>1502</v>
      </c>
      <c r="C932" t="s">
        <v>1503</v>
      </c>
    </row>
    <row r="933" spans="1:5" x14ac:dyDescent="0.2">
      <c r="A933" t="s">
        <v>1433</v>
      </c>
      <c r="B933" t="s">
        <v>1504</v>
      </c>
      <c r="C933" t="s">
        <v>1505</v>
      </c>
    </row>
    <row r="934" spans="1:5" x14ac:dyDescent="0.2">
      <c r="A934" t="s">
        <v>1433</v>
      </c>
      <c r="B934" t="s">
        <v>1506</v>
      </c>
      <c r="C934" t="s">
        <v>1507</v>
      </c>
    </row>
    <row r="936" spans="1:5" x14ac:dyDescent="0.2">
      <c r="A936" t="s">
        <v>1508</v>
      </c>
      <c r="B936" t="s">
        <v>1509</v>
      </c>
      <c r="C936" t="s">
        <v>1510</v>
      </c>
      <c r="E936" t="s">
        <v>1434</v>
      </c>
    </row>
    <row r="937" spans="1:5" x14ac:dyDescent="0.2">
      <c r="A937" t="s">
        <v>1508</v>
      </c>
      <c r="B937" t="s">
        <v>1511</v>
      </c>
      <c r="C937" t="s">
        <v>1512</v>
      </c>
      <c r="E937" t="s">
        <v>1434</v>
      </c>
    </row>
    <row r="938" spans="1:5" x14ac:dyDescent="0.2">
      <c r="A938" t="s">
        <v>1508</v>
      </c>
      <c r="B938" t="s">
        <v>1513</v>
      </c>
      <c r="C938" t="s">
        <v>1514</v>
      </c>
      <c r="E938" t="s">
        <v>1434</v>
      </c>
    </row>
    <row r="939" spans="1:5" x14ac:dyDescent="0.2">
      <c r="A939" t="s">
        <v>1508</v>
      </c>
      <c r="B939" t="s">
        <v>1515</v>
      </c>
      <c r="C939" t="s">
        <v>1516</v>
      </c>
      <c r="E939" t="s">
        <v>1434</v>
      </c>
    </row>
    <row r="940" spans="1:5" x14ac:dyDescent="0.2">
      <c r="A940" t="s">
        <v>1508</v>
      </c>
      <c r="B940" t="s">
        <v>1517</v>
      </c>
      <c r="C940" t="s">
        <v>1518</v>
      </c>
      <c r="E940" t="s">
        <v>1434</v>
      </c>
    </row>
    <row r="941" spans="1:5" x14ac:dyDescent="0.2">
      <c r="A941" t="s">
        <v>1508</v>
      </c>
      <c r="B941" t="s">
        <v>1519</v>
      </c>
      <c r="C941" t="s">
        <v>1520</v>
      </c>
      <c r="E941" t="s">
        <v>1434</v>
      </c>
    </row>
    <row r="942" spans="1:5" x14ac:dyDescent="0.2">
      <c r="A942" t="s">
        <v>1508</v>
      </c>
      <c r="B942" t="s">
        <v>1521</v>
      </c>
      <c r="C942" t="s">
        <v>1522</v>
      </c>
      <c r="E942" t="s">
        <v>1434</v>
      </c>
    </row>
    <row r="943" spans="1:5" x14ac:dyDescent="0.2">
      <c r="A943" t="s">
        <v>1508</v>
      </c>
      <c r="B943" t="s">
        <v>1523</v>
      </c>
      <c r="C943" t="s">
        <v>1524</v>
      </c>
      <c r="E943" t="s">
        <v>1434</v>
      </c>
    </row>
    <row r="944" spans="1:5" x14ac:dyDescent="0.2">
      <c r="A944" t="s">
        <v>1508</v>
      </c>
      <c r="B944" t="s">
        <v>1525</v>
      </c>
      <c r="C944" t="s">
        <v>1526</v>
      </c>
      <c r="E944" t="s">
        <v>1434</v>
      </c>
    </row>
    <row r="945" spans="1:5" x14ac:dyDescent="0.2">
      <c r="A945" t="s">
        <v>1508</v>
      </c>
      <c r="B945" t="s">
        <v>1527</v>
      </c>
      <c r="C945" t="s">
        <v>1528</v>
      </c>
      <c r="E945" t="s">
        <v>1434</v>
      </c>
    </row>
    <row r="946" spans="1:5" x14ac:dyDescent="0.2">
      <c r="A946" t="s">
        <v>1508</v>
      </c>
      <c r="B946" t="s">
        <v>1529</v>
      </c>
      <c r="C946" t="s">
        <v>1530</v>
      </c>
      <c r="E946" t="s">
        <v>1434</v>
      </c>
    </row>
    <row r="947" spans="1:5" x14ac:dyDescent="0.2">
      <c r="A947" t="s">
        <v>1508</v>
      </c>
      <c r="B947" t="s">
        <v>1531</v>
      </c>
      <c r="C947" t="s">
        <v>1532</v>
      </c>
      <c r="E947" t="s">
        <v>1434</v>
      </c>
    </row>
    <row r="948" spans="1:5" x14ac:dyDescent="0.2">
      <c r="A948" t="s">
        <v>1508</v>
      </c>
      <c r="B948" t="s">
        <v>1533</v>
      </c>
      <c r="C948" t="s">
        <v>1534</v>
      </c>
      <c r="E948" t="s">
        <v>1434</v>
      </c>
    </row>
    <row r="949" spans="1:5" x14ac:dyDescent="0.2">
      <c r="A949" t="s">
        <v>1508</v>
      </c>
      <c r="B949" t="s">
        <v>1535</v>
      </c>
      <c r="C949" t="s">
        <v>1536</v>
      </c>
      <c r="E949" t="s">
        <v>1434</v>
      </c>
    </row>
    <row r="950" spans="1:5" x14ac:dyDescent="0.2">
      <c r="A950" t="s">
        <v>1508</v>
      </c>
      <c r="B950" t="s">
        <v>1537</v>
      </c>
      <c r="C950" t="s">
        <v>1538</v>
      </c>
      <c r="E950" t="s">
        <v>1434</v>
      </c>
    </row>
    <row r="951" spans="1:5" x14ac:dyDescent="0.2">
      <c r="A951" t="s">
        <v>1508</v>
      </c>
      <c r="B951" t="s">
        <v>1539</v>
      </c>
      <c r="C951" t="s">
        <v>1540</v>
      </c>
      <c r="E951" t="s">
        <v>1434</v>
      </c>
    </row>
    <row r="952" spans="1:5" x14ac:dyDescent="0.2">
      <c r="A952" t="s">
        <v>1508</v>
      </c>
      <c r="B952" t="s">
        <v>1541</v>
      </c>
      <c r="C952" t="s">
        <v>1542</v>
      </c>
      <c r="E952" t="s">
        <v>1434</v>
      </c>
    </row>
    <row r="953" spans="1:5" x14ac:dyDescent="0.2">
      <c r="A953" t="s">
        <v>1508</v>
      </c>
      <c r="B953" t="s">
        <v>1543</v>
      </c>
      <c r="C953" t="s">
        <v>1544</v>
      </c>
      <c r="E953" t="s">
        <v>1436</v>
      </c>
    </row>
    <row r="954" spans="1:5" x14ac:dyDescent="0.2">
      <c r="A954" t="s">
        <v>1508</v>
      </c>
      <c r="B954" t="s">
        <v>1545</v>
      </c>
      <c r="C954" t="s">
        <v>1546</v>
      </c>
      <c r="E954" t="s">
        <v>1436</v>
      </c>
    </row>
    <row r="955" spans="1:5" x14ac:dyDescent="0.2">
      <c r="A955" t="s">
        <v>1508</v>
      </c>
      <c r="B955" t="s">
        <v>1547</v>
      </c>
      <c r="C955" t="s">
        <v>1548</v>
      </c>
      <c r="E955" t="s">
        <v>1436</v>
      </c>
    </row>
    <row r="956" spans="1:5" x14ac:dyDescent="0.2">
      <c r="A956" t="s">
        <v>1508</v>
      </c>
      <c r="B956" t="s">
        <v>1549</v>
      </c>
      <c r="C956" t="s">
        <v>1550</v>
      </c>
      <c r="E956" t="s">
        <v>1436</v>
      </c>
    </row>
    <row r="957" spans="1:5" x14ac:dyDescent="0.2">
      <c r="A957" t="s">
        <v>1508</v>
      </c>
      <c r="B957" t="s">
        <v>1551</v>
      </c>
      <c r="C957" t="s">
        <v>1552</v>
      </c>
      <c r="E957" t="s">
        <v>1436</v>
      </c>
    </row>
    <row r="958" spans="1:5" x14ac:dyDescent="0.2">
      <c r="A958" t="s">
        <v>1508</v>
      </c>
      <c r="B958" t="s">
        <v>1553</v>
      </c>
      <c r="C958" t="s">
        <v>1554</v>
      </c>
      <c r="E958" t="s">
        <v>1436</v>
      </c>
    </row>
    <row r="959" spans="1:5" x14ac:dyDescent="0.2">
      <c r="A959" t="s">
        <v>1508</v>
      </c>
      <c r="B959" t="s">
        <v>1555</v>
      </c>
      <c r="C959" t="s">
        <v>1556</v>
      </c>
      <c r="E959" t="s">
        <v>1436</v>
      </c>
    </row>
    <row r="960" spans="1:5" x14ac:dyDescent="0.2">
      <c r="A960" t="s">
        <v>1508</v>
      </c>
      <c r="B960" t="s">
        <v>1557</v>
      </c>
      <c r="C960" t="s">
        <v>1558</v>
      </c>
      <c r="E960" t="s">
        <v>1436</v>
      </c>
    </row>
    <row r="961" spans="1:5" x14ac:dyDescent="0.2">
      <c r="A961" t="s">
        <v>1508</v>
      </c>
      <c r="B961" t="s">
        <v>1559</v>
      </c>
      <c r="C961" t="s">
        <v>1560</v>
      </c>
      <c r="E961" t="s">
        <v>1436</v>
      </c>
    </row>
    <row r="962" spans="1:5" x14ac:dyDescent="0.2">
      <c r="A962" t="s">
        <v>1508</v>
      </c>
      <c r="B962" t="s">
        <v>1561</v>
      </c>
      <c r="C962" t="s">
        <v>1562</v>
      </c>
      <c r="E962" t="s">
        <v>1436</v>
      </c>
    </row>
    <row r="963" spans="1:5" x14ac:dyDescent="0.2">
      <c r="A963" t="s">
        <v>1508</v>
      </c>
      <c r="B963" t="s">
        <v>1563</v>
      </c>
      <c r="C963" t="s">
        <v>1564</v>
      </c>
      <c r="E963" t="s">
        <v>1436</v>
      </c>
    </row>
    <row r="964" spans="1:5" x14ac:dyDescent="0.2">
      <c r="A964" t="s">
        <v>1508</v>
      </c>
      <c r="B964" t="s">
        <v>1565</v>
      </c>
      <c r="C964" t="s">
        <v>1566</v>
      </c>
      <c r="E964" t="s">
        <v>1436</v>
      </c>
    </row>
    <row r="965" spans="1:5" x14ac:dyDescent="0.2">
      <c r="A965" t="s">
        <v>1508</v>
      </c>
      <c r="B965" t="s">
        <v>1567</v>
      </c>
      <c r="C965" t="s">
        <v>1568</v>
      </c>
      <c r="E965" t="s">
        <v>1436</v>
      </c>
    </row>
    <row r="966" spans="1:5" x14ac:dyDescent="0.2">
      <c r="A966" t="s">
        <v>1508</v>
      </c>
      <c r="B966" t="s">
        <v>1569</v>
      </c>
      <c r="C966" t="s">
        <v>1570</v>
      </c>
      <c r="E966" t="s">
        <v>1436</v>
      </c>
    </row>
    <row r="967" spans="1:5" x14ac:dyDescent="0.2">
      <c r="A967" t="s">
        <v>1508</v>
      </c>
      <c r="B967" t="s">
        <v>1571</v>
      </c>
      <c r="C967" t="s">
        <v>1572</v>
      </c>
      <c r="E967" t="s">
        <v>1436</v>
      </c>
    </row>
    <row r="968" spans="1:5" x14ac:dyDescent="0.2">
      <c r="A968" t="s">
        <v>1508</v>
      </c>
      <c r="B968" t="s">
        <v>1573</v>
      </c>
      <c r="C968" t="s">
        <v>1574</v>
      </c>
      <c r="E968" t="s">
        <v>1436</v>
      </c>
    </row>
    <row r="969" spans="1:5" x14ac:dyDescent="0.2">
      <c r="A969" t="s">
        <v>1508</v>
      </c>
      <c r="B969" t="s">
        <v>1575</v>
      </c>
      <c r="C969" t="s">
        <v>1576</v>
      </c>
      <c r="E969" t="s">
        <v>1436</v>
      </c>
    </row>
    <row r="970" spans="1:5" x14ac:dyDescent="0.2">
      <c r="A970" t="s">
        <v>1508</v>
      </c>
      <c r="B970" t="s">
        <v>1577</v>
      </c>
      <c r="C970" t="s">
        <v>1578</v>
      </c>
      <c r="E970" t="s">
        <v>1436</v>
      </c>
    </row>
    <row r="971" spans="1:5" x14ac:dyDescent="0.2">
      <c r="A971" t="s">
        <v>1508</v>
      </c>
      <c r="B971" t="s">
        <v>1579</v>
      </c>
      <c r="C971" t="s">
        <v>1580</v>
      </c>
      <c r="E971" t="s">
        <v>1436</v>
      </c>
    </row>
    <row r="972" spans="1:5" x14ac:dyDescent="0.2">
      <c r="A972" t="s">
        <v>1508</v>
      </c>
      <c r="B972" t="s">
        <v>1581</v>
      </c>
      <c r="C972" t="s">
        <v>1582</v>
      </c>
      <c r="E972" t="s">
        <v>1436</v>
      </c>
    </row>
    <row r="973" spans="1:5" x14ac:dyDescent="0.2">
      <c r="A973" t="s">
        <v>1508</v>
      </c>
      <c r="B973" t="s">
        <v>1583</v>
      </c>
      <c r="C973" t="s">
        <v>1584</v>
      </c>
      <c r="E973" t="s">
        <v>1436</v>
      </c>
    </row>
    <row r="974" spans="1:5" x14ac:dyDescent="0.2">
      <c r="A974" t="s">
        <v>1508</v>
      </c>
      <c r="B974" t="s">
        <v>1585</v>
      </c>
      <c r="C974" t="s">
        <v>1586</v>
      </c>
      <c r="E974" t="s">
        <v>1438</v>
      </c>
    </row>
    <row r="975" spans="1:5" x14ac:dyDescent="0.2">
      <c r="A975" t="s">
        <v>1508</v>
      </c>
      <c r="B975" t="s">
        <v>1587</v>
      </c>
      <c r="C975" t="s">
        <v>1588</v>
      </c>
      <c r="E975" t="s">
        <v>1438</v>
      </c>
    </row>
    <row r="976" spans="1:5" x14ac:dyDescent="0.2">
      <c r="A976" t="s">
        <v>1508</v>
      </c>
      <c r="B976" t="s">
        <v>1589</v>
      </c>
      <c r="C976" t="s">
        <v>1590</v>
      </c>
      <c r="E976" t="s">
        <v>1438</v>
      </c>
    </row>
    <row r="977" spans="1:5" x14ac:dyDescent="0.2">
      <c r="A977" t="s">
        <v>1508</v>
      </c>
      <c r="B977" t="s">
        <v>1591</v>
      </c>
      <c r="C977" t="s">
        <v>1592</v>
      </c>
      <c r="E977" t="s">
        <v>1438</v>
      </c>
    </row>
    <row r="978" spans="1:5" x14ac:dyDescent="0.2">
      <c r="A978" t="s">
        <v>1508</v>
      </c>
      <c r="B978" t="s">
        <v>1593</v>
      </c>
      <c r="C978" t="s">
        <v>1594</v>
      </c>
      <c r="E978" t="s">
        <v>1438</v>
      </c>
    </row>
    <row r="979" spans="1:5" x14ac:dyDescent="0.2">
      <c r="A979" t="s">
        <v>1508</v>
      </c>
      <c r="B979" t="s">
        <v>1595</v>
      </c>
      <c r="C979" t="s">
        <v>1596</v>
      </c>
      <c r="E979" t="s">
        <v>1438</v>
      </c>
    </row>
    <row r="980" spans="1:5" x14ac:dyDescent="0.2">
      <c r="A980" t="s">
        <v>1508</v>
      </c>
      <c r="B980" t="s">
        <v>1597</v>
      </c>
      <c r="C980" t="s">
        <v>1598</v>
      </c>
      <c r="E980" t="s">
        <v>1438</v>
      </c>
    </row>
    <row r="981" spans="1:5" x14ac:dyDescent="0.2">
      <c r="A981" t="s">
        <v>1508</v>
      </c>
      <c r="B981" t="s">
        <v>1599</v>
      </c>
      <c r="C981" t="s">
        <v>1600</v>
      </c>
      <c r="E981" t="s">
        <v>1438</v>
      </c>
    </row>
    <row r="982" spans="1:5" x14ac:dyDescent="0.2">
      <c r="A982" t="s">
        <v>1508</v>
      </c>
      <c r="B982" t="s">
        <v>1601</v>
      </c>
      <c r="C982" t="s">
        <v>1602</v>
      </c>
      <c r="E982" t="s">
        <v>1438</v>
      </c>
    </row>
    <row r="983" spans="1:5" x14ac:dyDescent="0.2">
      <c r="A983" t="s">
        <v>1508</v>
      </c>
      <c r="B983" t="s">
        <v>1603</v>
      </c>
      <c r="C983" t="s">
        <v>1604</v>
      </c>
      <c r="E983" t="s">
        <v>1438</v>
      </c>
    </row>
    <row r="984" spans="1:5" x14ac:dyDescent="0.2">
      <c r="A984" t="s">
        <v>1508</v>
      </c>
      <c r="B984" t="s">
        <v>1605</v>
      </c>
      <c r="C984" t="s">
        <v>1606</v>
      </c>
      <c r="E984" t="s">
        <v>1438</v>
      </c>
    </row>
    <row r="985" spans="1:5" x14ac:dyDescent="0.2">
      <c r="A985" t="s">
        <v>1508</v>
      </c>
      <c r="B985" t="s">
        <v>1607</v>
      </c>
      <c r="C985" t="s">
        <v>1608</v>
      </c>
      <c r="E985" t="s">
        <v>1438</v>
      </c>
    </row>
    <row r="986" spans="1:5" x14ac:dyDescent="0.2">
      <c r="A986" t="s">
        <v>1508</v>
      </c>
      <c r="B986" t="s">
        <v>1609</v>
      </c>
      <c r="C986" t="s">
        <v>1610</v>
      </c>
      <c r="E986" t="s">
        <v>1438</v>
      </c>
    </row>
    <row r="987" spans="1:5" x14ac:dyDescent="0.2">
      <c r="A987" t="s">
        <v>1508</v>
      </c>
      <c r="B987" t="s">
        <v>1611</v>
      </c>
      <c r="C987" t="s">
        <v>1612</v>
      </c>
      <c r="E987" t="s">
        <v>1438</v>
      </c>
    </row>
    <row r="988" spans="1:5" x14ac:dyDescent="0.2">
      <c r="A988" t="s">
        <v>1508</v>
      </c>
      <c r="B988" t="s">
        <v>1613</v>
      </c>
      <c r="C988" t="s">
        <v>1614</v>
      </c>
      <c r="E988" t="s">
        <v>1438</v>
      </c>
    </row>
    <row r="989" spans="1:5" x14ac:dyDescent="0.2">
      <c r="A989" t="s">
        <v>1508</v>
      </c>
      <c r="B989" t="s">
        <v>1615</v>
      </c>
      <c r="C989" t="s">
        <v>1616</v>
      </c>
      <c r="E989" t="s">
        <v>1438</v>
      </c>
    </row>
    <row r="990" spans="1:5" x14ac:dyDescent="0.2">
      <c r="A990" t="s">
        <v>1508</v>
      </c>
      <c r="B990" t="s">
        <v>1617</v>
      </c>
      <c r="C990" t="s">
        <v>1618</v>
      </c>
      <c r="E990" t="s">
        <v>1438</v>
      </c>
    </row>
    <row r="991" spans="1:5" x14ac:dyDescent="0.2">
      <c r="A991" t="s">
        <v>1508</v>
      </c>
      <c r="B991" t="s">
        <v>1619</v>
      </c>
      <c r="C991" t="s">
        <v>1620</v>
      </c>
      <c r="E991" t="s">
        <v>1438</v>
      </c>
    </row>
    <row r="992" spans="1:5" x14ac:dyDescent="0.2">
      <c r="A992" t="s">
        <v>1508</v>
      </c>
      <c r="B992" t="s">
        <v>1621</v>
      </c>
      <c r="C992" t="s">
        <v>1622</v>
      </c>
      <c r="E992" t="s">
        <v>1438</v>
      </c>
    </row>
    <row r="993" spans="1:5" x14ac:dyDescent="0.2">
      <c r="A993" t="s">
        <v>1508</v>
      </c>
      <c r="B993" t="s">
        <v>1623</v>
      </c>
      <c r="C993" t="s">
        <v>1624</v>
      </c>
      <c r="E993" t="s">
        <v>1438</v>
      </c>
    </row>
    <row r="994" spans="1:5" x14ac:dyDescent="0.2">
      <c r="A994" t="s">
        <v>1508</v>
      </c>
      <c r="B994" t="s">
        <v>1625</v>
      </c>
      <c r="C994" t="s">
        <v>1626</v>
      </c>
      <c r="E994" t="s">
        <v>1438</v>
      </c>
    </row>
    <row r="995" spans="1:5" x14ac:dyDescent="0.2">
      <c r="A995" t="s">
        <v>1508</v>
      </c>
      <c r="B995" t="s">
        <v>1627</v>
      </c>
      <c r="C995" t="s">
        <v>1628</v>
      </c>
      <c r="E995" t="s">
        <v>1438</v>
      </c>
    </row>
    <row r="996" spans="1:5" x14ac:dyDescent="0.2">
      <c r="A996" t="s">
        <v>1508</v>
      </c>
      <c r="B996" t="s">
        <v>1629</v>
      </c>
      <c r="C996" t="s">
        <v>1630</v>
      </c>
      <c r="E996" t="s">
        <v>1438</v>
      </c>
    </row>
    <row r="997" spans="1:5" x14ac:dyDescent="0.2">
      <c r="A997" t="s">
        <v>1508</v>
      </c>
      <c r="B997" t="s">
        <v>1631</v>
      </c>
      <c r="C997" t="s">
        <v>1632</v>
      </c>
      <c r="E997" t="s">
        <v>1438</v>
      </c>
    </row>
    <row r="998" spans="1:5" x14ac:dyDescent="0.2">
      <c r="A998" t="s">
        <v>1508</v>
      </c>
      <c r="B998" t="s">
        <v>1633</v>
      </c>
      <c r="C998" t="s">
        <v>1634</v>
      </c>
      <c r="E998" t="s">
        <v>1438</v>
      </c>
    </row>
    <row r="999" spans="1:5" x14ac:dyDescent="0.2">
      <c r="A999" t="s">
        <v>1508</v>
      </c>
      <c r="B999" t="s">
        <v>1635</v>
      </c>
      <c r="C999" t="s">
        <v>1636</v>
      </c>
      <c r="E999" t="s">
        <v>1438</v>
      </c>
    </row>
    <row r="1000" spans="1:5" x14ac:dyDescent="0.2">
      <c r="A1000" t="s">
        <v>1508</v>
      </c>
      <c r="B1000" t="s">
        <v>1637</v>
      </c>
      <c r="C1000" t="s">
        <v>1638</v>
      </c>
      <c r="E1000" t="s">
        <v>1438</v>
      </c>
    </row>
    <row r="1001" spans="1:5" x14ac:dyDescent="0.2">
      <c r="A1001" t="s">
        <v>1508</v>
      </c>
      <c r="B1001" t="s">
        <v>1639</v>
      </c>
      <c r="C1001" t="s">
        <v>1640</v>
      </c>
      <c r="E1001" t="s">
        <v>1438</v>
      </c>
    </row>
    <row r="1002" spans="1:5" x14ac:dyDescent="0.2">
      <c r="A1002" t="s">
        <v>1508</v>
      </c>
      <c r="B1002" t="s">
        <v>1641</v>
      </c>
      <c r="C1002" t="s">
        <v>1642</v>
      </c>
      <c r="E1002" t="s">
        <v>1438</v>
      </c>
    </row>
    <row r="1003" spans="1:5" x14ac:dyDescent="0.2">
      <c r="A1003" t="s">
        <v>1508</v>
      </c>
      <c r="B1003" t="s">
        <v>1643</v>
      </c>
      <c r="C1003" t="s">
        <v>1644</v>
      </c>
      <c r="E1003" t="s">
        <v>1438</v>
      </c>
    </row>
    <row r="1004" spans="1:5" x14ac:dyDescent="0.2">
      <c r="A1004" t="s">
        <v>1508</v>
      </c>
      <c r="B1004" t="s">
        <v>1645</v>
      </c>
      <c r="C1004" t="s">
        <v>1646</v>
      </c>
      <c r="E1004" t="s">
        <v>1438</v>
      </c>
    </row>
    <row r="1005" spans="1:5" x14ac:dyDescent="0.2">
      <c r="A1005" t="s">
        <v>1508</v>
      </c>
      <c r="B1005" t="s">
        <v>1647</v>
      </c>
      <c r="C1005" t="s">
        <v>1648</v>
      </c>
      <c r="E1005" t="s">
        <v>1440</v>
      </c>
    </row>
    <row r="1006" spans="1:5" x14ac:dyDescent="0.2">
      <c r="A1006" t="s">
        <v>1508</v>
      </c>
      <c r="B1006" t="s">
        <v>1649</v>
      </c>
      <c r="C1006" t="s">
        <v>1650</v>
      </c>
      <c r="E1006" t="s">
        <v>1440</v>
      </c>
    </row>
    <row r="1007" spans="1:5" x14ac:dyDescent="0.2">
      <c r="A1007" t="s">
        <v>1508</v>
      </c>
      <c r="B1007" t="s">
        <v>1651</v>
      </c>
      <c r="C1007" t="s">
        <v>1652</v>
      </c>
      <c r="E1007" t="s">
        <v>1440</v>
      </c>
    </row>
    <row r="1008" spans="1:5" x14ac:dyDescent="0.2">
      <c r="A1008" t="s">
        <v>1508</v>
      </c>
      <c r="B1008" t="s">
        <v>1653</v>
      </c>
      <c r="C1008" t="s">
        <v>1654</v>
      </c>
      <c r="E1008" t="s">
        <v>1440</v>
      </c>
    </row>
    <row r="1009" spans="1:5" x14ac:dyDescent="0.2">
      <c r="A1009" t="s">
        <v>1508</v>
      </c>
      <c r="B1009" t="s">
        <v>1655</v>
      </c>
      <c r="C1009" t="s">
        <v>1656</v>
      </c>
      <c r="E1009" t="s">
        <v>1440</v>
      </c>
    </row>
    <row r="1010" spans="1:5" x14ac:dyDescent="0.2">
      <c r="A1010" t="s">
        <v>1508</v>
      </c>
      <c r="B1010" t="s">
        <v>1657</v>
      </c>
      <c r="C1010" t="s">
        <v>1658</v>
      </c>
      <c r="E1010" t="s">
        <v>1440</v>
      </c>
    </row>
    <row r="1011" spans="1:5" x14ac:dyDescent="0.2">
      <c r="A1011" t="s">
        <v>1508</v>
      </c>
      <c r="B1011" t="s">
        <v>1659</v>
      </c>
      <c r="C1011" t="s">
        <v>1660</v>
      </c>
      <c r="E1011" t="s">
        <v>1440</v>
      </c>
    </row>
    <row r="1012" spans="1:5" x14ac:dyDescent="0.2">
      <c r="A1012" t="s">
        <v>1508</v>
      </c>
      <c r="B1012" t="s">
        <v>1661</v>
      </c>
      <c r="C1012" t="s">
        <v>1662</v>
      </c>
      <c r="E1012" t="s">
        <v>1440</v>
      </c>
    </row>
    <row r="1013" spans="1:5" x14ac:dyDescent="0.2">
      <c r="A1013" t="s">
        <v>1508</v>
      </c>
      <c r="B1013" t="s">
        <v>1663</v>
      </c>
      <c r="C1013" t="s">
        <v>1664</v>
      </c>
      <c r="E1013" t="s">
        <v>1440</v>
      </c>
    </row>
    <row r="1014" spans="1:5" x14ac:dyDescent="0.2">
      <c r="A1014" t="s">
        <v>1508</v>
      </c>
      <c r="B1014" t="s">
        <v>1665</v>
      </c>
      <c r="C1014" t="s">
        <v>1666</v>
      </c>
      <c r="E1014" t="s">
        <v>1440</v>
      </c>
    </row>
    <row r="1015" spans="1:5" x14ac:dyDescent="0.2">
      <c r="A1015" t="s">
        <v>1508</v>
      </c>
      <c r="B1015" t="s">
        <v>1667</v>
      </c>
      <c r="C1015" t="s">
        <v>1668</v>
      </c>
      <c r="E1015" t="s">
        <v>1440</v>
      </c>
    </row>
    <row r="1016" spans="1:5" x14ac:dyDescent="0.2">
      <c r="A1016" t="s">
        <v>1508</v>
      </c>
      <c r="B1016" t="s">
        <v>1669</v>
      </c>
      <c r="C1016" t="s">
        <v>1670</v>
      </c>
      <c r="E1016" t="s">
        <v>1440</v>
      </c>
    </row>
    <row r="1017" spans="1:5" x14ac:dyDescent="0.2">
      <c r="A1017" t="s">
        <v>1508</v>
      </c>
      <c r="B1017" t="s">
        <v>1671</v>
      </c>
      <c r="C1017" t="s">
        <v>1672</v>
      </c>
      <c r="E1017" t="s">
        <v>1440</v>
      </c>
    </row>
    <row r="1018" spans="1:5" x14ac:dyDescent="0.2">
      <c r="A1018" t="s">
        <v>1508</v>
      </c>
      <c r="B1018" t="s">
        <v>1673</v>
      </c>
      <c r="C1018" t="s">
        <v>1674</v>
      </c>
      <c r="E1018" t="s">
        <v>1440</v>
      </c>
    </row>
    <row r="1019" spans="1:5" x14ac:dyDescent="0.2">
      <c r="A1019" t="s">
        <v>1508</v>
      </c>
      <c r="B1019" t="s">
        <v>1675</v>
      </c>
      <c r="C1019" t="s">
        <v>1676</v>
      </c>
      <c r="E1019" t="s">
        <v>1440</v>
      </c>
    </row>
    <row r="1020" spans="1:5" x14ac:dyDescent="0.2">
      <c r="A1020" t="s">
        <v>1508</v>
      </c>
      <c r="B1020" t="s">
        <v>1677</v>
      </c>
      <c r="C1020" t="s">
        <v>1678</v>
      </c>
      <c r="E1020" t="s">
        <v>1440</v>
      </c>
    </row>
    <row r="1021" spans="1:5" x14ac:dyDescent="0.2">
      <c r="A1021" t="s">
        <v>1508</v>
      </c>
      <c r="B1021" t="s">
        <v>1679</v>
      </c>
      <c r="C1021" t="s">
        <v>1680</v>
      </c>
      <c r="E1021" t="s">
        <v>1440</v>
      </c>
    </row>
    <row r="1022" spans="1:5" x14ac:dyDescent="0.2">
      <c r="A1022" t="s">
        <v>1508</v>
      </c>
      <c r="B1022" t="s">
        <v>1681</v>
      </c>
      <c r="C1022" t="s">
        <v>1682</v>
      </c>
      <c r="E1022" t="s">
        <v>1440</v>
      </c>
    </row>
    <row r="1023" spans="1:5" x14ac:dyDescent="0.2">
      <c r="A1023" t="s">
        <v>1508</v>
      </c>
      <c r="B1023" t="s">
        <v>1683</v>
      </c>
      <c r="C1023" t="s">
        <v>1684</v>
      </c>
      <c r="E1023" t="s">
        <v>1440</v>
      </c>
    </row>
    <row r="1024" spans="1:5" x14ac:dyDescent="0.2">
      <c r="A1024" t="s">
        <v>1508</v>
      </c>
      <c r="B1024" t="s">
        <v>1685</v>
      </c>
      <c r="C1024" t="s">
        <v>1686</v>
      </c>
      <c r="E1024" t="s">
        <v>1440</v>
      </c>
    </row>
    <row r="1025" spans="1:5" x14ac:dyDescent="0.2">
      <c r="A1025" t="s">
        <v>1508</v>
      </c>
      <c r="B1025" t="s">
        <v>1687</v>
      </c>
      <c r="C1025" t="s">
        <v>1688</v>
      </c>
      <c r="E1025" t="s">
        <v>1440</v>
      </c>
    </row>
    <row r="1026" spans="1:5" x14ac:dyDescent="0.2">
      <c r="A1026" t="s">
        <v>1508</v>
      </c>
      <c r="B1026" t="s">
        <v>1689</v>
      </c>
      <c r="C1026" t="s">
        <v>1690</v>
      </c>
      <c r="E1026" t="s">
        <v>1442</v>
      </c>
    </row>
    <row r="1027" spans="1:5" x14ac:dyDescent="0.2">
      <c r="A1027" t="s">
        <v>1508</v>
      </c>
      <c r="B1027" t="s">
        <v>1691</v>
      </c>
      <c r="C1027" t="s">
        <v>1443</v>
      </c>
      <c r="E1027" t="s">
        <v>1442</v>
      </c>
    </row>
    <row r="1028" spans="1:5" x14ac:dyDescent="0.2">
      <c r="A1028" t="s">
        <v>1508</v>
      </c>
      <c r="B1028" t="s">
        <v>1692</v>
      </c>
      <c r="C1028" t="s">
        <v>1693</v>
      </c>
      <c r="E1028" t="s">
        <v>1442</v>
      </c>
    </row>
    <row r="1029" spans="1:5" x14ac:dyDescent="0.2">
      <c r="A1029" t="s">
        <v>1508</v>
      </c>
      <c r="B1029" t="s">
        <v>1694</v>
      </c>
      <c r="C1029" t="s">
        <v>1695</v>
      </c>
      <c r="E1029" t="s">
        <v>1442</v>
      </c>
    </row>
    <row r="1030" spans="1:5" x14ac:dyDescent="0.2">
      <c r="A1030" t="s">
        <v>1508</v>
      </c>
      <c r="B1030" t="s">
        <v>1696</v>
      </c>
      <c r="C1030" t="s">
        <v>1697</v>
      </c>
      <c r="E1030" t="s">
        <v>1442</v>
      </c>
    </row>
    <row r="1031" spans="1:5" x14ac:dyDescent="0.2">
      <c r="A1031" t="s">
        <v>1508</v>
      </c>
      <c r="B1031" t="s">
        <v>1698</v>
      </c>
      <c r="C1031" t="s">
        <v>1699</v>
      </c>
      <c r="E1031" t="s">
        <v>1442</v>
      </c>
    </row>
    <row r="1032" spans="1:5" x14ac:dyDescent="0.2">
      <c r="A1032" t="s">
        <v>1508</v>
      </c>
      <c r="B1032" t="s">
        <v>1700</v>
      </c>
      <c r="C1032" t="s">
        <v>1701</v>
      </c>
      <c r="E1032" t="s">
        <v>1442</v>
      </c>
    </row>
    <row r="1033" spans="1:5" x14ac:dyDescent="0.2">
      <c r="A1033" t="s">
        <v>1508</v>
      </c>
      <c r="B1033" t="s">
        <v>1702</v>
      </c>
      <c r="C1033" t="s">
        <v>1703</v>
      </c>
      <c r="E1033" t="s">
        <v>1442</v>
      </c>
    </row>
    <row r="1034" spans="1:5" x14ac:dyDescent="0.2">
      <c r="A1034" t="s">
        <v>1508</v>
      </c>
      <c r="B1034" t="s">
        <v>1704</v>
      </c>
      <c r="C1034" t="s">
        <v>1705</v>
      </c>
      <c r="E1034" t="s">
        <v>1442</v>
      </c>
    </row>
    <row r="1035" spans="1:5" x14ac:dyDescent="0.2">
      <c r="A1035" t="s">
        <v>1508</v>
      </c>
      <c r="B1035" t="s">
        <v>1706</v>
      </c>
      <c r="C1035" t="s">
        <v>1707</v>
      </c>
      <c r="E1035" t="s">
        <v>1442</v>
      </c>
    </row>
    <row r="1036" spans="1:5" x14ac:dyDescent="0.2">
      <c r="A1036" t="s">
        <v>1508</v>
      </c>
      <c r="B1036" t="s">
        <v>1708</v>
      </c>
      <c r="C1036" t="s">
        <v>1709</v>
      </c>
      <c r="E1036" t="s">
        <v>1442</v>
      </c>
    </row>
    <row r="1037" spans="1:5" x14ac:dyDescent="0.2">
      <c r="A1037" t="s">
        <v>1508</v>
      </c>
      <c r="B1037" t="s">
        <v>1710</v>
      </c>
      <c r="C1037" t="s">
        <v>1711</v>
      </c>
      <c r="E1037" t="s">
        <v>1442</v>
      </c>
    </row>
    <row r="1038" spans="1:5" x14ac:dyDescent="0.2">
      <c r="A1038" t="s">
        <v>1508</v>
      </c>
      <c r="B1038" t="s">
        <v>1712</v>
      </c>
      <c r="C1038" t="s">
        <v>1713</v>
      </c>
      <c r="E1038" t="s">
        <v>1442</v>
      </c>
    </row>
    <row r="1039" spans="1:5" x14ac:dyDescent="0.2">
      <c r="A1039" t="s">
        <v>1508</v>
      </c>
      <c r="B1039" t="s">
        <v>1714</v>
      </c>
      <c r="C1039" t="s">
        <v>1715</v>
      </c>
      <c r="E1039" t="s">
        <v>1442</v>
      </c>
    </row>
    <row r="1040" spans="1:5" x14ac:dyDescent="0.2">
      <c r="A1040" t="s">
        <v>1508</v>
      </c>
      <c r="B1040" t="s">
        <v>1716</v>
      </c>
      <c r="C1040" t="s">
        <v>1717</v>
      </c>
      <c r="E1040" t="s">
        <v>1442</v>
      </c>
    </row>
    <row r="1041" spans="1:5" x14ac:dyDescent="0.2">
      <c r="A1041" t="s">
        <v>1508</v>
      </c>
      <c r="B1041" t="s">
        <v>1718</v>
      </c>
      <c r="C1041" t="s">
        <v>1719</v>
      </c>
      <c r="E1041" t="s">
        <v>1442</v>
      </c>
    </row>
    <row r="1042" spans="1:5" x14ac:dyDescent="0.2">
      <c r="A1042" t="s">
        <v>1508</v>
      </c>
      <c r="B1042" t="s">
        <v>1720</v>
      </c>
      <c r="C1042" t="s">
        <v>1721</v>
      </c>
      <c r="E1042" t="s">
        <v>1442</v>
      </c>
    </row>
    <row r="1043" spans="1:5" x14ac:dyDescent="0.2">
      <c r="A1043" t="s">
        <v>1508</v>
      </c>
      <c r="B1043" t="s">
        <v>1722</v>
      </c>
      <c r="C1043" t="s">
        <v>1723</v>
      </c>
      <c r="E1043" t="s">
        <v>1442</v>
      </c>
    </row>
    <row r="1044" spans="1:5" x14ac:dyDescent="0.2">
      <c r="A1044" t="s">
        <v>1508</v>
      </c>
      <c r="B1044" t="s">
        <v>1724</v>
      </c>
      <c r="C1044" t="s">
        <v>1725</v>
      </c>
      <c r="E1044" t="s">
        <v>1442</v>
      </c>
    </row>
    <row r="1045" spans="1:5" x14ac:dyDescent="0.2">
      <c r="A1045" t="s">
        <v>1508</v>
      </c>
      <c r="B1045" t="s">
        <v>1726</v>
      </c>
      <c r="C1045" t="s">
        <v>1727</v>
      </c>
      <c r="E1045" t="s">
        <v>1442</v>
      </c>
    </row>
    <row r="1046" spans="1:5" x14ac:dyDescent="0.2">
      <c r="A1046" t="s">
        <v>1508</v>
      </c>
      <c r="B1046" t="s">
        <v>1728</v>
      </c>
      <c r="C1046" t="s">
        <v>1729</v>
      </c>
      <c r="E1046" t="s">
        <v>1444</v>
      </c>
    </row>
    <row r="1047" spans="1:5" x14ac:dyDescent="0.2">
      <c r="A1047" t="s">
        <v>1508</v>
      </c>
      <c r="B1047" t="s">
        <v>1730</v>
      </c>
      <c r="C1047" t="s">
        <v>1731</v>
      </c>
      <c r="E1047" t="s">
        <v>1444</v>
      </c>
    </row>
    <row r="1048" spans="1:5" x14ac:dyDescent="0.2">
      <c r="A1048" t="s">
        <v>1508</v>
      </c>
      <c r="B1048" t="s">
        <v>1732</v>
      </c>
      <c r="C1048" t="s">
        <v>1733</v>
      </c>
      <c r="E1048" t="s">
        <v>1444</v>
      </c>
    </row>
    <row r="1049" spans="1:5" x14ac:dyDescent="0.2">
      <c r="A1049" t="s">
        <v>1508</v>
      </c>
      <c r="B1049" t="s">
        <v>1734</v>
      </c>
      <c r="C1049" t="s">
        <v>1735</v>
      </c>
      <c r="E1049" t="s">
        <v>1444</v>
      </c>
    </row>
    <row r="1050" spans="1:5" x14ac:dyDescent="0.2">
      <c r="A1050" t="s">
        <v>1508</v>
      </c>
      <c r="B1050" t="s">
        <v>1736</v>
      </c>
      <c r="C1050" t="s">
        <v>1737</v>
      </c>
      <c r="E1050" t="s">
        <v>1444</v>
      </c>
    </row>
    <row r="1051" spans="1:5" x14ac:dyDescent="0.2">
      <c r="A1051" t="s">
        <v>1508</v>
      </c>
      <c r="B1051" t="s">
        <v>1738</v>
      </c>
      <c r="C1051" t="s">
        <v>1739</v>
      </c>
      <c r="E1051" t="s">
        <v>1444</v>
      </c>
    </row>
    <row r="1052" spans="1:5" x14ac:dyDescent="0.2">
      <c r="A1052" t="s">
        <v>1508</v>
      </c>
      <c r="B1052" t="s">
        <v>1740</v>
      </c>
      <c r="C1052" t="s">
        <v>1741</v>
      </c>
      <c r="E1052" t="s">
        <v>1444</v>
      </c>
    </row>
    <row r="1053" spans="1:5" x14ac:dyDescent="0.2">
      <c r="A1053" t="s">
        <v>1508</v>
      </c>
      <c r="B1053" t="s">
        <v>1742</v>
      </c>
      <c r="C1053" t="s">
        <v>1743</v>
      </c>
      <c r="E1053" t="s">
        <v>1444</v>
      </c>
    </row>
    <row r="1054" spans="1:5" x14ac:dyDescent="0.2">
      <c r="A1054" t="s">
        <v>1508</v>
      </c>
      <c r="B1054" t="s">
        <v>1744</v>
      </c>
      <c r="C1054" t="s">
        <v>1745</v>
      </c>
      <c r="E1054" t="s">
        <v>1446</v>
      </c>
    </row>
    <row r="1055" spans="1:5" x14ac:dyDescent="0.2">
      <c r="A1055" t="s">
        <v>1508</v>
      </c>
      <c r="B1055" t="s">
        <v>1746</v>
      </c>
      <c r="C1055" t="s">
        <v>1747</v>
      </c>
      <c r="E1055" t="s">
        <v>1446</v>
      </c>
    </row>
    <row r="1056" spans="1:5" x14ac:dyDescent="0.2">
      <c r="A1056" t="s">
        <v>1508</v>
      </c>
      <c r="B1056" t="s">
        <v>1748</v>
      </c>
      <c r="C1056" t="s">
        <v>1749</v>
      </c>
      <c r="E1056" t="s">
        <v>1446</v>
      </c>
    </row>
    <row r="1057" spans="1:5" x14ac:dyDescent="0.2">
      <c r="A1057" t="s">
        <v>1508</v>
      </c>
      <c r="B1057" t="s">
        <v>1750</v>
      </c>
      <c r="C1057" t="s">
        <v>1751</v>
      </c>
      <c r="E1057" t="s">
        <v>1446</v>
      </c>
    </row>
    <row r="1058" spans="1:5" x14ac:dyDescent="0.2">
      <c r="A1058" t="s">
        <v>1508</v>
      </c>
      <c r="B1058" t="s">
        <v>1752</v>
      </c>
      <c r="C1058" t="s">
        <v>1753</v>
      </c>
      <c r="E1058" t="s">
        <v>1446</v>
      </c>
    </row>
    <row r="1059" spans="1:5" x14ac:dyDescent="0.2">
      <c r="A1059" t="s">
        <v>1508</v>
      </c>
      <c r="B1059" t="s">
        <v>1754</v>
      </c>
      <c r="C1059" t="s">
        <v>1755</v>
      </c>
      <c r="E1059" t="s">
        <v>1446</v>
      </c>
    </row>
    <row r="1060" spans="1:5" x14ac:dyDescent="0.2">
      <c r="A1060" t="s">
        <v>1508</v>
      </c>
      <c r="B1060" t="s">
        <v>1756</v>
      </c>
      <c r="C1060" t="s">
        <v>1757</v>
      </c>
      <c r="E1060" t="s">
        <v>1446</v>
      </c>
    </row>
    <row r="1061" spans="1:5" x14ac:dyDescent="0.2">
      <c r="A1061" t="s">
        <v>1508</v>
      </c>
      <c r="B1061" t="s">
        <v>1758</v>
      </c>
      <c r="C1061" t="s">
        <v>1759</v>
      </c>
      <c r="E1061" t="s">
        <v>1446</v>
      </c>
    </row>
    <row r="1062" spans="1:5" x14ac:dyDescent="0.2">
      <c r="A1062" t="s">
        <v>1508</v>
      </c>
      <c r="B1062" t="s">
        <v>1760</v>
      </c>
      <c r="C1062" t="s">
        <v>1761</v>
      </c>
      <c r="E1062" t="s">
        <v>1446</v>
      </c>
    </row>
    <row r="1063" spans="1:5" x14ac:dyDescent="0.2">
      <c r="A1063" t="s">
        <v>1508</v>
      </c>
      <c r="B1063" t="s">
        <v>1762</v>
      </c>
      <c r="C1063" t="s">
        <v>1763</v>
      </c>
      <c r="E1063" t="s">
        <v>1446</v>
      </c>
    </row>
    <row r="1064" spans="1:5" x14ac:dyDescent="0.2">
      <c r="A1064" t="s">
        <v>1508</v>
      </c>
      <c r="B1064" t="s">
        <v>1764</v>
      </c>
      <c r="C1064" t="s">
        <v>1765</v>
      </c>
      <c r="E1064" t="s">
        <v>1446</v>
      </c>
    </row>
    <row r="1065" spans="1:5" x14ac:dyDescent="0.2">
      <c r="A1065" t="s">
        <v>1508</v>
      </c>
      <c r="B1065" t="s">
        <v>1766</v>
      </c>
      <c r="C1065" t="s">
        <v>1767</v>
      </c>
      <c r="E1065" t="s">
        <v>1446</v>
      </c>
    </row>
    <row r="1066" spans="1:5" x14ac:dyDescent="0.2">
      <c r="A1066" t="s">
        <v>1508</v>
      </c>
      <c r="B1066" t="s">
        <v>1768</v>
      </c>
      <c r="C1066" t="s">
        <v>1769</v>
      </c>
      <c r="E1066" t="s">
        <v>1446</v>
      </c>
    </row>
    <row r="1067" spans="1:5" x14ac:dyDescent="0.2">
      <c r="A1067" t="s">
        <v>1508</v>
      </c>
      <c r="B1067" t="s">
        <v>1770</v>
      </c>
      <c r="C1067" t="s">
        <v>1771</v>
      </c>
      <c r="E1067" t="s">
        <v>1446</v>
      </c>
    </row>
    <row r="1068" spans="1:5" x14ac:dyDescent="0.2">
      <c r="A1068" t="s">
        <v>1508</v>
      </c>
      <c r="B1068" t="s">
        <v>1772</v>
      </c>
      <c r="C1068" t="s">
        <v>1773</v>
      </c>
      <c r="E1068" t="s">
        <v>1446</v>
      </c>
    </row>
    <row r="1069" spans="1:5" x14ac:dyDescent="0.2">
      <c r="A1069" t="s">
        <v>1508</v>
      </c>
      <c r="B1069" t="s">
        <v>1774</v>
      </c>
      <c r="C1069" t="s">
        <v>1775</v>
      </c>
      <c r="E1069" t="s">
        <v>1446</v>
      </c>
    </row>
    <row r="1070" spans="1:5" x14ac:dyDescent="0.2">
      <c r="A1070" t="s">
        <v>1508</v>
      </c>
      <c r="B1070" t="s">
        <v>1776</v>
      </c>
      <c r="C1070" t="s">
        <v>1777</v>
      </c>
      <c r="E1070" t="s">
        <v>1446</v>
      </c>
    </row>
    <row r="1071" spans="1:5" x14ac:dyDescent="0.2">
      <c r="A1071" t="s">
        <v>1508</v>
      </c>
      <c r="B1071" t="s">
        <v>1778</v>
      </c>
      <c r="C1071" t="s">
        <v>1779</v>
      </c>
      <c r="E1071" t="s">
        <v>1446</v>
      </c>
    </row>
    <row r="1072" spans="1:5" x14ac:dyDescent="0.2">
      <c r="A1072" t="s">
        <v>1508</v>
      </c>
      <c r="B1072" t="s">
        <v>1780</v>
      </c>
      <c r="C1072" t="s">
        <v>1781</v>
      </c>
      <c r="E1072" t="s">
        <v>1446</v>
      </c>
    </row>
    <row r="1073" spans="1:5" x14ac:dyDescent="0.2">
      <c r="A1073" t="s">
        <v>1508</v>
      </c>
      <c r="B1073" t="s">
        <v>1782</v>
      </c>
      <c r="C1073" t="s">
        <v>1783</v>
      </c>
      <c r="E1073" t="s">
        <v>1446</v>
      </c>
    </row>
    <row r="1074" spans="1:5" x14ac:dyDescent="0.2">
      <c r="A1074" t="s">
        <v>1508</v>
      </c>
      <c r="B1074" t="s">
        <v>1784</v>
      </c>
      <c r="C1074" t="s">
        <v>1785</v>
      </c>
      <c r="E1074" t="s">
        <v>1446</v>
      </c>
    </row>
    <row r="1075" spans="1:5" x14ac:dyDescent="0.2">
      <c r="A1075" t="s">
        <v>1508</v>
      </c>
      <c r="B1075" t="s">
        <v>1786</v>
      </c>
      <c r="C1075" t="s">
        <v>1787</v>
      </c>
      <c r="E1075" t="s">
        <v>1446</v>
      </c>
    </row>
    <row r="1076" spans="1:5" x14ac:dyDescent="0.2">
      <c r="A1076" t="s">
        <v>1508</v>
      </c>
      <c r="B1076" t="s">
        <v>1788</v>
      </c>
      <c r="C1076" t="s">
        <v>1789</v>
      </c>
      <c r="E1076" t="s">
        <v>1446</v>
      </c>
    </row>
    <row r="1077" spans="1:5" x14ac:dyDescent="0.2">
      <c r="A1077" t="s">
        <v>1508</v>
      </c>
      <c r="B1077" t="s">
        <v>1790</v>
      </c>
      <c r="C1077" t="s">
        <v>1791</v>
      </c>
      <c r="E1077" t="s">
        <v>1448</v>
      </c>
    </row>
    <row r="1078" spans="1:5" x14ac:dyDescent="0.2">
      <c r="A1078" t="s">
        <v>1508</v>
      </c>
      <c r="B1078" t="s">
        <v>1792</v>
      </c>
      <c r="C1078" t="s">
        <v>1793</v>
      </c>
      <c r="E1078" t="s">
        <v>1448</v>
      </c>
    </row>
    <row r="1079" spans="1:5" x14ac:dyDescent="0.2">
      <c r="A1079" t="s">
        <v>1508</v>
      </c>
      <c r="B1079" t="s">
        <v>1794</v>
      </c>
      <c r="C1079" t="s">
        <v>1795</v>
      </c>
      <c r="E1079" t="s">
        <v>1448</v>
      </c>
    </row>
    <row r="1080" spans="1:5" x14ac:dyDescent="0.2">
      <c r="A1080" t="s">
        <v>1508</v>
      </c>
      <c r="B1080" t="s">
        <v>1796</v>
      </c>
      <c r="C1080" t="s">
        <v>1797</v>
      </c>
      <c r="E1080" t="s">
        <v>1448</v>
      </c>
    </row>
    <row r="1081" spans="1:5" x14ac:dyDescent="0.2">
      <c r="A1081" t="s">
        <v>1508</v>
      </c>
      <c r="B1081" t="s">
        <v>1798</v>
      </c>
      <c r="C1081" t="s">
        <v>1799</v>
      </c>
      <c r="E1081" t="s">
        <v>1448</v>
      </c>
    </row>
    <row r="1082" spans="1:5" x14ac:dyDescent="0.2">
      <c r="A1082" t="s">
        <v>1508</v>
      </c>
      <c r="B1082" t="s">
        <v>1800</v>
      </c>
      <c r="C1082" t="s">
        <v>1801</v>
      </c>
      <c r="E1082" t="s">
        <v>1448</v>
      </c>
    </row>
    <row r="1083" spans="1:5" x14ac:dyDescent="0.2">
      <c r="A1083" t="s">
        <v>1508</v>
      </c>
      <c r="B1083" t="s">
        <v>1802</v>
      </c>
      <c r="C1083" t="s">
        <v>1803</v>
      </c>
      <c r="E1083" t="s">
        <v>1448</v>
      </c>
    </row>
    <row r="1084" spans="1:5" x14ac:dyDescent="0.2">
      <c r="A1084" t="s">
        <v>1508</v>
      </c>
      <c r="B1084" t="s">
        <v>1804</v>
      </c>
      <c r="C1084" t="s">
        <v>1805</v>
      </c>
      <c r="E1084" t="s">
        <v>1448</v>
      </c>
    </row>
    <row r="1085" spans="1:5" x14ac:dyDescent="0.2">
      <c r="A1085" t="s">
        <v>1508</v>
      </c>
      <c r="B1085" t="s">
        <v>1806</v>
      </c>
      <c r="C1085" t="s">
        <v>1807</v>
      </c>
      <c r="E1085" t="s">
        <v>1448</v>
      </c>
    </row>
    <row r="1086" spans="1:5" x14ac:dyDescent="0.2">
      <c r="A1086" t="s">
        <v>1508</v>
      </c>
      <c r="B1086" t="s">
        <v>1808</v>
      </c>
      <c r="C1086" t="s">
        <v>1809</v>
      </c>
      <c r="E1086" t="s">
        <v>1448</v>
      </c>
    </row>
    <row r="1087" spans="1:5" x14ac:dyDescent="0.2">
      <c r="A1087" t="s">
        <v>1508</v>
      </c>
      <c r="B1087" t="s">
        <v>1810</v>
      </c>
      <c r="C1087" t="s">
        <v>1811</v>
      </c>
      <c r="E1087" t="s">
        <v>1448</v>
      </c>
    </row>
    <row r="1088" spans="1:5" x14ac:dyDescent="0.2">
      <c r="A1088" t="s">
        <v>1508</v>
      </c>
      <c r="B1088" t="s">
        <v>1812</v>
      </c>
      <c r="C1088" t="s">
        <v>1813</v>
      </c>
      <c r="E1088" t="s">
        <v>1448</v>
      </c>
    </row>
    <row r="1089" spans="1:5" x14ac:dyDescent="0.2">
      <c r="A1089" t="s">
        <v>1508</v>
      </c>
      <c r="B1089" t="s">
        <v>1814</v>
      </c>
      <c r="C1089" t="s">
        <v>1815</v>
      </c>
      <c r="E1089" t="s">
        <v>1448</v>
      </c>
    </row>
    <row r="1090" spans="1:5" x14ac:dyDescent="0.2">
      <c r="A1090" t="s">
        <v>1508</v>
      </c>
      <c r="B1090" t="s">
        <v>1816</v>
      </c>
      <c r="C1090" t="s">
        <v>1817</v>
      </c>
      <c r="E1090" t="s">
        <v>1448</v>
      </c>
    </row>
    <row r="1091" spans="1:5" x14ac:dyDescent="0.2">
      <c r="A1091" t="s">
        <v>1508</v>
      </c>
      <c r="B1091" t="s">
        <v>1818</v>
      </c>
      <c r="C1091" t="s">
        <v>1819</v>
      </c>
      <c r="E1091" t="s">
        <v>1448</v>
      </c>
    </row>
    <row r="1092" spans="1:5" x14ac:dyDescent="0.2">
      <c r="A1092" t="s">
        <v>1508</v>
      </c>
      <c r="B1092" t="s">
        <v>1820</v>
      </c>
      <c r="C1092" t="s">
        <v>1821</v>
      </c>
      <c r="E1092" t="s">
        <v>1448</v>
      </c>
    </row>
    <row r="1093" spans="1:5" x14ac:dyDescent="0.2">
      <c r="A1093" t="s">
        <v>1508</v>
      </c>
      <c r="B1093" t="s">
        <v>1822</v>
      </c>
      <c r="C1093" t="s">
        <v>1823</v>
      </c>
      <c r="E1093" t="s">
        <v>1448</v>
      </c>
    </row>
    <row r="1094" spans="1:5" x14ac:dyDescent="0.2">
      <c r="A1094" t="s">
        <v>1508</v>
      </c>
      <c r="B1094" t="s">
        <v>1824</v>
      </c>
      <c r="C1094" t="s">
        <v>1825</v>
      </c>
      <c r="E1094" t="s">
        <v>1448</v>
      </c>
    </row>
    <row r="1095" spans="1:5" x14ac:dyDescent="0.2">
      <c r="A1095" t="s">
        <v>1508</v>
      </c>
      <c r="B1095" t="s">
        <v>1826</v>
      </c>
      <c r="C1095" t="s">
        <v>1827</v>
      </c>
      <c r="E1095" t="s">
        <v>1448</v>
      </c>
    </row>
    <row r="1096" spans="1:5" x14ac:dyDescent="0.2">
      <c r="A1096" t="s">
        <v>1508</v>
      </c>
      <c r="B1096" t="s">
        <v>1828</v>
      </c>
      <c r="C1096" t="s">
        <v>1829</v>
      </c>
      <c r="E1096" t="s">
        <v>1448</v>
      </c>
    </row>
    <row r="1097" spans="1:5" x14ac:dyDescent="0.2">
      <c r="A1097" t="s">
        <v>1508</v>
      </c>
      <c r="B1097" t="s">
        <v>1830</v>
      </c>
      <c r="C1097" t="s">
        <v>1831</v>
      </c>
      <c r="E1097" t="s">
        <v>1448</v>
      </c>
    </row>
    <row r="1098" spans="1:5" x14ac:dyDescent="0.2">
      <c r="A1098" t="s">
        <v>1508</v>
      </c>
      <c r="B1098" t="s">
        <v>1832</v>
      </c>
      <c r="C1098" t="s">
        <v>1833</v>
      </c>
      <c r="E1098" t="s">
        <v>1448</v>
      </c>
    </row>
    <row r="1099" spans="1:5" x14ac:dyDescent="0.2">
      <c r="A1099" t="s">
        <v>1508</v>
      </c>
      <c r="B1099" t="s">
        <v>1834</v>
      </c>
      <c r="C1099" t="s">
        <v>1835</v>
      </c>
      <c r="E1099" t="s">
        <v>1448</v>
      </c>
    </row>
    <row r="1100" spans="1:5" x14ac:dyDescent="0.2">
      <c r="A1100" t="s">
        <v>1508</v>
      </c>
      <c r="B1100" t="s">
        <v>1836</v>
      </c>
      <c r="C1100" t="s">
        <v>1837</v>
      </c>
      <c r="E1100" t="s">
        <v>1448</v>
      </c>
    </row>
    <row r="1101" spans="1:5" x14ac:dyDescent="0.2">
      <c r="A1101" t="s">
        <v>1508</v>
      </c>
      <c r="B1101" t="s">
        <v>1838</v>
      </c>
      <c r="C1101" t="s">
        <v>1839</v>
      </c>
      <c r="E1101" t="s">
        <v>1448</v>
      </c>
    </row>
    <row r="1102" spans="1:5" x14ac:dyDescent="0.2">
      <c r="A1102" t="s">
        <v>1508</v>
      </c>
      <c r="B1102" t="s">
        <v>1840</v>
      </c>
      <c r="C1102" t="s">
        <v>1841</v>
      </c>
      <c r="E1102" t="s">
        <v>1448</v>
      </c>
    </row>
    <row r="1103" spans="1:5" x14ac:dyDescent="0.2">
      <c r="A1103" t="s">
        <v>1508</v>
      </c>
      <c r="B1103" t="s">
        <v>1842</v>
      </c>
      <c r="C1103" t="s">
        <v>1843</v>
      </c>
      <c r="E1103" t="s">
        <v>1448</v>
      </c>
    </row>
    <row r="1104" spans="1:5" x14ac:dyDescent="0.2">
      <c r="A1104" t="s">
        <v>1508</v>
      </c>
      <c r="B1104" t="s">
        <v>1844</v>
      </c>
      <c r="C1104" t="s">
        <v>1845</v>
      </c>
      <c r="E1104" t="s">
        <v>1450</v>
      </c>
    </row>
    <row r="1105" spans="1:5" x14ac:dyDescent="0.2">
      <c r="A1105" t="s">
        <v>1508</v>
      </c>
      <c r="B1105" t="s">
        <v>1846</v>
      </c>
      <c r="C1105" t="s">
        <v>1847</v>
      </c>
      <c r="E1105" t="s">
        <v>1450</v>
      </c>
    </row>
    <row r="1106" spans="1:5" x14ac:dyDescent="0.2">
      <c r="A1106" t="s">
        <v>1508</v>
      </c>
      <c r="B1106" t="s">
        <v>1848</v>
      </c>
      <c r="C1106" t="s">
        <v>1849</v>
      </c>
      <c r="E1106" t="s">
        <v>1450</v>
      </c>
    </row>
    <row r="1107" spans="1:5" x14ac:dyDescent="0.2">
      <c r="A1107" t="s">
        <v>1508</v>
      </c>
      <c r="B1107" t="s">
        <v>1850</v>
      </c>
      <c r="C1107" t="s">
        <v>1851</v>
      </c>
      <c r="E1107" t="s">
        <v>1450</v>
      </c>
    </row>
    <row r="1108" spans="1:5" x14ac:dyDescent="0.2">
      <c r="A1108" t="s">
        <v>1508</v>
      </c>
      <c r="B1108" t="s">
        <v>1852</v>
      </c>
      <c r="C1108" t="s">
        <v>1853</v>
      </c>
      <c r="E1108" t="s">
        <v>1450</v>
      </c>
    </row>
    <row r="1109" spans="1:5" x14ac:dyDescent="0.2">
      <c r="A1109" t="s">
        <v>1508</v>
      </c>
      <c r="B1109" t="s">
        <v>1854</v>
      </c>
      <c r="C1109" t="s">
        <v>1855</v>
      </c>
      <c r="E1109" t="s">
        <v>1450</v>
      </c>
    </row>
    <row r="1110" spans="1:5" x14ac:dyDescent="0.2">
      <c r="A1110" t="s">
        <v>1508</v>
      </c>
      <c r="B1110" t="s">
        <v>1856</v>
      </c>
      <c r="C1110" t="s">
        <v>1857</v>
      </c>
      <c r="E1110" t="s">
        <v>1450</v>
      </c>
    </row>
    <row r="1111" spans="1:5" x14ac:dyDescent="0.2">
      <c r="A1111" t="s">
        <v>1508</v>
      </c>
      <c r="B1111" t="s">
        <v>1858</v>
      </c>
      <c r="C1111" t="s">
        <v>1859</v>
      </c>
      <c r="E1111" t="s">
        <v>1450</v>
      </c>
    </row>
    <row r="1112" spans="1:5" x14ac:dyDescent="0.2">
      <c r="A1112" t="s">
        <v>1508</v>
      </c>
      <c r="B1112" t="s">
        <v>1860</v>
      </c>
      <c r="C1112" t="s">
        <v>1861</v>
      </c>
      <c r="E1112" t="s">
        <v>1450</v>
      </c>
    </row>
    <row r="1113" spans="1:5" x14ac:dyDescent="0.2">
      <c r="A1113" t="s">
        <v>1508</v>
      </c>
      <c r="B1113" t="s">
        <v>1862</v>
      </c>
      <c r="C1113" t="s">
        <v>1863</v>
      </c>
      <c r="E1113" t="s">
        <v>1450</v>
      </c>
    </row>
    <row r="1114" spans="1:5" x14ac:dyDescent="0.2">
      <c r="A1114" t="s">
        <v>1508</v>
      </c>
      <c r="B1114" t="s">
        <v>1864</v>
      </c>
      <c r="C1114" t="s">
        <v>1865</v>
      </c>
      <c r="E1114" t="s">
        <v>1450</v>
      </c>
    </row>
    <row r="1115" spans="1:5" x14ac:dyDescent="0.2">
      <c r="A1115" t="s">
        <v>1508</v>
      </c>
      <c r="B1115" t="s">
        <v>1866</v>
      </c>
      <c r="C1115" t="s">
        <v>1867</v>
      </c>
      <c r="E1115" t="s">
        <v>1450</v>
      </c>
    </row>
    <row r="1116" spans="1:5" x14ac:dyDescent="0.2">
      <c r="A1116" t="s">
        <v>1508</v>
      </c>
      <c r="B1116" t="s">
        <v>1868</v>
      </c>
      <c r="C1116" t="s">
        <v>1869</v>
      </c>
      <c r="E1116" t="s">
        <v>1450</v>
      </c>
    </row>
    <row r="1117" spans="1:5" x14ac:dyDescent="0.2">
      <c r="A1117" t="s">
        <v>1508</v>
      </c>
      <c r="B1117" t="s">
        <v>1870</v>
      </c>
      <c r="C1117" t="s">
        <v>1871</v>
      </c>
      <c r="E1117" t="s">
        <v>1450</v>
      </c>
    </row>
    <row r="1118" spans="1:5" x14ac:dyDescent="0.2">
      <c r="A1118" t="s">
        <v>1508</v>
      </c>
      <c r="B1118" t="s">
        <v>1872</v>
      </c>
      <c r="C1118" t="s">
        <v>1873</v>
      </c>
      <c r="E1118" t="s">
        <v>1450</v>
      </c>
    </row>
    <row r="1119" spans="1:5" x14ac:dyDescent="0.2">
      <c r="A1119" t="s">
        <v>1508</v>
      </c>
      <c r="B1119" t="s">
        <v>1874</v>
      </c>
      <c r="C1119" t="s">
        <v>1875</v>
      </c>
      <c r="E1119" t="s">
        <v>1450</v>
      </c>
    </row>
    <row r="1120" spans="1:5" x14ac:dyDescent="0.2">
      <c r="A1120" t="s">
        <v>1508</v>
      </c>
      <c r="B1120" t="s">
        <v>1876</v>
      </c>
      <c r="C1120" t="s">
        <v>1877</v>
      </c>
      <c r="E1120" t="s">
        <v>1450</v>
      </c>
    </row>
    <row r="1121" spans="1:5" x14ac:dyDescent="0.2">
      <c r="A1121" t="s">
        <v>1508</v>
      </c>
      <c r="B1121" t="s">
        <v>1878</v>
      </c>
      <c r="C1121" t="s">
        <v>1879</v>
      </c>
      <c r="E1121" t="s">
        <v>1450</v>
      </c>
    </row>
    <row r="1122" spans="1:5" x14ac:dyDescent="0.2">
      <c r="A1122" t="s">
        <v>1508</v>
      </c>
      <c r="B1122" t="s">
        <v>1880</v>
      </c>
      <c r="C1122" t="s">
        <v>1881</v>
      </c>
      <c r="E1122" t="s">
        <v>1452</v>
      </c>
    </row>
    <row r="1123" spans="1:5" x14ac:dyDescent="0.2">
      <c r="A1123" t="s">
        <v>1508</v>
      </c>
      <c r="B1123" t="s">
        <v>1882</v>
      </c>
      <c r="C1123" t="s">
        <v>1883</v>
      </c>
      <c r="E1123" t="s">
        <v>1452</v>
      </c>
    </row>
    <row r="1124" spans="1:5" x14ac:dyDescent="0.2">
      <c r="A1124" t="s">
        <v>1508</v>
      </c>
      <c r="B1124" t="s">
        <v>1884</v>
      </c>
      <c r="C1124" t="s">
        <v>1885</v>
      </c>
      <c r="E1124" t="s">
        <v>1452</v>
      </c>
    </row>
    <row r="1125" spans="1:5" x14ac:dyDescent="0.2">
      <c r="A1125" t="s">
        <v>1508</v>
      </c>
      <c r="B1125" t="s">
        <v>1886</v>
      </c>
      <c r="C1125" t="s">
        <v>1887</v>
      </c>
      <c r="E1125" t="s">
        <v>1452</v>
      </c>
    </row>
    <row r="1126" spans="1:5" x14ac:dyDescent="0.2">
      <c r="A1126" t="s">
        <v>1508</v>
      </c>
      <c r="B1126" t="s">
        <v>1888</v>
      </c>
      <c r="C1126" t="s">
        <v>1889</v>
      </c>
      <c r="E1126" t="s">
        <v>1452</v>
      </c>
    </row>
    <row r="1127" spans="1:5" x14ac:dyDescent="0.2">
      <c r="A1127" t="s">
        <v>1508</v>
      </c>
      <c r="B1127" t="s">
        <v>1890</v>
      </c>
      <c r="C1127" t="s">
        <v>1891</v>
      </c>
      <c r="E1127" t="s">
        <v>1452</v>
      </c>
    </row>
    <row r="1128" spans="1:5" x14ac:dyDescent="0.2">
      <c r="A1128" t="s">
        <v>1508</v>
      </c>
      <c r="B1128" t="s">
        <v>1892</v>
      </c>
      <c r="C1128" t="s">
        <v>1893</v>
      </c>
      <c r="E1128" t="s">
        <v>1452</v>
      </c>
    </row>
    <row r="1129" spans="1:5" x14ac:dyDescent="0.2">
      <c r="A1129" t="s">
        <v>1508</v>
      </c>
      <c r="B1129" t="s">
        <v>1894</v>
      </c>
      <c r="C1129" t="s">
        <v>1895</v>
      </c>
      <c r="E1129" t="s">
        <v>1452</v>
      </c>
    </row>
    <row r="1130" spans="1:5" x14ac:dyDescent="0.2">
      <c r="A1130" t="s">
        <v>1508</v>
      </c>
      <c r="B1130" t="s">
        <v>1896</v>
      </c>
      <c r="C1130" t="s">
        <v>1897</v>
      </c>
      <c r="E1130" t="s">
        <v>1452</v>
      </c>
    </row>
    <row r="1131" spans="1:5" x14ac:dyDescent="0.2">
      <c r="A1131" t="s">
        <v>1508</v>
      </c>
      <c r="B1131" t="s">
        <v>1898</v>
      </c>
      <c r="C1131" t="s">
        <v>1899</v>
      </c>
      <c r="E1131" t="s">
        <v>1452</v>
      </c>
    </row>
    <row r="1132" spans="1:5" x14ac:dyDescent="0.2">
      <c r="A1132" t="s">
        <v>1508</v>
      </c>
      <c r="B1132" t="s">
        <v>1900</v>
      </c>
      <c r="C1132" t="s">
        <v>1901</v>
      </c>
      <c r="E1132" t="s">
        <v>1452</v>
      </c>
    </row>
    <row r="1133" spans="1:5" x14ac:dyDescent="0.2">
      <c r="A1133" t="s">
        <v>1508</v>
      </c>
      <c r="B1133" t="s">
        <v>1902</v>
      </c>
      <c r="C1133" t="s">
        <v>1903</v>
      </c>
      <c r="E1133" t="s">
        <v>1452</v>
      </c>
    </row>
    <row r="1134" spans="1:5" x14ac:dyDescent="0.2">
      <c r="A1134" t="s">
        <v>1508</v>
      </c>
      <c r="B1134" t="s">
        <v>1904</v>
      </c>
      <c r="C1134" t="s">
        <v>1905</v>
      </c>
      <c r="E1134" t="s">
        <v>1452</v>
      </c>
    </row>
    <row r="1135" spans="1:5" x14ac:dyDescent="0.2">
      <c r="A1135" t="s">
        <v>1508</v>
      </c>
      <c r="B1135" t="s">
        <v>1906</v>
      </c>
      <c r="C1135" t="s">
        <v>1907</v>
      </c>
      <c r="E1135" t="s">
        <v>1452</v>
      </c>
    </row>
    <row r="1136" spans="1:5" x14ac:dyDescent="0.2">
      <c r="A1136" t="s">
        <v>1508</v>
      </c>
      <c r="B1136" t="s">
        <v>1908</v>
      </c>
      <c r="C1136" t="s">
        <v>1909</v>
      </c>
      <c r="E1136" t="s">
        <v>1452</v>
      </c>
    </row>
    <row r="1137" spans="1:5" x14ac:dyDescent="0.2">
      <c r="A1137" t="s">
        <v>1508</v>
      </c>
      <c r="B1137" t="s">
        <v>1910</v>
      </c>
      <c r="C1137" t="s">
        <v>1911</v>
      </c>
      <c r="E1137" t="s">
        <v>1452</v>
      </c>
    </row>
    <row r="1138" spans="1:5" x14ac:dyDescent="0.2">
      <c r="A1138" t="s">
        <v>1508</v>
      </c>
      <c r="B1138" t="s">
        <v>1912</v>
      </c>
      <c r="C1138" t="s">
        <v>1913</v>
      </c>
      <c r="E1138" t="s">
        <v>1452</v>
      </c>
    </row>
    <row r="1139" spans="1:5" x14ac:dyDescent="0.2">
      <c r="A1139" t="s">
        <v>1508</v>
      </c>
      <c r="B1139" t="s">
        <v>1914</v>
      </c>
      <c r="C1139" t="s">
        <v>1915</v>
      </c>
      <c r="E1139" t="s">
        <v>1452</v>
      </c>
    </row>
    <row r="1140" spans="1:5" x14ac:dyDescent="0.2">
      <c r="A1140" t="s">
        <v>1508</v>
      </c>
      <c r="B1140" t="s">
        <v>1916</v>
      </c>
      <c r="C1140" t="s">
        <v>1917</v>
      </c>
      <c r="E1140" t="s">
        <v>1452</v>
      </c>
    </row>
    <row r="1141" spans="1:5" x14ac:dyDescent="0.2">
      <c r="A1141" t="s">
        <v>1508</v>
      </c>
      <c r="B1141" t="s">
        <v>1918</v>
      </c>
      <c r="C1141" t="s">
        <v>1919</v>
      </c>
      <c r="E1141" t="s">
        <v>1452</v>
      </c>
    </row>
    <row r="1142" spans="1:5" x14ac:dyDescent="0.2">
      <c r="A1142" t="s">
        <v>1508</v>
      </c>
      <c r="B1142" t="s">
        <v>1920</v>
      </c>
      <c r="C1142" t="s">
        <v>1921</v>
      </c>
      <c r="E1142" t="s">
        <v>1452</v>
      </c>
    </row>
    <row r="1143" spans="1:5" x14ac:dyDescent="0.2">
      <c r="A1143" t="s">
        <v>1508</v>
      </c>
      <c r="B1143" t="s">
        <v>1922</v>
      </c>
      <c r="C1143" t="s">
        <v>1923</v>
      </c>
      <c r="E1143" t="s">
        <v>1452</v>
      </c>
    </row>
    <row r="1144" spans="1:5" x14ac:dyDescent="0.2">
      <c r="A1144" t="s">
        <v>1508</v>
      </c>
      <c r="B1144" t="s">
        <v>1924</v>
      </c>
      <c r="C1144" t="s">
        <v>1925</v>
      </c>
      <c r="E1144" t="s">
        <v>1452</v>
      </c>
    </row>
    <row r="1145" spans="1:5" x14ac:dyDescent="0.2">
      <c r="A1145" t="s">
        <v>1508</v>
      </c>
      <c r="B1145" t="s">
        <v>1926</v>
      </c>
      <c r="C1145" t="s">
        <v>1927</v>
      </c>
      <c r="E1145" t="s">
        <v>1452</v>
      </c>
    </row>
    <row r="1146" spans="1:5" x14ac:dyDescent="0.2">
      <c r="A1146" t="s">
        <v>1508</v>
      </c>
      <c r="B1146" t="s">
        <v>1928</v>
      </c>
      <c r="C1146" t="s">
        <v>1929</v>
      </c>
      <c r="E1146" t="s">
        <v>1452</v>
      </c>
    </row>
    <row r="1147" spans="1:5" x14ac:dyDescent="0.2">
      <c r="A1147" t="s">
        <v>1508</v>
      </c>
      <c r="B1147" t="s">
        <v>1930</v>
      </c>
      <c r="C1147" t="s">
        <v>1931</v>
      </c>
      <c r="E1147" t="s">
        <v>1454</v>
      </c>
    </row>
    <row r="1148" spans="1:5" x14ac:dyDescent="0.2">
      <c r="A1148" t="s">
        <v>1508</v>
      </c>
      <c r="B1148" t="s">
        <v>1932</v>
      </c>
      <c r="C1148" t="s">
        <v>1933</v>
      </c>
      <c r="E1148" t="s">
        <v>1454</v>
      </c>
    </row>
    <row r="1149" spans="1:5" x14ac:dyDescent="0.2">
      <c r="A1149" t="s">
        <v>1508</v>
      </c>
      <c r="B1149" t="s">
        <v>1934</v>
      </c>
      <c r="C1149" t="s">
        <v>1935</v>
      </c>
      <c r="E1149" t="s">
        <v>1454</v>
      </c>
    </row>
    <row r="1150" spans="1:5" x14ac:dyDescent="0.2">
      <c r="A1150" t="s">
        <v>1508</v>
      </c>
      <c r="B1150" t="s">
        <v>1936</v>
      </c>
      <c r="C1150" t="s">
        <v>1455</v>
      </c>
      <c r="E1150" t="s">
        <v>1454</v>
      </c>
    </row>
    <row r="1151" spans="1:5" x14ac:dyDescent="0.2">
      <c r="A1151" t="s">
        <v>1508</v>
      </c>
      <c r="B1151" t="s">
        <v>1937</v>
      </c>
      <c r="C1151" t="s">
        <v>1938</v>
      </c>
      <c r="E1151" t="s">
        <v>1454</v>
      </c>
    </row>
    <row r="1152" spans="1:5" x14ac:dyDescent="0.2">
      <c r="A1152" t="s">
        <v>1508</v>
      </c>
      <c r="B1152" t="s">
        <v>1939</v>
      </c>
      <c r="C1152" t="s">
        <v>1940</v>
      </c>
      <c r="E1152" t="s">
        <v>1454</v>
      </c>
    </row>
    <row r="1153" spans="1:5" x14ac:dyDescent="0.2">
      <c r="A1153" t="s">
        <v>1508</v>
      </c>
      <c r="B1153" t="s">
        <v>1941</v>
      </c>
      <c r="C1153" t="s">
        <v>1942</v>
      </c>
      <c r="E1153" t="s">
        <v>1454</v>
      </c>
    </row>
    <row r="1154" spans="1:5" x14ac:dyDescent="0.2">
      <c r="A1154" t="s">
        <v>1508</v>
      </c>
      <c r="B1154" t="s">
        <v>1943</v>
      </c>
      <c r="C1154" t="s">
        <v>1944</v>
      </c>
      <c r="E1154" t="s">
        <v>1454</v>
      </c>
    </row>
    <row r="1155" spans="1:5" x14ac:dyDescent="0.2">
      <c r="A1155" t="s">
        <v>1508</v>
      </c>
      <c r="B1155" t="s">
        <v>1945</v>
      </c>
      <c r="C1155" t="s">
        <v>1946</v>
      </c>
      <c r="E1155" t="s">
        <v>1454</v>
      </c>
    </row>
    <row r="1156" spans="1:5" x14ac:dyDescent="0.2">
      <c r="A1156" t="s">
        <v>1508</v>
      </c>
      <c r="B1156" t="s">
        <v>1947</v>
      </c>
      <c r="C1156" t="s">
        <v>1948</v>
      </c>
      <c r="E1156" t="s">
        <v>1454</v>
      </c>
    </row>
    <row r="1157" spans="1:5" x14ac:dyDescent="0.2">
      <c r="A1157" t="s">
        <v>1508</v>
      </c>
      <c r="B1157" t="s">
        <v>1949</v>
      </c>
      <c r="C1157" t="s">
        <v>1950</v>
      </c>
      <c r="E1157" t="s">
        <v>1454</v>
      </c>
    </row>
    <row r="1158" spans="1:5" x14ac:dyDescent="0.2">
      <c r="A1158" t="s">
        <v>1508</v>
      </c>
      <c r="B1158" t="s">
        <v>1951</v>
      </c>
      <c r="C1158" t="s">
        <v>1952</v>
      </c>
      <c r="E1158" t="s">
        <v>1454</v>
      </c>
    </row>
    <row r="1159" spans="1:5" x14ac:dyDescent="0.2">
      <c r="A1159" t="s">
        <v>1508</v>
      </c>
      <c r="B1159" t="s">
        <v>1953</v>
      </c>
      <c r="C1159" t="s">
        <v>1954</v>
      </c>
      <c r="E1159" t="s">
        <v>1454</v>
      </c>
    </row>
    <row r="1160" spans="1:5" x14ac:dyDescent="0.2">
      <c r="A1160" t="s">
        <v>1508</v>
      </c>
      <c r="B1160" t="s">
        <v>1955</v>
      </c>
      <c r="C1160" t="s">
        <v>1956</v>
      </c>
      <c r="E1160" t="s">
        <v>1456</v>
      </c>
    </row>
    <row r="1161" spans="1:5" x14ac:dyDescent="0.2">
      <c r="A1161" t="s">
        <v>1508</v>
      </c>
      <c r="B1161" t="s">
        <v>1957</v>
      </c>
      <c r="C1161" t="s">
        <v>1958</v>
      </c>
      <c r="E1161" t="s">
        <v>1456</v>
      </c>
    </row>
    <row r="1162" spans="1:5" x14ac:dyDescent="0.2">
      <c r="A1162" t="s">
        <v>1508</v>
      </c>
      <c r="B1162" t="s">
        <v>1959</v>
      </c>
      <c r="C1162" t="s">
        <v>1960</v>
      </c>
      <c r="E1162" t="s">
        <v>1456</v>
      </c>
    </row>
    <row r="1163" spans="1:5" x14ac:dyDescent="0.2">
      <c r="A1163" t="s">
        <v>1508</v>
      </c>
      <c r="B1163" t="s">
        <v>1961</v>
      </c>
      <c r="C1163" t="s">
        <v>1962</v>
      </c>
      <c r="E1163" t="s">
        <v>1456</v>
      </c>
    </row>
    <row r="1164" spans="1:5" x14ac:dyDescent="0.2">
      <c r="A1164" t="s">
        <v>1508</v>
      </c>
      <c r="B1164" t="s">
        <v>1963</v>
      </c>
      <c r="C1164" t="s">
        <v>1964</v>
      </c>
      <c r="E1164" t="s">
        <v>1456</v>
      </c>
    </row>
    <row r="1165" spans="1:5" x14ac:dyDescent="0.2">
      <c r="A1165" t="s">
        <v>1508</v>
      </c>
      <c r="B1165" t="s">
        <v>1965</v>
      </c>
      <c r="C1165" t="s">
        <v>1966</v>
      </c>
      <c r="E1165" t="s">
        <v>1456</v>
      </c>
    </row>
    <row r="1166" spans="1:5" x14ac:dyDescent="0.2">
      <c r="A1166" t="s">
        <v>1508</v>
      </c>
      <c r="B1166" t="s">
        <v>1967</v>
      </c>
      <c r="C1166" t="s">
        <v>1968</v>
      </c>
      <c r="E1166" t="s">
        <v>1456</v>
      </c>
    </row>
    <row r="1167" spans="1:5" x14ac:dyDescent="0.2">
      <c r="A1167" t="s">
        <v>1508</v>
      </c>
      <c r="B1167" t="s">
        <v>1969</v>
      </c>
      <c r="C1167" t="s">
        <v>1970</v>
      </c>
      <c r="E1167" t="s">
        <v>1456</v>
      </c>
    </row>
    <row r="1168" spans="1:5" x14ac:dyDescent="0.2">
      <c r="A1168" t="s">
        <v>1508</v>
      </c>
      <c r="B1168" t="s">
        <v>1971</v>
      </c>
      <c r="C1168" t="s">
        <v>1972</v>
      </c>
      <c r="E1168" t="s">
        <v>1456</v>
      </c>
    </row>
    <row r="1169" spans="1:5" x14ac:dyDescent="0.2">
      <c r="A1169" t="s">
        <v>1508</v>
      </c>
      <c r="B1169" t="s">
        <v>1973</v>
      </c>
      <c r="C1169" t="s">
        <v>1974</v>
      </c>
      <c r="E1169" t="s">
        <v>1456</v>
      </c>
    </row>
    <row r="1170" spans="1:5" x14ac:dyDescent="0.2">
      <c r="A1170" t="s">
        <v>1508</v>
      </c>
      <c r="B1170" t="s">
        <v>1975</v>
      </c>
      <c r="C1170" t="s">
        <v>1976</v>
      </c>
      <c r="E1170" t="s">
        <v>1456</v>
      </c>
    </row>
    <row r="1171" spans="1:5" x14ac:dyDescent="0.2">
      <c r="A1171" t="s">
        <v>1508</v>
      </c>
      <c r="B1171" t="s">
        <v>1977</v>
      </c>
      <c r="C1171" t="s">
        <v>1978</v>
      </c>
      <c r="E1171" t="s">
        <v>1456</v>
      </c>
    </row>
    <row r="1172" spans="1:5" x14ac:dyDescent="0.2">
      <c r="A1172" t="s">
        <v>1508</v>
      </c>
      <c r="B1172" t="s">
        <v>1979</v>
      </c>
      <c r="C1172" t="s">
        <v>1980</v>
      </c>
      <c r="E1172" t="s">
        <v>1456</v>
      </c>
    </row>
    <row r="1173" spans="1:5" x14ac:dyDescent="0.2">
      <c r="A1173" t="s">
        <v>1508</v>
      </c>
      <c r="B1173" t="s">
        <v>1981</v>
      </c>
      <c r="C1173" t="s">
        <v>1982</v>
      </c>
      <c r="E1173" t="s">
        <v>1456</v>
      </c>
    </row>
    <row r="1174" spans="1:5" x14ac:dyDescent="0.2">
      <c r="A1174" t="s">
        <v>1508</v>
      </c>
      <c r="B1174" t="s">
        <v>1983</v>
      </c>
      <c r="C1174" t="s">
        <v>1984</v>
      </c>
      <c r="E1174" t="s">
        <v>1456</v>
      </c>
    </row>
    <row r="1175" spans="1:5" x14ac:dyDescent="0.2">
      <c r="A1175" t="s">
        <v>1508</v>
      </c>
      <c r="B1175" t="s">
        <v>1985</v>
      </c>
      <c r="C1175" t="s">
        <v>1986</v>
      </c>
      <c r="E1175" t="s">
        <v>1456</v>
      </c>
    </row>
    <row r="1176" spans="1:5" x14ac:dyDescent="0.2">
      <c r="A1176" t="s">
        <v>1508</v>
      </c>
      <c r="B1176" t="s">
        <v>1987</v>
      </c>
      <c r="C1176" t="s">
        <v>1988</v>
      </c>
      <c r="E1176" t="s">
        <v>1456</v>
      </c>
    </row>
    <row r="1177" spans="1:5" x14ac:dyDescent="0.2">
      <c r="A1177" t="s">
        <v>1508</v>
      </c>
      <c r="B1177" t="s">
        <v>1989</v>
      </c>
      <c r="C1177" t="s">
        <v>1990</v>
      </c>
      <c r="E1177" t="s">
        <v>1456</v>
      </c>
    </row>
    <row r="1178" spans="1:5" x14ac:dyDescent="0.2">
      <c r="A1178" t="s">
        <v>1508</v>
      </c>
      <c r="B1178" t="s">
        <v>1991</v>
      </c>
      <c r="C1178" t="s">
        <v>1992</v>
      </c>
      <c r="E1178" t="s">
        <v>1458</v>
      </c>
    </row>
    <row r="1179" spans="1:5" x14ac:dyDescent="0.2">
      <c r="A1179" t="s">
        <v>1508</v>
      </c>
      <c r="B1179" t="s">
        <v>1993</v>
      </c>
      <c r="C1179" t="s">
        <v>1994</v>
      </c>
      <c r="E1179" t="s">
        <v>1458</v>
      </c>
    </row>
    <row r="1180" spans="1:5" x14ac:dyDescent="0.2">
      <c r="A1180" t="s">
        <v>1508</v>
      </c>
      <c r="B1180" t="s">
        <v>1995</v>
      </c>
      <c r="C1180" t="s">
        <v>1996</v>
      </c>
      <c r="E1180" t="s">
        <v>1458</v>
      </c>
    </row>
    <row r="1181" spans="1:5" x14ac:dyDescent="0.2">
      <c r="A1181" t="s">
        <v>1508</v>
      </c>
      <c r="B1181" t="s">
        <v>1997</v>
      </c>
      <c r="C1181" t="s">
        <v>1998</v>
      </c>
      <c r="E1181" t="s">
        <v>1458</v>
      </c>
    </row>
    <row r="1182" spans="1:5" x14ac:dyDescent="0.2">
      <c r="A1182" t="s">
        <v>1508</v>
      </c>
      <c r="B1182" t="s">
        <v>1999</v>
      </c>
      <c r="C1182" t="s">
        <v>2000</v>
      </c>
      <c r="E1182" t="s">
        <v>1458</v>
      </c>
    </row>
    <row r="1183" spans="1:5" x14ac:dyDescent="0.2">
      <c r="A1183" t="s">
        <v>1508</v>
      </c>
      <c r="B1183" t="s">
        <v>2001</v>
      </c>
      <c r="C1183" t="s">
        <v>2002</v>
      </c>
      <c r="E1183" t="s">
        <v>1458</v>
      </c>
    </row>
    <row r="1184" spans="1:5" x14ac:dyDescent="0.2">
      <c r="A1184" t="s">
        <v>1508</v>
      </c>
      <c r="B1184" t="s">
        <v>2003</v>
      </c>
      <c r="C1184" t="s">
        <v>2004</v>
      </c>
      <c r="E1184" t="s">
        <v>1458</v>
      </c>
    </row>
    <row r="1185" spans="1:5" x14ac:dyDescent="0.2">
      <c r="A1185" t="s">
        <v>1508</v>
      </c>
      <c r="B1185" t="s">
        <v>2005</v>
      </c>
      <c r="C1185" t="s">
        <v>2006</v>
      </c>
      <c r="E1185" t="s">
        <v>1458</v>
      </c>
    </row>
    <row r="1186" spans="1:5" x14ac:dyDescent="0.2">
      <c r="A1186" t="s">
        <v>1508</v>
      </c>
      <c r="B1186" t="s">
        <v>2007</v>
      </c>
      <c r="C1186" t="s">
        <v>2008</v>
      </c>
      <c r="E1186" t="s">
        <v>1458</v>
      </c>
    </row>
    <row r="1187" spans="1:5" x14ac:dyDescent="0.2">
      <c r="A1187" t="s">
        <v>1508</v>
      </c>
      <c r="B1187" t="s">
        <v>2009</v>
      </c>
      <c r="C1187" t="s">
        <v>2010</v>
      </c>
      <c r="E1187" t="s">
        <v>1458</v>
      </c>
    </row>
    <row r="1188" spans="1:5" x14ac:dyDescent="0.2">
      <c r="A1188" t="s">
        <v>1508</v>
      </c>
      <c r="B1188" t="s">
        <v>2011</v>
      </c>
      <c r="C1188" t="s">
        <v>2012</v>
      </c>
      <c r="E1188" t="s">
        <v>1458</v>
      </c>
    </row>
    <row r="1189" spans="1:5" x14ac:dyDescent="0.2">
      <c r="A1189" t="s">
        <v>1508</v>
      </c>
      <c r="B1189" t="s">
        <v>2013</v>
      </c>
      <c r="C1189" t="s">
        <v>2014</v>
      </c>
      <c r="E1189" t="s">
        <v>1458</v>
      </c>
    </row>
    <row r="1190" spans="1:5" x14ac:dyDescent="0.2">
      <c r="A1190" t="s">
        <v>1508</v>
      </c>
      <c r="B1190" t="s">
        <v>2015</v>
      </c>
      <c r="C1190" t="s">
        <v>2016</v>
      </c>
      <c r="E1190" t="s">
        <v>1458</v>
      </c>
    </row>
    <row r="1191" spans="1:5" x14ac:dyDescent="0.2">
      <c r="A1191" t="s">
        <v>1508</v>
      </c>
      <c r="B1191" t="s">
        <v>2017</v>
      </c>
      <c r="C1191" t="s">
        <v>2018</v>
      </c>
      <c r="E1191" t="s">
        <v>1458</v>
      </c>
    </row>
    <row r="1192" spans="1:5" x14ac:dyDescent="0.2">
      <c r="A1192" t="s">
        <v>1508</v>
      </c>
      <c r="B1192" t="s">
        <v>2019</v>
      </c>
      <c r="C1192" t="s">
        <v>2020</v>
      </c>
      <c r="E1192" t="s">
        <v>1458</v>
      </c>
    </row>
    <row r="1193" spans="1:5" x14ac:dyDescent="0.2">
      <c r="A1193" t="s">
        <v>1508</v>
      </c>
      <c r="B1193" t="s">
        <v>2021</v>
      </c>
      <c r="C1193" t="s">
        <v>2022</v>
      </c>
      <c r="E1193" t="s">
        <v>1458</v>
      </c>
    </row>
    <row r="1194" spans="1:5" x14ac:dyDescent="0.2">
      <c r="A1194" t="s">
        <v>1508</v>
      </c>
      <c r="B1194" t="s">
        <v>2023</v>
      </c>
      <c r="C1194" t="s">
        <v>2024</v>
      </c>
      <c r="E1194" t="s">
        <v>1460</v>
      </c>
    </row>
    <row r="1195" spans="1:5" x14ac:dyDescent="0.2">
      <c r="A1195" t="s">
        <v>1508</v>
      </c>
      <c r="B1195" t="s">
        <v>2025</v>
      </c>
      <c r="C1195" t="s">
        <v>2026</v>
      </c>
      <c r="E1195" t="s">
        <v>1460</v>
      </c>
    </row>
    <row r="1196" spans="1:5" x14ac:dyDescent="0.2">
      <c r="A1196" t="s">
        <v>1508</v>
      </c>
      <c r="B1196" t="s">
        <v>2027</v>
      </c>
      <c r="C1196" t="s">
        <v>2028</v>
      </c>
      <c r="E1196" t="s">
        <v>1460</v>
      </c>
    </row>
    <row r="1197" spans="1:5" x14ac:dyDescent="0.2">
      <c r="A1197" t="s">
        <v>1508</v>
      </c>
      <c r="B1197" t="s">
        <v>2029</v>
      </c>
      <c r="C1197" t="s">
        <v>2030</v>
      </c>
      <c r="E1197" t="s">
        <v>1460</v>
      </c>
    </row>
    <row r="1198" spans="1:5" x14ac:dyDescent="0.2">
      <c r="A1198" t="s">
        <v>1508</v>
      </c>
      <c r="B1198" t="s">
        <v>2031</v>
      </c>
      <c r="C1198" t="s">
        <v>2032</v>
      </c>
      <c r="E1198" t="s">
        <v>1460</v>
      </c>
    </row>
    <row r="1199" spans="1:5" x14ac:dyDescent="0.2">
      <c r="A1199" t="s">
        <v>1508</v>
      </c>
      <c r="B1199" t="s">
        <v>2033</v>
      </c>
      <c r="C1199" t="s">
        <v>2034</v>
      </c>
      <c r="E1199" t="s">
        <v>1460</v>
      </c>
    </row>
    <row r="1200" spans="1:5" x14ac:dyDescent="0.2">
      <c r="A1200" t="s">
        <v>1508</v>
      </c>
      <c r="B1200" t="s">
        <v>2035</v>
      </c>
      <c r="C1200" t="s">
        <v>2036</v>
      </c>
      <c r="E1200" t="s">
        <v>1460</v>
      </c>
    </row>
    <row r="1201" spans="1:5" x14ac:dyDescent="0.2">
      <c r="A1201" t="s">
        <v>1508</v>
      </c>
      <c r="B1201" t="s">
        <v>2037</v>
      </c>
      <c r="C1201" t="s">
        <v>2038</v>
      </c>
      <c r="E1201" t="s">
        <v>1460</v>
      </c>
    </row>
    <row r="1202" spans="1:5" x14ac:dyDescent="0.2">
      <c r="A1202" t="s">
        <v>1508</v>
      </c>
      <c r="B1202" t="s">
        <v>2039</v>
      </c>
      <c r="C1202" t="s">
        <v>2040</v>
      </c>
      <c r="E1202" t="s">
        <v>1460</v>
      </c>
    </row>
    <row r="1203" spans="1:5" x14ac:dyDescent="0.2">
      <c r="A1203" t="s">
        <v>1508</v>
      </c>
      <c r="B1203" t="s">
        <v>2041</v>
      </c>
      <c r="C1203" t="s">
        <v>2042</v>
      </c>
      <c r="E1203" t="s">
        <v>1460</v>
      </c>
    </row>
    <row r="1204" spans="1:5" x14ac:dyDescent="0.2">
      <c r="A1204" t="s">
        <v>1508</v>
      </c>
      <c r="B1204" t="s">
        <v>2043</v>
      </c>
      <c r="C1204" t="s">
        <v>2044</v>
      </c>
      <c r="E1204" t="s">
        <v>1460</v>
      </c>
    </row>
    <row r="1205" spans="1:5" x14ac:dyDescent="0.2">
      <c r="A1205" t="s">
        <v>1508</v>
      </c>
      <c r="B1205" t="s">
        <v>2045</v>
      </c>
      <c r="C1205" t="s">
        <v>2046</v>
      </c>
      <c r="E1205" t="s">
        <v>1460</v>
      </c>
    </row>
    <row r="1206" spans="1:5" x14ac:dyDescent="0.2">
      <c r="A1206" t="s">
        <v>1508</v>
      </c>
      <c r="B1206" t="s">
        <v>2047</v>
      </c>
      <c r="C1206" t="s">
        <v>2048</v>
      </c>
      <c r="E1206" t="s">
        <v>1460</v>
      </c>
    </row>
    <row r="1207" spans="1:5" x14ac:dyDescent="0.2">
      <c r="A1207" t="s">
        <v>1508</v>
      </c>
      <c r="B1207" t="s">
        <v>2049</v>
      </c>
      <c r="C1207" t="s">
        <v>2050</v>
      </c>
      <c r="E1207" t="s">
        <v>1460</v>
      </c>
    </row>
    <row r="1208" spans="1:5" x14ac:dyDescent="0.2">
      <c r="A1208" t="s">
        <v>1508</v>
      </c>
      <c r="B1208" t="s">
        <v>2051</v>
      </c>
      <c r="C1208" t="s">
        <v>2052</v>
      </c>
      <c r="E1208" t="s">
        <v>1460</v>
      </c>
    </row>
    <row r="1209" spans="1:5" x14ac:dyDescent="0.2">
      <c r="A1209" t="s">
        <v>1508</v>
      </c>
      <c r="B1209" t="s">
        <v>2053</v>
      </c>
      <c r="C1209" t="s">
        <v>2054</v>
      </c>
      <c r="E1209" t="s">
        <v>1460</v>
      </c>
    </row>
    <row r="1210" spans="1:5" x14ac:dyDescent="0.2">
      <c r="A1210" t="s">
        <v>1508</v>
      </c>
      <c r="B1210" t="s">
        <v>2055</v>
      </c>
      <c r="C1210" t="s">
        <v>2056</v>
      </c>
      <c r="E1210" t="s">
        <v>1460</v>
      </c>
    </row>
    <row r="1211" spans="1:5" x14ac:dyDescent="0.2">
      <c r="A1211" t="s">
        <v>1508</v>
      </c>
      <c r="B1211" t="s">
        <v>2057</v>
      </c>
      <c r="C1211" t="s">
        <v>2058</v>
      </c>
      <c r="E1211" t="s">
        <v>1462</v>
      </c>
    </row>
    <row r="1212" spans="1:5" x14ac:dyDescent="0.2">
      <c r="A1212" t="s">
        <v>1508</v>
      </c>
      <c r="B1212" t="s">
        <v>2059</v>
      </c>
      <c r="C1212" t="s">
        <v>2060</v>
      </c>
      <c r="E1212" t="s">
        <v>1462</v>
      </c>
    </row>
    <row r="1213" spans="1:5" x14ac:dyDescent="0.2">
      <c r="A1213" t="s">
        <v>1508</v>
      </c>
      <c r="B1213" t="s">
        <v>2061</v>
      </c>
      <c r="C1213" t="s">
        <v>2062</v>
      </c>
      <c r="E1213" t="s">
        <v>1462</v>
      </c>
    </row>
    <row r="1214" spans="1:5" x14ac:dyDescent="0.2">
      <c r="A1214" t="s">
        <v>1508</v>
      </c>
      <c r="B1214" t="s">
        <v>2063</v>
      </c>
      <c r="C1214" t="s">
        <v>2064</v>
      </c>
      <c r="E1214" t="s">
        <v>1462</v>
      </c>
    </row>
    <row r="1215" spans="1:5" x14ac:dyDescent="0.2">
      <c r="A1215" t="s">
        <v>1508</v>
      </c>
      <c r="B1215" t="s">
        <v>2065</v>
      </c>
      <c r="C1215" t="s">
        <v>2066</v>
      </c>
      <c r="E1215" t="s">
        <v>1462</v>
      </c>
    </row>
    <row r="1216" spans="1:5" x14ac:dyDescent="0.2">
      <c r="A1216" t="s">
        <v>1508</v>
      </c>
      <c r="B1216" t="s">
        <v>2067</v>
      </c>
      <c r="C1216" t="s">
        <v>2068</v>
      </c>
      <c r="E1216" t="s">
        <v>1462</v>
      </c>
    </row>
    <row r="1217" spans="1:5" x14ac:dyDescent="0.2">
      <c r="A1217" t="s">
        <v>1508</v>
      </c>
      <c r="B1217" t="s">
        <v>2069</v>
      </c>
      <c r="C1217" t="s">
        <v>2070</v>
      </c>
      <c r="E1217" t="s">
        <v>1464</v>
      </c>
    </row>
    <row r="1218" spans="1:5" x14ac:dyDescent="0.2">
      <c r="A1218" t="s">
        <v>1508</v>
      </c>
      <c r="B1218" t="s">
        <v>2071</v>
      </c>
      <c r="C1218" t="s">
        <v>2072</v>
      </c>
      <c r="E1218" t="s">
        <v>1464</v>
      </c>
    </row>
    <row r="1219" spans="1:5" x14ac:dyDescent="0.2">
      <c r="A1219" t="s">
        <v>1508</v>
      </c>
      <c r="B1219" t="s">
        <v>2073</v>
      </c>
      <c r="C1219" t="s">
        <v>2074</v>
      </c>
      <c r="E1219" t="s">
        <v>1464</v>
      </c>
    </row>
    <row r="1220" spans="1:5" x14ac:dyDescent="0.2">
      <c r="A1220" t="s">
        <v>1508</v>
      </c>
      <c r="B1220" t="s">
        <v>2075</v>
      </c>
      <c r="C1220" t="s">
        <v>2076</v>
      </c>
      <c r="E1220" t="s">
        <v>1464</v>
      </c>
    </row>
    <row r="1221" spans="1:5" x14ac:dyDescent="0.2">
      <c r="A1221" t="s">
        <v>1508</v>
      </c>
      <c r="B1221" t="s">
        <v>2077</v>
      </c>
      <c r="C1221" t="s">
        <v>2078</v>
      </c>
      <c r="E1221" t="s">
        <v>1464</v>
      </c>
    </row>
    <row r="1222" spans="1:5" x14ac:dyDescent="0.2">
      <c r="A1222" t="s">
        <v>1508</v>
      </c>
      <c r="B1222" t="s">
        <v>2079</v>
      </c>
      <c r="C1222" t="s">
        <v>1465</v>
      </c>
      <c r="E1222" t="s">
        <v>1464</v>
      </c>
    </row>
    <row r="1223" spans="1:5" x14ac:dyDescent="0.2">
      <c r="A1223" t="s">
        <v>1508</v>
      </c>
      <c r="B1223" t="s">
        <v>2080</v>
      </c>
      <c r="C1223" t="s">
        <v>2081</v>
      </c>
      <c r="E1223" t="s">
        <v>1464</v>
      </c>
    </row>
    <row r="1224" spans="1:5" x14ac:dyDescent="0.2">
      <c r="A1224" t="s">
        <v>1508</v>
      </c>
      <c r="B1224" t="s">
        <v>2082</v>
      </c>
      <c r="C1224" t="s">
        <v>2083</v>
      </c>
      <c r="E1224" t="s">
        <v>1464</v>
      </c>
    </row>
    <row r="1225" spans="1:5" x14ac:dyDescent="0.2">
      <c r="A1225" t="s">
        <v>1508</v>
      </c>
      <c r="B1225" t="s">
        <v>2084</v>
      </c>
      <c r="C1225" t="s">
        <v>2085</v>
      </c>
      <c r="E1225" t="s">
        <v>1464</v>
      </c>
    </row>
    <row r="1226" spans="1:5" x14ac:dyDescent="0.2">
      <c r="A1226" t="s">
        <v>1508</v>
      </c>
      <c r="B1226" t="s">
        <v>2086</v>
      </c>
      <c r="C1226" t="s">
        <v>2087</v>
      </c>
      <c r="E1226" t="s">
        <v>1464</v>
      </c>
    </row>
    <row r="1227" spans="1:5" x14ac:dyDescent="0.2">
      <c r="A1227" t="s">
        <v>1508</v>
      </c>
      <c r="B1227" t="s">
        <v>2088</v>
      </c>
      <c r="C1227" t="s">
        <v>2089</v>
      </c>
      <c r="E1227" t="s">
        <v>1464</v>
      </c>
    </row>
    <row r="1228" spans="1:5" x14ac:dyDescent="0.2">
      <c r="A1228" t="s">
        <v>1508</v>
      </c>
      <c r="B1228" t="s">
        <v>2090</v>
      </c>
      <c r="C1228" t="s">
        <v>2091</v>
      </c>
      <c r="E1228" t="s">
        <v>1466</v>
      </c>
    </row>
    <row r="1229" spans="1:5" x14ac:dyDescent="0.2">
      <c r="A1229" t="s">
        <v>1508</v>
      </c>
      <c r="B1229" t="s">
        <v>2092</v>
      </c>
      <c r="C1229" t="s">
        <v>2093</v>
      </c>
      <c r="E1229" t="s">
        <v>1466</v>
      </c>
    </row>
    <row r="1230" spans="1:5" x14ac:dyDescent="0.2">
      <c r="A1230" t="s">
        <v>1508</v>
      </c>
      <c r="B1230" t="s">
        <v>2094</v>
      </c>
      <c r="C1230" t="s">
        <v>2095</v>
      </c>
      <c r="E1230" t="s">
        <v>1466</v>
      </c>
    </row>
    <row r="1231" spans="1:5" x14ac:dyDescent="0.2">
      <c r="A1231" t="s">
        <v>1508</v>
      </c>
      <c r="B1231" t="s">
        <v>2096</v>
      </c>
      <c r="C1231" t="s">
        <v>2097</v>
      </c>
      <c r="E1231" t="s">
        <v>1466</v>
      </c>
    </row>
    <row r="1232" spans="1:5" x14ac:dyDescent="0.2">
      <c r="A1232" t="s">
        <v>1508</v>
      </c>
      <c r="B1232" t="s">
        <v>2098</v>
      </c>
      <c r="C1232" t="s">
        <v>2099</v>
      </c>
      <c r="E1232" t="s">
        <v>1466</v>
      </c>
    </row>
    <row r="1233" spans="1:5" x14ac:dyDescent="0.2">
      <c r="A1233" t="s">
        <v>1508</v>
      </c>
      <c r="B1233" t="s">
        <v>2100</v>
      </c>
      <c r="C1233" t="s">
        <v>2101</v>
      </c>
      <c r="E1233" t="s">
        <v>1466</v>
      </c>
    </row>
    <row r="1234" spans="1:5" x14ac:dyDescent="0.2">
      <c r="A1234" t="s">
        <v>1508</v>
      </c>
      <c r="B1234" t="s">
        <v>2102</v>
      </c>
      <c r="C1234" t="s">
        <v>2103</v>
      </c>
      <c r="E1234" t="s">
        <v>1466</v>
      </c>
    </row>
    <row r="1235" spans="1:5" x14ac:dyDescent="0.2">
      <c r="A1235" t="s">
        <v>1508</v>
      </c>
      <c r="B1235" t="s">
        <v>2104</v>
      </c>
      <c r="C1235" t="s">
        <v>2105</v>
      </c>
      <c r="E1235" t="s">
        <v>1466</v>
      </c>
    </row>
    <row r="1236" spans="1:5" x14ac:dyDescent="0.2">
      <c r="A1236" t="s">
        <v>1508</v>
      </c>
      <c r="B1236" t="s">
        <v>2106</v>
      </c>
      <c r="C1236" t="s">
        <v>2107</v>
      </c>
      <c r="E1236" t="s">
        <v>1466</v>
      </c>
    </row>
    <row r="1237" spans="1:5" x14ac:dyDescent="0.2">
      <c r="A1237" t="s">
        <v>1508</v>
      </c>
      <c r="B1237" t="s">
        <v>2108</v>
      </c>
      <c r="C1237" t="s">
        <v>2109</v>
      </c>
      <c r="E1237" t="s">
        <v>1466</v>
      </c>
    </row>
    <row r="1238" spans="1:5" x14ac:dyDescent="0.2">
      <c r="A1238" t="s">
        <v>1508</v>
      </c>
      <c r="B1238" t="s">
        <v>2110</v>
      </c>
      <c r="C1238" t="s">
        <v>2111</v>
      </c>
      <c r="E1238" t="s">
        <v>1466</v>
      </c>
    </row>
    <row r="1239" spans="1:5" x14ac:dyDescent="0.2">
      <c r="A1239" t="s">
        <v>1508</v>
      </c>
      <c r="B1239" t="s">
        <v>2112</v>
      </c>
      <c r="C1239" t="s">
        <v>2113</v>
      </c>
      <c r="E1239" t="s">
        <v>1466</v>
      </c>
    </row>
    <row r="1240" spans="1:5" x14ac:dyDescent="0.2">
      <c r="A1240" t="s">
        <v>1508</v>
      </c>
      <c r="B1240" t="s">
        <v>2114</v>
      </c>
      <c r="C1240" t="s">
        <v>2115</v>
      </c>
      <c r="E1240" t="s">
        <v>1466</v>
      </c>
    </row>
    <row r="1241" spans="1:5" x14ac:dyDescent="0.2">
      <c r="A1241" t="s">
        <v>1508</v>
      </c>
      <c r="B1241" t="s">
        <v>2116</v>
      </c>
      <c r="C1241" t="s">
        <v>2117</v>
      </c>
      <c r="E1241" t="s">
        <v>1466</v>
      </c>
    </row>
    <row r="1242" spans="1:5" x14ac:dyDescent="0.2">
      <c r="A1242" t="s">
        <v>1508</v>
      </c>
      <c r="B1242" t="s">
        <v>2118</v>
      </c>
      <c r="C1242" t="s">
        <v>2119</v>
      </c>
      <c r="E1242" t="s">
        <v>1466</v>
      </c>
    </row>
    <row r="1243" spans="1:5" x14ac:dyDescent="0.2">
      <c r="A1243" t="s">
        <v>1508</v>
      </c>
      <c r="B1243" t="s">
        <v>2120</v>
      </c>
      <c r="C1243" t="s">
        <v>2121</v>
      </c>
      <c r="E1243" t="s">
        <v>1466</v>
      </c>
    </row>
    <row r="1244" spans="1:5" x14ac:dyDescent="0.2">
      <c r="A1244" t="s">
        <v>1508</v>
      </c>
      <c r="B1244" t="s">
        <v>2122</v>
      </c>
      <c r="C1244" t="s">
        <v>2123</v>
      </c>
      <c r="E1244" t="s">
        <v>1466</v>
      </c>
    </row>
    <row r="1245" spans="1:5" x14ac:dyDescent="0.2">
      <c r="A1245" t="s">
        <v>1508</v>
      </c>
      <c r="B1245" t="s">
        <v>2124</v>
      </c>
      <c r="C1245" t="s">
        <v>2125</v>
      </c>
      <c r="E1245" t="s">
        <v>1466</v>
      </c>
    </row>
    <row r="1246" spans="1:5" x14ac:dyDescent="0.2">
      <c r="A1246" t="s">
        <v>1508</v>
      </c>
      <c r="B1246" t="s">
        <v>2126</v>
      </c>
      <c r="C1246" t="s">
        <v>2127</v>
      </c>
      <c r="E1246" t="s">
        <v>1466</v>
      </c>
    </row>
    <row r="1247" spans="1:5" x14ac:dyDescent="0.2">
      <c r="A1247" t="s">
        <v>1508</v>
      </c>
      <c r="B1247" t="s">
        <v>2128</v>
      </c>
      <c r="C1247" t="s">
        <v>2129</v>
      </c>
      <c r="E1247" t="s">
        <v>1466</v>
      </c>
    </row>
    <row r="1248" spans="1:5" x14ac:dyDescent="0.2">
      <c r="A1248" t="s">
        <v>1508</v>
      </c>
      <c r="B1248" t="s">
        <v>2130</v>
      </c>
      <c r="C1248" t="s">
        <v>2131</v>
      </c>
      <c r="E1248" t="s">
        <v>1466</v>
      </c>
    </row>
    <row r="1249" spans="1:5" x14ac:dyDescent="0.2">
      <c r="A1249" t="s">
        <v>1508</v>
      </c>
      <c r="B1249" t="s">
        <v>2132</v>
      </c>
      <c r="C1249" t="s">
        <v>2133</v>
      </c>
      <c r="E1249" t="s">
        <v>1466</v>
      </c>
    </row>
    <row r="1250" spans="1:5" x14ac:dyDescent="0.2">
      <c r="A1250" t="s">
        <v>1508</v>
      </c>
      <c r="B1250" t="s">
        <v>2134</v>
      </c>
      <c r="C1250" t="s">
        <v>2135</v>
      </c>
      <c r="E1250" t="s">
        <v>1466</v>
      </c>
    </row>
    <row r="1251" spans="1:5" x14ac:dyDescent="0.2">
      <c r="A1251" t="s">
        <v>1508</v>
      </c>
      <c r="B1251" t="s">
        <v>2136</v>
      </c>
      <c r="C1251" t="s">
        <v>2137</v>
      </c>
      <c r="E1251" t="s">
        <v>1466</v>
      </c>
    </row>
    <row r="1252" spans="1:5" x14ac:dyDescent="0.2">
      <c r="A1252" t="s">
        <v>1508</v>
      </c>
      <c r="B1252" t="s">
        <v>2138</v>
      </c>
      <c r="C1252" t="s">
        <v>2139</v>
      </c>
      <c r="E1252" t="s">
        <v>1466</v>
      </c>
    </row>
    <row r="1253" spans="1:5" x14ac:dyDescent="0.2">
      <c r="A1253" t="s">
        <v>1508</v>
      </c>
      <c r="B1253" t="s">
        <v>2140</v>
      </c>
      <c r="C1253" t="s">
        <v>2141</v>
      </c>
      <c r="E1253" t="s">
        <v>1466</v>
      </c>
    </row>
    <row r="1254" spans="1:5" x14ac:dyDescent="0.2">
      <c r="A1254" t="s">
        <v>1508</v>
      </c>
      <c r="B1254" t="s">
        <v>2142</v>
      </c>
      <c r="C1254" t="s">
        <v>2143</v>
      </c>
      <c r="E1254" t="s">
        <v>1466</v>
      </c>
    </row>
    <row r="1255" spans="1:5" x14ac:dyDescent="0.2">
      <c r="A1255" t="s">
        <v>1508</v>
      </c>
      <c r="B1255" t="s">
        <v>2144</v>
      </c>
      <c r="C1255" t="s">
        <v>2145</v>
      </c>
      <c r="E1255" t="s">
        <v>1468</v>
      </c>
    </row>
    <row r="1256" spans="1:5" x14ac:dyDescent="0.2">
      <c r="A1256" t="s">
        <v>1508</v>
      </c>
      <c r="B1256" t="s">
        <v>2146</v>
      </c>
      <c r="C1256" t="s">
        <v>2147</v>
      </c>
      <c r="E1256" t="s">
        <v>1468</v>
      </c>
    </row>
    <row r="1257" spans="1:5" x14ac:dyDescent="0.2">
      <c r="A1257" t="s">
        <v>1508</v>
      </c>
      <c r="B1257" t="s">
        <v>2148</v>
      </c>
      <c r="C1257" t="s">
        <v>2149</v>
      </c>
      <c r="E1257" t="s">
        <v>1468</v>
      </c>
    </row>
    <row r="1258" spans="1:5" x14ac:dyDescent="0.2">
      <c r="A1258" t="s">
        <v>1508</v>
      </c>
      <c r="B1258" t="s">
        <v>2150</v>
      </c>
      <c r="C1258" t="s">
        <v>2151</v>
      </c>
      <c r="E1258" t="s">
        <v>1468</v>
      </c>
    </row>
    <row r="1259" spans="1:5" x14ac:dyDescent="0.2">
      <c r="A1259" t="s">
        <v>1508</v>
      </c>
      <c r="B1259" t="s">
        <v>2152</v>
      </c>
      <c r="C1259" t="s">
        <v>2153</v>
      </c>
      <c r="E1259" t="s">
        <v>1468</v>
      </c>
    </row>
    <row r="1260" spans="1:5" x14ac:dyDescent="0.2">
      <c r="A1260" t="s">
        <v>1508</v>
      </c>
      <c r="B1260" t="s">
        <v>2154</v>
      </c>
      <c r="C1260" t="s">
        <v>2155</v>
      </c>
      <c r="E1260" t="s">
        <v>1468</v>
      </c>
    </row>
    <row r="1261" spans="1:5" x14ac:dyDescent="0.2">
      <c r="A1261" t="s">
        <v>1508</v>
      </c>
      <c r="B1261" t="s">
        <v>2156</v>
      </c>
      <c r="C1261" t="s">
        <v>2157</v>
      </c>
      <c r="E1261" t="s">
        <v>1468</v>
      </c>
    </row>
    <row r="1262" spans="1:5" x14ac:dyDescent="0.2">
      <c r="A1262" t="s">
        <v>1508</v>
      </c>
      <c r="B1262" t="s">
        <v>2158</v>
      </c>
      <c r="C1262" t="s">
        <v>2159</v>
      </c>
      <c r="E1262" t="s">
        <v>1468</v>
      </c>
    </row>
    <row r="1263" spans="1:5" x14ac:dyDescent="0.2">
      <c r="A1263" t="s">
        <v>1508</v>
      </c>
      <c r="B1263" t="s">
        <v>2160</v>
      </c>
      <c r="C1263" t="s">
        <v>2161</v>
      </c>
      <c r="E1263" t="s">
        <v>1468</v>
      </c>
    </row>
    <row r="1264" spans="1:5" x14ac:dyDescent="0.2">
      <c r="A1264" t="s">
        <v>1508</v>
      </c>
      <c r="B1264" t="s">
        <v>2162</v>
      </c>
      <c r="C1264" t="s">
        <v>2163</v>
      </c>
      <c r="E1264" t="s">
        <v>1468</v>
      </c>
    </row>
    <row r="1265" spans="1:5" x14ac:dyDescent="0.2">
      <c r="A1265" t="s">
        <v>1508</v>
      </c>
      <c r="B1265" t="s">
        <v>2164</v>
      </c>
      <c r="C1265" t="s">
        <v>2165</v>
      </c>
      <c r="E1265" t="s">
        <v>1468</v>
      </c>
    </row>
    <row r="1266" spans="1:5" x14ac:dyDescent="0.2">
      <c r="A1266" t="s">
        <v>1508</v>
      </c>
      <c r="B1266" t="s">
        <v>2166</v>
      </c>
      <c r="C1266" t="s">
        <v>2167</v>
      </c>
      <c r="E1266" t="s">
        <v>1468</v>
      </c>
    </row>
    <row r="1267" spans="1:5" x14ac:dyDescent="0.2">
      <c r="A1267" t="s">
        <v>1508</v>
      </c>
      <c r="B1267" t="s">
        <v>2168</v>
      </c>
      <c r="C1267" t="s">
        <v>2169</v>
      </c>
      <c r="E1267" t="s">
        <v>1468</v>
      </c>
    </row>
    <row r="1268" spans="1:5" x14ac:dyDescent="0.2">
      <c r="A1268" t="s">
        <v>1508</v>
      </c>
      <c r="B1268" t="s">
        <v>2170</v>
      </c>
      <c r="C1268" t="s">
        <v>2171</v>
      </c>
      <c r="E1268" t="s">
        <v>1468</v>
      </c>
    </row>
    <row r="1269" spans="1:5" x14ac:dyDescent="0.2">
      <c r="A1269" t="s">
        <v>1508</v>
      </c>
      <c r="B1269" t="s">
        <v>2172</v>
      </c>
      <c r="C1269" t="s">
        <v>2173</v>
      </c>
      <c r="E1269" t="s">
        <v>1468</v>
      </c>
    </row>
    <row r="1270" spans="1:5" x14ac:dyDescent="0.2">
      <c r="A1270" t="s">
        <v>1508</v>
      </c>
      <c r="B1270" t="s">
        <v>2174</v>
      </c>
      <c r="C1270" t="s">
        <v>2175</v>
      </c>
      <c r="E1270" t="s">
        <v>1468</v>
      </c>
    </row>
    <row r="1271" spans="1:5" x14ac:dyDescent="0.2">
      <c r="A1271" t="s">
        <v>1508</v>
      </c>
      <c r="B1271" t="s">
        <v>2176</v>
      </c>
      <c r="C1271" t="s">
        <v>2177</v>
      </c>
      <c r="E1271" t="s">
        <v>1468</v>
      </c>
    </row>
    <row r="1272" spans="1:5" x14ac:dyDescent="0.2">
      <c r="A1272" t="s">
        <v>1508</v>
      </c>
      <c r="B1272" t="s">
        <v>2178</v>
      </c>
      <c r="C1272" t="s">
        <v>2179</v>
      </c>
      <c r="E1272" t="s">
        <v>1468</v>
      </c>
    </row>
    <row r="1273" spans="1:5" x14ac:dyDescent="0.2">
      <c r="A1273" t="s">
        <v>1508</v>
      </c>
      <c r="B1273" t="s">
        <v>2180</v>
      </c>
      <c r="C1273" t="s">
        <v>2181</v>
      </c>
      <c r="E1273" t="s">
        <v>1468</v>
      </c>
    </row>
    <row r="1274" spans="1:5" x14ac:dyDescent="0.2">
      <c r="A1274" t="s">
        <v>1508</v>
      </c>
      <c r="B1274" t="s">
        <v>2182</v>
      </c>
      <c r="C1274" t="s">
        <v>2183</v>
      </c>
      <c r="E1274" t="s">
        <v>1468</v>
      </c>
    </row>
    <row r="1275" spans="1:5" x14ac:dyDescent="0.2">
      <c r="A1275" t="s">
        <v>1508</v>
      </c>
      <c r="B1275" t="s">
        <v>2184</v>
      </c>
      <c r="C1275" t="s">
        <v>2185</v>
      </c>
      <c r="E1275" t="s">
        <v>1468</v>
      </c>
    </row>
    <row r="1276" spans="1:5" x14ac:dyDescent="0.2">
      <c r="A1276" t="s">
        <v>1508</v>
      </c>
      <c r="B1276" t="s">
        <v>2186</v>
      </c>
      <c r="C1276" t="s">
        <v>2187</v>
      </c>
      <c r="E1276" t="s">
        <v>1468</v>
      </c>
    </row>
    <row r="1277" spans="1:5" x14ac:dyDescent="0.2">
      <c r="A1277" t="s">
        <v>1508</v>
      </c>
      <c r="B1277" t="s">
        <v>2188</v>
      </c>
      <c r="C1277" t="s">
        <v>2189</v>
      </c>
      <c r="E1277" t="s">
        <v>1468</v>
      </c>
    </row>
    <row r="1278" spans="1:5" x14ac:dyDescent="0.2">
      <c r="A1278" t="s">
        <v>1508</v>
      </c>
      <c r="B1278" t="s">
        <v>2190</v>
      </c>
      <c r="C1278" t="s">
        <v>2191</v>
      </c>
      <c r="E1278" t="s">
        <v>1468</v>
      </c>
    </row>
    <row r="1279" spans="1:5" x14ac:dyDescent="0.2">
      <c r="A1279" t="s">
        <v>1508</v>
      </c>
      <c r="B1279" t="s">
        <v>2192</v>
      </c>
      <c r="C1279" t="s">
        <v>2193</v>
      </c>
      <c r="E1279" t="s">
        <v>1468</v>
      </c>
    </row>
    <row r="1280" spans="1:5" x14ac:dyDescent="0.2">
      <c r="A1280" t="s">
        <v>1508</v>
      </c>
      <c r="B1280" t="s">
        <v>2194</v>
      </c>
      <c r="C1280" t="s">
        <v>2195</v>
      </c>
      <c r="E1280" t="s">
        <v>1468</v>
      </c>
    </row>
    <row r="1281" spans="1:5" x14ac:dyDescent="0.2">
      <c r="A1281" t="s">
        <v>1508</v>
      </c>
      <c r="B1281" t="s">
        <v>2196</v>
      </c>
      <c r="C1281" t="s">
        <v>2197</v>
      </c>
      <c r="E1281" t="s">
        <v>1468</v>
      </c>
    </row>
    <row r="1282" spans="1:5" x14ac:dyDescent="0.2">
      <c r="A1282" t="s">
        <v>1508</v>
      </c>
      <c r="B1282" t="s">
        <v>2198</v>
      </c>
      <c r="C1282" t="s">
        <v>2199</v>
      </c>
      <c r="E1282" t="s">
        <v>1470</v>
      </c>
    </row>
    <row r="1283" spans="1:5" x14ac:dyDescent="0.2">
      <c r="A1283" t="s">
        <v>1508</v>
      </c>
      <c r="B1283" t="s">
        <v>2200</v>
      </c>
      <c r="C1283" t="s">
        <v>2201</v>
      </c>
      <c r="E1283" t="s">
        <v>1470</v>
      </c>
    </row>
    <row r="1284" spans="1:5" x14ac:dyDescent="0.2">
      <c r="A1284" t="s">
        <v>1508</v>
      </c>
      <c r="B1284" t="s">
        <v>2202</v>
      </c>
      <c r="C1284" t="s">
        <v>2203</v>
      </c>
      <c r="E1284" t="s">
        <v>1470</v>
      </c>
    </row>
    <row r="1285" spans="1:5" x14ac:dyDescent="0.2">
      <c r="A1285" t="s">
        <v>1508</v>
      </c>
      <c r="B1285" t="s">
        <v>2204</v>
      </c>
      <c r="C1285" t="s">
        <v>2205</v>
      </c>
      <c r="E1285" t="s">
        <v>1470</v>
      </c>
    </row>
    <row r="1286" spans="1:5" x14ac:dyDescent="0.2">
      <c r="A1286" t="s">
        <v>1508</v>
      </c>
      <c r="B1286" t="s">
        <v>2206</v>
      </c>
      <c r="C1286" t="s">
        <v>2207</v>
      </c>
      <c r="E1286" t="s">
        <v>1470</v>
      </c>
    </row>
    <row r="1287" spans="1:5" x14ac:dyDescent="0.2">
      <c r="A1287" t="s">
        <v>1508</v>
      </c>
      <c r="B1287" t="s">
        <v>2208</v>
      </c>
      <c r="C1287" t="s">
        <v>2209</v>
      </c>
      <c r="E1287" t="s">
        <v>1470</v>
      </c>
    </row>
    <row r="1288" spans="1:5" x14ac:dyDescent="0.2">
      <c r="A1288" t="s">
        <v>1508</v>
      </c>
      <c r="B1288" t="s">
        <v>2210</v>
      </c>
      <c r="C1288" t="s">
        <v>2211</v>
      </c>
      <c r="E1288" t="s">
        <v>1470</v>
      </c>
    </row>
    <row r="1289" spans="1:5" x14ac:dyDescent="0.2">
      <c r="A1289" t="s">
        <v>1508</v>
      </c>
      <c r="B1289" t="s">
        <v>2212</v>
      </c>
      <c r="C1289" t="s">
        <v>2213</v>
      </c>
      <c r="E1289" t="s">
        <v>1470</v>
      </c>
    </row>
    <row r="1290" spans="1:5" x14ac:dyDescent="0.2">
      <c r="A1290" t="s">
        <v>1508</v>
      </c>
      <c r="B1290" t="s">
        <v>2214</v>
      </c>
      <c r="C1290" t="s">
        <v>2215</v>
      </c>
      <c r="E1290" t="s">
        <v>1470</v>
      </c>
    </row>
    <row r="1291" spans="1:5" x14ac:dyDescent="0.2">
      <c r="A1291" t="s">
        <v>1508</v>
      </c>
      <c r="B1291" t="s">
        <v>2216</v>
      </c>
      <c r="C1291" t="s">
        <v>2217</v>
      </c>
      <c r="E1291" t="s">
        <v>1470</v>
      </c>
    </row>
    <row r="1292" spans="1:5" x14ac:dyDescent="0.2">
      <c r="A1292" t="s">
        <v>1508</v>
      </c>
      <c r="B1292" t="s">
        <v>2218</v>
      </c>
      <c r="C1292" t="s">
        <v>2219</v>
      </c>
      <c r="E1292" t="s">
        <v>1470</v>
      </c>
    </row>
    <row r="1293" spans="1:5" x14ac:dyDescent="0.2">
      <c r="A1293" t="s">
        <v>1508</v>
      </c>
      <c r="B1293" t="s">
        <v>2220</v>
      </c>
      <c r="C1293" t="s">
        <v>2221</v>
      </c>
      <c r="E1293" t="s">
        <v>1470</v>
      </c>
    </row>
    <row r="1294" spans="1:5" x14ac:dyDescent="0.2">
      <c r="A1294" t="s">
        <v>1508</v>
      </c>
      <c r="B1294" t="s">
        <v>2222</v>
      </c>
      <c r="C1294" t="s">
        <v>2223</v>
      </c>
      <c r="E1294" t="s">
        <v>1470</v>
      </c>
    </row>
    <row r="1295" spans="1:5" x14ac:dyDescent="0.2">
      <c r="A1295" t="s">
        <v>1508</v>
      </c>
      <c r="B1295" t="s">
        <v>2224</v>
      </c>
      <c r="C1295" t="s">
        <v>2225</v>
      </c>
      <c r="E1295" t="s">
        <v>1470</v>
      </c>
    </row>
    <row r="1296" spans="1:5" x14ac:dyDescent="0.2">
      <c r="A1296" t="s">
        <v>1508</v>
      </c>
      <c r="B1296" t="s">
        <v>2226</v>
      </c>
      <c r="C1296" t="s">
        <v>2227</v>
      </c>
      <c r="E1296" t="s">
        <v>1470</v>
      </c>
    </row>
    <row r="1297" spans="1:5" x14ac:dyDescent="0.2">
      <c r="A1297" t="s">
        <v>1508</v>
      </c>
      <c r="B1297" t="s">
        <v>2228</v>
      </c>
      <c r="C1297" t="s">
        <v>2229</v>
      </c>
      <c r="E1297" t="s">
        <v>1470</v>
      </c>
    </row>
    <row r="1298" spans="1:5" x14ac:dyDescent="0.2">
      <c r="A1298" t="s">
        <v>1508</v>
      </c>
      <c r="B1298" t="s">
        <v>2230</v>
      </c>
      <c r="C1298" t="s">
        <v>2231</v>
      </c>
      <c r="E1298" t="s">
        <v>1470</v>
      </c>
    </row>
    <row r="1299" spans="1:5" x14ac:dyDescent="0.2">
      <c r="A1299" t="s">
        <v>1508</v>
      </c>
      <c r="B1299" t="s">
        <v>2232</v>
      </c>
      <c r="C1299" t="s">
        <v>2233</v>
      </c>
      <c r="E1299" t="s">
        <v>1470</v>
      </c>
    </row>
    <row r="1300" spans="1:5" x14ac:dyDescent="0.2">
      <c r="A1300" t="s">
        <v>1508</v>
      </c>
      <c r="B1300" t="s">
        <v>2234</v>
      </c>
      <c r="C1300" t="s">
        <v>2235</v>
      </c>
      <c r="E1300" t="s">
        <v>1470</v>
      </c>
    </row>
    <row r="1301" spans="1:5" x14ac:dyDescent="0.2">
      <c r="A1301" t="s">
        <v>1508</v>
      </c>
      <c r="B1301" t="s">
        <v>2236</v>
      </c>
      <c r="C1301" t="s">
        <v>2237</v>
      </c>
      <c r="E1301" t="s">
        <v>1470</v>
      </c>
    </row>
    <row r="1302" spans="1:5" x14ac:dyDescent="0.2">
      <c r="A1302" t="s">
        <v>1508</v>
      </c>
      <c r="B1302" t="s">
        <v>2238</v>
      </c>
      <c r="C1302" t="s">
        <v>2239</v>
      </c>
      <c r="E1302" t="s">
        <v>1470</v>
      </c>
    </row>
    <row r="1303" spans="1:5" x14ac:dyDescent="0.2">
      <c r="A1303" t="s">
        <v>1508</v>
      </c>
      <c r="B1303" t="s">
        <v>2240</v>
      </c>
      <c r="C1303" t="s">
        <v>2241</v>
      </c>
      <c r="E1303" t="s">
        <v>1470</v>
      </c>
    </row>
    <row r="1304" spans="1:5" x14ac:dyDescent="0.2">
      <c r="A1304" t="s">
        <v>1508</v>
      </c>
      <c r="B1304" t="s">
        <v>2242</v>
      </c>
      <c r="C1304" t="s">
        <v>2243</v>
      </c>
      <c r="E1304" t="s">
        <v>1470</v>
      </c>
    </row>
    <row r="1305" spans="1:5" x14ac:dyDescent="0.2">
      <c r="A1305" t="s">
        <v>1508</v>
      </c>
      <c r="B1305" t="s">
        <v>2244</v>
      </c>
      <c r="C1305" t="s">
        <v>2245</v>
      </c>
      <c r="E1305" t="s">
        <v>1472</v>
      </c>
    </row>
    <row r="1306" spans="1:5" x14ac:dyDescent="0.2">
      <c r="A1306" t="s">
        <v>1508</v>
      </c>
      <c r="B1306" t="s">
        <v>2246</v>
      </c>
      <c r="C1306" t="s">
        <v>2247</v>
      </c>
      <c r="E1306" t="s">
        <v>1472</v>
      </c>
    </row>
    <row r="1307" spans="1:5" x14ac:dyDescent="0.2">
      <c r="A1307" t="s">
        <v>1508</v>
      </c>
      <c r="B1307" t="s">
        <v>2248</v>
      </c>
      <c r="C1307" t="s">
        <v>2249</v>
      </c>
      <c r="E1307" t="s">
        <v>1472</v>
      </c>
    </row>
    <row r="1308" spans="1:5" x14ac:dyDescent="0.2">
      <c r="A1308" t="s">
        <v>1508</v>
      </c>
      <c r="B1308" t="s">
        <v>2250</v>
      </c>
      <c r="C1308" t="s">
        <v>2251</v>
      </c>
      <c r="E1308" t="s">
        <v>1472</v>
      </c>
    </row>
    <row r="1309" spans="1:5" x14ac:dyDescent="0.2">
      <c r="A1309" t="s">
        <v>1508</v>
      </c>
      <c r="B1309" t="s">
        <v>2252</v>
      </c>
      <c r="C1309" t="s">
        <v>2253</v>
      </c>
      <c r="E1309" t="s">
        <v>1472</v>
      </c>
    </row>
    <row r="1310" spans="1:5" x14ac:dyDescent="0.2">
      <c r="A1310" t="s">
        <v>1508</v>
      </c>
      <c r="B1310" t="s">
        <v>2254</v>
      </c>
      <c r="C1310" t="s">
        <v>2255</v>
      </c>
      <c r="E1310" t="s">
        <v>1472</v>
      </c>
    </row>
    <row r="1311" spans="1:5" x14ac:dyDescent="0.2">
      <c r="A1311" t="s">
        <v>1508</v>
      </c>
      <c r="B1311" t="s">
        <v>2256</v>
      </c>
      <c r="C1311" t="s">
        <v>2257</v>
      </c>
      <c r="E1311" t="s">
        <v>1472</v>
      </c>
    </row>
    <row r="1312" spans="1:5" x14ac:dyDescent="0.2">
      <c r="A1312" t="s">
        <v>1508</v>
      </c>
      <c r="B1312" t="s">
        <v>2258</v>
      </c>
      <c r="C1312" t="s">
        <v>2259</v>
      </c>
      <c r="E1312" t="s">
        <v>1472</v>
      </c>
    </row>
    <row r="1313" spans="1:5" x14ac:dyDescent="0.2">
      <c r="A1313" t="s">
        <v>1508</v>
      </c>
      <c r="B1313" t="s">
        <v>2260</v>
      </c>
      <c r="C1313" t="s">
        <v>2261</v>
      </c>
      <c r="E1313" t="s">
        <v>1472</v>
      </c>
    </row>
    <row r="1314" spans="1:5" x14ac:dyDescent="0.2">
      <c r="A1314" t="s">
        <v>1508</v>
      </c>
      <c r="B1314" t="s">
        <v>2262</v>
      </c>
      <c r="C1314" t="s">
        <v>2263</v>
      </c>
      <c r="E1314" t="s">
        <v>1472</v>
      </c>
    </row>
    <row r="1315" spans="1:5" x14ac:dyDescent="0.2">
      <c r="A1315" t="s">
        <v>1508</v>
      </c>
      <c r="B1315" t="s">
        <v>2264</v>
      </c>
      <c r="C1315" t="s">
        <v>2265</v>
      </c>
      <c r="E1315" t="s">
        <v>1472</v>
      </c>
    </row>
    <row r="1316" spans="1:5" x14ac:dyDescent="0.2">
      <c r="A1316" t="s">
        <v>1508</v>
      </c>
      <c r="B1316" t="s">
        <v>2266</v>
      </c>
      <c r="C1316" t="s">
        <v>2267</v>
      </c>
      <c r="E1316" t="s">
        <v>1472</v>
      </c>
    </row>
    <row r="1317" spans="1:5" x14ac:dyDescent="0.2">
      <c r="A1317" t="s">
        <v>1508</v>
      </c>
      <c r="B1317" t="s">
        <v>2268</v>
      </c>
      <c r="C1317" t="s">
        <v>2269</v>
      </c>
      <c r="E1317" t="s">
        <v>1472</v>
      </c>
    </row>
    <row r="1318" spans="1:5" x14ac:dyDescent="0.2">
      <c r="A1318" t="s">
        <v>1508</v>
      </c>
      <c r="B1318" t="s">
        <v>2270</v>
      </c>
      <c r="C1318" t="s">
        <v>2271</v>
      </c>
      <c r="E1318" t="s">
        <v>1472</v>
      </c>
    </row>
    <row r="1319" spans="1:5" x14ac:dyDescent="0.2">
      <c r="A1319" t="s">
        <v>1508</v>
      </c>
      <c r="B1319" t="s">
        <v>2272</v>
      </c>
      <c r="C1319" t="s">
        <v>2273</v>
      </c>
      <c r="E1319" t="s">
        <v>1472</v>
      </c>
    </row>
    <row r="1320" spans="1:5" x14ac:dyDescent="0.2">
      <c r="A1320" t="s">
        <v>1508</v>
      </c>
      <c r="B1320" t="s">
        <v>2274</v>
      </c>
      <c r="C1320" t="s">
        <v>2275</v>
      </c>
      <c r="E1320" t="s">
        <v>1472</v>
      </c>
    </row>
    <row r="1321" spans="1:5" x14ac:dyDescent="0.2">
      <c r="A1321" t="s">
        <v>1508</v>
      </c>
      <c r="B1321" t="s">
        <v>2276</v>
      </c>
      <c r="C1321" t="s">
        <v>2277</v>
      </c>
      <c r="E1321" t="s">
        <v>1472</v>
      </c>
    </row>
    <row r="1322" spans="1:5" x14ac:dyDescent="0.2">
      <c r="A1322" t="s">
        <v>1508</v>
      </c>
      <c r="B1322" t="s">
        <v>2278</v>
      </c>
      <c r="C1322" t="s">
        <v>2279</v>
      </c>
      <c r="E1322" t="s">
        <v>1472</v>
      </c>
    </row>
    <row r="1323" spans="1:5" x14ac:dyDescent="0.2">
      <c r="A1323" t="s">
        <v>1508</v>
      </c>
      <c r="B1323" t="s">
        <v>2280</v>
      </c>
      <c r="C1323" t="s">
        <v>2281</v>
      </c>
      <c r="E1323" t="s">
        <v>1472</v>
      </c>
    </row>
    <row r="1324" spans="1:5" x14ac:dyDescent="0.2">
      <c r="A1324" t="s">
        <v>1508</v>
      </c>
      <c r="B1324" t="s">
        <v>2282</v>
      </c>
      <c r="C1324" t="s">
        <v>2283</v>
      </c>
      <c r="E1324" t="s">
        <v>1472</v>
      </c>
    </row>
    <row r="1325" spans="1:5" x14ac:dyDescent="0.2">
      <c r="A1325" t="s">
        <v>1508</v>
      </c>
      <c r="B1325" t="s">
        <v>2284</v>
      </c>
      <c r="C1325" t="s">
        <v>2285</v>
      </c>
      <c r="E1325" t="s">
        <v>1472</v>
      </c>
    </row>
    <row r="1326" spans="1:5" x14ac:dyDescent="0.2">
      <c r="A1326" t="s">
        <v>1508</v>
      </c>
      <c r="B1326" t="s">
        <v>2286</v>
      </c>
      <c r="C1326" t="s">
        <v>2287</v>
      </c>
      <c r="E1326" t="s">
        <v>1472</v>
      </c>
    </row>
    <row r="1327" spans="1:5" x14ac:dyDescent="0.2">
      <c r="A1327" t="s">
        <v>1508</v>
      </c>
      <c r="B1327" t="s">
        <v>2288</v>
      </c>
      <c r="C1327" t="s">
        <v>2289</v>
      </c>
      <c r="E1327" t="s">
        <v>1472</v>
      </c>
    </row>
    <row r="1328" spans="1:5" x14ac:dyDescent="0.2">
      <c r="A1328" t="s">
        <v>1508</v>
      </c>
      <c r="B1328" t="s">
        <v>2290</v>
      </c>
      <c r="C1328" t="s">
        <v>2291</v>
      </c>
      <c r="E1328" t="s">
        <v>1472</v>
      </c>
    </row>
    <row r="1329" spans="1:5" x14ac:dyDescent="0.2">
      <c r="A1329" t="s">
        <v>1508</v>
      </c>
      <c r="B1329" t="s">
        <v>2292</v>
      </c>
      <c r="C1329" t="s">
        <v>2293</v>
      </c>
      <c r="E1329" t="s">
        <v>1472</v>
      </c>
    </row>
    <row r="1330" spans="1:5" x14ac:dyDescent="0.2">
      <c r="A1330" t="s">
        <v>1508</v>
      </c>
      <c r="B1330" t="s">
        <v>2294</v>
      </c>
      <c r="C1330" t="s">
        <v>2295</v>
      </c>
      <c r="E1330" t="s">
        <v>1472</v>
      </c>
    </row>
    <row r="1331" spans="1:5" x14ac:dyDescent="0.2">
      <c r="A1331" t="s">
        <v>1508</v>
      </c>
      <c r="B1331" t="s">
        <v>2296</v>
      </c>
      <c r="C1331" t="s">
        <v>2297</v>
      </c>
      <c r="E1331" t="s">
        <v>1472</v>
      </c>
    </row>
    <row r="1332" spans="1:5" x14ac:dyDescent="0.2">
      <c r="A1332" t="s">
        <v>1508</v>
      </c>
      <c r="B1332" t="s">
        <v>2298</v>
      </c>
      <c r="C1332" t="s">
        <v>2299</v>
      </c>
      <c r="E1332" t="s">
        <v>1472</v>
      </c>
    </row>
    <row r="1333" spans="1:5" x14ac:dyDescent="0.2">
      <c r="A1333" t="s">
        <v>1508</v>
      </c>
      <c r="B1333" t="s">
        <v>2300</v>
      </c>
      <c r="C1333" t="s">
        <v>2301</v>
      </c>
      <c r="E1333" t="s">
        <v>1472</v>
      </c>
    </row>
    <row r="1334" spans="1:5" x14ac:dyDescent="0.2">
      <c r="A1334" t="s">
        <v>1508</v>
      </c>
      <c r="B1334" t="s">
        <v>2302</v>
      </c>
      <c r="C1334" t="s">
        <v>2303</v>
      </c>
      <c r="E1334" t="s">
        <v>1472</v>
      </c>
    </row>
    <row r="1335" spans="1:5" x14ac:dyDescent="0.2">
      <c r="A1335" t="s">
        <v>1508</v>
      </c>
      <c r="B1335" t="s">
        <v>2304</v>
      </c>
      <c r="C1335" t="s">
        <v>1485</v>
      </c>
      <c r="E1335" t="s">
        <v>1472</v>
      </c>
    </row>
    <row r="1336" spans="1:5" x14ac:dyDescent="0.2">
      <c r="A1336" t="s">
        <v>1508</v>
      </c>
      <c r="B1336" t="s">
        <v>2305</v>
      </c>
      <c r="C1336" t="s">
        <v>2306</v>
      </c>
      <c r="E1336" t="s">
        <v>1472</v>
      </c>
    </row>
    <row r="1337" spans="1:5" x14ac:dyDescent="0.2">
      <c r="A1337" t="s">
        <v>1508</v>
      </c>
      <c r="B1337" t="s">
        <v>2307</v>
      </c>
      <c r="C1337" t="s">
        <v>2308</v>
      </c>
      <c r="E1337" t="s">
        <v>1472</v>
      </c>
    </row>
    <row r="1338" spans="1:5" x14ac:dyDescent="0.2">
      <c r="A1338" t="s">
        <v>1508</v>
      </c>
      <c r="B1338" t="s">
        <v>2309</v>
      </c>
      <c r="C1338" t="s">
        <v>2310</v>
      </c>
      <c r="E1338" t="s">
        <v>1472</v>
      </c>
    </row>
    <row r="1339" spans="1:5" x14ac:dyDescent="0.2">
      <c r="A1339" t="s">
        <v>1508</v>
      </c>
      <c r="B1339" t="s">
        <v>2311</v>
      </c>
      <c r="C1339" t="s">
        <v>2312</v>
      </c>
      <c r="E1339" t="s">
        <v>1472</v>
      </c>
    </row>
    <row r="1340" spans="1:5" x14ac:dyDescent="0.2">
      <c r="A1340" t="s">
        <v>1508</v>
      </c>
      <c r="B1340" t="s">
        <v>2313</v>
      </c>
      <c r="C1340" t="s">
        <v>2314</v>
      </c>
      <c r="E1340" t="s">
        <v>1472</v>
      </c>
    </row>
    <row r="1341" spans="1:5" x14ac:dyDescent="0.2">
      <c r="A1341" t="s">
        <v>1508</v>
      </c>
      <c r="B1341" t="s">
        <v>2315</v>
      </c>
      <c r="C1341" t="s">
        <v>2316</v>
      </c>
      <c r="E1341" t="s">
        <v>1472</v>
      </c>
    </row>
    <row r="1342" spans="1:5" x14ac:dyDescent="0.2">
      <c r="A1342" t="s">
        <v>1508</v>
      </c>
      <c r="B1342" t="s">
        <v>2317</v>
      </c>
      <c r="C1342" t="s">
        <v>2318</v>
      </c>
      <c r="E1342" t="s">
        <v>1472</v>
      </c>
    </row>
    <row r="1343" spans="1:5" x14ac:dyDescent="0.2">
      <c r="A1343" t="s">
        <v>1508</v>
      </c>
      <c r="B1343" t="s">
        <v>2319</v>
      </c>
      <c r="C1343" t="s">
        <v>2320</v>
      </c>
      <c r="E1343" t="s">
        <v>1472</v>
      </c>
    </row>
    <row r="1344" spans="1:5" x14ac:dyDescent="0.2">
      <c r="A1344" t="s">
        <v>1508</v>
      </c>
      <c r="B1344" t="s">
        <v>2321</v>
      </c>
      <c r="C1344" t="s">
        <v>2322</v>
      </c>
      <c r="E1344" t="s">
        <v>1472</v>
      </c>
    </row>
    <row r="1345" spans="1:5" x14ac:dyDescent="0.2">
      <c r="A1345" t="s">
        <v>1508</v>
      </c>
      <c r="B1345" t="s">
        <v>2323</v>
      </c>
      <c r="C1345" t="s">
        <v>2324</v>
      </c>
      <c r="E1345" t="s">
        <v>1472</v>
      </c>
    </row>
    <row r="1346" spans="1:5" x14ac:dyDescent="0.2">
      <c r="A1346" t="s">
        <v>1508</v>
      </c>
      <c r="B1346" t="s">
        <v>2325</v>
      </c>
      <c r="C1346" t="s">
        <v>2326</v>
      </c>
      <c r="E1346" t="s">
        <v>1472</v>
      </c>
    </row>
    <row r="1347" spans="1:5" x14ac:dyDescent="0.2">
      <c r="A1347" t="s">
        <v>1508</v>
      </c>
      <c r="B1347" t="s">
        <v>2327</v>
      </c>
      <c r="C1347" t="s">
        <v>2328</v>
      </c>
      <c r="E1347" t="s">
        <v>1472</v>
      </c>
    </row>
    <row r="1348" spans="1:5" x14ac:dyDescent="0.2">
      <c r="A1348" t="s">
        <v>1508</v>
      </c>
      <c r="B1348" t="s">
        <v>2329</v>
      </c>
      <c r="C1348" t="s">
        <v>2330</v>
      </c>
      <c r="E1348" t="s">
        <v>1472</v>
      </c>
    </row>
    <row r="1349" spans="1:5" x14ac:dyDescent="0.2">
      <c r="A1349" t="s">
        <v>1508</v>
      </c>
      <c r="B1349" t="s">
        <v>2331</v>
      </c>
      <c r="C1349" t="s">
        <v>2332</v>
      </c>
      <c r="E1349" t="s">
        <v>1474</v>
      </c>
    </row>
    <row r="1350" spans="1:5" x14ac:dyDescent="0.2">
      <c r="A1350" t="s">
        <v>1508</v>
      </c>
      <c r="B1350" t="s">
        <v>2333</v>
      </c>
      <c r="C1350" t="s">
        <v>2334</v>
      </c>
      <c r="E1350" t="s">
        <v>1474</v>
      </c>
    </row>
    <row r="1351" spans="1:5" x14ac:dyDescent="0.2">
      <c r="A1351" t="s">
        <v>1508</v>
      </c>
      <c r="B1351" t="s">
        <v>2335</v>
      </c>
      <c r="C1351" t="s">
        <v>2336</v>
      </c>
      <c r="E1351" t="s">
        <v>1474</v>
      </c>
    </row>
    <row r="1352" spans="1:5" x14ac:dyDescent="0.2">
      <c r="A1352" t="s">
        <v>1508</v>
      </c>
      <c r="B1352" t="s">
        <v>2337</v>
      </c>
      <c r="C1352" t="s">
        <v>2338</v>
      </c>
      <c r="E1352" t="s">
        <v>1474</v>
      </c>
    </row>
    <row r="1353" spans="1:5" x14ac:dyDescent="0.2">
      <c r="A1353" t="s">
        <v>1508</v>
      </c>
      <c r="B1353" t="s">
        <v>2339</v>
      </c>
      <c r="C1353" t="s">
        <v>2340</v>
      </c>
      <c r="E1353" t="s">
        <v>1474</v>
      </c>
    </row>
    <row r="1354" spans="1:5" x14ac:dyDescent="0.2">
      <c r="A1354" t="s">
        <v>1508</v>
      </c>
      <c r="B1354" t="s">
        <v>2341</v>
      </c>
      <c r="C1354" t="s">
        <v>2342</v>
      </c>
      <c r="E1354" t="s">
        <v>1474</v>
      </c>
    </row>
    <row r="1355" spans="1:5" x14ac:dyDescent="0.2">
      <c r="A1355" t="s">
        <v>1508</v>
      </c>
      <c r="B1355" t="s">
        <v>2343</v>
      </c>
      <c r="C1355" t="s">
        <v>2344</v>
      </c>
      <c r="E1355" t="s">
        <v>1474</v>
      </c>
    </row>
    <row r="1356" spans="1:5" x14ac:dyDescent="0.2">
      <c r="A1356" t="s">
        <v>1508</v>
      </c>
      <c r="B1356" t="s">
        <v>2345</v>
      </c>
      <c r="C1356" t="s">
        <v>2346</v>
      </c>
      <c r="E1356" t="s">
        <v>1474</v>
      </c>
    </row>
    <row r="1357" spans="1:5" x14ac:dyDescent="0.2">
      <c r="A1357" t="s">
        <v>1508</v>
      </c>
      <c r="B1357" t="s">
        <v>2347</v>
      </c>
      <c r="C1357" t="s">
        <v>2348</v>
      </c>
      <c r="E1357" t="s">
        <v>1474</v>
      </c>
    </row>
    <row r="1358" spans="1:5" x14ac:dyDescent="0.2">
      <c r="A1358" t="s">
        <v>1508</v>
      </c>
      <c r="B1358" t="s">
        <v>2349</v>
      </c>
      <c r="C1358" t="s">
        <v>2350</v>
      </c>
      <c r="E1358" t="s">
        <v>1474</v>
      </c>
    </row>
    <row r="1359" spans="1:5" x14ac:dyDescent="0.2">
      <c r="A1359" t="s">
        <v>1508</v>
      </c>
      <c r="B1359" t="s">
        <v>2351</v>
      </c>
      <c r="C1359" t="s">
        <v>2352</v>
      </c>
      <c r="E1359" t="s">
        <v>1474</v>
      </c>
    </row>
    <row r="1360" spans="1:5" x14ac:dyDescent="0.2">
      <c r="A1360" t="s">
        <v>1508</v>
      </c>
      <c r="B1360" t="s">
        <v>2353</v>
      </c>
      <c r="C1360" t="s">
        <v>2354</v>
      </c>
      <c r="E1360" t="s">
        <v>1474</v>
      </c>
    </row>
    <row r="1361" spans="1:5" x14ac:dyDescent="0.2">
      <c r="A1361" t="s">
        <v>1508</v>
      </c>
      <c r="B1361" t="s">
        <v>2355</v>
      </c>
      <c r="C1361" t="s">
        <v>2356</v>
      </c>
      <c r="E1361" t="s">
        <v>1474</v>
      </c>
    </row>
    <row r="1362" spans="1:5" x14ac:dyDescent="0.2">
      <c r="A1362" t="s">
        <v>1508</v>
      </c>
      <c r="B1362" t="s">
        <v>2357</v>
      </c>
      <c r="C1362" t="s">
        <v>2358</v>
      </c>
      <c r="E1362" t="s">
        <v>1474</v>
      </c>
    </row>
    <row r="1363" spans="1:5" x14ac:dyDescent="0.2">
      <c r="A1363" t="s">
        <v>1508</v>
      </c>
      <c r="B1363" t="s">
        <v>2359</v>
      </c>
      <c r="C1363" t="s">
        <v>2360</v>
      </c>
      <c r="E1363" t="s">
        <v>1474</v>
      </c>
    </row>
    <row r="1364" spans="1:5" x14ac:dyDescent="0.2">
      <c r="A1364" t="s">
        <v>1508</v>
      </c>
      <c r="B1364" t="s">
        <v>2361</v>
      </c>
      <c r="C1364" t="s">
        <v>2362</v>
      </c>
      <c r="E1364" t="s">
        <v>1474</v>
      </c>
    </row>
    <row r="1365" spans="1:5" x14ac:dyDescent="0.2">
      <c r="A1365" t="s">
        <v>1508</v>
      </c>
      <c r="B1365" t="s">
        <v>2363</v>
      </c>
      <c r="C1365" t="s">
        <v>2364</v>
      </c>
      <c r="E1365" t="s">
        <v>1474</v>
      </c>
    </row>
    <row r="1366" spans="1:5" x14ac:dyDescent="0.2">
      <c r="A1366" t="s">
        <v>1508</v>
      </c>
      <c r="B1366" t="s">
        <v>2365</v>
      </c>
      <c r="C1366" t="s">
        <v>2366</v>
      </c>
      <c r="E1366" t="s">
        <v>1474</v>
      </c>
    </row>
    <row r="1367" spans="1:5" x14ac:dyDescent="0.2">
      <c r="A1367" t="s">
        <v>1508</v>
      </c>
      <c r="B1367" t="s">
        <v>2367</v>
      </c>
      <c r="C1367" t="s">
        <v>2368</v>
      </c>
      <c r="E1367" t="s">
        <v>1474</v>
      </c>
    </row>
    <row r="1368" spans="1:5" x14ac:dyDescent="0.2">
      <c r="A1368" t="s">
        <v>1508</v>
      </c>
      <c r="B1368" t="s">
        <v>2369</v>
      </c>
      <c r="C1368" t="s">
        <v>2370</v>
      </c>
      <c r="E1368" t="s">
        <v>1474</v>
      </c>
    </row>
    <row r="1369" spans="1:5" x14ac:dyDescent="0.2">
      <c r="A1369" t="s">
        <v>1508</v>
      </c>
      <c r="B1369" t="s">
        <v>2371</v>
      </c>
      <c r="C1369" t="s">
        <v>1475</v>
      </c>
      <c r="E1369" t="s">
        <v>1474</v>
      </c>
    </row>
    <row r="1370" spans="1:5" x14ac:dyDescent="0.2">
      <c r="A1370" t="s">
        <v>1508</v>
      </c>
      <c r="B1370" t="s">
        <v>2372</v>
      </c>
      <c r="C1370" t="s">
        <v>2373</v>
      </c>
      <c r="E1370" t="s">
        <v>1474</v>
      </c>
    </row>
    <row r="1371" spans="1:5" x14ac:dyDescent="0.2">
      <c r="A1371" t="s">
        <v>1508</v>
      </c>
      <c r="B1371" t="s">
        <v>2374</v>
      </c>
      <c r="C1371" t="s">
        <v>2375</v>
      </c>
      <c r="E1371" t="s">
        <v>1474</v>
      </c>
    </row>
    <row r="1372" spans="1:5" x14ac:dyDescent="0.2">
      <c r="A1372" t="s">
        <v>1508</v>
      </c>
      <c r="B1372" t="s">
        <v>2376</v>
      </c>
      <c r="C1372" t="s">
        <v>2377</v>
      </c>
      <c r="E1372" t="s">
        <v>1474</v>
      </c>
    </row>
    <row r="1373" spans="1:5" x14ac:dyDescent="0.2">
      <c r="A1373" t="s">
        <v>1508</v>
      </c>
      <c r="B1373" t="s">
        <v>2378</v>
      </c>
      <c r="C1373" t="s">
        <v>2379</v>
      </c>
      <c r="E1373" t="s">
        <v>1474</v>
      </c>
    </row>
    <row r="1374" spans="1:5" x14ac:dyDescent="0.2">
      <c r="A1374" t="s">
        <v>1508</v>
      </c>
      <c r="B1374" t="s">
        <v>2380</v>
      </c>
      <c r="C1374" t="s">
        <v>2381</v>
      </c>
      <c r="E1374" t="s">
        <v>1474</v>
      </c>
    </row>
    <row r="1375" spans="1:5" x14ac:dyDescent="0.2">
      <c r="A1375" t="s">
        <v>1508</v>
      </c>
      <c r="B1375" t="s">
        <v>2382</v>
      </c>
      <c r="C1375" t="s">
        <v>2383</v>
      </c>
      <c r="E1375" t="s">
        <v>1474</v>
      </c>
    </row>
    <row r="1376" spans="1:5" x14ac:dyDescent="0.2">
      <c r="A1376" t="s">
        <v>1508</v>
      </c>
      <c r="B1376" t="s">
        <v>2384</v>
      </c>
      <c r="C1376" t="s">
        <v>2385</v>
      </c>
      <c r="E1376" t="s">
        <v>1474</v>
      </c>
    </row>
    <row r="1377" spans="1:5" x14ac:dyDescent="0.2">
      <c r="A1377" t="s">
        <v>1508</v>
      </c>
      <c r="B1377" t="s">
        <v>2386</v>
      </c>
      <c r="C1377" t="s">
        <v>2387</v>
      </c>
      <c r="E1377" t="s">
        <v>1474</v>
      </c>
    </row>
    <row r="1378" spans="1:5" x14ac:dyDescent="0.2">
      <c r="A1378" t="s">
        <v>1508</v>
      </c>
      <c r="B1378" t="s">
        <v>2388</v>
      </c>
      <c r="C1378" t="s">
        <v>2389</v>
      </c>
      <c r="E1378" t="s">
        <v>1474</v>
      </c>
    </row>
    <row r="1379" spans="1:5" x14ac:dyDescent="0.2">
      <c r="A1379" t="s">
        <v>1508</v>
      </c>
      <c r="B1379" t="s">
        <v>2390</v>
      </c>
      <c r="C1379" t="s">
        <v>2391</v>
      </c>
      <c r="E1379" t="s">
        <v>1474</v>
      </c>
    </row>
    <row r="1380" spans="1:5" x14ac:dyDescent="0.2">
      <c r="A1380" t="s">
        <v>1508</v>
      </c>
      <c r="B1380" t="s">
        <v>2392</v>
      </c>
      <c r="C1380" t="s">
        <v>2393</v>
      </c>
      <c r="E1380" t="s">
        <v>1474</v>
      </c>
    </row>
    <row r="1381" spans="1:5" x14ac:dyDescent="0.2">
      <c r="A1381" t="s">
        <v>1508</v>
      </c>
      <c r="B1381" t="s">
        <v>2394</v>
      </c>
      <c r="C1381" t="s">
        <v>2395</v>
      </c>
      <c r="E1381" t="s">
        <v>1474</v>
      </c>
    </row>
    <row r="1382" spans="1:5" x14ac:dyDescent="0.2">
      <c r="A1382" t="s">
        <v>1508</v>
      </c>
      <c r="B1382" t="s">
        <v>2396</v>
      </c>
      <c r="C1382" t="s">
        <v>2397</v>
      </c>
      <c r="E1382" t="s">
        <v>1474</v>
      </c>
    </row>
    <row r="1383" spans="1:5" x14ac:dyDescent="0.2">
      <c r="A1383" t="s">
        <v>1508</v>
      </c>
      <c r="B1383" t="s">
        <v>2398</v>
      </c>
      <c r="C1383" t="s">
        <v>2399</v>
      </c>
      <c r="E1383" t="s">
        <v>1476</v>
      </c>
    </row>
    <row r="1384" spans="1:5" x14ac:dyDescent="0.2">
      <c r="A1384" t="s">
        <v>1508</v>
      </c>
      <c r="B1384" t="s">
        <v>2400</v>
      </c>
      <c r="C1384" t="s">
        <v>2401</v>
      </c>
      <c r="E1384" t="s">
        <v>1476</v>
      </c>
    </row>
    <row r="1385" spans="1:5" x14ac:dyDescent="0.2">
      <c r="A1385" t="s">
        <v>1508</v>
      </c>
      <c r="B1385" t="s">
        <v>2402</v>
      </c>
      <c r="C1385" t="s">
        <v>2403</v>
      </c>
      <c r="E1385" t="s">
        <v>1476</v>
      </c>
    </row>
    <row r="1386" spans="1:5" x14ac:dyDescent="0.2">
      <c r="A1386" t="s">
        <v>1508</v>
      </c>
      <c r="B1386" t="s">
        <v>2404</v>
      </c>
      <c r="C1386" t="s">
        <v>2405</v>
      </c>
      <c r="E1386" t="s">
        <v>1476</v>
      </c>
    </row>
    <row r="1387" spans="1:5" x14ac:dyDescent="0.2">
      <c r="A1387" t="s">
        <v>1508</v>
      </c>
      <c r="B1387" t="s">
        <v>2406</v>
      </c>
      <c r="C1387" t="s">
        <v>2407</v>
      </c>
      <c r="E1387" t="s">
        <v>1476</v>
      </c>
    </row>
    <row r="1388" spans="1:5" x14ac:dyDescent="0.2">
      <c r="A1388" t="s">
        <v>1508</v>
      </c>
      <c r="B1388" t="s">
        <v>2408</v>
      </c>
      <c r="C1388" t="s">
        <v>2409</v>
      </c>
      <c r="E1388" t="s">
        <v>1476</v>
      </c>
    </row>
    <row r="1389" spans="1:5" x14ac:dyDescent="0.2">
      <c r="A1389" t="s">
        <v>1508</v>
      </c>
      <c r="B1389" t="s">
        <v>2410</v>
      </c>
      <c r="C1389" t="s">
        <v>2411</v>
      </c>
      <c r="E1389" t="s">
        <v>1476</v>
      </c>
    </row>
    <row r="1390" spans="1:5" x14ac:dyDescent="0.2">
      <c r="A1390" t="s">
        <v>1508</v>
      </c>
      <c r="B1390" t="s">
        <v>2412</v>
      </c>
      <c r="C1390" t="s">
        <v>2413</v>
      </c>
      <c r="E1390" t="s">
        <v>1476</v>
      </c>
    </row>
    <row r="1391" spans="1:5" x14ac:dyDescent="0.2">
      <c r="A1391" t="s">
        <v>1508</v>
      </c>
      <c r="B1391" t="s">
        <v>2414</v>
      </c>
      <c r="C1391" t="s">
        <v>2415</v>
      </c>
      <c r="E1391" t="s">
        <v>1476</v>
      </c>
    </row>
    <row r="1392" spans="1:5" x14ac:dyDescent="0.2">
      <c r="A1392" t="s">
        <v>1508</v>
      </c>
      <c r="B1392" t="s">
        <v>2416</v>
      </c>
      <c r="C1392" t="s">
        <v>2417</v>
      </c>
      <c r="E1392" t="s">
        <v>1476</v>
      </c>
    </row>
    <row r="1393" spans="1:5" x14ac:dyDescent="0.2">
      <c r="A1393" t="s">
        <v>1508</v>
      </c>
      <c r="B1393" t="s">
        <v>2418</v>
      </c>
      <c r="C1393" t="s">
        <v>2419</v>
      </c>
      <c r="E1393" t="s">
        <v>1476</v>
      </c>
    </row>
    <row r="1394" spans="1:5" x14ac:dyDescent="0.2">
      <c r="A1394" t="s">
        <v>1508</v>
      </c>
      <c r="B1394" t="s">
        <v>2420</v>
      </c>
      <c r="C1394" t="s">
        <v>2421</v>
      </c>
      <c r="E1394" t="s">
        <v>1476</v>
      </c>
    </row>
    <row r="1395" spans="1:5" x14ac:dyDescent="0.2">
      <c r="A1395" t="s">
        <v>1508</v>
      </c>
      <c r="B1395" t="s">
        <v>2422</v>
      </c>
      <c r="C1395" t="s">
        <v>2423</v>
      </c>
      <c r="E1395" t="s">
        <v>1476</v>
      </c>
    </row>
    <row r="1396" spans="1:5" x14ac:dyDescent="0.2">
      <c r="A1396" t="s">
        <v>1508</v>
      </c>
      <c r="B1396" t="s">
        <v>2424</v>
      </c>
      <c r="C1396" t="s">
        <v>2425</v>
      </c>
      <c r="E1396" t="s">
        <v>1476</v>
      </c>
    </row>
    <row r="1397" spans="1:5" x14ac:dyDescent="0.2">
      <c r="A1397" t="s">
        <v>1508</v>
      </c>
      <c r="B1397" t="s">
        <v>2426</v>
      </c>
      <c r="C1397" t="s">
        <v>2427</v>
      </c>
      <c r="E1397" t="s">
        <v>1476</v>
      </c>
    </row>
    <row r="1398" spans="1:5" x14ac:dyDescent="0.2">
      <c r="A1398" t="s">
        <v>1508</v>
      </c>
      <c r="B1398" t="s">
        <v>2428</v>
      </c>
      <c r="C1398" t="s">
        <v>2429</v>
      </c>
      <c r="E1398" t="s">
        <v>1476</v>
      </c>
    </row>
    <row r="1399" spans="1:5" x14ac:dyDescent="0.2">
      <c r="A1399" t="s">
        <v>1508</v>
      </c>
      <c r="B1399" t="s">
        <v>2430</v>
      </c>
      <c r="C1399" t="s">
        <v>2431</v>
      </c>
      <c r="E1399" t="s">
        <v>1476</v>
      </c>
    </row>
    <row r="1400" spans="1:5" x14ac:dyDescent="0.2">
      <c r="A1400" t="s">
        <v>1508</v>
      </c>
      <c r="B1400" t="s">
        <v>2432</v>
      </c>
      <c r="C1400" t="s">
        <v>2433</v>
      </c>
      <c r="E1400" t="s">
        <v>1476</v>
      </c>
    </row>
    <row r="1401" spans="1:5" x14ac:dyDescent="0.2">
      <c r="A1401" t="s">
        <v>1508</v>
      </c>
      <c r="B1401" t="s">
        <v>2434</v>
      </c>
      <c r="C1401" t="s">
        <v>2435</v>
      </c>
      <c r="E1401" t="s">
        <v>1476</v>
      </c>
    </row>
    <row r="1402" spans="1:5" x14ac:dyDescent="0.2">
      <c r="A1402" t="s">
        <v>1508</v>
      </c>
      <c r="B1402" t="s">
        <v>2436</v>
      </c>
      <c r="C1402" t="s">
        <v>2437</v>
      </c>
      <c r="E1402" t="s">
        <v>1476</v>
      </c>
    </row>
    <row r="1403" spans="1:5" x14ac:dyDescent="0.2">
      <c r="A1403" t="s">
        <v>1508</v>
      </c>
      <c r="B1403" t="s">
        <v>2438</v>
      </c>
      <c r="C1403" t="s">
        <v>2439</v>
      </c>
      <c r="E1403" t="s">
        <v>1476</v>
      </c>
    </row>
    <row r="1404" spans="1:5" x14ac:dyDescent="0.2">
      <c r="A1404" t="s">
        <v>1508</v>
      </c>
      <c r="B1404" t="s">
        <v>2440</v>
      </c>
      <c r="C1404" t="s">
        <v>2441</v>
      </c>
      <c r="E1404" t="s">
        <v>1478</v>
      </c>
    </row>
    <row r="1405" spans="1:5" x14ac:dyDescent="0.2">
      <c r="A1405" t="s">
        <v>1508</v>
      </c>
      <c r="B1405" t="s">
        <v>2442</v>
      </c>
      <c r="C1405" t="s">
        <v>2443</v>
      </c>
      <c r="E1405" t="s">
        <v>1478</v>
      </c>
    </row>
    <row r="1406" spans="1:5" x14ac:dyDescent="0.2">
      <c r="A1406" t="s">
        <v>1508</v>
      </c>
      <c r="B1406" t="s">
        <v>2444</v>
      </c>
      <c r="C1406" t="s">
        <v>2445</v>
      </c>
      <c r="E1406" t="s">
        <v>1478</v>
      </c>
    </row>
    <row r="1407" spans="1:5" x14ac:dyDescent="0.2">
      <c r="A1407" t="s">
        <v>1508</v>
      </c>
      <c r="B1407" t="s">
        <v>2446</v>
      </c>
      <c r="C1407" t="s">
        <v>2447</v>
      </c>
      <c r="E1407" t="s">
        <v>1478</v>
      </c>
    </row>
    <row r="1408" spans="1:5" x14ac:dyDescent="0.2">
      <c r="A1408" t="s">
        <v>1508</v>
      </c>
      <c r="B1408" t="s">
        <v>2448</v>
      </c>
      <c r="C1408" t="s">
        <v>2449</v>
      </c>
      <c r="E1408" t="s">
        <v>1478</v>
      </c>
    </row>
    <row r="1409" spans="1:5" x14ac:dyDescent="0.2">
      <c r="A1409" t="s">
        <v>1508</v>
      </c>
      <c r="B1409" t="s">
        <v>2450</v>
      </c>
      <c r="C1409" t="s">
        <v>2451</v>
      </c>
      <c r="E1409" t="s">
        <v>1478</v>
      </c>
    </row>
    <row r="1410" spans="1:5" x14ac:dyDescent="0.2">
      <c r="A1410" t="s">
        <v>1508</v>
      </c>
      <c r="B1410" t="s">
        <v>2452</v>
      </c>
      <c r="C1410" t="s">
        <v>2453</v>
      </c>
      <c r="E1410" t="s">
        <v>1478</v>
      </c>
    </row>
    <row r="1411" spans="1:5" x14ac:dyDescent="0.2">
      <c r="A1411" t="s">
        <v>1508</v>
      </c>
      <c r="B1411" t="s">
        <v>2454</v>
      </c>
      <c r="C1411" t="s">
        <v>2455</v>
      </c>
      <c r="E1411" t="s">
        <v>1478</v>
      </c>
    </row>
    <row r="1412" spans="1:5" x14ac:dyDescent="0.2">
      <c r="A1412" t="s">
        <v>1508</v>
      </c>
      <c r="B1412" t="s">
        <v>2456</v>
      </c>
      <c r="C1412" t="s">
        <v>2457</v>
      </c>
      <c r="E1412" t="s">
        <v>1478</v>
      </c>
    </row>
    <row r="1413" spans="1:5" x14ac:dyDescent="0.2">
      <c r="A1413" t="s">
        <v>1508</v>
      </c>
      <c r="B1413" t="s">
        <v>2458</v>
      </c>
      <c r="C1413" t="s">
        <v>2459</v>
      </c>
      <c r="E1413" t="s">
        <v>1478</v>
      </c>
    </row>
    <row r="1414" spans="1:5" x14ac:dyDescent="0.2">
      <c r="A1414" t="s">
        <v>1508</v>
      </c>
      <c r="B1414" t="s">
        <v>2460</v>
      </c>
      <c r="C1414" t="s">
        <v>1479</v>
      </c>
      <c r="E1414" t="s">
        <v>1478</v>
      </c>
    </row>
    <row r="1415" spans="1:5" x14ac:dyDescent="0.2">
      <c r="A1415" t="s">
        <v>1508</v>
      </c>
      <c r="B1415" t="s">
        <v>2461</v>
      </c>
      <c r="C1415" t="s">
        <v>2462</v>
      </c>
      <c r="E1415" t="s">
        <v>1478</v>
      </c>
    </row>
    <row r="1416" spans="1:5" x14ac:dyDescent="0.2">
      <c r="A1416" t="s">
        <v>1508</v>
      </c>
      <c r="B1416" t="s">
        <v>2463</v>
      </c>
      <c r="C1416" t="s">
        <v>2464</v>
      </c>
      <c r="E1416" t="s">
        <v>1478</v>
      </c>
    </row>
    <row r="1417" spans="1:5" x14ac:dyDescent="0.2">
      <c r="A1417" t="s">
        <v>1508</v>
      </c>
      <c r="B1417" t="s">
        <v>2465</v>
      </c>
      <c r="C1417" t="s">
        <v>2466</v>
      </c>
      <c r="E1417" t="s">
        <v>1478</v>
      </c>
    </row>
    <row r="1418" spans="1:5" x14ac:dyDescent="0.2">
      <c r="A1418" t="s">
        <v>1508</v>
      </c>
      <c r="B1418" t="s">
        <v>2467</v>
      </c>
      <c r="C1418" t="s">
        <v>2468</v>
      </c>
      <c r="E1418" t="s">
        <v>1478</v>
      </c>
    </row>
    <row r="1419" spans="1:5" x14ac:dyDescent="0.2">
      <c r="A1419" t="s">
        <v>1508</v>
      </c>
      <c r="B1419" t="s">
        <v>2469</v>
      </c>
      <c r="C1419" t="s">
        <v>2470</v>
      </c>
      <c r="E1419" t="s">
        <v>1478</v>
      </c>
    </row>
    <row r="1420" spans="1:5" x14ac:dyDescent="0.2">
      <c r="A1420" t="s">
        <v>1508</v>
      </c>
      <c r="B1420" t="s">
        <v>2471</v>
      </c>
      <c r="C1420" t="s">
        <v>2472</v>
      </c>
      <c r="E1420" t="s">
        <v>1478</v>
      </c>
    </row>
    <row r="1421" spans="1:5" x14ac:dyDescent="0.2">
      <c r="A1421" t="s">
        <v>1508</v>
      </c>
      <c r="B1421" t="s">
        <v>2473</v>
      </c>
      <c r="C1421" t="s">
        <v>2474</v>
      </c>
      <c r="E1421" t="s">
        <v>1478</v>
      </c>
    </row>
    <row r="1422" spans="1:5" x14ac:dyDescent="0.2">
      <c r="A1422" t="s">
        <v>1508</v>
      </c>
      <c r="B1422" t="s">
        <v>2475</v>
      </c>
      <c r="C1422" t="s">
        <v>2476</v>
      </c>
      <c r="E1422" t="s">
        <v>1478</v>
      </c>
    </row>
    <row r="1423" spans="1:5" x14ac:dyDescent="0.2">
      <c r="A1423" t="s">
        <v>1508</v>
      </c>
      <c r="B1423" t="s">
        <v>2477</v>
      </c>
      <c r="C1423" t="s">
        <v>2478</v>
      </c>
      <c r="E1423" t="s">
        <v>1478</v>
      </c>
    </row>
    <row r="1424" spans="1:5" x14ac:dyDescent="0.2">
      <c r="A1424" t="s">
        <v>1508</v>
      </c>
      <c r="B1424" t="s">
        <v>2479</v>
      </c>
      <c r="C1424" t="s">
        <v>2480</v>
      </c>
      <c r="E1424" t="s">
        <v>1478</v>
      </c>
    </row>
    <row r="1425" spans="1:5" x14ac:dyDescent="0.2">
      <c r="A1425" t="s">
        <v>1508</v>
      </c>
      <c r="B1425" t="s">
        <v>2481</v>
      </c>
      <c r="C1425" t="s">
        <v>2482</v>
      </c>
      <c r="E1425" t="s">
        <v>1480</v>
      </c>
    </row>
    <row r="1426" spans="1:5" x14ac:dyDescent="0.2">
      <c r="A1426" t="s">
        <v>1508</v>
      </c>
      <c r="B1426" t="s">
        <v>2483</v>
      </c>
      <c r="C1426" t="s">
        <v>2484</v>
      </c>
      <c r="E1426" t="s">
        <v>1480</v>
      </c>
    </row>
    <row r="1427" spans="1:5" x14ac:dyDescent="0.2">
      <c r="A1427" t="s">
        <v>1508</v>
      </c>
      <c r="B1427" t="s">
        <v>2485</v>
      </c>
      <c r="C1427" t="s">
        <v>2486</v>
      </c>
      <c r="E1427" t="s">
        <v>1480</v>
      </c>
    </row>
    <row r="1428" spans="1:5" x14ac:dyDescent="0.2">
      <c r="A1428" t="s">
        <v>1508</v>
      </c>
      <c r="B1428" t="s">
        <v>2487</v>
      </c>
      <c r="C1428" t="s">
        <v>1459</v>
      </c>
      <c r="E1428" t="s">
        <v>1480</v>
      </c>
    </row>
    <row r="1429" spans="1:5" x14ac:dyDescent="0.2">
      <c r="A1429" t="s">
        <v>1508</v>
      </c>
      <c r="B1429" t="s">
        <v>2488</v>
      </c>
      <c r="C1429" t="s">
        <v>2489</v>
      </c>
      <c r="E1429" t="s">
        <v>1480</v>
      </c>
    </row>
    <row r="1430" spans="1:5" x14ac:dyDescent="0.2">
      <c r="A1430" t="s">
        <v>1508</v>
      </c>
      <c r="B1430" t="s">
        <v>2490</v>
      </c>
      <c r="C1430" t="s">
        <v>2491</v>
      </c>
      <c r="E1430" t="s">
        <v>1480</v>
      </c>
    </row>
    <row r="1431" spans="1:5" x14ac:dyDescent="0.2">
      <c r="A1431" t="s">
        <v>1508</v>
      </c>
      <c r="B1431" t="s">
        <v>2492</v>
      </c>
      <c r="C1431" t="s">
        <v>2493</v>
      </c>
      <c r="E1431" t="s">
        <v>1480</v>
      </c>
    </row>
    <row r="1432" spans="1:5" x14ac:dyDescent="0.2">
      <c r="A1432" t="s">
        <v>1508</v>
      </c>
      <c r="B1432" t="s">
        <v>2494</v>
      </c>
      <c r="C1432" t="s">
        <v>2495</v>
      </c>
      <c r="E1432" t="s">
        <v>1480</v>
      </c>
    </row>
    <row r="1433" spans="1:5" x14ac:dyDescent="0.2">
      <c r="A1433" t="s">
        <v>1508</v>
      </c>
      <c r="B1433" t="s">
        <v>2496</v>
      </c>
      <c r="C1433" t="s">
        <v>2497</v>
      </c>
      <c r="E1433" t="s">
        <v>1480</v>
      </c>
    </row>
    <row r="1434" spans="1:5" x14ac:dyDescent="0.2">
      <c r="A1434" t="s">
        <v>1508</v>
      </c>
      <c r="B1434" t="s">
        <v>2498</v>
      </c>
      <c r="C1434" t="s">
        <v>2499</v>
      </c>
      <c r="E1434" t="s">
        <v>1480</v>
      </c>
    </row>
    <row r="1435" spans="1:5" x14ac:dyDescent="0.2">
      <c r="A1435" t="s">
        <v>1508</v>
      </c>
      <c r="B1435" t="s">
        <v>2500</v>
      </c>
      <c r="C1435" t="s">
        <v>2501</v>
      </c>
      <c r="E1435" t="s">
        <v>1480</v>
      </c>
    </row>
    <row r="1436" spans="1:5" x14ac:dyDescent="0.2">
      <c r="A1436" t="s">
        <v>1508</v>
      </c>
      <c r="B1436" t="s">
        <v>2502</v>
      </c>
      <c r="C1436" t="s">
        <v>2503</v>
      </c>
      <c r="E1436" t="s">
        <v>1480</v>
      </c>
    </row>
    <row r="1437" spans="1:5" x14ac:dyDescent="0.2">
      <c r="A1437" t="s">
        <v>1508</v>
      </c>
      <c r="B1437" t="s">
        <v>2504</v>
      </c>
      <c r="C1437" t="s">
        <v>2505</v>
      </c>
      <c r="E1437" t="s">
        <v>1480</v>
      </c>
    </row>
    <row r="1438" spans="1:5" x14ac:dyDescent="0.2">
      <c r="A1438" t="s">
        <v>1508</v>
      </c>
      <c r="B1438" t="s">
        <v>2506</v>
      </c>
      <c r="C1438" t="s">
        <v>2507</v>
      </c>
      <c r="E1438" t="s">
        <v>1480</v>
      </c>
    </row>
    <row r="1439" spans="1:5" x14ac:dyDescent="0.2">
      <c r="A1439" t="s">
        <v>1508</v>
      </c>
      <c r="B1439" t="s">
        <v>2508</v>
      </c>
      <c r="C1439" t="s">
        <v>2509</v>
      </c>
      <c r="E1439" t="s">
        <v>1480</v>
      </c>
    </row>
    <row r="1440" spans="1:5" x14ac:dyDescent="0.2">
      <c r="A1440" t="s">
        <v>1508</v>
      </c>
      <c r="B1440" t="s">
        <v>2510</v>
      </c>
      <c r="C1440" t="s">
        <v>2511</v>
      </c>
      <c r="E1440" t="s">
        <v>1480</v>
      </c>
    </row>
    <row r="1441" spans="1:5" x14ac:dyDescent="0.2">
      <c r="A1441" t="s">
        <v>1508</v>
      </c>
      <c r="B1441" t="s">
        <v>2512</v>
      </c>
      <c r="C1441" t="s">
        <v>2513</v>
      </c>
      <c r="E1441" t="s">
        <v>1482</v>
      </c>
    </row>
    <row r="1442" spans="1:5" x14ac:dyDescent="0.2">
      <c r="A1442" t="s">
        <v>1508</v>
      </c>
      <c r="B1442" t="s">
        <v>2514</v>
      </c>
      <c r="C1442" t="s">
        <v>2515</v>
      </c>
      <c r="E1442" t="s">
        <v>1482</v>
      </c>
    </row>
    <row r="1443" spans="1:5" x14ac:dyDescent="0.2">
      <c r="A1443" t="s">
        <v>1508</v>
      </c>
      <c r="B1443" t="s">
        <v>2516</v>
      </c>
      <c r="C1443" t="s">
        <v>2517</v>
      </c>
      <c r="E1443" t="s">
        <v>1482</v>
      </c>
    </row>
    <row r="1444" spans="1:5" x14ac:dyDescent="0.2">
      <c r="A1444" t="s">
        <v>1508</v>
      </c>
      <c r="B1444" t="s">
        <v>2518</v>
      </c>
      <c r="C1444" t="s">
        <v>2519</v>
      </c>
      <c r="E1444" t="s">
        <v>1482</v>
      </c>
    </row>
    <row r="1445" spans="1:5" x14ac:dyDescent="0.2">
      <c r="A1445" t="s">
        <v>1508</v>
      </c>
      <c r="B1445" t="s">
        <v>2520</v>
      </c>
      <c r="C1445" t="s">
        <v>2521</v>
      </c>
      <c r="E1445" t="s">
        <v>1482</v>
      </c>
    </row>
    <row r="1446" spans="1:5" x14ac:dyDescent="0.2">
      <c r="A1446" t="s">
        <v>1508</v>
      </c>
      <c r="B1446" t="s">
        <v>2522</v>
      </c>
      <c r="C1446" t="s">
        <v>2523</v>
      </c>
      <c r="E1446" t="s">
        <v>1482</v>
      </c>
    </row>
    <row r="1447" spans="1:5" x14ac:dyDescent="0.2">
      <c r="A1447" t="s">
        <v>1508</v>
      </c>
      <c r="B1447" t="s">
        <v>2524</v>
      </c>
      <c r="C1447" t="s">
        <v>2525</v>
      </c>
      <c r="E1447" t="s">
        <v>1482</v>
      </c>
    </row>
    <row r="1448" spans="1:5" x14ac:dyDescent="0.2">
      <c r="A1448" t="s">
        <v>1508</v>
      </c>
      <c r="B1448" t="s">
        <v>2526</v>
      </c>
      <c r="C1448" t="s">
        <v>2527</v>
      </c>
      <c r="E1448" t="s">
        <v>1482</v>
      </c>
    </row>
    <row r="1449" spans="1:5" x14ac:dyDescent="0.2">
      <c r="A1449" t="s">
        <v>1508</v>
      </c>
      <c r="B1449" t="s">
        <v>2528</v>
      </c>
      <c r="C1449" t="s">
        <v>2529</v>
      </c>
      <c r="E1449" t="s">
        <v>1482</v>
      </c>
    </row>
    <row r="1450" spans="1:5" x14ac:dyDescent="0.2">
      <c r="A1450" t="s">
        <v>1508</v>
      </c>
      <c r="B1450" t="s">
        <v>2530</v>
      </c>
      <c r="C1450" t="s">
        <v>2531</v>
      </c>
      <c r="E1450" t="s">
        <v>1482</v>
      </c>
    </row>
    <row r="1451" spans="1:5" x14ac:dyDescent="0.2">
      <c r="A1451" t="s">
        <v>1508</v>
      </c>
      <c r="B1451" t="s">
        <v>2532</v>
      </c>
      <c r="C1451" t="s">
        <v>2533</v>
      </c>
      <c r="E1451" t="s">
        <v>1482</v>
      </c>
    </row>
    <row r="1452" spans="1:5" x14ac:dyDescent="0.2">
      <c r="A1452" t="s">
        <v>1508</v>
      </c>
      <c r="B1452" t="s">
        <v>2534</v>
      </c>
      <c r="C1452" t="s">
        <v>2535</v>
      </c>
      <c r="E1452" t="s">
        <v>1482</v>
      </c>
    </row>
    <row r="1453" spans="1:5" x14ac:dyDescent="0.2">
      <c r="A1453" t="s">
        <v>1508</v>
      </c>
      <c r="B1453" t="s">
        <v>2536</v>
      </c>
      <c r="C1453" t="s">
        <v>2537</v>
      </c>
      <c r="E1453" t="s">
        <v>1482</v>
      </c>
    </row>
    <row r="1454" spans="1:5" x14ac:dyDescent="0.2">
      <c r="A1454" t="s">
        <v>1508</v>
      </c>
      <c r="B1454" t="s">
        <v>2538</v>
      </c>
      <c r="C1454" t="s">
        <v>2539</v>
      </c>
      <c r="E1454" t="s">
        <v>1482</v>
      </c>
    </row>
    <row r="1455" spans="1:5" x14ac:dyDescent="0.2">
      <c r="A1455" t="s">
        <v>1508</v>
      </c>
      <c r="B1455" t="s">
        <v>2540</v>
      </c>
      <c r="C1455" t="s">
        <v>2541</v>
      </c>
      <c r="E1455" t="s">
        <v>1482</v>
      </c>
    </row>
    <row r="1456" spans="1:5" x14ac:dyDescent="0.2">
      <c r="A1456" t="s">
        <v>1508</v>
      </c>
      <c r="B1456" t="s">
        <v>2542</v>
      </c>
      <c r="C1456" t="s">
        <v>2543</v>
      </c>
      <c r="E1456" t="s">
        <v>1482</v>
      </c>
    </row>
    <row r="1457" spans="1:5" x14ac:dyDescent="0.2">
      <c r="A1457" t="s">
        <v>1508</v>
      </c>
      <c r="B1457" t="s">
        <v>2544</v>
      </c>
      <c r="C1457" t="s">
        <v>2545</v>
      </c>
      <c r="E1457" t="s">
        <v>1482</v>
      </c>
    </row>
    <row r="1458" spans="1:5" x14ac:dyDescent="0.2">
      <c r="A1458" t="s">
        <v>1508</v>
      </c>
      <c r="B1458" t="s">
        <v>2546</v>
      </c>
      <c r="C1458" t="s">
        <v>2547</v>
      </c>
      <c r="E1458" t="s">
        <v>1482</v>
      </c>
    </row>
    <row r="1459" spans="1:5" x14ac:dyDescent="0.2">
      <c r="A1459" t="s">
        <v>1508</v>
      </c>
      <c r="B1459" t="s">
        <v>2548</v>
      </c>
      <c r="C1459" t="s">
        <v>2549</v>
      </c>
      <c r="E1459" t="s">
        <v>1482</v>
      </c>
    </row>
    <row r="1460" spans="1:5" x14ac:dyDescent="0.2">
      <c r="A1460" t="s">
        <v>1508</v>
      </c>
      <c r="B1460" t="s">
        <v>2550</v>
      </c>
      <c r="C1460" t="s">
        <v>2551</v>
      </c>
      <c r="E1460" t="s">
        <v>1482</v>
      </c>
    </row>
    <row r="1461" spans="1:5" x14ac:dyDescent="0.2">
      <c r="A1461" t="s">
        <v>1508</v>
      </c>
      <c r="B1461" t="s">
        <v>2552</v>
      </c>
      <c r="C1461" t="s">
        <v>2553</v>
      </c>
      <c r="E1461" t="s">
        <v>1484</v>
      </c>
    </row>
    <row r="1462" spans="1:5" x14ac:dyDescent="0.2">
      <c r="A1462" t="s">
        <v>1508</v>
      </c>
      <c r="B1462" t="s">
        <v>2554</v>
      </c>
      <c r="C1462" t="s">
        <v>2555</v>
      </c>
      <c r="E1462" t="s">
        <v>1484</v>
      </c>
    </row>
    <row r="1463" spans="1:5" x14ac:dyDescent="0.2">
      <c r="A1463" t="s">
        <v>1508</v>
      </c>
      <c r="B1463" t="s">
        <v>2556</v>
      </c>
      <c r="C1463" t="s">
        <v>2557</v>
      </c>
      <c r="E1463" t="s">
        <v>1484</v>
      </c>
    </row>
    <row r="1464" spans="1:5" x14ac:dyDescent="0.2">
      <c r="A1464" t="s">
        <v>1508</v>
      </c>
      <c r="B1464" t="s">
        <v>2558</v>
      </c>
      <c r="C1464" t="s">
        <v>2559</v>
      </c>
      <c r="E1464" t="s">
        <v>1484</v>
      </c>
    </row>
    <row r="1465" spans="1:5" x14ac:dyDescent="0.2">
      <c r="A1465" t="s">
        <v>1508</v>
      </c>
      <c r="B1465" t="s">
        <v>2560</v>
      </c>
      <c r="C1465" t="s">
        <v>2561</v>
      </c>
      <c r="E1465" t="s">
        <v>1484</v>
      </c>
    </row>
    <row r="1466" spans="1:5" x14ac:dyDescent="0.2">
      <c r="A1466" t="s">
        <v>1508</v>
      </c>
      <c r="B1466" t="s">
        <v>2562</v>
      </c>
      <c r="C1466" t="s">
        <v>2563</v>
      </c>
      <c r="E1466" t="s">
        <v>1484</v>
      </c>
    </row>
    <row r="1467" spans="1:5" x14ac:dyDescent="0.2">
      <c r="A1467" t="s">
        <v>1508</v>
      </c>
      <c r="B1467" t="s">
        <v>2564</v>
      </c>
      <c r="C1467" t="s">
        <v>2565</v>
      </c>
      <c r="E1467" t="s">
        <v>1484</v>
      </c>
    </row>
    <row r="1468" spans="1:5" x14ac:dyDescent="0.2">
      <c r="A1468" t="s">
        <v>1508</v>
      </c>
      <c r="B1468" t="s">
        <v>2566</v>
      </c>
      <c r="C1468" t="s">
        <v>2567</v>
      </c>
      <c r="E1468" t="s">
        <v>1484</v>
      </c>
    </row>
    <row r="1469" spans="1:5" x14ac:dyDescent="0.2">
      <c r="A1469" t="s">
        <v>1508</v>
      </c>
      <c r="B1469" t="s">
        <v>2568</v>
      </c>
      <c r="C1469" t="s">
        <v>1485</v>
      </c>
      <c r="E1469" t="s">
        <v>1484</v>
      </c>
    </row>
    <row r="1470" spans="1:5" x14ac:dyDescent="0.2">
      <c r="A1470" t="s">
        <v>1508</v>
      </c>
      <c r="B1470" t="s">
        <v>2569</v>
      </c>
      <c r="C1470" t="s">
        <v>2570</v>
      </c>
      <c r="E1470" t="s">
        <v>1484</v>
      </c>
    </row>
    <row r="1471" spans="1:5" x14ac:dyDescent="0.2">
      <c r="A1471" t="s">
        <v>1508</v>
      </c>
      <c r="B1471" t="s">
        <v>2571</v>
      </c>
      <c r="C1471" t="s">
        <v>1771</v>
      </c>
      <c r="E1471" t="s">
        <v>1484</v>
      </c>
    </row>
    <row r="1472" spans="1:5" x14ac:dyDescent="0.2">
      <c r="A1472" t="s">
        <v>1508</v>
      </c>
      <c r="B1472" t="s">
        <v>2572</v>
      </c>
      <c r="C1472" t="s">
        <v>2573</v>
      </c>
      <c r="E1472" t="s">
        <v>1484</v>
      </c>
    </row>
    <row r="1473" spans="1:5" x14ac:dyDescent="0.2">
      <c r="A1473" t="s">
        <v>1508</v>
      </c>
      <c r="B1473" t="s">
        <v>2574</v>
      </c>
      <c r="C1473" t="s">
        <v>2575</v>
      </c>
      <c r="E1473" t="s">
        <v>1484</v>
      </c>
    </row>
    <row r="1474" spans="1:5" x14ac:dyDescent="0.2">
      <c r="A1474" t="s">
        <v>1508</v>
      </c>
      <c r="B1474" t="s">
        <v>2576</v>
      </c>
      <c r="C1474" t="s">
        <v>2577</v>
      </c>
      <c r="E1474" t="s">
        <v>1486</v>
      </c>
    </row>
    <row r="1475" spans="1:5" x14ac:dyDescent="0.2">
      <c r="A1475" t="s">
        <v>1508</v>
      </c>
      <c r="B1475" t="s">
        <v>2578</v>
      </c>
      <c r="C1475" t="s">
        <v>2579</v>
      </c>
      <c r="E1475" t="s">
        <v>1486</v>
      </c>
    </row>
    <row r="1476" spans="1:5" x14ac:dyDescent="0.2">
      <c r="A1476" t="s">
        <v>1508</v>
      </c>
      <c r="B1476" t="s">
        <v>2580</v>
      </c>
      <c r="C1476" t="s">
        <v>2581</v>
      </c>
      <c r="E1476" t="s">
        <v>1486</v>
      </c>
    </row>
    <row r="1477" spans="1:5" x14ac:dyDescent="0.2">
      <c r="A1477" t="s">
        <v>1508</v>
      </c>
      <c r="B1477" t="s">
        <v>2582</v>
      </c>
      <c r="C1477" t="s">
        <v>2583</v>
      </c>
      <c r="E1477" t="s">
        <v>1486</v>
      </c>
    </row>
    <row r="1478" spans="1:5" x14ac:dyDescent="0.2">
      <c r="A1478" t="s">
        <v>1508</v>
      </c>
      <c r="B1478" t="s">
        <v>2584</v>
      </c>
      <c r="C1478" t="s">
        <v>2585</v>
      </c>
      <c r="E1478" t="s">
        <v>1486</v>
      </c>
    </row>
    <row r="1479" spans="1:5" x14ac:dyDescent="0.2">
      <c r="A1479" t="s">
        <v>1508</v>
      </c>
      <c r="B1479" t="s">
        <v>2586</v>
      </c>
      <c r="C1479" t="s">
        <v>2587</v>
      </c>
      <c r="E1479" t="s">
        <v>1486</v>
      </c>
    </row>
    <row r="1480" spans="1:5" x14ac:dyDescent="0.2">
      <c r="A1480" t="s">
        <v>1508</v>
      </c>
      <c r="B1480" t="s">
        <v>2588</v>
      </c>
      <c r="C1480" t="s">
        <v>2589</v>
      </c>
      <c r="E1480" t="s">
        <v>1486</v>
      </c>
    </row>
    <row r="1481" spans="1:5" x14ac:dyDescent="0.2">
      <c r="A1481" t="s">
        <v>1508</v>
      </c>
      <c r="B1481" t="s">
        <v>2590</v>
      </c>
      <c r="C1481" t="s">
        <v>2591</v>
      </c>
      <c r="E1481" t="s">
        <v>1486</v>
      </c>
    </row>
    <row r="1482" spans="1:5" x14ac:dyDescent="0.2">
      <c r="A1482" t="s">
        <v>1508</v>
      </c>
      <c r="B1482" t="s">
        <v>2592</v>
      </c>
      <c r="C1482" t="s">
        <v>2593</v>
      </c>
      <c r="E1482" t="s">
        <v>1486</v>
      </c>
    </row>
    <row r="1483" spans="1:5" x14ac:dyDescent="0.2">
      <c r="A1483" t="s">
        <v>1508</v>
      </c>
      <c r="B1483" t="s">
        <v>2594</v>
      </c>
      <c r="C1483" t="s">
        <v>2595</v>
      </c>
      <c r="E1483" t="s">
        <v>1486</v>
      </c>
    </row>
    <row r="1484" spans="1:5" x14ac:dyDescent="0.2">
      <c r="A1484" t="s">
        <v>1508</v>
      </c>
      <c r="B1484" t="s">
        <v>2596</v>
      </c>
      <c r="C1484" t="s">
        <v>2597</v>
      </c>
      <c r="E1484" t="s">
        <v>1486</v>
      </c>
    </row>
    <row r="1485" spans="1:5" x14ac:dyDescent="0.2">
      <c r="A1485" t="s">
        <v>1508</v>
      </c>
      <c r="B1485" t="s">
        <v>2598</v>
      </c>
      <c r="C1485" t="s">
        <v>2599</v>
      </c>
      <c r="E1485" t="s">
        <v>1486</v>
      </c>
    </row>
    <row r="1486" spans="1:5" x14ac:dyDescent="0.2">
      <c r="A1486" t="s">
        <v>1508</v>
      </c>
      <c r="B1486" t="s">
        <v>2600</v>
      </c>
      <c r="C1486" t="s">
        <v>2601</v>
      </c>
      <c r="E1486" t="s">
        <v>1486</v>
      </c>
    </row>
    <row r="1487" spans="1:5" x14ac:dyDescent="0.2">
      <c r="A1487" t="s">
        <v>1508</v>
      </c>
      <c r="B1487" t="s">
        <v>2602</v>
      </c>
      <c r="C1487" t="s">
        <v>2603</v>
      </c>
      <c r="E1487" t="s">
        <v>1486</v>
      </c>
    </row>
    <row r="1488" spans="1:5" x14ac:dyDescent="0.2">
      <c r="A1488" t="s">
        <v>1508</v>
      </c>
      <c r="B1488" t="s">
        <v>2604</v>
      </c>
      <c r="C1488" t="s">
        <v>2605</v>
      </c>
      <c r="E1488" t="s">
        <v>1486</v>
      </c>
    </row>
    <row r="1489" spans="1:5" x14ac:dyDescent="0.2">
      <c r="A1489" t="s">
        <v>1508</v>
      </c>
      <c r="B1489" t="s">
        <v>2606</v>
      </c>
      <c r="C1489" t="s">
        <v>2607</v>
      </c>
      <c r="E1489" t="s">
        <v>1486</v>
      </c>
    </row>
    <row r="1490" spans="1:5" x14ac:dyDescent="0.2">
      <c r="A1490" t="s">
        <v>1508</v>
      </c>
      <c r="B1490" t="s">
        <v>2608</v>
      </c>
      <c r="C1490" t="s">
        <v>2609</v>
      </c>
      <c r="E1490" t="s">
        <v>1486</v>
      </c>
    </row>
    <row r="1491" spans="1:5" x14ac:dyDescent="0.2">
      <c r="A1491" t="s">
        <v>1508</v>
      </c>
      <c r="B1491" t="s">
        <v>2610</v>
      </c>
      <c r="C1491" t="s">
        <v>2611</v>
      </c>
      <c r="E1491" t="s">
        <v>1486</v>
      </c>
    </row>
    <row r="1492" spans="1:5" x14ac:dyDescent="0.2">
      <c r="A1492" t="s">
        <v>1508</v>
      </c>
      <c r="B1492" t="s">
        <v>2612</v>
      </c>
      <c r="C1492" t="s">
        <v>2613</v>
      </c>
      <c r="E1492" t="s">
        <v>1486</v>
      </c>
    </row>
    <row r="1493" spans="1:5" x14ac:dyDescent="0.2">
      <c r="A1493" t="s">
        <v>1508</v>
      </c>
      <c r="B1493" t="s">
        <v>2614</v>
      </c>
      <c r="C1493" t="s">
        <v>2615</v>
      </c>
      <c r="E1493" t="s">
        <v>1486</v>
      </c>
    </row>
    <row r="1494" spans="1:5" x14ac:dyDescent="0.2">
      <c r="A1494" t="s">
        <v>1508</v>
      </c>
      <c r="B1494" t="s">
        <v>2616</v>
      </c>
      <c r="C1494" t="s">
        <v>2617</v>
      </c>
      <c r="E1494" t="s">
        <v>1486</v>
      </c>
    </row>
    <row r="1495" spans="1:5" x14ac:dyDescent="0.2">
      <c r="A1495" t="s">
        <v>1508</v>
      </c>
      <c r="B1495" t="s">
        <v>2618</v>
      </c>
      <c r="C1495" t="s">
        <v>2619</v>
      </c>
      <c r="E1495" t="s">
        <v>1486</v>
      </c>
    </row>
    <row r="1496" spans="1:5" x14ac:dyDescent="0.2">
      <c r="A1496" t="s">
        <v>1508</v>
      </c>
      <c r="B1496" t="s">
        <v>2620</v>
      </c>
      <c r="C1496" t="s">
        <v>2621</v>
      </c>
      <c r="E1496" t="s">
        <v>1486</v>
      </c>
    </row>
    <row r="1497" spans="1:5" x14ac:dyDescent="0.2">
      <c r="A1497" t="s">
        <v>1508</v>
      </c>
      <c r="B1497" t="s">
        <v>2622</v>
      </c>
      <c r="C1497" t="s">
        <v>2623</v>
      </c>
      <c r="E1497" t="s">
        <v>1486</v>
      </c>
    </row>
    <row r="1498" spans="1:5" x14ac:dyDescent="0.2">
      <c r="A1498" t="s">
        <v>1508</v>
      </c>
      <c r="B1498" t="s">
        <v>2624</v>
      </c>
      <c r="C1498" t="s">
        <v>2625</v>
      </c>
      <c r="E1498" t="s">
        <v>1486</v>
      </c>
    </row>
    <row r="1499" spans="1:5" x14ac:dyDescent="0.2">
      <c r="A1499" t="s">
        <v>1508</v>
      </c>
      <c r="B1499" t="s">
        <v>2626</v>
      </c>
      <c r="C1499" t="s">
        <v>2627</v>
      </c>
      <c r="E1499" t="s">
        <v>1488</v>
      </c>
    </row>
    <row r="1500" spans="1:5" x14ac:dyDescent="0.2">
      <c r="A1500" t="s">
        <v>1508</v>
      </c>
      <c r="B1500" t="s">
        <v>2628</v>
      </c>
      <c r="C1500" t="s">
        <v>2629</v>
      </c>
      <c r="E1500" t="s">
        <v>1488</v>
      </c>
    </row>
    <row r="1501" spans="1:5" x14ac:dyDescent="0.2">
      <c r="A1501" t="s">
        <v>1508</v>
      </c>
      <c r="B1501" t="s">
        <v>2630</v>
      </c>
      <c r="C1501" t="s">
        <v>2631</v>
      </c>
      <c r="E1501" t="s">
        <v>1488</v>
      </c>
    </row>
    <row r="1502" spans="1:5" x14ac:dyDescent="0.2">
      <c r="A1502" t="s">
        <v>1508</v>
      </c>
      <c r="B1502" t="s">
        <v>2632</v>
      </c>
      <c r="C1502" t="s">
        <v>2633</v>
      </c>
      <c r="E1502" t="s">
        <v>1488</v>
      </c>
    </row>
    <row r="1503" spans="1:5" x14ac:dyDescent="0.2">
      <c r="A1503" t="s">
        <v>1508</v>
      </c>
      <c r="B1503" t="s">
        <v>2634</v>
      </c>
      <c r="C1503" t="s">
        <v>2635</v>
      </c>
      <c r="E1503" t="s">
        <v>1488</v>
      </c>
    </row>
    <row r="1504" spans="1:5" x14ac:dyDescent="0.2">
      <c r="A1504" t="s">
        <v>1508</v>
      </c>
      <c r="B1504" t="s">
        <v>2636</v>
      </c>
      <c r="C1504" t="s">
        <v>2637</v>
      </c>
      <c r="E1504" t="s">
        <v>1488</v>
      </c>
    </row>
    <row r="1505" spans="1:5" x14ac:dyDescent="0.2">
      <c r="A1505" t="s">
        <v>1508</v>
      </c>
      <c r="B1505" t="s">
        <v>2638</v>
      </c>
      <c r="C1505" t="s">
        <v>2639</v>
      </c>
      <c r="E1505" t="s">
        <v>1488</v>
      </c>
    </row>
    <row r="1506" spans="1:5" x14ac:dyDescent="0.2">
      <c r="A1506" t="s">
        <v>1508</v>
      </c>
      <c r="B1506" t="s">
        <v>2640</v>
      </c>
      <c r="C1506" t="s">
        <v>2641</v>
      </c>
      <c r="E1506" t="s">
        <v>1488</v>
      </c>
    </row>
    <row r="1507" spans="1:5" x14ac:dyDescent="0.2">
      <c r="A1507" t="s">
        <v>1508</v>
      </c>
      <c r="B1507" t="s">
        <v>2642</v>
      </c>
      <c r="C1507" t="s">
        <v>2643</v>
      </c>
      <c r="E1507" t="s">
        <v>1488</v>
      </c>
    </row>
    <row r="1508" spans="1:5" x14ac:dyDescent="0.2">
      <c r="A1508" t="s">
        <v>1508</v>
      </c>
      <c r="B1508" t="s">
        <v>2644</v>
      </c>
      <c r="C1508" t="s">
        <v>2645</v>
      </c>
      <c r="E1508" t="s">
        <v>1488</v>
      </c>
    </row>
    <row r="1509" spans="1:5" x14ac:dyDescent="0.2">
      <c r="A1509" t="s">
        <v>1508</v>
      </c>
      <c r="B1509" t="s">
        <v>2646</v>
      </c>
      <c r="C1509" t="s">
        <v>2647</v>
      </c>
      <c r="E1509" t="s">
        <v>1488</v>
      </c>
    </row>
    <row r="1510" spans="1:5" x14ac:dyDescent="0.2">
      <c r="A1510" t="s">
        <v>1508</v>
      </c>
      <c r="B1510" t="s">
        <v>2648</v>
      </c>
      <c r="C1510" t="s">
        <v>2649</v>
      </c>
      <c r="E1510" t="s">
        <v>1488</v>
      </c>
    </row>
    <row r="1511" spans="1:5" x14ac:dyDescent="0.2">
      <c r="A1511" t="s">
        <v>1508</v>
      </c>
      <c r="B1511" t="s">
        <v>2650</v>
      </c>
      <c r="C1511" t="s">
        <v>2651</v>
      </c>
      <c r="E1511" t="s">
        <v>1488</v>
      </c>
    </row>
    <row r="1512" spans="1:5" x14ac:dyDescent="0.2">
      <c r="A1512" t="s">
        <v>1508</v>
      </c>
      <c r="B1512" t="s">
        <v>2652</v>
      </c>
      <c r="C1512" t="s">
        <v>2653</v>
      </c>
      <c r="E1512" t="s">
        <v>1488</v>
      </c>
    </row>
    <row r="1513" spans="1:5" x14ac:dyDescent="0.2">
      <c r="A1513" t="s">
        <v>1508</v>
      </c>
      <c r="B1513" t="s">
        <v>2654</v>
      </c>
      <c r="C1513" t="s">
        <v>2655</v>
      </c>
      <c r="E1513" t="s">
        <v>1488</v>
      </c>
    </row>
    <row r="1514" spans="1:5" x14ac:dyDescent="0.2">
      <c r="A1514" t="s">
        <v>1508</v>
      </c>
      <c r="B1514" t="s">
        <v>2656</v>
      </c>
      <c r="C1514" t="s">
        <v>2657</v>
      </c>
      <c r="E1514" t="s">
        <v>1488</v>
      </c>
    </row>
    <row r="1515" spans="1:5" x14ac:dyDescent="0.2">
      <c r="A1515" t="s">
        <v>1508</v>
      </c>
      <c r="B1515" t="s">
        <v>2658</v>
      </c>
      <c r="C1515" t="s">
        <v>2659</v>
      </c>
      <c r="E1515" t="s">
        <v>1488</v>
      </c>
    </row>
    <row r="1516" spans="1:5" x14ac:dyDescent="0.2">
      <c r="A1516" t="s">
        <v>1508</v>
      </c>
      <c r="B1516" t="s">
        <v>2660</v>
      </c>
      <c r="C1516" t="s">
        <v>2661</v>
      </c>
      <c r="E1516" t="s">
        <v>1488</v>
      </c>
    </row>
    <row r="1517" spans="1:5" x14ac:dyDescent="0.2">
      <c r="A1517" t="s">
        <v>1508</v>
      </c>
      <c r="B1517" t="s">
        <v>2662</v>
      </c>
      <c r="C1517" t="s">
        <v>2663</v>
      </c>
      <c r="E1517" t="s">
        <v>1488</v>
      </c>
    </row>
    <row r="1518" spans="1:5" x14ac:dyDescent="0.2">
      <c r="A1518" t="s">
        <v>1508</v>
      </c>
      <c r="B1518" t="s">
        <v>2664</v>
      </c>
      <c r="C1518" t="s">
        <v>2665</v>
      </c>
      <c r="E1518" t="s">
        <v>1488</v>
      </c>
    </row>
    <row r="1519" spans="1:5" x14ac:dyDescent="0.2">
      <c r="A1519" t="s">
        <v>1508</v>
      </c>
      <c r="B1519" t="s">
        <v>2666</v>
      </c>
      <c r="C1519" t="s">
        <v>2667</v>
      </c>
      <c r="E1519" t="s">
        <v>1490</v>
      </c>
    </row>
    <row r="1520" spans="1:5" x14ac:dyDescent="0.2">
      <c r="A1520" t="s">
        <v>1508</v>
      </c>
      <c r="B1520" t="s">
        <v>2668</v>
      </c>
      <c r="C1520" t="s">
        <v>2669</v>
      </c>
      <c r="E1520" t="s">
        <v>1490</v>
      </c>
    </row>
    <row r="1521" spans="1:5" x14ac:dyDescent="0.2">
      <c r="A1521" t="s">
        <v>1508</v>
      </c>
      <c r="B1521" t="s">
        <v>2670</v>
      </c>
      <c r="C1521" t="s">
        <v>2671</v>
      </c>
      <c r="E1521" t="s">
        <v>1490</v>
      </c>
    </row>
    <row r="1522" spans="1:5" x14ac:dyDescent="0.2">
      <c r="A1522" t="s">
        <v>1508</v>
      </c>
      <c r="B1522" t="s">
        <v>2672</v>
      </c>
      <c r="C1522" t="s">
        <v>2673</v>
      </c>
      <c r="E1522" t="s">
        <v>1490</v>
      </c>
    </row>
    <row r="1523" spans="1:5" x14ac:dyDescent="0.2">
      <c r="A1523" t="s">
        <v>1508</v>
      </c>
      <c r="B1523" t="s">
        <v>2674</v>
      </c>
      <c r="C1523" t="s">
        <v>2675</v>
      </c>
      <c r="E1523" t="s">
        <v>1490</v>
      </c>
    </row>
    <row r="1524" spans="1:5" x14ac:dyDescent="0.2">
      <c r="A1524" t="s">
        <v>1508</v>
      </c>
      <c r="B1524" t="s">
        <v>2676</v>
      </c>
      <c r="C1524" t="s">
        <v>2677</v>
      </c>
      <c r="E1524" t="s">
        <v>1490</v>
      </c>
    </row>
    <row r="1525" spans="1:5" x14ac:dyDescent="0.2">
      <c r="A1525" t="s">
        <v>1508</v>
      </c>
      <c r="B1525" t="s">
        <v>2678</v>
      </c>
      <c r="C1525" t="s">
        <v>2679</v>
      </c>
      <c r="E1525" t="s">
        <v>1490</v>
      </c>
    </row>
    <row r="1526" spans="1:5" x14ac:dyDescent="0.2">
      <c r="A1526" t="s">
        <v>1508</v>
      </c>
      <c r="B1526" t="s">
        <v>2680</v>
      </c>
      <c r="C1526" t="s">
        <v>2681</v>
      </c>
      <c r="E1526" t="s">
        <v>1490</v>
      </c>
    </row>
    <row r="1527" spans="1:5" x14ac:dyDescent="0.2">
      <c r="A1527" t="s">
        <v>1508</v>
      </c>
      <c r="B1527" t="s">
        <v>2682</v>
      </c>
      <c r="C1527" t="s">
        <v>2683</v>
      </c>
      <c r="E1527" t="s">
        <v>1490</v>
      </c>
    </row>
    <row r="1528" spans="1:5" x14ac:dyDescent="0.2">
      <c r="A1528" t="s">
        <v>1508</v>
      </c>
      <c r="B1528" t="s">
        <v>2684</v>
      </c>
      <c r="C1528" t="s">
        <v>2685</v>
      </c>
      <c r="E1528" t="s">
        <v>1490</v>
      </c>
    </row>
    <row r="1529" spans="1:5" x14ac:dyDescent="0.2">
      <c r="A1529" t="s">
        <v>1508</v>
      </c>
      <c r="B1529" t="s">
        <v>2686</v>
      </c>
      <c r="C1529" t="s">
        <v>2687</v>
      </c>
      <c r="E1529" t="s">
        <v>1490</v>
      </c>
    </row>
    <row r="1530" spans="1:5" x14ac:dyDescent="0.2">
      <c r="A1530" t="s">
        <v>1508</v>
      </c>
      <c r="B1530" t="s">
        <v>2688</v>
      </c>
      <c r="C1530" t="s">
        <v>2689</v>
      </c>
      <c r="E1530" t="s">
        <v>1490</v>
      </c>
    </row>
    <row r="1531" spans="1:5" x14ac:dyDescent="0.2">
      <c r="A1531" t="s">
        <v>1508</v>
      </c>
      <c r="B1531" t="s">
        <v>2690</v>
      </c>
      <c r="C1531" t="s">
        <v>2691</v>
      </c>
      <c r="E1531" t="s">
        <v>1490</v>
      </c>
    </row>
    <row r="1532" spans="1:5" x14ac:dyDescent="0.2">
      <c r="A1532" t="s">
        <v>1508</v>
      </c>
      <c r="B1532" t="s">
        <v>2692</v>
      </c>
      <c r="C1532" t="s">
        <v>2693</v>
      </c>
      <c r="E1532" t="s">
        <v>1490</v>
      </c>
    </row>
    <row r="1533" spans="1:5" x14ac:dyDescent="0.2">
      <c r="A1533" t="s">
        <v>1508</v>
      </c>
      <c r="B1533" t="s">
        <v>2694</v>
      </c>
      <c r="C1533" t="s">
        <v>2695</v>
      </c>
      <c r="E1533" t="s">
        <v>1490</v>
      </c>
    </row>
    <row r="1534" spans="1:5" x14ac:dyDescent="0.2">
      <c r="A1534" t="s">
        <v>1508</v>
      </c>
      <c r="B1534" t="s">
        <v>2696</v>
      </c>
      <c r="C1534" t="s">
        <v>2697</v>
      </c>
      <c r="E1534" t="s">
        <v>1490</v>
      </c>
    </row>
    <row r="1535" spans="1:5" x14ac:dyDescent="0.2">
      <c r="A1535" t="s">
        <v>1508</v>
      </c>
      <c r="B1535" t="s">
        <v>2698</v>
      </c>
      <c r="C1535" t="s">
        <v>2699</v>
      </c>
      <c r="E1535" t="s">
        <v>1490</v>
      </c>
    </row>
    <row r="1536" spans="1:5" x14ac:dyDescent="0.2">
      <c r="A1536" t="s">
        <v>1508</v>
      </c>
      <c r="B1536" t="s">
        <v>2700</v>
      </c>
      <c r="C1536" t="s">
        <v>2701</v>
      </c>
      <c r="E1536" t="s">
        <v>1490</v>
      </c>
    </row>
    <row r="1537" spans="1:5" x14ac:dyDescent="0.2">
      <c r="A1537" t="s">
        <v>1508</v>
      </c>
      <c r="B1537" t="s">
        <v>2702</v>
      </c>
      <c r="C1537" t="s">
        <v>2703</v>
      </c>
      <c r="E1537" t="s">
        <v>1492</v>
      </c>
    </row>
    <row r="1538" spans="1:5" x14ac:dyDescent="0.2">
      <c r="A1538" t="s">
        <v>1508</v>
      </c>
      <c r="B1538" t="s">
        <v>2704</v>
      </c>
      <c r="C1538" t="s">
        <v>2705</v>
      </c>
      <c r="E1538" t="s">
        <v>1492</v>
      </c>
    </row>
    <row r="1539" spans="1:5" x14ac:dyDescent="0.2">
      <c r="A1539" t="s">
        <v>1508</v>
      </c>
      <c r="B1539" t="s">
        <v>2706</v>
      </c>
      <c r="C1539" t="s">
        <v>2707</v>
      </c>
      <c r="E1539" t="s">
        <v>1492</v>
      </c>
    </row>
    <row r="1540" spans="1:5" x14ac:dyDescent="0.2">
      <c r="A1540" t="s">
        <v>1508</v>
      </c>
      <c r="B1540" t="s">
        <v>2708</v>
      </c>
      <c r="C1540" t="s">
        <v>2709</v>
      </c>
      <c r="E1540" t="s">
        <v>1492</v>
      </c>
    </row>
    <row r="1541" spans="1:5" x14ac:dyDescent="0.2">
      <c r="A1541" t="s">
        <v>1508</v>
      </c>
      <c r="B1541" t="s">
        <v>2710</v>
      </c>
      <c r="C1541" t="s">
        <v>2711</v>
      </c>
      <c r="E1541" t="s">
        <v>1492</v>
      </c>
    </row>
    <row r="1542" spans="1:5" x14ac:dyDescent="0.2">
      <c r="A1542" t="s">
        <v>1508</v>
      </c>
      <c r="B1542" t="s">
        <v>2712</v>
      </c>
      <c r="C1542" t="s">
        <v>2713</v>
      </c>
      <c r="E1542" t="s">
        <v>1492</v>
      </c>
    </row>
    <row r="1543" spans="1:5" x14ac:dyDescent="0.2">
      <c r="A1543" t="s">
        <v>1508</v>
      </c>
      <c r="B1543" t="s">
        <v>2714</v>
      </c>
      <c r="C1543" t="s">
        <v>2715</v>
      </c>
      <c r="E1543" t="s">
        <v>1492</v>
      </c>
    </row>
    <row r="1544" spans="1:5" x14ac:dyDescent="0.2">
      <c r="A1544" t="s">
        <v>1508</v>
      </c>
      <c r="B1544" t="s">
        <v>2716</v>
      </c>
      <c r="C1544" t="s">
        <v>2717</v>
      </c>
      <c r="E1544" t="s">
        <v>1492</v>
      </c>
    </row>
    <row r="1545" spans="1:5" x14ac:dyDescent="0.2">
      <c r="A1545" t="s">
        <v>1508</v>
      </c>
      <c r="B1545" t="s">
        <v>2718</v>
      </c>
      <c r="C1545" t="s">
        <v>2719</v>
      </c>
      <c r="E1545" t="s">
        <v>1492</v>
      </c>
    </row>
    <row r="1546" spans="1:5" x14ac:dyDescent="0.2">
      <c r="A1546" t="s">
        <v>1508</v>
      </c>
      <c r="B1546" t="s">
        <v>2720</v>
      </c>
      <c r="C1546" t="s">
        <v>2721</v>
      </c>
      <c r="E1546" t="s">
        <v>1492</v>
      </c>
    </row>
    <row r="1547" spans="1:5" x14ac:dyDescent="0.2">
      <c r="A1547" t="s">
        <v>1508</v>
      </c>
      <c r="B1547" t="s">
        <v>2722</v>
      </c>
      <c r="C1547" t="s">
        <v>2723</v>
      </c>
      <c r="E1547" t="s">
        <v>1492</v>
      </c>
    </row>
    <row r="1548" spans="1:5" x14ac:dyDescent="0.2">
      <c r="A1548" t="s">
        <v>1508</v>
      </c>
      <c r="B1548" t="s">
        <v>2724</v>
      </c>
      <c r="C1548" t="s">
        <v>2725</v>
      </c>
      <c r="E1548" t="s">
        <v>1492</v>
      </c>
    </row>
    <row r="1549" spans="1:5" x14ac:dyDescent="0.2">
      <c r="A1549" t="s">
        <v>1508</v>
      </c>
      <c r="B1549" t="s">
        <v>2726</v>
      </c>
      <c r="C1549" t="s">
        <v>2727</v>
      </c>
      <c r="E1549" t="s">
        <v>1492</v>
      </c>
    </row>
    <row r="1550" spans="1:5" x14ac:dyDescent="0.2">
      <c r="A1550" t="s">
        <v>1508</v>
      </c>
      <c r="B1550" t="s">
        <v>2728</v>
      </c>
      <c r="C1550" t="s">
        <v>2729</v>
      </c>
      <c r="E1550" t="s">
        <v>1492</v>
      </c>
    </row>
    <row r="1551" spans="1:5" x14ac:dyDescent="0.2">
      <c r="A1551" t="s">
        <v>1508</v>
      </c>
      <c r="B1551" t="s">
        <v>2730</v>
      </c>
      <c r="C1551" t="s">
        <v>2731</v>
      </c>
      <c r="E1551" t="s">
        <v>1492</v>
      </c>
    </row>
    <row r="1552" spans="1:5" x14ac:dyDescent="0.2">
      <c r="A1552" t="s">
        <v>1508</v>
      </c>
      <c r="B1552" t="s">
        <v>2732</v>
      </c>
      <c r="C1552" t="s">
        <v>2489</v>
      </c>
      <c r="E1552" t="s">
        <v>1492</v>
      </c>
    </row>
    <row r="1553" spans="1:5" x14ac:dyDescent="0.2">
      <c r="A1553" t="s">
        <v>1508</v>
      </c>
      <c r="B1553" t="s">
        <v>2733</v>
      </c>
      <c r="C1553" t="s">
        <v>2734</v>
      </c>
      <c r="E1553" t="s">
        <v>1492</v>
      </c>
    </row>
    <row r="1554" spans="1:5" x14ac:dyDescent="0.2">
      <c r="A1554" t="s">
        <v>1508</v>
      </c>
      <c r="B1554" t="s">
        <v>2735</v>
      </c>
      <c r="C1554" t="s">
        <v>2736</v>
      </c>
      <c r="E1554" t="s">
        <v>1492</v>
      </c>
    </row>
    <row r="1555" spans="1:5" x14ac:dyDescent="0.2">
      <c r="A1555" t="s">
        <v>1508</v>
      </c>
      <c r="B1555" t="s">
        <v>2737</v>
      </c>
      <c r="C1555" t="s">
        <v>2738</v>
      </c>
      <c r="E1555" t="s">
        <v>1492</v>
      </c>
    </row>
    <row r="1556" spans="1:5" x14ac:dyDescent="0.2">
      <c r="A1556" t="s">
        <v>1508</v>
      </c>
      <c r="B1556" t="s">
        <v>2739</v>
      </c>
      <c r="C1556" t="s">
        <v>2497</v>
      </c>
      <c r="E1556" t="s">
        <v>1492</v>
      </c>
    </row>
    <row r="1557" spans="1:5" x14ac:dyDescent="0.2">
      <c r="A1557" t="s">
        <v>1508</v>
      </c>
      <c r="B1557" t="s">
        <v>2740</v>
      </c>
      <c r="C1557" t="s">
        <v>2741</v>
      </c>
      <c r="E1557" t="s">
        <v>1492</v>
      </c>
    </row>
    <row r="1558" spans="1:5" x14ac:dyDescent="0.2">
      <c r="A1558" t="s">
        <v>1508</v>
      </c>
      <c r="B1558" t="s">
        <v>2742</v>
      </c>
      <c r="C1558" t="s">
        <v>2743</v>
      </c>
      <c r="E1558" t="s">
        <v>1492</v>
      </c>
    </row>
    <row r="1559" spans="1:5" x14ac:dyDescent="0.2">
      <c r="A1559" t="s">
        <v>1508</v>
      </c>
      <c r="B1559" t="s">
        <v>2744</v>
      </c>
      <c r="C1559" t="s">
        <v>2745</v>
      </c>
      <c r="E1559" t="s">
        <v>1492</v>
      </c>
    </row>
    <row r="1560" spans="1:5" x14ac:dyDescent="0.2">
      <c r="A1560" t="s">
        <v>1508</v>
      </c>
      <c r="B1560" t="s">
        <v>2746</v>
      </c>
      <c r="C1560" t="s">
        <v>2747</v>
      </c>
      <c r="E1560" t="s">
        <v>1492</v>
      </c>
    </row>
    <row r="1561" spans="1:5" x14ac:dyDescent="0.2">
      <c r="A1561" t="s">
        <v>1508</v>
      </c>
      <c r="B1561" t="s">
        <v>2748</v>
      </c>
      <c r="C1561" t="s">
        <v>2749</v>
      </c>
      <c r="E1561" t="s">
        <v>1492</v>
      </c>
    </row>
    <row r="1562" spans="1:5" x14ac:dyDescent="0.2">
      <c r="A1562" t="s">
        <v>1508</v>
      </c>
      <c r="B1562" t="s">
        <v>2750</v>
      </c>
      <c r="C1562" t="s">
        <v>2751</v>
      </c>
      <c r="E1562" t="s">
        <v>1492</v>
      </c>
    </row>
    <row r="1563" spans="1:5" x14ac:dyDescent="0.2">
      <c r="A1563" t="s">
        <v>1508</v>
      </c>
      <c r="B1563" t="s">
        <v>2752</v>
      </c>
      <c r="C1563" t="s">
        <v>2753</v>
      </c>
      <c r="E1563" t="s">
        <v>1492</v>
      </c>
    </row>
    <row r="1564" spans="1:5" x14ac:dyDescent="0.2">
      <c r="A1564" t="s">
        <v>1508</v>
      </c>
      <c r="B1564" t="s">
        <v>2754</v>
      </c>
      <c r="C1564" t="s">
        <v>2755</v>
      </c>
      <c r="E1564" t="s">
        <v>1492</v>
      </c>
    </row>
    <row r="1565" spans="1:5" x14ac:dyDescent="0.2">
      <c r="A1565" t="s">
        <v>1508</v>
      </c>
      <c r="B1565" t="s">
        <v>2756</v>
      </c>
      <c r="C1565" t="s">
        <v>2757</v>
      </c>
      <c r="E1565" t="s">
        <v>1492</v>
      </c>
    </row>
    <row r="1566" spans="1:5" x14ac:dyDescent="0.2">
      <c r="A1566" t="s">
        <v>1508</v>
      </c>
      <c r="B1566" t="s">
        <v>2758</v>
      </c>
      <c r="C1566" t="s">
        <v>2759</v>
      </c>
      <c r="E1566" t="s">
        <v>1492</v>
      </c>
    </row>
    <row r="1567" spans="1:5" x14ac:dyDescent="0.2">
      <c r="A1567" t="s">
        <v>1508</v>
      </c>
      <c r="B1567" t="s">
        <v>2760</v>
      </c>
      <c r="C1567" t="s">
        <v>2761</v>
      </c>
      <c r="E1567" t="s">
        <v>1494</v>
      </c>
    </row>
    <row r="1568" spans="1:5" x14ac:dyDescent="0.2">
      <c r="A1568" t="s">
        <v>1508</v>
      </c>
      <c r="B1568" t="s">
        <v>2762</v>
      </c>
      <c r="C1568" t="s">
        <v>2763</v>
      </c>
      <c r="E1568" t="s">
        <v>1494</v>
      </c>
    </row>
    <row r="1569" spans="1:5" x14ac:dyDescent="0.2">
      <c r="A1569" t="s">
        <v>1508</v>
      </c>
      <c r="B1569" t="s">
        <v>2764</v>
      </c>
      <c r="C1569" t="s">
        <v>2765</v>
      </c>
      <c r="E1569" t="s">
        <v>1494</v>
      </c>
    </row>
    <row r="1570" spans="1:5" x14ac:dyDescent="0.2">
      <c r="A1570" t="s">
        <v>1508</v>
      </c>
      <c r="B1570" t="s">
        <v>2766</v>
      </c>
      <c r="C1570" t="s">
        <v>2767</v>
      </c>
      <c r="E1570" t="s">
        <v>1494</v>
      </c>
    </row>
    <row r="1571" spans="1:5" x14ac:dyDescent="0.2">
      <c r="A1571" t="s">
        <v>1508</v>
      </c>
      <c r="B1571" t="s">
        <v>2768</v>
      </c>
      <c r="C1571" t="s">
        <v>2769</v>
      </c>
      <c r="E1571" t="s">
        <v>1494</v>
      </c>
    </row>
    <row r="1572" spans="1:5" x14ac:dyDescent="0.2">
      <c r="A1572" t="s">
        <v>1508</v>
      </c>
      <c r="B1572" t="s">
        <v>2770</v>
      </c>
      <c r="C1572" t="s">
        <v>2771</v>
      </c>
      <c r="E1572" t="s">
        <v>1494</v>
      </c>
    </row>
    <row r="1573" spans="1:5" x14ac:dyDescent="0.2">
      <c r="A1573" t="s">
        <v>1508</v>
      </c>
      <c r="B1573" t="s">
        <v>2772</v>
      </c>
      <c r="C1573" t="s">
        <v>2773</v>
      </c>
      <c r="E1573" t="s">
        <v>1494</v>
      </c>
    </row>
    <row r="1574" spans="1:5" x14ac:dyDescent="0.2">
      <c r="A1574" t="s">
        <v>1508</v>
      </c>
      <c r="B1574" t="s">
        <v>2774</v>
      </c>
      <c r="C1574" t="s">
        <v>2775</v>
      </c>
      <c r="E1574" t="s">
        <v>1494</v>
      </c>
    </row>
    <row r="1575" spans="1:5" x14ac:dyDescent="0.2">
      <c r="A1575" t="s">
        <v>1508</v>
      </c>
      <c r="B1575" t="s">
        <v>2776</v>
      </c>
      <c r="C1575" t="s">
        <v>2777</v>
      </c>
      <c r="E1575" t="s">
        <v>1494</v>
      </c>
    </row>
    <row r="1576" spans="1:5" x14ac:dyDescent="0.2">
      <c r="A1576" t="s">
        <v>1508</v>
      </c>
      <c r="B1576" t="s">
        <v>2778</v>
      </c>
      <c r="C1576" t="s">
        <v>2779</v>
      </c>
      <c r="E1576" t="s">
        <v>1494</v>
      </c>
    </row>
    <row r="1577" spans="1:5" x14ac:dyDescent="0.2">
      <c r="A1577" t="s">
        <v>1508</v>
      </c>
      <c r="B1577" t="s">
        <v>2780</v>
      </c>
      <c r="C1577" t="s">
        <v>2781</v>
      </c>
      <c r="E1577" t="s">
        <v>1494</v>
      </c>
    </row>
    <row r="1578" spans="1:5" x14ac:dyDescent="0.2">
      <c r="A1578" t="s">
        <v>1508</v>
      </c>
      <c r="B1578" t="s">
        <v>2782</v>
      </c>
      <c r="C1578" t="s">
        <v>2783</v>
      </c>
      <c r="E1578" t="s">
        <v>1494</v>
      </c>
    </row>
    <row r="1579" spans="1:5" x14ac:dyDescent="0.2">
      <c r="A1579" t="s">
        <v>1508</v>
      </c>
      <c r="B1579" t="s">
        <v>2784</v>
      </c>
      <c r="C1579" t="s">
        <v>2785</v>
      </c>
      <c r="E1579" t="s">
        <v>1494</v>
      </c>
    </row>
    <row r="1580" spans="1:5" x14ac:dyDescent="0.2">
      <c r="A1580" t="s">
        <v>1508</v>
      </c>
      <c r="B1580" t="s">
        <v>2786</v>
      </c>
      <c r="C1580" t="s">
        <v>2787</v>
      </c>
      <c r="E1580" t="s">
        <v>1494</v>
      </c>
    </row>
    <row r="1581" spans="1:5" x14ac:dyDescent="0.2">
      <c r="A1581" t="s">
        <v>1508</v>
      </c>
      <c r="B1581" t="s">
        <v>2788</v>
      </c>
      <c r="C1581" t="s">
        <v>2789</v>
      </c>
      <c r="E1581" t="s">
        <v>1494</v>
      </c>
    </row>
    <row r="1582" spans="1:5" x14ac:dyDescent="0.2">
      <c r="A1582" t="s">
        <v>1508</v>
      </c>
      <c r="B1582" t="s">
        <v>2790</v>
      </c>
      <c r="C1582" t="s">
        <v>2791</v>
      </c>
      <c r="E1582" t="s">
        <v>1494</v>
      </c>
    </row>
    <row r="1583" spans="1:5" x14ac:dyDescent="0.2">
      <c r="A1583" t="s">
        <v>1508</v>
      </c>
      <c r="B1583" t="s">
        <v>2792</v>
      </c>
      <c r="C1583" t="s">
        <v>2793</v>
      </c>
      <c r="E1583" t="s">
        <v>1494</v>
      </c>
    </row>
    <row r="1584" spans="1:5" x14ac:dyDescent="0.2">
      <c r="A1584" t="s">
        <v>1508</v>
      </c>
      <c r="B1584" t="s">
        <v>2794</v>
      </c>
      <c r="C1584" t="s">
        <v>2795</v>
      </c>
      <c r="E1584" t="s">
        <v>1494</v>
      </c>
    </row>
    <row r="1585" spans="1:5" x14ac:dyDescent="0.2">
      <c r="A1585" t="s">
        <v>1508</v>
      </c>
      <c r="B1585" t="s">
        <v>2796</v>
      </c>
      <c r="C1585" t="s">
        <v>2797</v>
      </c>
      <c r="E1585" t="s">
        <v>1494</v>
      </c>
    </row>
    <row r="1586" spans="1:5" x14ac:dyDescent="0.2">
      <c r="A1586" t="s">
        <v>1508</v>
      </c>
      <c r="B1586" t="s">
        <v>2798</v>
      </c>
      <c r="C1586" t="s">
        <v>2799</v>
      </c>
      <c r="E1586" t="s">
        <v>1494</v>
      </c>
    </row>
    <row r="1587" spans="1:5" x14ac:dyDescent="0.2">
      <c r="A1587" t="s">
        <v>1508</v>
      </c>
      <c r="B1587" t="s">
        <v>2800</v>
      </c>
      <c r="C1587" t="s">
        <v>2801</v>
      </c>
      <c r="E1587" t="s">
        <v>1494</v>
      </c>
    </row>
    <row r="1588" spans="1:5" x14ac:dyDescent="0.2">
      <c r="A1588" t="s">
        <v>1508</v>
      </c>
      <c r="B1588" t="s">
        <v>2802</v>
      </c>
      <c r="C1588" t="s">
        <v>2803</v>
      </c>
      <c r="E1588" t="s">
        <v>1494</v>
      </c>
    </row>
    <row r="1589" spans="1:5" x14ac:dyDescent="0.2">
      <c r="A1589" t="s">
        <v>1508</v>
      </c>
      <c r="B1589" t="s">
        <v>2804</v>
      </c>
      <c r="C1589" t="s">
        <v>2805</v>
      </c>
      <c r="E1589" t="s">
        <v>1494</v>
      </c>
    </row>
    <row r="1590" spans="1:5" x14ac:dyDescent="0.2">
      <c r="A1590" t="s">
        <v>1508</v>
      </c>
      <c r="B1590" t="s">
        <v>2806</v>
      </c>
      <c r="C1590" t="s">
        <v>2807</v>
      </c>
      <c r="E1590" t="s">
        <v>1494</v>
      </c>
    </row>
    <row r="1591" spans="1:5" x14ac:dyDescent="0.2">
      <c r="A1591" t="s">
        <v>1508</v>
      </c>
      <c r="B1591" t="s">
        <v>2808</v>
      </c>
      <c r="C1591" t="s">
        <v>2809</v>
      </c>
      <c r="E1591" t="s">
        <v>1494</v>
      </c>
    </row>
    <row r="1592" spans="1:5" x14ac:dyDescent="0.2">
      <c r="A1592" t="s">
        <v>1508</v>
      </c>
      <c r="B1592" t="s">
        <v>2810</v>
      </c>
      <c r="C1592" t="s">
        <v>2811</v>
      </c>
      <c r="E1592" t="s">
        <v>1494</v>
      </c>
    </row>
    <row r="1593" spans="1:5" x14ac:dyDescent="0.2">
      <c r="A1593" t="s">
        <v>1508</v>
      </c>
      <c r="B1593" t="s">
        <v>2812</v>
      </c>
      <c r="C1593" t="s">
        <v>2813</v>
      </c>
      <c r="E1593" t="s">
        <v>1494</v>
      </c>
    </row>
    <row r="1594" spans="1:5" x14ac:dyDescent="0.2">
      <c r="A1594" t="s">
        <v>1508</v>
      </c>
      <c r="B1594" t="s">
        <v>2814</v>
      </c>
      <c r="C1594" t="s">
        <v>2815</v>
      </c>
      <c r="E1594" t="s">
        <v>1494</v>
      </c>
    </row>
    <row r="1595" spans="1:5" x14ac:dyDescent="0.2">
      <c r="A1595" t="s">
        <v>1508</v>
      </c>
      <c r="B1595" t="s">
        <v>2816</v>
      </c>
      <c r="C1595" t="s">
        <v>2817</v>
      </c>
      <c r="E1595" t="s">
        <v>1494</v>
      </c>
    </row>
    <row r="1596" spans="1:5" x14ac:dyDescent="0.2">
      <c r="A1596" t="s">
        <v>1508</v>
      </c>
      <c r="B1596" t="s">
        <v>2818</v>
      </c>
      <c r="C1596" t="s">
        <v>2819</v>
      </c>
      <c r="E1596" t="s">
        <v>1494</v>
      </c>
    </row>
    <row r="1597" spans="1:5" x14ac:dyDescent="0.2">
      <c r="A1597" t="s">
        <v>1508</v>
      </c>
      <c r="B1597" t="s">
        <v>2820</v>
      </c>
      <c r="C1597" t="s">
        <v>2821</v>
      </c>
      <c r="E1597" t="s">
        <v>1494</v>
      </c>
    </row>
    <row r="1598" spans="1:5" x14ac:dyDescent="0.2">
      <c r="A1598" t="s">
        <v>1508</v>
      </c>
      <c r="B1598" t="s">
        <v>2822</v>
      </c>
      <c r="C1598" t="s">
        <v>2823</v>
      </c>
      <c r="E1598" t="s">
        <v>1494</v>
      </c>
    </row>
    <row r="1599" spans="1:5" x14ac:dyDescent="0.2">
      <c r="A1599" t="s">
        <v>1508</v>
      </c>
      <c r="B1599" t="s">
        <v>2824</v>
      </c>
      <c r="C1599" t="s">
        <v>2551</v>
      </c>
      <c r="E1599" t="s">
        <v>1494</v>
      </c>
    </row>
    <row r="1600" spans="1:5" x14ac:dyDescent="0.2">
      <c r="A1600" t="s">
        <v>1508</v>
      </c>
      <c r="B1600" t="s">
        <v>2825</v>
      </c>
      <c r="C1600" t="s">
        <v>2826</v>
      </c>
      <c r="E1600" t="s">
        <v>1496</v>
      </c>
    </row>
    <row r="1601" spans="1:5" x14ac:dyDescent="0.2">
      <c r="A1601" t="s">
        <v>1508</v>
      </c>
      <c r="B1601" t="s">
        <v>2827</v>
      </c>
      <c r="C1601" t="s">
        <v>2447</v>
      </c>
      <c r="E1601" t="s">
        <v>1496</v>
      </c>
    </row>
    <row r="1602" spans="1:5" x14ac:dyDescent="0.2">
      <c r="A1602" t="s">
        <v>1508</v>
      </c>
      <c r="B1602" t="s">
        <v>2828</v>
      </c>
      <c r="C1602" t="s">
        <v>2829</v>
      </c>
      <c r="E1602" t="s">
        <v>1496</v>
      </c>
    </row>
    <row r="1603" spans="1:5" x14ac:dyDescent="0.2">
      <c r="A1603" t="s">
        <v>1508</v>
      </c>
      <c r="B1603" t="s">
        <v>2830</v>
      </c>
      <c r="C1603" t="s">
        <v>2831</v>
      </c>
      <c r="E1603" t="s">
        <v>1496</v>
      </c>
    </row>
    <row r="1604" spans="1:5" x14ac:dyDescent="0.2">
      <c r="A1604" t="s">
        <v>1508</v>
      </c>
      <c r="B1604" t="s">
        <v>2832</v>
      </c>
      <c r="C1604" t="s">
        <v>2833</v>
      </c>
      <c r="E1604" t="s">
        <v>1496</v>
      </c>
    </row>
    <row r="1605" spans="1:5" x14ac:dyDescent="0.2">
      <c r="A1605" t="s">
        <v>1508</v>
      </c>
      <c r="B1605" t="s">
        <v>2834</v>
      </c>
      <c r="C1605" t="s">
        <v>2835</v>
      </c>
      <c r="E1605" t="s">
        <v>1496</v>
      </c>
    </row>
    <row r="1606" spans="1:5" x14ac:dyDescent="0.2">
      <c r="A1606" t="s">
        <v>1508</v>
      </c>
      <c r="B1606" t="s">
        <v>2836</v>
      </c>
      <c r="C1606" t="s">
        <v>2837</v>
      </c>
      <c r="E1606" t="s">
        <v>1496</v>
      </c>
    </row>
    <row r="1607" spans="1:5" x14ac:dyDescent="0.2">
      <c r="A1607" t="s">
        <v>1508</v>
      </c>
      <c r="B1607" t="s">
        <v>2838</v>
      </c>
      <c r="C1607" t="s">
        <v>2839</v>
      </c>
      <c r="E1607" t="s">
        <v>1496</v>
      </c>
    </row>
    <row r="1608" spans="1:5" x14ac:dyDescent="0.2">
      <c r="A1608" t="s">
        <v>1508</v>
      </c>
      <c r="B1608" t="s">
        <v>2840</v>
      </c>
      <c r="C1608" t="s">
        <v>2841</v>
      </c>
      <c r="E1608" t="s">
        <v>1496</v>
      </c>
    </row>
    <row r="1609" spans="1:5" x14ac:dyDescent="0.2">
      <c r="A1609" t="s">
        <v>1508</v>
      </c>
      <c r="B1609" t="s">
        <v>2842</v>
      </c>
      <c r="C1609" t="s">
        <v>2843</v>
      </c>
      <c r="E1609" t="s">
        <v>1496</v>
      </c>
    </row>
    <row r="1610" spans="1:5" x14ac:dyDescent="0.2">
      <c r="A1610" t="s">
        <v>1508</v>
      </c>
      <c r="B1610" t="s">
        <v>2844</v>
      </c>
      <c r="C1610" t="s">
        <v>2845</v>
      </c>
      <c r="E1610" t="s">
        <v>1496</v>
      </c>
    </row>
    <row r="1611" spans="1:5" x14ac:dyDescent="0.2">
      <c r="A1611" t="s">
        <v>1508</v>
      </c>
      <c r="B1611" t="s">
        <v>2846</v>
      </c>
      <c r="C1611" t="s">
        <v>2847</v>
      </c>
      <c r="E1611" t="s">
        <v>1496</v>
      </c>
    </row>
    <row r="1612" spans="1:5" x14ac:dyDescent="0.2">
      <c r="A1612" t="s">
        <v>1508</v>
      </c>
      <c r="B1612" t="s">
        <v>2848</v>
      </c>
      <c r="C1612" t="s">
        <v>2849</v>
      </c>
      <c r="E1612" t="s">
        <v>1496</v>
      </c>
    </row>
    <row r="1613" spans="1:5" x14ac:dyDescent="0.2">
      <c r="A1613" t="s">
        <v>1508</v>
      </c>
      <c r="B1613" t="s">
        <v>2850</v>
      </c>
      <c r="C1613" t="s">
        <v>2851</v>
      </c>
      <c r="E1613" t="s">
        <v>1496</v>
      </c>
    </row>
    <row r="1614" spans="1:5" x14ac:dyDescent="0.2">
      <c r="A1614" t="s">
        <v>1508</v>
      </c>
      <c r="B1614" t="s">
        <v>2852</v>
      </c>
      <c r="C1614" t="s">
        <v>2853</v>
      </c>
      <c r="E1614" t="s">
        <v>1496</v>
      </c>
    </row>
    <row r="1615" spans="1:5" x14ac:dyDescent="0.2">
      <c r="A1615" t="s">
        <v>1508</v>
      </c>
      <c r="B1615" t="s">
        <v>2854</v>
      </c>
      <c r="C1615" t="s">
        <v>2855</v>
      </c>
      <c r="E1615" t="s">
        <v>1496</v>
      </c>
    </row>
    <row r="1616" spans="1:5" x14ac:dyDescent="0.2">
      <c r="A1616" t="s">
        <v>1508</v>
      </c>
      <c r="B1616" t="s">
        <v>2856</v>
      </c>
      <c r="C1616" t="s">
        <v>2857</v>
      </c>
      <c r="E1616" t="s">
        <v>1496</v>
      </c>
    </row>
    <row r="1617" spans="1:5" x14ac:dyDescent="0.2">
      <c r="A1617" t="s">
        <v>1508</v>
      </c>
      <c r="B1617" t="s">
        <v>2858</v>
      </c>
      <c r="C1617" t="s">
        <v>2859</v>
      </c>
      <c r="E1617" t="s">
        <v>1498</v>
      </c>
    </row>
    <row r="1618" spans="1:5" x14ac:dyDescent="0.2">
      <c r="A1618" t="s">
        <v>1508</v>
      </c>
      <c r="B1618" t="s">
        <v>2860</v>
      </c>
      <c r="C1618" t="s">
        <v>2861</v>
      </c>
      <c r="E1618" t="s">
        <v>1498</v>
      </c>
    </row>
    <row r="1619" spans="1:5" x14ac:dyDescent="0.2">
      <c r="A1619" t="s">
        <v>1508</v>
      </c>
      <c r="B1619" t="s">
        <v>2862</v>
      </c>
      <c r="C1619" t="s">
        <v>2863</v>
      </c>
      <c r="E1619" t="s">
        <v>1498</v>
      </c>
    </row>
    <row r="1620" spans="1:5" x14ac:dyDescent="0.2">
      <c r="A1620" t="s">
        <v>1508</v>
      </c>
      <c r="B1620" t="s">
        <v>2864</v>
      </c>
      <c r="C1620" t="s">
        <v>2865</v>
      </c>
      <c r="E1620" t="s">
        <v>1498</v>
      </c>
    </row>
    <row r="1621" spans="1:5" x14ac:dyDescent="0.2">
      <c r="A1621" t="s">
        <v>1508</v>
      </c>
      <c r="B1621" t="s">
        <v>2866</v>
      </c>
      <c r="C1621" t="s">
        <v>2867</v>
      </c>
      <c r="E1621" t="s">
        <v>1498</v>
      </c>
    </row>
    <row r="1622" spans="1:5" x14ac:dyDescent="0.2">
      <c r="A1622" t="s">
        <v>1508</v>
      </c>
      <c r="B1622" t="s">
        <v>2868</v>
      </c>
      <c r="C1622" t="s">
        <v>2869</v>
      </c>
      <c r="E1622" t="s">
        <v>1498</v>
      </c>
    </row>
    <row r="1623" spans="1:5" x14ac:dyDescent="0.2">
      <c r="A1623" t="s">
        <v>1508</v>
      </c>
      <c r="B1623" t="s">
        <v>2870</v>
      </c>
      <c r="C1623" t="s">
        <v>2871</v>
      </c>
      <c r="E1623" t="s">
        <v>1498</v>
      </c>
    </row>
    <row r="1624" spans="1:5" x14ac:dyDescent="0.2">
      <c r="A1624" t="s">
        <v>1508</v>
      </c>
      <c r="B1624" t="s">
        <v>2872</v>
      </c>
      <c r="C1624" t="s">
        <v>2873</v>
      </c>
      <c r="E1624" t="s">
        <v>1498</v>
      </c>
    </row>
    <row r="1625" spans="1:5" x14ac:dyDescent="0.2">
      <c r="A1625" t="s">
        <v>1508</v>
      </c>
      <c r="B1625" t="s">
        <v>2874</v>
      </c>
      <c r="C1625" t="s">
        <v>2875</v>
      </c>
      <c r="E1625" t="s">
        <v>1498</v>
      </c>
    </row>
    <row r="1626" spans="1:5" x14ac:dyDescent="0.2">
      <c r="A1626" t="s">
        <v>1508</v>
      </c>
      <c r="B1626" t="s">
        <v>2876</v>
      </c>
      <c r="C1626" t="s">
        <v>2877</v>
      </c>
      <c r="E1626" t="s">
        <v>1498</v>
      </c>
    </row>
    <row r="1627" spans="1:5" x14ac:dyDescent="0.2">
      <c r="A1627" t="s">
        <v>1508</v>
      </c>
      <c r="B1627" t="s">
        <v>2878</v>
      </c>
      <c r="C1627" t="s">
        <v>2879</v>
      </c>
      <c r="E1627" t="s">
        <v>1498</v>
      </c>
    </row>
    <row r="1628" spans="1:5" x14ac:dyDescent="0.2">
      <c r="A1628" t="s">
        <v>1508</v>
      </c>
      <c r="B1628" t="s">
        <v>2880</v>
      </c>
      <c r="C1628" t="s">
        <v>2881</v>
      </c>
      <c r="E1628" t="s">
        <v>1498</v>
      </c>
    </row>
    <row r="1629" spans="1:5" x14ac:dyDescent="0.2">
      <c r="A1629" t="s">
        <v>1508</v>
      </c>
      <c r="B1629" t="s">
        <v>2882</v>
      </c>
      <c r="C1629" t="s">
        <v>2883</v>
      </c>
      <c r="E1629" t="s">
        <v>1498</v>
      </c>
    </row>
    <row r="1630" spans="1:5" x14ac:dyDescent="0.2">
      <c r="A1630" t="s">
        <v>1508</v>
      </c>
      <c r="B1630" t="s">
        <v>2884</v>
      </c>
      <c r="C1630" t="s">
        <v>2885</v>
      </c>
      <c r="E1630" t="s">
        <v>1498</v>
      </c>
    </row>
    <row r="1631" spans="1:5" x14ac:dyDescent="0.2">
      <c r="A1631" t="s">
        <v>1508</v>
      </c>
      <c r="B1631" t="s">
        <v>2886</v>
      </c>
      <c r="C1631" t="s">
        <v>2887</v>
      </c>
      <c r="E1631" t="s">
        <v>1498</v>
      </c>
    </row>
    <row r="1632" spans="1:5" x14ac:dyDescent="0.2">
      <c r="A1632" t="s">
        <v>1508</v>
      </c>
      <c r="B1632" t="s">
        <v>2888</v>
      </c>
      <c r="C1632" t="s">
        <v>2889</v>
      </c>
      <c r="E1632" t="s">
        <v>1498</v>
      </c>
    </row>
    <row r="1633" spans="1:5" x14ac:dyDescent="0.2">
      <c r="A1633" t="s">
        <v>1508</v>
      </c>
      <c r="B1633" t="s">
        <v>2890</v>
      </c>
      <c r="C1633" t="s">
        <v>2891</v>
      </c>
      <c r="E1633" t="s">
        <v>1498</v>
      </c>
    </row>
    <row r="1634" spans="1:5" x14ac:dyDescent="0.2">
      <c r="A1634" t="s">
        <v>1508</v>
      </c>
      <c r="B1634" t="s">
        <v>2892</v>
      </c>
      <c r="C1634" t="s">
        <v>2893</v>
      </c>
      <c r="E1634" t="s">
        <v>1498</v>
      </c>
    </row>
    <row r="1635" spans="1:5" x14ac:dyDescent="0.2">
      <c r="A1635" t="s">
        <v>1508</v>
      </c>
      <c r="B1635" t="s">
        <v>2894</v>
      </c>
      <c r="C1635" t="s">
        <v>2895</v>
      </c>
      <c r="E1635" t="s">
        <v>1498</v>
      </c>
    </row>
    <row r="1636" spans="1:5" x14ac:dyDescent="0.2">
      <c r="A1636" t="s">
        <v>1508</v>
      </c>
      <c r="B1636" t="s">
        <v>2896</v>
      </c>
      <c r="C1636" t="s">
        <v>2897</v>
      </c>
      <c r="E1636" t="s">
        <v>1498</v>
      </c>
    </row>
    <row r="1637" spans="1:5" x14ac:dyDescent="0.2">
      <c r="A1637" t="s">
        <v>1508</v>
      </c>
      <c r="B1637" t="s">
        <v>2898</v>
      </c>
      <c r="C1637" t="s">
        <v>2899</v>
      </c>
      <c r="E1637" t="s">
        <v>1498</v>
      </c>
    </row>
    <row r="1638" spans="1:5" x14ac:dyDescent="0.2">
      <c r="A1638" t="s">
        <v>1508</v>
      </c>
      <c r="B1638" t="s">
        <v>2900</v>
      </c>
      <c r="C1638" t="s">
        <v>2901</v>
      </c>
      <c r="E1638" t="s">
        <v>1498</v>
      </c>
    </row>
    <row r="1639" spans="1:5" x14ac:dyDescent="0.2">
      <c r="A1639" t="s">
        <v>1508</v>
      </c>
      <c r="B1639" t="s">
        <v>2902</v>
      </c>
      <c r="C1639" t="s">
        <v>2903</v>
      </c>
      <c r="E1639" t="s">
        <v>1498</v>
      </c>
    </row>
    <row r="1640" spans="1:5" x14ac:dyDescent="0.2">
      <c r="A1640" t="s">
        <v>1508</v>
      </c>
      <c r="B1640" t="s">
        <v>2904</v>
      </c>
      <c r="C1640" t="s">
        <v>2905</v>
      </c>
      <c r="E1640" t="s">
        <v>1500</v>
      </c>
    </row>
    <row r="1641" spans="1:5" x14ac:dyDescent="0.2">
      <c r="A1641" t="s">
        <v>1508</v>
      </c>
      <c r="B1641" t="s">
        <v>2906</v>
      </c>
      <c r="C1641" t="s">
        <v>2907</v>
      </c>
      <c r="E1641" t="s">
        <v>1500</v>
      </c>
    </row>
    <row r="1642" spans="1:5" x14ac:dyDescent="0.2">
      <c r="A1642" t="s">
        <v>1508</v>
      </c>
      <c r="B1642" t="s">
        <v>2908</v>
      </c>
      <c r="C1642" t="s">
        <v>2909</v>
      </c>
      <c r="E1642" t="s">
        <v>1500</v>
      </c>
    </row>
    <row r="1643" spans="1:5" x14ac:dyDescent="0.2">
      <c r="A1643" t="s">
        <v>1508</v>
      </c>
      <c r="B1643" t="s">
        <v>2910</v>
      </c>
      <c r="C1643" t="s">
        <v>2911</v>
      </c>
      <c r="E1643" t="s">
        <v>1500</v>
      </c>
    </row>
    <row r="1644" spans="1:5" x14ac:dyDescent="0.2">
      <c r="A1644" t="s">
        <v>1508</v>
      </c>
      <c r="B1644" t="s">
        <v>2912</v>
      </c>
      <c r="C1644" t="s">
        <v>2913</v>
      </c>
      <c r="E1644" t="s">
        <v>1500</v>
      </c>
    </row>
    <row r="1645" spans="1:5" x14ac:dyDescent="0.2">
      <c r="A1645" t="s">
        <v>1508</v>
      </c>
      <c r="B1645" t="s">
        <v>2914</v>
      </c>
      <c r="C1645" t="s">
        <v>2915</v>
      </c>
      <c r="E1645" t="s">
        <v>1500</v>
      </c>
    </row>
    <row r="1646" spans="1:5" x14ac:dyDescent="0.2">
      <c r="A1646" t="s">
        <v>1508</v>
      </c>
      <c r="B1646" t="s">
        <v>2916</v>
      </c>
      <c r="C1646" t="s">
        <v>2917</v>
      </c>
      <c r="E1646" t="s">
        <v>1500</v>
      </c>
    </row>
    <row r="1647" spans="1:5" x14ac:dyDescent="0.2">
      <c r="A1647" t="s">
        <v>1508</v>
      </c>
      <c r="B1647" t="s">
        <v>2918</v>
      </c>
      <c r="C1647" t="s">
        <v>2919</v>
      </c>
      <c r="E1647" t="s">
        <v>1500</v>
      </c>
    </row>
    <row r="1648" spans="1:5" x14ac:dyDescent="0.2">
      <c r="A1648" t="s">
        <v>1508</v>
      </c>
      <c r="B1648" t="s">
        <v>2920</v>
      </c>
      <c r="C1648" t="s">
        <v>2921</v>
      </c>
      <c r="E1648" t="s">
        <v>1500</v>
      </c>
    </row>
    <row r="1649" spans="1:5" x14ac:dyDescent="0.2">
      <c r="A1649" t="s">
        <v>1508</v>
      </c>
      <c r="B1649" t="s">
        <v>2922</v>
      </c>
      <c r="C1649" t="s">
        <v>2923</v>
      </c>
      <c r="E1649" t="s">
        <v>1500</v>
      </c>
    </row>
    <row r="1650" spans="1:5" x14ac:dyDescent="0.2">
      <c r="A1650" t="s">
        <v>1508</v>
      </c>
      <c r="B1650" t="s">
        <v>2924</v>
      </c>
      <c r="C1650" t="s">
        <v>2925</v>
      </c>
      <c r="E1650" t="s">
        <v>1500</v>
      </c>
    </row>
    <row r="1651" spans="1:5" x14ac:dyDescent="0.2">
      <c r="A1651" t="s">
        <v>1508</v>
      </c>
      <c r="B1651" t="s">
        <v>2926</v>
      </c>
      <c r="C1651" t="s">
        <v>2927</v>
      </c>
      <c r="E1651" t="s">
        <v>1500</v>
      </c>
    </row>
    <row r="1652" spans="1:5" x14ac:dyDescent="0.2">
      <c r="A1652" t="s">
        <v>1508</v>
      </c>
      <c r="B1652" t="s">
        <v>2928</v>
      </c>
      <c r="C1652" t="s">
        <v>2929</v>
      </c>
      <c r="E1652" t="s">
        <v>1500</v>
      </c>
    </row>
    <row r="1653" spans="1:5" x14ac:dyDescent="0.2">
      <c r="A1653" t="s">
        <v>1508</v>
      </c>
      <c r="B1653" t="s">
        <v>2930</v>
      </c>
      <c r="C1653" t="s">
        <v>2931</v>
      </c>
      <c r="E1653" t="s">
        <v>1500</v>
      </c>
    </row>
    <row r="1654" spans="1:5" x14ac:dyDescent="0.2">
      <c r="A1654" t="s">
        <v>1508</v>
      </c>
      <c r="B1654" t="s">
        <v>2932</v>
      </c>
      <c r="C1654" t="s">
        <v>2933</v>
      </c>
      <c r="E1654" t="s">
        <v>1500</v>
      </c>
    </row>
    <row r="1655" spans="1:5" x14ac:dyDescent="0.2">
      <c r="A1655" t="s">
        <v>1508</v>
      </c>
      <c r="B1655" t="s">
        <v>2934</v>
      </c>
      <c r="C1655" t="s">
        <v>2935</v>
      </c>
      <c r="E1655" t="s">
        <v>1500</v>
      </c>
    </row>
    <row r="1656" spans="1:5" x14ac:dyDescent="0.2">
      <c r="A1656" t="s">
        <v>1508</v>
      </c>
      <c r="B1656" t="s">
        <v>2936</v>
      </c>
      <c r="C1656" t="s">
        <v>2937</v>
      </c>
      <c r="E1656" t="s">
        <v>1500</v>
      </c>
    </row>
    <row r="1657" spans="1:5" x14ac:dyDescent="0.2">
      <c r="A1657" t="s">
        <v>1508</v>
      </c>
      <c r="B1657" t="s">
        <v>2938</v>
      </c>
      <c r="C1657" t="s">
        <v>2939</v>
      </c>
      <c r="E1657" t="s">
        <v>1500</v>
      </c>
    </row>
    <row r="1658" spans="1:5" x14ac:dyDescent="0.2">
      <c r="A1658" t="s">
        <v>1508</v>
      </c>
      <c r="B1658" t="s">
        <v>2940</v>
      </c>
      <c r="C1658" t="s">
        <v>2941</v>
      </c>
      <c r="E1658" t="s">
        <v>1500</v>
      </c>
    </row>
    <row r="1659" spans="1:5" x14ac:dyDescent="0.2">
      <c r="A1659" t="s">
        <v>1508</v>
      </c>
      <c r="B1659" t="s">
        <v>2942</v>
      </c>
      <c r="C1659" t="s">
        <v>2943</v>
      </c>
      <c r="E1659" t="s">
        <v>1500</v>
      </c>
    </row>
    <row r="1660" spans="1:5" x14ac:dyDescent="0.2">
      <c r="A1660" t="s">
        <v>1508</v>
      </c>
      <c r="B1660" t="s">
        <v>2944</v>
      </c>
      <c r="C1660" t="s">
        <v>2945</v>
      </c>
      <c r="E1660" t="s">
        <v>1500</v>
      </c>
    </row>
    <row r="1661" spans="1:5" x14ac:dyDescent="0.2">
      <c r="A1661" t="s">
        <v>1508</v>
      </c>
      <c r="B1661" t="s">
        <v>2946</v>
      </c>
      <c r="C1661" t="s">
        <v>2947</v>
      </c>
      <c r="E1661" t="s">
        <v>1500</v>
      </c>
    </row>
    <row r="1662" spans="1:5" x14ac:dyDescent="0.2">
      <c r="A1662" t="s">
        <v>1508</v>
      </c>
      <c r="B1662" t="s">
        <v>2948</v>
      </c>
      <c r="C1662" t="s">
        <v>2949</v>
      </c>
      <c r="E1662" t="s">
        <v>1500</v>
      </c>
    </row>
    <row r="1663" spans="1:5" x14ac:dyDescent="0.2">
      <c r="A1663" t="s">
        <v>1508</v>
      </c>
      <c r="B1663" t="s">
        <v>2950</v>
      </c>
      <c r="C1663" t="s">
        <v>2951</v>
      </c>
      <c r="E1663" t="s">
        <v>1502</v>
      </c>
    </row>
    <row r="1664" spans="1:5" x14ac:dyDescent="0.2">
      <c r="A1664" t="s">
        <v>1508</v>
      </c>
      <c r="B1664" t="s">
        <v>2952</v>
      </c>
      <c r="C1664" t="s">
        <v>2953</v>
      </c>
      <c r="E1664" t="s">
        <v>1502</v>
      </c>
    </row>
    <row r="1665" spans="1:5" x14ac:dyDescent="0.2">
      <c r="A1665" t="s">
        <v>1508</v>
      </c>
      <c r="B1665" t="s">
        <v>2954</v>
      </c>
      <c r="C1665" t="s">
        <v>2955</v>
      </c>
      <c r="E1665" t="s">
        <v>1502</v>
      </c>
    </row>
    <row r="1666" spans="1:5" x14ac:dyDescent="0.2">
      <c r="A1666" t="s">
        <v>1508</v>
      </c>
      <c r="B1666" t="s">
        <v>2956</v>
      </c>
      <c r="C1666" t="s">
        <v>2957</v>
      </c>
      <c r="E1666" t="s">
        <v>1502</v>
      </c>
    </row>
    <row r="1667" spans="1:5" x14ac:dyDescent="0.2">
      <c r="A1667" t="s">
        <v>1508</v>
      </c>
      <c r="B1667" t="s">
        <v>2958</v>
      </c>
      <c r="C1667" t="s">
        <v>2959</v>
      </c>
      <c r="E1667" t="s">
        <v>1502</v>
      </c>
    </row>
    <row r="1668" spans="1:5" x14ac:dyDescent="0.2">
      <c r="A1668" t="s">
        <v>1508</v>
      </c>
      <c r="B1668" t="s">
        <v>2960</v>
      </c>
      <c r="C1668" t="s">
        <v>2961</v>
      </c>
      <c r="E1668" t="s">
        <v>1502</v>
      </c>
    </row>
    <row r="1669" spans="1:5" x14ac:dyDescent="0.2">
      <c r="A1669" t="s">
        <v>1508</v>
      </c>
      <c r="B1669" t="s">
        <v>2962</v>
      </c>
      <c r="C1669" t="s">
        <v>2963</v>
      </c>
      <c r="E1669" t="s">
        <v>1502</v>
      </c>
    </row>
    <row r="1670" spans="1:5" x14ac:dyDescent="0.2">
      <c r="A1670" t="s">
        <v>1508</v>
      </c>
      <c r="B1670" t="s">
        <v>2964</v>
      </c>
      <c r="C1670" t="s">
        <v>2965</v>
      </c>
      <c r="E1670" t="s">
        <v>1502</v>
      </c>
    </row>
    <row r="1671" spans="1:5" x14ac:dyDescent="0.2">
      <c r="A1671" t="s">
        <v>1508</v>
      </c>
      <c r="B1671" t="s">
        <v>2966</v>
      </c>
      <c r="C1671" t="s">
        <v>2967</v>
      </c>
      <c r="E1671" t="s">
        <v>1502</v>
      </c>
    </row>
    <row r="1672" spans="1:5" x14ac:dyDescent="0.2">
      <c r="A1672" t="s">
        <v>1508</v>
      </c>
      <c r="B1672" t="s">
        <v>2968</v>
      </c>
      <c r="C1672" t="s">
        <v>2969</v>
      </c>
      <c r="E1672" t="s">
        <v>1502</v>
      </c>
    </row>
    <row r="1673" spans="1:5" x14ac:dyDescent="0.2">
      <c r="A1673" t="s">
        <v>1508</v>
      </c>
      <c r="B1673" t="s">
        <v>2970</v>
      </c>
      <c r="C1673" t="s">
        <v>2971</v>
      </c>
      <c r="E1673" t="s">
        <v>1502</v>
      </c>
    </row>
    <row r="1674" spans="1:5" x14ac:dyDescent="0.2">
      <c r="A1674" t="s">
        <v>1508</v>
      </c>
      <c r="B1674" t="s">
        <v>2972</v>
      </c>
      <c r="C1674" t="s">
        <v>2973</v>
      </c>
      <c r="E1674" t="s">
        <v>1502</v>
      </c>
    </row>
    <row r="1675" spans="1:5" x14ac:dyDescent="0.2">
      <c r="A1675" t="s">
        <v>1508</v>
      </c>
      <c r="B1675" t="s">
        <v>2974</v>
      </c>
      <c r="C1675" t="s">
        <v>2975</v>
      </c>
      <c r="E1675" t="s">
        <v>1502</v>
      </c>
    </row>
    <row r="1676" spans="1:5" x14ac:dyDescent="0.2">
      <c r="A1676" t="s">
        <v>1508</v>
      </c>
      <c r="B1676" t="s">
        <v>2976</v>
      </c>
      <c r="C1676" t="s">
        <v>2977</v>
      </c>
      <c r="E1676" t="s">
        <v>1502</v>
      </c>
    </row>
    <row r="1677" spans="1:5" x14ac:dyDescent="0.2">
      <c r="A1677" t="s">
        <v>1508</v>
      </c>
      <c r="B1677" t="s">
        <v>2978</v>
      </c>
      <c r="C1677" t="s">
        <v>2979</v>
      </c>
      <c r="E1677" t="s">
        <v>1502</v>
      </c>
    </row>
    <row r="1678" spans="1:5" x14ac:dyDescent="0.2">
      <c r="A1678" t="s">
        <v>1508</v>
      </c>
      <c r="B1678" t="s">
        <v>2980</v>
      </c>
      <c r="C1678" t="s">
        <v>2981</v>
      </c>
      <c r="E1678" t="s">
        <v>1502</v>
      </c>
    </row>
    <row r="1679" spans="1:5" x14ac:dyDescent="0.2">
      <c r="A1679" t="s">
        <v>1508</v>
      </c>
      <c r="B1679" t="s">
        <v>2982</v>
      </c>
      <c r="C1679" t="s">
        <v>2983</v>
      </c>
      <c r="E1679" t="s">
        <v>1504</v>
      </c>
    </row>
    <row r="1680" spans="1:5" x14ac:dyDescent="0.2">
      <c r="A1680" t="s">
        <v>1508</v>
      </c>
      <c r="B1680" t="s">
        <v>2984</v>
      </c>
      <c r="C1680" t="s">
        <v>2985</v>
      </c>
      <c r="E1680" t="s">
        <v>1504</v>
      </c>
    </row>
    <row r="1681" spans="1:5" x14ac:dyDescent="0.2">
      <c r="A1681" t="s">
        <v>1508</v>
      </c>
      <c r="B1681" t="s">
        <v>2986</v>
      </c>
      <c r="C1681" t="s">
        <v>2987</v>
      </c>
      <c r="E1681" t="s">
        <v>1504</v>
      </c>
    </row>
    <row r="1682" spans="1:5" x14ac:dyDescent="0.2">
      <c r="A1682" t="s">
        <v>1508</v>
      </c>
      <c r="B1682" t="s">
        <v>2988</v>
      </c>
      <c r="C1682" t="s">
        <v>2989</v>
      </c>
      <c r="E1682" t="s">
        <v>1504</v>
      </c>
    </row>
    <row r="1683" spans="1:5" x14ac:dyDescent="0.2">
      <c r="A1683" t="s">
        <v>1508</v>
      </c>
      <c r="B1683" t="s">
        <v>2990</v>
      </c>
      <c r="C1683" t="s">
        <v>2991</v>
      </c>
      <c r="E1683" t="s">
        <v>1504</v>
      </c>
    </row>
    <row r="1684" spans="1:5" x14ac:dyDescent="0.2">
      <c r="A1684" t="s">
        <v>1508</v>
      </c>
      <c r="B1684" t="s">
        <v>2992</v>
      </c>
      <c r="C1684" t="s">
        <v>2993</v>
      </c>
      <c r="E1684" t="s">
        <v>1504</v>
      </c>
    </row>
    <row r="1685" spans="1:5" x14ac:dyDescent="0.2">
      <c r="A1685" t="s">
        <v>1508</v>
      </c>
      <c r="B1685" t="s">
        <v>2994</v>
      </c>
      <c r="C1685" t="s">
        <v>2995</v>
      </c>
      <c r="E1685" t="s">
        <v>1504</v>
      </c>
    </row>
    <row r="1686" spans="1:5" x14ac:dyDescent="0.2">
      <c r="A1686" t="s">
        <v>1508</v>
      </c>
      <c r="B1686" t="s">
        <v>2996</v>
      </c>
      <c r="C1686" t="s">
        <v>2997</v>
      </c>
      <c r="E1686" t="s">
        <v>1504</v>
      </c>
    </row>
    <row r="1687" spans="1:5" x14ac:dyDescent="0.2">
      <c r="A1687" t="s">
        <v>1508</v>
      </c>
      <c r="B1687" t="s">
        <v>2998</v>
      </c>
      <c r="C1687" t="s">
        <v>2999</v>
      </c>
      <c r="E1687" t="s">
        <v>1504</v>
      </c>
    </row>
    <row r="1688" spans="1:5" x14ac:dyDescent="0.2">
      <c r="A1688" t="s">
        <v>1508</v>
      </c>
      <c r="B1688" t="s">
        <v>3000</v>
      </c>
      <c r="C1688" t="s">
        <v>3001</v>
      </c>
      <c r="E1688" t="s">
        <v>1504</v>
      </c>
    </row>
    <row r="1689" spans="1:5" x14ac:dyDescent="0.2">
      <c r="A1689" t="s">
        <v>1508</v>
      </c>
      <c r="B1689" t="s">
        <v>3002</v>
      </c>
      <c r="C1689" t="s">
        <v>3003</v>
      </c>
      <c r="E1689" t="s">
        <v>1504</v>
      </c>
    </row>
    <row r="1690" spans="1:5" x14ac:dyDescent="0.2">
      <c r="A1690" t="s">
        <v>1508</v>
      </c>
      <c r="B1690" t="s">
        <v>3004</v>
      </c>
      <c r="C1690" t="s">
        <v>3005</v>
      </c>
      <c r="E1690" t="s">
        <v>1504</v>
      </c>
    </row>
    <row r="1691" spans="1:5" x14ac:dyDescent="0.2">
      <c r="A1691" t="s">
        <v>1508</v>
      </c>
      <c r="B1691" t="s">
        <v>3006</v>
      </c>
      <c r="C1691" t="s">
        <v>3007</v>
      </c>
      <c r="E1691" t="s">
        <v>1504</v>
      </c>
    </row>
    <row r="1692" spans="1:5" x14ac:dyDescent="0.2">
      <c r="A1692" t="s">
        <v>1508</v>
      </c>
      <c r="B1692" t="s">
        <v>3008</v>
      </c>
      <c r="C1692" t="s">
        <v>3009</v>
      </c>
      <c r="E1692" t="s">
        <v>1504</v>
      </c>
    </row>
    <row r="1693" spans="1:5" x14ac:dyDescent="0.2">
      <c r="A1693" t="s">
        <v>1508</v>
      </c>
      <c r="B1693" t="s">
        <v>3010</v>
      </c>
      <c r="C1693" t="s">
        <v>3011</v>
      </c>
      <c r="E1693" t="s">
        <v>1504</v>
      </c>
    </row>
    <row r="1694" spans="1:5" x14ac:dyDescent="0.2">
      <c r="A1694" t="s">
        <v>1508</v>
      </c>
      <c r="B1694" t="s">
        <v>3012</v>
      </c>
      <c r="C1694" t="s">
        <v>3013</v>
      </c>
      <c r="E1694" t="s">
        <v>1504</v>
      </c>
    </row>
    <row r="1695" spans="1:5" x14ac:dyDescent="0.2">
      <c r="A1695" t="s">
        <v>1508</v>
      </c>
      <c r="B1695" t="s">
        <v>3014</v>
      </c>
      <c r="C1695" t="s">
        <v>3015</v>
      </c>
      <c r="E1695" t="s">
        <v>1504</v>
      </c>
    </row>
    <row r="1696" spans="1:5" x14ac:dyDescent="0.2">
      <c r="A1696" t="s">
        <v>1508</v>
      </c>
      <c r="B1696" t="s">
        <v>3016</v>
      </c>
      <c r="C1696" t="s">
        <v>3017</v>
      </c>
      <c r="E1696" t="s">
        <v>1506</v>
      </c>
    </row>
    <row r="1697" spans="1:5" x14ac:dyDescent="0.2">
      <c r="A1697" t="s">
        <v>1508</v>
      </c>
      <c r="B1697" t="s">
        <v>3018</v>
      </c>
      <c r="C1697" t="s">
        <v>3019</v>
      </c>
      <c r="E1697" t="s">
        <v>1506</v>
      </c>
    </row>
    <row r="1698" spans="1:5" x14ac:dyDescent="0.2">
      <c r="A1698" t="s">
        <v>1508</v>
      </c>
      <c r="B1698" t="s">
        <v>3020</v>
      </c>
      <c r="C1698" t="s">
        <v>3021</v>
      </c>
      <c r="E1698" t="s">
        <v>1506</v>
      </c>
    </row>
    <row r="1699" spans="1:5" x14ac:dyDescent="0.2">
      <c r="A1699" t="s">
        <v>1508</v>
      </c>
      <c r="B1699" t="s">
        <v>3022</v>
      </c>
      <c r="C1699" t="s">
        <v>3023</v>
      </c>
      <c r="E1699" t="s">
        <v>1506</v>
      </c>
    </row>
    <row r="1700" spans="1:5" x14ac:dyDescent="0.2">
      <c r="A1700" t="s">
        <v>1508</v>
      </c>
      <c r="B1700" t="s">
        <v>3024</v>
      </c>
      <c r="C1700" t="s">
        <v>3025</v>
      </c>
      <c r="E1700" t="s">
        <v>1506</v>
      </c>
    </row>
    <row r="1701" spans="1:5" x14ac:dyDescent="0.2">
      <c r="A1701" t="s">
        <v>1508</v>
      </c>
      <c r="B1701" t="s">
        <v>3026</v>
      </c>
      <c r="C1701" t="s">
        <v>3027</v>
      </c>
      <c r="E1701" t="s">
        <v>1506</v>
      </c>
    </row>
    <row r="1702" spans="1:5" x14ac:dyDescent="0.2">
      <c r="A1702" t="s">
        <v>1508</v>
      </c>
      <c r="B1702" t="s">
        <v>3028</v>
      </c>
      <c r="C1702" t="s">
        <v>3029</v>
      </c>
      <c r="E1702" t="s">
        <v>1506</v>
      </c>
    </row>
    <row r="1703" spans="1:5" x14ac:dyDescent="0.2">
      <c r="A1703" t="s">
        <v>1508</v>
      </c>
      <c r="B1703" t="s">
        <v>3030</v>
      </c>
      <c r="C1703" t="s">
        <v>3031</v>
      </c>
      <c r="E1703" t="s">
        <v>1506</v>
      </c>
    </row>
    <row r="1704" spans="1:5" x14ac:dyDescent="0.2">
      <c r="A1704" t="s">
        <v>1508</v>
      </c>
      <c r="B1704" t="s">
        <v>3032</v>
      </c>
      <c r="C1704" t="s">
        <v>3033</v>
      </c>
      <c r="E1704" t="s">
        <v>1506</v>
      </c>
    </row>
    <row r="1705" spans="1:5" x14ac:dyDescent="0.2">
      <c r="A1705" t="s">
        <v>1508</v>
      </c>
      <c r="B1705" t="s">
        <v>3034</v>
      </c>
      <c r="C1705" t="s">
        <v>3035</v>
      </c>
      <c r="E1705" t="s">
        <v>1506</v>
      </c>
    </row>
    <row r="1706" spans="1:5" x14ac:dyDescent="0.2">
      <c r="A1706" t="s">
        <v>1508</v>
      </c>
      <c r="B1706" t="s">
        <v>3036</v>
      </c>
      <c r="C1706" t="s">
        <v>3037</v>
      </c>
      <c r="E1706" t="s">
        <v>1506</v>
      </c>
    </row>
    <row r="1707" spans="1:5" x14ac:dyDescent="0.2">
      <c r="A1707" t="s">
        <v>1508</v>
      </c>
      <c r="B1707" t="s">
        <v>3038</v>
      </c>
      <c r="C1707" t="s">
        <v>3039</v>
      </c>
      <c r="E1707" t="s">
        <v>1506</v>
      </c>
    </row>
    <row r="1708" spans="1:5" x14ac:dyDescent="0.2">
      <c r="A1708" t="s">
        <v>1508</v>
      </c>
      <c r="B1708" t="s">
        <v>3040</v>
      </c>
      <c r="C1708" t="s">
        <v>3041</v>
      </c>
      <c r="E1708" t="s">
        <v>1506</v>
      </c>
    </row>
    <row r="1709" spans="1:5" x14ac:dyDescent="0.2">
      <c r="A1709" t="s">
        <v>1508</v>
      </c>
      <c r="B1709" t="s">
        <v>3042</v>
      </c>
      <c r="C1709" t="s">
        <v>3043</v>
      </c>
      <c r="E1709" t="s">
        <v>1506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6640625" defaultRowHeight="15" x14ac:dyDescent="0.2"/>
  <cols>
    <col min="1" max="4" width="28.1640625" style="3" customWidth="1"/>
    <col min="5" max="5" width="8.6640625" style="3" customWidth="1"/>
    <col min="6" max="16384" width="8.6640625" style="3"/>
  </cols>
  <sheetData>
    <row r="1" spans="1:4" s="2" customFormat="1" x14ac:dyDescent="0.2">
      <c r="A1" s="6" t="s">
        <v>3044</v>
      </c>
      <c r="B1" s="6" t="s">
        <v>3045</v>
      </c>
      <c r="C1" s="6" t="s">
        <v>3046</v>
      </c>
      <c r="D1" s="6" t="s">
        <v>3047</v>
      </c>
    </row>
    <row r="2" spans="1:4" x14ac:dyDescent="0.2">
      <c r="A2" s="3" t="s">
        <v>3048</v>
      </c>
      <c r="B2" s="4" t="s">
        <v>3049</v>
      </c>
      <c r="C2" t="s">
        <v>35</v>
      </c>
      <c r="D2" s="3" t="s">
        <v>3050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8" activePane="bottomLeft" state="frozen"/>
      <selection pane="bottomLeft" activeCell="C48" sqref="C48"/>
    </sheetView>
  </sheetViews>
  <sheetFormatPr baseColWidth="10" defaultColWidth="10.6640625" defaultRowHeight="15" x14ac:dyDescent="0.2"/>
  <cols>
    <col min="1" max="2" width="10.6640625" style="141" customWidth="1"/>
    <col min="3" max="3" width="15.1640625" style="155" customWidth="1"/>
    <col min="4" max="4" width="10.6640625" style="156" customWidth="1"/>
    <col min="5" max="5" width="28.6640625" style="157" customWidth="1"/>
    <col min="6" max="6" width="10.6640625" style="141" customWidth="1"/>
    <col min="7" max="16384" width="10.6640625" style="141"/>
  </cols>
  <sheetData>
    <row r="2" spans="2:5" x14ac:dyDescent="0.2">
      <c r="C2" s="142"/>
      <c r="D2" s="143"/>
      <c r="E2" s="144"/>
    </row>
    <row r="3" spans="2:5" ht="29" customHeight="1" x14ac:dyDescent="0.2">
      <c r="B3" s="145"/>
      <c r="C3" s="146" t="s">
        <v>3051</v>
      </c>
      <c r="D3" s="147" t="s">
        <v>3052</v>
      </c>
      <c r="E3" s="148" t="s">
        <v>3053</v>
      </c>
    </row>
    <row r="4" spans="2:5" ht="15.5" customHeight="1" x14ac:dyDescent="0.2">
      <c r="B4" s="145"/>
      <c r="C4" s="9" t="s">
        <v>3054</v>
      </c>
      <c r="D4" s="149" t="s">
        <v>1243</v>
      </c>
      <c r="E4" s="150" t="s">
        <v>1244</v>
      </c>
    </row>
    <row r="5" spans="2:5" ht="15.5" customHeight="1" x14ac:dyDescent="0.2">
      <c r="B5" s="145"/>
      <c r="C5" s="9"/>
      <c r="D5" s="149" t="s">
        <v>1263</v>
      </c>
      <c r="E5" s="150" t="s">
        <v>1264</v>
      </c>
    </row>
    <row r="6" spans="2:5" ht="15.5" customHeight="1" x14ac:dyDescent="0.2">
      <c r="B6" s="145"/>
      <c r="C6" s="9" t="s">
        <v>3054</v>
      </c>
      <c r="D6" s="149" t="s">
        <v>1245</v>
      </c>
      <c r="E6" s="150" t="s">
        <v>1246</v>
      </c>
    </row>
    <row r="7" spans="2:5" ht="15.5" customHeight="1" x14ac:dyDescent="0.2">
      <c r="B7" s="145"/>
      <c r="C7" s="9"/>
      <c r="D7" s="149" t="s">
        <v>1265</v>
      </c>
      <c r="E7" s="150" t="s">
        <v>1266</v>
      </c>
    </row>
    <row r="8" spans="2:5" ht="15.5" customHeight="1" x14ac:dyDescent="0.2">
      <c r="B8" s="145"/>
      <c r="C8" s="9" t="s">
        <v>3054</v>
      </c>
      <c r="D8" s="149" t="s">
        <v>1247</v>
      </c>
      <c r="E8" s="150" t="s">
        <v>1248</v>
      </c>
    </row>
    <row r="9" spans="2:5" ht="15.5" customHeight="1" x14ac:dyDescent="0.2">
      <c r="B9" s="145"/>
      <c r="C9" s="9"/>
      <c r="D9" s="149" t="s">
        <v>1267</v>
      </c>
      <c r="E9" s="150" t="s">
        <v>1268</v>
      </c>
    </row>
    <row r="10" spans="2:5" ht="15.5" customHeight="1" x14ac:dyDescent="0.2">
      <c r="B10" s="145"/>
      <c r="C10" s="183"/>
      <c r="D10" s="149" t="s">
        <v>1269</v>
      </c>
      <c r="E10" s="151" t="s">
        <v>1270</v>
      </c>
    </row>
    <row r="11" spans="2:5" ht="15.5" customHeight="1" x14ac:dyDescent="0.2">
      <c r="B11" s="145"/>
      <c r="C11" s="9"/>
      <c r="D11" s="149" t="s">
        <v>1271</v>
      </c>
      <c r="E11" s="150" t="s">
        <v>1272</v>
      </c>
    </row>
    <row r="12" spans="2:5" ht="15.5" customHeight="1" x14ac:dyDescent="0.2">
      <c r="B12" s="145"/>
      <c r="C12" s="9"/>
      <c r="D12" s="149" t="s">
        <v>1273</v>
      </c>
      <c r="E12" s="150" t="s">
        <v>1274</v>
      </c>
    </row>
    <row r="13" spans="2:5" ht="15.5" customHeight="1" x14ac:dyDescent="0.2">
      <c r="B13" s="145"/>
      <c r="C13" s="9" t="s">
        <v>3054</v>
      </c>
      <c r="D13" s="149" t="s">
        <v>1249</v>
      </c>
      <c r="E13" s="150" t="s">
        <v>1250</v>
      </c>
    </row>
    <row r="14" spans="2:5" ht="15.5" customHeight="1" x14ac:dyDescent="0.2">
      <c r="B14" s="145"/>
      <c r="C14" s="9"/>
      <c r="D14" s="149" t="s">
        <v>1275</v>
      </c>
      <c r="E14" s="150" t="s">
        <v>1276</v>
      </c>
    </row>
    <row r="15" spans="2:5" ht="15.5" customHeight="1" x14ac:dyDescent="0.2">
      <c r="B15" s="145"/>
      <c r="C15" s="9"/>
      <c r="D15" s="149" t="s">
        <v>1277</v>
      </c>
      <c r="E15" s="150" t="s">
        <v>1278</v>
      </c>
    </row>
    <row r="16" spans="2:5" ht="15.5" customHeight="1" x14ac:dyDescent="0.2">
      <c r="B16" s="145"/>
      <c r="C16" s="9"/>
      <c r="D16" s="149" t="s">
        <v>1279</v>
      </c>
      <c r="E16" s="150" t="s">
        <v>1280</v>
      </c>
    </row>
    <row r="17" spans="2:5" ht="15.5" customHeight="1" x14ac:dyDescent="0.2">
      <c r="B17" s="145"/>
      <c r="C17" s="183"/>
      <c r="D17" s="149" t="s">
        <v>1281</v>
      </c>
      <c r="E17" s="151" t="s">
        <v>1282</v>
      </c>
    </row>
    <row r="18" spans="2:5" ht="15.5" customHeight="1" x14ac:dyDescent="0.2">
      <c r="B18" s="145"/>
      <c r="C18" s="9" t="s">
        <v>3054</v>
      </c>
      <c r="D18" s="149" t="s">
        <v>1251</v>
      </c>
      <c r="E18" s="150" t="s">
        <v>1252</v>
      </c>
    </row>
    <row r="19" spans="2:5" ht="15.5" customHeight="1" x14ac:dyDescent="0.2">
      <c r="B19" s="145"/>
      <c r="C19" s="9"/>
      <c r="D19" s="149" t="s">
        <v>1283</v>
      </c>
      <c r="E19" s="150" t="s">
        <v>1284</v>
      </c>
    </row>
    <row r="20" spans="2:5" ht="15.5" customHeight="1" x14ac:dyDescent="0.2">
      <c r="B20" s="145"/>
      <c r="C20" s="9"/>
      <c r="D20" s="149" t="s">
        <v>1285</v>
      </c>
      <c r="E20" s="150" t="s">
        <v>1286</v>
      </c>
    </row>
    <row r="21" spans="2:5" ht="15.5" customHeight="1" x14ac:dyDescent="0.2">
      <c r="B21" s="145"/>
      <c r="C21" s="9"/>
      <c r="D21" s="149" t="s">
        <v>1287</v>
      </c>
      <c r="E21" s="150" t="s">
        <v>1288</v>
      </c>
    </row>
    <row r="22" spans="2:5" ht="15.5" customHeight="1" x14ac:dyDescent="0.2">
      <c r="B22" s="145"/>
      <c r="C22" s="9"/>
      <c r="D22" s="149" t="s">
        <v>1289</v>
      </c>
      <c r="E22" s="150" t="s">
        <v>1290</v>
      </c>
    </row>
    <row r="23" spans="2:5" ht="15.5" customHeight="1" x14ac:dyDescent="0.2">
      <c r="B23" s="145"/>
      <c r="C23" s="9"/>
      <c r="D23" s="149" t="s">
        <v>1291</v>
      </c>
      <c r="E23" s="150" t="s">
        <v>1292</v>
      </c>
    </row>
    <row r="24" spans="2:5" ht="15.5" customHeight="1" x14ac:dyDescent="0.2">
      <c r="B24" s="145"/>
      <c r="C24" s="9"/>
      <c r="D24" s="149" t="s">
        <v>1293</v>
      </c>
      <c r="E24" s="150" t="s">
        <v>1294</v>
      </c>
    </row>
    <row r="25" spans="2:5" ht="15.5" customHeight="1" x14ac:dyDescent="0.2">
      <c r="B25" s="145"/>
      <c r="C25" s="183"/>
      <c r="D25" s="149" t="s">
        <v>1295</v>
      </c>
      <c r="E25" s="151" t="s">
        <v>1296</v>
      </c>
    </row>
    <row r="26" spans="2:5" ht="15.5" customHeight="1" x14ac:dyDescent="0.2">
      <c r="B26" s="145"/>
      <c r="C26" s="9" t="s">
        <v>3054</v>
      </c>
      <c r="D26" s="149" t="s">
        <v>1253</v>
      </c>
      <c r="E26" s="150" t="s">
        <v>1254</v>
      </c>
    </row>
    <row r="27" spans="2:5" ht="15.5" customHeight="1" x14ac:dyDescent="0.2">
      <c r="B27" s="145"/>
      <c r="C27" s="9"/>
      <c r="D27" s="149" t="s">
        <v>1299</v>
      </c>
      <c r="E27" s="150" t="s">
        <v>1300</v>
      </c>
    </row>
    <row r="28" spans="2:5" ht="15.5" customHeight="1" x14ac:dyDescent="0.2">
      <c r="B28" s="145"/>
      <c r="C28" s="9"/>
      <c r="D28" s="149" t="s">
        <v>1301</v>
      </c>
      <c r="E28" s="150" t="s">
        <v>1302</v>
      </c>
    </row>
    <row r="29" spans="2:5" ht="15.5" customHeight="1" x14ac:dyDescent="0.2">
      <c r="B29" s="145"/>
      <c r="C29" s="9"/>
      <c r="D29" s="149" t="s">
        <v>1303</v>
      </c>
      <c r="E29" s="150" t="s">
        <v>1304</v>
      </c>
    </row>
    <row r="30" spans="2:5" ht="15.5" customHeight="1" x14ac:dyDescent="0.2">
      <c r="B30" s="145"/>
      <c r="C30" s="9"/>
      <c r="D30" s="149" t="s">
        <v>1305</v>
      </c>
      <c r="E30" s="150" t="s">
        <v>1306</v>
      </c>
    </row>
    <row r="31" spans="2:5" ht="15.5" customHeight="1" x14ac:dyDescent="0.2">
      <c r="B31" s="145"/>
      <c r="C31" s="9"/>
      <c r="D31" s="149" t="s">
        <v>1307</v>
      </c>
      <c r="E31" s="150" t="s">
        <v>1308</v>
      </c>
    </row>
    <row r="32" spans="2:5" ht="15.5" customHeight="1" x14ac:dyDescent="0.2">
      <c r="B32" s="145"/>
      <c r="C32" s="9"/>
      <c r="D32" s="149" t="s">
        <v>1309</v>
      </c>
      <c r="E32" s="150" t="s">
        <v>1310</v>
      </c>
    </row>
    <row r="33" spans="2:5" ht="29" customHeight="1" x14ac:dyDescent="0.2">
      <c r="B33" s="145"/>
      <c r="C33" s="9"/>
      <c r="D33" s="149" t="s">
        <v>1311</v>
      </c>
      <c r="E33" s="150" t="s">
        <v>1312</v>
      </c>
    </row>
    <row r="34" spans="2:5" ht="15.5" customHeight="1" x14ac:dyDescent="0.2">
      <c r="B34" s="145"/>
      <c r="C34" s="9"/>
      <c r="D34" s="149" t="s">
        <v>1297</v>
      </c>
      <c r="E34" s="150" t="s">
        <v>1298</v>
      </c>
    </row>
    <row r="35" spans="2:5" ht="15.5" customHeight="1" x14ac:dyDescent="0.2">
      <c r="B35" s="145"/>
      <c r="C35" s="183"/>
      <c r="D35" s="149" t="s">
        <v>1313</v>
      </c>
      <c r="E35" s="151" t="s">
        <v>1314</v>
      </c>
    </row>
    <row r="36" spans="2:5" ht="15.5" customHeight="1" x14ac:dyDescent="0.2">
      <c r="B36" s="145"/>
      <c r="C36" s="9"/>
      <c r="D36" s="149" t="s">
        <v>1315</v>
      </c>
      <c r="E36" s="150" t="s">
        <v>1316</v>
      </c>
    </row>
    <row r="37" spans="2:5" ht="15.5" customHeight="1" x14ac:dyDescent="0.2">
      <c r="B37" s="145"/>
      <c r="C37" s="9"/>
      <c r="D37" s="149" t="s">
        <v>1321</v>
      </c>
      <c r="E37" s="150" t="s">
        <v>1322</v>
      </c>
    </row>
    <row r="38" spans="2:5" ht="15.5" customHeight="1" x14ac:dyDescent="0.2">
      <c r="B38" s="145"/>
      <c r="C38" s="9"/>
      <c r="D38" s="149" t="s">
        <v>1323</v>
      </c>
      <c r="E38" s="150" t="s">
        <v>1324</v>
      </c>
    </row>
    <row r="39" spans="2:5" ht="15.5" customHeight="1" x14ac:dyDescent="0.2">
      <c r="B39" s="145"/>
      <c r="C39" s="9"/>
      <c r="D39" s="149" t="s">
        <v>1325</v>
      </c>
      <c r="E39" s="150" t="s">
        <v>1326</v>
      </c>
    </row>
    <row r="40" spans="2:5" ht="15.5" customHeight="1" x14ac:dyDescent="0.2">
      <c r="B40" s="145"/>
      <c r="C40" s="9"/>
      <c r="D40" s="149" t="s">
        <v>1327</v>
      </c>
      <c r="E40" s="150" t="s">
        <v>1328</v>
      </c>
    </row>
    <row r="41" spans="2:5" ht="15.5" customHeight="1" x14ac:dyDescent="0.2">
      <c r="B41" s="145"/>
      <c r="C41" s="9"/>
      <c r="D41" s="149" t="s">
        <v>1329</v>
      </c>
      <c r="E41" s="150" t="s">
        <v>1330</v>
      </c>
    </row>
    <row r="42" spans="2:5" ht="15.5" customHeight="1" x14ac:dyDescent="0.2">
      <c r="B42" s="145"/>
      <c r="C42" s="9"/>
      <c r="D42" s="149" t="s">
        <v>1331</v>
      </c>
      <c r="E42" s="150" t="s">
        <v>1332</v>
      </c>
    </row>
    <row r="43" spans="2:5" ht="15.5" customHeight="1" x14ac:dyDescent="0.2">
      <c r="B43" s="145"/>
      <c r="C43" s="9" t="s">
        <v>3054</v>
      </c>
      <c r="D43" s="149" t="s">
        <v>1255</v>
      </c>
      <c r="E43" s="150" t="s">
        <v>1256</v>
      </c>
    </row>
    <row r="44" spans="2:5" ht="15.5" customHeight="1" x14ac:dyDescent="0.2">
      <c r="B44" s="145"/>
      <c r="C44" s="9"/>
      <c r="D44" s="149" t="s">
        <v>1333</v>
      </c>
      <c r="E44" s="150" t="s">
        <v>1334</v>
      </c>
    </row>
    <row r="45" spans="2:5" ht="15.5" customHeight="1" x14ac:dyDescent="0.2">
      <c r="B45" s="145"/>
      <c r="C45" s="9"/>
      <c r="D45" s="149" t="s">
        <v>1317</v>
      </c>
      <c r="E45" s="150" t="s">
        <v>1318</v>
      </c>
    </row>
    <row r="46" spans="2:5" ht="15.5" customHeight="1" x14ac:dyDescent="0.2">
      <c r="B46" s="145"/>
      <c r="C46" s="9"/>
      <c r="D46" s="149" t="s">
        <v>1319</v>
      </c>
      <c r="E46" s="150" t="s">
        <v>1320</v>
      </c>
    </row>
    <row r="47" spans="2:5" ht="15.5" customHeight="1" x14ac:dyDescent="0.2">
      <c r="B47" s="145"/>
      <c r="C47" s="183"/>
      <c r="D47" s="149" t="s">
        <v>1335</v>
      </c>
      <c r="E47" s="151" t="s">
        <v>1336</v>
      </c>
    </row>
    <row r="48" spans="2:5" ht="15.5" customHeight="1" x14ac:dyDescent="0.2">
      <c r="B48" s="145"/>
      <c r="C48" s="9"/>
      <c r="D48" s="149" t="s">
        <v>1337</v>
      </c>
      <c r="E48" s="150" t="s">
        <v>1338</v>
      </c>
    </row>
    <row r="49" spans="2:5" ht="15.5" customHeight="1" x14ac:dyDescent="0.2">
      <c r="B49" s="145"/>
      <c r="C49" s="9"/>
      <c r="D49" s="149" t="s">
        <v>1339</v>
      </c>
      <c r="E49" s="150" t="s">
        <v>1340</v>
      </c>
    </row>
    <row r="50" spans="2:5" ht="15.5" customHeight="1" x14ac:dyDescent="0.2">
      <c r="B50" s="145"/>
      <c r="C50" s="9"/>
      <c r="D50" s="149" t="s">
        <v>1341</v>
      </c>
      <c r="E50" s="150" t="s">
        <v>1342</v>
      </c>
    </row>
    <row r="51" spans="2:5" ht="15.5" customHeight="1" x14ac:dyDescent="0.2">
      <c r="B51" s="145"/>
      <c r="C51" s="9"/>
      <c r="D51" s="149" t="s">
        <v>1343</v>
      </c>
      <c r="E51" s="150" t="s">
        <v>1344</v>
      </c>
    </row>
    <row r="52" spans="2:5" ht="15.5" customHeight="1" x14ac:dyDescent="0.2">
      <c r="B52" s="145"/>
      <c r="C52" s="183"/>
      <c r="D52" s="149" t="s">
        <v>1345</v>
      </c>
      <c r="E52" s="151" t="s">
        <v>1346</v>
      </c>
    </row>
    <row r="53" spans="2:5" ht="15.5" customHeight="1" x14ac:dyDescent="0.2">
      <c r="B53" s="145"/>
      <c r="C53" s="9"/>
      <c r="D53" s="149" t="s">
        <v>1347</v>
      </c>
      <c r="E53" s="150" t="s">
        <v>1348</v>
      </c>
    </row>
    <row r="54" spans="2:5" ht="15.5" customHeight="1" x14ac:dyDescent="0.2">
      <c r="B54" s="145"/>
      <c r="C54" s="9"/>
      <c r="D54" s="149" t="s">
        <v>1367</v>
      </c>
      <c r="E54" s="150" t="s">
        <v>1368</v>
      </c>
    </row>
    <row r="55" spans="2:5" ht="15.5" customHeight="1" x14ac:dyDescent="0.2">
      <c r="B55" s="145"/>
      <c r="C55" s="9"/>
      <c r="D55" s="149" t="s">
        <v>1369</v>
      </c>
      <c r="E55" s="150" t="s">
        <v>1370</v>
      </c>
    </row>
    <row r="56" spans="2:5" ht="15.5" customHeight="1" x14ac:dyDescent="0.2">
      <c r="B56" s="145"/>
      <c r="C56" s="9" t="s">
        <v>3054</v>
      </c>
      <c r="D56" s="149" t="s">
        <v>1257</v>
      </c>
      <c r="E56" s="150" t="s">
        <v>1258</v>
      </c>
    </row>
    <row r="57" spans="2:5" ht="15.5" customHeight="1" x14ac:dyDescent="0.2">
      <c r="B57" s="145"/>
      <c r="C57" s="9"/>
      <c r="D57" s="149" t="s">
        <v>1371</v>
      </c>
      <c r="E57" s="150" t="s">
        <v>1372</v>
      </c>
    </row>
    <row r="58" spans="2:5" ht="15.5" customHeight="1" x14ac:dyDescent="0.2">
      <c r="B58" s="145"/>
      <c r="C58" s="9"/>
      <c r="D58" s="149" t="s">
        <v>1373</v>
      </c>
      <c r="E58" s="150" t="s">
        <v>1374</v>
      </c>
    </row>
    <row r="59" spans="2:5" ht="15.5" customHeight="1" x14ac:dyDescent="0.2">
      <c r="B59" s="145"/>
      <c r="C59" s="9"/>
      <c r="D59" s="149" t="s">
        <v>1375</v>
      </c>
      <c r="E59" s="150" t="s">
        <v>1376</v>
      </c>
    </row>
    <row r="60" spans="2:5" ht="15.5" customHeight="1" x14ac:dyDescent="0.2">
      <c r="B60" s="145"/>
      <c r="C60" s="9"/>
      <c r="D60" s="149" t="s">
        <v>1377</v>
      </c>
      <c r="E60" s="150" t="s">
        <v>1378</v>
      </c>
    </row>
    <row r="61" spans="2:5" ht="15.5" customHeight="1" x14ac:dyDescent="0.2">
      <c r="B61" s="145"/>
      <c r="C61" s="9"/>
      <c r="D61" s="149" t="s">
        <v>1379</v>
      </c>
      <c r="E61" s="150" t="s">
        <v>1380</v>
      </c>
    </row>
    <row r="62" spans="2:5" ht="15.5" customHeight="1" x14ac:dyDescent="0.2">
      <c r="B62" s="145"/>
      <c r="C62" s="9"/>
      <c r="D62" s="149" t="s">
        <v>1349</v>
      </c>
      <c r="E62" s="150" t="s">
        <v>1350</v>
      </c>
    </row>
    <row r="63" spans="2:5" ht="15.5" customHeight="1" x14ac:dyDescent="0.2">
      <c r="B63" s="145"/>
      <c r="C63" s="9"/>
      <c r="D63" s="149" t="s">
        <v>1351</v>
      </c>
      <c r="E63" s="150" t="s">
        <v>1352</v>
      </c>
    </row>
    <row r="64" spans="2:5" ht="15.5" customHeight="1" x14ac:dyDescent="0.2">
      <c r="B64" s="145"/>
      <c r="C64" s="9"/>
      <c r="D64" s="149" t="s">
        <v>1353</v>
      </c>
      <c r="E64" s="150" t="s">
        <v>1354</v>
      </c>
    </row>
    <row r="65" spans="2:5" ht="15.5" customHeight="1" x14ac:dyDescent="0.2">
      <c r="B65" s="145"/>
      <c r="C65" s="9"/>
      <c r="D65" s="149" t="s">
        <v>1355</v>
      </c>
      <c r="E65" s="150" t="s">
        <v>1356</v>
      </c>
    </row>
    <row r="66" spans="2:5" ht="15.5" customHeight="1" x14ac:dyDescent="0.2">
      <c r="B66" s="145"/>
      <c r="C66" s="9"/>
      <c r="D66" s="149" t="s">
        <v>1357</v>
      </c>
      <c r="E66" s="150" t="s">
        <v>1358</v>
      </c>
    </row>
    <row r="67" spans="2:5" ht="15.5" customHeight="1" x14ac:dyDescent="0.2">
      <c r="B67" s="145"/>
      <c r="C67" s="9"/>
      <c r="D67" s="149" t="s">
        <v>1359</v>
      </c>
      <c r="E67" s="150" t="s">
        <v>1360</v>
      </c>
    </row>
    <row r="68" spans="2:5" ht="15.5" customHeight="1" x14ac:dyDescent="0.2">
      <c r="B68" s="145"/>
      <c r="C68" s="9"/>
      <c r="D68" s="149" t="s">
        <v>1361</v>
      </c>
      <c r="E68" s="150" t="s">
        <v>1362</v>
      </c>
    </row>
    <row r="69" spans="2:5" ht="15.5" customHeight="1" x14ac:dyDescent="0.2">
      <c r="B69" s="145"/>
      <c r="C69" s="9"/>
      <c r="D69" s="149" t="s">
        <v>1363</v>
      </c>
      <c r="E69" s="150" t="s">
        <v>1364</v>
      </c>
    </row>
    <row r="70" spans="2:5" ht="15.5" customHeight="1" x14ac:dyDescent="0.2">
      <c r="B70" s="145"/>
      <c r="C70" s="9"/>
      <c r="D70" s="149" t="s">
        <v>1365</v>
      </c>
      <c r="E70" s="150" t="s">
        <v>1366</v>
      </c>
    </row>
    <row r="71" spans="2:5" ht="15.5" customHeight="1" x14ac:dyDescent="0.2">
      <c r="B71" s="145"/>
      <c r="C71" s="183"/>
      <c r="D71" s="149" t="s">
        <v>1381</v>
      </c>
      <c r="E71" s="151" t="s">
        <v>1382</v>
      </c>
    </row>
    <row r="72" spans="2:5" ht="15.5" customHeight="1" x14ac:dyDescent="0.2">
      <c r="B72" s="145"/>
      <c r="C72" s="9"/>
      <c r="D72" s="149" t="s">
        <v>1383</v>
      </c>
      <c r="E72" s="150" t="s">
        <v>1384</v>
      </c>
    </row>
    <row r="73" spans="2:5" ht="15.5" customHeight="1" x14ac:dyDescent="0.2">
      <c r="B73" s="145"/>
      <c r="C73" s="9" t="s">
        <v>3054</v>
      </c>
      <c r="D73" s="149" t="s">
        <v>1259</v>
      </c>
      <c r="E73" s="150" t="s">
        <v>1260</v>
      </c>
    </row>
    <row r="74" spans="2:5" ht="15.5" customHeight="1" x14ac:dyDescent="0.2">
      <c r="B74" s="145"/>
      <c r="C74" s="9"/>
      <c r="D74" s="149" t="s">
        <v>1385</v>
      </c>
      <c r="E74" s="150" t="s">
        <v>1386</v>
      </c>
    </row>
    <row r="75" spans="2:5" ht="15.5" customHeight="1" x14ac:dyDescent="0.2">
      <c r="B75" s="145"/>
      <c r="C75" s="9"/>
      <c r="D75" s="149" t="s">
        <v>1387</v>
      </c>
      <c r="E75" s="150" t="s">
        <v>1388</v>
      </c>
    </row>
    <row r="76" spans="2:5" ht="15.5" customHeight="1" x14ac:dyDescent="0.2">
      <c r="B76" s="145"/>
      <c r="C76" s="9" t="s">
        <v>3054</v>
      </c>
      <c r="D76" s="149" t="s">
        <v>1261</v>
      </c>
      <c r="E76" s="150" t="s">
        <v>1262</v>
      </c>
    </row>
    <row r="77" spans="2:5" ht="15.5" customHeight="1" x14ac:dyDescent="0.2">
      <c r="B77" s="145"/>
      <c r="C77" s="9"/>
      <c r="D77" s="149" t="s">
        <v>1389</v>
      </c>
      <c r="E77" s="150" t="s">
        <v>1390</v>
      </c>
    </row>
    <row r="78" spans="2:5" ht="15.5" customHeight="1" x14ac:dyDescent="0.2">
      <c r="B78" s="145"/>
      <c r="C78" s="9"/>
      <c r="D78" s="149" t="s">
        <v>1391</v>
      </c>
      <c r="E78" s="150" t="s">
        <v>1392</v>
      </c>
    </row>
    <row r="79" spans="2:5" ht="15.5" customHeight="1" x14ac:dyDescent="0.2">
      <c r="B79" s="145"/>
      <c r="C79" s="9"/>
      <c r="D79" s="149" t="s">
        <v>1393</v>
      </c>
      <c r="E79" s="150" t="s">
        <v>1394</v>
      </c>
    </row>
    <row r="80" spans="2:5" ht="15.5" customHeight="1" x14ac:dyDescent="0.2">
      <c r="B80" s="145"/>
      <c r="C80" s="183"/>
      <c r="D80" s="149" t="s">
        <v>1395</v>
      </c>
      <c r="E80" s="151" t="s">
        <v>1396</v>
      </c>
    </row>
    <row r="81" spans="2:5" ht="15.5" customHeight="1" x14ac:dyDescent="0.2">
      <c r="B81" s="145"/>
      <c r="C81" s="9"/>
      <c r="D81" s="149" t="s">
        <v>1397</v>
      </c>
      <c r="E81" s="150" t="s">
        <v>1398</v>
      </c>
    </row>
    <row r="82" spans="2:5" ht="15.5" customHeight="1" x14ac:dyDescent="0.2">
      <c r="B82" s="145"/>
      <c r="C82" s="9"/>
      <c r="D82" s="149" t="s">
        <v>1399</v>
      </c>
      <c r="E82" s="150" t="s">
        <v>1400</v>
      </c>
    </row>
    <row r="83" spans="2:5" ht="15.5" customHeight="1" x14ac:dyDescent="0.2">
      <c r="B83" s="145"/>
      <c r="C83" s="9"/>
      <c r="D83" s="149" t="s">
        <v>1401</v>
      </c>
      <c r="E83" s="150" t="s">
        <v>1402</v>
      </c>
    </row>
    <row r="84" spans="2:5" ht="15.5" customHeight="1" x14ac:dyDescent="0.2">
      <c r="B84" s="145"/>
      <c r="C84" s="9"/>
      <c r="D84" s="149" t="s">
        <v>1403</v>
      </c>
      <c r="E84" s="150" t="s">
        <v>1404</v>
      </c>
    </row>
    <row r="85" spans="2:5" ht="15.5" customHeight="1" x14ac:dyDescent="0.2">
      <c r="B85" s="145"/>
      <c r="C85" s="9"/>
      <c r="D85" s="149" t="s">
        <v>1405</v>
      </c>
      <c r="E85" s="150" t="s">
        <v>1406</v>
      </c>
    </row>
    <row r="86" spans="2:5" ht="15.5" customHeight="1" x14ac:dyDescent="0.2">
      <c r="B86" s="145"/>
      <c r="C86" s="183"/>
      <c r="D86" s="149" t="s">
        <v>1407</v>
      </c>
      <c r="E86" s="151" t="s">
        <v>1408</v>
      </c>
    </row>
    <row r="87" spans="2:5" ht="15.5" customHeight="1" x14ac:dyDescent="0.2">
      <c r="B87" s="145"/>
      <c r="C87" s="9"/>
      <c r="D87" s="149" t="s">
        <v>1409</v>
      </c>
      <c r="E87" s="150" t="s">
        <v>1410</v>
      </c>
    </row>
    <row r="88" spans="2:5" ht="15.5" customHeight="1" x14ac:dyDescent="0.2">
      <c r="B88" s="145"/>
      <c r="C88" s="9"/>
      <c r="D88" s="149" t="s">
        <v>1411</v>
      </c>
      <c r="E88" s="150" t="s">
        <v>1412</v>
      </c>
    </row>
    <row r="89" spans="2:5" ht="15.5" customHeight="1" x14ac:dyDescent="0.2">
      <c r="B89" s="145"/>
      <c r="C89" s="9"/>
      <c r="D89" s="149" t="s">
        <v>1413</v>
      </c>
      <c r="E89" s="150" t="s">
        <v>1414</v>
      </c>
    </row>
    <row r="90" spans="2:5" ht="15.5" customHeight="1" x14ac:dyDescent="0.2">
      <c r="B90" s="145"/>
      <c r="C90" s="9"/>
      <c r="D90" s="149" t="s">
        <v>1415</v>
      </c>
      <c r="E90" s="150" t="s">
        <v>1416</v>
      </c>
    </row>
    <row r="91" spans="2:5" ht="15.5" customHeight="1" x14ac:dyDescent="0.2">
      <c r="B91" s="145"/>
      <c r="C91" s="9"/>
      <c r="D91" s="149" t="s">
        <v>1417</v>
      </c>
      <c r="E91" s="150" t="s">
        <v>1418</v>
      </c>
    </row>
    <row r="92" spans="2:5" ht="15.5" customHeight="1" x14ac:dyDescent="0.2">
      <c r="B92" s="145"/>
      <c r="C92" s="9"/>
      <c r="D92" s="149" t="s">
        <v>1419</v>
      </c>
      <c r="E92" s="150" t="s">
        <v>1420</v>
      </c>
    </row>
    <row r="93" spans="2:5" ht="15.5" customHeight="1" x14ac:dyDescent="0.2">
      <c r="B93" s="145"/>
      <c r="C93" s="183"/>
      <c r="D93" s="149" t="s">
        <v>1421</v>
      </c>
      <c r="E93" s="151" t="s">
        <v>1422</v>
      </c>
    </row>
    <row r="94" spans="2:5" x14ac:dyDescent="0.2">
      <c r="C94" s="152"/>
      <c r="D94" s="153"/>
      <c r="E94" s="154"/>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5" zoomScale="150" zoomScaleNormal="80" workbookViewId="0">
      <selection activeCell="E9" sqref="E9"/>
    </sheetView>
  </sheetViews>
  <sheetFormatPr baseColWidth="10" defaultColWidth="10.6640625" defaultRowHeight="16" x14ac:dyDescent="0.2"/>
  <cols>
    <col min="1" max="1" width="10.6640625" style="16" customWidth="1"/>
    <col min="2" max="2" width="8.6640625" style="16" customWidth="1"/>
    <col min="3" max="3" width="27.6640625" style="16" customWidth="1"/>
    <col min="4" max="4" width="20.6640625" style="16" customWidth="1"/>
    <col min="5" max="5" width="46.5" style="43" customWidth="1"/>
    <col min="6" max="6" width="20.6640625" style="16" customWidth="1"/>
    <col min="7" max="7" width="10.6640625" style="16" customWidth="1"/>
    <col min="8" max="16384" width="10.6640625" style="16"/>
  </cols>
  <sheetData>
    <row r="1" spans="1:8" ht="16" customHeight="1" thickBot="1" x14ac:dyDescent="0.25">
      <c r="C1" s="17"/>
      <c r="D1" s="17"/>
      <c r="E1" s="39"/>
      <c r="F1" s="17"/>
    </row>
    <row r="2" spans="1:8" s="43" customFormat="1" ht="16" customHeight="1" thickBot="1" x14ac:dyDescent="0.25">
      <c r="A2" s="63"/>
      <c r="B2" s="64"/>
      <c r="C2" s="65" t="s">
        <v>3055</v>
      </c>
      <c r="D2" s="66" t="s">
        <v>3056</v>
      </c>
      <c r="E2" s="40" t="s">
        <v>3057</v>
      </c>
      <c r="F2" s="67" t="s">
        <v>3058</v>
      </c>
      <c r="G2" s="68"/>
    </row>
    <row r="3" spans="1:8" ht="62.75" customHeight="1" x14ac:dyDescent="0.2">
      <c r="A3" s="18"/>
      <c r="B3" s="275" t="s">
        <v>3059</v>
      </c>
      <c r="C3" s="49" t="s">
        <v>3060</v>
      </c>
      <c r="D3" s="239" t="s">
        <v>3061</v>
      </c>
      <c r="E3" s="177" t="s">
        <v>3062</v>
      </c>
      <c r="F3" s="69" t="s">
        <v>3063</v>
      </c>
      <c r="G3" s="19"/>
    </row>
    <row r="4" spans="1:8" ht="32" customHeight="1" x14ac:dyDescent="0.2">
      <c r="A4" s="18"/>
      <c r="B4" s="272"/>
      <c r="C4" s="31" t="s">
        <v>3064</v>
      </c>
      <c r="D4" s="176">
        <v>18</v>
      </c>
      <c r="E4" s="178" t="s">
        <v>3065</v>
      </c>
      <c r="F4" s="70">
        <v>18</v>
      </c>
      <c r="G4" s="19"/>
    </row>
    <row r="5" spans="1:8" ht="43.5" customHeight="1" x14ac:dyDescent="0.2">
      <c r="A5" s="18"/>
      <c r="B5" s="272"/>
      <c r="C5" s="32" t="s">
        <v>3066</v>
      </c>
      <c r="D5" s="240" t="s">
        <v>3067</v>
      </c>
      <c r="E5" s="178" t="s">
        <v>3068</v>
      </c>
      <c r="F5" s="20" t="s">
        <v>3069</v>
      </c>
      <c r="G5" s="19"/>
    </row>
    <row r="6" spans="1:8" ht="43.5" customHeight="1" x14ac:dyDescent="0.2">
      <c r="A6" s="18"/>
      <c r="B6" s="272"/>
      <c r="C6" s="33" t="s">
        <v>3070</v>
      </c>
      <c r="D6" s="240" t="s">
        <v>3071</v>
      </c>
      <c r="E6" s="179" t="s">
        <v>3072</v>
      </c>
      <c r="F6" s="21" t="s">
        <v>3073</v>
      </c>
      <c r="G6" s="19"/>
    </row>
    <row r="7" spans="1:8" s="200" customFormat="1" ht="72.5" customHeight="1" x14ac:dyDescent="0.2">
      <c r="A7" s="195"/>
      <c r="B7" s="272"/>
      <c r="C7" s="196" t="s">
        <v>3074</v>
      </c>
      <c r="D7" s="221" t="s">
        <v>3075</v>
      </c>
      <c r="E7" s="197" t="s">
        <v>3076</v>
      </c>
      <c r="F7" s="198" t="s">
        <v>3075</v>
      </c>
      <c r="G7" s="199"/>
    </row>
    <row r="8" spans="1:8" ht="72.5" customHeight="1" x14ac:dyDescent="0.2">
      <c r="A8" s="18"/>
      <c r="B8" s="272"/>
      <c r="C8" s="33" t="s">
        <v>3077</v>
      </c>
      <c r="D8" s="240" t="s">
        <v>3078</v>
      </c>
      <c r="E8" s="180" t="s">
        <v>3079</v>
      </c>
      <c r="F8" s="22" t="s">
        <v>3080</v>
      </c>
      <c r="G8" s="19"/>
      <c r="H8" s="222"/>
    </row>
    <row r="9" spans="1:8" ht="101.5" customHeight="1" x14ac:dyDescent="0.2">
      <c r="A9" s="18"/>
      <c r="B9" s="272"/>
      <c r="C9" s="33" t="s">
        <v>3081</v>
      </c>
      <c r="D9" s="223" t="s">
        <v>3082</v>
      </c>
      <c r="E9" s="180" t="s">
        <v>3083</v>
      </c>
      <c r="F9" s="22" t="s">
        <v>3084</v>
      </c>
      <c r="G9" s="19"/>
    </row>
    <row r="10" spans="1:8" s="200" customFormat="1" ht="58.25" customHeight="1" x14ac:dyDescent="0.2">
      <c r="A10" s="195"/>
      <c r="B10" s="272"/>
      <c r="C10" s="207" t="s">
        <v>3085</v>
      </c>
      <c r="D10" s="240" t="s">
        <v>871</v>
      </c>
      <c r="E10" s="24" t="s">
        <v>3086</v>
      </c>
      <c r="F10" s="205" t="s">
        <v>3087</v>
      </c>
      <c r="G10" s="199"/>
    </row>
    <row r="11" spans="1:8" s="200" customFormat="1" ht="50.25" customHeight="1" thickBot="1" x14ac:dyDescent="0.25">
      <c r="A11" s="195"/>
      <c r="B11" s="273"/>
      <c r="C11" s="208" t="s">
        <v>3088</v>
      </c>
      <c r="D11" s="224"/>
      <c r="E11" s="23" t="s">
        <v>3089</v>
      </c>
      <c r="F11" s="206">
        <v>0.2</v>
      </c>
      <c r="G11" s="199"/>
    </row>
    <row r="12" spans="1:8" ht="29" customHeight="1" x14ac:dyDescent="0.2">
      <c r="A12" s="18"/>
      <c r="B12" s="271" t="s">
        <v>3090</v>
      </c>
      <c r="C12" s="34" t="s">
        <v>3091</v>
      </c>
      <c r="D12" s="241" t="s">
        <v>3092</v>
      </c>
      <c r="E12" s="41" t="s">
        <v>3093</v>
      </c>
      <c r="F12" s="20" t="s">
        <v>3092</v>
      </c>
      <c r="G12" s="19"/>
    </row>
    <row r="13" spans="1:8" ht="101.5" customHeight="1" x14ac:dyDescent="0.2">
      <c r="A13" s="18"/>
      <c r="B13" s="272"/>
      <c r="C13" s="137" t="s">
        <v>3094</v>
      </c>
      <c r="D13" s="225">
        <v>5</v>
      </c>
      <c r="E13" s="138" t="s">
        <v>3095</v>
      </c>
      <c r="F13" s="22">
        <v>5</v>
      </c>
      <c r="G13" s="38"/>
      <c r="H13" s="60"/>
    </row>
    <row r="14" spans="1:8" ht="149.75" customHeight="1" x14ac:dyDescent="0.2">
      <c r="A14" s="18"/>
      <c r="B14" s="272"/>
      <c r="C14" s="137" t="s">
        <v>3096</v>
      </c>
      <c r="D14" s="225">
        <v>2500000</v>
      </c>
      <c r="E14" s="24" t="s">
        <v>3097</v>
      </c>
      <c r="F14" s="22">
        <v>1200000</v>
      </c>
      <c r="G14" s="19"/>
    </row>
    <row r="15" spans="1:8" ht="29" customHeight="1" x14ac:dyDescent="0.2">
      <c r="A15" s="18"/>
      <c r="B15" s="272"/>
      <c r="C15" s="62" t="s">
        <v>3098</v>
      </c>
      <c r="D15" s="29" t="s">
        <v>3099</v>
      </c>
      <c r="E15" s="24" t="s">
        <v>3100</v>
      </c>
      <c r="F15" s="22" t="s">
        <v>3101</v>
      </c>
      <c r="G15" s="19"/>
    </row>
    <row r="16" spans="1:8" ht="29.5" customHeight="1" thickBot="1" x14ac:dyDescent="0.25">
      <c r="A16" s="18"/>
      <c r="B16" s="273"/>
      <c r="C16" s="136" t="s">
        <v>3102</v>
      </c>
      <c r="D16" s="30" t="s">
        <v>3103</v>
      </c>
      <c r="E16" s="25" t="s">
        <v>3104</v>
      </c>
      <c r="F16" s="140" t="s">
        <v>3105</v>
      </c>
      <c r="G16" s="19"/>
    </row>
    <row r="17" spans="1:7" s="61" customFormat="1" ht="5.75" customHeight="1" thickBot="1" x14ac:dyDescent="0.25">
      <c r="A17" s="55"/>
      <c r="B17" s="56"/>
      <c r="C17" s="57"/>
      <c r="D17" s="139"/>
      <c r="E17" s="58"/>
      <c r="F17" s="59"/>
      <c r="G17" s="60"/>
    </row>
    <row r="18" spans="1:7" ht="140" customHeight="1" x14ac:dyDescent="0.2">
      <c r="A18" s="18"/>
      <c r="B18" s="274" t="s">
        <v>3106</v>
      </c>
      <c r="C18" s="50" t="s">
        <v>3107</v>
      </c>
      <c r="D18" s="218">
        <v>0.91</v>
      </c>
      <c r="E18" s="52" t="s">
        <v>3108</v>
      </c>
      <c r="F18" s="51">
        <v>0.91</v>
      </c>
      <c r="G18" s="19"/>
    </row>
    <row r="19" spans="1:7" ht="140" customHeight="1" x14ac:dyDescent="0.2">
      <c r="A19" s="18"/>
      <c r="B19" s="272"/>
      <c r="C19" s="35" t="s">
        <v>3109</v>
      </c>
      <c r="D19" s="219">
        <v>0.91</v>
      </c>
      <c r="E19" s="53" t="s">
        <v>3110</v>
      </c>
      <c r="F19" s="26">
        <v>0.91</v>
      </c>
      <c r="G19" s="19"/>
    </row>
    <row r="20" spans="1:7" ht="141" customHeight="1" thickBot="1" x14ac:dyDescent="0.25">
      <c r="A20" s="18"/>
      <c r="B20" s="273"/>
      <c r="C20" s="36" t="s">
        <v>3111</v>
      </c>
      <c r="D20" s="220">
        <v>0.05</v>
      </c>
      <c r="E20" s="54" t="s">
        <v>3112</v>
      </c>
      <c r="F20" s="27">
        <v>0.05</v>
      </c>
      <c r="G20" s="19"/>
    </row>
    <row r="21" spans="1:7" x14ac:dyDescent="0.2">
      <c r="B21" s="28"/>
      <c r="C21" s="28"/>
      <c r="D21" s="28"/>
      <c r="E21" s="42"/>
      <c r="F21" s="28"/>
    </row>
  </sheetData>
  <sheetProtection algorithmName="SHA-512" hashValue="HDbMtU4Jlh9HWHGdk0LayFfVJStngmavgwcVKMKWc5VZrrpztmDjYI1oHTcDjIn3M/ll6/9HZ5Z2AvinCdU0yg==" saltValue="TuJoTWts+weDzmqRgBxRHQ==" spinCount="100000" sheet="1" objects="1" scenarios="1"/>
  <mergeCells count="3">
    <mergeCell ref="B12:B16"/>
    <mergeCell ref="B18:B20"/>
    <mergeCell ref="B3:B11"/>
  </mergeCells>
  <dataValidations count="2">
    <dataValidation type="list" showInputMessage="1" showErrorMessage="1" sqref="D9" xr:uid="{00000000-0002-0000-0400-000000000000}">
      <formula1>"Not yet in season,Land preparation,Planting,Early growing,Growing,Maturing,Harvesting,Recently finished"</formula1>
    </dataValidation>
    <dataValidation type="list" showInputMessage="1" showErrorMessage="1" sqref="D7" xr:uid="{00000000-0002-0000-0400-000001000000}">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2024-01-09T13:34:18Z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2024-01-09T13:26:37Z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291507cf-09ff-4e15-b375-3550798d9f32</vt:lpwstr>
  </property>
  <property fmtid="{D5CDD505-2E9C-101B-9397-08002B2CF9AE}" pid="8" name="MSIP_Label_46ec50b2-b191-4ad7-ba82-7deb0436e358_ContentBits">
    <vt:lpwstr>0</vt:lpwstr>
  </property>
</Properties>
</file>