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3600" windowHeight="21000" tabRatio="600" firstSheet="0" autoFilterDateGrouping="1"/>
  </bookViews>
  <sheets>
    <sheet xmlns:r="http://schemas.openxmlformats.org/officeDocument/2006/relationships" name="survey" sheetId="1" state="visible" r:id="rId1"/>
    <sheet xmlns:r="http://schemas.openxmlformats.org/officeDocument/2006/relationships" name="New Durations" sheetId="2" state="hidden" r:id="rId2"/>
    <sheet xmlns:r="http://schemas.openxmlformats.org/officeDocument/2006/relationships" name="Crop list" sheetId="3" state="hidden" r:id="rId3"/>
    <sheet xmlns:r="http://schemas.openxmlformats.org/officeDocument/2006/relationships" name="Additional information" sheetId="4" state="hidden" r:id="rId4"/>
    <sheet xmlns:r="http://schemas.openxmlformats.org/officeDocument/2006/relationships" name="Admin 2 info" sheetId="5" state="visible" r:id="rId5"/>
  </sheets>
  <definedNames>
    <definedName name="_xlnm._FilterDatabase" localSheetId="0" hidden="1">'survey'!$A$3:$XEN$3</definedName>
    <definedName name="_xlnm._FilterDatabase" localSheetId="2"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76">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b val="1"/>
      <color rgb="FF0070C0"/>
      <sz val="12"/>
      <scheme val="minor"/>
    </font>
    <font>
      <name val="Calibri"/>
      <family val="2"/>
      <color rgb="FF0070C0"/>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7030A0"/>
      <sz val="12"/>
      <scheme val="minor"/>
    </font>
    <font>
      <name val="Calibri"/>
      <family val="2"/>
      <color rgb="FF7030A0"/>
      <sz val="12"/>
      <scheme val="minor"/>
    </font>
    <font>
      <name val="Calibri"/>
      <family val="2"/>
      <sz val="12"/>
      <u val="single"/>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sz val="10"/>
      <scheme val="minor"/>
    </font>
    <font>
      <name val="Calibri"/>
      <family val="2"/>
      <b val="1"/>
      <sz val="11"/>
    </font>
    <font>
      <name val="Calibri"/>
      <family val="2"/>
      <b val="1"/>
      <sz val="11"/>
      <scheme val="minor"/>
    </font>
    <font>
      <name val="Calibri"/>
      <family val="2"/>
      <b val="1"/>
      <color theme="1"/>
      <sz val="12"/>
      <scheme val="minor"/>
    </font>
    <font>
      <name val="Calibri"/>
      <family val="2"/>
      <color rgb="FF000000"/>
      <sz val="12"/>
      <scheme val="minor"/>
    </font>
    <font>
      <name val="Calibri"/>
      <family val="2"/>
      <b val="1"/>
      <i val="1"/>
      <color theme="1"/>
      <sz val="12"/>
      <scheme val="minor"/>
    </font>
    <font>
      <name val="Calibri"/>
      <family val="2"/>
      <sz val="10.5"/>
      <scheme val="minor"/>
    </font>
    <font>
      <name val="Calibri"/>
      <family val="2"/>
      <color rgb="FF00B050"/>
      <sz val="12"/>
      <scheme val="minor"/>
    </font>
    <font>
      <name val="Calibri"/>
      <family val="2"/>
      <color rgb="FFF504E7"/>
      <sz val="12"/>
      <scheme val="minor"/>
    </font>
    <font>
      <name val="Calibri"/>
      <family val="2"/>
      <i val="1"/>
      <color theme="4"/>
      <sz val="12"/>
      <scheme val="minor"/>
    </font>
    <font>
      <name val="Calibri"/>
      <family val="2"/>
      <color theme="4"/>
      <sz val="11"/>
      <scheme val="minor"/>
    </font>
    <font>
      <name val="Calibri"/>
      <family val="2"/>
      <b val="1"/>
      <i val="1"/>
      <color theme="4"/>
      <sz val="12"/>
      <scheme val="minor"/>
    </font>
    <font>
      <name val="Calibri"/>
      <family val="2"/>
      <color theme="1"/>
      <sz val="12"/>
      <u val="single"/>
      <scheme val="minor"/>
    </font>
    <font>
      <name val="Calibri"/>
      <family val="2"/>
      <i val="1"/>
      <color theme="1"/>
      <sz val="12"/>
      <scheme val="minor"/>
    </font>
    <font>
      <name val="Calibri"/>
      <family val="2"/>
      <color theme="0"/>
      <sz val="12"/>
      <scheme val="minor"/>
    </font>
    <font>
      <name val="Calibri"/>
      <family val="2"/>
      <i val="1"/>
      <color theme="0"/>
      <sz val="12"/>
      <scheme val="minor"/>
    </font>
    <font>
      <name val="Calibri"/>
      <family val="2"/>
      <b val="1"/>
      <color theme="9" tint="-0.499984740745262"/>
      <sz val="12"/>
      <scheme val="minor"/>
    </font>
    <font>
      <name val="Calibri"/>
      <family val="2"/>
      <color theme="9" tint="-0.499984740745262"/>
      <sz val="12"/>
      <scheme val="minor"/>
    </font>
    <font>
      <name val="Calibri (Body)"/>
      <i val="1"/>
      <sz val="12"/>
    </font>
    <font>
      <name val="Calibri (Body)"/>
      <i val="1"/>
      <color theme="4"/>
      <sz val="12"/>
    </font>
    <font>
      <name val="Calibri (Body)"/>
      <color theme="4"/>
      <sz val="12"/>
    </font>
    <font>
      <name val="Calibri (Body)"/>
      <sz val="12"/>
      <u val="single"/>
    </font>
    <font>
      <name val="Calibri (Body)"/>
      <color theme="9" tint="-0.499984740745262"/>
      <sz val="12"/>
    </font>
    <font>
      <name val="Calibri (Body)"/>
      <b val="1"/>
      <color theme="9" tint="-0.499984740745262"/>
      <sz val="12"/>
    </font>
    <font>
      <name val="Calibri (Body)"/>
      <i val="1"/>
      <color theme="9" tint="-0.499984740745262"/>
      <sz val="12"/>
    </font>
    <font>
      <name val="Calibri (Body)"/>
      <color theme="9" tint="-0.499984740745262"/>
      <sz val="11"/>
    </font>
    <font>
      <name val="Calibri (Body)"/>
      <b val="1"/>
      <color rgb="FF7030A0"/>
      <sz val="12"/>
    </font>
    <font>
      <name val="Calibri"/>
      <family val="2"/>
      <color theme="4"/>
      <sz val="10"/>
      <scheme val="minor"/>
    </font>
    <font>
      <name val="Calibri (Body)"/>
      <sz val="12"/>
    </font>
    <font>
      <name val="Calibri (Body)"/>
      <color rgb="FFFF0000"/>
      <sz val="12"/>
    </font>
    <font>
      <name val="Calibri (Body)"/>
      <color rgb="FF7030A0"/>
      <sz val="12"/>
    </font>
    <font>
      <name val="Calibri (Body)"/>
      <strike val="1"/>
      <sz val="12"/>
    </font>
    <font>
      <name val="Calibri"/>
      <family val="2"/>
      <sz val="12"/>
    </font>
    <font>
      <name val="Calibri (Body)"/>
      <b val="1"/>
      <color theme="4"/>
      <sz val="12"/>
    </font>
    <font>
      <name val="Calibri (Body)"/>
      <sz val="11"/>
    </font>
    <font>
      <name val="Calibri (Body)"/>
      <b val="1"/>
      <sz val="12"/>
    </font>
    <font>
      <name val="Calibri (Body)"/>
      <sz val="10"/>
    </font>
    <font>
      <name val="Calibri"/>
      <family val="2"/>
      <b val="1"/>
      <color theme="4"/>
      <sz val="10"/>
      <scheme val="minor"/>
    </font>
    <font>
      <name val="Calibri (Body)"/>
      <color theme="1"/>
      <sz val="12"/>
      <u val="single"/>
    </font>
    <font>
      <name val="Calibri (Body)"/>
      <b val="1"/>
      <i val="1"/>
      <color theme="4"/>
      <sz val="12"/>
    </font>
    <font>
      <name val="Calibri"/>
      <family val="2"/>
      <b val="1"/>
      <color rgb="FF4472C4"/>
      <sz val="12"/>
      <scheme val="minor"/>
    </font>
    <font>
      <name val="Calibri"/>
      <family val="2"/>
      <color rgb="FF375623"/>
      <sz val="12"/>
    </font>
    <font>
      <name val="Calibri"/>
      <family val="2"/>
      <b val="1"/>
      <color rgb="FF375623"/>
      <sz val="12"/>
    </font>
    <font>
      <name val="Calibri"/>
      <family val="2"/>
      <b val="1"/>
      <color rgb="FFFF0000"/>
      <sz val="12"/>
      <scheme val="minor"/>
    </font>
    <font>
      <b val="1"/>
    </font>
  </fonts>
  <fills count="15">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0" tint="-0.1499984740745262"/>
        <bgColor rgb="FF000000"/>
      </patternFill>
    </fill>
    <fill>
      <patternFill patternType="solid">
        <fgColor rgb="FFFFFF00"/>
        <bgColor indexed="64"/>
      </patternFill>
    </fill>
  </fills>
  <borders count="7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right/>
      <top style="thin">
        <color auto="1"/>
      </top>
      <bottom/>
      <diagonal/>
    </border>
    <border>
      <left/>
      <right/>
      <top style="medium">
        <color indexed="64"/>
      </top>
      <bottom/>
      <diagonal/>
    </border>
    <border>
      <left/>
      <right style="medium">
        <color indexed="64"/>
      </right>
      <top style="medium">
        <color indexed="64"/>
      </top>
      <bottom/>
      <diagonal/>
    </border>
    <border>
      <left style="thin">
        <color auto="1"/>
      </left>
      <right style="thin">
        <color auto="1"/>
      </right>
      <top/>
      <bottom/>
      <diagonal/>
    </border>
    <border>
      <left style="thin"/>
      <right style="thin"/>
      <top style="thin"/>
      <bottom style="thin"/>
    </border>
  </borders>
  <cellStyleXfs count="17">
    <xf numFmtId="0" fontId="9" fillId="0" borderId="0"/>
    <xf numFmtId="0" fontId="10" fillId="0" borderId="0"/>
    <xf numFmtId="0" fontId="11" fillId="0" borderId="0"/>
    <xf numFmtId="0" fontId="9" fillId="0" borderId="0"/>
    <xf numFmtId="0" fontId="10" fillId="0" borderId="0"/>
    <xf numFmtId="0" fontId="9" fillId="0" borderId="0"/>
    <xf numFmtId="0" fontId="9" fillId="0" borderId="0"/>
    <xf numFmtId="0" fontId="14" fillId="8" borderId="21"/>
    <xf numFmtId="0" fontId="10" fillId="0" borderId="0"/>
    <xf numFmtId="0" fontId="10" fillId="0" borderId="0"/>
    <xf numFmtId="0" fontId="10" fillId="0" borderId="0"/>
    <xf numFmtId="9" fontId="9" fillId="0" borderId="0"/>
    <xf numFmtId="0" fontId="10" fillId="0" borderId="0"/>
    <xf numFmtId="0" fontId="10" fillId="0" borderId="0"/>
    <xf numFmtId="0" fontId="10" fillId="0" borderId="0"/>
    <xf numFmtId="0" fontId="10" fillId="0" borderId="0"/>
    <xf numFmtId="0" fontId="10" fillId="0" borderId="0"/>
  </cellStyleXfs>
  <cellXfs count="572">
    <xf numFmtId="0" fontId="0" fillId="0" borderId="0" pivotButton="0" quotePrefix="0" xfId="0"/>
    <xf numFmtId="0" fontId="0" fillId="0" borderId="22" pivotButton="0" quotePrefix="0" xfId="0"/>
    <xf numFmtId="0" fontId="12" fillId="0" borderId="22" applyAlignment="1" pivotButton="0" quotePrefix="0" xfId="0">
      <alignment horizontal="center" vertical="center"/>
    </xf>
    <xf numFmtId="0" fontId="0" fillId="0" borderId="23" pivotButton="0" quotePrefix="0" xfId="0"/>
    <xf numFmtId="0" fontId="12" fillId="0" borderId="25" applyAlignment="1" pivotButton="0" quotePrefix="0" xfId="0">
      <alignment horizontal="center" vertical="center"/>
    </xf>
    <xf numFmtId="0" fontId="0" fillId="0" borderId="25" pivotButton="0" quotePrefix="0" xfId="0"/>
    <xf numFmtId="0" fontId="12" fillId="0" borderId="26" applyAlignment="1" pivotButton="0" quotePrefix="0" xfId="0">
      <alignment horizontal="center" vertical="center"/>
    </xf>
    <xf numFmtId="0" fontId="0" fillId="0" borderId="26" pivotButton="0" quotePrefix="0" xfId="0"/>
    <xf numFmtId="0" fontId="12" fillId="0" borderId="1" pivotButton="0" quotePrefix="0" xfId="0"/>
    <xf numFmtId="0" fontId="13" fillId="0" borderId="36" applyAlignment="1" applyProtection="1" pivotButton="0" quotePrefix="0" xfId="3">
      <alignment horizontal="left" vertical="center" wrapText="1"/>
      <protection locked="0" hidden="0"/>
    </xf>
    <xf numFmtId="0" fontId="13" fillId="0" borderId="37" applyAlignment="1" applyProtection="1" pivotButton="0" quotePrefix="0" xfId="3">
      <alignment horizontal="left" vertical="center" wrapText="1"/>
      <protection locked="0" hidden="0"/>
    </xf>
    <xf numFmtId="0" fontId="13" fillId="0" borderId="37" applyAlignment="1" applyProtection="1" pivotButton="0" quotePrefix="0" xfId="5">
      <alignment horizontal="left" vertical="center" wrapText="1"/>
      <protection locked="0" hidden="0"/>
    </xf>
    <xf numFmtId="0" fontId="20" fillId="9" borderId="37" applyAlignment="1" applyProtection="1" pivotButton="0" quotePrefix="0" xfId="3">
      <alignment horizontal="left" vertical="center" wrapText="1"/>
      <protection locked="0" hidden="0"/>
    </xf>
    <xf numFmtId="0" fontId="13" fillId="0" borderId="38" applyAlignment="1" applyProtection="1" pivotButton="0" quotePrefix="0" xfId="3">
      <alignment horizontal="left" vertical="center" wrapText="1"/>
      <protection locked="0" hidden="0"/>
    </xf>
    <xf numFmtId="0" fontId="13" fillId="6" borderId="8" applyAlignment="1" applyProtection="1" pivotButton="0" quotePrefix="0" xfId="2">
      <alignment horizontal="center" vertical="center"/>
      <protection locked="0" hidden="0"/>
    </xf>
    <xf numFmtId="0" fontId="13" fillId="6" borderId="13" applyAlignment="1" applyProtection="1" pivotButton="0" quotePrefix="0" xfId="0">
      <alignment horizontal="left" vertical="center" wrapText="1"/>
      <protection locked="0" hidden="0"/>
    </xf>
    <xf numFmtId="0" fontId="13" fillId="6" borderId="3" applyAlignment="1" applyProtection="1" pivotButton="0" quotePrefix="0" xfId="2">
      <alignment horizontal="center" vertical="center" wrapText="1"/>
      <protection locked="0" hidden="0"/>
    </xf>
    <xf numFmtId="0" fontId="13" fillId="6" borderId="3" applyAlignment="1" applyProtection="1" pivotButton="0" quotePrefix="0" xfId="0">
      <alignment horizontal="center" vertical="center" wrapText="1"/>
      <protection locked="0" hidden="0"/>
    </xf>
    <xf numFmtId="0" fontId="13" fillId="6" borderId="3" applyAlignment="1" applyProtection="1" pivotButton="0" quotePrefix="0" xfId="3">
      <alignment horizontal="left" vertical="center" wrapText="1"/>
      <protection locked="0" hidden="0"/>
    </xf>
    <xf numFmtId="0" fontId="13" fillId="6" borderId="1" applyAlignment="1" applyProtection="1" pivotButton="0" quotePrefix="0" xfId="0">
      <alignment horizontal="left" vertical="center" wrapText="1"/>
      <protection locked="0" hidden="0"/>
    </xf>
    <xf numFmtId="0" fontId="13" fillId="6" borderId="1" applyAlignment="1" applyProtection="1" pivotButton="0" quotePrefix="0" xfId="2">
      <alignment horizontal="center" vertical="center" wrapText="1"/>
      <protection locked="0" hidden="0"/>
    </xf>
    <xf numFmtId="0" fontId="13" fillId="6" borderId="1" applyAlignment="1" applyProtection="1" pivotButton="0" quotePrefix="0" xfId="0">
      <alignment horizontal="center" vertical="center" wrapText="1"/>
      <protection locked="0" hidden="0"/>
    </xf>
    <xf numFmtId="0" fontId="13" fillId="6" borderId="1" applyAlignment="1" applyProtection="1" pivotButton="0" quotePrefix="0" xfId="3">
      <alignment horizontal="left" vertical="center" wrapText="1"/>
      <protection locked="0" hidden="0"/>
    </xf>
    <xf numFmtId="0" fontId="13" fillId="6" borderId="2" applyAlignment="1" applyProtection="1" pivotButton="0" quotePrefix="0" xfId="2">
      <alignment horizontal="center" vertical="center" wrapText="1"/>
      <protection locked="0" hidden="0"/>
    </xf>
    <xf numFmtId="0" fontId="13" fillId="6" borderId="13" applyAlignment="1" applyProtection="1" pivotButton="0" quotePrefix="0" xfId="2">
      <alignment horizontal="center" vertical="center" wrapText="1"/>
      <protection locked="0" hidden="0"/>
    </xf>
    <xf numFmtId="0" fontId="13" fillId="0" borderId="35" applyAlignment="1" applyProtection="1" pivotButton="0" quotePrefix="0" xfId="3">
      <alignment horizontal="left" vertical="center" wrapText="1"/>
      <protection locked="0" hidden="0"/>
    </xf>
    <xf numFmtId="0" fontId="13" fillId="6" borderId="19" applyAlignment="1" applyProtection="1" pivotButton="0" quotePrefix="0" xfId="2">
      <alignment horizontal="center" vertical="center"/>
      <protection locked="0" hidden="0"/>
    </xf>
    <xf numFmtId="0" fontId="13" fillId="6" borderId="2" applyAlignment="1" applyProtection="1" pivotButton="0" quotePrefix="0" xfId="0">
      <alignment horizontal="left" vertical="center" wrapText="1"/>
      <protection locked="0" hidden="0"/>
    </xf>
    <xf numFmtId="0" fontId="13" fillId="6" borderId="13" applyAlignment="1" applyProtection="1" pivotButton="0" quotePrefix="0" xfId="0">
      <alignment horizontal="center" vertical="center" wrapText="1"/>
      <protection locked="0" hidden="0"/>
    </xf>
    <xf numFmtId="0" fontId="13" fillId="6" borderId="20" applyAlignment="1" applyProtection="1" pivotButton="0" quotePrefix="0" xfId="3">
      <alignment horizontal="left" vertical="center" wrapText="1"/>
      <protection locked="0" hidden="0"/>
    </xf>
    <xf numFmtId="0" fontId="13" fillId="10" borderId="17" applyAlignment="1" applyProtection="1" pivotButton="0" quotePrefix="0" xfId="0">
      <alignment horizontal="left" vertical="center" wrapText="1"/>
      <protection locked="0" hidden="0"/>
    </xf>
    <xf numFmtId="0" fontId="13" fillId="6" borderId="14" applyAlignment="1" applyProtection="1" pivotButton="0" quotePrefix="0" xfId="3">
      <alignment horizontal="left" vertical="center" wrapText="1"/>
      <protection locked="0" hidden="0"/>
    </xf>
    <xf numFmtId="0" fontId="20" fillId="7" borderId="14" applyAlignment="1" applyProtection="1" pivotButton="0" quotePrefix="0" xfId="0">
      <alignment horizontal="left" vertical="center" wrapText="1"/>
      <protection locked="0" hidden="0"/>
    </xf>
    <xf numFmtId="0" fontId="13" fillId="6" borderId="3" applyAlignment="1" applyProtection="1" pivotButton="0" quotePrefix="0" xfId="3">
      <alignment horizontal="center" vertical="center" wrapText="1"/>
      <protection locked="0" hidden="0"/>
    </xf>
    <xf numFmtId="0" fontId="13" fillId="6" borderId="17" applyAlignment="1" applyProtection="1" pivotButton="0" quotePrefix="0" xfId="3">
      <alignment horizontal="left" vertical="center" wrapText="1"/>
      <protection locked="0" hidden="0"/>
    </xf>
    <xf numFmtId="0" fontId="13" fillId="7" borderId="17" applyAlignment="1" applyProtection="1" pivotButton="0" quotePrefix="0" xfId="0">
      <alignment horizontal="left" vertical="center" wrapText="1"/>
      <protection locked="0" hidden="0"/>
    </xf>
    <xf numFmtId="0" fontId="13" fillId="6" borderId="1" applyAlignment="1" applyProtection="1" pivotButton="0" quotePrefix="0" xfId="3">
      <alignment horizontal="center" vertical="center" wrapText="1"/>
      <protection locked="0" hidden="0"/>
    </xf>
    <xf numFmtId="0" fontId="13" fillId="6" borderId="13" applyAlignment="1" applyProtection="1" pivotButton="0" quotePrefix="0" xfId="3">
      <alignment horizontal="left" vertical="center" wrapText="1"/>
      <protection locked="0" hidden="0"/>
    </xf>
    <xf numFmtId="0" fontId="13" fillId="6" borderId="1" applyAlignment="1" applyProtection="1" pivotButton="0" quotePrefix="0" xfId="3">
      <alignment vertical="center" wrapText="1"/>
      <protection locked="0" hidden="0"/>
    </xf>
    <xf numFmtId="0" fontId="15" fillId="6" borderId="1" applyAlignment="1" applyProtection="1" pivotButton="0" quotePrefix="0" xfId="2">
      <alignment horizontal="center" vertical="center" wrapText="1"/>
      <protection locked="0" hidden="0"/>
    </xf>
    <xf numFmtId="0" fontId="13" fillId="6" borderId="6" applyAlignment="1" applyProtection="1" pivotButton="0" quotePrefix="0" xfId="2">
      <alignment horizontal="center" vertical="center"/>
      <protection locked="0" hidden="0"/>
    </xf>
    <xf numFmtId="0" fontId="13" fillId="6" borderId="2" applyAlignment="1" applyProtection="1" pivotButton="0" quotePrefix="0" xfId="3">
      <alignment horizontal="left" vertical="center" wrapText="1"/>
      <protection locked="0" hidden="0"/>
    </xf>
    <xf numFmtId="0" fontId="13" fillId="6" borderId="15" applyAlignment="1" applyProtection="1" pivotButton="0" quotePrefix="0" xfId="3">
      <alignment horizontal="left" vertical="center" wrapText="1"/>
      <protection locked="0" hidden="0"/>
    </xf>
    <xf numFmtId="0" fontId="13" fillId="9" borderId="14" applyAlignment="1" applyProtection="1" pivotButton="0" quotePrefix="0" xfId="0">
      <alignment horizontal="left" vertical="center" wrapText="1"/>
      <protection locked="0" hidden="0"/>
    </xf>
    <xf numFmtId="0" fontId="13" fillId="9" borderId="17" applyAlignment="1" applyProtection="1" pivotButton="0" quotePrefix="0" xfId="3">
      <alignment horizontal="left" vertical="center" wrapText="1"/>
      <protection locked="0" hidden="0"/>
    </xf>
    <xf numFmtId="0" fontId="13" fillId="9" borderId="20" applyAlignment="1" applyProtection="1" pivotButton="0" quotePrefix="0" xfId="3">
      <alignment horizontal="left" vertical="center" wrapText="1"/>
      <protection locked="0" hidden="0"/>
    </xf>
    <xf numFmtId="0" fontId="13" fillId="0" borderId="8" applyAlignment="1" applyProtection="1" pivotButton="0" quotePrefix="0" xfId="2">
      <alignment horizontal="center" vertical="center"/>
      <protection locked="0" hidden="0"/>
    </xf>
    <xf numFmtId="0" fontId="13" fillId="0" borderId="1" applyAlignment="1" applyProtection="1" pivotButton="0" quotePrefix="0" xfId="0">
      <alignment horizontal="left" vertical="center" wrapText="1"/>
      <protection locked="0" hidden="0"/>
    </xf>
    <xf numFmtId="0" fontId="13" fillId="0" borderId="1" applyAlignment="1" applyProtection="1" pivotButton="0" quotePrefix="0" xfId="2">
      <alignment horizontal="center" vertical="center" wrapText="1"/>
      <protection locked="0" hidden="0"/>
    </xf>
    <xf numFmtId="0" fontId="13" fillId="0" borderId="1" applyAlignment="1" applyProtection="1" pivotButton="0" quotePrefix="0" xfId="0">
      <alignment horizontal="center" vertical="center" wrapText="1"/>
      <protection locked="0" hidden="0"/>
    </xf>
    <xf numFmtId="0" fontId="33" fillId="0" borderId="1" pivotButton="0" quotePrefix="0" xfId="0"/>
    <xf numFmtId="0" fontId="15" fillId="12" borderId="1" applyAlignment="1" applyProtection="1" pivotButton="0" quotePrefix="0" xfId="7">
      <alignment horizontal="center" vertical="center"/>
      <protection locked="0" hidden="0"/>
    </xf>
    <xf numFmtId="0" fontId="13" fillId="0" borderId="51" applyAlignment="1" applyProtection="1" pivotButton="0" quotePrefix="0" xfId="3">
      <alignment horizontal="left" vertical="center" wrapText="1"/>
      <protection locked="0" hidden="0"/>
    </xf>
    <xf numFmtId="0" fontId="31" fillId="10" borderId="17" applyAlignment="1" applyProtection="1" pivotButton="0" quotePrefix="0" xfId="0">
      <alignment horizontal="left" vertical="center" wrapText="1"/>
      <protection locked="0" hidden="0"/>
    </xf>
    <xf numFmtId="0" fontId="15" fillId="6" borderId="50" applyAlignment="1" applyProtection="1" pivotButton="0" quotePrefix="0" xfId="0">
      <alignment horizontal="center" vertical="center"/>
      <protection locked="0" hidden="0"/>
    </xf>
    <xf numFmtId="0" fontId="13" fillId="6" borderId="50" applyAlignment="1" applyProtection="1" pivotButton="0" quotePrefix="0" xfId="0">
      <alignment horizontal="center" vertical="center"/>
      <protection locked="0" hidden="0"/>
    </xf>
    <xf numFmtId="0" fontId="13" fillId="6" borderId="50" applyAlignment="1" applyProtection="1" pivotButton="0" quotePrefix="0" xfId="3">
      <alignment horizontal="center" vertical="center" wrapText="1"/>
      <protection locked="0" hidden="0"/>
    </xf>
    <xf numFmtId="0" fontId="35" fillId="6" borderId="1" applyAlignment="1" applyProtection="1" pivotButton="0" quotePrefix="0" xfId="0">
      <alignment horizontal="left" vertical="center" wrapText="1"/>
      <protection locked="0" hidden="0"/>
    </xf>
    <xf numFmtId="0" fontId="13" fillId="6" borderId="50" applyAlignment="1" applyProtection="1" pivotButton="0" quotePrefix="0" xfId="3">
      <alignment vertical="center" wrapText="1"/>
      <protection locked="0" hidden="0"/>
    </xf>
    <xf numFmtId="0" fontId="13" fillId="6" borderId="7" applyAlignment="1" applyProtection="1" pivotButton="0" quotePrefix="0" xfId="2">
      <alignment horizontal="center" vertical="center"/>
      <protection locked="0" hidden="0"/>
    </xf>
    <xf numFmtId="0" fontId="13" fillId="6" borderId="3" applyAlignment="1" applyProtection="1" pivotButton="0" quotePrefix="0" xfId="0">
      <alignment horizontal="left" vertical="center" wrapText="1"/>
      <protection locked="0" hidden="0"/>
    </xf>
    <xf numFmtId="0" fontId="13" fillId="0" borderId="14" applyAlignment="1" applyProtection="1" pivotButton="0" quotePrefix="0" xfId="2">
      <alignment horizontal="left" vertical="center" wrapText="1"/>
      <protection locked="0" hidden="0"/>
    </xf>
    <xf numFmtId="0" fontId="13" fillId="9" borderId="14" applyAlignment="1" applyProtection="1" pivotButton="0" quotePrefix="0" xfId="3">
      <alignment horizontal="left" vertical="center" wrapText="1"/>
      <protection locked="0" hidden="0"/>
    </xf>
    <xf numFmtId="0" fontId="13" fillId="6" borderId="17" applyAlignment="1" applyProtection="1" pivotButton="0" quotePrefix="0" xfId="3">
      <alignment horizontal="center" vertical="center" wrapText="1"/>
      <protection locked="0" hidden="0"/>
    </xf>
    <xf numFmtId="0" fontId="22" fillId="13" borderId="17" applyAlignment="1" applyProtection="1" pivotButton="0" quotePrefix="0" xfId="0">
      <alignment horizontal="center" vertical="center" wrapText="1"/>
      <protection locked="0" hidden="0"/>
    </xf>
    <xf numFmtId="0" fontId="22" fillId="6" borderId="17"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13" fillId="9" borderId="14" applyAlignment="1" applyProtection="1" pivotButton="0" quotePrefix="0" xfId="3">
      <alignment vertical="center" wrapText="1"/>
      <protection locked="0" hidden="0"/>
    </xf>
    <xf numFmtId="0" fontId="22" fillId="6" borderId="20" applyAlignment="1" applyProtection="1" pivotButton="0" quotePrefix="0" xfId="3">
      <alignment horizontal="center" vertical="center" wrapText="1"/>
      <protection locked="0" hidden="0"/>
    </xf>
    <xf numFmtId="0" fontId="35" fillId="6" borderId="14" applyAlignment="1" applyProtection="1" pivotButton="0" quotePrefix="0" xfId="0">
      <alignment horizontal="left" vertical="center" wrapText="1"/>
      <protection locked="0" hidden="0"/>
    </xf>
    <xf numFmtId="0" fontId="13" fillId="0" borderId="51" applyAlignment="1" applyProtection="1" pivotButton="0" quotePrefix="0" xfId="3">
      <alignment horizontal="left" vertical="center"/>
      <protection locked="0" hidden="0"/>
    </xf>
    <xf numFmtId="0" fontId="9" fillId="9" borderId="54" applyAlignment="1" applyProtection="1" pivotButton="0" quotePrefix="0" xfId="2">
      <alignment horizontal="left" vertical="center" wrapText="1"/>
      <protection locked="0" hidden="0"/>
    </xf>
    <xf numFmtId="0" fontId="38" fillId="4" borderId="37" applyAlignment="1" applyProtection="1" pivotButton="0" quotePrefix="0" xfId="3">
      <alignment horizontal="left" vertical="center" wrapText="1"/>
      <protection locked="0" hidden="0"/>
    </xf>
    <xf numFmtId="0" fontId="20" fillId="0" borderId="37" applyAlignment="1" applyProtection="1" pivotButton="0" quotePrefix="0" xfId="3">
      <alignment horizontal="left" vertical="center" wrapText="1"/>
      <protection locked="0" hidden="0"/>
    </xf>
    <xf numFmtId="0" fontId="13" fillId="0" borderId="30" applyAlignment="1" applyProtection="1" pivotButton="0" quotePrefix="0" xfId="3">
      <alignment horizontal="left" vertical="center" wrapText="1"/>
      <protection locked="0" hidden="0"/>
    </xf>
    <xf numFmtId="0" fontId="38" fillId="4" borderId="7" applyAlignment="1" applyProtection="1" pivotButton="0" quotePrefix="0" xfId="2">
      <alignment horizontal="center" vertical="center"/>
      <protection locked="0" hidden="0"/>
    </xf>
    <xf numFmtId="0" fontId="48" fillId="4" borderId="3" applyAlignment="1" applyProtection="1" pivotButton="0" quotePrefix="0" xfId="2">
      <alignment horizontal="center" vertical="center" wrapText="1"/>
      <protection locked="0" hidden="0"/>
    </xf>
    <xf numFmtId="0" fontId="48" fillId="4" borderId="3" applyAlignment="1" applyProtection="1" pivotButton="0" quotePrefix="0" xfId="3">
      <alignment horizontal="center" vertical="center" wrapText="1"/>
      <protection locked="0" hidden="0"/>
    </xf>
    <xf numFmtId="0" fontId="48" fillId="4" borderId="17" applyAlignment="1" applyProtection="1" pivotButton="0" quotePrefix="0" xfId="3">
      <alignment horizontal="left" vertical="center" wrapText="1"/>
      <protection locked="0" hidden="0"/>
    </xf>
    <xf numFmtId="49" fontId="48" fillId="4" borderId="62" applyAlignment="1" applyProtection="1" pivotButton="0" quotePrefix="0" xfId="0">
      <alignment vertical="center" wrapText="1"/>
      <protection locked="0" hidden="0"/>
    </xf>
    <xf numFmtId="0" fontId="48" fillId="4" borderId="3" applyAlignment="1" applyProtection="1" pivotButton="0" quotePrefix="0" xfId="3">
      <alignment horizontal="left" vertical="center" wrapText="1"/>
      <protection locked="0" hidden="0"/>
    </xf>
    <xf numFmtId="0" fontId="38" fillId="4" borderId="3" applyAlignment="1" applyProtection="1" pivotButton="0" quotePrefix="0" xfId="3">
      <alignment horizontal="left" vertical="center" wrapText="1"/>
      <protection locked="0" hidden="0"/>
    </xf>
    <xf numFmtId="0" fontId="13" fillId="0" borderId="1" applyAlignment="1" applyProtection="1" pivotButton="0" quotePrefix="0" xfId="3">
      <alignment horizontal="left" vertical="center" wrapText="1"/>
      <protection locked="0" hidden="0"/>
    </xf>
    <xf numFmtId="0" fontId="13" fillId="0" borderId="17" applyAlignment="1" applyProtection="1" pivotButton="0" quotePrefix="0" xfId="3">
      <alignment horizontal="center" vertical="center" wrapText="1"/>
      <protection locked="0" hidden="0"/>
    </xf>
    <xf numFmtId="0" fontId="13" fillId="0" borderId="14" applyAlignment="1" applyProtection="1" pivotButton="0" quotePrefix="0" xfId="3">
      <alignment horizontal="center" vertical="center" wrapText="1"/>
      <protection locked="0" hidden="0"/>
    </xf>
    <xf numFmtId="0" fontId="13" fillId="0" borderId="14" applyAlignment="1" applyProtection="1" pivotButton="0" quotePrefix="0" xfId="5">
      <alignment horizontal="center" vertical="center" wrapText="1"/>
      <protection locked="0" hidden="0"/>
    </xf>
    <xf numFmtId="0" fontId="20" fillId="0" borderId="14" applyAlignment="1" applyProtection="1" pivotButton="0" quotePrefix="0" xfId="3">
      <alignment horizontal="left" vertical="center" wrapText="1"/>
      <protection locked="0" hidden="0"/>
    </xf>
    <xf numFmtId="0" fontId="13" fillId="0" borderId="14" applyAlignment="1" applyProtection="1" pivotButton="0" quotePrefix="0" xfId="3">
      <alignment horizontal="left" vertical="center" wrapText="1"/>
      <protection locked="0" hidden="0"/>
    </xf>
    <xf numFmtId="0" fontId="13" fillId="0" borderId="15" applyAlignment="1" applyProtection="1" pivotButton="0" quotePrefix="0" xfId="3">
      <alignment horizontal="center" vertical="center" wrapText="1"/>
      <protection locked="0" hidden="0"/>
    </xf>
    <xf numFmtId="0" fontId="13" fillId="0" borderId="17" applyAlignment="1" applyProtection="1" pivotButton="0" quotePrefix="0" xfId="3">
      <alignment horizontal="left" vertical="center" wrapText="1"/>
      <protection locked="0" hidden="0"/>
    </xf>
    <xf numFmtId="0" fontId="13" fillId="0" borderId="20" applyAlignment="1" applyProtection="1" pivotButton="0" quotePrefix="0" xfId="3">
      <alignment horizontal="left" vertical="center" wrapText="1"/>
      <protection locked="0" hidden="0"/>
    </xf>
    <xf numFmtId="0" fontId="13" fillId="0" borderId="2" applyAlignment="1" applyProtection="1" pivotButton="0" quotePrefix="0" xfId="3">
      <alignment horizontal="left" vertical="center" wrapText="1"/>
      <protection locked="0" hidden="0"/>
    </xf>
    <xf numFmtId="0" fontId="13" fillId="9" borderId="14" applyAlignment="1" applyProtection="1" pivotButton="0" quotePrefix="0" xfId="2">
      <alignment horizontal="left" vertical="center" wrapText="1"/>
      <protection locked="0" hidden="0"/>
    </xf>
    <xf numFmtId="0" fontId="13" fillId="0" borderId="17" applyAlignment="1" applyProtection="1" pivotButton="0" quotePrefix="0" xfId="2">
      <alignment horizontal="left" vertical="center" wrapText="1"/>
      <protection locked="0" hidden="0"/>
    </xf>
    <xf numFmtId="0" fontId="13" fillId="0" borderId="17" applyAlignment="1" applyProtection="1" pivotButton="0" quotePrefix="0" xfId="0">
      <alignment vertical="center"/>
      <protection locked="0" hidden="0"/>
    </xf>
    <xf numFmtId="0" fontId="13" fillId="0" borderId="45" applyAlignment="1" applyProtection="1" pivotButton="0" quotePrefix="0" xfId="3">
      <alignment horizontal="left" vertical="center" wrapText="1"/>
      <protection locked="0" hidden="0"/>
    </xf>
    <xf numFmtId="0" fontId="13" fillId="0" borderId="15" applyAlignment="1" applyProtection="1" pivotButton="0" quotePrefix="0" xfId="0">
      <alignment horizontal="left" vertical="center" wrapText="1"/>
      <protection locked="0" hidden="0"/>
    </xf>
    <xf numFmtId="0" fontId="13" fillId="0" borderId="15" applyAlignment="1" applyProtection="1" pivotButton="0" quotePrefix="0" xfId="3">
      <alignment horizontal="left" vertical="center" wrapText="1"/>
      <protection locked="0" hidden="0"/>
    </xf>
    <xf numFmtId="0" fontId="13" fillId="0" borderId="14" applyAlignment="1" applyProtection="1" pivotButton="0" quotePrefix="0" xfId="0">
      <alignment horizontal="left" vertical="center" wrapText="1"/>
      <protection locked="0" hidden="0"/>
    </xf>
    <xf numFmtId="0" fontId="13" fillId="0" borderId="16" applyAlignment="1" applyProtection="1" pivotButton="0" quotePrefix="0" xfId="2">
      <alignment horizontal="center" vertical="center" wrapText="1"/>
      <protection locked="0" hidden="0"/>
    </xf>
    <xf numFmtId="0" fontId="13" fillId="0" borderId="28" applyAlignment="1" applyProtection="1" pivotButton="0" quotePrefix="0" xfId="3">
      <alignment horizontal="left" vertical="center" wrapText="1"/>
      <protection locked="0" hidden="0"/>
    </xf>
    <xf numFmtId="0" fontId="13" fillId="0" borderId="7" applyAlignment="1" applyProtection="1" pivotButton="0" quotePrefix="0" xfId="2">
      <alignment horizontal="center" vertical="center"/>
      <protection locked="0" hidden="0"/>
    </xf>
    <xf numFmtId="0" fontId="13" fillId="0" borderId="3" applyAlignment="1" applyProtection="1" pivotButton="0" quotePrefix="0" xfId="0">
      <alignment horizontal="center" vertical="center" wrapText="1"/>
      <protection locked="0" hidden="0"/>
    </xf>
    <xf numFmtId="0" fontId="13" fillId="0" borderId="1" applyAlignment="1" applyProtection="1" pivotButton="0" quotePrefix="0" xfId="3">
      <alignment horizontal="center" vertical="center" wrapText="1"/>
      <protection locked="0" hidden="0"/>
    </xf>
    <xf numFmtId="0" fontId="13" fillId="0" borderId="2" applyAlignment="1" applyProtection="1" pivotButton="0" quotePrefix="0" xfId="2">
      <alignment horizontal="center" vertical="center"/>
      <protection locked="0" hidden="0"/>
    </xf>
    <xf numFmtId="0" fontId="13" fillId="0" borderId="2" applyAlignment="1" applyProtection="1" pivotButton="0" quotePrefix="0" xfId="2">
      <alignment horizontal="center" vertical="center" wrapText="1"/>
      <protection locked="0" hidden="0"/>
    </xf>
    <xf numFmtId="0" fontId="13" fillId="0" borderId="2" applyAlignment="1" applyProtection="1" pivotButton="0" quotePrefix="0" xfId="3">
      <alignment horizontal="center" vertical="center" wrapText="1"/>
      <protection locked="0" hidden="0"/>
    </xf>
    <xf numFmtId="0" fontId="13" fillId="0" borderId="3" applyAlignment="1" applyProtection="1" pivotButton="0" quotePrefix="0" xfId="0">
      <alignment horizontal="left" vertical="center" wrapText="1"/>
      <protection locked="0" hidden="0"/>
    </xf>
    <xf numFmtId="0" fontId="13" fillId="0" borderId="3" applyAlignment="1" applyProtection="1" pivotButton="0" quotePrefix="0" xfId="2">
      <alignment horizontal="center" vertical="center" wrapText="1"/>
      <protection locked="0" hidden="0"/>
    </xf>
    <xf numFmtId="0" fontId="15" fillId="0" borderId="3" applyAlignment="1" applyProtection="1" pivotButton="0" quotePrefix="0" xfId="0">
      <alignment horizontal="center" vertical="center" wrapText="1"/>
      <protection locked="0" hidden="0"/>
    </xf>
    <xf numFmtId="0" fontId="13" fillId="0" borderId="3" applyAlignment="1" applyProtection="1" pivotButton="0" quotePrefix="0" xfId="3">
      <alignment vertical="center" wrapText="1"/>
      <protection locked="0" hidden="0"/>
    </xf>
    <xf numFmtId="0" fontId="13" fillId="0" borderId="3" applyAlignment="1" applyProtection="1" pivotButton="0" quotePrefix="0" xfId="3">
      <alignment horizontal="center" vertical="center" wrapText="1"/>
      <protection locked="0" hidden="0"/>
    </xf>
    <xf numFmtId="0" fontId="13" fillId="6" borderId="1" applyAlignment="1" applyProtection="1" pivotButton="0" quotePrefix="0" xfId="2">
      <alignment horizontal="center" vertical="center"/>
      <protection locked="0" hidden="0"/>
    </xf>
    <xf numFmtId="0" fontId="13" fillId="0" borderId="0" applyAlignment="1" applyProtection="1" pivotButton="0" quotePrefix="0" xfId="3">
      <alignment horizontal="center" vertical="center"/>
      <protection locked="0" hidden="0"/>
    </xf>
    <xf numFmtId="0" fontId="13" fillId="0" borderId="1" applyAlignment="1" applyProtection="1" pivotButton="0" quotePrefix="0" xfId="3">
      <alignment horizontal="center" vertical="center"/>
      <protection locked="0" hidden="0"/>
    </xf>
    <xf numFmtId="0" fontId="13" fillId="0" borderId="6" applyAlignment="1" applyProtection="1" pivotButton="0" quotePrefix="0" xfId="2">
      <alignment horizontal="center" vertical="center"/>
      <protection locked="0" hidden="0"/>
    </xf>
    <xf numFmtId="0" fontId="13" fillId="0" borderId="2" applyAlignment="1" applyProtection="1" pivotButton="0" quotePrefix="0" xfId="0">
      <alignment horizontal="center" vertical="center" wrapText="1"/>
      <protection locked="0" hidden="0"/>
    </xf>
    <xf numFmtId="0" fontId="13" fillId="0" borderId="13" applyAlignment="1" applyProtection="1" pivotButton="0" quotePrefix="0" xfId="0">
      <alignment horizontal="center" vertical="center" wrapText="1"/>
      <protection locked="0" hidden="0"/>
    </xf>
    <xf numFmtId="0" fontId="13" fillId="7" borderId="1" applyAlignment="1" applyProtection="1" pivotButton="0" quotePrefix="0" xfId="0">
      <alignment horizontal="center" vertical="center" wrapText="1"/>
      <protection locked="0" hidden="0"/>
    </xf>
    <xf numFmtId="0" fontId="22" fillId="6" borderId="1" applyAlignment="1" applyProtection="1" pivotButton="0" quotePrefix="0" xfId="3">
      <alignment horizontal="center" vertical="center" wrapText="1"/>
      <protection locked="0" hidden="0"/>
    </xf>
    <xf numFmtId="0" fontId="7" fillId="0" borderId="22" pivotButton="0" quotePrefix="0" xfId="10"/>
    <xf numFmtId="0" fontId="7" fillId="0" borderId="25" pivotButton="0" quotePrefix="0" xfId="10"/>
    <xf numFmtId="0" fontId="7" fillId="0" borderId="23" pivotButton="0" quotePrefix="0" xfId="10"/>
    <xf numFmtId="0" fontId="7" fillId="0" borderId="56" pivotButton="0" quotePrefix="0" xfId="10"/>
    <xf numFmtId="0" fontId="26" fillId="0" borderId="5" applyAlignment="1" pivotButton="0" quotePrefix="0" xfId="10">
      <alignment horizontal="center"/>
    </xf>
    <xf numFmtId="0" fontId="26" fillId="0" borderId="4" applyAlignment="1" pivotButton="0" quotePrefix="0" xfId="10">
      <alignment horizontal="center"/>
    </xf>
    <xf numFmtId="0" fontId="26" fillId="0" borderId="34" applyAlignment="1" pivotButton="0" quotePrefix="0" xfId="10">
      <alignment horizontal="center"/>
    </xf>
    <xf numFmtId="0" fontId="7" fillId="0" borderId="24" pivotButton="0" quotePrefix="0" xfId="10"/>
    <xf numFmtId="0" fontId="27" fillId="0" borderId="44" applyAlignment="1" pivotButton="0" quotePrefix="0" xfId="10">
      <alignment vertical="center"/>
    </xf>
    <xf numFmtId="0" fontId="27" fillId="0" borderId="47" applyAlignment="1" pivotButton="0" quotePrefix="0" xfId="10">
      <alignment horizontal="center" vertical="center" wrapText="1"/>
    </xf>
    <xf numFmtId="0" fontId="27" fillId="0" borderId="8" applyAlignment="1" pivotButton="0" quotePrefix="0" xfId="10">
      <alignment vertical="center"/>
    </xf>
    <xf numFmtId="0" fontId="27" fillId="0" borderId="41" applyAlignment="1" pivotButton="0" quotePrefix="0" xfId="10">
      <alignment horizontal="center" vertical="center" wrapText="1"/>
    </xf>
    <xf numFmtId="0" fontId="28" fillId="0" borderId="41" applyAlignment="1" pivotButton="0" quotePrefix="0" xfId="10">
      <alignment horizontal="center" vertical="center" wrapText="1"/>
    </xf>
    <xf numFmtId="0" fontId="28" fillId="0" borderId="48" applyAlignment="1" pivotButton="0" quotePrefix="0" xfId="10">
      <alignment horizontal="center" vertical="center" wrapText="1"/>
    </xf>
    <xf numFmtId="0" fontId="27" fillId="0" borderId="7" applyAlignment="1" pivotButton="0" quotePrefix="0" xfId="10">
      <alignment vertical="center"/>
    </xf>
    <xf numFmtId="0" fontId="27" fillId="0" borderId="60" applyAlignment="1" pivotButton="0" quotePrefix="0" xfId="10">
      <alignment horizontal="center" vertical="center" wrapText="1"/>
    </xf>
    <xf numFmtId="0" fontId="29" fillId="0" borderId="8" applyAlignment="1" pivotButton="0" quotePrefix="0" xfId="10">
      <alignment vertical="center"/>
    </xf>
    <xf numFmtId="0" fontId="29" fillId="0" borderId="9" applyAlignment="1" pivotButton="0" quotePrefix="0" xfId="10">
      <alignment vertical="center"/>
    </xf>
    <xf numFmtId="0" fontId="7" fillId="0" borderId="28" applyAlignment="1" pivotButton="0" quotePrefix="0" xfId="10">
      <alignment wrapText="1"/>
    </xf>
    <xf numFmtId="0" fontId="27" fillId="0" borderId="57" applyAlignment="1" pivotButton="0" quotePrefix="0" xfId="10">
      <alignment vertical="center"/>
    </xf>
    <xf numFmtId="0" fontId="28" fillId="0" borderId="53" applyAlignment="1" pivotButton="0" quotePrefix="0" xfId="10">
      <alignment horizontal="center" vertical="center" wrapText="1"/>
    </xf>
    <xf numFmtId="0" fontId="29" fillId="0" borderId="7" applyAlignment="1" pivotButton="0" quotePrefix="0" xfId="10">
      <alignment horizontal="left" vertical="center" wrapText="1"/>
    </xf>
    <xf numFmtId="9" fontId="28" fillId="0" borderId="49" applyAlignment="1" pivotButton="0" quotePrefix="0" xfId="11">
      <alignment horizontal="center" vertical="center" wrapText="1"/>
    </xf>
    <xf numFmtId="0" fontId="29" fillId="0" borderId="8" applyAlignment="1" pivotButton="0" quotePrefix="0" xfId="10">
      <alignment horizontal="left" vertical="center" wrapText="1"/>
    </xf>
    <xf numFmtId="9" fontId="28" fillId="0" borderId="43" applyAlignment="1" pivotButton="0" quotePrefix="0" xfId="11">
      <alignment horizontal="center" vertical="center" wrapText="1"/>
    </xf>
    <xf numFmtId="0" fontId="29" fillId="0" borderId="9" applyAlignment="1" pivotButton="0" quotePrefix="0" xfId="10">
      <alignment horizontal="left" vertical="center" wrapText="1"/>
    </xf>
    <xf numFmtId="9" fontId="28" fillId="0" borderId="48" applyAlignment="1" pivotButton="0" quotePrefix="0" xfId="11">
      <alignment horizontal="center" vertical="center" wrapText="1"/>
    </xf>
    <xf numFmtId="0" fontId="7" fillId="0" borderId="26" pivotButton="0" quotePrefix="0" xfId="10"/>
    <xf numFmtId="0" fontId="7" fillId="0" borderId="25" applyAlignment="1" pivotButton="0" quotePrefix="0" xfId="10">
      <alignment horizontal="left" vertical="center"/>
    </xf>
    <xf numFmtId="0" fontId="26" fillId="0" borderId="40" applyAlignment="1" pivotButton="0" quotePrefix="0" xfId="10">
      <alignment horizontal="left" vertical="center"/>
    </xf>
    <xf numFmtId="0" fontId="27" fillId="0" borderId="46" applyAlignment="1" pivotButton="0" quotePrefix="0" xfId="10">
      <alignment horizontal="left" vertical="center" wrapText="1"/>
    </xf>
    <xf numFmtId="0" fontId="27" fillId="0" borderId="42" applyAlignment="1" pivotButton="0" quotePrefix="0" xfId="10">
      <alignment horizontal="left" vertical="center" wrapText="1"/>
    </xf>
    <xf numFmtId="0" fontId="28" fillId="0" borderId="42" applyAlignment="1" pivotButton="0" quotePrefix="0" xfId="10">
      <alignment horizontal="left" vertical="center" wrapText="1"/>
    </xf>
    <xf numFmtId="0" fontId="28" fillId="0" borderId="58" applyAlignment="1" pivotButton="0" quotePrefix="0" xfId="10">
      <alignment horizontal="left" vertical="center" wrapText="1"/>
    </xf>
    <xf numFmtId="0" fontId="27" fillId="0" borderId="59" applyAlignment="1" pivotButton="0" quotePrefix="0" xfId="10">
      <alignment horizontal="left" vertical="center" wrapText="1"/>
    </xf>
    <xf numFmtId="0" fontId="28" fillId="0" borderId="55" applyAlignment="1" pivotButton="0" quotePrefix="0" xfId="10">
      <alignment horizontal="left" vertical="center" wrapText="1"/>
    </xf>
    <xf numFmtId="0" fontId="30" fillId="0" borderId="3" applyAlignment="1" pivotButton="0" quotePrefix="0" xfId="10">
      <alignment horizontal="left" vertical="center" wrapText="1"/>
    </xf>
    <xf numFmtId="0" fontId="30" fillId="0" borderId="1" applyAlignment="1" pivotButton="0" quotePrefix="0" xfId="10">
      <alignment horizontal="left" vertical="center" wrapText="1"/>
    </xf>
    <xf numFmtId="0" fontId="30" fillId="0" borderId="10" applyAlignment="1" pivotButton="0" quotePrefix="0" xfId="10">
      <alignment horizontal="left" vertical="center" wrapText="1"/>
    </xf>
    <xf numFmtId="0" fontId="7" fillId="0" borderId="26" applyAlignment="1" pivotButton="0" quotePrefix="0" xfId="10">
      <alignment horizontal="left" vertical="center"/>
    </xf>
    <xf numFmtId="0" fontId="7" fillId="0" borderId="22" applyAlignment="1" pivotButton="0" quotePrefix="0" xfId="10">
      <alignment horizontal="left" vertical="center"/>
    </xf>
    <xf numFmtId="2" fontId="6" fillId="9" borderId="1" applyAlignment="1" applyProtection="1" pivotButton="0" quotePrefix="0" xfId="12">
      <alignment horizontal="center" vertical="center"/>
      <protection locked="0" hidden="0"/>
    </xf>
    <xf numFmtId="4" fontId="28" fillId="0" borderId="41" applyAlignment="1" pivotButton="0" quotePrefix="0" xfId="10">
      <alignment horizontal="center" vertical="center" wrapText="1"/>
    </xf>
    <xf numFmtId="0" fontId="28" fillId="4" borderId="0" applyAlignment="1" pivotButton="0" quotePrefix="0" xfId="10">
      <alignment wrapText="1"/>
    </xf>
    <xf numFmtId="0" fontId="21" fillId="0" borderId="3" applyAlignment="1" applyProtection="1" pivotButton="0" quotePrefix="0" xfId="3">
      <alignment vertical="center" wrapText="1"/>
      <protection locked="0" hidden="0"/>
    </xf>
    <xf numFmtId="0" fontId="37" fillId="0" borderId="2" applyAlignment="1" applyProtection="1" pivotButton="0" quotePrefix="0" xfId="3">
      <alignment horizontal="left" vertical="center" wrapText="1"/>
      <protection locked="0" hidden="0"/>
    </xf>
    <xf numFmtId="0" fontId="13" fillId="0" borderId="20" applyAlignment="1" applyProtection="1" pivotButton="0" quotePrefix="0" xfId="3">
      <alignment horizontal="center" vertical="center" wrapText="1"/>
      <protection locked="0" hidden="0"/>
    </xf>
    <xf numFmtId="0" fontId="22" fillId="9" borderId="37" applyAlignment="1" applyProtection="1" pivotButton="0" quotePrefix="0" xfId="3">
      <alignment horizontal="left" vertical="center" wrapText="1"/>
      <protection locked="0" hidden="0"/>
    </xf>
    <xf numFmtId="0" fontId="20" fillId="13" borderId="17" applyAlignment="1" applyProtection="1" pivotButton="0" quotePrefix="0" xfId="0">
      <alignment horizontal="left" vertical="center" wrapText="1"/>
      <protection locked="0" hidden="0"/>
    </xf>
    <xf numFmtId="0" fontId="13" fillId="4" borderId="7" applyAlignment="1" applyProtection="1" pivotButton="0" quotePrefix="0" xfId="2">
      <alignment horizontal="center" vertical="center"/>
      <protection locked="0" hidden="0"/>
    </xf>
    <xf numFmtId="0" fontId="13" fillId="6" borderId="17" applyAlignment="1" applyProtection="1" pivotButton="0" quotePrefix="0" xfId="2">
      <alignment horizontal="left" vertical="center" wrapText="1"/>
      <protection locked="0" hidden="0"/>
    </xf>
    <xf numFmtId="0" fontId="13" fillId="0" borderId="37" applyAlignment="1" applyProtection="1" pivotButton="0" quotePrefix="0" xfId="3">
      <alignment horizontal="center" vertical="center" wrapText="1"/>
      <protection locked="0" hidden="0"/>
    </xf>
    <xf numFmtId="0" fontId="13" fillId="0" borderId="51" applyAlignment="1" applyProtection="1" pivotButton="0" quotePrefix="0" xfId="3">
      <alignment horizontal="center" vertical="center" wrapText="1"/>
      <protection locked="0" hidden="0"/>
    </xf>
    <xf numFmtId="0" fontId="13" fillId="0" borderId="0" applyAlignment="1" applyProtection="1" pivotButton="0" quotePrefix="0" xfId="3">
      <alignment horizontal="left" vertical="center" wrapText="1"/>
      <protection locked="0" hidden="0"/>
    </xf>
    <xf numFmtId="0" fontId="13" fillId="0" borderId="16" applyAlignment="1" pivotButton="0" quotePrefix="0" xfId="2">
      <alignment horizontal="center" vertical="center" wrapText="1"/>
    </xf>
    <xf numFmtId="0" fontId="13" fillId="0" borderId="16" applyAlignment="1" pivotButton="0" quotePrefix="0" xfId="2">
      <alignment horizontal="left" vertical="center" wrapText="1"/>
    </xf>
    <xf numFmtId="0" fontId="13" fillId="0" borderId="4" applyAlignment="1" pivotButton="0" quotePrefix="0" xfId="2">
      <alignment horizontal="center" vertical="center" wrapText="1"/>
    </xf>
    <xf numFmtId="0" fontId="13" fillId="0" borderId="4" applyAlignment="1" pivotButton="0" quotePrefix="0" xfId="3">
      <alignment horizontal="left" vertical="center" wrapText="1"/>
    </xf>
    <xf numFmtId="0" fontId="13" fillId="0" borderId="4" applyAlignment="1" pivotButton="0" quotePrefix="0" xfId="0">
      <alignment horizontal="center" vertical="center" wrapText="1"/>
    </xf>
    <xf numFmtId="0" fontId="13" fillId="0" borderId="2" applyAlignment="1" pivotButton="0" quotePrefix="0" xfId="2">
      <alignment horizontal="center" vertical="center" wrapText="1"/>
    </xf>
    <xf numFmtId="0" fontId="13" fillId="0" borderId="13" applyAlignment="1" pivotButton="0" quotePrefix="0" xfId="2">
      <alignment horizontal="center" vertical="center" wrapText="1"/>
    </xf>
    <xf numFmtId="0" fontId="13" fillId="0" borderId="13" applyAlignment="1" pivotButton="0" quotePrefix="0" xfId="0">
      <alignment horizontal="center" vertical="center" wrapText="1"/>
    </xf>
    <xf numFmtId="0" fontId="38" fillId="0" borderId="0" applyProtection="1" pivotButton="0" quotePrefix="0" xfId="3">
      <protection locked="0" hidden="0"/>
    </xf>
    <xf numFmtId="0" fontId="38" fillId="0" borderId="0" applyProtection="1" pivotButton="0" quotePrefix="0" xfId="0">
      <protection locked="0" hidden="0"/>
    </xf>
    <xf numFmtId="0" fontId="47" fillId="0" borderId="0" applyAlignment="1" applyProtection="1" pivotButton="0" quotePrefix="0" xfId="3">
      <alignment horizontal="center" vertical="center" wrapText="1"/>
      <protection locked="0" hidden="0"/>
    </xf>
    <xf numFmtId="0" fontId="13" fillId="0" borderId="0" applyAlignment="1" applyProtection="1" pivotButton="0" quotePrefix="0" xfId="0">
      <alignment horizontal="center" vertical="center"/>
      <protection locked="0" hidden="0"/>
    </xf>
    <xf numFmtId="0" fontId="13" fillId="0" borderId="0" applyAlignment="1" applyProtection="1" pivotButton="0" quotePrefix="0" xfId="0">
      <alignment horizontal="center" vertical="center" wrapText="1"/>
      <protection locked="0" hidden="0"/>
    </xf>
    <xf numFmtId="0" fontId="13" fillId="0" borderId="17" applyAlignment="1" pivotButton="0" quotePrefix="0" xfId="3">
      <alignment horizontal="left" vertical="center" wrapText="1"/>
    </xf>
    <xf numFmtId="0" fontId="13" fillId="0" borderId="3" applyAlignment="1" pivotButton="0" quotePrefix="0" xfId="2">
      <alignment horizontal="center" vertical="center" wrapText="1"/>
    </xf>
    <xf numFmtId="0" fontId="13" fillId="0" borderId="3" applyAlignment="1" pivotButton="0" quotePrefix="0" xfId="3">
      <alignment horizontal="left" vertical="center" wrapText="1"/>
    </xf>
    <xf numFmtId="0" fontId="13" fillId="0" borderId="3" applyAlignment="1" pivotButton="0" quotePrefix="0" xfId="0">
      <alignment horizontal="center" vertical="center" wrapText="1"/>
    </xf>
    <xf numFmtId="0" fontId="13" fillId="0" borderId="0" applyProtection="1" pivotButton="0" quotePrefix="0" xfId="3">
      <protection locked="0" hidden="0"/>
    </xf>
    <xf numFmtId="0" fontId="13" fillId="0" borderId="0" applyProtection="1" pivotButton="0" quotePrefix="0" xfId="0">
      <protection locked="0" hidden="0"/>
    </xf>
    <xf numFmtId="0" fontId="15" fillId="0" borderId="0" applyAlignment="1" applyProtection="1" pivotButton="0" quotePrefix="0" xfId="3">
      <alignment horizontal="center" vertical="center"/>
      <protection locked="0" hidden="0"/>
    </xf>
    <xf numFmtId="0" fontId="13" fillId="0" borderId="17" applyAlignment="1" pivotButton="0" quotePrefix="0" xfId="0">
      <alignment horizontal="left" vertical="center" wrapText="1"/>
    </xf>
    <xf numFmtId="0" fontId="13" fillId="0" borderId="14" applyAlignment="1" pivotButton="0" quotePrefix="0" xfId="3">
      <alignment horizontal="left" vertical="center" wrapText="1"/>
    </xf>
    <xf numFmtId="0" fontId="13" fillId="0" borderId="1" applyAlignment="1" pivotButton="0" quotePrefix="0" xfId="2">
      <alignment horizontal="center" vertical="center" wrapText="1"/>
    </xf>
    <xf numFmtId="0" fontId="13" fillId="0" borderId="1" applyAlignment="1" pivotButton="0" quotePrefix="0" xfId="0">
      <alignment horizontal="center" vertical="center" wrapText="1"/>
    </xf>
    <xf numFmtId="0" fontId="13" fillId="0" borderId="3" applyAlignment="1" pivotButton="0" quotePrefix="0" xfId="3">
      <alignment horizontal="center" vertical="center" wrapText="1"/>
    </xf>
    <xf numFmtId="0" fontId="13" fillId="0" borderId="0" applyAlignment="1" applyProtection="1" pivotButton="0" quotePrefix="0" xfId="3">
      <alignment vertical="center" wrapText="1"/>
      <protection locked="0" hidden="0"/>
    </xf>
    <xf numFmtId="0" fontId="13" fillId="0" borderId="51" applyAlignment="1" applyProtection="1" pivotButton="0" quotePrefix="0" xfId="3">
      <alignment vertical="center" wrapText="1"/>
      <protection locked="0" hidden="0"/>
    </xf>
    <xf numFmtId="0" fontId="13" fillId="0" borderId="20" applyAlignment="1" pivotButton="0" quotePrefix="0" xfId="3">
      <alignment horizontal="left" vertical="center" wrapText="1"/>
    </xf>
    <xf numFmtId="0" fontId="13" fillId="0" borderId="13" applyAlignment="1" pivotButton="0" quotePrefix="0" xfId="3">
      <alignment horizontal="center" vertical="center" wrapText="1"/>
    </xf>
    <xf numFmtId="0" fontId="13" fillId="0" borderId="2" applyAlignment="1" pivotButton="0" quotePrefix="0" xfId="3">
      <alignment horizontal="left" vertical="center" wrapText="1"/>
    </xf>
    <xf numFmtId="0" fontId="13" fillId="0" borderId="37" applyAlignment="1" applyProtection="1" pivotButton="0" quotePrefix="0" xfId="3">
      <alignment vertical="center" wrapText="1"/>
      <protection locked="0" hidden="0"/>
    </xf>
    <xf numFmtId="0" fontId="13" fillId="0" borderId="1" applyAlignment="1" pivotButton="0" quotePrefix="0" xfId="3">
      <alignment horizontal="center" vertical="center" wrapText="1"/>
    </xf>
    <xf numFmtId="0" fontId="9" fillId="0" borderId="0" applyProtection="1" pivotButton="0" quotePrefix="0" xfId="0">
      <protection locked="0" hidden="0"/>
    </xf>
    <xf numFmtId="0" fontId="13" fillId="0" borderId="14" applyAlignment="1" pivotButton="0" quotePrefix="0" xfId="0">
      <alignment horizontal="left" vertical="center" wrapText="1"/>
    </xf>
    <xf numFmtId="0" fontId="12" fillId="0" borderId="50" applyAlignment="1" pivotButton="0" quotePrefix="0" xfId="6">
      <alignment vertical="center" wrapText="1"/>
    </xf>
    <xf numFmtId="0" fontId="12" fillId="0" borderId="50" applyAlignment="1" pivotButton="0" quotePrefix="0" xfId="3">
      <alignment vertical="center" wrapText="1"/>
    </xf>
    <xf numFmtId="0" fontId="13" fillId="0" borderId="1" applyAlignment="1" pivotButton="0" quotePrefix="0" xfId="3">
      <alignment vertical="center" wrapText="1"/>
    </xf>
    <xf numFmtId="0" fontId="13" fillId="0" borderId="1" applyAlignment="1" pivotButton="0" quotePrefix="0" xfId="3">
      <alignment horizontal="left" vertical="center" wrapText="1"/>
    </xf>
    <xf numFmtId="0" fontId="15" fillId="0" borderId="1" applyAlignment="1" pivotButton="0" quotePrefix="0" xfId="2">
      <alignment horizontal="center" vertical="center" wrapText="1"/>
    </xf>
    <xf numFmtId="0" fontId="13" fillId="0" borderId="17" applyAlignment="1" pivotButton="0" quotePrefix="0" xfId="2">
      <alignment horizontal="left" vertical="center" wrapText="1"/>
    </xf>
    <xf numFmtId="0" fontId="13" fillId="0" borderId="3" applyAlignment="1" pivotButton="0" quotePrefix="0" xfId="3">
      <alignment vertical="center" wrapText="1"/>
    </xf>
    <xf numFmtId="0" fontId="13" fillId="0" borderId="14" applyAlignment="1" applyProtection="1" pivotButton="0" quotePrefix="0" xfId="0">
      <alignment vertical="center"/>
      <protection locked="0" hidden="0"/>
    </xf>
    <xf numFmtId="0" fontId="13" fillId="0" borderId="3" applyAlignment="1" applyProtection="1" pivotButton="0" quotePrefix="0" xfId="0">
      <alignment horizontal="center" vertical="center"/>
      <protection locked="0" hidden="0"/>
    </xf>
    <xf numFmtId="0" fontId="13" fillId="0" borderId="3" applyAlignment="1" applyProtection="1" pivotButton="0" quotePrefix="0" xfId="3">
      <alignment horizontal="left" vertical="center" wrapText="1"/>
      <protection locked="0" hidden="0"/>
    </xf>
    <xf numFmtId="0" fontId="15" fillId="0" borderId="3" applyAlignment="1" applyProtection="1" pivotButton="0" quotePrefix="0" xfId="0">
      <alignment horizontal="center" vertical="center"/>
      <protection locked="0" hidden="0"/>
    </xf>
    <xf numFmtId="0" fontId="13" fillId="0" borderId="17" applyAlignment="1" applyProtection="1" pivotButton="0" quotePrefix="0" xfId="0">
      <alignment horizontal="left" vertical="center" wrapText="1"/>
      <protection locked="0" hidden="0"/>
    </xf>
    <xf numFmtId="0" fontId="13" fillId="0" borderId="14" applyAlignment="1" pivotButton="0" quotePrefix="0" xfId="2">
      <alignment horizontal="left" vertical="center" wrapText="1"/>
    </xf>
    <xf numFmtId="0" fontId="13" fillId="0" borderId="1" applyAlignment="1" pivotButton="0" quotePrefix="0" xfId="3">
      <alignment horizontal="center" vertical="center"/>
    </xf>
    <xf numFmtId="0" fontId="35" fillId="9" borderId="0" applyAlignment="1" applyProtection="1" pivotButton="0" quotePrefix="0" xfId="0">
      <alignment horizontal="left" vertical="center" wrapText="1"/>
      <protection locked="0" hidden="0"/>
    </xf>
    <xf numFmtId="0" fontId="35" fillId="0" borderId="52" applyAlignment="1" pivotButton="0" quotePrefix="0" xfId="0">
      <alignment horizontal="left" vertical="center" wrapText="1"/>
    </xf>
    <xf numFmtId="0" fontId="13" fillId="0" borderId="1" applyAlignment="1" applyProtection="1" pivotButton="0" quotePrefix="0" xfId="2">
      <alignment horizontal="left" vertical="center" wrapText="1"/>
      <protection locked="0" hidden="0"/>
    </xf>
    <xf numFmtId="0" fontId="13" fillId="0" borderId="0" applyAlignment="1" applyProtection="1" pivotButton="0" quotePrefix="0" xfId="2">
      <alignment horizontal="left" vertical="center" wrapText="1"/>
      <protection locked="0" hidden="0"/>
    </xf>
    <xf numFmtId="0" fontId="13" fillId="0" borderId="1" applyAlignment="1" applyProtection="1" pivotButton="0" quotePrefix="0" xfId="3">
      <alignment vertical="center" wrapText="1"/>
      <protection locked="0" hidden="0"/>
    </xf>
    <xf numFmtId="0" fontId="13" fillId="0" borderId="1" applyAlignment="1" applyProtection="1" pivotButton="0" quotePrefix="0" xfId="14">
      <alignment horizontal="center" vertical="center" wrapText="1"/>
      <protection locked="0" hidden="0"/>
    </xf>
    <xf numFmtId="0" fontId="15" fillId="0" borderId="1" applyAlignment="1" applyProtection="1" pivotButton="0" quotePrefix="0" xfId="14">
      <alignment horizontal="center" vertical="center" wrapText="1"/>
      <protection locked="0" hidden="0"/>
    </xf>
    <xf numFmtId="0" fontId="13" fillId="0" borderId="1" applyAlignment="1" pivotButton="0" quotePrefix="0" xfId="14">
      <alignment horizontal="center" vertical="center" wrapText="1"/>
    </xf>
    <xf numFmtId="0" fontId="15" fillId="0" borderId="1" applyAlignment="1" pivotButton="0" quotePrefix="0" xfId="14">
      <alignment horizontal="center" vertical="center" wrapText="1"/>
    </xf>
    <xf numFmtId="0" fontId="9" fillId="0" borderId="54" applyAlignment="1" applyProtection="1" pivotButton="0" quotePrefix="0" xfId="2">
      <alignment horizontal="left" vertical="center" wrapText="1"/>
      <protection locked="0" hidden="0"/>
    </xf>
    <xf numFmtId="0" fontId="0" fillId="0" borderId="50" applyAlignment="1" pivotButton="0" quotePrefix="0" xfId="2">
      <alignment horizontal="left" vertical="center" wrapText="1"/>
    </xf>
    <xf numFmtId="0" fontId="20" fillId="0" borderId="51" applyAlignment="1" applyProtection="1" pivotButton="0" quotePrefix="0" xfId="3">
      <alignment vertical="center" wrapText="1"/>
      <protection locked="0" hidden="0"/>
    </xf>
    <xf numFmtId="0" fontId="13" fillId="0" borderId="62" applyAlignment="1" applyProtection="1" pivotButton="0" quotePrefix="0" xfId="0">
      <alignment horizontal="left" vertical="center" wrapText="1"/>
      <protection locked="0" hidden="0"/>
    </xf>
    <xf numFmtId="0" fontId="20" fillId="0" borderId="37" applyAlignment="1" applyProtection="1" pivotButton="0" quotePrefix="0" xfId="3">
      <alignment vertical="center" wrapText="1"/>
      <protection locked="0" hidden="0"/>
    </xf>
    <xf numFmtId="0" fontId="22" fillId="0" borderId="17" applyAlignment="1" applyProtection="1" pivotButton="0" quotePrefix="0" xfId="0">
      <alignment horizontal="center" vertical="center" wrapText="1"/>
      <protection locked="0" hidden="0"/>
    </xf>
    <xf numFmtId="0" fontId="15" fillId="0" borderId="37" applyAlignment="1" applyProtection="1" pivotButton="0" quotePrefix="0" xfId="3">
      <alignment horizontal="center" vertical="center" wrapText="1"/>
      <protection locked="0" hidden="0"/>
    </xf>
    <xf numFmtId="0" fontId="15" fillId="0" borderId="3" applyAlignment="1" pivotButton="0" quotePrefix="0" xfId="0">
      <alignment horizontal="center" vertical="center" wrapText="1"/>
    </xf>
    <xf numFmtId="0" fontId="13" fillId="0" borderId="1" applyAlignment="1" pivotButton="0" quotePrefix="0" xfId="0">
      <alignment vertical="center" wrapText="1"/>
    </xf>
    <xf numFmtId="0" fontId="13" fillId="0" borderId="3" applyAlignment="1" applyProtection="1" pivotButton="0" quotePrefix="0" xfId="2">
      <alignment horizontal="center" vertical="center"/>
      <protection locked="0" hidden="0"/>
    </xf>
    <xf numFmtId="0" fontId="13" fillId="0" borderId="1" applyAlignment="1" pivotButton="0" quotePrefix="0" xfId="0">
      <alignment horizontal="left" vertical="center" wrapText="1"/>
    </xf>
    <xf numFmtId="0" fontId="13" fillId="0" borderId="3" applyAlignment="1" pivotButton="0" quotePrefix="0" xfId="0">
      <alignment horizontal="left" vertical="center" wrapText="1"/>
    </xf>
    <xf numFmtId="0" fontId="15" fillId="0" borderId="0" applyAlignment="1" applyProtection="1" pivotButton="0" quotePrefix="0" xfId="0">
      <alignment horizontal="center" vertical="center"/>
      <protection locked="0" hidden="0"/>
    </xf>
    <xf numFmtId="0" fontId="13" fillId="0" borderId="0" applyAlignment="1" applyProtection="1" pivotButton="0" quotePrefix="0" xfId="3">
      <alignment horizontal="left" vertical="center"/>
      <protection locked="0" hidden="0"/>
    </xf>
    <xf numFmtId="0" fontId="20" fillId="0" borderId="17" applyAlignment="1" applyProtection="1" pivotButton="0" quotePrefix="0" xfId="3">
      <alignment horizontal="left" vertical="center"/>
      <protection locked="0" hidden="0"/>
    </xf>
    <xf numFmtId="0" fontId="20" fillId="0" borderId="17" applyAlignment="1" pivotButton="0" quotePrefix="0" xfId="3">
      <alignment horizontal="left" vertical="center" wrapText="1"/>
    </xf>
    <xf numFmtId="0" fontId="13" fillId="0" borderId="3" applyAlignment="1" pivotButton="0" quotePrefix="0" xfId="2">
      <alignment horizontal="center" vertical="center"/>
    </xf>
    <xf numFmtId="0" fontId="13" fillId="0" borderId="3" applyAlignment="1" pivotButton="0" quotePrefix="0" xfId="0">
      <alignment horizontal="center" vertical="center"/>
    </xf>
    <xf numFmtId="0" fontId="13" fillId="0" borderId="17" applyAlignment="1" applyProtection="1" pivotButton="0" quotePrefix="0" xfId="2">
      <alignment horizontal="left" vertical="center"/>
      <protection locked="0" hidden="0"/>
    </xf>
    <xf numFmtId="0" fontId="13" fillId="0" borderId="17" applyAlignment="1" pivotButton="0" quotePrefix="0" xfId="2">
      <alignment horizontal="left" vertical="center"/>
    </xf>
    <xf numFmtId="0" fontId="13" fillId="0" borderId="1" applyAlignment="1" pivotButton="0" quotePrefix="0" xfId="2">
      <alignment horizontal="center" vertical="center"/>
    </xf>
    <xf numFmtId="0" fontId="13" fillId="0" borderId="3" applyAlignment="1" pivotButton="0" quotePrefix="0" xfId="2">
      <alignment horizontal="left" vertical="center" wrapText="1"/>
    </xf>
    <xf numFmtId="0" fontId="15" fillId="0" borderId="3" applyAlignment="1" pivotButton="0" quotePrefix="0" xfId="2">
      <alignment horizontal="center" vertical="center"/>
    </xf>
    <xf numFmtId="0" fontId="13" fillId="0" borderId="14" applyAlignment="1" pivotButton="0" quotePrefix="0" xfId="3">
      <alignment horizontal="center" vertical="center" wrapText="1"/>
    </xf>
    <xf numFmtId="0" fontId="13" fillId="0" borderId="18" applyAlignment="1" pivotButton="0" quotePrefix="0" xfId="3">
      <alignment horizontal="left" vertical="center" wrapText="1"/>
    </xf>
    <xf numFmtId="0" fontId="13" fillId="0" borderId="10" applyAlignment="1" pivotButton="0" quotePrefix="0" xfId="2">
      <alignment horizontal="center" vertical="center" wrapText="1"/>
    </xf>
    <xf numFmtId="0" fontId="13" fillId="0" borderId="10" applyAlignment="1" pivotButton="0" quotePrefix="0" xfId="3">
      <alignment horizontal="center" vertical="center" wrapText="1"/>
    </xf>
    <xf numFmtId="0" fontId="13" fillId="0" borderId="10" applyAlignment="1" pivotButton="0" quotePrefix="0" xfId="3">
      <alignment horizontal="left" vertical="center" wrapText="1"/>
    </xf>
    <xf numFmtId="0" fontId="13" fillId="0" borderId="12" applyAlignment="1" pivotButton="0" quotePrefix="0" xfId="0">
      <alignment horizontal="center" vertical="center" wrapText="1"/>
    </xf>
    <xf numFmtId="0" fontId="15" fillId="0" borderId="10" applyAlignment="1" pivotButton="0" quotePrefix="0" xfId="14">
      <alignment horizontal="center" vertical="center" wrapText="1"/>
    </xf>
    <xf numFmtId="0" fontId="20" fillId="0" borderId="14" applyAlignment="1" pivotButton="0" quotePrefix="0" xfId="3">
      <alignment horizontal="left" vertical="center" wrapText="1"/>
    </xf>
    <xf numFmtId="0" fontId="13" fillId="0" borderId="14" applyAlignment="1" pivotButton="0" quotePrefix="0" xfId="5">
      <alignment horizontal="center" vertical="center" wrapText="1"/>
    </xf>
    <xf numFmtId="0" fontId="13" fillId="0" borderId="14" applyAlignment="1" pivotButton="0" quotePrefix="0" xfId="5">
      <alignment horizontal="left" vertical="center" wrapText="1"/>
    </xf>
    <xf numFmtId="0" fontId="13" fillId="0" borderId="1" applyAlignment="1" pivotButton="0" quotePrefix="0" xfId="5">
      <alignment horizontal="left" vertical="center" wrapText="1"/>
    </xf>
    <xf numFmtId="0" fontId="13" fillId="0" borderId="17" applyAlignment="1" pivotButton="0" quotePrefix="0" xfId="3">
      <alignment horizontal="center" vertical="center" wrapText="1"/>
    </xf>
    <xf numFmtId="0" fontId="15" fillId="3" borderId="15" applyAlignment="1" pivotButton="0" quotePrefix="0" xfId="2">
      <alignment horizontal="center" vertical="center" wrapText="1"/>
    </xf>
    <xf numFmtId="0" fontId="15" fillId="0" borderId="15" applyAlignment="1" pivotButton="0" quotePrefix="0" xfId="2">
      <alignment horizontal="center" vertical="center" wrapText="1"/>
    </xf>
    <xf numFmtId="0" fontId="15" fillId="0" borderId="2" applyAlignment="1" pivotButton="0" quotePrefix="0" xfId="2">
      <alignment horizontal="center" vertical="center" wrapText="1"/>
    </xf>
    <xf numFmtId="0" fontId="15" fillId="4" borderId="2" applyAlignment="1" pivotButton="0" quotePrefix="0" xfId="2">
      <alignment horizontal="center" vertical="center" wrapText="1"/>
    </xf>
    <xf numFmtId="0" fontId="15" fillId="3" borderId="2" applyAlignment="1" pivotButton="0" quotePrefix="0" xfId="2">
      <alignment horizontal="center" vertical="center" wrapText="1"/>
    </xf>
    <xf numFmtId="0" fontId="15" fillId="0" borderId="6" applyAlignment="1" pivotButton="0" quotePrefix="0" xfId="2">
      <alignment horizontal="center" vertical="center"/>
    </xf>
    <xf numFmtId="0" fontId="13" fillId="0" borderId="0" applyAlignment="1" applyProtection="1" pivotButton="0" quotePrefix="0" xfId="0">
      <alignment wrapText="1"/>
      <protection locked="0" hidden="0"/>
    </xf>
    <xf numFmtId="0" fontId="13" fillId="0" borderId="0" applyAlignment="1" applyProtection="1" pivotButton="0" quotePrefix="0" xfId="0">
      <alignment horizontal="center"/>
      <protection locked="0" hidden="0"/>
    </xf>
    <xf numFmtId="0" fontId="15" fillId="0" borderId="0" applyProtection="1" pivotButton="0" quotePrefix="0" xfId="0">
      <protection locked="0" hidden="0"/>
    </xf>
    <xf numFmtId="0" fontId="15" fillId="0" borderId="33" applyProtection="1" pivotButton="0" quotePrefix="0" xfId="0">
      <protection locked="0" hidden="0"/>
    </xf>
    <xf numFmtId="0" fontId="15" fillId="0" borderId="32" applyAlignment="1" applyProtection="1" pivotButton="0" quotePrefix="0" xfId="0">
      <alignment wrapText="1"/>
      <protection locked="0" hidden="0"/>
    </xf>
    <xf numFmtId="0" fontId="15" fillId="0" borderId="4" applyAlignment="1" pivotButton="0" quotePrefix="0" xfId="14">
      <alignment horizontal="center" vertical="center" wrapText="1"/>
    </xf>
    <xf numFmtId="0" fontId="13" fillId="0" borderId="0" applyAlignment="1" applyProtection="1" pivotButton="0" quotePrefix="0" xfId="3">
      <alignment wrapText="1"/>
      <protection locked="0" hidden="0"/>
    </xf>
    <xf numFmtId="0" fontId="15" fillId="0" borderId="13" applyAlignment="1" pivotButton="0" quotePrefix="0" xfId="14">
      <alignment horizontal="center" vertical="center" wrapText="1"/>
    </xf>
    <xf numFmtId="0" fontId="15" fillId="0" borderId="3" applyAlignment="1" pivotButton="0" quotePrefix="0" xfId="14">
      <alignment horizontal="center" vertical="center" wrapText="1"/>
    </xf>
    <xf numFmtId="0" fontId="15" fillId="6" borderId="1" applyAlignment="1" applyProtection="1" pivotButton="0" quotePrefix="0" xfId="14">
      <alignment horizontal="center" vertical="center" wrapText="1"/>
      <protection locked="0" hidden="0"/>
    </xf>
    <xf numFmtId="0" fontId="15" fillId="0" borderId="2" applyAlignment="1" pivotButton="0" quotePrefix="0" xfId="14">
      <alignment horizontal="center" vertical="center" wrapText="1"/>
    </xf>
    <xf numFmtId="0" fontId="15" fillId="6" borderId="2" applyAlignment="1" applyProtection="1" pivotButton="0" quotePrefix="0" xfId="14">
      <alignment horizontal="center" vertical="center" wrapText="1"/>
      <protection locked="0" hidden="0"/>
    </xf>
    <xf numFmtId="0" fontId="13" fillId="6" borderId="2" applyAlignment="1" applyProtection="1" pivotButton="0" quotePrefix="0" xfId="14">
      <alignment horizontal="center" vertical="center" wrapText="1"/>
      <protection locked="0" hidden="0"/>
    </xf>
    <xf numFmtId="0" fontId="13" fillId="6" borderId="13" applyAlignment="1" applyProtection="1" pivotButton="0" quotePrefix="0" xfId="14">
      <alignment horizontal="center" vertical="center" wrapText="1"/>
      <protection locked="0" hidden="0"/>
    </xf>
    <xf numFmtId="0" fontId="15" fillId="6" borderId="13" applyAlignment="1" applyProtection="1" pivotButton="0" quotePrefix="0" xfId="14">
      <alignment horizontal="center" vertical="center" wrapText="1"/>
      <protection locked="0" hidden="0"/>
    </xf>
    <xf numFmtId="0" fontId="15" fillId="0" borderId="1" applyAlignment="1" applyProtection="1" pivotButton="0" quotePrefix="0" xfId="2">
      <alignment horizontal="center" vertical="center" wrapText="1"/>
      <protection locked="0" hidden="0"/>
    </xf>
    <xf numFmtId="0" fontId="16" fillId="0" borderId="0" applyProtection="1" pivotButton="0" quotePrefix="0" xfId="3">
      <protection locked="0" hidden="0"/>
    </xf>
    <xf numFmtId="0" fontId="13" fillId="0" borderId="0" applyAlignment="1" applyProtection="1" pivotButton="0" quotePrefix="0" xfId="0">
      <alignment horizontal="left" vertical="center" wrapText="1"/>
      <protection locked="0" hidden="0"/>
    </xf>
    <xf numFmtId="0" fontId="13" fillId="6" borderId="1" applyAlignment="1" applyProtection="1" pivotButton="0" quotePrefix="0" xfId="14">
      <alignment horizontal="center" vertical="center" wrapText="1"/>
      <protection locked="0" hidden="0"/>
    </xf>
    <xf numFmtId="0" fontId="13" fillId="0" borderId="3" applyAlignment="1" pivotButton="0" quotePrefix="0" xfId="14">
      <alignment horizontal="center" vertical="center" wrapText="1"/>
    </xf>
    <xf numFmtId="0" fontId="21" fillId="0" borderId="2" applyAlignment="1" applyProtection="1" pivotButton="0" quotePrefix="0" xfId="3">
      <alignment vertical="center" wrapText="1"/>
      <protection locked="0" hidden="0"/>
    </xf>
    <xf numFmtId="0" fontId="47" fillId="4" borderId="3" applyAlignment="1" applyProtection="1" pivotButton="0" quotePrefix="0" xfId="14">
      <alignment horizontal="center" vertical="center" wrapText="1"/>
      <protection locked="0" hidden="0"/>
    </xf>
    <xf numFmtId="0" fontId="15" fillId="0" borderId="3" applyAlignment="1" pivotButton="0" quotePrefix="0" xfId="14">
      <alignment horizontal="center" vertical="center"/>
    </xf>
    <xf numFmtId="0" fontId="15" fillId="0" borderId="0" applyAlignment="1" applyProtection="1" pivotButton="0" quotePrefix="0" xfId="0">
      <alignment horizontal="center" vertical="center" wrapText="1"/>
      <protection locked="0" hidden="0"/>
    </xf>
    <xf numFmtId="0" fontId="13" fillId="0" borderId="30" applyAlignment="1" applyProtection="1" pivotButton="0" quotePrefix="0" xfId="3">
      <alignment horizontal="center" vertical="center" wrapText="1"/>
      <protection locked="0" hidden="0"/>
    </xf>
    <xf numFmtId="0" fontId="13" fillId="0" borderId="20" applyAlignment="1" pivotButton="0" quotePrefix="0" xfId="3">
      <alignment horizontal="center" vertical="center" wrapText="1"/>
    </xf>
    <xf numFmtId="0" fontId="38" fillId="0" borderId="37" applyAlignment="1" applyProtection="1" pivotButton="0" quotePrefix="0" xfId="3">
      <alignment horizontal="left" vertical="center" wrapText="1"/>
      <protection locked="0" hidden="0"/>
    </xf>
    <xf numFmtId="0" fontId="38" fillId="0" borderId="17" applyAlignment="1" applyProtection="1" pivotButton="0" quotePrefix="0" xfId="3">
      <alignment horizontal="left" vertical="center" wrapText="1"/>
      <protection locked="0" hidden="0"/>
    </xf>
    <xf numFmtId="0" fontId="48" fillId="0" borderId="14" applyAlignment="1" applyProtection="1" pivotButton="0" quotePrefix="0" xfId="3">
      <alignment horizontal="left" vertical="center" wrapText="1"/>
      <protection locked="0" hidden="0"/>
    </xf>
    <xf numFmtId="0" fontId="48" fillId="0" borderId="1" applyAlignment="1" applyProtection="1" pivotButton="0" quotePrefix="0" xfId="2">
      <alignment horizontal="center" vertical="center" wrapText="1"/>
      <protection locked="0" hidden="0"/>
    </xf>
    <xf numFmtId="0" fontId="48" fillId="0" borderId="3" applyAlignment="1" applyProtection="1" pivotButton="0" quotePrefix="0" xfId="2">
      <alignment horizontal="center" vertical="center" wrapText="1"/>
      <protection locked="0" hidden="0"/>
    </xf>
    <xf numFmtId="49" fontId="48" fillId="0" borderId="62" applyAlignment="1" applyProtection="1" pivotButton="0" quotePrefix="0" xfId="0">
      <alignment horizontal="left" vertical="center" wrapText="1"/>
      <protection locked="0" hidden="0"/>
    </xf>
    <xf numFmtId="0" fontId="48" fillId="0" borderId="3" applyAlignment="1" applyProtection="1" pivotButton="0" quotePrefix="0" xfId="0">
      <alignment horizontal="center" vertical="center" wrapText="1"/>
      <protection locked="0" hidden="0"/>
    </xf>
    <xf numFmtId="0" fontId="47" fillId="0" borderId="3" applyAlignment="1" applyProtection="1" pivotButton="0" quotePrefix="0" xfId="0">
      <alignment horizontal="center" vertical="center" wrapText="1"/>
      <protection locked="0" hidden="0"/>
    </xf>
    <xf numFmtId="0" fontId="38" fillId="0" borderId="6" applyAlignment="1" applyProtection="1" pivotButton="0" quotePrefix="0" xfId="2">
      <alignment horizontal="center" vertical="center"/>
      <protection locked="0" hidden="0"/>
    </xf>
    <xf numFmtId="0" fontId="13" fillId="0" borderId="20" applyAlignment="1" applyProtection="1" pivotButton="0" quotePrefix="0" xfId="0">
      <alignment horizontal="left" vertical="center" wrapText="1"/>
      <protection locked="0" hidden="0"/>
    </xf>
    <xf numFmtId="0" fontId="15" fillId="0" borderId="3" applyAlignment="1" applyProtection="1" pivotButton="0" quotePrefix="0" xfId="14">
      <alignment horizontal="center" vertical="center" wrapText="1"/>
      <protection locked="0" hidden="0"/>
    </xf>
    <xf numFmtId="0" fontId="15" fillId="0" borderId="2" applyAlignment="1" applyProtection="1" pivotButton="0" quotePrefix="0" xfId="14">
      <alignment horizontal="center" vertical="center" wrapText="1"/>
      <protection locked="0" hidden="0"/>
    </xf>
    <xf numFmtId="0" fontId="13" fillId="0" borderId="62" applyAlignment="1" applyProtection="1" pivotButton="0" quotePrefix="0" xfId="2">
      <alignment horizontal="left" vertical="center" wrapText="1"/>
      <protection locked="0" hidden="0"/>
    </xf>
    <xf numFmtId="0" fontId="15" fillId="0" borderId="3" applyAlignment="1" applyProtection="1" pivotButton="0" quotePrefix="0" xfId="2">
      <alignment horizontal="center" vertical="center" wrapText="1"/>
      <protection locked="0" hidden="0"/>
    </xf>
    <xf numFmtId="0" fontId="13" fillId="0" borderId="1" applyAlignment="1" applyProtection="1" pivotButton="0" quotePrefix="0" xfId="0">
      <alignment vertical="center" wrapText="1"/>
      <protection locked="0" hidden="0"/>
    </xf>
    <xf numFmtId="0" fontId="13" fillId="0" borderId="3" applyAlignment="1" applyProtection="1" pivotButton="0" quotePrefix="0" xfId="14">
      <alignment horizontal="center" vertical="center" wrapText="1"/>
      <protection locked="0" hidden="0"/>
    </xf>
    <xf numFmtId="0" fontId="13" fillId="0" borderId="50" applyAlignment="1" applyProtection="1" pivotButton="0" quotePrefix="0" xfId="3">
      <alignment vertical="center" wrapText="1"/>
      <protection locked="0" hidden="0"/>
    </xf>
    <xf numFmtId="0" fontId="13" fillId="0" borderId="17" applyAlignment="1" applyProtection="1" pivotButton="0" quotePrefix="0" xfId="3">
      <alignment vertical="center" wrapText="1"/>
      <protection locked="0" hidden="0"/>
    </xf>
    <xf numFmtId="0" fontId="13" fillId="0" borderId="2" applyAlignment="1" applyProtection="1" pivotButton="0" quotePrefix="0" xfId="14">
      <alignment horizontal="center" vertical="center" wrapText="1"/>
      <protection locked="0" hidden="0"/>
    </xf>
    <xf numFmtId="9" fontId="28" fillId="0" borderId="0" applyAlignment="1" pivotButton="0" quotePrefix="0" xfId="11">
      <alignment horizontal="center" vertical="center"/>
    </xf>
    <xf numFmtId="0" fontId="32" fillId="3" borderId="4" applyAlignment="1" pivotButton="0" quotePrefix="0" xfId="2">
      <alignment horizontal="center" vertical="center" wrapText="1"/>
    </xf>
    <xf numFmtId="0" fontId="32" fillId="3" borderId="34" applyAlignment="1" pivotButton="0" quotePrefix="0" xfId="2">
      <alignment horizontal="center" vertical="center" wrapText="1"/>
    </xf>
    <xf numFmtId="164" fontId="28" fillId="0" borderId="0" applyAlignment="1" pivotButton="0" quotePrefix="0" xfId="0">
      <alignment horizontal="center" vertical="center"/>
    </xf>
    <xf numFmtId="164" fontId="28" fillId="0" borderId="0" applyAlignment="1" applyProtection="1" pivotButton="0" quotePrefix="0" xfId="0">
      <alignment horizontal="center" vertical="center"/>
      <protection locked="0" hidden="0"/>
    </xf>
    <xf numFmtId="9" fontId="28" fillId="0" borderId="0" applyAlignment="1" applyProtection="1" pivotButton="0" quotePrefix="0" xfId="11">
      <alignment horizontal="center" vertical="center"/>
      <protection locked="0" hidden="0"/>
    </xf>
    <xf numFmtId="0" fontId="28" fillId="0" borderId="0" applyAlignment="1" applyProtection="1" pivotButton="0" quotePrefix="0" xfId="0">
      <alignment horizontal="center" vertical="center"/>
      <protection locked="0" hidden="0"/>
    </xf>
    <xf numFmtId="164" fontId="28" fillId="0" borderId="0" applyAlignment="1" pivotButton="0" quotePrefix="0" xfId="0">
      <alignment horizontal="center" vertical="center" wrapText="1"/>
    </xf>
    <xf numFmtId="164" fontId="28" fillId="0" borderId="0" applyAlignment="1" applyProtection="1" pivotButton="0" quotePrefix="0" xfId="0">
      <alignment horizontal="center" vertical="center" wrapText="1"/>
      <protection locked="0" hidden="0"/>
    </xf>
    <xf numFmtId="164" fontId="28" fillId="0" borderId="0" applyAlignment="1" pivotButton="0" quotePrefix="0" xfId="0">
      <alignment horizontal="right" vertical="center"/>
    </xf>
    <xf numFmtId="0" fontId="13" fillId="0" borderId="64" applyAlignment="1" applyProtection="1" pivotButton="0" quotePrefix="0" xfId="3">
      <alignment horizontal="left" vertical="center" wrapText="1"/>
      <protection locked="0" hidden="0"/>
    </xf>
    <xf numFmtId="0" fontId="53" fillId="4" borderId="17" applyAlignment="1" applyProtection="1" pivotButton="0" quotePrefix="0" xfId="3">
      <alignment horizontal="left" vertical="center" wrapText="1"/>
      <protection locked="0" hidden="0"/>
    </xf>
    <xf numFmtId="9" fontId="56" fillId="0" borderId="0" applyAlignment="1" pivotButton="0" quotePrefix="0" xfId="11">
      <alignment horizontal="center" vertical="center"/>
    </xf>
    <xf numFmtId="164" fontId="56" fillId="0" borderId="0" applyAlignment="1" pivotButton="0" quotePrefix="0" xfId="0">
      <alignment horizontal="center" vertical="center"/>
    </xf>
    <xf numFmtId="0" fontId="53" fillId="4" borderId="7" applyAlignment="1" applyProtection="1" pivotButton="0" quotePrefix="0" xfId="2">
      <alignment horizontal="center" vertical="center"/>
      <protection locked="0" hidden="0"/>
    </xf>
    <xf numFmtId="0" fontId="53" fillId="0" borderId="0" applyAlignment="1" applyProtection="1" pivotButton="0" quotePrefix="0" xfId="0">
      <alignment horizontal="center" vertical="center"/>
      <protection locked="0" hidden="0"/>
    </xf>
    <xf numFmtId="0" fontId="53" fillId="0" borderId="0" applyProtection="1" pivotButton="0" quotePrefix="0" xfId="3">
      <protection locked="0" hidden="0"/>
    </xf>
    <xf numFmtId="0" fontId="53" fillId="0" borderId="0" applyProtection="1" pivotButton="0" quotePrefix="0" xfId="0">
      <protection locked="0" hidden="0"/>
    </xf>
    <xf numFmtId="0" fontId="54" fillId="4" borderId="1" applyAlignment="1" pivotButton="0" quotePrefix="0" xfId="0">
      <alignment horizontal="center" vertical="center" wrapText="1"/>
    </xf>
    <xf numFmtId="0" fontId="53" fillId="4" borderId="1" applyAlignment="1" pivotButton="0" quotePrefix="0" xfId="0">
      <alignment horizontal="center" vertical="center" wrapText="1"/>
    </xf>
    <xf numFmtId="49" fontId="53" fillId="4" borderId="39" applyAlignment="1" pivotButton="0" quotePrefix="0" xfId="0">
      <alignment horizontal="left" vertical="center" wrapText="1"/>
    </xf>
    <xf numFmtId="0" fontId="53" fillId="4" borderId="3" applyAlignment="1" pivotButton="0" quotePrefix="0" xfId="2">
      <alignment horizontal="center" vertical="center" wrapText="1"/>
    </xf>
    <xf numFmtId="0" fontId="53" fillId="4" borderId="14" applyAlignment="1" pivotButton="0" quotePrefix="0" xfId="3">
      <alignment horizontal="left" vertical="center" wrapText="1"/>
    </xf>
    <xf numFmtId="0" fontId="53" fillId="4" borderId="17" applyAlignment="1" pivotButton="0" quotePrefix="0" xfId="3">
      <alignment horizontal="left" vertical="center" wrapText="1"/>
    </xf>
    <xf numFmtId="0" fontId="53" fillId="4" borderId="37" applyAlignment="1" applyProtection="1" pivotButton="0" quotePrefix="0" xfId="3">
      <alignment horizontal="left" vertical="center" wrapText="1"/>
      <protection locked="0" hidden="0"/>
    </xf>
    <xf numFmtId="0" fontId="53" fillId="4" borderId="1" applyAlignment="1" pivotButton="0" quotePrefix="0" xfId="2">
      <alignment horizontal="center" vertical="center" wrapText="1"/>
    </xf>
    <xf numFmtId="0" fontId="54" fillId="0" borderId="3" applyAlignment="1" pivotButton="0" quotePrefix="0" xfId="14">
      <alignment horizontal="center" vertical="center" wrapText="1"/>
    </xf>
    <xf numFmtId="0" fontId="53" fillId="0" borderId="3" applyAlignment="1" pivotButton="0" quotePrefix="0" xfId="14">
      <alignment horizontal="center" vertical="center" wrapText="1"/>
    </xf>
    <xf numFmtId="49" fontId="53" fillId="0" borderId="39" applyAlignment="1" pivotButton="0" quotePrefix="0" xfId="0">
      <alignment vertical="center" wrapText="1"/>
    </xf>
    <xf numFmtId="0" fontId="53" fillId="0" borderId="1" applyAlignment="1" pivotButton="0" quotePrefix="0" xfId="2">
      <alignment horizontal="center" vertical="center" wrapText="1"/>
    </xf>
    <xf numFmtId="0" fontId="53" fillId="0" borderId="1" applyAlignment="1" pivotButton="0" quotePrefix="0" xfId="3">
      <alignment horizontal="center" vertical="center" wrapText="1"/>
    </xf>
    <xf numFmtId="0" fontId="53" fillId="0" borderId="17" applyAlignment="1" pivotButton="0" quotePrefix="0" xfId="3">
      <alignment horizontal="left" vertical="center" wrapText="1"/>
    </xf>
    <xf numFmtId="0" fontId="53" fillId="0" borderId="17" applyAlignment="1" applyProtection="1" pivotButton="0" quotePrefix="0" xfId="3">
      <alignment horizontal="left" vertical="center" wrapText="1"/>
      <protection locked="0" hidden="0"/>
    </xf>
    <xf numFmtId="0" fontId="53" fillId="0" borderId="37" applyAlignment="1" applyProtection="1" pivotButton="0" quotePrefix="0" xfId="3">
      <alignment horizontal="left" vertical="center" wrapText="1"/>
      <protection locked="0" hidden="0"/>
    </xf>
    <xf numFmtId="0" fontId="53" fillId="0" borderId="1" applyAlignment="1" pivotButton="0" quotePrefix="0" xfId="3">
      <alignment horizontal="left" vertical="center" wrapText="1"/>
    </xf>
    <xf numFmtId="0" fontId="53" fillId="0" borderId="14" applyAlignment="1" applyProtection="1" pivotButton="0" quotePrefix="0" xfId="3">
      <alignment horizontal="left" vertical="center" wrapText="1"/>
      <protection locked="0" hidden="0"/>
    </xf>
    <xf numFmtId="0" fontId="54" fillId="4" borderId="3" applyAlignment="1" pivotButton="0" quotePrefix="0" xfId="14">
      <alignment horizontal="center" vertical="center" wrapText="1"/>
    </xf>
    <xf numFmtId="0" fontId="53" fillId="4" borderId="3" applyAlignment="1" pivotButton="0" quotePrefix="0" xfId="14">
      <alignment horizontal="center" vertical="center" wrapText="1"/>
    </xf>
    <xf numFmtId="0" fontId="53" fillId="4" borderId="1" applyAlignment="1" pivotButton="0" quotePrefix="0" xfId="3">
      <alignment horizontal="center" vertical="center" wrapText="1"/>
    </xf>
    <xf numFmtId="0" fontId="53" fillId="4" borderId="17" applyAlignment="1" applyProtection="1" pivotButton="0" quotePrefix="0" xfId="0">
      <alignment horizontal="left" vertical="center" wrapText="1"/>
      <protection locked="0" hidden="0"/>
    </xf>
    <xf numFmtId="0" fontId="53" fillId="4" borderId="1" applyAlignment="1" pivotButton="0" quotePrefix="0" xfId="3">
      <alignment horizontal="left" vertical="center" wrapText="1"/>
    </xf>
    <xf numFmtId="0" fontId="53" fillId="4" borderId="14" applyAlignment="1" applyProtection="1" pivotButton="0" quotePrefix="0" xfId="3">
      <alignment horizontal="left" vertical="center" wrapText="1"/>
      <protection locked="0" hidden="0"/>
    </xf>
    <xf numFmtId="0" fontId="9" fillId="0" borderId="50" applyAlignment="1" applyProtection="1" pivotButton="0" quotePrefix="0" xfId="2">
      <alignment horizontal="left" vertical="center" wrapText="1"/>
      <protection locked="0" hidden="0"/>
    </xf>
    <xf numFmtId="0" fontId="33" fillId="0" borderId="1" applyAlignment="1" pivotButton="0" quotePrefix="0" xfId="0">
      <alignment horizontal="center" vertical="center"/>
    </xf>
    <xf numFmtId="0" fontId="12" fillId="0" borderId="1" applyAlignment="1" pivotButton="0" quotePrefix="0" xfId="0">
      <alignment horizontal="center"/>
    </xf>
    <xf numFmtId="0" fontId="12" fillId="0" borderId="25" pivotButton="0" quotePrefix="0" xfId="0"/>
    <xf numFmtId="0" fontId="33" fillId="0" borderId="1" applyAlignment="1" pivotButton="0" quotePrefix="0" xfId="0">
      <alignment horizontal="center" vertical="center" wrapText="1"/>
    </xf>
    <xf numFmtId="0" fontId="12" fillId="0" borderId="26" pivotButton="0" quotePrefix="0" xfId="0"/>
    <xf numFmtId="0" fontId="12" fillId="0" borderId="22" pivotButton="0" quotePrefix="0" xfId="0"/>
    <xf numFmtId="0" fontId="28" fillId="0" borderId="58" applyAlignment="1" pivotButton="0" quotePrefix="0" xfId="12">
      <alignment vertical="center" wrapText="1"/>
    </xf>
    <xf numFmtId="0" fontId="27" fillId="0" borderId="8" applyAlignment="1" pivotButton="0" quotePrefix="0" xfId="12">
      <alignment horizontal="left" vertical="center"/>
    </xf>
    <xf numFmtId="0" fontId="28" fillId="0" borderId="42" applyAlignment="1" pivotButton="0" quotePrefix="0" xfId="10">
      <alignment vertical="center" wrapText="1"/>
    </xf>
    <xf numFmtId="4" fontId="28" fillId="0" borderId="41" applyAlignment="1" pivotButton="0" quotePrefix="0" xfId="12">
      <alignment horizontal="center" vertical="center" wrapText="1"/>
    </xf>
    <xf numFmtId="0" fontId="28" fillId="0" borderId="42" applyAlignment="1" pivotButton="0" quotePrefix="0" xfId="12">
      <alignment vertical="center" wrapText="1"/>
    </xf>
    <xf numFmtId="0" fontId="13" fillId="4" borderId="8" applyAlignment="1" applyProtection="1" pivotButton="0" quotePrefix="0" xfId="2">
      <alignment horizontal="center" vertical="center"/>
      <protection locked="0" hidden="0"/>
    </xf>
    <xf numFmtId="0" fontId="28" fillId="0" borderId="0" applyAlignment="1" applyProtection="1" pivotButton="0" quotePrefix="0" xfId="0">
      <alignment horizontal="right" vertical="center"/>
      <protection locked="0" hidden="0"/>
    </xf>
    <xf numFmtId="9" fontId="28" fillId="0" borderId="0" applyAlignment="1" applyProtection="1" pivotButton="0" quotePrefix="0" xfId="11">
      <alignment horizontal="right" vertical="center"/>
      <protection locked="0" hidden="0"/>
    </xf>
    <xf numFmtId="9" fontId="32" fillId="0" borderId="33" applyAlignment="1" applyProtection="1" pivotButton="0" quotePrefix="0" xfId="11">
      <alignment horizontal="right" vertical="center"/>
      <protection locked="0" hidden="0"/>
    </xf>
    <xf numFmtId="0" fontId="32" fillId="0" borderId="33" applyAlignment="1" applyProtection="1" pivotButton="0" quotePrefix="0" xfId="0">
      <alignment horizontal="right" vertical="center"/>
      <protection locked="0" hidden="0"/>
    </xf>
    <xf numFmtId="9" fontId="32" fillId="0" borderId="67" applyAlignment="1" applyProtection="1" pivotButton="0" quotePrefix="0" xfId="11">
      <alignment horizontal="right" vertical="center"/>
      <protection locked="0" hidden="0"/>
    </xf>
    <xf numFmtId="0" fontId="32" fillId="0" borderId="67" applyAlignment="1" applyProtection="1" pivotButton="0" quotePrefix="0" xfId="0">
      <alignment horizontal="right" vertical="center"/>
      <protection locked="0" hidden="0"/>
    </xf>
    <xf numFmtId="0" fontId="15" fillId="0" borderId="67" applyProtection="1" pivotButton="0" quotePrefix="0" xfId="0">
      <protection locked="0" hidden="0"/>
    </xf>
    <xf numFmtId="0" fontId="15" fillId="0" borderId="68" applyAlignment="1" applyProtection="1" pivotButton="0" quotePrefix="0" xfId="0">
      <alignment wrapText="1"/>
      <protection locked="0" hidden="0"/>
    </xf>
    <xf numFmtId="164" fontId="28" fillId="0" borderId="0" applyAlignment="1" applyProtection="1" pivotButton="0" quotePrefix="0" xfId="0">
      <alignment horizontal="right" vertical="center"/>
      <protection locked="0" hidden="0"/>
    </xf>
    <xf numFmtId="0" fontId="13" fillId="0" borderId="5" applyAlignment="1" applyProtection="1" pivotButton="0" quotePrefix="0" xfId="2">
      <alignment horizontal="center" vertical="center"/>
      <protection locked="0" hidden="0"/>
    </xf>
    <xf numFmtId="0" fontId="13" fillId="0" borderId="6" applyAlignment="1" applyProtection="1" pivotButton="0" quotePrefix="0" xfId="2">
      <alignment horizontal="center" vertical="center" wrapText="1"/>
      <protection locked="0" hidden="0"/>
    </xf>
    <xf numFmtId="0" fontId="53" fillId="4" borderId="8" applyAlignment="1" applyProtection="1" pivotButton="0" quotePrefix="0" xfId="2">
      <alignment horizontal="center" vertical="center"/>
      <protection locked="0" hidden="0"/>
    </xf>
    <xf numFmtId="0" fontId="13" fillId="0" borderId="7" applyAlignment="1" applyProtection="1" pivotButton="0" quotePrefix="0" xfId="2">
      <alignment horizontal="center" vertical="center" wrapText="1"/>
      <protection locked="0" hidden="0"/>
    </xf>
    <xf numFmtId="0" fontId="13" fillId="0" borderId="19" applyAlignment="1" applyProtection="1" pivotButton="0" quotePrefix="0" xfId="2">
      <alignment horizontal="center" vertical="center"/>
      <protection locked="0" hidden="0"/>
    </xf>
    <xf numFmtId="0" fontId="15" fillId="0" borderId="0" applyProtection="1" pivotButton="0" quotePrefix="0" xfId="3">
      <protection locked="0" hidden="0"/>
    </xf>
    <xf numFmtId="0" fontId="22" fillId="0" borderId="51" applyAlignment="1" applyProtection="1" pivotButton="0" quotePrefix="0" xfId="3">
      <alignment horizontal="center" vertical="center" wrapText="1"/>
      <protection locked="0" hidden="0"/>
    </xf>
    <xf numFmtId="0" fontId="53" fillId="0" borderId="7" applyAlignment="1" applyProtection="1" pivotButton="0" quotePrefix="0" xfId="2">
      <alignment horizontal="center" vertical="center"/>
      <protection locked="0" hidden="0"/>
    </xf>
    <xf numFmtId="0" fontId="13" fillId="0" borderId="44" applyAlignment="1" applyProtection="1" pivotButton="0" quotePrefix="0" xfId="2">
      <alignment horizontal="center" vertical="center"/>
      <protection locked="0" hidden="0"/>
    </xf>
    <xf numFmtId="0" fontId="13" fillId="0" borderId="9" applyAlignment="1" applyProtection="1" pivotButton="0" quotePrefix="0" xfId="2">
      <alignment horizontal="center" vertical="center"/>
      <protection locked="0" hidden="0"/>
    </xf>
    <xf numFmtId="9" fontId="28" fillId="0" borderId="0" applyAlignment="1" applyProtection="1" pivotButton="0" quotePrefix="0" xfId="11">
      <alignment horizontal="center" vertical="center"/>
      <protection locked="0" hidden="0"/>
    </xf>
    <xf numFmtId="0" fontId="15" fillId="3" borderId="28" applyAlignment="1" applyProtection="1" pivotButton="0" quotePrefix="0" xfId="0">
      <alignment horizontal="center" vertical="center" wrapText="1"/>
      <protection locked="0" hidden="0"/>
    </xf>
    <xf numFmtId="0" fontId="22" fillId="6" borderId="2" applyAlignment="1" applyProtection="1" pivotButton="0" quotePrefix="0" xfId="3">
      <alignment vertical="center" wrapText="1"/>
      <protection locked="0" hidden="0"/>
    </xf>
    <xf numFmtId="0" fontId="22" fillId="6" borderId="15" applyAlignment="1" applyProtection="1" pivotButton="0" quotePrefix="0" xfId="3">
      <alignment vertical="center" wrapText="1"/>
      <protection locked="0" hidden="0"/>
    </xf>
    <xf numFmtId="0" fontId="13" fillId="6" borderId="1" applyProtection="1" pivotButton="0" quotePrefix="0" xfId="3">
      <protection locked="0" hidden="0"/>
    </xf>
    <xf numFmtId="0" fontId="13" fillId="6" borderId="14" applyProtection="1" pivotButton="0" quotePrefix="0" xfId="3">
      <protection locked="0" hidden="0"/>
    </xf>
    <xf numFmtId="0" fontId="22" fillId="6" borderId="1" applyAlignment="1" applyProtection="1" pivotButton="0" quotePrefix="0" xfId="3">
      <alignment vertical="center" wrapText="1"/>
      <protection locked="0" hidden="0"/>
    </xf>
    <xf numFmtId="0" fontId="22" fillId="6" borderId="14" applyAlignment="1" applyProtection="1" pivotButton="0" quotePrefix="0" xfId="3">
      <alignment vertical="center" wrapText="1"/>
      <protection locked="0" hidden="0"/>
    </xf>
    <xf numFmtId="0" fontId="20" fillId="0" borderId="51" applyAlignment="1" applyProtection="1" pivotButton="0" quotePrefix="0" xfId="3">
      <alignment horizontal="center" vertical="center" wrapText="1"/>
      <protection locked="0" hidden="0"/>
    </xf>
    <xf numFmtId="0" fontId="15" fillId="0" borderId="1" applyAlignment="1" pivotButton="0" quotePrefix="0" xfId="7">
      <alignment horizontal="center" vertical="center"/>
    </xf>
    <xf numFmtId="2" fontId="28" fillId="0" borderId="53" applyAlignment="1" pivotButton="0" quotePrefix="0" xfId="10">
      <alignment horizontal="center" vertical="center" wrapText="1"/>
    </xf>
    <xf numFmtId="0" fontId="29" fillId="0" borderId="57" applyAlignment="1" pivotButton="0" quotePrefix="0" xfId="10">
      <alignment vertical="center"/>
    </xf>
    <xf numFmtId="0" fontId="13" fillId="0" borderId="6" applyAlignment="1" pivotButton="0" quotePrefix="0" xfId="2">
      <alignment horizontal="center" vertical="center"/>
    </xf>
    <xf numFmtId="0" fontId="31" fillId="0" borderId="1" applyAlignment="1" pivotButton="0" quotePrefix="0" xfId="2">
      <alignment horizontal="center" vertical="center" wrapText="1"/>
    </xf>
    <xf numFmtId="0" fontId="13" fillId="0" borderId="69" applyAlignment="1" applyProtection="1" pivotButton="0" quotePrefix="0" xfId="0">
      <alignment horizontal="left" vertical="center" wrapText="1"/>
      <protection locked="0" hidden="0"/>
    </xf>
    <xf numFmtId="0" fontId="13" fillId="6" borderId="69" applyAlignment="1" applyProtection="1" pivotButton="0" quotePrefix="0" xfId="3">
      <alignment horizontal="left" vertical="center" wrapText="1"/>
      <protection locked="0" hidden="0"/>
    </xf>
    <xf numFmtId="0" fontId="16" fillId="6" borderId="19" applyAlignment="1" applyProtection="1" pivotButton="0" quotePrefix="0" xfId="2">
      <alignment horizontal="center" vertical="center"/>
      <protection locked="0" hidden="0"/>
    </xf>
    <xf numFmtId="0" fontId="13" fillId="13" borderId="17" applyAlignment="1" applyProtection="1" pivotButton="0" quotePrefix="0" xfId="0">
      <alignment horizontal="left" vertical="center" wrapText="1"/>
      <protection locked="0" hidden="0"/>
    </xf>
    <xf numFmtId="0" fontId="13" fillId="6" borderId="17" applyAlignment="1" applyProtection="1" pivotButton="0" quotePrefix="0" xfId="0">
      <alignment horizontal="left" vertical="center" wrapText="1"/>
      <protection locked="0" hidden="0"/>
    </xf>
    <xf numFmtId="0" fontId="16" fillId="6" borderId="69" applyAlignment="1" applyProtection="1" pivotButton="0" quotePrefix="0" xfId="3">
      <alignment horizontal="left" vertical="center" wrapText="1"/>
      <protection locked="0" hidden="0"/>
    </xf>
    <xf numFmtId="49" fontId="48" fillId="0" borderId="39" applyAlignment="1" pivotButton="0" quotePrefix="0" xfId="0">
      <alignment vertical="center" wrapText="1"/>
    </xf>
    <xf numFmtId="9" fontId="65" fillId="0" borderId="0" applyAlignment="1" applyProtection="1" pivotButton="0" quotePrefix="0" xfId="11">
      <alignment horizontal="center" vertical="center"/>
      <protection locked="0" hidden="0"/>
    </xf>
    <xf numFmtId="0" fontId="59" fillId="0" borderId="7" applyAlignment="1" applyProtection="1" pivotButton="0" quotePrefix="0" xfId="2">
      <alignment horizontal="center" vertical="center"/>
      <protection locked="0" hidden="0"/>
    </xf>
    <xf numFmtId="0" fontId="59" fillId="0" borderId="17" applyAlignment="1" applyProtection="1" pivotButton="0" quotePrefix="0" xfId="2">
      <alignment horizontal="center" vertical="center"/>
      <protection locked="0" hidden="0"/>
    </xf>
    <xf numFmtId="0" fontId="59" fillId="0" borderId="51" applyAlignment="1" applyProtection="1" pivotButton="0" quotePrefix="0" xfId="3">
      <alignment horizontal="left" vertical="center" wrapText="1"/>
      <protection locked="0" hidden="0"/>
    </xf>
    <xf numFmtId="0" fontId="59" fillId="0" borderId="0" applyAlignment="1" applyProtection="1" pivotButton="0" quotePrefix="0" xfId="0">
      <alignment horizontal="center" vertical="center"/>
      <protection locked="0" hidden="0"/>
    </xf>
    <xf numFmtId="0" fontId="59" fillId="0" borderId="0" applyProtection="1" pivotButton="0" quotePrefix="0" xfId="3">
      <protection locked="0" hidden="0"/>
    </xf>
    <xf numFmtId="0" fontId="59" fillId="0" borderId="0" applyProtection="1" pivotButton="0" quotePrefix="0" xfId="0">
      <protection locked="0" hidden="0"/>
    </xf>
    <xf numFmtId="0" fontId="20" fillId="6" borderId="14" applyAlignment="1" applyProtection="1" pivotButton="0" quotePrefix="0" xfId="0">
      <alignment horizontal="left" vertical="center" wrapText="1"/>
      <protection locked="0" hidden="0"/>
    </xf>
    <xf numFmtId="0" fontId="16" fillId="6" borderId="14" applyAlignment="1" applyProtection="1" pivotButton="0" quotePrefix="0" xfId="3">
      <alignment horizontal="left" vertical="center" wrapText="1"/>
      <protection locked="0" hidden="0"/>
    </xf>
    <xf numFmtId="0" fontId="15" fillId="6" borderId="3" applyAlignment="1" applyProtection="1" pivotButton="0" quotePrefix="0" xfId="14">
      <alignment horizontal="center" vertical="center" wrapText="1"/>
      <protection locked="0" hidden="0"/>
    </xf>
    <xf numFmtId="0" fontId="13" fillId="6" borderId="3" applyAlignment="1" applyProtection="1" pivotButton="0" quotePrefix="0" xfId="14">
      <alignment horizontal="center" vertical="center" wrapText="1"/>
      <protection locked="0" hidden="0"/>
    </xf>
    <xf numFmtId="0" fontId="60" fillId="6" borderId="14" applyAlignment="1" applyProtection="1" pivotButton="0" quotePrefix="0" xfId="3">
      <alignment horizontal="left" vertical="center" wrapText="1"/>
      <protection locked="0" hidden="0"/>
    </xf>
    <xf numFmtId="0" fontId="31" fillId="0" borderId="3" applyAlignment="1" pivotButton="0" quotePrefix="0" xfId="0">
      <alignment horizontal="center" vertical="center" wrapText="1"/>
    </xf>
    <xf numFmtId="0" fontId="12" fillId="0" borderId="1" applyAlignment="1" pivotButton="0" quotePrefix="0" xfId="3">
      <alignment vertical="top" wrapText="1"/>
    </xf>
    <xf numFmtId="0" fontId="13" fillId="13" borderId="3" applyAlignment="1" applyProtection="1" pivotButton="0" quotePrefix="0" xfId="0">
      <alignment horizontal="center" vertical="center" wrapText="1"/>
      <protection locked="0" hidden="0"/>
    </xf>
    <xf numFmtId="0" fontId="13" fillId="6" borderId="50" applyAlignment="1" applyProtection="1" pivotButton="0" quotePrefix="0" xfId="3">
      <alignment horizontal="left" vertical="center" wrapText="1"/>
      <protection locked="0" hidden="0"/>
    </xf>
    <xf numFmtId="0" fontId="22" fillId="9" borderId="36" applyAlignment="1" applyProtection="1" pivotButton="0" quotePrefix="0" xfId="3">
      <alignment horizontal="left" vertical="center" wrapText="1"/>
      <protection locked="0" hidden="0"/>
    </xf>
    <xf numFmtId="49" fontId="48" fillId="0" borderId="39" applyAlignment="1" pivotButton="0" quotePrefix="0" xfId="0">
      <alignment horizontal="left" vertical="center" wrapText="1"/>
    </xf>
    <xf numFmtId="0" fontId="13" fillId="6" borderId="2" applyAlignment="1" applyProtection="1" pivotButton="0" quotePrefix="0" xfId="0">
      <alignment horizontal="center" vertical="center" wrapText="1"/>
      <protection locked="0" hidden="0"/>
    </xf>
    <xf numFmtId="0" fontId="12" fillId="0" borderId="50" applyAlignment="1" pivotButton="0" quotePrefix="0" xfId="2">
      <alignment horizontal="left" vertical="center" wrapText="1"/>
    </xf>
    <xf numFmtId="0" fontId="13" fillId="0" borderId="69" applyAlignment="1" applyProtection="1" pivotButton="0" quotePrefix="0" xfId="3">
      <alignment horizontal="center" vertical="center" wrapText="1"/>
      <protection locked="0" hidden="0"/>
    </xf>
    <xf numFmtId="9" fontId="28" fillId="0" borderId="0" applyAlignment="1" pivotButton="0" quotePrefix="0" xfId="11">
      <alignment horizontal="center" vertical="center" wrapText="1"/>
    </xf>
    <xf numFmtId="0" fontId="22" fillId="0" borderId="37" applyAlignment="1" applyProtection="1" pivotButton="0" quotePrefix="0" xfId="3">
      <alignment horizontal="left" vertical="center" wrapText="1"/>
      <protection locked="0" hidden="0"/>
    </xf>
    <xf numFmtId="0" fontId="23" fillId="0" borderId="17" applyAlignment="1" pivotButton="0" quotePrefix="0" xfId="3">
      <alignment horizontal="center" vertical="center" wrapText="1"/>
    </xf>
    <xf numFmtId="0" fontId="66" fillId="0" borderId="3" applyAlignment="1" pivotButton="0" quotePrefix="0" xfId="2">
      <alignment horizontal="center" vertical="center"/>
    </xf>
    <xf numFmtId="0" fontId="59" fillId="0" borderId="3" applyAlignment="1" pivotButton="0" quotePrefix="0" xfId="2">
      <alignment horizontal="center" vertical="center"/>
    </xf>
    <xf numFmtId="0" fontId="59" fillId="0" borderId="50" applyAlignment="1" pivotButton="0" quotePrefix="0" xfId="0">
      <alignment wrapText="1"/>
    </xf>
    <xf numFmtId="0" fontId="59" fillId="0" borderId="17" applyAlignment="1" pivotButton="0" quotePrefix="0" xfId="2">
      <alignment horizontal="left" vertical="center" wrapText="1"/>
    </xf>
    <xf numFmtId="0" fontId="64" fillId="0" borderId="17" applyAlignment="1" pivotButton="0" quotePrefix="0" xfId="3">
      <alignment horizontal="left" vertical="center" wrapText="1"/>
    </xf>
    <xf numFmtId="0" fontId="13" fillId="0" borderId="2" applyAlignment="1" pivotButton="0" quotePrefix="0" xfId="0">
      <alignment horizontal="left" vertical="center" wrapText="1"/>
    </xf>
    <xf numFmtId="0" fontId="21" fillId="0" borderId="14" applyAlignment="1" pivotButton="0" quotePrefix="0" xfId="3">
      <alignment horizontal="left" vertical="center" wrapText="1"/>
    </xf>
    <xf numFmtId="0" fontId="13" fillId="0" borderId="2" applyAlignment="1" pivotButton="0" quotePrefix="0" xfId="3">
      <alignment horizontal="center" vertical="center" wrapText="1"/>
    </xf>
    <xf numFmtId="0" fontId="13" fillId="0" borderId="15" applyAlignment="1" pivotButton="0" quotePrefix="0" xfId="3">
      <alignment horizontal="left" vertical="center" wrapText="1"/>
    </xf>
    <xf numFmtId="0" fontId="58" fillId="13" borderId="1" applyAlignment="1" applyProtection="1" pivotButton="0" quotePrefix="0" xfId="0">
      <alignment horizontal="center" vertical="center"/>
      <protection locked="0" hidden="0"/>
    </xf>
    <xf numFmtId="0" fontId="68" fillId="13" borderId="1" applyAlignment="1" applyProtection="1" pivotButton="0" quotePrefix="0" xfId="0">
      <alignment horizontal="center" vertical="center"/>
      <protection locked="0" hidden="0"/>
    </xf>
    <xf numFmtId="0" fontId="13" fillId="0" borderId="50" applyAlignment="1" pivotButton="0" quotePrefix="0" xfId="3">
      <alignment horizontal="left" vertical="center" wrapText="1"/>
    </xf>
    <xf numFmtId="0" fontId="15" fillId="0" borderId="3" applyAlignment="1" pivotButton="0" quotePrefix="0" xfId="2">
      <alignment horizontal="center" vertical="center" wrapText="1"/>
    </xf>
    <xf numFmtId="0" fontId="17" fillId="0" borderId="1" applyAlignment="1" pivotButton="0" quotePrefix="0" xfId="3">
      <alignment horizontal="left" vertical="center" wrapText="1"/>
    </xf>
    <xf numFmtId="0" fontId="34" fillId="0" borderId="50" applyAlignment="1" pivotButton="0" quotePrefix="0" xfId="0">
      <alignment horizontal="center" vertical="center"/>
    </xf>
    <xf numFmtId="0" fontId="13" fillId="0" borderId="50" applyAlignment="1" pivotButton="0" quotePrefix="0" xfId="0">
      <alignment horizontal="center" vertical="center" wrapText="1"/>
    </xf>
    <xf numFmtId="0" fontId="15" fillId="0" borderId="1" applyAlignment="1" pivotButton="0" quotePrefix="0" xfId="0">
      <alignment horizontal="center" vertical="center"/>
    </xf>
    <xf numFmtId="0" fontId="13" fillId="0" borderId="1" applyAlignment="1" pivotButton="0" quotePrefix="0" xfId="0">
      <alignment horizontal="center" vertical="center"/>
    </xf>
    <xf numFmtId="0" fontId="13" fillId="0" borderId="14" applyAlignment="1" pivotButton="0" quotePrefix="0" xfId="0">
      <alignment vertical="center"/>
    </xf>
    <xf numFmtId="0" fontId="17" fillId="0" borderId="14" applyAlignment="1" pivotButton="0" quotePrefix="0" xfId="3">
      <alignment horizontal="left" vertical="center" wrapText="1"/>
    </xf>
    <xf numFmtId="0" fontId="13" fillId="0" borderId="15" applyAlignment="1" pivotButton="0" quotePrefix="0" xfId="0">
      <alignment horizontal="left" vertical="center" wrapText="1"/>
    </xf>
    <xf numFmtId="0" fontId="16" fillId="0" borderId="50" applyAlignment="1" pivotButton="0" quotePrefix="0" xfId="3">
      <alignment horizontal="left" vertical="center" wrapText="1"/>
    </xf>
    <xf numFmtId="0" fontId="63" fillId="0" borderId="3" applyAlignment="1" pivotButton="0" quotePrefix="0" xfId="0">
      <alignment horizontal="center" vertical="center" wrapText="1"/>
    </xf>
    <xf numFmtId="0" fontId="13" fillId="0" borderId="2" applyAlignment="1" pivotButton="0" quotePrefix="0" xfId="0">
      <alignment horizontal="center" vertical="center" wrapText="1"/>
    </xf>
    <xf numFmtId="0" fontId="15" fillId="0" borderId="50" applyAlignment="1" pivotButton="0" quotePrefix="0" xfId="0">
      <alignment horizontal="center" vertical="center"/>
    </xf>
    <xf numFmtId="0" fontId="13" fillId="0" borderId="50" applyAlignment="1" pivotButton="0" quotePrefix="0" xfId="0">
      <alignment horizontal="center" vertical="center"/>
    </xf>
    <xf numFmtId="0" fontId="59" fillId="0" borderId="2" applyAlignment="1" pivotButton="0" quotePrefix="0" xfId="2">
      <alignment horizontal="center" vertical="center" wrapText="1"/>
    </xf>
    <xf numFmtId="0" fontId="13" fillId="0" borderId="0" pivotButton="0" quotePrefix="0" xfId="3"/>
    <xf numFmtId="0" fontId="13" fillId="6" borderId="50" applyAlignment="1" applyProtection="1" pivotButton="0" quotePrefix="0" xfId="0">
      <alignment horizontal="center" vertical="center" wrapText="1"/>
      <protection locked="0" hidden="0"/>
    </xf>
    <xf numFmtId="0" fontId="59" fillId="6" borderId="2" applyAlignment="1" applyProtection="1" pivotButton="0" quotePrefix="0" xfId="2">
      <alignment horizontal="center" vertical="center" wrapText="1"/>
      <protection locked="0" hidden="0"/>
    </xf>
    <xf numFmtId="0" fontId="15" fillId="0" borderId="0" applyAlignment="1" pivotButton="0" quotePrefix="0" xfId="3">
      <alignment horizontal="center" vertical="center"/>
    </xf>
    <xf numFmtId="0" fontId="54" fillId="0" borderId="0" applyAlignment="1" pivotButton="0" quotePrefix="0" xfId="3">
      <alignment horizontal="center" vertical="center" wrapText="1"/>
    </xf>
    <xf numFmtId="0" fontId="13" fillId="0" borderId="0" applyAlignment="1" pivotButton="0" quotePrefix="0" xfId="0">
      <alignment horizontal="center" vertical="center"/>
    </xf>
    <xf numFmtId="0" fontId="13" fillId="0" borderId="0" pivotButton="0" quotePrefix="0" xfId="0"/>
    <xf numFmtId="0" fontId="15" fillId="0" borderId="0" applyAlignment="1" pivotButton="0" quotePrefix="0" xfId="3">
      <alignment horizontal="center" vertical="center" wrapText="1"/>
    </xf>
    <xf numFmtId="0" fontId="66" fillId="0" borderId="0" applyAlignment="1" pivotButton="0" quotePrefix="0" xfId="3">
      <alignment horizontal="center" vertical="center"/>
    </xf>
    <xf numFmtId="0" fontId="15" fillId="0" borderId="0" applyAlignment="1" pivotButton="0" quotePrefix="0" xfId="0">
      <alignment horizontal="center" vertical="center"/>
    </xf>
    <xf numFmtId="2" fontId="13" fillId="0" borderId="0" applyProtection="1" pivotButton="0" quotePrefix="0" xfId="0">
      <protection locked="0" hidden="0"/>
    </xf>
    <xf numFmtId="2" fontId="32" fillId="0" borderId="34" applyAlignment="1" applyProtection="1" pivotButton="0" quotePrefix="0" xfId="0">
      <alignment horizontal="right" vertical="center"/>
      <protection locked="0" hidden="0"/>
    </xf>
    <xf numFmtId="2" fontId="32" fillId="0" borderId="66" applyAlignment="1" applyProtection="1" pivotButton="0" quotePrefix="0" xfId="0">
      <alignment horizontal="right" vertical="center"/>
      <protection locked="0" hidden="0"/>
    </xf>
    <xf numFmtId="2" fontId="32" fillId="0" borderId="11" applyAlignment="1" applyProtection="1" pivotButton="0" quotePrefix="0" xfId="0">
      <alignment horizontal="right" vertical="center"/>
      <protection locked="0" hidden="0"/>
    </xf>
    <xf numFmtId="164" fontId="56" fillId="0" borderId="0" applyAlignment="1" pivotButton="0" quotePrefix="0" xfId="0">
      <alignment horizontal="center" vertical="center" wrapText="1"/>
    </xf>
    <xf numFmtId="164" fontId="65" fillId="0" borderId="0" applyAlignment="1" pivotButton="0" quotePrefix="0" xfId="0">
      <alignment horizontal="center" vertical="center"/>
    </xf>
    <xf numFmtId="0" fontId="13" fillId="0" borderId="17" applyAlignment="1" pivotButton="0" quotePrefix="0" xfId="0">
      <alignment horizontal="center" vertical="center" wrapText="1"/>
    </xf>
    <xf numFmtId="0" fontId="51" fillId="0" borderId="14" applyAlignment="1" pivotButton="0" quotePrefix="0" xfId="3">
      <alignment horizontal="left" vertical="center" wrapText="1"/>
    </xf>
    <xf numFmtId="0" fontId="0" fillId="0" borderId="50" applyAlignment="1" pivotButton="0" quotePrefix="0" xfId="3">
      <alignment horizontal="left" vertical="center" wrapText="1"/>
    </xf>
    <xf numFmtId="0" fontId="13" fillId="9" borderId="17" applyAlignment="1" applyProtection="1" pivotButton="0" quotePrefix="0" xfId="0">
      <alignment horizontal="left" vertical="center" wrapText="1"/>
      <protection locked="0" hidden="0"/>
    </xf>
    <xf numFmtId="0" fontId="48" fillId="0" borderId="17" applyAlignment="1" pivotButton="0" quotePrefix="0" xfId="3">
      <alignment horizontal="left" vertical="center" wrapText="1"/>
    </xf>
    <xf numFmtId="0" fontId="48" fillId="0" borderId="1" applyAlignment="1" pivotButton="0" quotePrefix="0" xfId="3">
      <alignment horizontal="left" vertical="center" wrapText="1"/>
    </xf>
    <xf numFmtId="0" fontId="48" fillId="0" borderId="17" applyAlignment="1" pivotButton="0" quotePrefix="0" xfId="0">
      <alignment horizontal="left" vertical="center" wrapText="1"/>
    </xf>
    <xf numFmtId="0" fontId="48" fillId="0" borderId="1" applyAlignment="1" pivotButton="0" quotePrefix="0" xfId="2">
      <alignment horizontal="center" vertical="center" wrapText="1"/>
    </xf>
    <xf numFmtId="0" fontId="13" fillId="0" borderId="20" applyAlignment="1" pivotButton="0" quotePrefix="0" xfId="0">
      <alignment horizontal="left" vertical="center" wrapText="1"/>
    </xf>
    <xf numFmtId="0" fontId="13" fillId="9" borderId="69" applyAlignment="1" applyProtection="1" pivotButton="0" quotePrefix="0" xfId="3">
      <alignment horizontal="left" vertical="center" wrapText="1"/>
      <protection locked="0" hidden="0"/>
    </xf>
    <xf numFmtId="0" fontId="13" fillId="9" borderId="51" applyAlignment="1" applyProtection="1" pivotButton="0" quotePrefix="0" xfId="3">
      <alignment horizontal="left" vertical="center" wrapText="1"/>
      <protection locked="0" hidden="0"/>
    </xf>
    <xf numFmtId="0" fontId="25" fillId="0" borderId="37" applyAlignment="1" applyProtection="1" pivotButton="0" quotePrefix="0" xfId="3">
      <alignment horizontal="left" vertical="center" wrapText="1"/>
      <protection locked="0" hidden="0"/>
    </xf>
    <xf numFmtId="0" fontId="13" fillId="0" borderId="50" applyAlignment="1" pivotButton="0" quotePrefix="0" xfId="0">
      <alignment vertical="center" wrapText="1"/>
    </xf>
    <xf numFmtId="0" fontId="13" fillId="0" borderId="50" applyAlignment="1" pivotButton="0" quotePrefix="0" xfId="3">
      <alignment vertical="center" wrapText="1"/>
    </xf>
    <xf numFmtId="0" fontId="59" fillId="0" borderId="3" applyAlignment="1" pivotButton="0" quotePrefix="0" xfId="2">
      <alignment horizontal="center" vertical="center" wrapText="1"/>
    </xf>
    <xf numFmtId="0" fontId="13" fillId="0" borderId="61" applyAlignment="1" pivotButton="0" quotePrefix="0" xfId="3">
      <alignment horizontal="left" vertical="center" wrapText="1"/>
    </xf>
    <xf numFmtId="0" fontId="2" fillId="4" borderId="1" applyAlignment="1" pivotButton="0" quotePrefix="0" xfId="0">
      <alignment horizontal="left" vertical="center" wrapText="1"/>
    </xf>
    <xf numFmtId="0" fontId="2" fillId="0" borderId="1" applyAlignment="1" applyProtection="1" pivotButton="0" quotePrefix="0" xfId="0">
      <alignment horizontal="left" vertical="center" wrapText="1"/>
      <protection locked="0" hidden="0"/>
    </xf>
    <xf numFmtId="0" fontId="2" fillId="0" borderId="0" applyAlignment="1" applyProtection="1" pivotButton="0" quotePrefix="0" xfId="0">
      <alignment horizontal="left" vertical="center"/>
      <protection locked="0" hidden="0"/>
    </xf>
    <xf numFmtId="0" fontId="2" fillId="0" borderId="0" applyAlignment="1" pivotButton="0" quotePrefix="0" xfId="0">
      <alignment horizontal="left" vertical="center" wrapText="1"/>
    </xf>
    <xf numFmtId="0" fontId="2" fillId="0" borderId="1" applyAlignment="1" applyProtection="1" pivotButton="0" quotePrefix="0" xfId="3">
      <alignment horizontal="left" vertical="center" wrapText="1"/>
      <protection locked="0" hidden="0"/>
    </xf>
    <xf numFmtId="0" fontId="2" fillId="0" borderId="50" applyAlignment="1" pivotButton="0" quotePrefix="0" xfId="0">
      <alignment horizontal="center" vertical="center"/>
    </xf>
    <xf numFmtId="0" fontId="2" fillId="0" borderId="50" applyAlignment="1" pivotButton="0" quotePrefix="0" xfId="0">
      <alignment vertical="center" wrapText="1"/>
    </xf>
    <xf numFmtId="0" fontId="2" fillId="0" borderId="3" applyAlignment="1" applyProtection="1" pivotButton="0" quotePrefix="0" xfId="3">
      <alignment horizontal="left" vertical="center" wrapText="1"/>
      <protection locked="0" hidden="0"/>
    </xf>
    <xf numFmtId="0" fontId="2" fillId="0" borderId="2" applyAlignment="1" applyProtection="1" pivotButton="0" quotePrefix="0" xfId="3">
      <alignment horizontal="left" vertical="center" wrapText="1"/>
      <protection locked="0" hidden="0"/>
    </xf>
    <xf numFmtId="0" fontId="2" fillId="0" borderId="1" applyAlignment="1" pivotButton="0" quotePrefix="0" xfId="3">
      <alignment vertical="center" wrapText="1"/>
    </xf>
    <xf numFmtId="0" fontId="2" fillId="6" borderId="1" applyAlignment="1" applyProtection="1" pivotButton="0" quotePrefix="0" xfId="3">
      <alignment vertical="center" wrapText="1"/>
      <protection locked="0" hidden="0"/>
    </xf>
    <xf numFmtId="0" fontId="2" fillId="0" borderId="65" applyAlignment="1" pivotButton="0" quotePrefix="0" xfId="3">
      <alignment horizontal="left" vertical="center" wrapText="1"/>
    </xf>
    <xf numFmtId="0" fontId="2" fillId="9" borderId="45" applyAlignment="1" applyProtection="1" pivotButton="0" quotePrefix="0" xfId="10">
      <alignment horizontal="center" vertical="center"/>
      <protection locked="0" hidden="0"/>
    </xf>
    <xf numFmtId="0" fontId="2" fillId="9" borderId="1" applyAlignment="1" applyProtection="1" pivotButton="0" quotePrefix="0" xfId="10">
      <alignment horizontal="center" vertical="center"/>
      <protection locked="0" hidden="0"/>
    </xf>
    <xf numFmtId="0" fontId="2" fillId="0" borderId="22" pivotButton="0" quotePrefix="0" xfId="10"/>
    <xf numFmtId="2" fontId="2" fillId="9" borderId="12" applyAlignment="1" applyProtection="1" pivotButton="0" quotePrefix="0" xfId="10">
      <alignment horizontal="center" vertical="center"/>
      <protection locked="0" hidden="0"/>
    </xf>
    <xf numFmtId="0" fontId="2" fillId="9" borderId="3" applyAlignment="1" applyProtection="1" pivotButton="0" quotePrefix="0" xfId="10">
      <alignment horizontal="center" vertical="center"/>
      <protection locked="0" hidden="0"/>
    </xf>
    <xf numFmtId="4" fontId="2" fillId="9" borderId="1" applyAlignment="1" applyProtection="1" pivotButton="0" quotePrefix="0" xfId="10">
      <alignment horizontal="center" vertical="center"/>
      <protection locked="0" hidden="0"/>
    </xf>
    <xf numFmtId="0" fontId="2" fillId="9" borderId="10" applyAlignment="1" applyProtection="1" pivotButton="0" quotePrefix="0" xfId="10">
      <alignment horizontal="center" vertical="center"/>
      <protection locked="0" hidden="0"/>
    </xf>
    <xf numFmtId="0" fontId="2" fillId="0" borderId="12" applyAlignment="1" pivotButton="0" quotePrefix="0" xfId="10">
      <alignment horizontal="center" vertical="center"/>
    </xf>
    <xf numFmtId="165" fontId="2" fillId="9" borderId="3" applyAlignment="1" applyProtection="1" pivotButton="0" quotePrefix="0" xfId="10">
      <alignment horizontal="center" vertical="center"/>
      <protection locked="0" hidden="0"/>
    </xf>
    <xf numFmtId="165" fontId="2" fillId="9" borderId="1" applyAlignment="1" applyProtection="1" pivotButton="0" quotePrefix="0" xfId="10">
      <alignment horizontal="center" vertical="center"/>
      <protection locked="0" hidden="0"/>
    </xf>
    <xf numFmtId="165" fontId="2" fillId="9" borderId="10" applyAlignment="1" applyProtection="1" pivotButton="0" quotePrefix="0" xfId="10">
      <alignment horizontal="center" vertical="center"/>
      <protection locked="0" hidden="0"/>
    </xf>
    <xf numFmtId="49" fontId="72" fillId="0" borderId="39" applyAlignment="1" pivotButton="0" quotePrefix="0" xfId="0">
      <alignment vertical="center" wrapText="1"/>
    </xf>
    <xf numFmtId="0" fontId="22" fillId="0" borderId="30" applyAlignment="1" applyProtection="1" pivotButton="0" quotePrefix="0" xfId="3">
      <alignment horizontal="center" vertical="center" wrapText="1"/>
      <protection locked="0" hidden="0"/>
    </xf>
    <xf numFmtId="0" fontId="15" fillId="14" borderId="3" applyAlignment="1" applyProtection="1" pivotButton="0" quotePrefix="0" xfId="0">
      <alignment horizontal="center" vertical="center" wrapText="1"/>
      <protection locked="0" hidden="0"/>
    </xf>
    <xf numFmtId="0" fontId="74" fillId="14" borderId="3" applyAlignment="1" applyProtection="1" pivotButton="0" quotePrefix="0" xfId="0">
      <alignment horizontal="center" vertical="center" wrapText="1"/>
      <protection locked="0" hidden="0"/>
    </xf>
    <xf numFmtId="0" fontId="13" fillId="5" borderId="32" applyAlignment="1" pivotButton="0" quotePrefix="0" xfId="2">
      <alignment horizontal="center" vertical="center"/>
    </xf>
    <xf numFmtId="0" fontId="13" fillId="5" borderId="33" applyAlignment="1" pivotButton="0" quotePrefix="0" xfId="2">
      <alignment horizontal="center" vertical="center"/>
    </xf>
    <xf numFmtId="0" fontId="13" fillId="5" borderId="34" applyAlignment="1" pivotButton="0" quotePrefix="0" xfId="2">
      <alignment horizontal="center" vertical="center"/>
    </xf>
    <xf numFmtId="0" fontId="36" fillId="9" borderId="35" applyAlignment="1" applyProtection="1" pivotButton="0" quotePrefix="0" xfId="3">
      <alignment horizontal="center" vertical="center" wrapText="1"/>
      <protection locked="0" hidden="0"/>
    </xf>
    <xf numFmtId="0" fontId="36" fillId="9" borderId="30" applyAlignment="1" applyProtection="1" pivotButton="0" quotePrefix="0" xfId="3">
      <alignment horizontal="center" vertical="center" wrapText="1"/>
      <protection locked="0" hidden="0"/>
    </xf>
    <xf numFmtId="0" fontId="36" fillId="9" borderId="51" applyAlignment="1" applyProtection="1" pivotButton="0" quotePrefix="0" xfId="3">
      <alignment horizontal="center" vertical="center" wrapText="1"/>
      <protection locked="0" hidden="0"/>
    </xf>
    <xf numFmtId="0" fontId="20" fillId="0" borderId="35" applyAlignment="1" applyProtection="1" pivotButton="0" quotePrefix="0" xfId="3">
      <alignment horizontal="center" vertical="center" wrapText="1"/>
      <protection locked="0" hidden="0"/>
    </xf>
    <xf numFmtId="0" fontId="20" fillId="0" borderId="51" applyAlignment="1" applyProtection="1" pivotButton="0" quotePrefix="0" xfId="3">
      <alignment horizontal="center" vertical="center" wrapText="1"/>
      <protection locked="0" hidden="0"/>
    </xf>
    <xf numFmtId="0" fontId="20" fillId="11" borderId="2" applyAlignment="1" pivotButton="0" quotePrefix="0" xfId="3">
      <alignment horizontal="center" vertical="center" wrapText="1"/>
    </xf>
    <xf numFmtId="0" fontId="20" fillId="11" borderId="3" applyAlignment="1" pivotButton="0" quotePrefix="0" xfId="3">
      <alignment horizontal="center" vertical="center" wrapText="1"/>
    </xf>
    <xf numFmtId="0" fontId="13" fillId="2" borderId="27" applyAlignment="1" pivotButton="0" quotePrefix="0" xfId="14">
      <alignment horizontal="center" vertical="center" wrapText="1"/>
    </xf>
    <xf numFmtId="0" fontId="13" fillId="2" borderId="0" applyAlignment="1" pivotButton="0" quotePrefix="0" xfId="14">
      <alignment horizontal="center" vertical="center" wrapText="1"/>
    </xf>
    <xf numFmtId="0" fontId="13" fillId="3" borderId="63" applyAlignment="1" pivotButton="0" quotePrefix="0" xfId="14">
      <alignment horizontal="center" vertical="center" wrapText="1"/>
    </xf>
    <xf numFmtId="0" fontId="13" fillId="3" borderId="64" applyAlignment="1" pivotButton="0" quotePrefix="0" xfId="14">
      <alignment horizontal="center" vertical="center" wrapText="1"/>
    </xf>
    <xf numFmtId="0" fontId="15" fillId="3" borderId="29" applyAlignment="1" pivotButton="0" quotePrefix="0" xfId="2">
      <alignment horizontal="center" vertical="center" wrapText="1"/>
    </xf>
    <xf numFmtId="0" fontId="15" fillId="3" borderId="31" applyAlignment="1" pivotButton="0" quotePrefix="0" xfId="2">
      <alignment horizontal="center" vertical="center" wrapText="1"/>
    </xf>
    <xf numFmtId="0" fontId="2" fillId="0" borderId="29" applyAlignment="1" pivotButton="0" quotePrefix="0" xfId="10">
      <alignment horizontal="center" vertical="top" textRotation="90"/>
    </xf>
    <xf numFmtId="0" fontId="7" fillId="0" borderId="30" applyAlignment="1" pivotButton="0" quotePrefix="0" xfId="10">
      <alignment horizontal="center" vertical="top" textRotation="90"/>
    </xf>
    <xf numFmtId="0" fontId="7" fillId="0" borderId="31" applyAlignment="1" pivotButton="0" quotePrefix="0" xfId="10">
      <alignment horizontal="center" vertical="top" textRotation="90"/>
    </xf>
    <xf numFmtId="0" fontId="2" fillId="0" borderId="29" applyAlignment="1" pivotButton="0" quotePrefix="0" xfId="10">
      <alignment horizontal="center" vertical="top" textRotation="90" wrapText="1"/>
    </xf>
    <xf numFmtId="0" fontId="2" fillId="0" borderId="30" applyAlignment="1" pivotButton="0" quotePrefix="0" xfId="10">
      <alignment horizontal="center" vertical="top" textRotation="90" wrapText="1"/>
    </xf>
    <xf numFmtId="0" fontId="2" fillId="0" borderId="31" applyAlignment="1" pivotButton="0" quotePrefix="0" xfId="10">
      <alignment horizontal="center" vertical="top" textRotation="90" wrapText="1"/>
    </xf>
    <xf numFmtId="0" fontId="0" fillId="0" borderId="64" pivotButton="0" quotePrefix="0" xfId="0"/>
    <xf numFmtId="0" fontId="15" fillId="3" borderId="28" applyAlignment="1" pivotButton="0" quotePrefix="0" xfId="2">
      <alignment horizontal="center" vertical="center" wrapText="1"/>
    </xf>
    <xf numFmtId="0" fontId="0" fillId="0" borderId="31" pivotButton="0" quotePrefix="0" xfId="0"/>
    <xf numFmtId="0" fontId="13" fillId="5" borderId="28" applyAlignment="1" pivotButton="0" quotePrefix="0" xfId="2">
      <alignment horizontal="center" vertical="center"/>
    </xf>
    <xf numFmtId="0" fontId="0" fillId="0" borderId="33" pivotButton="0" quotePrefix="0" xfId="0"/>
    <xf numFmtId="0" fontId="0" fillId="0" borderId="34" pivotButton="0" quotePrefix="0" xfId="0"/>
    <xf numFmtId="164" fontId="28" fillId="0" borderId="0" applyAlignment="1" pivotButton="0" quotePrefix="0" xfId="0">
      <alignment horizontal="center" vertical="center"/>
    </xf>
    <xf numFmtId="164" fontId="28" fillId="0" borderId="0" applyAlignment="1" applyProtection="1" pivotButton="0" quotePrefix="0" xfId="0">
      <alignment horizontal="center" vertical="center"/>
      <protection locked="0" hidden="0"/>
    </xf>
    <xf numFmtId="164" fontId="56" fillId="0" borderId="0" applyAlignment="1" pivotButton="0" quotePrefix="0" xfId="0">
      <alignment horizontal="center" vertical="center"/>
    </xf>
    <xf numFmtId="0" fontId="20" fillId="11" borderId="1" applyAlignment="1" pivotButton="0" quotePrefix="0" xfId="3">
      <alignment horizontal="center" vertical="center" wrapText="1"/>
    </xf>
    <xf numFmtId="0" fontId="0" fillId="0" borderId="3" pivotButton="0" quotePrefix="0" xfId="0"/>
    <xf numFmtId="164" fontId="65" fillId="0" borderId="0" applyAlignment="1" pivotButton="0" quotePrefix="0" xfId="0">
      <alignment horizontal="center" vertical="center"/>
    </xf>
    <xf numFmtId="0" fontId="20" fillId="0" borderId="37" applyAlignment="1" applyProtection="1" pivotButton="0" quotePrefix="0" xfId="3">
      <alignment horizontal="center" vertical="center" wrapText="1"/>
      <protection locked="0" hidden="0"/>
    </xf>
    <xf numFmtId="0" fontId="0" fillId="0" borderId="51" pivotButton="0" quotePrefix="0" xfId="0"/>
    <xf numFmtId="164" fontId="28" fillId="0" borderId="0" applyAlignment="1" pivotButton="0" quotePrefix="0" xfId="0">
      <alignment horizontal="center" vertical="center" wrapText="1"/>
    </xf>
    <xf numFmtId="0" fontId="36" fillId="9" borderId="37" applyAlignment="1" applyProtection="1" pivotButton="0" quotePrefix="0" xfId="3">
      <alignment horizontal="center" vertical="center" wrapText="1"/>
      <protection locked="0" hidden="0"/>
    </xf>
    <xf numFmtId="0" fontId="0" fillId="0" borderId="30" pivotButton="0" quotePrefix="0" xfId="0"/>
    <xf numFmtId="164" fontId="56" fillId="0" borderId="0" applyAlignment="1" pivotButton="0" quotePrefix="0" xfId="0">
      <alignment horizontal="center" vertical="center" wrapText="1"/>
    </xf>
    <xf numFmtId="164" fontId="28" fillId="0" borderId="0" applyAlignment="1" applyProtection="1" pivotButton="0" quotePrefix="0" xfId="0">
      <alignment horizontal="center" vertical="center" wrapText="1"/>
      <protection locked="0" hidden="0"/>
    </xf>
    <xf numFmtId="164" fontId="28" fillId="0" borderId="0" applyAlignment="1" pivotButton="0" quotePrefix="0" xfId="0">
      <alignment horizontal="right" vertical="center"/>
    </xf>
    <xf numFmtId="164" fontId="28" fillId="0" borderId="0" applyAlignment="1" applyProtection="1" pivotButton="0" quotePrefix="0" xfId="0">
      <alignment horizontal="right" vertical="center"/>
      <protection locked="0" hidden="0"/>
    </xf>
    <xf numFmtId="0" fontId="2" fillId="0" borderId="28" applyAlignment="1" pivotButton="0" quotePrefix="0" xfId="10">
      <alignment horizontal="center" vertical="top" textRotation="90" wrapText="1"/>
    </xf>
    <xf numFmtId="0" fontId="2" fillId="0" borderId="28" applyAlignment="1" pivotButton="0" quotePrefix="0" xfId="10">
      <alignment horizontal="center" vertical="top" textRotation="90"/>
    </xf>
    <xf numFmtId="165" fontId="2" fillId="9" borderId="3" applyAlignment="1" applyProtection="1" pivotButton="0" quotePrefix="0" xfId="10">
      <alignment horizontal="center" vertical="center"/>
      <protection locked="0" hidden="0"/>
    </xf>
    <xf numFmtId="165" fontId="2" fillId="9" borderId="1" applyAlignment="1" applyProtection="1" pivotButton="0" quotePrefix="0" xfId="10">
      <alignment horizontal="center" vertical="center"/>
      <protection locked="0" hidden="0"/>
    </xf>
    <xf numFmtId="165" fontId="2" fillId="9" borderId="10" applyAlignment="1" applyProtection="1" pivotButton="0" quotePrefix="0" xfId="10">
      <alignment horizontal="center" vertical="center"/>
      <protection locked="0" hidden="0"/>
    </xf>
    <xf numFmtId="0" fontId="75" fillId="0" borderId="74" applyAlignment="1" pivotButton="0" quotePrefix="0" xfId="0">
      <alignment horizontal="center" vertical="top"/>
    </xf>
  </cellXfs>
  <cellStyles count="17">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2 2 3 3" xfId="16"/>
  </cellStyles>
  <dxfs count="149">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patternType="solid">
          <fgColor indexed="64"/>
          <bgColor theme="0" tint="-0.0499893185216834"/>
        </patternFill>
      </fill>
    </dxf>
    <dxf>
      <fill>
        <patternFill patternType="solid">
          <fgColor indexed="64"/>
          <bgColor theme="6" tint="0.7999816888943144"/>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28916</rowOff>
    </from>
    <ext cx="935182" cy="411480"/>
    <pic>
      <nvPicPr>
        <cNvPr id="2" name="Picture 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t="26785" b="35417"/>
        <a:stretch xmlns:a="http://schemas.openxmlformats.org/drawingml/2006/main">
          <a:fillRect/>
        </a:stretch>
      </blipFill>
      <spPr bwMode="auto">
        <a:xfrm xmlns:a="http://schemas.openxmlformats.org/drawingml/2006/main">
          <a:off x="0" y="28916"/>
          <a:ext cx="935182" cy="411480"/>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9" tint="-0.499984740745262"/>
    <outlinePr summaryBelow="1" summaryRight="1"/>
    <pageSetUpPr/>
  </sheetPr>
  <dimension ref="A1:XEN233"/>
  <sheetViews>
    <sheetView zoomScale="50" zoomScaleNormal="50" workbookViewId="0">
      <pane xSplit="4" ySplit="3" topLeftCell="E213" activePane="bottomRight" state="frozen"/>
      <selection pane="topRight" activeCell="E1" sqref="E1"/>
      <selection pane="bottomLeft" activeCell="A4" sqref="A4"/>
      <selection pane="bottomRight" activeCell="D158" sqref="D158"/>
    </sheetView>
  </sheetViews>
  <sheetFormatPr baseColWidth="10" defaultColWidth="8.83203125" defaultRowHeight="16"/>
  <cols>
    <col hidden="1" width="7.5" customWidth="1" style="193" min="1" max="1"/>
    <col width="26" customWidth="1" style="275" min="2" max="2"/>
    <col hidden="1" width="36.6640625" customWidth="1" style="274" min="3" max="3"/>
    <col width="72.6640625" customWidth="1" style="273" min="4" max="4"/>
    <col hidden="1" width="9.6640625" customWidth="1" style="193" min="5" max="5"/>
    <col width="15.83203125" customWidth="1" style="193" min="6" max="6"/>
    <col hidden="1" width="12.33203125" customWidth="1" style="193" min="7" max="7"/>
    <col hidden="1" width="41" customWidth="1" style="193" min="8" max="8"/>
    <col hidden="1" width="33" customWidth="1" style="193" min="9" max="9"/>
    <col hidden="1" width="41.83203125" customWidth="1" style="193" min="10" max="10"/>
    <col hidden="1" width="33.1640625" customWidth="1" style="193" min="11" max="11"/>
    <col width="47.33203125" customWidth="1" style="193" min="12" max="12"/>
    <col width="22.33203125" customWidth="1" style="193" min="13" max="13"/>
    <col width="40.83203125" customWidth="1" style="193" min="14" max="14"/>
    <col hidden="1" width="15" customWidth="1" style="374" min="15" max="15"/>
    <col hidden="1" width="8.83203125" customWidth="1" style="207" min="16" max="16"/>
    <col hidden="1" width="8.83203125" customWidth="1" style="193" min="17" max="17"/>
    <col hidden="1" width="20.6640625" customWidth="1" style="244" min="18" max="18"/>
    <col hidden="1" outlineLevel="1" width="8.83203125" customWidth="1" style="193" min="19" max="19"/>
    <col hidden="1" collapsed="1" width="8.83203125" customWidth="1" style="193" min="20" max="20"/>
    <col hidden="1" width="8.83203125" customWidth="1" style="193" min="21" max="21"/>
    <col hidden="1" width="15.33203125" customWidth="1" style="373" min="22" max="22"/>
    <col width="11.5" customWidth="1" style="373" min="23" max="23"/>
    <col hidden="1" outlineLevel="1" width="10.6640625" customWidth="1" style="193" min="24" max="24"/>
    <col collapsed="1" width="8.83203125" customWidth="1" style="193" min="25" max="25"/>
    <col width="8.83203125" customWidth="1" style="193" min="26" max="16384"/>
  </cols>
  <sheetData>
    <row r="1" ht="18.75" customHeight="1" thickBot="1">
      <c r="A1" s="533" t="inlineStr">
        <is>
          <t>GeoPoll Submission Form</t>
        </is>
      </c>
      <c r="O1" s="392" t="n"/>
      <c r="P1" s="186" t="n"/>
      <c r="R1" s="186" t="n"/>
      <c r="V1" s="324" t="n"/>
      <c r="W1" s="324" t="n"/>
    </row>
    <row r="2" ht="15" customHeight="1" thickBot="1">
      <c r="A2" s="535" t="inlineStr">
        <is>
          <t>FAO - Household Questionnaire</t>
        </is>
      </c>
      <c r="B2" s="545" t="n"/>
      <c r="C2" s="545" t="n"/>
      <c r="D2" s="545" t="n"/>
      <c r="E2" s="545" t="n"/>
      <c r="F2" s="545" t="n"/>
      <c r="G2" s="545" t="n"/>
      <c r="H2" s="545" t="n"/>
      <c r="I2" s="545" t="n"/>
      <c r="J2" s="545" t="n"/>
      <c r="K2" s="545" t="n"/>
      <c r="L2" s="545" t="n"/>
      <c r="M2" s="545" t="n"/>
      <c r="N2" s="546" t="inlineStr">
        <is>
          <t>Additional notes</t>
        </is>
      </c>
      <c r="O2" s="392" t="n"/>
      <c r="P2" s="186" t="n"/>
      <c r="V2" s="324" t="n"/>
      <c r="W2" s="324" t="n"/>
    </row>
    <row r="3" ht="61.5" customFormat="1" customHeight="1" s="275" thickBot="1">
      <c r="A3" s="272" t="inlineStr">
        <is>
          <t>Q #</t>
        </is>
      </c>
      <c r="B3" s="271" t="inlineStr">
        <is>
          <t>Q Name</t>
        </is>
      </c>
      <c r="C3" s="269" t="inlineStr">
        <is>
          <t>Suggested Qname</t>
        </is>
      </c>
      <c r="D3" s="271" t="inlineStr">
        <is>
          <t>English</t>
        </is>
      </c>
      <c r="E3" s="270" t="inlineStr">
        <is>
          <t>Length</t>
        </is>
      </c>
      <c r="F3" s="271" t="inlineStr">
        <is>
          <t>Q Type</t>
        </is>
      </c>
      <c r="G3" s="270" t="inlineStr">
        <is>
          <t>Randomize</t>
        </is>
      </c>
      <c r="H3" s="269" t="inlineStr">
        <is>
          <t>Conditional</t>
        </is>
      </c>
      <c r="I3" s="269" t="inlineStr">
        <is>
          <t>Programming Instructions</t>
        </is>
      </c>
      <c r="J3" s="268" t="inlineStr">
        <is>
          <t>Skip Pattern</t>
        </is>
      </c>
      <c r="K3" s="268" t="inlineStr">
        <is>
          <t>Codes</t>
        </is>
      </c>
      <c r="L3" s="267" t="inlineStr">
        <is>
          <t xml:space="preserve">Default skip patterns &amp; conditional </t>
        </is>
      </c>
      <c r="M3" s="267" t="inlineStr">
        <is>
          <t>Specify skip pattern variable (from blue text)</t>
        </is>
      </c>
      <c r="N3" s="547" t="n"/>
      <c r="O3" s="319" t="inlineStr">
        <is>
          <t>Estimated percentage of repondents</t>
        </is>
      </c>
      <c r="P3" s="296" t="n"/>
      <c r="R3" s="393" t="inlineStr">
        <is>
          <t>Mandatory</t>
        </is>
      </c>
      <c r="V3" s="319" t="inlineStr">
        <is>
          <t>Duration (sec)</t>
        </is>
      </c>
      <c r="W3" s="320" t="inlineStr">
        <is>
          <t>Weighted duration</t>
        </is>
      </c>
      <c r="X3" s="320" t="inlineStr">
        <is>
          <t>Core questions only</t>
        </is>
      </c>
    </row>
    <row r="4" ht="18" customHeight="1" thickBot="1">
      <c r="A4" s="548" t="inlineStr">
        <is>
          <t>A. PRESENTATION OF THE SURVEY AND ELIGIBILITY CRITERIA SELECTION</t>
        </is>
      </c>
      <c r="B4" s="549" t="n"/>
      <c r="C4" s="549" t="n"/>
      <c r="D4" s="549" t="n"/>
      <c r="E4" s="549" t="n"/>
      <c r="F4" s="549" t="n"/>
      <c r="G4" s="549" t="n"/>
      <c r="H4" s="549" t="n"/>
      <c r="I4" s="549" t="n"/>
      <c r="J4" s="549" t="n"/>
      <c r="K4" s="549" t="n"/>
      <c r="L4" s="549" t="n"/>
      <c r="M4" s="549" t="n"/>
      <c r="N4" s="550" t="n"/>
      <c r="O4" s="392" t="n"/>
      <c r="P4" s="186" t="n"/>
      <c r="R4" s="244" t="inlineStr">
        <is>
          <t>no</t>
        </is>
      </c>
      <c r="V4" s="324" t="n"/>
      <c r="W4" s="551">
        <f>IF(V4="","",V4*T4)</f>
        <v/>
      </c>
      <c r="X4" s="186">
        <f>IF(R4="yes",W4,"")</f>
        <v/>
      </c>
    </row>
    <row r="5" ht="26.25" customHeight="1">
      <c r="A5" s="102" t="inlineStr">
        <is>
          <t>NA</t>
        </is>
      </c>
      <c r="B5" s="281" t="inlineStr">
        <is>
          <t>Optin</t>
        </is>
      </c>
      <c r="C5" s="292" t="n"/>
      <c r="D5" s="190" t="inlineStr">
        <is>
          <t>Optin</t>
        </is>
      </c>
      <c r="E5" s="189">
        <f>LEN(D5)</f>
        <v/>
      </c>
      <c r="F5" s="189" t="inlineStr">
        <is>
          <t>Open Ended</t>
        </is>
      </c>
      <c r="G5" s="189" t="inlineStr">
        <is>
          <t>NA</t>
        </is>
      </c>
      <c r="H5" s="189" t="inlineStr">
        <is>
          <t>NA</t>
        </is>
      </c>
      <c r="I5" s="189" t="inlineStr">
        <is>
          <t>Form Type - TextBox</t>
        </is>
      </c>
      <c r="J5" s="188" t="inlineStr">
        <is>
          <t>Any Response = phone_number</t>
        </is>
      </c>
      <c r="K5" s="266" t="inlineStr">
        <is>
          <t>NA</t>
        </is>
      </c>
      <c r="L5" s="266" t="inlineStr">
        <is>
          <t>NA</t>
        </is>
      </c>
      <c r="M5" s="84" t="n"/>
      <c r="N5" s="9" t="n"/>
      <c r="O5" s="392" t="n"/>
      <c r="P5" s="186" t="n"/>
      <c r="R5" s="244" t="inlineStr">
        <is>
          <t>no</t>
        </is>
      </c>
      <c r="V5" s="552" t="n">
        <v>0</v>
      </c>
      <c r="W5" s="551">
        <f>IF(V5="","",V5*O5)</f>
        <v/>
      </c>
      <c r="X5" s="186">
        <f>IF(R5="yes",W5,"")</f>
        <v/>
      </c>
    </row>
    <row r="6" ht="17" customHeight="1">
      <c r="A6" s="102" t="inlineStr">
        <is>
          <t>NA</t>
        </is>
      </c>
      <c r="B6" s="239" t="inlineStr">
        <is>
          <t>phone_number</t>
        </is>
      </c>
      <c r="C6" s="191" t="inlineStr">
        <is>
          <t>phone_number</t>
        </is>
      </c>
      <c r="D6" s="212" t="inlineStr">
        <is>
          <t xml:space="preserve">Input the phone number that you are contacting: </t>
        </is>
      </c>
      <c r="E6" s="189">
        <f>LEN(D6)</f>
        <v/>
      </c>
      <c r="F6" s="189" t="inlineStr">
        <is>
          <t>Open Ended</t>
        </is>
      </c>
      <c r="G6" s="189" t="inlineStr">
        <is>
          <t>NA</t>
        </is>
      </c>
      <c r="H6" s="189" t="inlineStr">
        <is>
          <t>NA</t>
        </is>
      </c>
      <c r="I6" s="189" t="inlineStr">
        <is>
          <t>Form Type - TextBox</t>
        </is>
      </c>
      <c r="J6" s="188" t="inlineStr">
        <is>
          <t>Any Response = calldispo</t>
        </is>
      </c>
      <c r="K6" s="266" t="inlineStr">
        <is>
          <t>NA</t>
        </is>
      </c>
      <c r="L6" s="266" t="inlineStr">
        <is>
          <t>NA</t>
        </is>
      </c>
      <c r="M6" s="84" t="n"/>
      <c r="N6" s="52" t="n"/>
      <c r="O6" s="392" t="n"/>
      <c r="P6" s="186" t="n"/>
      <c r="R6" s="244" t="inlineStr">
        <is>
          <t>yes</t>
        </is>
      </c>
      <c r="V6" s="552" t="n">
        <v>0</v>
      </c>
      <c r="W6" s="551">
        <f>IF(V6="","",V6*O6)</f>
        <v/>
      </c>
      <c r="X6" s="186">
        <f>IF(R6="yes",W6,"")</f>
        <v/>
      </c>
    </row>
    <row r="7" ht="136" customHeight="1">
      <c r="A7" s="46" t="inlineStr">
        <is>
          <t>NA</t>
        </is>
      </c>
      <c r="B7" s="231" t="inlineStr">
        <is>
          <t>calldispo</t>
        </is>
      </c>
      <c r="C7" s="191" t="inlineStr">
        <is>
          <t>calldispo</t>
        </is>
      </c>
      <c r="D7" s="212" t="inlineStr">
        <is>
          <t>Phone number: #CATI_MOBILENUMBER#
1)Someone answers
2)Answering machine
3)No answer
4)Hang up or refusal
5)Call back
6)Under review
7)Disconnected</t>
        </is>
      </c>
      <c r="E7" s="197">
        <f>LEN(D7)</f>
        <v/>
      </c>
      <c r="F7" s="206" t="inlineStr">
        <is>
          <t>Single Choice</t>
        </is>
      </c>
      <c r="G7" s="197" t="inlineStr">
        <is>
          <t>NA</t>
        </is>
      </c>
      <c r="H7" s="197" t="inlineStr">
        <is>
          <t>NA</t>
        </is>
      </c>
      <c r="I7" s="197" t="inlineStr">
        <is>
          <t>Form Type - Buttons</t>
        </is>
      </c>
      <c r="J7" s="196" t="inlineStr">
        <is>
          <t>1 = resp_language
2 = AnsweringMachine
3 = NoAnswer
4 = Refusal
5 = WhenCallBack
6 = UnderReview
7 = Disconnected</t>
        </is>
      </c>
      <c r="K7" s="266" t="inlineStr">
        <is>
          <t>NA</t>
        </is>
      </c>
      <c r="L7" s="255" t="inlineStr">
        <is>
          <t>NA</t>
        </is>
      </c>
      <c r="M7" s="85" t="n"/>
      <c r="N7" s="10" t="n"/>
      <c r="O7" s="392" t="n"/>
      <c r="P7" s="186" t="n"/>
      <c r="R7" s="244" t="inlineStr">
        <is>
          <t>no</t>
        </is>
      </c>
      <c r="V7" s="552" t="n">
        <v>14.69530773162842</v>
      </c>
      <c r="W7" s="551">
        <f>IF(V7="","",V7*O7)</f>
        <v/>
      </c>
      <c r="X7" s="186">
        <f>IF(R7="yes",W7,"")</f>
        <v/>
      </c>
    </row>
    <row r="8" ht="37.5" customHeight="1">
      <c r="A8" s="46" t="inlineStr">
        <is>
          <t>NA</t>
        </is>
      </c>
      <c r="B8" s="231" t="inlineStr">
        <is>
          <t>AnsweringMachine</t>
        </is>
      </c>
      <c r="C8" s="191" t="inlineStr">
        <is>
          <t>calldispo_answeringmachine</t>
        </is>
      </c>
      <c r="D8" s="265" t="inlineStr">
        <is>
          <t>Reached an answering machine.</t>
        </is>
      </c>
      <c r="E8" s="197">
        <f>LEN(D8)</f>
        <v/>
      </c>
      <c r="F8" s="206" t="inlineStr">
        <is>
          <t>NA</t>
        </is>
      </c>
      <c r="G8" s="206" t="inlineStr">
        <is>
          <t>NA</t>
        </is>
      </c>
      <c r="H8" s="206" t="inlineStr">
        <is>
          <t>NA</t>
        </is>
      </c>
      <c r="I8" s="206" t="inlineStr">
        <is>
          <t>NA</t>
        </is>
      </c>
      <c r="J8" s="264" t="inlineStr">
        <is>
          <t>End Poll AnsweringMachine</t>
        </is>
      </c>
      <c r="K8" s="266" t="inlineStr">
        <is>
          <t>NA</t>
        </is>
      </c>
      <c r="L8" s="263" t="inlineStr">
        <is>
          <t>NA</t>
        </is>
      </c>
      <c r="M8" s="86" t="n"/>
      <c r="N8" s="11" t="n"/>
      <c r="O8" s="392" t="n"/>
      <c r="P8" s="186" t="n"/>
      <c r="R8" s="244" t="inlineStr">
        <is>
          <t>no</t>
        </is>
      </c>
      <c r="V8" s="552" t="n">
        <v>0</v>
      </c>
      <c r="W8" s="551">
        <f>IF(V8="","",V8*O8)</f>
        <v/>
      </c>
      <c r="X8" s="186">
        <f>IF(R8="yes",W8,"")</f>
        <v/>
      </c>
    </row>
    <row r="9" ht="37.5" customHeight="1">
      <c r="A9" s="46" t="inlineStr">
        <is>
          <t>NA</t>
        </is>
      </c>
      <c r="B9" s="231" t="inlineStr">
        <is>
          <t>NoAnswer</t>
        </is>
      </c>
      <c r="C9" s="191" t="inlineStr">
        <is>
          <t>calldispo_noanswer</t>
        </is>
      </c>
      <c r="D9" s="265" t="inlineStr">
        <is>
          <t>Phone rang and no one answered.</t>
        </is>
      </c>
      <c r="E9" s="197">
        <f>LEN(D9)</f>
        <v/>
      </c>
      <c r="F9" s="206" t="inlineStr">
        <is>
          <t>NA</t>
        </is>
      </c>
      <c r="G9" s="206" t="inlineStr">
        <is>
          <t>NA</t>
        </is>
      </c>
      <c r="H9" s="206" t="inlineStr">
        <is>
          <t>NA</t>
        </is>
      </c>
      <c r="I9" s="206" t="inlineStr">
        <is>
          <t>NA</t>
        </is>
      </c>
      <c r="J9" s="264" t="inlineStr">
        <is>
          <t>End Poll NoAnswer</t>
        </is>
      </c>
      <c r="K9" s="266" t="inlineStr">
        <is>
          <t>NA</t>
        </is>
      </c>
      <c r="L9" s="263" t="inlineStr">
        <is>
          <t>NA</t>
        </is>
      </c>
      <c r="M9" s="86" t="n"/>
      <c r="N9" s="11" t="n"/>
      <c r="O9" s="392" t="n"/>
      <c r="P9" s="186" t="n"/>
      <c r="R9" s="244" t="inlineStr">
        <is>
          <t>no</t>
        </is>
      </c>
      <c r="V9" s="552" t="n">
        <v>0</v>
      </c>
      <c r="W9" s="551">
        <f>IF(V9="","",V9*O9)</f>
        <v/>
      </c>
      <c r="X9" s="186">
        <f>IF(R9="yes",W9,"")</f>
        <v/>
      </c>
    </row>
    <row r="10" ht="37.5" customHeight="1">
      <c r="A10" s="46" t="inlineStr">
        <is>
          <t>NA</t>
        </is>
      </c>
      <c r="B10" s="231" t="inlineStr">
        <is>
          <t>UnderReview</t>
        </is>
      </c>
      <c r="C10" s="191" t="inlineStr">
        <is>
          <t>calldispo_underreview</t>
        </is>
      </c>
      <c r="D10" s="265" t="inlineStr">
        <is>
          <t>Case needs review by a supervisor.</t>
        </is>
      </c>
      <c r="E10" s="197">
        <f>LEN(D10)</f>
        <v/>
      </c>
      <c r="F10" s="206" t="inlineStr">
        <is>
          <t>NA</t>
        </is>
      </c>
      <c r="G10" s="206" t="inlineStr">
        <is>
          <t>NA</t>
        </is>
      </c>
      <c r="H10" s="206" t="inlineStr">
        <is>
          <t>NA</t>
        </is>
      </c>
      <c r="I10" s="206" t="inlineStr">
        <is>
          <t>NA</t>
        </is>
      </c>
      <c r="J10" s="264" t="inlineStr">
        <is>
          <t>End Poll UnderReview</t>
        </is>
      </c>
      <c r="K10" s="266" t="inlineStr">
        <is>
          <t>NA</t>
        </is>
      </c>
      <c r="L10" s="263" t="inlineStr">
        <is>
          <t>NA</t>
        </is>
      </c>
      <c r="M10" s="86" t="n"/>
      <c r="N10" s="11" t="n"/>
      <c r="O10" s="392" t="n"/>
      <c r="P10" s="186" t="n"/>
      <c r="R10" s="244" t="inlineStr">
        <is>
          <t>no</t>
        </is>
      </c>
      <c r="V10" s="552" t="n">
        <v>0</v>
      </c>
      <c r="W10" s="551">
        <f>IF(V10="","",V10*O10)</f>
        <v/>
      </c>
      <c r="X10" s="186">
        <f>IF(R10="yes",W10,"")</f>
        <v/>
      </c>
    </row>
    <row r="11" ht="37.5" customHeight="1">
      <c r="A11" s="46" t="inlineStr">
        <is>
          <t>NA</t>
        </is>
      </c>
      <c r="B11" s="231" t="inlineStr">
        <is>
          <t>Disconnected</t>
        </is>
      </c>
      <c r="C11" s="191" t="inlineStr">
        <is>
          <t>calldispo_disconnected</t>
        </is>
      </c>
      <c r="D11" s="265" t="inlineStr">
        <is>
          <t>Phone was disconnected or out of service.</t>
        </is>
      </c>
      <c r="E11" s="197">
        <f>LEN(D11)</f>
        <v/>
      </c>
      <c r="F11" s="206" t="inlineStr">
        <is>
          <t>NA</t>
        </is>
      </c>
      <c r="G11" s="206" t="inlineStr">
        <is>
          <t>NA</t>
        </is>
      </c>
      <c r="H11" s="206" t="inlineStr">
        <is>
          <t>NA</t>
        </is>
      </c>
      <c r="I11" s="206" t="inlineStr">
        <is>
          <t>NA</t>
        </is>
      </c>
      <c r="J11" s="264" t="inlineStr">
        <is>
          <t>End Poll Disconnected</t>
        </is>
      </c>
      <c r="K11" s="266" t="inlineStr">
        <is>
          <t>NA</t>
        </is>
      </c>
      <c r="L11" s="263" t="inlineStr">
        <is>
          <t>NA</t>
        </is>
      </c>
      <c r="M11" s="86" t="n"/>
      <c r="N11" s="11" t="n"/>
      <c r="O11" s="392" t="n"/>
      <c r="P11" s="186" t="n"/>
      <c r="R11" s="244" t="inlineStr">
        <is>
          <t>no</t>
        </is>
      </c>
      <c r="V11" s="552" t="n">
        <v>0</v>
      </c>
      <c r="W11" s="551">
        <f>IF(V11="","",V11*O11)</f>
        <v/>
      </c>
      <c r="X11" s="186">
        <f>IF(R11="yes",W11,"")</f>
        <v/>
      </c>
    </row>
    <row r="12" ht="98" customHeight="1">
      <c r="A12" s="46" t="inlineStr">
        <is>
          <t>NA</t>
        </is>
      </c>
      <c r="B12" s="231" t="inlineStr">
        <is>
          <t>resp_language</t>
        </is>
      </c>
      <c r="C12" s="191" t="inlineStr">
        <is>
          <t>resp_language</t>
        </is>
      </c>
      <c r="D12" s="482" t="inlineStr">
        <is>
          <t>Which language do you wish to proceed with?
[OPERATOR: READ ANSWER CHOICES. SINGLE RESPONSE.]
1)English
2)other options [add as many as necessary]</t>
        </is>
      </c>
      <c r="E12" s="197">
        <f>LEN(D12)</f>
        <v/>
      </c>
      <c r="F12" s="206" t="inlineStr">
        <is>
          <t>Single Choice</t>
        </is>
      </c>
      <c r="G12" s="197" t="inlineStr">
        <is>
          <t>NA</t>
        </is>
      </c>
      <c r="H12" s="197" t="inlineStr">
        <is>
          <t>NA</t>
        </is>
      </c>
      <c r="I12" s="197" t="inlineStr">
        <is>
          <t>Form Type - Buttons</t>
        </is>
      </c>
      <c r="J12" s="481" t="inlineStr">
        <is>
          <t>1 = introduction [English]
2 = introduction [languages &amp; add more if needed]</t>
        </is>
      </c>
      <c r="K12" s="266" t="inlineStr">
        <is>
          <t>NA</t>
        </is>
      </c>
      <c r="L12" s="262" t="inlineStr">
        <is>
          <t>For any response, go to introduction</t>
        </is>
      </c>
      <c r="M12" s="87" t="n"/>
      <c r="N12" s="12" t="inlineStr">
        <is>
          <t>Insert most common national languages here [max 4 for translation with GeoPoll].</t>
        </is>
      </c>
      <c r="O12" s="392" t="n"/>
      <c r="P12" s="186" t="n"/>
      <c r="R12" s="244" t="inlineStr">
        <is>
          <t>no</t>
        </is>
      </c>
      <c r="V12" s="552" t="n">
        <v>3.103272438049316</v>
      </c>
      <c r="W12" s="551">
        <f>IF(V12="","",V12*O12)</f>
        <v/>
      </c>
      <c r="X12" s="186">
        <f>IF(R12="yes",W12,"")</f>
        <v/>
      </c>
    </row>
    <row r="13" ht="388" customHeight="1">
      <c r="A13" s="46" t="inlineStr">
        <is>
          <t>NA</t>
        </is>
      </c>
      <c r="B13" s="231" t="inlineStr">
        <is>
          <t>introduction</t>
        </is>
      </c>
      <c r="C13" s="191" t="inlineStr">
        <is>
          <t>introduction</t>
        </is>
      </c>
      <c r="D13" s="47"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3" s="197">
        <f>LEN(D13)</f>
        <v/>
      </c>
      <c r="F13" s="206" t="inlineStr">
        <is>
          <t>Single Choice</t>
        </is>
      </c>
      <c r="G13" s="197" t="inlineStr">
        <is>
          <t>NA</t>
        </is>
      </c>
      <c r="H13" s="197" t="inlineStr">
        <is>
          <t>NA</t>
        </is>
      </c>
      <c r="I13" s="197" t="inlineStr">
        <is>
          <t>Form Type - Buttons</t>
        </is>
      </c>
      <c r="J13" s="196" t="inlineStr">
        <is>
          <t>1 = Agree</t>
        </is>
      </c>
      <c r="K13" s="266" t="inlineStr">
        <is>
          <t>NA</t>
        </is>
      </c>
      <c r="L13" s="262" t="inlineStr">
        <is>
          <t>For any response, go to Agree</t>
        </is>
      </c>
      <c r="M13" s="87" t="n"/>
      <c r="N13" s="12" t="inlineStr">
        <is>
          <t>Set the amount of incentive here, if any.</t>
        </is>
      </c>
      <c r="O13" s="392" t="n"/>
      <c r="P13" s="186" t="n"/>
      <c r="R13" s="244" t="inlineStr">
        <is>
          <t>no</t>
        </is>
      </c>
      <c r="V13" s="552" t="n">
        <v>37.41844940185547</v>
      </c>
      <c r="W13" s="551">
        <f>IF(V13="","",V13*O13)</f>
        <v/>
      </c>
      <c r="X13" s="186">
        <f>IF(R13="yes",W13,"")</f>
        <v/>
      </c>
    </row>
    <row r="14" ht="119" customFormat="1" customHeight="1" s="192">
      <c r="A14" s="46" t="inlineStr">
        <is>
          <t>NA</t>
        </is>
      </c>
      <c r="B14" s="231" t="inlineStr">
        <is>
          <t>Agree</t>
        </is>
      </c>
      <c r="C14" s="191" t="inlineStr">
        <is>
          <t>resp_agree</t>
        </is>
      </c>
      <c r="D14" s="212" t="inlineStr">
        <is>
          <t xml:space="preserve">Are you interested in participating in this survey?
[OPERATOR: SINGLE RESPONSE]
1)Yes 
2)Not now but another time in the week 
3)No </t>
        </is>
      </c>
      <c r="E14" s="197">
        <f>LEN(D14)</f>
        <v/>
      </c>
      <c r="F14" s="206" t="inlineStr">
        <is>
          <t>StartRecording</t>
        </is>
      </c>
      <c r="G14" s="197" t="inlineStr">
        <is>
          <t>NA</t>
        </is>
      </c>
      <c r="H14" s="197" t="inlineStr">
        <is>
          <t>NA</t>
        </is>
      </c>
      <c r="I14" s="197" t="inlineStr">
        <is>
          <t>Form Type - Buttons</t>
        </is>
      </c>
      <c r="J14" s="196" t="inlineStr">
        <is>
          <t>1 = [id_panel OR resp_firstname]
2 = WhenCallBack
3 = resp_refusalwhy</t>
        </is>
      </c>
      <c r="K14" s="266" t="inlineStr">
        <is>
          <t>NA</t>
        </is>
      </c>
      <c r="L14" s="196" t="inlineStr">
        <is>
          <t>if Agree = 1, go to id_panel OR resp_firstname
if Agree = 2, go to WhenCallBack
if Agree = 3, go to resp_refusalwhy</t>
        </is>
      </c>
      <c r="M14" s="62" t="n"/>
      <c r="N14" s="10" t="n"/>
      <c r="O14" s="392" t="n">
        <v>1</v>
      </c>
      <c r="P14" s="186" t="n"/>
      <c r="R14" s="244" t="inlineStr">
        <is>
          <t>no</t>
        </is>
      </c>
      <c r="S14" s="193" t="n"/>
      <c r="V14" s="552" t="n">
        <v>3.805951595306396</v>
      </c>
      <c r="W14" s="551">
        <f>IF(V14="","",V14*O14)</f>
        <v/>
      </c>
      <c r="X14" s="186">
        <f>IF(R14="yes",W14,"")</f>
        <v/>
      </c>
    </row>
    <row r="15" ht="136" customFormat="1" customHeight="1" s="192">
      <c r="A15" s="46" t="inlineStr">
        <is>
          <t>NA</t>
        </is>
      </c>
      <c r="B15" s="229" t="inlineStr">
        <is>
          <t>id_panel</t>
        </is>
      </c>
      <c r="C15" s="103" t="inlineStr">
        <is>
          <t>id_panel</t>
        </is>
      </c>
      <c r="D15" s="83" t="inlineStr">
        <is>
          <t>Have you or any member of your household received a call on behalf of FAO regarding this topic in the past two years?
[OPERATOR: SINGLE RESPONSE.]
1)YES
2)NO
3)DON'T KNOW</t>
        </is>
      </c>
      <c r="E15" s="48">
        <f>LEN(D15)</f>
        <v/>
      </c>
      <c r="F15" s="104" t="inlineStr">
        <is>
          <t>Single Choice</t>
        </is>
      </c>
      <c r="G15" s="48" t="inlineStr">
        <is>
          <t>NA</t>
        </is>
      </c>
      <c r="H15" s="48" t="inlineStr">
        <is>
          <t>NA</t>
        </is>
      </c>
      <c r="I15" s="48" t="inlineStr">
        <is>
          <t>Form Type - Buttons</t>
        </is>
      </c>
      <c r="J15" s="88" t="inlineStr">
        <is>
          <t>1-3 = resp_firstname</t>
        </is>
      </c>
      <c r="K15" s="84" t="inlineStr">
        <is>
          <t>NA</t>
        </is>
      </c>
      <c r="L15" s="88" t="inlineStr">
        <is>
          <t>For any response, go to resp_firstname</t>
        </is>
      </c>
      <c r="M15" s="88" t="n"/>
      <c r="N15" s="74" t="inlineStr">
        <is>
          <t xml:space="preserve">It is highly recommended to include the question id_panel if a panelist approach is used. </t>
        </is>
      </c>
      <c r="O15" s="392" t="n">
        <v>1</v>
      </c>
      <c r="P15" s="186" t="n"/>
      <c r="R15" s="244" t="inlineStr">
        <is>
          <t>no</t>
        </is>
      </c>
      <c r="S15" s="193" t="n"/>
      <c r="V15" s="552" t="n"/>
      <c r="W15" s="552" t="n"/>
      <c r="X15" s="186" t="n"/>
    </row>
    <row r="16" ht="119" customFormat="1" customHeight="1" s="192">
      <c r="A16" s="46" t="inlineStr">
        <is>
          <t>NA</t>
        </is>
      </c>
      <c r="B16" s="231" t="inlineStr">
        <is>
          <t>resp_refusalwhy</t>
        </is>
      </c>
      <c r="C16" s="191" t="inlineStr">
        <is>
          <t>resp_refusalwhy</t>
        </is>
      </c>
      <c r="D16" s="242" t="inlineStr">
        <is>
          <t>Please let us know why you have REFUSED to take the survey.
[OPERATOR: SINGLE RESPONSE]
1)Not interested
2)Do not want to be recorded
3)Other [specify]</t>
        </is>
      </c>
      <c r="E16" s="197">
        <f>LEN(D16)</f>
        <v/>
      </c>
      <c r="F16" s="206" t="inlineStr">
        <is>
          <t>Open Ended - Single Choice</t>
        </is>
      </c>
      <c r="G16" s="197" t="inlineStr">
        <is>
          <t>NA</t>
        </is>
      </c>
      <c r="H16" s="197" t="inlineStr">
        <is>
          <t>NA</t>
        </is>
      </c>
      <c r="I16" s="197" t="inlineStr">
        <is>
          <t>Form Type - RadioList</t>
        </is>
      </c>
      <c r="J16" s="196" t="inlineStr">
        <is>
          <t>Any Response = Refusal</t>
        </is>
      </c>
      <c r="K16" s="266" t="inlineStr">
        <is>
          <t>NA</t>
        </is>
      </c>
      <c r="L16" s="196" t="inlineStr">
        <is>
          <t>For any response, go to Refusal</t>
        </is>
      </c>
      <c r="M16" s="88" t="n"/>
      <c r="N16" s="10" t="n"/>
      <c r="O16" s="392" t="n">
        <v>1</v>
      </c>
      <c r="P16" s="186" t="n"/>
      <c r="R16" s="194" t="inlineStr">
        <is>
          <t>no</t>
        </is>
      </c>
      <c r="S16" s="193" t="n"/>
      <c r="V16" s="552" t="n">
        <v>0</v>
      </c>
      <c r="W16" s="551">
        <f>IF(V16="","",V16*O16)</f>
        <v/>
      </c>
      <c r="X16" s="186">
        <f>IF(R16="yes",W16,"")</f>
        <v/>
      </c>
    </row>
    <row r="17" ht="51" customFormat="1" customHeight="1" s="192">
      <c r="A17" s="46" t="inlineStr">
        <is>
          <t>NA</t>
        </is>
      </c>
      <c r="B17" s="231" t="inlineStr">
        <is>
          <t>WhenCallBack</t>
        </is>
      </c>
      <c r="C17" s="191" t="inlineStr">
        <is>
          <t>resp_whencallback</t>
        </is>
      </c>
      <c r="D17" s="212" t="inlineStr">
        <is>
          <t>When would it be a good time to call you back?
[RECORD HH/MM/DD/MM OF CALLBACK]</t>
        </is>
      </c>
      <c r="E17" s="197">
        <f>LEN(D17)</f>
        <v/>
      </c>
      <c r="F17" s="206" t="inlineStr">
        <is>
          <t>Open Ended</t>
        </is>
      </c>
      <c r="G17" s="197" t="inlineStr">
        <is>
          <t>NA</t>
        </is>
      </c>
      <c r="H17" s="197" t="inlineStr">
        <is>
          <t>NA</t>
        </is>
      </c>
      <c r="I17" s="197" t="inlineStr">
        <is>
          <t>Form Type - TextBox
IsCallBackDemographic</t>
        </is>
      </c>
      <c r="J17" s="196" t="inlineStr">
        <is>
          <t>Any Response = CallbackMessageEN</t>
        </is>
      </c>
      <c r="K17" s="266" t="inlineStr">
        <is>
          <t>NA</t>
        </is>
      </c>
      <c r="L17" s="196" t="inlineStr">
        <is>
          <t>For any response, go to CallbackMessageEN</t>
        </is>
      </c>
      <c r="M17" s="88" t="n"/>
      <c r="N17" s="10" t="n"/>
      <c r="O17" s="392" t="n">
        <v>1</v>
      </c>
      <c r="P17" s="186" t="n"/>
      <c r="R17" s="194" t="inlineStr">
        <is>
          <t>no</t>
        </is>
      </c>
      <c r="S17" s="193" t="n"/>
      <c r="V17" s="552" t="n">
        <v>0</v>
      </c>
      <c r="W17" s="551">
        <f>IF(V17="","",V17*O17)</f>
        <v/>
      </c>
      <c r="X17" s="186">
        <f>IF(R17="yes",W17,"")</f>
        <v/>
      </c>
    </row>
    <row r="18" ht="85" customFormat="1" customHeight="1" s="192">
      <c r="A18" s="46" t="inlineStr">
        <is>
          <t>NA</t>
        </is>
      </c>
      <c r="B18" s="231" t="inlineStr">
        <is>
          <t>CallbackMessageEN</t>
        </is>
      </c>
      <c r="C18" s="191" t="inlineStr">
        <is>
          <t>callbackmessage_en</t>
        </is>
      </c>
      <c r="D18" s="212" t="inlineStr">
        <is>
          <t>Thank you, we will call you back at {WhenCallBack} you requested. Thank you again and have a great day!
[OPERATOR: ENTER CALL NOTES BELOW, WHO YOU SPOKE TO AND WHAT THEY SAID]</t>
        </is>
      </c>
      <c r="E18" s="197">
        <f>LEN(D18)</f>
        <v/>
      </c>
      <c r="F18" s="206" t="inlineStr">
        <is>
          <t>Open Ended</t>
        </is>
      </c>
      <c r="G18" s="197" t="inlineStr">
        <is>
          <t>NA</t>
        </is>
      </c>
      <c r="H18" s="197" t="inlineStr">
        <is>
          <t>NA</t>
        </is>
      </c>
      <c r="I18" s="197" t="inlineStr">
        <is>
          <t>Form Type - TextBox</t>
        </is>
      </c>
      <c r="J18" s="196" t="inlineStr">
        <is>
          <t>Any Response = End poll callback</t>
        </is>
      </c>
      <c r="K18" s="266" t="inlineStr">
        <is>
          <t>NA</t>
        </is>
      </c>
      <c r="L18" s="255" t="inlineStr">
        <is>
          <t>NA</t>
        </is>
      </c>
      <c r="M18" s="85" t="n"/>
      <c r="N18" s="10" t="n"/>
      <c r="O18" s="392" t="n">
        <v>1</v>
      </c>
      <c r="P18" s="186" t="n"/>
      <c r="R18" s="194" t="inlineStr">
        <is>
          <t>no</t>
        </is>
      </c>
      <c r="S18" s="193" t="n"/>
      <c r="V18" s="552" t="n">
        <v>0</v>
      </c>
      <c r="W18" s="551">
        <f>IF(V18="","",V18*O18)</f>
        <v/>
      </c>
      <c r="X18" s="186">
        <f>IF(R18="yes",W18,"")</f>
        <v/>
      </c>
    </row>
    <row r="19" ht="50.25" customFormat="1" customHeight="1" s="192">
      <c r="A19" s="46" t="inlineStr">
        <is>
          <t>NA</t>
        </is>
      </c>
      <c r="B19" s="231" t="inlineStr">
        <is>
          <t>Ineligible</t>
        </is>
      </c>
      <c r="C19" s="191" t="inlineStr">
        <is>
          <t>NA</t>
        </is>
      </c>
      <c r="D19" s="212" t="inlineStr">
        <is>
          <t>You are ineligible for this survey. Thank you for your time and please look out for future surveys!</t>
        </is>
      </c>
      <c r="E19" s="197">
        <f>LEN(D19)</f>
        <v/>
      </c>
      <c r="F19" s="206" t="inlineStr">
        <is>
          <t>NA</t>
        </is>
      </c>
      <c r="G19" s="197" t="inlineStr">
        <is>
          <t>NA</t>
        </is>
      </c>
      <c r="H19" s="197" t="inlineStr">
        <is>
          <t>NA</t>
        </is>
      </c>
      <c r="I19" s="197" t="inlineStr">
        <is>
          <t>NA</t>
        </is>
      </c>
      <c r="J19" s="196" t="inlineStr">
        <is>
          <t>End Poll Ineligible</t>
        </is>
      </c>
      <c r="K19" s="266" t="inlineStr">
        <is>
          <t>NA</t>
        </is>
      </c>
      <c r="L19" s="255" t="inlineStr">
        <is>
          <t>NA</t>
        </is>
      </c>
      <c r="M19" s="85" t="n"/>
      <c r="N19" s="10" t="n"/>
      <c r="O19" s="392" t="n">
        <v>1</v>
      </c>
      <c r="P19" s="186" t="n"/>
      <c r="R19" s="194" t="inlineStr">
        <is>
          <t>no</t>
        </is>
      </c>
      <c r="S19" s="193" t="n"/>
      <c r="V19" s="552" t="n">
        <v>0</v>
      </c>
      <c r="W19" s="551">
        <f>IF(V19="","",V19*O19)</f>
        <v/>
      </c>
      <c r="X19" s="186">
        <f>IF(R19="yes",W19,"")</f>
        <v/>
      </c>
    </row>
    <row r="20" ht="50.25" customFormat="1" customHeight="1" s="192" thickBot="1">
      <c r="A20" s="391" t="inlineStr">
        <is>
          <t>NA</t>
        </is>
      </c>
      <c r="B20" s="261" t="inlineStr">
        <is>
          <t>Refusal</t>
        </is>
      </c>
      <c r="C20" s="260" t="inlineStr">
        <is>
          <t xml:space="preserve">NA </t>
        </is>
      </c>
      <c r="D20" s="259" t="inlineStr">
        <is>
          <t>Thank you for your time, you will be removed from today's survey.</t>
        </is>
      </c>
      <c r="E20" s="257">
        <f>LEN(D20)</f>
        <v/>
      </c>
      <c r="F20" s="258" t="inlineStr">
        <is>
          <t>NA</t>
        </is>
      </c>
      <c r="G20" s="257" t="inlineStr">
        <is>
          <t>NA</t>
        </is>
      </c>
      <c r="H20" s="257" t="inlineStr">
        <is>
          <t>NA</t>
        </is>
      </c>
      <c r="I20" s="257" t="inlineStr">
        <is>
          <t>NA</t>
        </is>
      </c>
      <c r="J20" s="256" t="inlineStr">
        <is>
          <t>End poll declined</t>
        </is>
      </c>
      <c r="K20" s="266" t="inlineStr">
        <is>
          <t>NA</t>
        </is>
      </c>
      <c r="L20" s="255" t="inlineStr">
        <is>
          <t>NA</t>
        </is>
      </c>
      <c r="M20" s="89" t="n"/>
      <c r="N20" s="13" t="n"/>
      <c r="O20" s="392" t="n">
        <v>1</v>
      </c>
      <c r="P20" s="186" t="n"/>
      <c r="R20" s="194" t="inlineStr">
        <is>
          <t>no</t>
        </is>
      </c>
      <c r="S20" s="193" t="n"/>
      <c r="V20" s="552" t="n">
        <v>0</v>
      </c>
      <c r="W20" s="551">
        <f>IF(V20="","",V20*O20)</f>
        <v/>
      </c>
      <c r="X20" s="186">
        <f>IF(R20="yes",W20,"")</f>
        <v/>
      </c>
    </row>
    <row r="21" ht="17" customFormat="1" customHeight="1" s="464" thickBot="1">
      <c r="A21" s="548" t="inlineStr">
        <is>
          <t>B. GENERAL INFORMATION &amp; ELIGIBILITY CRITERIA</t>
        </is>
      </c>
      <c r="B21" s="549" t="n"/>
      <c r="C21" s="549" t="n"/>
      <c r="D21" s="549" t="n"/>
      <c r="E21" s="549" t="n"/>
      <c r="F21" s="549" t="n"/>
      <c r="G21" s="549" t="n"/>
      <c r="H21" s="549" t="n"/>
      <c r="I21" s="549" t="n"/>
      <c r="J21" s="549" t="n"/>
      <c r="K21" s="549" t="n"/>
      <c r="L21" s="549" t="n"/>
      <c r="M21" s="549" t="n"/>
      <c r="N21" s="550" t="n"/>
      <c r="O21" s="318" t="n"/>
      <c r="P21" s="469" t="n"/>
      <c r="R21" s="467" t="n"/>
      <c r="S21" s="470" t="n"/>
      <c r="V21" s="551" t="n"/>
      <c r="W21" s="551">
        <f>IF(V21="","",V21*O21)</f>
        <v/>
      </c>
      <c r="X21" s="469">
        <f>IF(R21="yes",W21,"")</f>
        <v/>
      </c>
    </row>
    <row r="22" ht="68.25" customFormat="1" customHeight="1" s="192">
      <c r="A22" s="390" t="inlineStr">
        <is>
          <t>NA</t>
        </is>
      </c>
      <c r="B22" s="254" t="inlineStr">
        <is>
          <t>resp_firstname</t>
        </is>
      </c>
      <c r="C22" s="248" t="inlineStr">
        <is>
          <t>resp_firstname</t>
        </is>
      </c>
      <c r="D22" s="253" t="inlineStr">
        <is>
          <t>What is your first name?
[OPERATOR: RECORD THE RESPONDENT'S FIRST NAME. ENTER 999 FOR REFUSED.]</t>
        </is>
      </c>
      <c r="E22" s="252">
        <f>LEN(D22)</f>
        <v/>
      </c>
      <c r="F22" s="222" t="inlineStr">
        <is>
          <t>Open Ended</t>
        </is>
      </c>
      <c r="G22" s="252" t="inlineStr">
        <is>
          <t>NA</t>
        </is>
      </c>
      <c r="H22" s="252" t="inlineStr">
        <is>
          <t>NA</t>
        </is>
      </c>
      <c r="I22" s="252" t="inlineStr">
        <is>
          <t>Form Type - TextBox</t>
        </is>
      </c>
      <c r="J22" s="251" t="inlineStr">
        <is>
          <t>Any Response = resp_lastname</t>
        </is>
      </c>
      <c r="K22" s="266" t="inlineStr">
        <is>
          <t>NA</t>
        </is>
      </c>
      <c r="L22" s="253" t="inlineStr">
        <is>
          <t>For any response, go to resp_lastname</t>
        </is>
      </c>
      <c r="M22" s="250" t="n"/>
      <c r="N22" s="71" t="n"/>
      <c r="O22" s="318">
        <f>1</f>
        <v/>
      </c>
      <c r="P22" s="186" t="n"/>
      <c r="R22" s="467" t="inlineStr">
        <is>
          <t>yes</t>
        </is>
      </c>
      <c r="S22" s="193" t="n"/>
      <c r="V22" s="551" t="n">
        <v>25.87402725219727</v>
      </c>
      <c r="W22" s="551">
        <f>IF(V22="","",V22*O22)</f>
        <v/>
      </c>
      <c r="X22" s="186">
        <f>IF(R22="yes",W22,"")</f>
        <v/>
      </c>
    </row>
    <row r="23" ht="51" customFormat="1" customHeight="1" s="192">
      <c r="A23" s="46" t="inlineStr">
        <is>
          <t>NA</t>
        </is>
      </c>
      <c r="B23" s="254" t="inlineStr">
        <is>
          <t>resp_lastname</t>
        </is>
      </c>
      <c r="C23" s="248" t="inlineStr">
        <is>
          <t>resp_lastname</t>
        </is>
      </c>
      <c r="D23" s="253" t="inlineStr">
        <is>
          <t>What is your last name? 
[OPERATOR: RECORD THE RESPONDENT'S LAST NAME. ENTER 999 FOR REFUSED.]</t>
        </is>
      </c>
      <c r="E23" s="252">
        <f>LEN(D23)</f>
        <v/>
      </c>
      <c r="F23" s="222" t="inlineStr">
        <is>
          <t>Open Ended</t>
        </is>
      </c>
      <c r="G23" s="252" t="inlineStr">
        <is>
          <t>NA</t>
        </is>
      </c>
      <c r="H23" s="252" t="inlineStr">
        <is>
          <t>NA</t>
        </is>
      </c>
      <c r="I23" s="252" t="inlineStr">
        <is>
          <t>Form Type - TextBox</t>
        </is>
      </c>
      <c r="J23" s="251" t="inlineStr">
        <is>
          <t>Any Response = resp_age</t>
        </is>
      </c>
      <c r="K23" s="266" t="inlineStr">
        <is>
          <t>NA</t>
        </is>
      </c>
      <c r="L23" s="214" t="inlineStr">
        <is>
          <t>For any response, go to resp_age</t>
        </is>
      </c>
      <c r="M23" s="250" t="n"/>
      <c r="N23" s="71" t="n"/>
      <c r="O23" s="318">
        <f>1</f>
        <v/>
      </c>
      <c r="P23" s="186" t="n"/>
      <c r="R23" s="467" t="inlineStr">
        <is>
          <t>yes</t>
        </is>
      </c>
      <c r="S23" s="193" t="n"/>
      <c r="V23" s="551" t="n">
        <v>8.599481582641602</v>
      </c>
      <c r="W23" s="551">
        <f>IF(V23="","",V23*O23)</f>
        <v/>
      </c>
      <c r="X23" s="186">
        <f>IF(R23="yes",W23,"")</f>
        <v/>
      </c>
    </row>
    <row r="24" ht="85" customFormat="1" customHeight="1" s="192">
      <c r="A24" s="102" t="n">
        <v>1</v>
      </c>
      <c r="B24" s="295" t="inlineStr">
        <is>
          <t>resp_age</t>
        </is>
      </c>
      <c r="C24" s="249" t="inlineStr">
        <is>
          <t>resp_age</t>
        </is>
      </c>
      <c r="D24" s="190" t="inlineStr">
        <is>
          <t>How old are you? 
[OPERATOR: RECORD AGE IN NUMBER OF YEARS. ROUND UP TO NEAREST WHOLE NUMBER. IF THE RESPONDENT GIVES BIRTH YEAR, REPEAT THE QUESTION. ENTER 00 FOR DON'T KNOW.]</t>
        </is>
      </c>
      <c r="E24" s="248">
        <f>LEN(D24)</f>
        <v/>
      </c>
      <c r="F24" s="248" t="inlineStr">
        <is>
          <t>Range</t>
        </is>
      </c>
      <c r="G24" s="248" t="inlineStr">
        <is>
          <t>NA</t>
        </is>
      </c>
      <c r="H24" s="248" t="inlineStr">
        <is>
          <t>NA</t>
        </is>
      </c>
      <c r="I24" s="248" t="inlineStr">
        <is>
          <t>Form Type - TextBox</t>
        </is>
      </c>
      <c r="J24" s="188" t="inlineStr">
        <is>
          <t>0-17 = Ineligible
18-100 = resp_gender
00 = Ineligible</t>
        </is>
      </c>
      <c r="K24" s="266" t="inlineStr">
        <is>
          <t>NA</t>
        </is>
      </c>
      <c r="L24" s="247" t="inlineStr">
        <is>
          <t>Only respondents from 18-100 will be eligible for the survey.</t>
        </is>
      </c>
      <c r="M24" s="246" t="n"/>
      <c r="N24" s="71" t="n"/>
      <c r="O24" s="318">
        <f>1</f>
        <v/>
      </c>
      <c r="P24" s="186" t="n"/>
      <c r="R24" s="473" t="inlineStr">
        <is>
          <t>yes</t>
        </is>
      </c>
      <c r="S24" s="193" t="n"/>
      <c r="V24" s="551" t="n">
        <v>9.890718460083008</v>
      </c>
      <c r="W24" s="551">
        <f>IF(V24="","",V24*O24)</f>
        <v/>
      </c>
      <c r="X24" s="186">
        <f>IF(R24="yes",W24,"")</f>
        <v/>
      </c>
    </row>
    <row r="25" ht="153" customFormat="1" customHeight="1" s="192">
      <c r="A25" s="102">
        <f>A24+1</f>
        <v/>
      </c>
      <c r="B25" s="231" t="inlineStr">
        <is>
          <t>resp_gender</t>
        </is>
      </c>
      <c r="C25" s="191" t="inlineStr">
        <is>
          <t>resp_gender</t>
        </is>
      </c>
      <c r="D25" s="212" t="inlineStr">
        <is>
          <t>What is the gender of the respondent?
[OPERATOR: DO NOT ASK THIS QUESTION OUT LOUD. LISTEN TO THE VOICE AND SELECT THE GENDER.]
1)Male
2)Female
3)DON'T KNOW
4)REFUSED</t>
        </is>
      </c>
      <c r="E25" s="197">
        <f>LEN(D25)</f>
        <v/>
      </c>
      <c r="F25" s="206" t="inlineStr">
        <is>
          <t>Single Choice</t>
        </is>
      </c>
      <c r="G25" s="197" t="inlineStr">
        <is>
          <t>NA</t>
        </is>
      </c>
      <c r="H25" s="197" t="inlineStr">
        <is>
          <t>NA</t>
        </is>
      </c>
      <c r="I25" s="197" t="inlineStr">
        <is>
          <t>Form Type - Buttons</t>
        </is>
      </c>
      <c r="J25" s="196" t="inlineStr">
        <is>
          <t>1-4 = phone_number_conf</t>
        </is>
      </c>
      <c r="K25" s="266" t="inlineStr">
        <is>
          <t>NA</t>
        </is>
      </c>
      <c r="L25" s="188" t="inlineStr">
        <is>
          <t>For any response, go to phone_number_conf</t>
        </is>
      </c>
      <c r="M25" s="90" t="n"/>
      <c r="N25" s="10" t="n"/>
      <c r="O25" s="318">
        <f>1</f>
        <v/>
      </c>
      <c r="P25" s="186" t="n"/>
      <c r="R25" s="473" t="inlineStr">
        <is>
          <t>yes</t>
        </is>
      </c>
      <c r="S25" s="193" t="n"/>
      <c r="V25" s="551" t="n">
        <v>1.715648174285889</v>
      </c>
      <c r="W25" s="551">
        <f>IF(V25="","",V25*O25)</f>
        <v/>
      </c>
      <c r="X25" s="186">
        <f>IF(R25="yes",W25,"")</f>
        <v/>
      </c>
    </row>
    <row r="26" customFormat="1" s="192">
      <c r="A26" s="102" t="n"/>
      <c r="B26" s="309" t="n"/>
      <c r="C26" s="103" t="n"/>
      <c r="D26" s="174" t="n"/>
      <c r="E26" s="48" t="n"/>
      <c r="F26" s="104" t="n"/>
      <c r="G26" s="48" t="n"/>
      <c r="H26" s="48" t="n"/>
      <c r="I26" s="48" t="n"/>
      <c r="J26" s="90" t="n"/>
      <c r="K26" s="90" t="n"/>
      <c r="L26" s="90" t="n"/>
      <c r="M26" s="90" t="n"/>
      <c r="N26" s="10" t="n"/>
      <c r="O26" s="392">
        <f>1</f>
        <v/>
      </c>
      <c r="P26" s="186" t="n"/>
      <c r="R26" s="244" t="n"/>
      <c r="S26" s="193" t="n"/>
      <c r="V26" s="552" t="n"/>
      <c r="W26" s="552">
        <f>IF(V26="","",V26*O26)</f>
        <v/>
      </c>
      <c r="X26" s="186">
        <f>IF(R26="yes",W26,"")</f>
        <v/>
      </c>
    </row>
    <row r="27" ht="136" customFormat="1" customHeight="1" s="334">
      <c r="A27" s="389" t="n"/>
      <c r="B27" s="344" t="inlineStr">
        <is>
          <t>phone_number_conf</t>
        </is>
      </c>
      <c r="C27" s="345" t="inlineStr">
        <is>
          <t>phone_number_conf</t>
        </is>
      </c>
      <c r="D27" s="346" t="inlineStr">
        <is>
          <t>Is the phone number I am calling you on yours or a household members?
[OPERATOR: SINGLE RESPONSE.]
1)YES
2)NO
3)DON'T KNOW
4)REFUSED</t>
        </is>
      </c>
      <c r="E27" s="347">
        <f>LEN(D27)</f>
        <v/>
      </c>
      <c r="F27" s="348" t="inlineStr">
        <is>
          <t>Single Choice</t>
        </is>
      </c>
      <c r="G27" s="347" t="inlineStr">
        <is>
          <t>NA</t>
        </is>
      </c>
      <c r="H27" s="347" t="inlineStr">
        <is>
          <t>NA</t>
        </is>
      </c>
      <c r="I27" s="347" t="inlineStr">
        <is>
          <t>Form Type - Buttons</t>
        </is>
      </c>
      <c r="J27" s="349" t="inlineStr">
        <is>
          <t>1 = contact_2
2 = phone_number_personal
3-4 = contact_2</t>
        </is>
      </c>
      <c r="K27" s="266" t="inlineStr">
        <is>
          <t>NA</t>
        </is>
      </c>
      <c r="L27" s="349" t="inlineStr">
        <is>
          <t>if phone_number_conf = 1, go to contact_2
if phone_number_conf = 2, go to phone_number_personal
if phone_number_conf = 3-4, go to contact_2</t>
        </is>
      </c>
      <c r="M27" s="350" t="n"/>
      <c r="N27" s="351" t="n"/>
      <c r="O27" s="330">
        <f>1</f>
        <v/>
      </c>
      <c r="P27" s="333" t="n"/>
      <c r="R27" s="468" t="inlineStr">
        <is>
          <t>yes - panel</t>
        </is>
      </c>
      <c r="S27" s="335" t="n"/>
      <c r="V27" s="553" t="n">
        <v>6.375236988067627</v>
      </c>
      <c r="W27" s="551">
        <f>IF(V27="","",V27*O27)</f>
        <v/>
      </c>
      <c r="X27" s="186">
        <f>IF(R27="yes",W27,"")</f>
        <v/>
      </c>
    </row>
    <row r="28" ht="51" customFormat="1" customHeight="1" s="334">
      <c r="A28" s="389" t="n"/>
      <c r="B28" s="344" t="inlineStr">
        <is>
          <t>phone_number_personal</t>
        </is>
      </c>
      <c r="C28" s="345" t="inlineStr">
        <is>
          <t>phone_number_pers</t>
        </is>
      </c>
      <c r="D28" s="412" t="inlineStr">
        <is>
          <t>What is your phone number?
[OPERATOR: RECORD THE NUMBER GIVEN]</t>
        </is>
      </c>
      <c r="E28" s="347">
        <f>LEN(D28)</f>
        <v/>
      </c>
      <c r="F28" s="348" t="inlineStr">
        <is>
          <t>Open Ended</t>
        </is>
      </c>
      <c r="G28" s="347" t="inlineStr">
        <is>
          <t>NA</t>
        </is>
      </c>
      <c r="H28" s="347" t="inlineStr">
        <is>
          <t>NA</t>
        </is>
      </c>
      <c r="I28" s="347" t="inlineStr">
        <is>
          <t>Form Type - TextBox</t>
        </is>
      </c>
      <c r="J28" s="349" t="inlineStr">
        <is>
          <t>Any Response = contact_2</t>
        </is>
      </c>
      <c r="K28" s="266" t="inlineStr">
        <is>
          <t>NA</t>
        </is>
      </c>
      <c r="L28" s="352" t="inlineStr">
        <is>
          <t>For any response, go to contact_2</t>
        </is>
      </c>
      <c r="M28" s="353" t="n"/>
      <c r="N28" s="351" t="n"/>
      <c r="O28" s="330">
        <f>1</f>
        <v/>
      </c>
      <c r="P28" s="333" t="n"/>
      <c r="R28" s="468" t="inlineStr">
        <is>
          <t>yes - panel</t>
        </is>
      </c>
      <c r="S28" s="335" t="n"/>
      <c r="V28" s="553" t="n">
        <v>28.70000076293945</v>
      </c>
      <c r="W28" s="551">
        <f>IF(V28="","",V28*O28)</f>
        <v/>
      </c>
      <c r="X28" s="186">
        <f>IF(R28="yes",W28,"")</f>
        <v/>
      </c>
    </row>
    <row r="29" ht="204" customFormat="1" customHeight="1" s="334">
      <c r="A29" s="332" t="n"/>
      <c r="B29" s="354" t="inlineStr">
        <is>
          <t>contact_2</t>
        </is>
      </c>
      <c r="C29" s="355" t="inlineStr">
        <is>
          <t>contact_2</t>
        </is>
      </c>
      <c r="D29" s="519"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9" s="343">
        <f>LEN(D29)</f>
        <v/>
      </c>
      <c r="F29" s="356" t="inlineStr">
        <is>
          <t>Single Choice</t>
        </is>
      </c>
      <c r="G29" s="343" t="inlineStr">
        <is>
          <t>NA</t>
        </is>
      </c>
      <c r="H29" s="343" t="inlineStr">
        <is>
          <t>NA</t>
        </is>
      </c>
      <c r="I29" s="343" t="inlineStr">
        <is>
          <t>Form Type - Buttons</t>
        </is>
      </c>
      <c r="J29" s="484" t="inlineStr">
        <is>
          <t>1-3 = phone_number_2
4-6 = hh_admin1</t>
        </is>
      </c>
      <c r="K29" s="266" t="inlineStr">
        <is>
          <t>NA</t>
        </is>
      </c>
      <c r="L29" s="486" t="inlineStr">
        <is>
          <t>if contact_2 = 1-3, go to phone_number_2
if contact_2 = 4-6, go to contact_3</t>
        </is>
      </c>
      <c r="M29" s="357" t="n"/>
      <c r="N29" s="342" t="n"/>
      <c r="O29" s="330">
        <f>1</f>
        <v/>
      </c>
      <c r="P29" s="333" t="n"/>
      <c r="R29" s="468" t="inlineStr">
        <is>
          <t>yes - panel</t>
        </is>
      </c>
      <c r="S29" s="335" t="n"/>
      <c r="V29" s="553" t="n">
        <v>10.14181709289551</v>
      </c>
      <c r="W29" s="551">
        <f>IF(V29="","",V29*O29)</f>
        <v/>
      </c>
      <c r="X29" s="186">
        <f>IF(R29="yes",W29,"")</f>
        <v/>
      </c>
    </row>
    <row r="30" ht="51" customFormat="1" customHeight="1" s="334">
      <c r="A30" s="332" t="n"/>
      <c r="B30" s="354" t="inlineStr">
        <is>
          <t>phone_number_2</t>
        </is>
      </c>
      <c r="C30" s="355" t="inlineStr">
        <is>
          <t>phone_number_2</t>
        </is>
      </c>
      <c r="D30" s="412" t="inlineStr">
        <is>
          <t>What is the additional phone number?
[OPERATOR: RECORD THE NUMBER GIVEN]</t>
        </is>
      </c>
      <c r="E30" s="343">
        <f>LEN(D30)</f>
        <v/>
      </c>
      <c r="F30" s="356" t="inlineStr">
        <is>
          <t>Open Ended</t>
        </is>
      </c>
      <c r="G30" s="343" t="inlineStr">
        <is>
          <t>NA</t>
        </is>
      </c>
      <c r="H30" s="343" t="inlineStr">
        <is>
          <t>NA</t>
        </is>
      </c>
      <c r="I30" s="343" t="inlineStr">
        <is>
          <t>Form Type - TextBox</t>
        </is>
      </c>
      <c r="J30" s="341" t="inlineStr">
        <is>
          <t>Any Response = contact_2_name</t>
        </is>
      </c>
      <c r="K30" s="266" t="inlineStr">
        <is>
          <t>NA</t>
        </is>
      </c>
      <c r="L30" s="358" t="inlineStr">
        <is>
          <t>For any response, go to contact_2_name</t>
        </is>
      </c>
      <c r="M30" s="359" t="n"/>
      <c r="N30" s="342" t="n"/>
      <c r="O30" s="330">
        <f>1</f>
        <v/>
      </c>
      <c r="P30" s="333" t="n"/>
      <c r="R30" s="468" t="inlineStr">
        <is>
          <t>yes - panel</t>
        </is>
      </c>
      <c r="S30" s="335" t="n"/>
      <c r="V30" s="553" t="n">
        <v>21.65998268127441</v>
      </c>
      <c r="W30" s="551">
        <f>IF(V30="","",V30*O30)</f>
        <v/>
      </c>
      <c r="X30" s="186">
        <f>IF(R30="yes",W30,"")</f>
        <v/>
      </c>
    </row>
    <row r="31" ht="102" customFormat="1" customHeight="1" s="334">
      <c r="A31" s="332" t="n"/>
      <c r="B31" s="354" t="inlineStr">
        <is>
          <t>contact_2_name</t>
        </is>
      </c>
      <c r="C31" s="355" t="inlineStr">
        <is>
          <t>contact_2_name</t>
        </is>
      </c>
      <c r="D31" s="412" t="inlineStr">
        <is>
          <t>What is the name of the contact?
[OPERATOR: RECORD THE NAME OF THE CONTACT FOR THE PHONE NUMBER.]</t>
        </is>
      </c>
      <c r="E31" s="343">
        <f>LEN(D31)</f>
        <v/>
      </c>
      <c r="F31" s="356" t="inlineStr">
        <is>
          <t>Open Ended</t>
        </is>
      </c>
      <c r="G31" s="343" t="inlineStr">
        <is>
          <t>NA</t>
        </is>
      </c>
      <c r="H31" s="487" t="inlineStr">
        <is>
          <t>Send if "contact_2" "Equals" "YES - other household member" Or "contact_2" "Equals" "YES - friend or relative [non-household member]" if not satisfied go to "contact_3"</t>
        </is>
      </c>
      <c r="I31" s="343" t="inlineStr">
        <is>
          <t>Form Type - TextBox</t>
        </is>
      </c>
      <c r="J31" s="341" t="inlineStr">
        <is>
          <t>Any Response = contact_3</t>
        </is>
      </c>
      <c r="K31" s="266" t="inlineStr">
        <is>
          <t>NA</t>
        </is>
      </c>
      <c r="L31" s="485" t="inlineStr">
        <is>
          <t>Asked if response to contact_2 was "YES - other household member" or "YES - friend or relative [non-household member]". Otherwise, it skips to "contact_3".
For any response, go to contact_3</t>
        </is>
      </c>
      <c r="M31" s="329" t="n"/>
      <c r="N31" s="342" t="n"/>
      <c r="O31" s="330">
        <f>1</f>
        <v/>
      </c>
      <c r="P31" s="333" t="n"/>
      <c r="R31" s="468" t="inlineStr">
        <is>
          <t>yes - panel</t>
        </is>
      </c>
      <c r="S31" s="335" t="n"/>
      <c r="V31" s="553" t="n">
        <v>11.82179641723633</v>
      </c>
      <c r="W31" s="551">
        <f>IF(V31="","",V31*O31)</f>
        <v/>
      </c>
      <c r="X31" s="186">
        <f>IF(R31="yes",W31,"")</f>
        <v/>
      </c>
    </row>
    <row r="32" ht="204" customFormat="1" customHeight="1" s="334">
      <c r="A32" s="332" t="n"/>
      <c r="B32" s="354" t="inlineStr">
        <is>
          <t>contact_3</t>
        </is>
      </c>
      <c r="C32" s="355" t="inlineStr">
        <is>
          <t>contact_3</t>
        </is>
      </c>
      <c r="D32" s="519"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2" s="343">
        <f>LEN(D32)</f>
        <v/>
      </c>
      <c r="F32" s="356" t="inlineStr">
        <is>
          <t>Single Choice</t>
        </is>
      </c>
      <c r="G32" s="343" t="inlineStr">
        <is>
          <t>NA</t>
        </is>
      </c>
      <c r="H32" s="343" t="inlineStr">
        <is>
          <t>NA</t>
        </is>
      </c>
      <c r="I32" s="343" t="inlineStr">
        <is>
          <t>Form Type - Buttons</t>
        </is>
      </c>
      <c r="J32" s="484" t="inlineStr">
        <is>
          <t>1-3= phone_number_3
4-6 = hh_admin1</t>
        </is>
      </c>
      <c r="K32" s="266" t="inlineStr">
        <is>
          <t>NA</t>
        </is>
      </c>
      <c r="L32" s="486" t="inlineStr">
        <is>
          <t>if contact_3 = 1-3, go to phone_number_3
if contact_3 = 4-6, go to hh_admin1</t>
        </is>
      </c>
      <c r="M32" s="357" t="n"/>
      <c r="N32" s="342" t="n"/>
      <c r="O32" s="330">
        <f>1</f>
        <v/>
      </c>
      <c r="P32" s="333" t="n"/>
      <c r="R32" s="468" t="inlineStr">
        <is>
          <t>yes - panel</t>
        </is>
      </c>
      <c r="S32" s="335" t="n"/>
      <c r="V32" s="553" t="n">
        <v>3.163594007492065</v>
      </c>
      <c r="W32" s="551">
        <f>IF(V32="","",V32*O32)</f>
        <v/>
      </c>
      <c r="X32" s="186">
        <f>IF(R32="yes",W32,"")</f>
        <v/>
      </c>
    </row>
    <row r="33" ht="51" customFormat="1" customHeight="1" s="334">
      <c r="A33" s="332" t="n"/>
      <c r="B33" s="354" t="inlineStr">
        <is>
          <t>phone_number_3</t>
        </is>
      </c>
      <c r="C33" s="355" t="inlineStr">
        <is>
          <t>phone_number_3</t>
        </is>
      </c>
      <c r="D33" s="412" t="inlineStr">
        <is>
          <t>What is the additional phone number?
[OPERATOR: RECORD THE NUMBER GIVEN]</t>
        </is>
      </c>
      <c r="E33" s="343">
        <f>LEN(D33)</f>
        <v/>
      </c>
      <c r="F33" s="356" t="inlineStr">
        <is>
          <t>Open Ended</t>
        </is>
      </c>
      <c r="G33" s="343" t="inlineStr">
        <is>
          <t>NA</t>
        </is>
      </c>
      <c r="H33" s="343" t="inlineStr">
        <is>
          <t>NA</t>
        </is>
      </c>
      <c r="I33" s="343" t="inlineStr">
        <is>
          <t>Form Type - TextBox</t>
        </is>
      </c>
      <c r="J33" s="341" t="inlineStr">
        <is>
          <t>Any Response = contact_3_name</t>
        </is>
      </c>
      <c r="K33" s="266" t="inlineStr">
        <is>
          <t>NA</t>
        </is>
      </c>
      <c r="L33" s="358" t="inlineStr">
        <is>
          <t>For any response, go to contact_3_name</t>
        </is>
      </c>
      <c r="M33" s="359" t="n"/>
      <c r="N33" s="342" t="n"/>
      <c r="O33" s="330">
        <f>1</f>
        <v/>
      </c>
      <c r="P33" s="333" t="n"/>
      <c r="R33" s="468" t="inlineStr">
        <is>
          <t>yes - panel</t>
        </is>
      </c>
      <c r="S33" s="335" t="n"/>
      <c r="V33" s="553" t="n">
        <v>10.83014392852783</v>
      </c>
      <c r="W33" s="551">
        <f>IF(V33="","",V33*O33)</f>
        <v/>
      </c>
      <c r="X33" s="186">
        <f>IF(R33="yes",W33,"")</f>
        <v/>
      </c>
    </row>
    <row r="34" ht="102" customFormat="1" customHeight="1" s="334">
      <c r="A34" s="332" t="n"/>
      <c r="B34" s="354" t="inlineStr">
        <is>
          <t>contact_3_name</t>
        </is>
      </c>
      <c r="C34" s="354" t="inlineStr">
        <is>
          <t>phone_number_3_name</t>
        </is>
      </c>
      <c r="D34" s="412" t="inlineStr">
        <is>
          <t>What is the name of the contact?
[OPERATOR: RECORD THE NAME OF THE CONTACT FOR THE PHONE NUMBER.]</t>
        </is>
      </c>
      <c r="E34" s="343">
        <f>LEN(D34)</f>
        <v/>
      </c>
      <c r="F34" s="356" t="inlineStr">
        <is>
          <t>Open Ended</t>
        </is>
      </c>
      <c r="G34" s="343" t="inlineStr">
        <is>
          <t>NA</t>
        </is>
      </c>
      <c r="H34" s="487" t="inlineStr">
        <is>
          <t>Send if "contact_3" "Equals" "YES - other household member" Or "contact_3" "Equals" "YES - friend or relative [non-household member]" if not satisfied go to "hh_admin1"</t>
        </is>
      </c>
      <c r="I34" s="343" t="inlineStr">
        <is>
          <t>Form Type - TextBox</t>
        </is>
      </c>
      <c r="J34" s="341" t="inlineStr">
        <is>
          <t>Any Response = hh_admin1</t>
        </is>
      </c>
      <c r="K34" s="266" t="inlineStr">
        <is>
          <t>NA</t>
        </is>
      </c>
      <c r="L34" s="485" t="inlineStr">
        <is>
          <t>Asked if response to contact_3 was "YES - other household member" or "YES - friend or relative [non-household member]". Otherwise, it skips to "hh_admin1".
For any response, go to hh_admin1</t>
        </is>
      </c>
      <c r="M34" s="329" t="n"/>
      <c r="N34" s="342" t="n"/>
      <c r="O34" s="330">
        <f>1</f>
        <v/>
      </c>
      <c r="P34" s="333" t="n"/>
      <c r="R34" s="468" t="inlineStr">
        <is>
          <t>yes - panel</t>
        </is>
      </c>
      <c r="S34" s="335" t="n"/>
      <c r="V34" s="553" t="n">
        <v>11.26041698455811</v>
      </c>
      <c r="W34" s="551">
        <f>IF(V34="","",V34*O34)</f>
        <v/>
      </c>
      <c r="X34" s="186">
        <f>IF(R34="yes",W34,"")</f>
        <v/>
      </c>
    </row>
    <row r="35" customFormat="1" s="183">
      <c r="A35" s="76" t="n"/>
      <c r="B35" s="294" t="n"/>
      <c r="C35" s="294" t="n"/>
      <c r="D35" s="80" t="n"/>
      <c r="E35" s="77" t="n"/>
      <c r="F35" s="78" t="n"/>
      <c r="G35" s="77" t="n"/>
      <c r="H35" s="77" t="n"/>
      <c r="I35" s="77" t="n"/>
      <c r="J35" s="79" t="n"/>
      <c r="K35" s="84" t="n"/>
      <c r="L35" s="81" t="n"/>
      <c r="M35" s="82" t="n"/>
      <c r="N35" s="73" t="n"/>
      <c r="O35" s="392">
        <f>1</f>
        <v/>
      </c>
      <c r="P35" s="186" t="n"/>
      <c r="R35" s="185" t="n"/>
      <c r="S35" s="184" t="n"/>
      <c r="V35" s="552" t="n"/>
      <c r="W35" s="552">
        <f>IF(V35="","",V35*O35)</f>
        <v/>
      </c>
      <c r="X35" s="186">
        <f>IF(R35="yes",W35,"")</f>
        <v/>
      </c>
    </row>
    <row r="36" ht="153" customFormat="1" customHeight="1" s="192">
      <c r="A36" s="102" t="n">
        <v>3</v>
      </c>
      <c r="B36" s="281" t="inlineStr">
        <is>
          <t>hh_admin1</t>
        </is>
      </c>
      <c r="C36" s="191" t="inlineStr">
        <is>
          <t>hh_admin1</t>
        </is>
      </c>
      <c r="D36" s="190" t="inlineStr">
        <is>
          <t xml:space="preserve">Currently, in which State does your household reside?
[OPERATOR: SINGLE SELECTION.]
[HINT: HOUSEHOLD CONSISTS OF ALL MEMBERS LIVING TOGETHER, SHARING RESOURCES &amp; EATING FROM THE SAME POT.]
1)ADMIN1
2)DON'T KNOW
3)REFUSED </t>
        </is>
      </c>
      <c r="E36" s="189">
        <f>LEN(D36)</f>
        <v/>
      </c>
      <c r="F36" s="199" t="inlineStr">
        <is>
          <t>Single Choice</t>
        </is>
      </c>
      <c r="G36" s="189" t="inlineStr">
        <is>
          <t>NA</t>
        </is>
      </c>
      <c r="H36" s="189" t="inlineStr">
        <is>
          <t>NA</t>
        </is>
      </c>
      <c r="I36" s="189" t="inlineStr">
        <is>
          <t>Form Type - Buttons
IsDemographic - ADM1</t>
        </is>
      </c>
      <c r="J36" s="441" t="inlineStr">
        <is>
          <t>1 = hh_admin2_1
2-3 = Ineligible</t>
        </is>
      </c>
      <c r="K36" s="266" t="inlineStr">
        <is>
          <t>NA</t>
        </is>
      </c>
      <c r="L36" s="554" t="inlineStr">
        <is>
          <t xml:space="preserve">The administrative information will be updated by GeoPoll based on the sample design document and the administrative boundaries provided by the dashboard team after the questionnaire validation. </t>
        </is>
      </c>
      <c r="M36" s="328" t="n"/>
      <c r="N36" s="10" t="n"/>
      <c r="O36" s="318">
        <f>1</f>
        <v/>
      </c>
      <c r="P36" s="186" t="n"/>
      <c r="R36" s="473" t="inlineStr">
        <is>
          <t>yes</t>
        </is>
      </c>
      <c r="S36" s="193" t="n"/>
      <c r="V36" s="551" t="n">
        <v>13.95725891910985</v>
      </c>
      <c r="W36" s="551">
        <f>IF(V36="","",V36*O36)</f>
        <v/>
      </c>
      <c r="X36" s="186">
        <f>IF(R36="yes",W36,"")</f>
        <v/>
      </c>
    </row>
    <row r="37" ht="119" customFormat="1" customHeight="1" s="192">
      <c r="A37" s="46">
        <f>A36+1</f>
        <v/>
      </c>
      <c r="B37" s="231" t="inlineStr">
        <is>
          <t>hh_admin2_1</t>
        </is>
      </c>
      <c r="C37" s="191" t="inlineStr">
        <is>
          <t>hh_admin2_1</t>
        </is>
      </c>
      <c r="D37" s="442" t="inlineStr">
        <is>
          <t xml:space="preserve">Currently, in which LGA does your household reside?
[OPERATOR: SINGLE RESPONSE.]
1)ADMIN2
2)DON'T KNOW
3)REFUSED </t>
        </is>
      </c>
      <c r="E37" s="197">
        <f>LEN(D37)</f>
        <v/>
      </c>
      <c r="F37" s="206" t="inlineStr">
        <is>
          <t>Single Choice</t>
        </is>
      </c>
      <c r="G37" s="197" t="inlineStr">
        <is>
          <t>NA</t>
        </is>
      </c>
      <c r="H37" s="197" t="inlineStr">
        <is>
          <t>NA</t>
        </is>
      </c>
      <c r="I37" s="197" t="inlineStr">
        <is>
          <t>Form Type - Buttons
IsDemographic - ADM2</t>
        </is>
      </c>
      <c r="J37" s="443" t="inlineStr">
        <is>
          <t>1 =  hh_agricactivity
2-3 = Ineligible</t>
        </is>
      </c>
      <c r="K37" s="266" t="inlineStr">
        <is>
          <t>NA</t>
        </is>
      </c>
      <c r="L37" s="555" t="n"/>
      <c r="M37" s="433" t="n"/>
      <c r="N37" s="172" t="n"/>
      <c r="O37" s="318">
        <f>1</f>
        <v/>
      </c>
      <c r="P37" s="186" t="n"/>
      <c r="R37" s="473" t="inlineStr">
        <is>
          <t>yes</t>
        </is>
      </c>
      <c r="S37" s="193" t="n"/>
      <c r="V37" s="551" t="n">
        <v>7.954998970031738</v>
      </c>
      <c r="W37" s="551">
        <f>IF(V37="","",V37*O37)</f>
        <v/>
      </c>
      <c r="X37" s="186">
        <f>IF(R37="yes",W37,"")</f>
        <v/>
      </c>
    </row>
    <row r="38" ht="153" customFormat="1" customHeight="1" s="192">
      <c r="A38" s="116" t="n"/>
      <c r="B38" s="283" t="inlineStr">
        <is>
          <t>quotareached</t>
        </is>
      </c>
      <c r="C38" s="182" t="inlineStr">
        <is>
          <t>quotareached</t>
        </is>
      </c>
      <c r="D38" s="212" t="inlineStr">
        <is>
          <t>[OPERATOR: DO NOT READ. ANSWER QUESTION BELOW.]
THIS RESPONDENT REPORTED THEY LIVE IN:
{ADM1}
{ADM2}
1)THE GOAL FOR THIS LOCATION HAS BEEN ACHIEVED - END SURVEY
2)THE GOAL FOR THIS LOCATION IS OPEN - CONTINUE SURVEY</t>
        </is>
      </c>
      <c r="E38" s="197">
        <f>LEN(D38)</f>
        <v/>
      </c>
      <c r="F38" s="206" t="inlineStr">
        <is>
          <t>Single Choice</t>
        </is>
      </c>
      <c r="G38" s="206" t="inlineStr">
        <is>
          <t>NA</t>
        </is>
      </c>
      <c r="H38" s="206" t="inlineStr">
        <is>
          <t>NA</t>
        </is>
      </c>
      <c r="I38" s="206" t="inlineStr">
        <is>
          <t>Form Type - Buttons</t>
        </is>
      </c>
      <c r="J38" s="196" t="inlineStr">
        <is>
          <t>1 = End Poll Quota Reached
2 = hh_agricactivity</t>
        </is>
      </c>
      <c r="K38" s="266" t="inlineStr">
        <is>
          <t>NA</t>
        </is>
      </c>
      <c r="L38" s="440" t="n"/>
      <c r="M38" s="415" t="n"/>
      <c r="N38" s="416" t="n"/>
      <c r="O38" s="551" t="n"/>
      <c r="P38" s="551" t="n"/>
      <c r="Q38" s="186" t="n"/>
      <c r="S38" s="244" t="n"/>
      <c r="T38" s="193" t="n"/>
      <c r="W38" s="551" t="n"/>
      <c r="X38" s="551" t="n"/>
      <c r="Y38" s="186" t="n"/>
    </row>
    <row r="39" ht="272" customFormat="1" customHeight="1" s="192">
      <c r="A39" s="116">
        <f>#REF!+1</f>
        <v/>
      </c>
      <c r="B39" s="283" t="inlineStr">
        <is>
          <t>hh_agricactivity</t>
        </is>
      </c>
      <c r="C39" s="230" t="inlineStr">
        <is>
          <t>hh_agricactivity</t>
        </is>
      </c>
      <c r="D39" s="212" t="inlineStr">
        <is>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is>
      </c>
      <c r="E39" s="197">
        <f>LEN(D39)</f>
        <v/>
      </c>
      <c r="F39" s="206" t="inlineStr">
        <is>
          <t>Single Choice</t>
        </is>
      </c>
      <c r="G39" s="197" t="inlineStr">
        <is>
          <t>NA</t>
        </is>
      </c>
      <c r="H39" s="197" t="inlineStr">
        <is>
          <t>NA</t>
        </is>
      </c>
      <c r="I39" s="197" t="inlineStr">
        <is>
          <t>Form Type - Buttons</t>
        </is>
      </c>
      <c r="J39" s="212" t="inlineStr">
        <is>
          <t>1-4 = resp_id or hh_fish
5-6 = Ineligible</t>
        </is>
      </c>
      <c r="K39" s="266" t="inlineStr">
        <is>
          <t>NA</t>
        </is>
      </c>
      <c r="L39" s="488" t="inlineStr">
        <is>
          <t xml:space="preserve">if hh_agricactivity = 1-4, go to resp_id or hh_fish. Otherwise, the respondent is ineligible. </t>
        </is>
      </c>
      <c r="M39" s="489" t="n"/>
      <c r="N39" s="491" t="n"/>
      <c r="O39" s="318">
        <f>1</f>
        <v/>
      </c>
      <c r="P39" s="186" t="n"/>
      <c r="R39" s="473" t="inlineStr">
        <is>
          <t>yes</t>
        </is>
      </c>
      <c r="S39" s="193" t="n"/>
      <c r="V39" s="551" t="n">
        <v>24.41083908081055</v>
      </c>
      <c r="W39" s="551">
        <f>IF(V39="","",V39*O39)</f>
        <v/>
      </c>
      <c r="X39" s="186">
        <f>IF(R39="yes",W39,"")</f>
        <v/>
      </c>
    </row>
    <row r="40" ht="200.25" customFormat="1" customHeight="1" s="192">
      <c r="A40" s="14" t="n"/>
      <c r="B40" s="282" t="inlineStr">
        <is>
          <t>hh_fish</t>
        </is>
      </c>
      <c r="C40" s="17" t="inlineStr">
        <is>
          <t>hh_fish</t>
        </is>
      </c>
      <c r="D40" s="15"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40" s="16" t="n">
        <v>116</v>
      </c>
      <c r="F40" s="17" t="inlineStr">
        <is>
          <t>Single Choice</t>
        </is>
      </c>
      <c r="G40" s="16" t="inlineStr">
        <is>
          <t>NA</t>
        </is>
      </c>
      <c r="H40" s="16" t="inlineStr">
        <is>
          <t>NA</t>
        </is>
      </c>
      <c r="I40" s="16" t="inlineStr">
        <is>
          <t>Form Type - Buttons</t>
        </is>
      </c>
      <c r="J40" s="18" t="inlineStr">
        <is>
          <t>1-2 = resp_id
3-4 = Ineligible</t>
        </is>
      </c>
      <c r="K40" s="84" t="inlineStr">
        <is>
          <t>NA</t>
        </is>
      </c>
      <c r="L40" s="38" t="inlineStr">
        <is>
          <t xml:space="preserve">if hh_fish = 1-2, go to resp_id. Otherwise, the respondent is ineligible. </t>
        </is>
      </c>
      <c r="M40" s="63" t="n"/>
      <c r="N40" s="490" t="inlineStr">
        <is>
          <t xml:space="preserve">Use this question if the survey seeks to gather important information on fisheries and/or aquaculture in the country. </t>
        </is>
      </c>
      <c r="O40" s="392" t="n"/>
      <c r="P40" s="186" t="n"/>
      <c r="R40" s="194" t="n"/>
      <c r="S40" s="193" t="n"/>
      <c r="V40" s="552" t="n"/>
      <c r="W40" s="552" t="n"/>
      <c r="X40" s="186" t="n"/>
    </row>
    <row r="41" ht="17" customFormat="1" customHeight="1" s="192" thickBot="1">
      <c r="A41" s="105" t="n"/>
      <c r="B41" s="310" t="n"/>
      <c r="C41" s="317" t="n"/>
      <c r="D41" s="92" t="n"/>
      <c r="E41" s="106" t="n"/>
      <c r="F41" s="107" t="n"/>
      <c r="G41" s="106" t="n"/>
      <c r="H41" s="106" t="n"/>
      <c r="I41" s="106" t="n"/>
      <c r="J41" s="92" t="n"/>
      <c r="K41" s="92" t="n"/>
      <c r="L41" s="92" t="n"/>
      <c r="M41" s="92" t="n"/>
      <c r="N41" s="25" t="n"/>
      <c r="O41" s="392">
        <f>1</f>
        <v/>
      </c>
      <c r="P41" s="186" t="n"/>
      <c r="R41" s="244" t="n"/>
      <c r="S41" s="193" t="n"/>
      <c r="V41" s="552" t="n"/>
      <c r="W41" s="551">
        <f>IF(V41="","",V41*O41)</f>
        <v/>
      </c>
      <c r="X41" s="186">
        <f>IF(R41="yes",W41,"")</f>
        <v/>
      </c>
    </row>
    <row r="42" ht="17" customFormat="1" customHeight="1" s="192" thickBot="1">
      <c r="A42" s="548" t="inlineStr">
        <is>
          <t>B. GENERAL HOUSEHOLD INFORMATION</t>
        </is>
      </c>
      <c r="B42" s="549" t="n"/>
      <c r="C42" s="549" t="n"/>
      <c r="D42" s="549" t="n"/>
      <c r="E42" s="549" t="n"/>
      <c r="F42" s="549" t="n"/>
      <c r="G42" s="549" t="n"/>
      <c r="H42" s="549" t="n"/>
      <c r="I42" s="549" t="n"/>
      <c r="J42" s="549" t="n"/>
      <c r="K42" s="549" t="n"/>
      <c r="L42" s="549" t="n"/>
      <c r="M42" s="549" t="n"/>
      <c r="N42" s="550" t="n"/>
      <c r="O42" s="392" t="n"/>
      <c r="P42" s="186" t="n"/>
      <c r="R42" s="194" t="n"/>
      <c r="S42" s="193" t="n"/>
      <c r="V42" s="552" t="n"/>
      <c r="W42" s="551">
        <f>IF(V42="","",V42*O42)</f>
        <v/>
      </c>
      <c r="X42" s="186">
        <f>IF(R42="yes",W42,"")</f>
        <v/>
      </c>
    </row>
    <row r="43" customFormat="1" s="192">
      <c r="A43" s="241" t="n"/>
      <c r="B43" s="241" t="n"/>
      <c r="C43" s="241" t="n"/>
      <c r="D43" s="109" t="n"/>
      <c r="E43" s="241" t="n"/>
      <c r="F43" s="241" t="n"/>
      <c r="G43" s="241" t="n"/>
      <c r="H43" s="241" t="n"/>
      <c r="I43" s="241" t="n"/>
      <c r="J43" s="241" t="n"/>
      <c r="K43" s="241" t="n"/>
      <c r="L43" s="241" t="n"/>
      <c r="M43" s="241" t="n"/>
      <c r="N43" s="52" t="n"/>
      <c r="O43" s="392">
        <f>1</f>
        <v/>
      </c>
      <c r="P43" s="186" t="n"/>
      <c r="R43" s="194" t="n"/>
      <c r="S43" s="193" t="n"/>
      <c r="V43" s="552" t="n"/>
      <c r="W43" s="552">
        <f>IF(V43="","",V43*O43)</f>
        <v/>
      </c>
      <c r="X43" s="186">
        <f>IF(R43="yes",W43,"")</f>
        <v/>
      </c>
    </row>
    <row r="44" ht="153" customFormat="1" customHeight="1" s="418">
      <c r="A44" s="414">
        <f>A39+1</f>
        <v/>
      </c>
      <c r="B44" s="437" t="inlineStr">
        <is>
          <t>resp_id</t>
        </is>
      </c>
      <c r="C44" s="438" t="inlineStr">
        <is>
          <t>resp_id</t>
        </is>
      </c>
      <c r="D44" s="439" t="inlineStr">
        <is>
          <t xml:space="preserve">Are you the head of household? 
[OPERATOR: SINGLE RESPONSE.]
1)Yes
2)No
3)DON'T KNOW
4)REFUSED
</t>
        </is>
      </c>
      <c r="E44" s="438">
        <f>LEN(D44)</f>
        <v/>
      </c>
      <c r="F44" s="438" t="inlineStr">
        <is>
          <t>Single Choice</t>
        </is>
      </c>
      <c r="G44" s="438" t="inlineStr">
        <is>
          <t>NA</t>
        </is>
      </c>
      <c r="H44" s="438" t="inlineStr">
        <is>
          <t>NA</t>
        </is>
      </c>
      <c r="I44" s="438" t="inlineStr">
        <is>
          <t>Form Type - Buttons</t>
        </is>
      </c>
      <c r="J44" s="440" t="inlineStr">
        <is>
          <t>1 = hh_education 
2-4 = hh_gender</t>
        </is>
      </c>
      <c r="K44" s="266" t="inlineStr">
        <is>
          <t>NA</t>
        </is>
      </c>
      <c r="L44" s="440" t="inlineStr">
        <is>
          <t>if resp_id = 1, go to hh_education. 
Otherwise, go to hh_gender.</t>
        </is>
      </c>
      <c r="M44" s="415" t="n"/>
      <c r="N44" s="416" t="n"/>
      <c r="O44" s="413" t="n">
        <v>1</v>
      </c>
      <c r="P44" s="417" t="n"/>
      <c r="R44" s="472" t="inlineStr">
        <is>
          <t>yes</t>
        </is>
      </c>
      <c r="S44" s="419" t="n"/>
      <c r="V44" s="556" t="n">
        <v>10.5</v>
      </c>
      <c r="W44" s="551">
        <f>IF(V44="","",V44*O44)</f>
        <v/>
      </c>
      <c r="X44" s="417">
        <f>IF(R44="yes",W44,"")</f>
        <v/>
      </c>
    </row>
    <row r="45" ht="136" customFormat="1" customHeight="1" s="192">
      <c r="A45" s="102">
        <f>A44+1</f>
        <v/>
      </c>
      <c r="B45" s="281" t="inlineStr">
        <is>
          <t>hh_gender</t>
        </is>
      </c>
      <c r="C45" s="191" t="inlineStr">
        <is>
          <t>hh_gender</t>
        </is>
      </c>
      <c r="D45" s="243" t="inlineStr">
        <is>
          <t>Is the head of your household male or female?
[OPERATOR: SINGLE RESPONSE.]
1)Male 
2)Female
3)DON'T KNOW
4)REFUSED</t>
        </is>
      </c>
      <c r="E45" s="189">
        <f>LEN(D45)</f>
        <v/>
      </c>
      <c r="F45" s="191" t="inlineStr">
        <is>
          <t>Single Choice</t>
        </is>
      </c>
      <c r="G45" s="189" t="inlineStr">
        <is>
          <t>NA</t>
        </is>
      </c>
      <c r="H45" s="189" t="inlineStr">
        <is>
          <t>NA</t>
        </is>
      </c>
      <c r="I45" s="189" t="inlineStr">
        <is>
          <t>Form Type - Buttons</t>
        </is>
      </c>
      <c r="J45" s="188" t="inlineStr">
        <is>
          <t>1-4 = hh_education</t>
        </is>
      </c>
      <c r="K45" s="266" t="inlineStr">
        <is>
          <t>NA</t>
        </is>
      </c>
      <c r="L45" s="188" t="inlineStr">
        <is>
          <t>if hh_gender = 1-4, go to hh_education.</t>
        </is>
      </c>
      <c r="M45" s="90" t="n"/>
      <c r="N45" s="52" t="n"/>
      <c r="O45" s="318">
        <f>1</f>
        <v/>
      </c>
      <c r="P45" s="186" t="n"/>
      <c r="R45" s="467" t="inlineStr">
        <is>
          <t>yes</t>
        </is>
      </c>
      <c r="S45" s="193" t="n"/>
      <c r="V45" s="551" t="n">
        <v>10.5045337677002</v>
      </c>
      <c r="W45" s="551">
        <f>IF(V45="","",V45*O45)</f>
        <v/>
      </c>
      <c r="X45" s="186">
        <f>IF(R45="yes",W45,"")</f>
        <v/>
      </c>
    </row>
    <row r="46" customFormat="1" s="192">
      <c r="A46" s="102" t="n"/>
      <c r="B46" s="309" t="n"/>
      <c r="C46" s="103" t="n"/>
      <c r="D46" s="108" t="n"/>
      <c r="E46" s="109" t="n"/>
      <c r="F46" s="103" t="n"/>
      <c r="G46" s="109" t="n"/>
      <c r="H46" s="109" t="n"/>
      <c r="I46" s="109" t="n"/>
      <c r="J46" s="90" t="n"/>
      <c r="K46" s="90" t="n"/>
      <c r="L46" s="90" t="n"/>
      <c r="M46" s="90" t="n"/>
      <c r="N46" s="52" t="n"/>
      <c r="O46" s="392">
        <f>1</f>
        <v/>
      </c>
      <c r="P46" s="186" t="n"/>
      <c r="R46" s="194" t="n"/>
      <c r="S46" s="193" t="n"/>
      <c r="V46" s="552" t="n"/>
      <c r="W46" s="552">
        <f>IF(V46="","",V46*O46)</f>
        <v/>
      </c>
      <c r="X46" s="186">
        <f>IF(R46="yes",W46,"")</f>
        <v/>
      </c>
    </row>
    <row r="47" ht="187" customFormat="1" customHeight="1" s="192">
      <c r="A47" s="46">
        <f>A45+1</f>
        <v/>
      </c>
      <c r="B47" s="231" t="inlineStr">
        <is>
          <t>hh_education</t>
        </is>
      </c>
      <c r="C47" s="191" t="inlineStr">
        <is>
          <t>hh_education</t>
        </is>
      </c>
      <c r="D47" s="496"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7" s="197">
        <f>LEN(D47)</f>
        <v/>
      </c>
      <c r="F47" s="198" t="inlineStr">
        <is>
          <t>Single Choice</t>
        </is>
      </c>
      <c r="G47" s="197" t="inlineStr">
        <is>
          <t>NA</t>
        </is>
      </c>
      <c r="H47" s="197" t="inlineStr">
        <is>
          <t>NA</t>
        </is>
      </c>
      <c r="I47" s="197" t="inlineStr">
        <is>
          <t>Form Type - Buttons</t>
        </is>
      </c>
      <c r="J47" s="196" t="inlineStr">
        <is>
          <t>1-7 = hh_wealth</t>
        </is>
      </c>
      <c r="K47" s="266" t="inlineStr">
        <is>
          <t>NA</t>
        </is>
      </c>
      <c r="L47" s="188" t="inlineStr">
        <is>
          <t>if hh_education = 1-7, go to hh_wealth.</t>
        </is>
      </c>
      <c r="M47" s="90" t="n"/>
      <c r="N47" s="25" t="n"/>
      <c r="O47" s="318">
        <f>1</f>
        <v/>
      </c>
      <c r="P47" s="186" t="n"/>
      <c r="R47" s="467" t="inlineStr">
        <is>
          <t>yes</t>
        </is>
      </c>
      <c r="S47" s="193" t="n"/>
      <c r="V47" s="551" t="n">
        <v>12.42189884185791</v>
      </c>
      <c r="W47" s="551">
        <f>IF(V47="","",V47*O47)</f>
        <v/>
      </c>
      <c r="X47" s="186">
        <f>IF(R47="yes",W47,"")</f>
        <v/>
      </c>
    </row>
    <row r="48" customFormat="1" s="192">
      <c r="A48" s="46" t="n"/>
      <c r="B48" s="229" t="n"/>
      <c r="C48" s="103" t="n"/>
      <c r="D48" s="47" t="n"/>
      <c r="E48" s="48" t="n"/>
      <c r="F48" s="49" t="n"/>
      <c r="G48" s="48" t="n"/>
      <c r="H48" s="48" t="n"/>
      <c r="I48" s="48" t="n"/>
      <c r="J48" s="98" t="n"/>
      <c r="K48" s="90" t="n"/>
      <c r="L48" s="90" t="n"/>
      <c r="M48" s="90" t="n"/>
      <c r="N48" s="25" t="n"/>
      <c r="O48" s="392">
        <f>1</f>
        <v/>
      </c>
      <c r="P48" s="186" t="n"/>
      <c r="R48" s="194" t="n"/>
      <c r="S48" s="193" t="n"/>
      <c r="V48" s="552" t="n"/>
      <c r="W48" s="552">
        <f>IF(V48="","",V48*O48)</f>
        <v/>
      </c>
      <c r="X48" s="186">
        <f>IF(R48="yes",W48,"")</f>
        <v/>
      </c>
    </row>
    <row r="49" ht="187" customFormat="1" customHeight="1" s="192">
      <c r="A49" s="46" t="n">
        <v>10</v>
      </c>
      <c r="B49" s="229" t="inlineStr">
        <is>
          <t>hh_wealth_toilet</t>
        </is>
      </c>
      <c r="C49" s="228" t="inlineStr">
        <is>
          <t>hh_wealth_toilet</t>
        </is>
      </c>
      <c r="D49" s="47"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49" s="48">
        <f>LEN(D49)</f>
        <v/>
      </c>
      <c r="F49" s="49" t="inlineStr">
        <is>
          <t>Single Choice</t>
        </is>
      </c>
      <c r="G49" s="48" t="inlineStr">
        <is>
          <t>NA</t>
        </is>
      </c>
      <c r="H49" s="48" t="inlineStr">
        <is>
          <t>NA</t>
        </is>
      </c>
      <c r="I49" s="48" t="inlineStr">
        <is>
          <t>Form Type - Buttons</t>
        </is>
      </c>
      <c r="J49" s="293" t="inlineStr">
        <is>
          <t xml:space="preserve">
1-7 = [income_main OR other optional question]</t>
        </is>
      </c>
      <c r="K49" s="84" t="inlineStr">
        <is>
          <t>NA</t>
        </is>
      </c>
      <c r="L49" s="227" t="inlineStr">
        <is>
          <t>For any response, go to [income_main OR other optional question]</t>
        </is>
      </c>
      <c r="M49" s="68" t="n"/>
      <c r="N49" s="520" t="n"/>
      <c r="O49" s="392">
        <f>1</f>
        <v/>
      </c>
      <c r="P49" s="186" t="n"/>
      <c r="R49" s="194" t="inlineStr">
        <is>
          <t>yes</t>
        </is>
      </c>
      <c r="S49" s="193" t="n"/>
      <c r="V49" s="552" t="n">
        <v>12.60002136230469</v>
      </c>
      <c r="W49" s="552">
        <f>IF(V49="","",V49*O49)</f>
        <v/>
      </c>
      <c r="X49" s="186">
        <f>IF(R49="yes",W49,"")</f>
        <v/>
      </c>
    </row>
    <row r="50" customFormat="1" s="192">
      <c r="A50" s="46" t="n"/>
      <c r="B50" s="229" t="n"/>
      <c r="C50" s="314" t="n"/>
      <c r="D50" s="497" t="n"/>
      <c r="E50" s="109" t="n"/>
      <c r="F50" s="103" t="n"/>
      <c r="G50" s="109" t="n"/>
      <c r="H50" s="109" t="n"/>
      <c r="I50" s="109" t="n"/>
      <c r="J50" s="165" t="n"/>
      <c r="K50" s="90" t="n"/>
      <c r="L50" s="316" t="n"/>
      <c r="M50" s="316" t="n"/>
      <c r="N50" s="388" t="n"/>
      <c r="O50" s="392">
        <f>1</f>
        <v/>
      </c>
      <c r="P50" s="186" t="n"/>
      <c r="R50" s="194" t="n"/>
      <c r="S50" s="193" t="n"/>
      <c r="V50" s="552" t="n"/>
      <c r="W50" s="552">
        <f>IF(V50="","",V50*O50)</f>
        <v/>
      </c>
      <c r="X50" s="186">
        <f>IF(R50="yes",W50,"")</f>
        <v/>
      </c>
    </row>
    <row r="51" ht="409.5" customFormat="1" customHeight="1" s="192">
      <c r="A51" s="14">
        <f>#REF!+1</f>
        <v/>
      </c>
      <c r="B51" s="282" t="inlineStr">
        <is>
          <t>hh_residencetype</t>
        </is>
      </c>
      <c r="C51" s="17" t="inlineStr">
        <is>
          <t>hh_residencetype</t>
        </is>
      </c>
      <c r="D51" s="15" t="inlineStr">
        <is>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is>
      </c>
      <c r="E51" s="16">
        <f>LEN(D51)</f>
        <v/>
      </c>
      <c r="F51" s="17" t="inlineStr">
        <is>
          <t>Single Choice</t>
        </is>
      </c>
      <c r="G51" s="16" t="inlineStr">
        <is>
          <t>NA</t>
        </is>
      </c>
      <c r="H51" s="16" t="inlineStr">
        <is>
          <t>NA</t>
        </is>
      </c>
      <c r="I51" s="16" t="inlineStr">
        <is>
          <t>Form Type - Buttons</t>
        </is>
      </c>
      <c r="J51" s="18" t="inlineStr">
        <is>
          <t>1-7 = hh_size</t>
        </is>
      </c>
      <c r="K51" s="84" t="inlineStr">
        <is>
          <t>NA</t>
        </is>
      </c>
      <c r="L51" s="38" t="inlineStr">
        <is>
          <t>For any response, go to [next question]</t>
        </is>
      </c>
      <c r="M51" s="63" t="n"/>
      <c r="N51" s="52" t="inlineStr">
        <is>
          <t>Optional</t>
        </is>
      </c>
      <c r="O51" s="392">
        <f>1</f>
        <v/>
      </c>
      <c r="P51" s="186" t="n"/>
      <c r="R51" s="194" t="inlineStr">
        <is>
          <t>no</t>
        </is>
      </c>
      <c r="S51" s="193" t="n"/>
      <c r="V51" s="552" t="n">
        <v>13.22066497802734</v>
      </c>
      <c r="W51" s="552">
        <f>IF(V51="","",V51*O51)</f>
        <v/>
      </c>
      <c r="X51" s="186">
        <f>IF(R51="yes",W51,"")</f>
        <v/>
      </c>
    </row>
    <row r="52" ht="102" customFormat="1" customHeight="1" s="192">
      <c r="A52" s="14">
        <f>A51+1</f>
        <v/>
      </c>
      <c r="B52" s="282" t="inlineStr">
        <is>
          <t>hh_size</t>
        </is>
      </c>
      <c r="C52" s="21" t="inlineStr">
        <is>
          <t>hh_size</t>
        </is>
      </c>
      <c r="D52" s="19"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2" s="20">
        <f>LEN(D52)</f>
        <v/>
      </c>
      <c r="F52" s="21" t="inlineStr">
        <is>
          <t>Range</t>
        </is>
      </c>
      <c r="G52" s="20" t="inlineStr">
        <is>
          <t>NA</t>
        </is>
      </c>
      <c r="H52" s="20" t="inlineStr">
        <is>
          <t>NA</t>
        </is>
      </c>
      <c r="I52" s="20" t="inlineStr">
        <is>
          <t>Form Type - TextBox</t>
        </is>
      </c>
      <c r="J52" s="22" t="inlineStr">
        <is>
          <t>1-50 = hh_asset_prod
88-88 = hh_asset_prod
99-99 = hh_asset_prod</t>
        </is>
      </c>
      <c r="K52" s="84" t="inlineStr">
        <is>
          <t>NA</t>
        </is>
      </c>
      <c r="L52" s="38" t="inlineStr">
        <is>
          <t>For any response, go to [next question]</t>
        </is>
      </c>
      <c r="M52" s="63" t="n"/>
      <c r="N52" s="10" t="n"/>
      <c r="O52" s="392">
        <f>1</f>
        <v/>
      </c>
      <c r="P52" s="186" t="n"/>
      <c r="R52" s="194" t="inlineStr">
        <is>
          <t>no</t>
        </is>
      </c>
      <c r="S52" s="193" t="n"/>
      <c r="V52" s="552" t="n">
        <v>16.90229415893555</v>
      </c>
      <c r="W52" s="552">
        <f>IF(V52="","",V52*O52)</f>
        <v/>
      </c>
      <c r="X52" s="186">
        <f>IF(R52="yes",W52,"")</f>
        <v/>
      </c>
    </row>
    <row r="53" ht="221" customFormat="1" customHeight="1" s="192">
      <c r="A53" s="14">
        <f>A52+1</f>
        <v/>
      </c>
      <c r="B53" s="282" t="inlineStr">
        <is>
          <t>hh_asset_prod</t>
        </is>
      </c>
      <c r="C53" s="291" t="inlineStr">
        <is>
          <t>hh_asset_prod_
1)hh_asset_prod_process
2)hh_asset_prod_farmmach
3)hh_asset_prod_sewing
4)hh_asset_prod_taxi
5)hh_asset_prod_truck
6)hh_asset_prod_other
7) hh_asset_prod_none
8) hh_asset_prod_dk
9) hh_asset_prod_ref</t>
        </is>
      </c>
      <c r="D53" s="19"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53" s="20">
        <f>LEN(D53)</f>
        <v/>
      </c>
      <c r="F53" s="21" t="inlineStr">
        <is>
          <t>Select All That Apply</t>
        </is>
      </c>
      <c r="G53" s="20" t="inlineStr">
        <is>
          <t>NA</t>
        </is>
      </c>
      <c r="H53" s="20" t="inlineStr">
        <is>
          <t>NA</t>
        </is>
      </c>
      <c r="I53" s="20" t="inlineStr">
        <is>
          <t>Form Type - Checklist
7,8,9 = IsNone</t>
        </is>
      </c>
      <c r="J53" s="22" t="inlineStr">
        <is>
          <t>1-9 = hh_asset_transp</t>
        </is>
      </c>
      <c r="K53" s="84" t="inlineStr">
        <is>
          <t>1)hh_asset_prod_process
2)hh_asset_prod_farmmach
3)hh_asset_prod_sewing
4)hh_asset_prod_taxi
5)hh_asset_prod_truck
6)hh_asset_prod_other
7)hh_asset_prod_none
8)hh_asset_prod_dk
9)hh_asset_prod_ref</t>
        </is>
      </c>
      <c r="L53" s="38" t="inlineStr">
        <is>
          <t>For any response, go to [next question]</t>
        </is>
      </c>
      <c r="M53" s="63" t="n"/>
      <c r="N53" s="74" t="inlineStr">
        <is>
          <t xml:space="preserve">This wealth indicator may be useful to Identify poor households in middle income countries. It could be interesting for F2F surveys, to be used as baseline reference for follow-up surveys. </t>
        </is>
      </c>
      <c r="O53" s="392">
        <f>1</f>
        <v/>
      </c>
      <c r="P53" s="186" t="n"/>
      <c r="R53" s="194" t="inlineStr">
        <is>
          <t>no</t>
        </is>
      </c>
      <c r="S53" s="193" t="n"/>
      <c r="V53" s="552" t="n">
        <v>16.95780372619629</v>
      </c>
      <c r="W53" s="552">
        <f>IF(V53="","",V53*O53)</f>
        <v/>
      </c>
      <c r="X53" s="186">
        <f>IF(R53="yes",W53,"")</f>
        <v/>
      </c>
    </row>
    <row r="54" ht="272" customFormat="1" customHeight="1" s="192">
      <c r="A54" s="14">
        <f>A53+1</f>
        <v/>
      </c>
      <c r="B54" s="282" t="inlineStr">
        <is>
          <t>hh_asset_transp</t>
        </is>
      </c>
      <c r="C54" s="63"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54" s="19"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54" s="20">
        <f>LEN(D54)</f>
        <v/>
      </c>
      <c r="F54" s="21" t="inlineStr">
        <is>
          <t>Select All That Apply</t>
        </is>
      </c>
      <c r="G54" s="20" t="inlineStr">
        <is>
          <t>NA</t>
        </is>
      </c>
      <c r="H54" s="20" t="inlineStr">
        <is>
          <t>NA</t>
        </is>
      </c>
      <c r="I54" s="20" t="inlineStr">
        <is>
          <t>Form Type - Checklist
9,10,11 = IsNone</t>
        </is>
      </c>
      <c r="J54" s="22" t="inlineStr">
        <is>
          <t>1-11 = hh_maritalstat</t>
        </is>
      </c>
      <c r="K54" s="84"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L54" s="38" t="inlineStr">
        <is>
          <t>For any response, go to [next question]</t>
        </is>
      </c>
      <c r="M54" s="63" t="n"/>
      <c r="N54" s="74" t="inlineStr">
        <is>
          <t xml:space="preserve">This wealth indicator may be useful to Identify poor households in middle income countries. It could be interesting for F2F surveys, to be used as baseline reference for follow-up surveys. </t>
        </is>
      </c>
      <c r="O54" s="392">
        <f>1</f>
        <v/>
      </c>
      <c r="P54" s="186" t="n"/>
      <c r="R54" s="194" t="inlineStr">
        <is>
          <t>no</t>
        </is>
      </c>
      <c r="S54" s="193" t="n"/>
      <c r="V54" s="552" t="n">
        <v>11.02202892303467</v>
      </c>
      <c r="W54" s="552">
        <f>IF(V54="","",V54*O54)</f>
        <v/>
      </c>
      <c r="X54" s="186">
        <f>IF(R54="yes",W54,"")</f>
        <v/>
      </c>
    </row>
    <row r="55" ht="187" customFormat="1" customHeight="1" s="192">
      <c r="A55" s="14">
        <f>A54+1</f>
        <v/>
      </c>
      <c r="B55" s="287" t="inlineStr">
        <is>
          <t>hh_maritalstat</t>
        </is>
      </c>
      <c r="C55" s="286" t="inlineStr">
        <is>
          <t>hh_maritalstat</t>
        </is>
      </c>
      <c r="D55" s="15" t="inlineStr">
        <is>
          <t xml:space="preserve">What is the head of household’s current marital status? 
[OPERATOR: SINGLE RESPONSE.]
1)Single / never married 
2)Married
3)Separated
4)Divorced
5)Widowed
6)DON’T KNOW
7)REFUSED </t>
        </is>
      </c>
      <c r="E55" s="23">
        <f>LEN(D55)</f>
        <v/>
      </c>
      <c r="F55" s="21" t="inlineStr">
        <is>
          <t>Single Choice</t>
        </is>
      </c>
      <c r="G55" s="24" t="inlineStr">
        <is>
          <t>NA</t>
        </is>
      </c>
      <c r="H55" s="24" t="inlineStr">
        <is>
          <t>NA</t>
        </is>
      </c>
      <c r="I55" s="20" t="inlineStr">
        <is>
          <t>Form Type - Buttons</t>
        </is>
      </c>
      <c r="J55" s="22" t="inlineStr">
        <is>
          <t>1-7 = hh_age</t>
        </is>
      </c>
      <c r="K55" s="84" t="inlineStr">
        <is>
          <t>NA</t>
        </is>
      </c>
      <c r="L55" s="38" t="inlineStr">
        <is>
          <t>For any response, go to [next question]</t>
        </is>
      </c>
      <c r="M55" s="120" t="n"/>
      <c r="N55" s="25" t="n"/>
      <c r="O55" s="392">
        <f>1</f>
        <v/>
      </c>
      <c r="P55" s="186" t="n"/>
      <c r="R55" s="194" t="inlineStr">
        <is>
          <t>no</t>
        </is>
      </c>
      <c r="S55" s="193" t="n"/>
      <c r="V55" s="552" t="n">
        <v>9.96186637878418</v>
      </c>
      <c r="W55" s="552">
        <f>IF(V55="","",V55*O55)</f>
        <v/>
      </c>
      <c r="X55" s="186">
        <f>IF(R55="yes",W55,"")</f>
        <v/>
      </c>
    </row>
    <row r="56" ht="171" customFormat="1" customHeight="1" s="192" thickBot="1">
      <c r="A56" s="14">
        <f>A55+1</f>
        <v/>
      </c>
      <c r="B56" s="284" t="inlineStr">
        <is>
          <t>hh_age</t>
        </is>
      </c>
      <c r="C56" s="285" t="inlineStr">
        <is>
          <t>hh_age</t>
        </is>
      </c>
      <c r="D56" s="27" t="inlineStr">
        <is>
          <t>How old is the head of household? 
[OPERATOR: SINGLE RESPONSE.]
1)Under 18
2)18 to 40 
3)41 to 65 
4)Over 65
5)DON'T KNOW
6)REFUSED</t>
        </is>
      </c>
      <c r="E56" s="23">
        <f>LEN(D56)</f>
        <v/>
      </c>
      <c r="F56" s="21" t="inlineStr">
        <is>
          <t>Single Choice</t>
        </is>
      </c>
      <c r="G56" s="23" t="inlineStr">
        <is>
          <t>NA</t>
        </is>
      </c>
      <c r="H56" s="23" t="inlineStr">
        <is>
          <t>NA</t>
        </is>
      </c>
      <c r="I56" s="20" t="inlineStr">
        <is>
          <t>Form Type - Buttons</t>
        </is>
      </c>
      <c r="J56" s="22" t="inlineStr">
        <is>
          <t>1-6 = income_main</t>
        </is>
      </c>
      <c r="K56" s="84" t="inlineStr">
        <is>
          <t>NA</t>
        </is>
      </c>
      <c r="L56" s="38" t="inlineStr">
        <is>
          <t>For any response, go to [next question]</t>
        </is>
      </c>
      <c r="M56" s="69" t="n"/>
      <c r="N56" s="10" t="n"/>
      <c r="O56" s="392">
        <f>1</f>
        <v/>
      </c>
      <c r="P56" s="186" t="n"/>
      <c r="R56" s="194" t="inlineStr">
        <is>
          <t>no</t>
        </is>
      </c>
      <c r="S56" s="193" t="n"/>
      <c r="V56" s="552" t="n">
        <v>7.02484130859375</v>
      </c>
      <c r="W56" s="552">
        <f>IF(V56="","",V56*O56)</f>
        <v/>
      </c>
      <c r="X56" s="186">
        <f>IF(R56="yes",W56,"")</f>
        <v/>
      </c>
    </row>
    <row r="57" ht="17" customFormat="1" customHeight="1" s="464" thickBot="1">
      <c r="A57" s="548" t="inlineStr">
        <is>
          <t>C. INCOME SOURCES, LIVELIHOOD AND SHOCKS</t>
        </is>
      </c>
      <c r="B57" s="549" t="n"/>
      <c r="C57" s="549" t="n"/>
      <c r="D57" s="549" t="n"/>
      <c r="E57" s="549" t="n"/>
      <c r="F57" s="549" t="n"/>
      <c r="G57" s="549" t="n"/>
      <c r="H57" s="549" t="n"/>
      <c r="I57" s="549" t="n"/>
      <c r="J57" s="549" t="n"/>
      <c r="K57" s="549" t="n"/>
      <c r="L57" s="549" t="n"/>
      <c r="M57" s="549" t="n"/>
      <c r="N57" s="550" t="n"/>
      <c r="O57" s="318" t="n"/>
      <c r="P57" s="469" t="n"/>
      <c r="R57" s="467" t="n"/>
      <c r="S57" s="470" t="n"/>
      <c r="V57" s="551" t="n"/>
      <c r="W57" s="551">
        <f>IF(V57="","",V57*O57)</f>
        <v/>
      </c>
      <c r="X57" s="469">
        <f>IF(R57="yes",W57,"")</f>
        <v/>
      </c>
    </row>
    <row r="58" customFormat="1" s="192">
      <c r="A58" s="241" t="n"/>
      <c r="B58" s="241" t="n"/>
      <c r="C58" s="241" t="n"/>
      <c r="D58" s="109" t="n"/>
      <c r="E58" s="241" t="n"/>
      <c r="F58" s="241" t="n"/>
      <c r="G58" s="241" t="n"/>
      <c r="H58" s="241" t="n"/>
      <c r="I58" s="241" t="n"/>
      <c r="J58" s="241" t="n"/>
      <c r="K58" s="90" t="n"/>
      <c r="L58" s="241" t="n"/>
      <c r="M58" s="241" t="n"/>
      <c r="N58" s="52" t="n"/>
      <c r="O58" s="392">
        <f>1</f>
        <v/>
      </c>
      <c r="P58" s="186" t="n"/>
      <c r="R58" s="194" t="n"/>
      <c r="S58" s="193" t="n"/>
      <c r="V58" s="552" t="n"/>
      <c r="W58" s="552">
        <f>IF(V58="","",V58*O58)</f>
        <v/>
      </c>
      <c r="X58" s="186">
        <f>IF(R58="yes",W58,"")</f>
        <v/>
      </c>
    </row>
    <row r="59" ht="409.6" customFormat="1" customHeight="1" s="192">
      <c r="A59" s="102">
        <f>A56+1</f>
        <v/>
      </c>
      <c r="B59" s="281" t="inlineStr">
        <is>
          <t>income_main</t>
        </is>
      </c>
      <c r="C59" s="191" t="inlineStr">
        <is>
          <t>income_main</t>
        </is>
      </c>
      <c r="D59" s="190"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59" s="189">
        <f>LEN(D59)</f>
        <v/>
      </c>
      <c r="F59" s="191" t="inlineStr">
        <is>
          <t>Single Choice</t>
        </is>
      </c>
      <c r="G59" s="189" t="inlineStr">
        <is>
          <t>NA</t>
        </is>
      </c>
      <c r="H59" s="189" t="inlineStr">
        <is>
          <t>NA</t>
        </is>
      </c>
      <c r="I59" s="189" t="inlineStr">
        <is>
          <t>Form Type - Buttons
IsDemographic</t>
        </is>
      </c>
      <c r="J59" s="188" t="inlineStr">
        <is>
          <t>1-3 = income_main_crop_check
4 = income_main_ls_check
5 = income_main_comp OR optional question
6 = income_main_fish_check
7-18 = income_main_comp OR optional question
19-21 = shock</t>
        </is>
      </c>
      <c r="K59" s="266" t="inlineStr">
        <is>
          <t>NA</t>
        </is>
      </c>
      <c r="L59" s="195" t="inlineStr">
        <is>
          <t>if options #1-3 selected, go to income_main_crop_check
if options #4 selected, go to income_main_ls_check
if options #6 selected, go to income_main_fish_check 
if options #5, 7-18 selected, go to [income_main_comp OR optional question]
if options #19-21 selected, go to shock</t>
        </is>
      </c>
      <c r="M59" s="53" t="n"/>
      <c r="N59" s="52" t="n"/>
      <c r="O59" s="318">
        <f>1</f>
        <v/>
      </c>
      <c r="P59" s="186" t="n"/>
      <c r="R59" s="467" t="inlineStr">
        <is>
          <t>yes</t>
        </is>
      </c>
      <c r="S59" s="193" t="n"/>
      <c r="V59" s="551" t="n">
        <v>31.88833427429199</v>
      </c>
      <c r="W59" s="551">
        <f>IF(V59="","",V59*O59)</f>
        <v/>
      </c>
      <c r="X59" s="186">
        <f>IF(R59="yes",W59,"")</f>
        <v/>
      </c>
    </row>
    <row r="60" ht="136" customFormat="1" customHeight="1" s="192">
      <c r="A60" s="102" t="n"/>
      <c r="B60" s="281" t="inlineStr">
        <is>
          <t>income_main_crop_check</t>
        </is>
      </c>
      <c r="C60" s="292" t="inlineStr">
        <is>
          <t>income_main_crop_check</t>
        </is>
      </c>
      <c r="D60" s="196" t="inlineStr">
        <is>
          <t xml:space="preserve">Are the crops sold also produced by you or anyone in your household?
[OPERATOR: SINGLE RESPONSE.]
1)YES
2)NO
3)DON'T KNOW
4)REFUSED </t>
        </is>
      </c>
      <c r="E60" s="189">
        <f>LEN(D60)</f>
        <v/>
      </c>
      <c r="F60" s="191" t="inlineStr">
        <is>
          <t>Single Choice</t>
        </is>
      </c>
      <c r="G60" s="189" t="inlineStr">
        <is>
          <t>NA</t>
        </is>
      </c>
      <c r="H60" s="189" t="inlineStr">
        <is>
          <t>NA</t>
        </is>
      </c>
      <c r="I60" s="189" t="inlineStr">
        <is>
          <t>Form Type - Buttons</t>
        </is>
      </c>
      <c r="J60" s="188" t="inlineStr">
        <is>
          <t>1-4 = income_main_comp OR optional question</t>
        </is>
      </c>
      <c r="K60" s="266" t="inlineStr">
        <is>
          <t>NA</t>
        </is>
      </c>
      <c r="L60" s="195" t="inlineStr">
        <is>
          <t>if income_main_crop_check = 1-4, go to [income_main_comp OR optional question]</t>
        </is>
      </c>
      <c r="M60" s="53" t="n"/>
      <c r="N60" s="52" t="n"/>
      <c r="O60" s="318">
        <f>1</f>
        <v/>
      </c>
      <c r="P60" s="186" t="n"/>
      <c r="R60" s="467" t="inlineStr">
        <is>
          <t>yes</t>
        </is>
      </c>
      <c r="S60" s="193" t="n"/>
      <c r="V60" s="551" t="n">
        <v>8</v>
      </c>
      <c r="W60" s="551">
        <f>IF(V60="","",V60*O60)</f>
        <v/>
      </c>
      <c r="X60" s="186">
        <f>IF(R60="yes",W60,"")</f>
        <v/>
      </c>
    </row>
    <row r="61" ht="153" customFormat="1" customHeight="1" s="192">
      <c r="A61" s="102" t="n"/>
      <c r="B61" s="281" t="inlineStr">
        <is>
          <t>income_main_ls_check</t>
        </is>
      </c>
      <c r="C61" s="292" t="inlineStr">
        <is>
          <t>income_main_ls_check</t>
        </is>
      </c>
      <c r="D61" s="196" t="inlineStr">
        <is>
          <t xml:space="preserve">Are the livestock or livestock products sold also produced by you or anyone in your household?
[OPERATOR: SINGLE RESPONSE.]
1)YES
2)NO
3)DON'T KNOW
4)REFUSED </t>
        </is>
      </c>
      <c r="E61" s="189">
        <f>LEN(D61)</f>
        <v/>
      </c>
      <c r="F61" s="191" t="inlineStr">
        <is>
          <t>Single Choice</t>
        </is>
      </c>
      <c r="G61" s="189" t="inlineStr">
        <is>
          <t>NA</t>
        </is>
      </c>
      <c r="H61" s="189" t="inlineStr">
        <is>
          <t>NA</t>
        </is>
      </c>
      <c r="I61" s="189" t="inlineStr">
        <is>
          <t>Form Type - Buttons</t>
        </is>
      </c>
      <c r="J61" s="188" t="inlineStr">
        <is>
          <t>1-4 = income_main_comp OR optional question</t>
        </is>
      </c>
      <c r="K61" s="266" t="inlineStr">
        <is>
          <t>NA</t>
        </is>
      </c>
      <c r="L61" s="195" t="inlineStr">
        <is>
          <t>if income_main_ls_check = 1-4, go to [income_main_comp OR optional question]</t>
        </is>
      </c>
      <c r="M61" s="53" t="n"/>
      <c r="N61" s="52" t="n"/>
      <c r="O61" s="318">
        <f>1</f>
        <v/>
      </c>
      <c r="P61" s="186" t="n"/>
      <c r="R61" s="467" t="inlineStr">
        <is>
          <t>yes</t>
        </is>
      </c>
      <c r="S61" s="193" t="n"/>
      <c r="V61" s="551" t="n">
        <v>8</v>
      </c>
      <c r="W61" s="551">
        <f>IF(V61="","",V61*O61)</f>
        <v/>
      </c>
      <c r="X61" s="186">
        <f>IF(R61="yes",W61,"")</f>
        <v/>
      </c>
    </row>
    <row r="62" ht="153" customFormat="1" customHeight="1" s="192">
      <c r="A62" s="102" t="n"/>
      <c r="B62" s="281" t="inlineStr">
        <is>
          <t>income_main_fish_check</t>
        </is>
      </c>
      <c r="C62" s="292" t="inlineStr">
        <is>
          <t>income_main_fish_check</t>
        </is>
      </c>
      <c r="D62" s="196" t="inlineStr">
        <is>
          <t xml:space="preserve">Are the fish or aquatic products sold also captured/harvested by you or anyone in your household?
[OPERATOR: SINGLE RESPONSE.]
1)YES
2)NO
3)DON'T KNOW
4)REFUSED </t>
        </is>
      </c>
      <c r="E62" s="189">
        <f>LEN(D62)</f>
        <v/>
      </c>
      <c r="F62" s="191" t="inlineStr">
        <is>
          <t>Single Choice</t>
        </is>
      </c>
      <c r="G62" s="189" t="inlineStr">
        <is>
          <t>NA</t>
        </is>
      </c>
      <c r="H62" s="189" t="inlineStr">
        <is>
          <t>NA</t>
        </is>
      </c>
      <c r="I62" s="189" t="inlineStr">
        <is>
          <t>Form Type - Buttons</t>
        </is>
      </c>
      <c r="J62" s="188" t="inlineStr">
        <is>
          <t>1-4 = income_main_comp OR optional question</t>
        </is>
      </c>
      <c r="K62" s="266" t="inlineStr">
        <is>
          <t>NA</t>
        </is>
      </c>
      <c r="L62" s="195" t="inlineStr">
        <is>
          <t>if income_main_fish_check = 1-4, go to [income_main_comp OR optional question]</t>
        </is>
      </c>
      <c r="M62" s="53" t="n"/>
      <c r="N62" s="52" t="n"/>
      <c r="O62" s="318">
        <f>1</f>
        <v/>
      </c>
      <c r="P62" s="186" t="n"/>
      <c r="R62" s="467" t="inlineStr">
        <is>
          <t>yes</t>
        </is>
      </c>
      <c r="S62" s="193" t="n"/>
      <c r="V62" s="551" t="n">
        <v>8</v>
      </c>
      <c r="W62" s="551">
        <f>IF(V62="","",V62*O62)</f>
        <v/>
      </c>
      <c r="X62" s="186">
        <f>IF(R62="yes",W62,"")</f>
        <v/>
      </c>
    </row>
    <row r="63" customFormat="1" s="192">
      <c r="A63" s="102" t="n"/>
      <c r="B63" s="309" t="n"/>
      <c r="C63" s="314" t="n"/>
      <c r="D63" s="315" t="n"/>
      <c r="E63" s="109" t="n"/>
      <c r="F63" s="103" t="n"/>
      <c r="G63" s="109" t="n"/>
      <c r="H63" s="109" t="n"/>
      <c r="I63" s="109" t="n"/>
      <c r="J63" s="90" t="n"/>
      <c r="K63" s="61" t="n"/>
      <c r="L63" s="220" t="n"/>
      <c r="M63" s="220" t="n"/>
      <c r="N63" s="52" t="n"/>
      <c r="O63" s="392">
        <f>1</f>
        <v/>
      </c>
      <c r="P63" s="186" t="n"/>
      <c r="R63" s="194" t="n"/>
      <c r="S63" s="193" t="n"/>
      <c r="V63" s="552" t="n"/>
      <c r="W63" s="552">
        <f>IF(V63="","",V63*O63)</f>
        <v/>
      </c>
      <c r="X63" s="186">
        <f>IF(R63="yes",W63,"")</f>
        <v/>
      </c>
    </row>
    <row r="64" ht="136" customFormat="1" customHeight="1" s="192">
      <c r="A64" s="14" t="n">
        <v>19</v>
      </c>
      <c r="B64" s="282" t="inlineStr">
        <is>
          <t>income_main_amount</t>
        </is>
      </c>
      <c r="C64" s="17" t="inlineStr">
        <is>
          <t>income_main_amount</t>
        </is>
      </c>
      <c r="D64" s="22" t="inlineStr">
        <is>
          <t>How much was earned [in nan] from your main income source, {income_main}, in the past 3 months ?
[OPERATOR: MAKE SURE THE INFORMATION IS RECORDED IN THE CORRECT CURRENCY. ENTER 8888888 FOR DON'T KNOW AND 9999999 FOR REFUSED.]</t>
        </is>
      </c>
      <c r="E64" s="20">
        <f>LEN(D64)</f>
        <v/>
      </c>
      <c r="F64" s="20" t="inlineStr">
        <is>
          <t>Range</t>
        </is>
      </c>
      <c r="G64" s="20" t="inlineStr">
        <is>
          <t>NA</t>
        </is>
      </c>
      <c r="H64" s="20" t="inlineStr">
        <is>
          <t>NA</t>
        </is>
      </c>
      <c r="I64" s="20" t="inlineStr">
        <is>
          <t>Form Type - TextBox</t>
        </is>
      </c>
      <c r="J64" s="31" t="inlineStr">
        <is>
          <t>500 - 50000 = income_main_comp OR optional question
50000 - 100000 = income_main_amount_conf
8888888-8888888 = income_main_comp OR optional question
9999999-9999999 = income_main_comp OR optional question</t>
        </is>
      </c>
      <c r="K64" s="84" t="inlineStr">
        <is>
          <t>NA</t>
        </is>
      </c>
      <c r="L64" s="420" t="inlineStr">
        <is>
          <t>If the income amount is over the threshold set in "Additional information", the respondent will be asked to confirm with income_main_amount_conf. Otherwise, go to income_main_comp or optional question.</t>
        </is>
      </c>
      <c r="M64" s="32" t="n"/>
      <c r="N64" s="557" t="inlineStr">
        <is>
          <t>We recommend using this pair of questions together.</t>
        </is>
      </c>
      <c r="O64" s="392">
        <f>1</f>
        <v/>
      </c>
      <c r="P64" s="186" t="n"/>
      <c r="R64" s="194" t="inlineStr">
        <is>
          <t>no</t>
        </is>
      </c>
      <c r="S64" s="193" t="n"/>
      <c r="V64" s="552" t="n">
        <v>31.96376609802246</v>
      </c>
      <c r="W64" s="552">
        <f>IF(V64="","",V64*O64)</f>
        <v/>
      </c>
      <c r="X64" s="186">
        <f>IF(R64="yes",W64,"")</f>
        <v/>
      </c>
    </row>
    <row r="65" ht="119" customFormat="1" customHeight="1" s="192">
      <c r="A65" s="14" t="n">
        <v>19</v>
      </c>
      <c r="B65" s="282" t="inlineStr">
        <is>
          <t>income_main_amount_conf</t>
        </is>
      </c>
      <c r="C65" s="291" t="inlineStr">
        <is>
          <t>income_main_amount_conf</t>
        </is>
      </c>
      <c r="D65" s="22" t="inlineStr">
        <is>
          <t>Can you confirm the amount of income you just stated is correct?
[OPERATOR: IF THE AMOUNT EARNED FROM THIS INCOME SOURCE OVER THE PAST 3 MONTH IS INDEED OVER 50000, CLICK ON CONTINUE. OTHERWISE, GO BACK AND CHANGE THE AMOUNT ENTERED.]
1)CONTINUE</t>
        </is>
      </c>
      <c r="E65" s="20">
        <f>LEN(D65)</f>
        <v/>
      </c>
      <c r="F65" s="33" t="inlineStr">
        <is>
          <t>Single Choice</t>
        </is>
      </c>
      <c r="G65" s="16" t="inlineStr">
        <is>
          <t>NA</t>
        </is>
      </c>
      <c r="H65" s="16" t="inlineStr">
        <is>
          <t>NA</t>
        </is>
      </c>
      <c r="I65" s="16" t="inlineStr">
        <is>
          <t>Form Type - Buttons</t>
        </is>
      </c>
      <c r="J65" s="34" t="inlineStr">
        <is>
          <t>1 = income_main_comp OR optional question</t>
        </is>
      </c>
      <c r="K65" s="84" t="inlineStr">
        <is>
          <t>NA</t>
        </is>
      </c>
      <c r="L65" s="410" t="inlineStr">
        <is>
          <t>if income_main_amount_conf = 1, go to income_main_comp or optional question</t>
        </is>
      </c>
      <c r="M65" s="35" t="n"/>
      <c r="N65" s="558" t="n"/>
      <c r="O65" s="392">
        <f>1</f>
        <v/>
      </c>
      <c r="P65" s="186" t="n"/>
      <c r="R65" s="194" t="inlineStr">
        <is>
          <t>no</t>
        </is>
      </c>
      <c r="S65" s="193" t="n"/>
      <c r="V65" s="552" t="n">
        <v>2.227367401123047</v>
      </c>
      <c r="W65" s="552">
        <f>IF(V65="","",V65*O65)</f>
        <v/>
      </c>
      <c r="X65" s="186">
        <f>IF(R65="yes",W65,"")</f>
        <v/>
      </c>
    </row>
    <row r="66" ht="170" customFormat="1" customHeight="1" s="192">
      <c r="A66" s="59" t="n">
        <v>18</v>
      </c>
      <c r="B66" s="422" t="inlineStr">
        <is>
          <t>income_main_gender</t>
        </is>
      </c>
      <c r="C66" s="423" t="inlineStr">
        <is>
          <t>income_main_gender</t>
        </is>
      </c>
      <c r="D66" s="58" t="inlineStr">
        <is>
          <t>What is the gender of the household member[s] generating income from this source? 
[OPERATOR: SINGLE RESPONSE.]
1)Male
2)Female
3)Joint [both male &amp; female]
4)DON'T KNOW
5)REFUSED</t>
        </is>
      </c>
      <c r="E66" s="16">
        <f>LEN(D66)</f>
        <v/>
      </c>
      <c r="F66" s="17" t="inlineStr">
        <is>
          <t>Single Choice</t>
        </is>
      </c>
      <c r="G66" s="16" t="inlineStr">
        <is>
          <t>NA</t>
        </is>
      </c>
      <c r="H66" s="16" t="inlineStr">
        <is>
          <t>NA</t>
        </is>
      </c>
      <c r="I66" s="16" t="inlineStr">
        <is>
          <t>Form Type - Buttons</t>
        </is>
      </c>
      <c r="J66" s="34" t="inlineStr">
        <is>
          <t>1-5 = [income_main_comp OR optional question]</t>
        </is>
      </c>
      <c r="K66" s="84" t="inlineStr">
        <is>
          <t>NA</t>
        </is>
      </c>
      <c r="L66" s="409" t="inlineStr">
        <is>
          <t>if income_main_gender = 1-5, go to income_main_comp or optional question</t>
        </is>
      </c>
      <c r="M66" s="409" t="n"/>
      <c r="N66" s="52" t="n"/>
      <c r="O66" s="392">
        <f>1</f>
        <v/>
      </c>
      <c r="P66" s="186" t="n"/>
      <c r="R66" s="194" t="inlineStr">
        <is>
          <t>no</t>
        </is>
      </c>
      <c r="S66" s="193" t="n"/>
      <c r="V66" s="552" t="n">
        <v>4.787401676177979</v>
      </c>
      <c r="W66" s="552">
        <f>IF(V66="","",V66*O66)</f>
        <v/>
      </c>
      <c r="X66" s="186">
        <f>IF(R66="yes",W66,"")</f>
        <v/>
      </c>
    </row>
    <row r="67" ht="153" customFormat="1" customHeight="1" s="192">
      <c r="A67" s="408" t="n"/>
      <c r="B67" s="287" t="inlineStr">
        <is>
          <t>income_main_control</t>
        </is>
      </c>
      <c r="C67" s="291" t="inlineStr">
        <is>
          <t>income_main_control</t>
        </is>
      </c>
      <c r="D67" s="37" t="inlineStr">
        <is>
          <t>Who controls the revenue that is earned from this source? 
[OPERATOR: SINGLE RESPONSE.]
1)Male household member[s]
2)Female household member[s]
3)Joint household members [both female &amp; male]
4)DON'T KNOW
5)REFUSED</t>
        </is>
      </c>
      <c r="E67" s="24">
        <f>LEN(D67)</f>
        <v/>
      </c>
      <c r="F67" s="36" t="inlineStr">
        <is>
          <t>Single Choice</t>
        </is>
      </c>
      <c r="G67" s="20" t="inlineStr">
        <is>
          <t>NA</t>
        </is>
      </c>
      <c r="H67" s="20" t="inlineStr">
        <is>
          <t>NA</t>
        </is>
      </c>
      <c r="I67" s="20" t="inlineStr">
        <is>
          <t>Form Type - Buttons</t>
        </is>
      </c>
      <c r="J67" s="34" t="inlineStr">
        <is>
          <t>1-5 = income_main_comp</t>
        </is>
      </c>
      <c r="K67" s="84" t="inlineStr">
        <is>
          <t>NA</t>
        </is>
      </c>
      <c r="L67" s="31" t="inlineStr">
        <is>
          <t>if income_main_control = 1-5, go to income_main_comp or optional question</t>
        </is>
      </c>
      <c r="M67" s="407" t="n"/>
      <c r="N67" s="10" t="n"/>
      <c r="O67" s="392">
        <f>1</f>
        <v/>
      </c>
      <c r="P67" s="186" t="n"/>
      <c r="Q67" s="498" t="n"/>
      <c r="R67" s="194" t="inlineStr">
        <is>
          <t>no</t>
        </is>
      </c>
      <c r="S67" s="193" t="n"/>
      <c r="T67" s="498" t="n"/>
      <c r="U67" s="498" t="n"/>
      <c r="V67" s="552" t="n">
        <v>20.91836738586426</v>
      </c>
      <c r="W67" s="552">
        <f>IF(V67="","",V67*O67)</f>
        <v/>
      </c>
      <c r="X67" s="186">
        <f>IF(R67="yes",W67,"")</f>
        <v/>
      </c>
      <c r="Y67" s="498" t="n"/>
      <c r="Z67" s="498" t="n"/>
      <c r="AA67" s="498" t="n"/>
      <c r="AB67" s="498" t="n"/>
      <c r="AC67" s="498" t="n"/>
      <c r="AD67" s="498" t="n"/>
      <c r="AE67" s="498" t="n"/>
      <c r="AF67" s="498" t="n"/>
      <c r="AG67" s="498" t="n"/>
      <c r="AH67" s="498" t="n"/>
      <c r="AI67" s="498" t="n"/>
      <c r="AJ67" s="498" t="n"/>
      <c r="AK67" s="498" t="n"/>
      <c r="AL67" s="498" t="n"/>
      <c r="AM67" s="498" t="n"/>
      <c r="AN67" s="498" t="n"/>
      <c r="AO67" s="498" t="n"/>
      <c r="AP67" s="498" t="n"/>
      <c r="AQ67" s="498" t="n"/>
      <c r="AR67" s="498" t="n"/>
      <c r="AS67" s="498" t="n"/>
      <c r="AT67" s="498" t="n"/>
      <c r="AU67" s="498" t="n"/>
      <c r="AV67" s="498" t="n"/>
      <c r="AW67" s="498" t="n"/>
      <c r="AX67" s="498" t="n"/>
      <c r="AY67" s="498" t="n"/>
      <c r="AZ67" s="498" t="n"/>
      <c r="BA67" s="498" t="n"/>
      <c r="BB67" s="498" t="n"/>
      <c r="BC67" s="498" t="n"/>
      <c r="BD67" s="498" t="n"/>
      <c r="BE67" s="498" t="n"/>
      <c r="BF67" s="498" t="n"/>
      <c r="BG67" s="498" t="n"/>
      <c r="BH67" s="498" t="n"/>
      <c r="BI67" s="498" t="n"/>
      <c r="BJ67" s="498" t="n"/>
      <c r="BK67" s="498" t="n"/>
      <c r="BL67" s="498" t="n"/>
      <c r="BM67" s="498" t="n"/>
      <c r="BN67" s="498" t="n"/>
      <c r="BO67" s="498" t="n"/>
      <c r="BP67" s="498" t="n"/>
      <c r="BQ67" s="498" t="n"/>
      <c r="BR67" s="498" t="n"/>
      <c r="BS67" s="498" t="n"/>
      <c r="BT67" s="498" t="n"/>
      <c r="BU67" s="498" t="n"/>
      <c r="BV67" s="498" t="n"/>
      <c r="BW67" s="498" t="n"/>
      <c r="BX67" s="498" t="n"/>
      <c r="BY67" s="498" t="n"/>
      <c r="BZ67" s="498" t="n"/>
      <c r="CA67" s="498" t="n"/>
      <c r="CB67" s="498" t="n"/>
      <c r="CC67" s="498" t="n"/>
      <c r="CD67" s="498" t="n"/>
      <c r="CE67" s="498" t="n"/>
      <c r="CF67" s="498" t="n"/>
      <c r="CG67" s="498" t="n"/>
      <c r="CH67" s="498" t="n"/>
      <c r="CI67" s="498" t="n"/>
      <c r="CJ67" s="498" t="n"/>
      <c r="CK67" s="498" t="n"/>
      <c r="CL67" s="498" t="n"/>
      <c r="CM67" s="498" t="n"/>
      <c r="CN67" s="498" t="n"/>
      <c r="CO67" s="498" t="n"/>
      <c r="CP67" s="498" t="n"/>
      <c r="CQ67" s="498" t="n"/>
      <c r="CR67" s="498" t="n"/>
      <c r="CS67" s="498" t="n"/>
      <c r="CT67" s="498" t="n"/>
      <c r="CU67" s="498" t="n"/>
      <c r="CV67" s="498" t="n"/>
      <c r="CW67" s="498" t="n"/>
      <c r="CX67" s="498" t="n"/>
      <c r="CY67" s="498" t="n"/>
      <c r="CZ67" s="498" t="n"/>
      <c r="DA67" s="498" t="n"/>
      <c r="DB67" s="498" t="n"/>
      <c r="DC67" s="498" t="n"/>
      <c r="DD67" s="498" t="n"/>
      <c r="DE67" s="498" t="n"/>
      <c r="DF67" s="498" t="n"/>
      <c r="DG67" s="498" t="n"/>
      <c r="DH67" s="498" t="n"/>
      <c r="DI67" s="498" t="n"/>
      <c r="DJ67" s="498" t="n"/>
      <c r="DK67" s="498" t="n"/>
      <c r="DL67" s="498" t="n"/>
      <c r="DM67" s="498" t="n"/>
      <c r="DN67" s="498" t="n"/>
      <c r="DO67" s="498" t="n"/>
      <c r="DP67" s="498" t="n"/>
      <c r="DQ67" s="498" t="n"/>
      <c r="DR67" s="498" t="n"/>
      <c r="DS67" s="498" t="n"/>
      <c r="DT67" s="498" t="n"/>
      <c r="DU67" s="498" t="n"/>
      <c r="DV67" s="498" t="n"/>
      <c r="DW67" s="498" t="n"/>
      <c r="DX67" s="498" t="n"/>
      <c r="DY67" s="498" t="n"/>
      <c r="DZ67" s="498" t="n"/>
      <c r="EA67" s="498" t="n"/>
      <c r="EB67" s="498" t="n"/>
      <c r="EC67" s="498" t="n"/>
      <c r="ED67" s="498" t="n"/>
      <c r="EE67" s="498" t="n"/>
      <c r="EF67" s="498" t="n"/>
      <c r="EG67" s="498" t="n"/>
      <c r="EH67" s="498" t="n"/>
      <c r="EI67" s="498" t="n"/>
      <c r="EJ67" s="498" t="n"/>
      <c r="EK67" s="498" t="n"/>
      <c r="EL67" s="498" t="n"/>
      <c r="EM67" s="498" t="n"/>
      <c r="EN67" s="498" t="n"/>
      <c r="EO67" s="498" t="n"/>
      <c r="EP67" s="498" t="n"/>
      <c r="EQ67" s="498" t="n"/>
      <c r="ER67" s="498" t="n"/>
      <c r="ES67" s="498" t="n"/>
      <c r="ET67" s="498" t="n"/>
      <c r="EU67" s="498" t="n"/>
      <c r="EV67" s="498" t="n"/>
      <c r="EW67" s="498" t="n"/>
      <c r="EX67" s="498" t="n"/>
      <c r="EY67" s="498" t="n"/>
      <c r="EZ67" s="498" t="n"/>
      <c r="FA67" s="498" t="n"/>
      <c r="FB67" s="498" t="n"/>
      <c r="FC67" s="498" t="n"/>
      <c r="FD67" s="498" t="n"/>
      <c r="FE67" s="498" t="n"/>
      <c r="FF67" s="498" t="n"/>
      <c r="FG67" s="498" t="n"/>
      <c r="FH67" s="498" t="n"/>
      <c r="FI67" s="498" t="n"/>
      <c r="FJ67" s="498" t="n"/>
      <c r="FK67" s="498" t="n"/>
      <c r="FL67" s="498" t="n"/>
      <c r="FM67" s="498" t="n"/>
      <c r="FN67" s="498" t="n"/>
      <c r="FO67" s="498" t="n"/>
      <c r="FP67" s="498" t="n"/>
      <c r="FQ67" s="498" t="n"/>
      <c r="FR67" s="498" t="n"/>
      <c r="FS67" s="498" t="n"/>
      <c r="FT67" s="498" t="n"/>
      <c r="FU67" s="498" t="n"/>
      <c r="FV67" s="498" t="n"/>
      <c r="FW67" s="498" t="n"/>
      <c r="FX67" s="498" t="n"/>
      <c r="FY67" s="498" t="n"/>
      <c r="FZ67" s="498" t="n"/>
      <c r="GA67" s="498" t="n"/>
      <c r="GB67" s="498" t="n"/>
      <c r="GC67" s="498" t="n"/>
      <c r="GD67" s="498" t="n"/>
      <c r="GE67" s="498" t="n"/>
      <c r="GF67" s="498" t="n"/>
      <c r="GG67" s="498" t="n"/>
      <c r="GH67" s="498" t="n"/>
      <c r="GI67" s="498" t="n"/>
      <c r="GJ67" s="498" t="n"/>
      <c r="GK67" s="498" t="n"/>
      <c r="GL67" s="498" t="n"/>
      <c r="GM67" s="498" t="n"/>
      <c r="GN67" s="498" t="n"/>
      <c r="GO67" s="498" t="n"/>
      <c r="GP67" s="498" t="n"/>
      <c r="GQ67" s="498" t="n"/>
      <c r="GR67" s="498" t="n"/>
      <c r="GS67" s="498" t="n"/>
      <c r="GT67" s="498" t="n"/>
      <c r="GU67" s="498" t="n"/>
      <c r="GV67" s="498" t="n"/>
      <c r="GW67" s="498" t="n"/>
      <c r="GX67" s="498" t="n"/>
      <c r="GY67" s="498" t="n"/>
      <c r="GZ67" s="498" t="n"/>
      <c r="HA67" s="498" t="n"/>
      <c r="HB67" s="498" t="n"/>
      <c r="HC67" s="498" t="n"/>
      <c r="HD67" s="498" t="n"/>
      <c r="HE67" s="498" t="n"/>
      <c r="HF67" s="498" t="n"/>
      <c r="HG67" s="498" t="n"/>
      <c r="HH67" s="498" t="n"/>
      <c r="HI67" s="498" t="n"/>
      <c r="HJ67" s="498" t="n"/>
      <c r="HK67" s="498" t="n"/>
      <c r="HL67" s="498" t="n"/>
      <c r="HM67" s="498" t="n"/>
      <c r="HN67" s="498" t="n"/>
      <c r="HO67" s="498" t="n"/>
      <c r="HP67" s="498" t="n"/>
      <c r="HQ67" s="498" t="n"/>
      <c r="HR67" s="498" t="n"/>
      <c r="HS67" s="498" t="n"/>
      <c r="HT67" s="498" t="n"/>
      <c r="HU67" s="498" t="n"/>
      <c r="HV67" s="498" t="n"/>
      <c r="HW67" s="498" t="n"/>
      <c r="HX67" s="498" t="n"/>
      <c r="HY67" s="498" t="n"/>
      <c r="HZ67" s="498" t="n"/>
      <c r="IA67" s="498" t="n"/>
      <c r="IB67" s="498" t="n"/>
      <c r="IC67" s="498" t="n"/>
      <c r="ID67" s="498" t="n"/>
      <c r="IE67" s="498" t="n"/>
      <c r="IF67" s="498" t="n"/>
      <c r="IG67" s="498" t="n"/>
      <c r="IH67" s="498" t="n"/>
      <c r="II67" s="498" t="n"/>
      <c r="IJ67" s="498" t="n"/>
      <c r="IK67" s="498" t="n"/>
      <c r="IL67" s="498" t="n"/>
      <c r="IM67" s="498" t="n"/>
      <c r="IN67" s="498" t="n"/>
      <c r="IO67" s="498" t="n"/>
      <c r="IP67" s="498" t="n"/>
      <c r="IQ67" s="498" t="n"/>
      <c r="IR67" s="498" t="n"/>
      <c r="IS67" s="498" t="n"/>
      <c r="IT67" s="498" t="n"/>
      <c r="IU67" s="498" t="n"/>
      <c r="IV67" s="498" t="n"/>
      <c r="IW67" s="498" t="n"/>
      <c r="IX67" s="498" t="n"/>
      <c r="IY67" s="498" t="n"/>
      <c r="IZ67" s="498" t="n"/>
      <c r="JA67" s="498" t="n"/>
      <c r="JB67" s="498" t="n"/>
      <c r="JC67" s="498" t="n"/>
      <c r="JD67" s="498" t="n"/>
      <c r="JE67" s="498" t="n"/>
      <c r="JF67" s="498" t="n"/>
      <c r="JG67" s="498" t="n"/>
      <c r="JH67" s="498" t="n"/>
      <c r="JI67" s="498" t="n"/>
      <c r="JJ67" s="498" t="n"/>
      <c r="JK67" s="498" t="n"/>
      <c r="JL67" s="498" t="n"/>
      <c r="JM67" s="498" t="n"/>
      <c r="JN67" s="498" t="n"/>
      <c r="JO67" s="498" t="n"/>
      <c r="JP67" s="498" t="n"/>
      <c r="JQ67" s="498" t="n"/>
      <c r="JR67" s="498" t="n"/>
      <c r="JS67" s="498" t="n"/>
      <c r="JT67" s="498" t="n"/>
      <c r="JU67" s="498" t="n"/>
      <c r="JV67" s="498" t="n"/>
      <c r="JW67" s="498" t="n"/>
      <c r="JX67" s="498" t="n"/>
      <c r="JY67" s="498" t="n"/>
      <c r="JZ67" s="498" t="n"/>
      <c r="KA67" s="498" t="n"/>
      <c r="KB67" s="498" t="n"/>
      <c r="KC67" s="498" t="n"/>
      <c r="KD67" s="498" t="n"/>
      <c r="KE67" s="498" t="n"/>
      <c r="KF67" s="498" t="n"/>
      <c r="KG67" s="498" t="n"/>
      <c r="KH67" s="498" t="n"/>
      <c r="KI67" s="498" t="n"/>
      <c r="KJ67" s="498" t="n"/>
      <c r="KK67" s="498" t="n"/>
      <c r="KL67" s="498" t="n"/>
      <c r="KM67" s="498" t="n"/>
      <c r="KN67" s="498" t="n"/>
      <c r="KO67" s="498" t="n"/>
      <c r="KP67" s="498" t="n"/>
      <c r="KQ67" s="498" t="n"/>
      <c r="KR67" s="498" t="n"/>
      <c r="KS67" s="498" t="n"/>
      <c r="KT67" s="498" t="n"/>
      <c r="KU67" s="498" t="n"/>
      <c r="KV67" s="498" t="n"/>
      <c r="KW67" s="498" t="n"/>
      <c r="KX67" s="498" t="n"/>
      <c r="KY67" s="498" t="n"/>
      <c r="KZ67" s="498" t="n"/>
      <c r="LA67" s="498" t="n"/>
      <c r="LB67" s="498" t="n"/>
      <c r="LC67" s="498" t="n"/>
      <c r="LD67" s="498" t="n"/>
      <c r="LE67" s="498" t="n"/>
      <c r="LF67" s="498" t="n"/>
      <c r="LG67" s="498" t="n"/>
      <c r="LH67" s="498" t="n"/>
      <c r="LI67" s="498" t="n"/>
      <c r="LJ67" s="498" t="n"/>
      <c r="LK67" s="498" t="n"/>
      <c r="LL67" s="498" t="n"/>
      <c r="LM67" s="498" t="n"/>
      <c r="LN67" s="498" t="n"/>
      <c r="LO67" s="498" t="n"/>
      <c r="LP67" s="498" t="n"/>
      <c r="LQ67" s="498" t="n"/>
      <c r="LR67" s="498" t="n"/>
      <c r="LS67" s="498" t="n"/>
      <c r="LT67" s="498" t="n"/>
      <c r="LU67" s="498" t="n"/>
      <c r="LV67" s="498" t="n"/>
      <c r="LW67" s="498" t="n"/>
      <c r="LX67" s="498" t="n"/>
      <c r="LY67" s="498" t="n"/>
      <c r="LZ67" s="498" t="n"/>
      <c r="MA67" s="498" t="n"/>
      <c r="MB67" s="498" t="n"/>
      <c r="MC67" s="498" t="n"/>
      <c r="MD67" s="498" t="n"/>
      <c r="ME67" s="498" t="n"/>
      <c r="MF67" s="498" t="n"/>
      <c r="MG67" s="498" t="n"/>
      <c r="MH67" s="498" t="n"/>
      <c r="MI67" s="498" t="n"/>
      <c r="MJ67" s="498" t="n"/>
      <c r="MK67" s="498" t="n"/>
      <c r="ML67" s="498" t="n"/>
      <c r="MM67" s="498" t="n"/>
      <c r="MN67" s="498" t="n"/>
      <c r="MO67" s="498" t="n"/>
      <c r="MP67" s="498" t="n"/>
      <c r="MQ67" s="498" t="n"/>
      <c r="MR67" s="498" t="n"/>
      <c r="MS67" s="498" t="n"/>
      <c r="MT67" s="498" t="n"/>
      <c r="MU67" s="498" t="n"/>
      <c r="MV67" s="498" t="n"/>
      <c r="MW67" s="498" t="n"/>
      <c r="MX67" s="498" t="n"/>
      <c r="MY67" s="498" t="n"/>
      <c r="MZ67" s="498" t="n"/>
      <c r="NA67" s="498" t="n"/>
      <c r="NB67" s="498" t="n"/>
      <c r="NC67" s="498" t="n"/>
      <c r="ND67" s="498" t="n"/>
      <c r="NE67" s="498" t="n"/>
      <c r="NF67" s="498" t="n"/>
      <c r="NG67" s="498" t="n"/>
      <c r="NH67" s="498" t="n"/>
      <c r="NI67" s="498" t="n"/>
      <c r="NJ67" s="498" t="n"/>
      <c r="NK67" s="498" t="n"/>
      <c r="NL67" s="498" t="n"/>
      <c r="NM67" s="498" t="n"/>
      <c r="NN67" s="498" t="n"/>
      <c r="NO67" s="498" t="n"/>
      <c r="NP67" s="498" t="n"/>
      <c r="NQ67" s="498" t="n"/>
      <c r="NR67" s="498" t="n"/>
      <c r="NS67" s="498" t="n"/>
      <c r="NT67" s="498" t="n"/>
      <c r="NU67" s="498" t="n"/>
      <c r="NV67" s="498" t="n"/>
      <c r="NW67" s="498" t="n"/>
      <c r="NX67" s="498" t="n"/>
      <c r="NY67" s="498" t="n"/>
      <c r="NZ67" s="498" t="n"/>
      <c r="OA67" s="498" t="n"/>
      <c r="OB67" s="498" t="n"/>
      <c r="OC67" s="498" t="n"/>
      <c r="OD67" s="498" t="n"/>
      <c r="OE67" s="498" t="n"/>
      <c r="OF67" s="498" t="n"/>
      <c r="OG67" s="498" t="n"/>
      <c r="OH67" s="498" t="n"/>
      <c r="OI67" s="498" t="n"/>
      <c r="OJ67" s="498" t="n"/>
      <c r="OK67" s="498" t="n"/>
      <c r="OL67" s="498" t="n"/>
      <c r="OM67" s="498" t="n"/>
      <c r="ON67" s="498" t="n"/>
      <c r="OO67" s="498" t="n"/>
      <c r="OP67" s="498" t="n"/>
      <c r="OQ67" s="498" t="n"/>
      <c r="OR67" s="498" t="n"/>
      <c r="OS67" s="498" t="n"/>
      <c r="OT67" s="498" t="n"/>
      <c r="OU67" s="498" t="n"/>
      <c r="OV67" s="498" t="n"/>
      <c r="OW67" s="498" t="n"/>
      <c r="OX67" s="498" t="n"/>
      <c r="OY67" s="498" t="n"/>
      <c r="OZ67" s="498" t="n"/>
      <c r="PA67" s="498" t="n"/>
      <c r="PB67" s="498" t="n"/>
      <c r="PC67" s="498" t="n"/>
      <c r="PD67" s="498" t="n"/>
      <c r="PE67" s="498" t="n"/>
      <c r="PF67" s="498" t="n"/>
      <c r="PG67" s="498" t="n"/>
      <c r="PH67" s="498" t="n"/>
      <c r="PI67" s="498" t="n"/>
      <c r="PJ67" s="498" t="n"/>
      <c r="PK67" s="498" t="n"/>
      <c r="PL67" s="498" t="n"/>
      <c r="PM67" s="498" t="n"/>
      <c r="PN67" s="498" t="n"/>
      <c r="PO67" s="498" t="n"/>
      <c r="PP67" s="498" t="n"/>
      <c r="PQ67" s="498" t="n"/>
      <c r="PR67" s="498" t="n"/>
      <c r="PS67" s="498" t="n"/>
      <c r="PT67" s="498" t="n"/>
      <c r="PU67" s="498" t="n"/>
      <c r="PV67" s="498" t="n"/>
      <c r="PW67" s="498" t="n"/>
      <c r="PX67" s="498" t="n"/>
      <c r="PY67" s="498" t="n"/>
      <c r="PZ67" s="498" t="n"/>
      <c r="QA67" s="498" t="n"/>
      <c r="QB67" s="498" t="n"/>
      <c r="QC67" s="498" t="n"/>
      <c r="QD67" s="498" t="n"/>
      <c r="QE67" s="498" t="n"/>
      <c r="QF67" s="498" t="n"/>
      <c r="QG67" s="498" t="n"/>
      <c r="QH67" s="498" t="n"/>
      <c r="QI67" s="498" t="n"/>
      <c r="QJ67" s="498" t="n"/>
      <c r="QK67" s="498" t="n"/>
      <c r="QL67" s="498" t="n"/>
      <c r="QM67" s="498" t="n"/>
      <c r="QN67" s="498" t="n"/>
      <c r="QO67" s="498" t="n"/>
      <c r="QP67" s="498" t="n"/>
      <c r="QQ67" s="498" t="n"/>
      <c r="QR67" s="498" t="n"/>
      <c r="QS67" s="498" t="n"/>
      <c r="QT67" s="498" t="n"/>
      <c r="QU67" s="498" t="n"/>
      <c r="QV67" s="498" t="n"/>
      <c r="QW67" s="498" t="n"/>
      <c r="QX67" s="498" t="n"/>
      <c r="QY67" s="498" t="n"/>
      <c r="QZ67" s="498" t="n"/>
      <c r="RA67" s="498" t="n"/>
      <c r="RB67" s="498" t="n"/>
      <c r="RC67" s="498" t="n"/>
      <c r="RD67" s="498" t="n"/>
      <c r="RE67" s="498" t="n"/>
      <c r="RF67" s="498" t="n"/>
      <c r="RG67" s="498" t="n"/>
      <c r="RH67" s="498" t="n"/>
      <c r="RI67" s="498" t="n"/>
      <c r="RJ67" s="498" t="n"/>
      <c r="RK67" s="498" t="n"/>
      <c r="RL67" s="498" t="n"/>
      <c r="RM67" s="498" t="n"/>
      <c r="RN67" s="498" t="n"/>
      <c r="RO67" s="498" t="n"/>
      <c r="RP67" s="498" t="n"/>
      <c r="RQ67" s="498" t="n"/>
      <c r="RR67" s="498" t="n"/>
      <c r="RS67" s="498" t="n"/>
      <c r="RT67" s="498" t="n"/>
      <c r="RU67" s="498" t="n"/>
      <c r="RV67" s="498" t="n"/>
      <c r="RW67" s="498" t="n"/>
      <c r="RX67" s="498" t="n"/>
      <c r="RY67" s="498" t="n"/>
      <c r="RZ67" s="498" t="n"/>
      <c r="SA67" s="498" t="n"/>
      <c r="SB67" s="498" t="n"/>
      <c r="SC67" s="498" t="n"/>
      <c r="SD67" s="498" t="n"/>
      <c r="SE67" s="498" t="n"/>
      <c r="SF67" s="498" t="n"/>
      <c r="SG67" s="498" t="n"/>
      <c r="SH67" s="498" t="n"/>
      <c r="SI67" s="498" t="n"/>
      <c r="SJ67" s="498" t="n"/>
      <c r="SK67" s="498" t="n"/>
      <c r="SL67" s="498" t="n"/>
      <c r="SM67" s="498" t="n"/>
      <c r="SN67" s="498" t="n"/>
      <c r="SO67" s="498" t="n"/>
      <c r="SP67" s="498" t="n"/>
      <c r="SQ67" s="498" t="n"/>
      <c r="SR67" s="498" t="n"/>
      <c r="SS67" s="498" t="n"/>
      <c r="ST67" s="498" t="n"/>
      <c r="SU67" s="498" t="n"/>
      <c r="SV67" s="498" t="n"/>
      <c r="SW67" s="498" t="n"/>
      <c r="SX67" s="498" t="n"/>
      <c r="SY67" s="498" t="n"/>
      <c r="SZ67" s="498" t="n"/>
      <c r="TA67" s="498" t="n"/>
      <c r="TB67" s="498" t="n"/>
      <c r="TC67" s="498" t="n"/>
      <c r="TD67" s="498" t="n"/>
      <c r="TE67" s="498" t="n"/>
      <c r="TF67" s="498" t="n"/>
      <c r="TG67" s="498" t="n"/>
      <c r="TH67" s="498" t="n"/>
      <c r="TI67" s="498" t="n"/>
      <c r="TJ67" s="498" t="n"/>
      <c r="TK67" s="498" t="n"/>
      <c r="TL67" s="498" t="n"/>
      <c r="TM67" s="498" t="n"/>
      <c r="TN67" s="498" t="n"/>
      <c r="TO67" s="498" t="n"/>
      <c r="TP67" s="498" t="n"/>
      <c r="TQ67" s="498" t="n"/>
      <c r="TR67" s="498" t="n"/>
      <c r="TS67" s="498" t="n"/>
      <c r="TT67" s="498" t="n"/>
      <c r="TU67" s="498" t="n"/>
      <c r="TV67" s="498" t="n"/>
      <c r="TW67" s="498" t="n"/>
      <c r="TX67" s="498" t="n"/>
      <c r="TY67" s="498" t="n"/>
      <c r="TZ67" s="498" t="n"/>
      <c r="UA67" s="498" t="n"/>
      <c r="UB67" s="498" t="n"/>
      <c r="UC67" s="498" t="n"/>
      <c r="UD67" s="498" t="n"/>
      <c r="UE67" s="498" t="n"/>
      <c r="UF67" s="498" t="n"/>
      <c r="UG67" s="498" t="n"/>
      <c r="UH67" s="498" t="n"/>
      <c r="UI67" s="498" t="n"/>
      <c r="UJ67" s="498" t="n"/>
      <c r="UK67" s="498" t="n"/>
      <c r="UL67" s="498" t="n"/>
      <c r="UM67" s="498" t="n"/>
      <c r="UN67" s="498" t="n"/>
      <c r="UO67" s="498" t="n"/>
      <c r="UP67" s="498" t="n"/>
      <c r="UQ67" s="498" t="n"/>
      <c r="UR67" s="498" t="n"/>
      <c r="US67" s="498" t="n"/>
      <c r="UT67" s="498" t="n"/>
      <c r="UU67" s="498" t="n"/>
      <c r="UV67" s="498" t="n"/>
      <c r="UW67" s="498" t="n"/>
      <c r="UX67" s="498" t="n"/>
      <c r="UY67" s="498" t="n"/>
      <c r="UZ67" s="498" t="n"/>
      <c r="VA67" s="498" t="n"/>
      <c r="VB67" s="498" t="n"/>
      <c r="VC67" s="498" t="n"/>
      <c r="VD67" s="498" t="n"/>
      <c r="VE67" s="498" t="n"/>
      <c r="VF67" s="498" t="n"/>
      <c r="VG67" s="498" t="n"/>
      <c r="VH67" s="498" t="n"/>
      <c r="VI67" s="498" t="n"/>
      <c r="VJ67" s="498" t="n"/>
      <c r="VK67" s="498" t="n"/>
      <c r="VL67" s="498" t="n"/>
      <c r="VM67" s="498" t="n"/>
      <c r="VN67" s="498" t="n"/>
      <c r="VO67" s="498" t="n"/>
      <c r="VP67" s="498" t="n"/>
      <c r="VQ67" s="498" t="n"/>
      <c r="VR67" s="498" t="n"/>
      <c r="VS67" s="498" t="n"/>
      <c r="VT67" s="498" t="n"/>
      <c r="VU67" s="498" t="n"/>
      <c r="VV67" s="498" t="n"/>
      <c r="VW67" s="498" t="n"/>
      <c r="VX67" s="498" t="n"/>
      <c r="VY67" s="498" t="n"/>
      <c r="VZ67" s="498" t="n"/>
      <c r="WA67" s="498" t="n"/>
      <c r="WB67" s="498" t="n"/>
      <c r="WC67" s="498" t="n"/>
      <c r="WD67" s="498" t="n"/>
      <c r="WE67" s="498" t="n"/>
      <c r="WF67" s="498" t="n"/>
      <c r="WG67" s="498" t="n"/>
      <c r="WH67" s="498" t="n"/>
      <c r="WI67" s="498" t="n"/>
      <c r="WJ67" s="498" t="n"/>
      <c r="WK67" s="498" t="n"/>
      <c r="WL67" s="498" t="n"/>
      <c r="WM67" s="498" t="n"/>
      <c r="WN67" s="498" t="n"/>
      <c r="WO67" s="498" t="n"/>
      <c r="WP67" s="498" t="n"/>
      <c r="WQ67" s="498" t="n"/>
      <c r="WR67" s="498" t="n"/>
      <c r="WS67" s="498" t="n"/>
      <c r="WT67" s="498" t="n"/>
      <c r="WU67" s="498" t="n"/>
      <c r="WV67" s="498" t="n"/>
      <c r="WW67" s="498" t="n"/>
      <c r="WX67" s="498" t="n"/>
      <c r="WY67" s="498" t="n"/>
      <c r="WZ67" s="498" t="n"/>
      <c r="XA67" s="498" t="n"/>
      <c r="XB67" s="498" t="n"/>
      <c r="XC67" s="498" t="n"/>
      <c r="XD67" s="498" t="n"/>
      <c r="XE67" s="498" t="n"/>
      <c r="XF67" s="498" t="n"/>
      <c r="XG67" s="498" t="n"/>
      <c r="XH67" s="498" t="n"/>
      <c r="XI67" s="498" t="n"/>
      <c r="XJ67" s="498" t="n"/>
      <c r="XK67" s="498" t="n"/>
      <c r="XL67" s="498" t="n"/>
      <c r="XM67" s="498" t="n"/>
      <c r="XN67" s="498" t="n"/>
      <c r="XO67" s="498" t="n"/>
      <c r="XP67" s="498" t="n"/>
      <c r="XQ67" s="498" t="n"/>
      <c r="XR67" s="498" t="n"/>
      <c r="XS67" s="498" t="n"/>
      <c r="XT67" s="498" t="n"/>
      <c r="XU67" s="498" t="n"/>
      <c r="XV67" s="498" t="n"/>
      <c r="XW67" s="498" t="n"/>
      <c r="XX67" s="498" t="n"/>
      <c r="XY67" s="498" t="n"/>
      <c r="XZ67" s="498" t="n"/>
      <c r="YA67" s="498" t="n"/>
      <c r="YB67" s="498" t="n"/>
      <c r="YC67" s="498" t="n"/>
      <c r="YD67" s="498" t="n"/>
      <c r="YE67" s="498" t="n"/>
      <c r="YF67" s="498" t="n"/>
      <c r="YG67" s="498" t="n"/>
      <c r="YH67" s="498" t="n"/>
      <c r="YI67" s="498" t="n"/>
      <c r="YJ67" s="498" t="n"/>
      <c r="YK67" s="498" t="n"/>
      <c r="YL67" s="498" t="n"/>
      <c r="YM67" s="498" t="n"/>
      <c r="YN67" s="498" t="n"/>
      <c r="YO67" s="498" t="n"/>
      <c r="YP67" s="498" t="n"/>
      <c r="YQ67" s="498" t="n"/>
      <c r="YR67" s="498" t="n"/>
      <c r="YS67" s="498" t="n"/>
      <c r="YT67" s="498" t="n"/>
      <c r="YU67" s="498" t="n"/>
      <c r="YV67" s="498" t="n"/>
      <c r="YW67" s="498" t="n"/>
      <c r="YX67" s="498" t="n"/>
      <c r="YY67" s="498" t="n"/>
      <c r="YZ67" s="498" t="n"/>
      <c r="ZA67" s="498" t="n"/>
      <c r="ZB67" s="498" t="n"/>
      <c r="ZC67" s="498" t="n"/>
      <c r="ZD67" s="498" t="n"/>
      <c r="ZE67" s="498" t="n"/>
      <c r="ZF67" s="498" t="n"/>
      <c r="ZG67" s="498" t="n"/>
      <c r="ZH67" s="498" t="n"/>
      <c r="ZI67" s="498" t="n"/>
      <c r="ZJ67" s="498" t="n"/>
      <c r="ZK67" s="498" t="n"/>
      <c r="ZL67" s="498" t="n"/>
      <c r="ZM67" s="498" t="n"/>
      <c r="ZN67" s="498" t="n"/>
      <c r="ZO67" s="498" t="n"/>
      <c r="ZP67" s="498" t="n"/>
      <c r="ZQ67" s="498" t="n"/>
      <c r="ZR67" s="498" t="n"/>
      <c r="ZS67" s="498" t="n"/>
      <c r="ZT67" s="498" t="n"/>
      <c r="ZU67" s="498" t="n"/>
      <c r="ZV67" s="498" t="n"/>
      <c r="ZW67" s="498" t="n"/>
      <c r="ZX67" s="498" t="n"/>
      <c r="ZY67" s="498" t="n"/>
      <c r="ZZ67" s="498" t="n"/>
      <c r="AAA67" s="498" t="n"/>
      <c r="AAB67" s="498" t="n"/>
      <c r="AAC67" s="498" t="n"/>
      <c r="AAD67" s="498" t="n"/>
      <c r="AAE67" s="498" t="n"/>
      <c r="AAF67" s="498" t="n"/>
      <c r="AAG67" s="498" t="n"/>
      <c r="AAH67" s="498" t="n"/>
      <c r="AAI67" s="498" t="n"/>
      <c r="AAJ67" s="498" t="n"/>
      <c r="AAK67" s="498" t="n"/>
      <c r="AAL67" s="498" t="n"/>
      <c r="AAM67" s="498" t="n"/>
      <c r="AAN67" s="498" t="n"/>
      <c r="AAO67" s="498" t="n"/>
      <c r="AAP67" s="498" t="n"/>
      <c r="AAQ67" s="498" t="n"/>
      <c r="AAR67" s="498" t="n"/>
      <c r="AAS67" s="498" t="n"/>
      <c r="AAT67" s="498" t="n"/>
      <c r="AAU67" s="498" t="n"/>
      <c r="AAV67" s="498" t="n"/>
      <c r="AAW67" s="498" t="n"/>
      <c r="AAX67" s="498" t="n"/>
      <c r="AAY67" s="498" t="n"/>
      <c r="AAZ67" s="498" t="n"/>
      <c r="ABA67" s="498" t="n"/>
      <c r="ABB67" s="498" t="n"/>
      <c r="ABC67" s="498" t="n"/>
      <c r="ABD67" s="498" t="n"/>
      <c r="ABE67" s="498" t="n"/>
      <c r="ABF67" s="498" t="n"/>
      <c r="ABG67" s="498" t="n"/>
      <c r="ABH67" s="498" t="n"/>
      <c r="ABI67" s="498" t="n"/>
      <c r="ABJ67" s="498" t="n"/>
      <c r="ABK67" s="498" t="n"/>
      <c r="ABL67" s="498" t="n"/>
      <c r="ABM67" s="498" t="n"/>
      <c r="ABN67" s="498" t="n"/>
      <c r="ABO67" s="498" t="n"/>
      <c r="ABP67" s="498" t="n"/>
      <c r="ABQ67" s="498" t="n"/>
      <c r="ABR67" s="498" t="n"/>
      <c r="ABS67" s="498" t="n"/>
      <c r="ABT67" s="498" t="n"/>
      <c r="ABU67" s="498" t="n"/>
      <c r="ABV67" s="498" t="n"/>
      <c r="ABW67" s="498" t="n"/>
      <c r="ABX67" s="498" t="n"/>
      <c r="ABY67" s="498" t="n"/>
      <c r="ABZ67" s="498" t="n"/>
      <c r="ACA67" s="498" t="n"/>
      <c r="ACB67" s="498" t="n"/>
      <c r="ACC67" s="498" t="n"/>
      <c r="ACD67" s="498" t="n"/>
      <c r="ACE67" s="498" t="n"/>
      <c r="ACF67" s="498" t="n"/>
      <c r="ACG67" s="498" t="n"/>
      <c r="ACH67" s="498" t="n"/>
      <c r="ACI67" s="498" t="n"/>
      <c r="ACJ67" s="498" t="n"/>
      <c r="ACK67" s="498" t="n"/>
      <c r="ACL67" s="498" t="n"/>
      <c r="ACM67" s="498" t="n"/>
      <c r="ACN67" s="498" t="n"/>
      <c r="ACO67" s="498" t="n"/>
      <c r="ACP67" s="498" t="n"/>
      <c r="ACQ67" s="498" t="n"/>
      <c r="ACR67" s="498" t="n"/>
      <c r="ACS67" s="498" t="n"/>
      <c r="ACT67" s="498" t="n"/>
      <c r="ACU67" s="498" t="n"/>
      <c r="ACV67" s="498" t="n"/>
      <c r="ACW67" s="498" t="n"/>
      <c r="ACX67" s="498" t="n"/>
      <c r="ACY67" s="498" t="n"/>
      <c r="ACZ67" s="498" t="n"/>
      <c r="ADA67" s="498" t="n"/>
      <c r="ADB67" s="498" t="n"/>
      <c r="ADC67" s="498" t="n"/>
      <c r="ADD67" s="498" t="n"/>
      <c r="ADE67" s="498" t="n"/>
      <c r="ADF67" s="498" t="n"/>
      <c r="ADG67" s="498" t="n"/>
      <c r="ADH67" s="498" t="n"/>
      <c r="ADI67" s="498" t="n"/>
      <c r="ADJ67" s="498" t="n"/>
      <c r="ADK67" s="498" t="n"/>
      <c r="ADL67" s="498" t="n"/>
      <c r="ADM67" s="498" t="n"/>
      <c r="ADN67" s="498" t="n"/>
      <c r="ADO67" s="498" t="n"/>
      <c r="ADP67" s="498" t="n"/>
      <c r="ADQ67" s="498" t="n"/>
      <c r="ADR67" s="498" t="n"/>
      <c r="ADS67" s="498" t="n"/>
      <c r="ADT67" s="498" t="n"/>
      <c r="ADU67" s="498" t="n"/>
      <c r="ADV67" s="498" t="n"/>
      <c r="ADW67" s="498" t="n"/>
      <c r="ADX67" s="498" t="n"/>
      <c r="ADY67" s="498" t="n"/>
      <c r="ADZ67" s="498" t="n"/>
      <c r="AEA67" s="498" t="n"/>
      <c r="AEB67" s="498" t="n"/>
      <c r="AEC67" s="498" t="n"/>
      <c r="AED67" s="498" t="n"/>
      <c r="AEE67" s="498" t="n"/>
      <c r="AEF67" s="498" t="n"/>
      <c r="AEG67" s="498" t="n"/>
      <c r="AEH67" s="498" t="n"/>
      <c r="AEI67" s="498" t="n"/>
      <c r="AEJ67" s="498" t="n"/>
      <c r="AEK67" s="498" t="n"/>
      <c r="AEL67" s="498" t="n"/>
      <c r="AEM67" s="498" t="n"/>
      <c r="AEN67" s="498" t="n"/>
      <c r="AEO67" s="498" t="n"/>
      <c r="AEP67" s="498" t="n"/>
      <c r="AEQ67" s="498" t="n"/>
      <c r="AER67" s="498" t="n"/>
      <c r="AES67" s="498" t="n"/>
      <c r="AET67" s="498" t="n"/>
      <c r="AEU67" s="498" t="n"/>
      <c r="AEV67" s="498" t="n"/>
      <c r="AEW67" s="498" t="n"/>
      <c r="AEX67" s="498" t="n"/>
      <c r="AEY67" s="498" t="n"/>
      <c r="AEZ67" s="498" t="n"/>
      <c r="AFA67" s="498" t="n"/>
      <c r="AFB67" s="498" t="n"/>
      <c r="AFC67" s="498" t="n"/>
      <c r="AFD67" s="498" t="n"/>
      <c r="AFE67" s="498" t="n"/>
      <c r="AFF67" s="498" t="n"/>
      <c r="AFG67" s="498" t="n"/>
      <c r="AFH67" s="498" t="n"/>
      <c r="AFI67" s="498" t="n"/>
      <c r="AFJ67" s="498" t="n"/>
      <c r="AFK67" s="498" t="n"/>
      <c r="AFL67" s="498" t="n"/>
      <c r="AFM67" s="498" t="n"/>
      <c r="AFN67" s="498" t="n"/>
      <c r="AFO67" s="498" t="n"/>
      <c r="AFP67" s="498" t="n"/>
      <c r="AFQ67" s="498" t="n"/>
      <c r="AFR67" s="498" t="n"/>
      <c r="AFS67" s="498" t="n"/>
      <c r="AFT67" s="498" t="n"/>
      <c r="AFU67" s="498" t="n"/>
      <c r="AFV67" s="498" t="n"/>
      <c r="AFW67" s="498" t="n"/>
      <c r="AFX67" s="498" t="n"/>
      <c r="AFY67" s="498" t="n"/>
      <c r="AFZ67" s="498" t="n"/>
      <c r="AGA67" s="498" t="n"/>
      <c r="AGB67" s="498" t="n"/>
      <c r="AGC67" s="498" t="n"/>
      <c r="AGD67" s="498" t="n"/>
      <c r="AGE67" s="498" t="n"/>
      <c r="AGF67" s="498" t="n"/>
      <c r="AGG67" s="498" t="n"/>
      <c r="AGH67" s="498" t="n"/>
      <c r="AGI67" s="498" t="n"/>
      <c r="AGJ67" s="498" t="n"/>
      <c r="AGK67" s="498" t="n"/>
      <c r="AGL67" s="498" t="n"/>
      <c r="AGM67" s="498" t="n"/>
      <c r="AGN67" s="498" t="n"/>
      <c r="AGO67" s="498" t="n"/>
      <c r="AGP67" s="498" t="n"/>
      <c r="AGQ67" s="498" t="n"/>
      <c r="AGR67" s="498" t="n"/>
      <c r="AGS67" s="498" t="n"/>
      <c r="AGT67" s="498" t="n"/>
      <c r="AGU67" s="498" t="n"/>
      <c r="AGV67" s="498" t="n"/>
      <c r="AGW67" s="498" t="n"/>
      <c r="AGX67" s="498" t="n"/>
      <c r="AGY67" s="498" t="n"/>
      <c r="AGZ67" s="498" t="n"/>
      <c r="AHA67" s="498" t="n"/>
      <c r="AHB67" s="498" t="n"/>
      <c r="AHC67" s="498" t="n"/>
      <c r="AHD67" s="498" t="n"/>
      <c r="AHE67" s="498" t="n"/>
      <c r="AHF67" s="498" t="n"/>
      <c r="AHG67" s="498" t="n"/>
      <c r="AHH67" s="498" t="n"/>
      <c r="AHI67" s="498" t="n"/>
      <c r="AHJ67" s="498" t="n"/>
      <c r="AHK67" s="498" t="n"/>
      <c r="AHL67" s="498" t="n"/>
      <c r="AHM67" s="498" t="n"/>
      <c r="AHN67" s="498" t="n"/>
      <c r="AHO67" s="498" t="n"/>
      <c r="AHP67" s="498" t="n"/>
      <c r="AHQ67" s="498" t="n"/>
      <c r="AHR67" s="498" t="n"/>
      <c r="AHS67" s="498" t="n"/>
      <c r="AHT67" s="498" t="n"/>
      <c r="AHU67" s="498" t="n"/>
      <c r="AHV67" s="498" t="n"/>
      <c r="AHW67" s="498" t="n"/>
      <c r="AHX67" s="498" t="n"/>
      <c r="AHY67" s="498" t="n"/>
      <c r="AHZ67" s="498" t="n"/>
      <c r="AIA67" s="498" t="n"/>
      <c r="AIB67" s="498" t="n"/>
      <c r="AIC67" s="498" t="n"/>
      <c r="AID67" s="498" t="n"/>
      <c r="AIE67" s="498" t="n"/>
      <c r="AIF67" s="498" t="n"/>
      <c r="AIG67" s="498" t="n"/>
      <c r="AIH67" s="498" t="n"/>
      <c r="AII67" s="498" t="n"/>
      <c r="AIJ67" s="498" t="n"/>
      <c r="AIK67" s="498" t="n"/>
      <c r="AIL67" s="498" t="n"/>
      <c r="AIM67" s="498" t="n"/>
      <c r="AIN67" s="498" t="n"/>
      <c r="AIO67" s="498" t="n"/>
      <c r="AIP67" s="498" t="n"/>
      <c r="AIQ67" s="498" t="n"/>
      <c r="AIR67" s="498" t="n"/>
      <c r="AIS67" s="498" t="n"/>
      <c r="AIT67" s="498" t="n"/>
      <c r="AIU67" s="498" t="n"/>
      <c r="AIV67" s="498" t="n"/>
      <c r="AIW67" s="498" t="n"/>
      <c r="AIX67" s="498" t="n"/>
      <c r="AIY67" s="498" t="n"/>
      <c r="AIZ67" s="498" t="n"/>
      <c r="AJA67" s="498" t="n"/>
      <c r="AJB67" s="498" t="n"/>
      <c r="AJC67" s="498" t="n"/>
      <c r="AJD67" s="498" t="n"/>
      <c r="AJE67" s="498" t="n"/>
      <c r="AJF67" s="498" t="n"/>
      <c r="AJG67" s="498" t="n"/>
      <c r="AJH67" s="498" t="n"/>
      <c r="AJI67" s="498" t="n"/>
      <c r="AJJ67" s="498" t="n"/>
      <c r="AJK67" s="498" t="n"/>
      <c r="AJL67" s="498" t="n"/>
      <c r="AJM67" s="498" t="n"/>
      <c r="AJN67" s="498" t="n"/>
      <c r="AJO67" s="498" t="n"/>
      <c r="AJP67" s="498" t="n"/>
      <c r="AJQ67" s="498" t="n"/>
      <c r="AJR67" s="498" t="n"/>
      <c r="AJS67" s="498" t="n"/>
      <c r="AJT67" s="498" t="n"/>
      <c r="AJU67" s="498" t="n"/>
      <c r="AJV67" s="498" t="n"/>
      <c r="AJW67" s="498" t="n"/>
      <c r="AJX67" s="498" t="n"/>
      <c r="AJY67" s="498" t="n"/>
      <c r="AJZ67" s="498" t="n"/>
      <c r="AKA67" s="498" t="n"/>
      <c r="AKB67" s="498" t="n"/>
      <c r="AKC67" s="498" t="n"/>
      <c r="AKD67" s="498" t="n"/>
      <c r="AKE67" s="498" t="n"/>
      <c r="AKF67" s="498" t="n"/>
      <c r="AKG67" s="498" t="n"/>
      <c r="AKH67" s="498" t="n"/>
      <c r="AKI67" s="498" t="n"/>
      <c r="AKJ67" s="498" t="n"/>
      <c r="AKK67" s="498" t="n"/>
      <c r="AKL67" s="498" t="n"/>
      <c r="AKM67" s="498" t="n"/>
      <c r="AKN67" s="498" t="n"/>
      <c r="AKO67" s="498" t="n"/>
      <c r="AKP67" s="498" t="n"/>
      <c r="AKQ67" s="498" t="n"/>
      <c r="AKR67" s="498" t="n"/>
      <c r="AKS67" s="498" t="n"/>
      <c r="AKT67" s="498" t="n"/>
      <c r="AKU67" s="498" t="n"/>
      <c r="AKV67" s="498" t="n"/>
      <c r="AKW67" s="498" t="n"/>
      <c r="AKX67" s="498" t="n"/>
      <c r="AKY67" s="498" t="n"/>
      <c r="AKZ67" s="498" t="n"/>
      <c r="ALA67" s="498" t="n"/>
      <c r="ALB67" s="498" t="n"/>
      <c r="ALC67" s="498" t="n"/>
      <c r="ALD67" s="498" t="n"/>
      <c r="ALE67" s="498" t="n"/>
      <c r="ALF67" s="498" t="n"/>
      <c r="ALG67" s="498" t="n"/>
      <c r="ALH67" s="498" t="n"/>
      <c r="ALI67" s="498" t="n"/>
      <c r="ALJ67" s="498" t="n"/>
      <c r="ALK67" s="498" t="n"/>
      <c r="ALL67" s="498" t="n"/>
      <c r="ALM67" s="498" t="n"/>
      <c r="ALN67" s="498" t="n"/>
      <c r="ALO67" s="498" t="n"/>
      <c r="ALP67" s="498" t="n"/>
      <c r="ALQ67" s="498" t="n"/>
      <c r="ALR67" s="498" t="n"/>
      <c r="ALS67" s="498" t="n"/>
      <c r="ALT67" s="498" t="n"/>
      <c r="ALU67" s="498" t="n"/>
      <c r="ALV67" s="498" t="n"/>
      <c r="ALW67" s="498" t="n"/>
      <c r="ALX67" s="498" t="n"/>
      <c r="ALY67" s="498" t="n"/>
      <c r="ALZ67" s="498" t="n"/>
      <c r="AMA67" s="498" t="n"/>
      <c r="AMB67" s="498" t="n"/>
      <c r="AMC67" s="498" t="n"/>
      <c r="AMD67" s="498" t="n"/>
      <c r="AME67" s="498" t="n"/>
      <c r="AMF67" s="498" t="n"/>
      <c r="AMG67" s="498" t="n"/>
      <c r="AMH67" s="498" t="n"/>
      <c r="AMI67" s="498" t="n"/>
      <c r="AMJ67" s="498" t="n"/>
      <c r="AMK67" s="498" t="n"/>
      <c r="AML67" s="498" t="n"/>
      <c r="AMM67" s="498" t="n"/>
      <c r="AMN67" s="498" t="n"/>
      <c r="AMO67" s="498" t="n"/>
      <c r="AMP67" s="498" t="n"/>
      <c r="AMQ67" s="498" t="n"/>
      <c r="AMR67" s="498" t="n"/>
      <c r="AMS67" s="498" t="n"/>
      <c r="AMT67" s="498" t="n"/>
      <c r="AMU67" s="498" t="n"/>
      <c r="AMV67" s="498" t="n"/>
      <c r="AMW67" s="498" t="n"/>
      <c r="AMX67" s="498" t="n"/>
      <c r="AMY67" s="498" t="n"/>
      <c r="AMZ67" s="498" t="n"/>
      <c r="ANA67" s="498" t="n"/>
      <c r="ANB67" s="498" t="n"/>
      <c r="ANC67" s="498" t="n"/>
      <c r="AND67" s="498" t="n"/>
      <c r="ANE67" s="498" t="n"/>
      <c r="ANF67" s="498" t="n"/>
      <c r="ANG67" s="498" t="n"/>
      <c r="ANH67" s="498" t="n"/>
      <c r="ANI67" s="498" t="n"/>
      <c r="ANJ67" s="498" t="n"/>
      <c r="ANK67" s="498" t="n"/>
      <c r="ANL67" s="498" t="n"/>
      <c r="ANM67" s="498" t="n"/>
      <c r="ANN67" s="498" t="n"/>
      <c r="ANO67" s="498" t="n"/>
      <c r="ANP67" s="498" t="n"/>
      <c r="ANQ67" s="498" t="n"/>
      <c r="ANR67" s="498" t="n"/>
      <c r="ANS67" s="498" t="n"/>
      <c r="ANT67" s="498" t="n"/>
      <c r="ANU67" s="498" t="n"/>
      <c r="ANV67" s="498" t="n"/>
      <c r="ANW67" s="498" t="n"/>
      <c r="ANX67" s="498" t="n"/>
      <c r="ANY67" s="498" t="n"/>
      <c r="ANZ67" s="498" t="n"/>
      <c r="AOA67" s="498" t="n"/>
      <c r="AOB67" s="498" t="n"/>
      <c r="AOC67" s="498" t="n"/>
      <c r="AOD67" s="498" t="n"/>
      <c r="AOE67" s="498" t="n"/>
      <c r="AOF67" s="498" t="n"/>
      <c r="AOG67" s="498" t="n"/>
      <c r="AOH67" s="498" t="n"/>
      <c r="AOI67" s="498" t="n"/>
      <c r="AOJ67" s="498" t="n"/>
      <c r="AOK67" s="498" t="n"/>
      <c r="AOL67" s="498" t="n"/>
      <c r="AOM67" s="498" t="n"/>
      <c r="AON67" s="498" t="n"/>
      <c r="AOO67" s="498" t="n"/>
      <c r="AOP67" s="498" t="n"/>
      <c r="AOQ67" s="498" t="n"/>
      <c r="AOR67" s="498" t="n"/>
      <c r="AOS67" s="498" t="n"/>
      <c r="AOT67" s="498" t="n"/>
      <c r="AOU67" s="498" t="n"/>
      <c r="AOV67" s="498" t="n"/>
      <c r="AOW67" s="498" t="n"/>
      <c r="AOX67" s="498" t="n"/>
      <c r="AOY67" s="498" t="n"/>
      <c r="AOZ67" s="498" t="n"/>
      <c r="APA67" s="498" t="n"/>
      <c r="APB67" s="498" t="n"/>
      <c r="APC67" s="498" t="n"/>
      <c r="APD67" s="498" t="n"/>
      <c r="APE67" s="498" t="n"/>
      <c r="APF67" s="498" t="n"/>
      <c r="APG67" s="498" t="n"/>
      <c r="APH67" s="498" t="n"/>
      <c r="API67" s="498" t="n"/>
      <c r="APJ67" s="498" t="n"/>
      <c r="APK67" s="498" t="n"/>
      <c r="APL67" s="498" t="n"/>
      <c r="APM67" s="498" t="n"/>
      <c r="APN67" s="498" t="n"/>
      <c r="APO67" s="498" t="n"/>
      <c r="APP67" s="498" t="n"/>
      <c r="APQ67" s="498" t="n"/>
      <c r="APR67" s="498" t="n"/>
      <c r="APS67" s="498" t="n"/>
      <c r="APT67" s="498" t="n"/>
      <c r="APU67" s="498" t="n"/>
      <c r="APV67" s="498" t="n"/>
      <c r="APW67" s="498" t="n"/>
      <c r="APX67" s="498" t="n"/>
      <c r="APY67" s="498" t="n"/>
      <c r="APZ67" s="498" t="n"/>
      <c r="AQA67" s="498" t="n"/>
      <c r="AQB67" s="498" t="n"/>
      <c r="AQC67" s="498" t="n"/>
      <c r="AQD67" s="498" t="n"/>
      <c r="AQE67" s="498" t="n"/>
      <c r="AQF67" s="498" t="n"/>
      <c r="AQG67" s="498" t="n"/>
      <c r="AQH67" s="498" t="n"/>
      <c r="AQI67" s="498" t="n"/>
      <c r="AQJ67" s="498" t="n"/>
      <c r="AQK67" s="498" t="n"/>
      <c r="AQL67" s="498" t="n"/>
      <c r="AQM67" s="498" t="n"/>
      <c r="AQN67" s="498" t="n"/>
      <c r="AQO67" s="498" t="n"/>
      <c r="AQP67" s="498" t="n"/>
      <c r="AQQ67" s="498" t="n"/>
      <c r="AQR67" s="498" t="n"/>
      <c r="AQS67" s="498" t="n"/>
      <c r="AQT67" s="498" t="n"/>
      <c r="AQU67" s="498" t="n"/>
      <c r="AQV67" s="498" t="n"/>
      <c r="AQW67" s="498" t="n"/>
      <c r="AQX67" s="498" t="n"/>
      <c r="AQY67" s="498" t="n"/>
      <c r="AQZ67" s="498" t="n"/>
      <c r="ARA67" s="498" t="n"/>
      <c r="ARB67" s="498" t="n"/>
      <c r="ARC67" s="498" t="n"/>
      <c r="ARD67" s="498" t="n"/>
      <c r="ARE67" s="498" t="n"/>
      <c r="ARF67" s="498" t="n"/>
      <c r="ARG67" s="498" t="n"/>
      <c r="ARH67" s="498" t="n"/>
      <c r="ARI67" s="498" t="n"/>
      <c r="ARJ67" s="498" t="n"/>
      <c r="ARK67" s="498" t="n"/>
      <c r="ARL67" s="498" t="n"/>
      <c r="ARM67" s="498" t="n"/>
      <c r="ARN67" s="498" t="n"/>
      <c r="ARO67" s="498" t="n"/>
      <c r="ARP67" s="498" t="n"/>
      <c r="ARQ67" s="498" t="n"/>
      <c r="ARR67" s="498" t="n"/>
      <c r="ARS67" s="498" t="n"/>
      <c r="ART67" s="498" t="n"/>
      <c r="ARU67" s="498" t="n"/>
      <c r="ARV67" s="498" t="n"/>
      <c r="ARW67" s="498" t="n"/>
      <c r="ARX67" s="498" t="n"/>
      <c r="ARY67" s="498" t="n"/>
      <c r="ARZ67" s="498" t="n"/>
      <c r="ASA67" s="498" t="n"/>
      <c r="ASB67" s="498" t="n"/>
      <c r="ASC67" s="498" t="n"/>
      <c r="ASD67" s="498" t="n"/>
      <c r="ASE67" s="498" t="n"/>
      <c r="ASF67" s="498" t="n"/>
      <c r="ASG67" s="498" t="n"/>
      <c r="ASH67" s="498" t="n"/>
      <c r="ASI67" s="498" t="n"/>
      <c r="ASJ67" s="498" t="n"/>
      <c r="ASK67" s="498" t="n"/>
      <c r="ASL67" s="498" t="n"/>
      <c r="ASM67" s="498" t="n"/>
      <c r="ASN67" s="498" t="n"/>
      <c r="ASO67" s="498" t="n"/>
      <c r="ASP67" s="498" t="n"/>
      <c r="ASQ67" s="498" t="n"/>
      <c r="ASR67" s="498" t="n"/>
      <c r="ASS67" s="498" t="n"/>
      <c r="AST67" s="498" t="n"/>
      <c r="ASU67" s="498" t="n"/>
      <c r="ASV67" s="498" t="n"/>
      <c r="ASW67" s="498" t="n"/>
      <c r="ASX67" s="498" t="n"/>
      <c r="ASY67" s="498" t="n"/>
      <c r="ASZ67" s="498" t="n"/>
      <c r="ATA67" s="498" t="n"/>
      <c r="ATB67" s="498" t="n"/>
      <c r="ATC67" s="498" t="n"/>
      <c r="ATD67" s="498" t="n"/>
      <c r="ATE67" s="498" t="n"/>
      <c r="ATF67" s="498" t="n"/>
      <c r="ATG67" s="498" t="n"/>
      <c r="ATH67" s="498" t="n"/>
      <c r="ATI67" s="498" t="n"/>
      <c r="ATJ67" s="498" t="n"/>
      <c r="ATK67" s="498" t="n"/>
      <c r="ATL67" s="498" t="n"/>
      <c r="ATM67" s="498" t="n"/>
      <c r="ATN67" s="498" t="n"/>
      <c r="ATO67" s="498" t="n"/>
      <c r="ATP67" s="498" t="n"/>
      <c r="ATQ67" s="498" t="n"/>
      <c r="ATR67" s="498" t="n"/>
      <c r="ATS67" s="498" t="n"/>
      <c r="ATT67" s="498" t="n"/>
      <c r="ATU67" s="498" t="n"/>
      <c r="ATV67" s="498" t="n"/>
      <c r="ATW67" s="498" t="n"/>
      <c r="ATX67" s="498" t="n"/>
      <c r="ATY67" s="498" t="n"/>
      <c r="ATZ67" s="498" t="n"/>
      <c r="AUA67" s="498" t="n"/>
      <c r="AUB67" s="498" t="n"/>
      <c r="AUC67" s="498" t="n"/>
      <c r="AUD67" s="498" t="n"/>
      <c r="AUE67" s="498" t="n"/>
      <c r="AUF67" s="498" t="n"/>
      <c r="AUG67" s="498" t="n"/>
      <c r="AUH67" s="498" t="n"/>
      <c r="AUI67" s="498" t="n"/>
      <c r="AUJ67" s="498" t="n"/>
      <c r="AUK67" s="498" t="n"/>
      <c r="AUL67" s="498" t="n"/>
      <c r="AUM67" s="498" t="n"/>
      <c r="AUN67" s="498" t="n"/>
      <c r="AUO67" s="498" t="n"/>
      <c r="AUP67" s="498" t="n"/>
      <c r="AUQ67" s="498" t="n"/>
      <c r="AUR67" s="498" t="n"/>
      <c r="AUS67" s="498" t="n"/>
      <c r="AUT67" s="498" t="n"/>
      <c r="AUU67" s="498" t="n"/>
      <c r="AUV67" s="498" t="n"/>
      <c r="AUW67" s="498" t="n"/>
      <c r="AUX67" s="498" t="n"/>
      <c r="AUY67" s="498" t="n"/>
      <c r="AUZ67" s="498" t="n"/>
      <c r="AVA67" s="498" t="n"/>
      <c r="AVB67" s="498" t="n"/>
      <c r="AVC67" s="498" t="n"/>
      <c r="AVD67" s="498" t="n"/>
      <c r="AVE67" s="498" t="n"/>
      <c r="AVF67" s="498" t="n"/>
      <c r="AVG67" s="498" t="n"/>
      <c r="AVH67" s="498" t="n"/>
      <c r="AVI67" s="498" t="n"/>
      <c r="AVJ67" s="498" t="n"/>
      <c r="AVK67" s="498" t="n"/>
      <c r="AVL67" s="498" t="n"/>
      <c r="AVM67" s="498" t="n"/>
      <c r="AVN67" s="498" t="n"/>
      <c r="AVO67" s="498" t="n"/>
      <c r="AVP67" s="498" t="n"/>
      <c r="AVQ67" s="498" t="n"/>
      <c r="AVR67" s="498" t="n"/>
      <c r="AVS67" s="498" t="n"/>
      <c r="AVT67" s="498" t="n"/>
      <c r="AVU67" s="498" t="n"/>
      <c r="AVV67" s="498" t="n"/>
      <c r="AVW67" s="498" t="n"/>
      <c r="AVX67" s="498" t="n"/>
      <c r="AVY67" s="498" t="n"/>
      <c r="AVZ67" s="498" t="n"/>
      <c r="AWA67" s="498" t="n"/>
      <c r="AWB67" s="498" t="n"/>
      <c r="AWC67" s="498" t="n"/>
      <c r="AWD67" s="498" t="n"/>
      <c r="AWE67" s="498" t="n"/>
      <c r="AWF67" s="498" t="n"/>
      <c r="AWG67" s="498" t="n"/>
      <c r="AWH67" s="498" t="n"/>
      <c r="AWI67" s="498" t="n"/>
      <c r="AWJ67" s="498" t="n"/>
      <c r="AWK67" s="498" t="n"/>
      <c r="AWL67" s="498" t="n"/>
      <c r="AWM67" s="498" t="n"/>
      <c r="AWN67" s="498" t="n"/>
      <c r="AWO67" s="498" t="n"/>
      <c r="AWP67" s="498" t="n"/>
      <c r="AWQ67" s="498" t="n"/>
      <c r="AWR67" s="498" t="n"/>
      <c r="AWS67" s="498" t="n"/>
      <c r="AWT67" s="498" t="n"/>
      <c r="AWU67" s="498" t="n"/>
      <c r="AWV67" s="498" t="n"/>
      <c r="AWW67" s="498" t="n"/>
      <c r="AWX67" s="498" t="n"/>
      <c r="AWY67" s="498" t="n"/>
      <c r="AWZ67" s="498" t="n"/>
      <c r="AXA67" s="498" t="n"/>
      <c r="AXB67" s="498" t="n"/>
      <c r="AXC67" s="498" t="n"/>
      <c r="AXD67" s="498" t="n"/>
      <c r="AXE67" s="498" t="n"/>
      <c r="AXF67" s="498" t="n"/>
      <c r="AXG67" s="498" t="n"/>
      <c r="AXH67" s="498" t="n"/>
      <c r="AXI67" s="498" t="n"/>
      <c r="AXJ67" s="498" t="n"/>
      <c r="AXK67" s="498" t="n"/>
      <c r="AXL67" s="498" t="n"/>
      <c r="AXM67" s="498" t="n"/>
      <c r="AXN67" s="498" t="n"/>
      <c r="AXO67" s="498" t="n"/>
      <c r="AXP67" s="498" t="n"/>
      <c r="AXQ67" s="498" t="n"/>
      <c r="AXR67" s="498" t="n"/>
      <c r="AXS67" s="498" t="n"/>
      <c r="AXT67" s="498" t="n"/>
      <c r="AXU67" s="498" t="n"/>
      <c r="AXV67" s="498" t="n"/>
      <c r="AXW67" s="498" t="n"/>
      <c r="AXX67" s="498" t="n"/>
      <c r="AXY67" s="498" t="n"/>
      <c r="AXZ67" s="498" t="n"/>
      <c r="AYA67" s="498" t="n"/>
      <c r="AYB67" s="498" t="n"/>
      <c r="AYC67" s="498" t="n"/>
      <c r="AYD67" s="498" t="n"/>
      <c r="AYE67" s="498" t="n"/>
      <c r="AYF67" s="498" t="n"/>
      <c r="AYG67" s="498" t="n"/>
      <c r="AYH67" s="498" t="n"/>
      <c r="AYI67" s="498" t="n"/>
      <c r="AYJ67" s="498" t="n"/>
      <c r="AYK67" s="498" t="n"/>
      <c r="AYL67" s="498" t="n"/>
      <c r="AYM67" s="498" t="n"/>
      <c r="AYN67" s="498" t="n"/>
      <c r="AYO67" s="498" t="n"/>
      <c r="AYP67" s="498" t="n"/>
      <c r="AYQ67" s="498" t="n"/>
      <c r="AYR67" s="498" t="n"/>
      <c r="AYS67" s="498" t="n"/>
      <c r="AYT67" s="498" t="n"/>
      <c r="AYU67" s="498" t="n"/>
      <c r="AYV67" s="498" t="n"/>
      <c r="AYW67" s="498" t="n"/>
      <c r="AYX67" s="498" t="n"/>
      <c r="AYY67" s="498" t="n"/>
      <c r="AYZ67" s="498" t="n"/>
      <c r="AZA67" s="498" t="n"/>
      <c r="AZB67" s="498" t="n"/>
      <c r="AZC67" s="498" t="n"/>
      <c r="AZD67" s="498" t="n"/>
      <c r="AZE67" s="498" t="n"/>
      <c r="AZF67" s="498" t="n"/>
      <c r="AZG67" s="498" t="n"/>
      <c r="AZH67" s="498" t="n"/>
      <c r="AZI67" s="498" t="n"/>
      <c r="AZJ67" s="498" t="n"/>
      <c r="AZK67" s="498" t="n"/>
      <c r="AZL67" s="498" t="n"/>
      <c r="AZM67" s="498" t="n"/>
      <c r="AZN67" s="498" t="n"/>
      <c r="AZO67" s="498" t="n"/>
      <c r="AZP67" s="498" t="n"/>
      <c r="AZQ67" s="498" t="n"/>
      <c r="AZR67" s="498" t="n"/>
      <c r="AZS67" s="498" t="n"/>
      <c r="AZT67" s="498" t="n"/>
      <c r="AZU67" s="498" t="n"/>
      <c r="AZV67" s="498" t="n"/>
      <c r="AZW67" s="498" t="n"/>
      <c r="AZX67" s="498" t="n"/>
      <c r="AZY67" s="498" t="n"/>
      <c r="AZZ67" s="498" t="n"/>
      <c r="BAA67" s="498" t="n"/>
      <c r="BAB67" s="498" t="n"/>
      <c r="BAC67" s="498" t="n"/>
      <c r="BAD67" s="498" t="n"/>
      <c r="BAE67" s="498" t="n"/>
      <c r="BAF67" s="498" t="n"/>
      <c r="BAG67" s="498" t="n"/>
      <c r="BAH67" s="498" t="n"/>
      <c r="BAI67" s="498" t="n"/>
      <c r="BAJ67" s="498" t="n"/>
      <c r="BAK67" s="498" t="n"/>
      <c r="BAL67" s="498" t="n"/>
      <c r="BAM67" s="498" t="n"/>
      <c r="BAN67" s="498" t="n"/>
      <c r="BAO67" s="498" t="n"/>
      <c r="BAP67" s="498" t="n"/>
      <c r="BAQ67" s="498" t="n"/>
      <c r="BAR67" s="498" t="n"/>
      <c r="BAS67" s="498" t="n"/>
      <c r="BAT67" s="498" t="n"/>
      <c r="BAU67" s="498" t="n"/>
      <c r="BAV67" s="498" t="n"/>
      <c r="BAW67" s="498" t="n"/>
      <c r="BAX67" s="498" t="n"/>
      <c r="BAY67" s="498" t="n"/>
      <c r="BAZ67" s="498" t="n"/>
      <c r="BBA67" s="498" t="n"/>
      <c r="BBB67" s="498" t="n"/>
      <c r="BBC67" s="498" t="n"/>
      <c r="BBD67" s="498" t="n"/>
      <c r="BBE67" s="498" t="n"/>
      <c r="BBF67" s="498" t="n"/>
      <c r="BBG67" s="498" t="n"/>
      <c r="BBH67" s="498" t="n"/>
      <c r="BBI67" s="498" t="n"/>
      <c r="BBJ67" s="498" t="n"/>
      <c r="BBK67" s="498" t="n"/>
      <c r="BBL67" s="498" t="n"/>
      <c r="BBM67" s="498" t="n"/>
      <c r="BBN67" s="498" t="n"/>
      <c r="BBO67" s="498" t="n"/>
      <c r="BBP67" s="498" t="n"/>
      <c r="BBQ67" s="498" t="n"/>
      <c r="BBR67" s="498" t="n"/>
      <c r="BBS67" s="498" t="n"/>
      <c r="BBT67" s="498" t="n"/>
      <c r="BBU67" s="498" t="n"/>
      <c r="BBV67" s="498" t="n"/>
      <c r="BBW67" s="498" t="n"/>
      <c r="BBX67" s="498" t="n"/>
      <c r="BBY67" s="498" t="n"/>
      <c r="BBZ67" s="498" t="n"/>
      <c r="BCA67" s="498" t="n"/>
      <c r="BCB67" s="498" t="n"/>
      <c r="BCC67" s="498" t="n"/>
      <c r="BCD67" s="498" t="n"/>
      <c r="BCE67" s="498" t="n"/>
      <c r="BCF67" s="498" t="n"/>
      <c r="BCG67" s="498" t="n"/>
      <c r="BCH67" s="498" t="n"/>
      <c r="BCI67" s="498" t="n"/>
      <c r="BCJ67" s="498" t="n"/>
      <c r="BCK67" s="498" t="n"/>
      <c r="BCL67" s="498" t="n"/>
      <c r="BCM67" s="498" t="n"/>
      <c r="BCN67" s="498" t="n"/>
      <c r="BCO67" s="498" t="n"/>
      <c r="BCP67" s="498" t="n"/>
      <c r="BCQ67" s="498" t="n"/>
      <c r="BCR67" s="498" t="n"/>
      <c r="BCS67" s="498" t="n"/>
      <c r="BCT67" s="498" t="n"/>
      <c r="BCU67" s="498" t="n"/>
      <c r="BCV67" s="498" t="n"/>
      <c r="BCW67" s="498" t="n"/>
      <c r="BCX67" s="498" t="n"/>
      <c r="BCY67" s="498" t="n"/>
      <c r="BCZ67" s="498" t="n"/>
      <c r="BDA67" s="498" t="n"/>
      <c r="BDB67" s="498" t="n"/>
      <c r="BDC67" s="498" t="n"/>
      <c r="BDD67" s="498" t="n"/>
      <c r="BDE67" s="498" t="n"/>
      <c r="BDF67" s="498" t="n"/>
      <c r="BDG67" s="498" t="n"/>
      <c r="BDH67" s="498" t="n"/>
      <c r="BDI67" s="498" t="n"/>
      <c r="BDJ67" s="498" t="n"/>
      <c r="BDK67" s="498" t="n"/>
      <c r="BDL67" s="498" t="n"/>
      <c r="BDM67" s="498" t="n"/>
      <c r="BDN67" s="498" t="n"/>
      <c r="BDO67" s="498" t="n"/>
      <c r="BDP67" s="498" t="n"/>
      <c r="BDQ67" s="498" t="n"/>
      <c r="BDR67" s="498" t="n"/>
      <c r="BDS67" s="498" t="n"/>
      <c r="BDT67" s="498" t="n"/>
      <c r="BDU67" s="498" t="n"/>
      <c r="BDV67" s="498" t="n"/>
      <c r="BDW67" s="498" t="n"/>
      <c r="BDX67" s="498" t="n"/>
      <c r="BDY67" s="498" t="n"/>
      <c r="BDZ67" s="498" t="n"/>
      <c r="BEA67" s="498" t="n"/>
      <c r="BEB67" s="498" t="n"/>
      <c r="BEC67" s="498" t="n"/>
      <c r="BED67" s="498" t="n"/>
      <c r="BEE67" s="498" t="n"/>
      <c r="BEF67" s="498" t="n"/>
      <c r="BEG67" s="498" t="n"/>
      <c r="BEH67" s="498" t="n"/>
      <c r="BEI67" s="498" t="n"/>
      <c r="BEJ67" s="498" t="n"/>
      <c r="BEK67" s="498" t="n"/>
      <c r="BEL67" s="498" t="n"/>
      <c r="BEM67" s="498" t="n"/>
      <c r="BEN67" s="498" t="n"/>
      <c r="BEO67" s="498" t="n"/>
      <c r="BEP67" s="498" t="n"/>
      <c r="BEQ67" s="498" t="n"/>
      <c r="BER67" s="498" t="n"/>
      <c r="BES67" s="498" t="n"/>
      <c r="BET67" s="498" t="n"/>
      <c r="BEU67" s="498" t="n"/>
      <c r="BEV67" s="498" t="n"/>
      <c r="BEW67" s="498" t="n"/>
      <c r="BEX67" s="498" t="n"/>
      <c r="BEY67" s="498" t="n"/>
      <c r="BEZ67" s="498" t="n"/>
      <c r="BFA67" s="498" t="n"/>
      <c r="BFB67" s="498" t="n"/>
      <c r="BFC67" s="498" t="n"/>
      <c r="BFD67" s="498" t="n"/>
      <c r="BFE67" s="498" t="n"/>
      <c r="BFF67" s="498" t="n"/>
      <c r="BFG67" s="498" t="n"/>
      <c r="BFH67" s="498" t="n"/>
      <c r="BFI67" s="498" t="n"/>
      <c r="BFJ67" s="498" t="n"/>
      <c r="BFK67" s="498" t="n"/>
      <c r="BFL67" s="498" t="n"/>
      <c r="BFM67" s="498" t="n"/>
      <c r="BFN67" s="498" t="n"/>
      <c r="BFO67" s="498" t="n"/>
      <c r="BFP67" s="498" t="n"/>
      <c r="BFQ67" s="498" t="n"/>
      <c r="BFR67" s="498" t="n"/>
      <c r="BFS67" s="498" t="n"/>
      <c r="BFT67" s="498" t="n"/>
      <c r="BFU67" s="498" t="n"/>
      <c r="BFV67" s="498" t="n"/>
      <c r="BFW67" s="498" t="n"/>
      <c r="BFX67" s="498" t="n"/>
      <c r="BFY67" s="498" t="n"/>
      <c r="BFZ67" s="498" t="n"/>
      <c r="BGA67" s="498" t="n"/>
      <c r="BGB67" s="498" t="n"/>
      <c r="BGC67" s="498" t="n"/>
      <c r="BGD67" s="498" t="n"/>
      <c r="BGE67" s="498" t="n"/>
      <c r="BGF67" s="498" t="n"/>
      <c r="BGG67" s="498" t="n"/>
      <c r="BGH67" s="498" t="n"/>
      <c r="BGI67" s="498" t="n"/>
      <c r="BGJ67" s="498" t="n"/>
      <c r="BGK67" s="498" t="n"/>
      <c r="BGL67" s="498" t="n"/>
      <c r="BGM67" s="498" t="n"/>
      <c r="BGN67" s="498" t="n"/>
      <c r="BGO67" s="498" t="n"/>
      <c r="BGP67" s="498" t="n"/>
      <c r="BGQ67" s="498" t="n"/>
      <c r="BGR67" s="498" t="n"/>
      <c r="BGS67" s="498" t="n"/>
      <c r="BGT67" s="498" t="n"/>
      <c r="BGU67" s="498" t="n"/>
      <c r="BGV67" s="498" t="n"/>
      <c r="BGW67" s="498" t="n"/>
      <c r="BGX67" s="498" t="n"/>
      <c r="BGY67" s="498" t="n"/>
      <c r="BGZ67" s="498" t="n"/>
      <c r="BHA67" s="498" t="n"/>
      <c r="BHB67" s="498" t="n"/>
      <c r="BHC67" s="498" t="n"/>
      <c r="BHD67" s="498" t="n"/>
      <c r="BHE67" s="498" t="n"/>
      <c r="BHF67" s="498" t="n"/>
      <c r="BHG67" s="498" t="n"/>
      <c r="BHH67" s="498" t="n"/>
      <c r="BHI67" s="498" t="n"/>
      <c r="BHJ67" s="498" t="n"/>
      <c r="BHK67" s="498" t="n"/>
      <c r="BHL67" s="498" t="n"/>
      <c r="BHM67" s="498" t="n"/>
      <c r="BHN67" s="498" t="n"/>
      <c r="BHO67" s="498" t="n"/>
      <c r="BHP67" s="498" t="n"/>
      <c r="BHQ67" s="498" t="n"/>
      <c r="BHR67" s="498" t="n"/>
      <c r="BHS67" s="498" t="n"/>
      <c r="BHT67" s="498" t="n"/>
      <c r="BHU67" s="498" t="n"/>
      <c r="BHV67" s="498" t="n"/>
      <c r="BHW67" s="498" t="n"/>
      <c r="BHX67" s="498" t="n"/>
      <c r="BHY67" s="498" t="n"/>
      <c r="BHZ67" s="498" t="n"/>
      <c r="BIA67" s="498" t="n"/>
      <c r="BIB67" s="498" t="n"/>
      <c r="BIC67" s="498" t="n"/>
      <c r="BID67" s="498" t="n"/>
      <c r="BIE67" s="498" t="n"/>
      <c r="BIF67" s="498" t="n"/>
      <c r="BIG67" s="498" t="n"/>
      <c r="BIH67" s="498" t="n"/>
      <c r="BII67" s="498" t="n"/>
      <c r="BIJ67" s="498" t="n"/>
      <c r="BIK67" s="498" t="n"/>
      <c r="BIL67" s="498" t="n"/>
      <c r="BIM67" s="498" t="n"/>
      <c r="BIN67" s="498" t="n"/>
      <c r="BIO67" s="498" t="n"/>
      <c r="BIP67" s="498" t="n"/>
      <c r="BIQ67" s="498" t="n"/>
      <c r="BIR67" s="498" t="n"/>
      <c r="BIS67" s="498" t="n"/>
      <c r="BIT67" s="498" t="n"/>
      <c r="BIU67" s="498" t="n"/>
      <c r="BIV67" s="498" t="n"/>
      <c r="BIW67" s="498" t="n"/>
      <c r="BIX67" s="498" t="n"/>
      <c r="BIY67" s="498" t="n"/>
      <c r="BIZ67" s="498" t="n"/>
      <c r="BJA67" s="498" t="n"/>
      <c r="BJB67" s="498" t="n"/>
      <c r="BJC67" s="498" t="n"/>
      <c r="BJD67" s="498" t="n"/>
      <c r="BJE67" s="498" t="n"/>
      <c r="BJF67" s="498" t="n"/>
      <c r="BJG67" s="498" t="n"/>
      <c r="BJH67" s="498" t="n"/>
      <c r="BJI67" s="498" t="n"/>
      <c r="BJJ67" s="498" t="n"/>
      <c r="BJK67" s="498" t="n"/>
      <c r="BJL67" s="498" t="n"/>
      <c r="BJM67" s="498" t="n"/>
      <c r="BJN67" s="498" t="n"/>
      <c r="BJO67" s="498" t="n"/>
      <c r="BJP67" s="498" t="n"/>
      <c r="BJQ67" s="498" t="n"/>
      <c r="BJR67" s="498" t="n"/>
      <c r="BJS67" s="498" t="n"/>
      <c r="BJT67" s="498" t="n"/>
      <c r="BJU67" s="498" t="n"/>
      <c r="BJV67" s="498" t="n"/>
      <c r="BJW67" s="498" t="n"/>
      <c r="BJX67" s="498" t="n"/>
      <c r="BJY67" s="498" t="n"/>
      <c r="BJZ67" s="498" t="n"/>
      <c r="BKA67" s="498" t="n"/>
      <c r="BKB67" s="498" t="n"/>
      <c r="BKC67" s="498" t="n"/>
      <c r="BKD67" s="498" t="n"/>
      <c r="BKE67" s="498" t="n"/>
      <c r="BKF67" s="498" t="n"/>
      <c r="BKG67" s="498" t="n"/>
      <c r="BKH67" s="498" t="n"/>
      <c r="BKI67" s="498" t="n"/>
      <c r="BKJ67" s="498" t="n"/>
      <c r="BKK67" s="498" t="n"/>
      <c r="BKL67" s="498" t="n"/>
      <c r="BKM67" s="498" t="n"/>
      <c r="BKN67" s="498" t="n"/>
      <c r="BKO67" s="498" t="n"/>
      <c r="BKP67" s="498" t="n"/>
      <c r="BKQ67" s="498" t="n"/>
      <c r="BKR67" s="498" t="n"/>
      <c r="BKS67" s="498" t="n"/>
      <c r="BKT67" s="498" t="n"/>
      <c r="BKU67" s="498" t="n"/>
      <c r="BKV67" s="498" t="n"/>
      <c r="BKW67" s="498" t="n"/>
      <c r="BKX67" s="498" t="n"/>
      <c r="BKY67" s="498" t="n"/>
      <c r="BKZ67" s="498" t="n"/>
      <c r="BLA67" s="498" t="n"/>
      <c r="BLB67" s="498" t="n"/>
      <c r="BLC67" s="498" t="n"/>
      <c r="BLD67" s="498" t="n"/>
      <c r="BLE67" s="498" t="n"/>
      <c r="BLF67" s="498" t="n"/>
      <c r="BLG67" s="498" t="n"/>
      <c r="BLH67" s="498" t="n"/>
      <c r="BLI67" s="498" t="n"/>
      <c r="BLJ67" s="498" t="n"/>
      <c r="BLK67" s="498" t="n"/>
      <c r="BLL67" s="498" t="n"/>
      <c r="BLM67" s="498" t="n"/>
      <c r="BLN67" s="498" t="n"/>
      <c r="BLO67" s="498" t="n"/>
      <c r="BLP67" s="498" t="n"/>
      <c r="BLQ67" s="498" t="n"/>
      <c r="BLR67" s="498" t="n"/>
      <c r="BLS67" s="498" t="n"/>
      <c r="BLT67" s="498" t="n"/>
      <c r="BLU67" s="498" t="n"/>
      <c r="BLV67" s="498" t="n"/>
      <c r="BLW67" s="498" t="n"/>
      <c r="BLX67" s="498" t="n"/>
      <c r="BLY67" s="498" t="n"/>
      <c r="BLZ67" s="498" t="n"/>
      <c r="BMA67" s="498" t="n"/>
      <c r="BMB67" s="498" t="n"/>
      <c r="BMC67" s="498" t="n"/>
      <c r="BMD67" s="498" t="n"/>
      <c r="BME67" s="498" t="n"/>
      <c r="BMF67" s="498" t="n"/>
      <c r="BMG67" s="498" t="n"/>
      <c r="BMH67" s="498" t="n"/>
      <c r="BMI67" s="498" t="n"/>
      <c r="BMJ67" s="498" t="n"/>
      <c r="BMK67" s="498" t="n"/>
      <c r="BML67" s="498" t="n"/>
      <c r="BMM67" s="498" t="n"/>
      <c r="BMN67" s="498" t="n"/>
      <c r="BMO67" s="498" t="n"/>
      <c r="BMP67" s="498" t="n"/>
      <c r="BMQ67" s="498" t="n"/>
      <c r="BMR67" s="498" t="n"/>
      <c r="BMS67" s="498" t="n"/>
      <c r="BMT67" s="498" t="n"/>
      <c r="BMU67" s="498" t="n"/>
      <c r="BMV67" s="498" t="n"/>
      <c r="BMW67" s="498" t="n"/>
      <c r="BMX67" s="498" t="n"/>
      <c r="BMY67" s="498" t="n"/>
      <c r="BMZ67" s="498" t="n"/>
      <c r="BNA67" s="498" t="n"/>
      <c r="BNB67" s="498" t="n"/>
      <c r="BNC67" s="498" t="n"/>
      <c r="BND67" s="498" t="n"/>
      <c r="BNE67" s="498" t="n"/>
      <c r="BNF67" s="498" t="n"/>
      <c r="BNG67" s="498" t="n"/>
      <c r="BNH67" s="498" t="n"/>
      <c r="BNI67" s="498" t="n"/>
      <c r="BNJ67" s="498" t="n"/>
      <c r="BNK67" s="498" t="n"/>
      <c r="BNL67" s="498" t="n"/>
      <c r="BNM67" s="498" t="n"/>
      <c r="BNN67" s="498" t="n"/>
      <c r="BNO67" s="498" t="n"/>
      <c r="BNP67" s="498" t="n"/>
      <c r="BNQ67" s="498" t="n"/>
      <c r="BNR67" s="498" t="n"/>
      <c r="BNS67" s="498" t="n"/>
      <c r="BNT67" s="498" t="n"/>
      <c r="BNU67" s="498" t="n"/>
      <c r="BNV67" s="498" t="n"/>
      <c r="BNW67" s="498" t="n"/>
      <c r="BNX67" s="498" t="n"/>
      <c r="BNY67" s="498" t="n"/>
      <c r="BNZ67" s="498" t="n"/>
      <c r="BOA67" s="498" t="n"/>
      <c r="BOB67" s="498" t="n"/>
      <c r="BOC67" s="498" t="n"/>
      <c r="BOD67" s="498" t="n"/>
      <c r="BOE67" s="498" t="n"/>
      <c r="BOF67" s="498" t="n"/>
      <c r="BOG67" s="498" t="n"/>
      <c r="BOH67" s="498" t="n"/>
      <c r="BOI67" s="498" t="n"/>
      <c r="BOJ67" s="498" t="n"/>
      <c r="BOK67" s="498" t="n"/>
      <c r="BOL67" s="498" t="n"/>
      <c r="BOM67" s="498" t="n"/>
      <c r="BON67" s="498" t="n"/>
      <c r="BOO67" s="498" t="n"/>
      <c r="BOP67" s="498" t="n"/>
      <c r="BOQ67" s="498" t="n"/>
      <c r="BOR67" s="498" t="n"/>
      <c r="BOS67" s="498" t="n"/>
      <c r="BOT67" s="498" t="n"/>
      <c r="BOU67" s="498" t="n"/>
      <c r="BOV67" s="498" t="n"/>
      <c r="BOW67" s="498" t="n"/>
      <c r="BOX67" s="498" t="n"/>
      <c r="BOY67" s="498" t="n"/>
      <c r="BOZ67" s="498" t="n"/>
      <c r="BPA67" s="498" t="n"/>
      <c r="BPB67" s="498" t="n"/>
      <c r="BPC67" s="498" t="n"/>
      <c r="BPD67" s="498" t="n"/>
      <c r="BPE67" s="498" t="n"/>
      <c r="BPF67" s="498" t="n"/>
      <c r="BPG67" s="498" t="n"/>
      <c r="BPH67" s="498" t="n"/>
      <c r="BPI67" s="498" t="n"/>
      <c r="BPJ67" s="498" t="n"/>
      <c r="BPK67" s="498" t="n"/>
      <c r="BPL67" s="498" t="n"/>
      <c r="BPM67" s="498" t="n"/>
      <c r="BPN67" s="498" t="n"/>
      <c r="BPO67" s="498" t="n"/>
      <c r="BPP67" s="498" t="n"/>
      <c r="BPQ67" s="498" t="n"/>
      <c r="BPR67" s="498" t="n"/>
      <c r="BPS67" s="498" t="n"/>
      <c r="BPT67" s="498" t="n"/>
      <c r="BPU67" s="498" t="n"/>
      <c r="BPV67" s="498" t="n"/>
      <c r="BPW67" s="498" t="n"/>
      <c r="BPX67" s="498" t="n"/>
      <c r="BPY67" s="498" t="n"/>
      <c r="BPZ67" s="498" t="n"/>
      <c r="BQA67" s="498" t="n"/>
      <c r="BQB67" s="498" t="n"/>
      <c r="BQC67" s="498" t="n"/>
      <c r="BQD67" s="498" t="n"/>
      <c r="BQE67" s="498" t="n"/>
      <c r="BQF67" s="498" t="n"/>
      <c r="BQG67" s="498" t="n"/>
      <c r="BQH67" s="498" t="n"/>
      <c r="BQI67" s="498" t="n"/>
      <c r="BQJ67" s="498" t="n"/>
      <c r="BQK67" s="498" t="n"/>
      <c r="BQL67" s="498" t="n"/>
      <c r="BQM67" s="498" t="n"/>
      <c r="BQN67" s="498" t="n"/>
      <c r="BQO67" s="498" t="n"/>
      <c r="BQP67" s="498" t="n"/>
      <c r="BQQ67" s="498" t="n"/>
      <c r="BQR67" s="498" t="n"/>
      <c r="BQS67" s="498" t="n"/>
      <c r="BQT67" s="498" t="n"/>
      <c r="BQU67" s="498" t="n"/>
      <c r="BQV67" s="498" t="n"/>
      <c r="BQW67" s="498" t="n"/>
      <c r="BQX67" s="498" t="n"/>
      <c r="BQY67" s="498" t="n"/>
      <c r="BQZ67" s="498" t="n"/>
      <c r="BRA67" s="498" t="n"/>
      <c r="BRB67" s="498" t="n"/>
      <c r="BRC67" s="498" t="n"/>
      <c r="BRD67" s="498" t="n"/>
      <c r="BRE67" s="498" t="n"/>
      <c r="BRF67" s="498" t="n"/>
      <c r="BRG67" s="498" t="n"/>
      <c r="BRH67" s="498" t="n"/>
      <c r="BRI67" s="498" t="n"/>
      <c r="BRJ67" s="498" t="n"/>
      <c r="BRK67" s="498" t="n"/>
      <c r="BRL67" s="498" t="n"/>
      <c r="BRM67" s="498" t="n"/>
      <c r="BRN67" s="498" t="n"/>
      <c r="BRO67" s="498" t="n"/>
      <c r="BRP67" s="498" t="n"/>
      <c r="BRQ67" s="498" t="n"/>
      <c r="BRR67" s="498" t="n"/>
      <c r="BRS67" s="498" t="n"/>
      <c r="BRT67" s="498" t="n"/>
      <c r="BRU67" s="498" t="n"/>
      <c r="BRV67" s="498" t="n"/>
      <c r="BRW67" s="498" t="n"/>
      <c r="BRX67" s="498" t="n"/>
      <c r="BRY67" s="498" t="n"/>
      <c r="BRZ67" s="498" t="n"/>
      <c r="BSA67" s="498" t="n"/>
      <c r="BSB67" s="498" t="n"/>
      <c r="BSC67" s="498" t="n"/>
      <c r="BSD67" s="498" t="n"/>
      <c r="BSE67" s="498" t="n"/>
      <c r="BSF67" s="498" t="n"/>
      <c r="BSG67" s="498" t="n"/>
      <c r="BSH67" s="498" t="n"/>
      <c r="BSI67" s="498" t="n"/>
      <c r="BSJ67" s="498" t="n"/>
      <c r="BSK67" s="498" t="n"/>
      <c r="BSL67" s="498" t="n"/>
      <c r="BSM67" s="498" t="n"/>
      <c r="BSN67" s="498" t="n"/>
      <c r="BSO67" s="498" t="n"/>
      <c r="BSP67" s="498" t="n"/>
      <c r="BSQ67" s="498" t="n"/>
      <c r="BSR67" s="498" t="n"/>
      <c r="BSS67" s="498" t="n"/>
      <c r="BST67" s="498" t="n"/>
      <c r="BSU67" s="498" t="n"/>
      <c r="BSV67" s="498" t="n"/>
      <c r="BSW67" s="498" t="n"/>
      <c r="BSX67" s="498" t="n"/>
      <c r="BSY67" s="498" t="n"/>
      <c r="BSZ67" s="498" t="n"/>
      <c r="BTA67" s="498" t="n"/>
      <c r="BTB67" s="498" t="n"/>
      <c r="BTC67" s="498" t="n"/>
      <c r="BTD67" s="498" t="n"/>
      <c r="BTE67" s="498" t="n"/>
      <c r="BTF67" s="498" t="n"/>
      <c r="BTG67" s="498" t="n"/>
      <c r="BTH67" s="498" t="n"/>
      <c r="BTI67" s="498" t="n"/>
      <c r="BTJ67" s="498" t="n"/>
      <c r="BTK67" s="498" t="n"/>
      <c r="BTL67" s="498" t="n"/>
      <c r="BTM67" s="498" t="n"/>
      <c r="BTN67" s="498" t="n"/>
      <c r="BTO67" s="498" t="n"/>
      <c r="BTP67" s="498" t="n"/>
      <c r="BTQ67" s="498" t="n"/>
      <c r="BTR67" s="498" t="n"/>
      <c r="BTS67" s="498" t="n"/>
      <c r="BTT67" s="498" t="n"/>
      <c r="BTU67" s="498" t="n"/>
      <c r="BTV67" s="498" t="n"/>
      <c r="BTW67" s="498" t="n"/>
      <c r="BTX67" s="498" t="n"/>
      <c r="BTY67" s="498" t="n"/>
      <c r="BTZ67" s="498" t="n"/>
      <c r="BUA67" s="498" t="n"/>
      <c r="BUB67" s="498" t="n"/>
      <c r="BUC67" s="498" t="n"/>
      <c r="BUD67" s="498" t="n"/>
      <c r="BUE67" s="498" t="n"/>
      <c r="BUF67" s="498" t="n"/>
      <c r="BUG67" s="498" t="n"/>
      <c r="BUH67" s="498" t="n"/>
      <c r="BUI67" s="498" t="n"/>
      <c r="BUJ67" s="498" t="n"/>
      <c r="BUK67" s="498" t="n"/>
      <c r="BUL67" s="498" t="n"/>
      <c r="BUM67" s="498" t="n"/>
      <c r="BUN67" s="498" t="n"/>
      <c r="BUO67" s="498" t="n"/>
      <c r="BUP67" s="498" t="n"/>
      <c r="BUQ67" s="498" t="n"/>
      <c r="BUR67" s="498" t="n"/>
      <c r="BUS67" s="498" t="n"/>
      <c r="BUT67" s="498" t="n"/>
      <c r="BUU67" s="498" t="n"/>
      <c r="BUV67" s="498" t="n"/>
      <c r="BUW67" s="498" t="n"/>
      <c r="BUX67" s="498" t="n"/>
      <c r="BUY67" s="498" t="n"/>
      <c r="BUZ67" s="498" t="n"/>
      <c r="BVA67" s="498" t="n"/>
      <c r="BVB67" s="498" t="n"/>
      <c r="BVC67" s="498" t="n"/>
      <c r="BVD67" s="498" t="n"/>
      <c r="BVE67" s="498" t="n"/>
      <c r="BVF67" s="498" t="n"/>
      <c r="BVG67" s="498" t="n"/>
      <c r="BVH67" s="498" t="n"/>
      <c r="BVI67" s="498" t="n"/>
      <c r="BVJ67" s="498" t="n"/>
      <c r="BVK67" s="498" t="n"/>
      <c r="BVL67" s="498" t="n"/>
      <c r="BVM67" s="498" t="n"/>
      <c r="BVN67" s="498" t="n"/>
      <c r="BVO67" s="498" t="n"/>
      <c r="BVP67" s="498" t="n"/>
      <c r="BVQ67" s="498" t="n"/>
      <c r="BVR67" s="498" t="n"/>
      <c r="BVS67" s="498" t="n"/>
      <c r="BVT67" s="498" t="n"/>
      <c r="BVU67" s="498" t="n"/>
      <c r="BVV67" s="498" t="n"/>
      <c r="BVW67" s="498" t="n"/>
      <c r="BVX67" s="498" t="n"/>
      <c r="BVY67" s="498" t="n"/>
      <c r="BVZ67" s="498" t="n"/>
      <c r="BWA67" s="498" t="n"/>
      <c r="BWB67" s="498" t="n"/>
      <c r="BWC67" s="498" t="n"/>
      <c r="BWD67" s="498" t="n"/>
      <c r="BWE67" s="498" t="n"/>
      <c r="BWF67" s="498" t="n"/>
      <c r="BWG67" s="498" t="n"/>
      <c r="BWH67" s="498" t="n"/>
      <c r="BWI67" s="498" t="n"/>
      <c r="BWJ67" s="498" t="n"/>
      <c r="BWK67" s="498" t="n"/>
      <c r="BWL67" s="498" t="n"/>
      <c r="BWM67" s="498" t="n"/>
      <c r="BWN67" s="498" t="n"/>
      <c r="BWO67" s="498" t="n"/>
      <c r="BWP67" s="498" t="n"/>
      <c r="BWQ67" s="498" t="n"/>
      <c r="BWR67" s="498" t="n"/>
      <c r="BWS67" s="498" t="n"/>
      <c r="BWT67" s="498" t="n"/>
      <c r="BWU67" s="498" t="n"/>
      <c r="BWV67" s="498" t="n"/>
      <c r="BWW67" s="498" t="n"/>
      <c r="BWX67" s="498" t="n"/>
      <c r="BWY67" s="498" t="n"/>
      <c r="BWZ67" s="498" t="n"/>
      <c r="BXA67" s="498" t="n"/>
      <c r="BXB67" s="498" t="n"/>
      <c r="BXC67" s="498" t="n"/>
      <c r="BXD67" s="498" t="n"/>
      <c r="BXE67" s="498" t="n"/>
      <c r="BXF67" s="498" t="n"/>
      <c r="BXG67" s="498" t="n"/>
      <c r="BXH67" s="498" t="n"/>
      <c r="BXI67" s="498" t="n"/>
      <c r="BXJ67" s="498" t="n"/>
      <c r="BXK67" s="498" t="n"/>
      <c r="BXL67" s="498" t="n"/>
      <c r="BXM67" s="498" t="n"/>
      <c r="BXN67" s="498" t="n"/>
      <c r="BXO67" s="498" t="n"/>
      <c r="BXP67" s="498" t="n"/>
      <c r="BXQ67" s="498" t="n"/>
      <c r="BXR67" s="498" t="n"/>
      <c r="BXS67" s="498" t="n"/>
      <c r="BXT67" s="498" t="n"/>
      <c r="BXU67" s="498" t="n"/>
      <c r="BXV67" s="498" t="n"/>
      <c r="BXW67" s="498" t="n"/>
      <c r="BXX67" s="498" t="n"/>
      <c r="BXY67" s="498" t="n"/>
      <c r="BXZ67" s="498" t="n"/>
      <c r="BYA67" s="498" t="n"/>
      <c r="BYB67" s="498" t="n"/>
      <c r="BYC67" s="498" t="n"/>
      <c r="BYD67" s="498" t="n"/>
      <c r="BYE67" s="498" t="n"/>
      <c r="BYF67" s="498" t="n"/>
      <c r="BYG67" s="498" t="n"/>
      <c r="BYH67" s="498" t="n"/>
      <c r="BYI67" s="498" t="n"/>
      <c r="BYJ67" s="498" t="n"/>
      <c r="BYK67" s="498" t="n"/>
      <c r="BYL67" s="498" t="n"/>
      <c r="BYM67" s="498" t="n"/>
      <c r="BYN67" s="498" t="n"/>
      <c r="BYO67" s="498" t="n"/>
      <c r="BYP67" s="498" t="n"/>
      <c r="BYQ67" s="498" t="n"/>
      <c r="BYR67" s="498" t="n"/>
      <c r="BYS67" s="498" t="n"/>
      <c r="BYT67" s="498" t="n"/>
      <c r="BYU67" s="498" t="n"/>
      <c r="BYV67" s="498" t="n"/>
      <c r="BYW67" s="498" t="n"/>
      <c r="BYX67" s="498" t="n"/>
      <c r="BYY67" s="498" t="n"/>
      <c r="BYZ67" s="498" t="n"/>
      <c r="BZA67" s="498" t="n"/>
      <c r="BZB67" s="498" t="n"/>
      <c r="BZC67" s="498" t="n"/>
      <c r="BZD67" s="498" t="n"/>
      <c r="BZE67" s="498" t="n"/>
      <c r="BZF67" s="498" t="n"/>
      <c r="BZG67" s="498" t="n"/>
      <c r="BZH67" s="498" t="n"/>
      <c r="BZI67" s="498" t="n"/>
      <c r="BZJ67" s="498" t="n"/>
      <c r="BZK67" s="498" t="n"/>
      <c r="BZL67" s="498" t="n"/>
      <c r="BZM67" s="498" t="n"/>
      <c r="BZN67" s="498" t="n"/>
      <c r="BZO67" s="498" t="n"/>
      <c r="BZP67" s="498" t="n"/>
      <c r="BZQ67" s="498" t="n"/>
      <c r="BZR67" s="498" t="n"/>
      <c r="BZS67" s="498" t="n"/>
      <c r="BZT67" s="498" t="n"/>
      <c r="BZU67" s="498" t="n"/>
      <c r="BZV67" s="498" t="n"/>
      <c r="BZW67" s="498" t="n"/>
      <c r="BZX67" s="498" t="n"/>
      <c r="BZY67" s="498" t="n"/>
      <c r="BZZ67" s="498" t="n"/>
      <c r="CAA67" s="498" t="n"/>
      <c r="CAB67" s="498" t="n"/>
      <c r="CAC67" s="498" t="n"/>
      <c r="CAD67" s="498" t="n"/>
      <c r="CAE67" s="498" t="n"/>
      <c r="CAF67" s="498" t="n"/>
      <c r="CAG67" s="498" t="n"/>
      <c r="CAH67" s="498" t="n"/>
      <c r="CAI67" s="498" t="n"/>
      <c r="CAJ67" s="498" t="n"/>
      <c r="CAK67" s="498" t="n"/>
      <c r="CAL67" s="498" t="n"/>
      <c r="CAM67" s="498" t="n"/>
      <c r="CAN67" s="498" t="n"/>
      <c r="CAO67" s="498" t="n"/>
      <c r="CAP67" s="498" t="n"/>
      <c r="CAQ67" s="498" t="n"/>
      <c r="CAR67" s="498" t="n"/>
      <c r="CAS67" s="498" t="n"/>
      <c r="CAT67" s="498" t="n"/>
      <c r="CAU67" s="498" t="n"/>
      <c r="CAV67" s="498" t="n"/>
      <c r="CAW67" s="498" t="n"/>
      <c r="CAX67" s="498" t="n"/>
      <c r="CAY67" s="498" t="n"/>
      <c r="CAZ67" s="498" t="n"/>
      <c r="CBA67" s="498" t="n"/>
      <c r="CBB67" s="498" t="n"/>
      <c r="CBC67" s="498" t="n"/>
      <c r="CBD67" s="498" t="n"/>
      <c r="CBE67" s="498" t="n"/>
      <c r="CBF67" s="498" t="n"/>
      <c r="CBG67" s="498" t="n"/>
      <c r="CBH67" s="498" t="n"/>
      <c r="CBI67" s="498" t="n"/>
      <c r="CBJ67" s="498" t="n"/>
      <c r="CBK67" s="498" t="n"/>
      <c r="CBL67" s="498" t="n"/>
      <c r="CBM67" s="498" t="n"/>
      <c r="CBN67" s="498" t="n"/>
      <c r="CBO67" s="498" t="n"/>
      <c r="CBP67" s="498" t="n"/>
      <c r="CBQ67" s="498" t="n"/>
      <c r="CBR67" s="498" t="n"/>
      <c r="CBS67" s="498" t="n"/>
      <c r="CBT67" s="498" t="n"/>
      <c r="CBU67" s="498" t="n"/>
      <c r="CBV67" s="498" t="n"/>
      <c r="CBW67" s="498" t="n"/>
      <c r="CBX67" s="498" t="n"/>
      <c r="CBY67" s="498" t="n"/>
      <c r="CBZ67" s="498" t="n"/>
      <c r="CCA67" s="498" t="n"/>
      <c r="CCB67" s="498" t="n"/>
      <c r="CCC67" s="498" t="n"/>
      <c r="CCD67" s="498" t="n"/>
      <c r="CCE67" s="498" t="n"/>
      <c r="CCF67" s="498" t="n"/>
      <c r="CCG67" s="498" t="n"/>
      <c r="CCH67" s="498" t="n"/>
      <c r="CCI67" s="498" t="n"/>
      <c r="CCJ67" s="498" t="n"/>
      <c r="CCK67" s="498" t="n"/>
      <c r="CCL67" s="498" t="n"/>
      <c r="CCM67" s="498" t="n"/>
      <c r="CCN67" s="498" t="n"/>
      <c r="CCO67" s="498" t="n"/>
      <c r="CCP67" s="498" t="n"/>
      <c r="CCQ67" s="498" t="n"/>
      <c r="CCR67" s="498" t="n"/>
      <c r="CCS67" s="498" t="n"/>
      <c r="CCT67" s="498" t="n"/>
      <c r="CCU67" s="498" t="n"/>
      <c r="CCV67" s="498" t="n"/>
      <c r="CCW67" s="498" t="n"/>
      <c r="CCX67" s="498" t="n"/>
      <c r="CCY67" s="498" t="n"/>
      <c r="CCZ67" s="498" t="n"/>
      <c r="CDA67" s="498" t="n"/>
      <c r="CDB67" s="498" t="n"/>
      <c r="CDC67" s="498" t="n"/>
      <c r="CDD67" s="498" t="n"/>
      <c r="CDE67" s="498" t="n"/>
      <c r="CDF67" s="498" t="n"/>
      <c r="CDG67" s="498" t="n"/>
      <c r="CDH67" s="498" t="n"/>
      <c r="CDI67" s="498" t="n"/>
      <c r="CDJ67" s="498" t="n"/>
      <c r="CDK67" s="498" t="n"/>
      <c r="CDL67" s="498" t="n"/>
      <c r="CDM67" s="498" t="n"/>
      <c r="CDN67" s="498" t="n"/>
      <c r="CDO67" s="498" t="n"/>
      <c r="CDP67" s="498" t="n"/>
      <c r="CDQ67" s="498" t="n"/>
      <c r="CDR67" s="498" t="n"/>
      <c r="CDS67" s="498" t="n"/>
      <c r="CDT67" s="498" t="n"/>
      <c r="CDU67" s="498" t="n"/>
      <c r="CDV67" s="498" t="n"/>
      <c r="CDW67" s="498" t="n"/>
      <c r="CDX67" s="498" t="n"/>
      <c r="CDY67" s="498" t="n"/>
      <c r="CDZ67" s="498" t="n"/>
      <c r="CEA67" s="498" t="n"/>
      <c r="CEB67" s="498" t="n"/>
      <c r="CEC67" s="498" t="n"/>
      <c r="CED67" s="498" t="n"/>
      <c r="CEE67" s="498" t="n"/>
      <c r="CEF67" s="498" t="n"/>
      <c r="CEG67" s="498" t="n"/>
      <c r="CEH67" s="498" t="n"/>
      <c r="CEI67" s="498" t="n"/>
      <c r="CEJ67" s="498" t="n"/>
      <c r="CEK67" s="498" t="n"/>
      <c r="CEL67" s="498" t="n"/>
      <c r="CEM67" s="498" t="n"/>
      <c r="CEN67" s="498" t="n"/>
      <c r="CEO67" s="498" t="n"/>
      <c r="CEP67" s="498" t="n"/>
      <c r="CEQ67" s="498" t="n"/>
      <c r="CER67" s="498" t="n"/>
      <c r="CES67" s="498" t="n"/>
      <c r="CET67" s="498" t="n"/>
      <c r="CEU67" s="498" t="n"/>
      <c r="CEV67" s="498" t="n"/>
      <c r="CEW67" s="498" t="n"/>
      <c r="CEX67" s="498" t="n"/>
      <c r="CEY67" s="498" t="n"/>
      <c r="CEZ67" s="498" t="n"/>
      <c r="CFA67" s="498" t="n"/>
      <c r="CFB67" s="498" t="n"/>
      <c r="CFC67" s="498" t="n"/>
      <c r="CFD67" s="498" t="n"/>
      <c r="CFE67" s="498" t="n"/>
      <c r="CFF67" s="498" t="n"/>
      <c r="CFG67" s="498" t="n"/>
      <c r="CFH67" s="498" t="n"/>
      <c r="CFI67" s="498" t="n"/>
      <c r="CFJ67" s="498" t="n"/>
      <c r="CFK67" s="498" t="n"/>
      <c r="CFL67" s="498" t="n"/>
      <c r="CFM67" s="498" t="n"/>
      <c r="CFN67" s="498" t="n"/>
      <c r="CFO67" s="498" t="n"/>
      <c r="CFP67" s="498" t="n"/>
      <c r="CFQ67" s="498" t="n"/>
      <c r="CFR67" s="498" t="n"/>
      <c r="CFS67" s="498" t="n"/>
      <c r="CFT67" s="498" t="n"/>
      <c r="CFU67" s="498" t="n"/>
      <c r="CFV67" s="498" t="n"/>
      <c r="CFW67" s="498" t="n"/>
      <c r="CFX67" s="498" t="n"/>
      <c r="CFY67" s="498" t="n"/>
      <c r="CFZ67" s="498" t="n"/>
      <c r="CGA67" s="498" t="n"/>
      <c r="CGB67" s="498" t="n"/>
      <c r="CGC67" s="498" t="n"/>
      <c r="CGD67" s="498" t="n"/>
      <c r="CGE67" s="498" t="n"/>
      <c r="CGF67" s="498" t="n"/>
      <c r="CGG67" s="498" t="n"/>
      <c r="CGH67" s="498" t="n"/>
      <c r="CGI67" s="498" t="n"/>
      <c r="CGJ67" s="498" t="n"/>
      <c r="CGK67" s="498" t="n"/>
      <c r="CGL67" s="498" t="n"/>
      <c r="CGM67" s="498" t="n"/>
      <c r="CGN67" s="498" t="n"/>
      <c r="CGO67" s="498" t="n"/>
      <c r="CGP67" s="498" t="n"/>
      <c r="CGQ67" s="498" t="n"/>
      <c r="CGR67" s="498" t="n"/>
      <c r="CGS67" s="498" t="n"/>
      <c r="CGT67" s="498" t="n"/>
      <c r="CGU67" s="498" t="n"/>
      <c r="CGV67" s="498" t="n"/>
      <c r="CGW67" s="498" t="n"/>
      <c r="CGX67" s="498" t="n"/>
      <c r="CGY67" s="498" t="n"/>
      <c r="CGZ67" s="498" t="n"/>
      <c r="CHA67" s="498" t="n"/>
      <c r="CHB67" s="498" t="n"/>
      <c r="CHC67" s="498" t="n"/>
      <c r="CHD67" s="498" t="n"/>
      <c r="CHE67" s="498" t="n"/>
      <c r="CHF67" s="498" t="n"/>
      <c r="CHG67" s="498" t="n"/>
      <c r="CHH67" s="498" t="n"/>
      <c r="CHI67" s="498" t="n"/>
      <c r="CHJ67" s="498" t="n"/>
      <c r="CHK67" s="498" t="n"/>
      <c r="CHL67" s="498" t="n"/>
      <c r="CHM67" s="498" t="n"/>
      <c r="CHN67" s="498" t="n"/>
      <c r="CHO67" s="498" t="n"/>
      <c r="CHP67" s="498" t="n"/>
      <c r="CHQ67" s="498" t="n"/>
      <c r="CHR67" s="498" t="n"/>
      <c r="CHS67" s="498" t="n"/>
      <c r="CHT67" s="498" t="n"/>
      <c r="CHU67" s="498" t="n"/>
      <c r="CHV67" s="498" t="n"/>
      <c r="CHW67" s="498" t="n"/>
      <c r="CHX67" s="498" t="n"/>
      <c r="CHY67" s="498" t="n"/>
      <c r="CHZ67" s="498" t="n"/>
      <c r="CIA67" s="498" t="n"/>
      <c r="CIB67" s="498" t="n"/>
      <c r="CIC67" s="498" t="n"/>
      <c r="CID67" s="498" t="n"/>
      <c r="CIE67" s="498" t="n"/>
      <c r="CIF67" s="498" t="n"/>
      <c r="CIG67" s="498" t="n"/>
      <c r="CIH67" s="498" t="n"/>
      <c r="CII67" s="498" t="n"/>
      <c r="CIJ67" s="498" t="n"/>
      <c r="CIK67" s="498" t="n"/>
      <c r="CIL67" s="498" t="n"/>
      <c r="CIM67" s="498" t="n"/>
      <c r="CIN67" s="498" t="n"/>
      <c r="CIO67" s="498" t="n"/>
      <c r="CIP67" s="498" t="n"/>
      <c r="CIQ67" s="498" t="n"/>
      <c r="CIR67" s="498" t="n"/>
      <c r="CIS67" s="498" t="n"/>
      <c r="CIT67" s="498" t="n"/>
      <c r="CIU67" s="498" t="n"/>
      <c r="CIV67" s="498" t="n"/>
      <c r="CIW67" s="498" t="n"/>
      <c r="CIX67" s="498" t="n"/>
      <c r="CIY67" s="498" t="n"/>
      <c r="CIZ67" s="498" t="n"/>
      <c r="CJA67" s="498" t="n"/>
      <c r="CJB67" s="498" t="n"/>
      <c r="CJC67" s="498" t="n"/>
      <c r="CJD67" s="498" t="n"/>
      <c r="CJE67" s="498" t="n"/>
      <c r="CJF67" s="498" t="n"/>
      <c r="CJG67" s="498" t="n"/>
      <c r="CJH67" s="498" t="n"/>
      <c r="CJI67" s="498" t="n"/>
      <c r="CJJ67" s="498" t="n"/>
      <c r="CJK67" s="498" t="n"/>
      <c r="CJL67" s="498" t="n"/>
      <c r="CJM67" s="498" t="n"/>
      <c r="CJN67" s="498" t="n"/>
      <c r="CJO67" s="498" t="n"/>
      <c r="CJP67" s="498" t="n"/>
      <c r="CJQ67" s="498" t="n"/>
      <c r="CJR67" s="498" t="n"/>
      <c r="CJS67" s="498" t="n"/>
      <c r="CJT67" s="498" t="n"/>
      <c r="CJU67" s="498" t="n"/>
      <c r="CJV67" s="498" t="n"/>
      <c r="CJW67" s="498" t="n"/>
      <c r="CJX67" s="498" t="n"/>
      <c r="CJY67" s="498" t="n"/>
      <c r="CJZ67" s="498" t="n"/>
      <c r="CKA67" s="498" t="n"/>
      <c r="CKB67" s="498" t="n"/>
      <c r="CKC67" s="498" t="n"/>
      <c r="CKD67" s="498" t="n"/>
      <c r="CKE67" s="498" t="n"/>
      <c r="CKF67" s="498" t="n"/>
      <c r="CKG67" s="498" t="n"/>
      <c r="CKH67" s="498" t="n"/>
      <c r="CKI67" s="498" t="n"/>
      <c r="CKJ67" s="498" t="n"/>
      <c r="CKK67" s="498" t="n"/>
      <c r="CKL67" s="498" t="n"/>
      <c r="CKM67" s="498" t="n"/>
      <c r="CKN67" s="498" t="n"/>
      <c r="CKO67" s="498" t="n"/>
      <c r="CKP67" s="498" t="n"/>
      <c r="CKQ67" s="498" t="n"/>
      <c r="CKR67" s="498" t="n"/>
      <c r="CKS67" s="498" t="n"/>
      <c r="CKT67" s="498" t="n"/>
      <c r="CKU67" s="498" t="n"/>
      <c r="CKV67" s="498" t="n"/>
      <c r="CKW67" s="498" t="n"/>
      <c r="CKX67" s="498" t="n"/>
      <c r="CKY67" s="498" t="n"/>
      <c r="CKZ67" s="498" t="n"/>
      <c r="CLA67" s="498" t="n"/>
      <c r="CLB67" s="498" t="n"/>
      <c r="CLC67" s="498" t="n"/>
      <c r="CLD67" s="498" t="n"/>
      <c r="CLE67" s="498" t="n"/>
      <c r="CLF67" s="498" t="n"/>
      <c r="CLG67" s="498" t="n"/>
      <c r="CLH67" s="498" t="n"/>
      <c r="CLI67" s="498" t="n"/>
      <c r="CLJ67" s="498" t="n"/>
      <c r="CLK67" s="498" t="n"/>
      <c r="CLL67" s="498" t="n"/>
      <c r="CLM67" s="498" t="n"/>
      <c r="CLN67" s="498" t="n"/>
      <c r="CLO67" s="498" t="n"/>
      <c r="CLP67" s="498" t="n"/>
      <c r="CLQ67" s="498" t="n"/>
      <c r="CLR67" s="498" t="n"/>
      <c r="CLS67" s="498" t="n"/>
      <c r="CLT67" s="498" t="n"/>
      <c r="CLU67" s="498" t="n"/>
      <c r="CLV67" s="498" t="n"/>
      <c r="CLW67" s="498" t="n"/>
      <c r="CLX67" s="498" t="n"/>
      <c r="CLY67" s="498" t="n"/>
      <c r="CLZ67" s="498" t="n"/>
      <c r="CMA67" s="498" t="n"/>
      <c r="CMB67" s="498" t="n"/>
      <c r="CMC67" s="498" t="n"/>
      <c r="CMD67" s="498" t="n"/>
      <c r="CME67" s="498" t="n"/>
      <c r="CMF67" s="498" t="n"/>
      <c r="CMG67" s="498" t="n"/>
      <c r="CMH67" s="498" t="n"/>
      <c r="CMI67" s="498" t="n"/>
      <c r="CMJ67" s="498" t="n"/>
      <c r="CMK67" s="498" t="n"/>
      <c r="CML67" s="498" t="n"/>
      <c r="CMM67" s="498" t="n"/>
      <c r="CMN67" s="498" t="n"/>
      <c r="CMO67" s="498" t="n"/>
      <c r="CMP67" s="498" t="n"/>
      <c r="CMQ67" s="498" t="n"/>
      <c r="CMR67" s="498" t="n"/>
      <c r="CMS67" s="498" t="n"/>
      <c r="CMT67" s="498" t="n"/>
      <c r="CMU67" s="498" t="n"/>
      <c r="CMV67" s="498" t="n"/>
      <c r="CMW67" s="498" t="n"/>
      <c r="CMX67" s="498" t="n"/>
      <c r="CMY67" s="498" t="n"/>
      <c r="CMZ67" s="498" t="n"/>
      <c r="CNA67" s="498" t="n"/>
      <c r="CNB67" s="498" t="n"/>
      <c r="CNC67" s="498" t="n"/>
      <c r="CND67" s="498" t="n"/>
      <c r="CNE67" s="498" t="n"/>
      <c r="CNF67" s="498" t="n"/>
      <c r="CNG67" s="498" t="n"/>
      <c r="CNH67" s="498" t="n"/>
      <c r="CNI67" s="498" t="n"/>
      <c r="CNJ67" s="498" t="n"/>
      <c r="CNK67" s="498" t="n"/>
      <c r="CNL67" s="498" t="n"/>
      <c r="CNM67" s="498" t="n"/>
      <c r="CNN67" s="498" t="n"/>
      <c r="CNO67" s="498" t="n"/>
      <c r="CNP67" s="498" t="n"/>
      <c r="CNQ67" s="498" t="n"/>
      <c r="CNR67" s="498" t="n"/>
      <c r="CNS67" s="498" t="n"/>
      <c r="CNT67" s="498" t="n"/>
      <c r="CNU67" s="498" t="n"/>
      <c r="CNV67" s="498" t="n"/>
      <c r="CNW67" s="498" t="n"/>
      <c r="CNX67" s="498" t="n"/>
      <c r="CNY67" s="498" t="n"/>
      <c r="CNZ67" s="498" t="n"/>
      <c r="COA67" s="498" t="n"/>
      <c r="COB67" s="498" t="n"/>
      <c r="COC67" s="498" t="n"/>
      <c r="COD67" s="498" t="n"/>
      <c r="COE67" s="498" t="n"/>
      <c r="COF67" s="498" t="n"/>
      <c r="COG67" s="498" t="n"/>
      <c r="COH67" s="498" t="n"/>
      <c r="COI67" s="498" t="n"/>
      <c r="COJ67" s="498" t="n"/>
      <c r="COK67" s="498" t="n"/>
      <c r="COL67" s="498" t="n"/>
      <c r="COM67" s="498" t="n"/>
      <c r="CON67" s="498" t="n"/>
      <c r="COO67" s="498" t="n"/>
      <c r="COP67" s="498" t="n"/>
      <c r="COQ67" s="498" t="n"/>
      <c r="COR67" s="498" t="n"/>
      <c r="COS67" s="498" t="n"/>
      <c r="COT67" s="498" t="n"/>
      <c r="COU67" s="498" t="n"/>
      <c r="COV67" s="498" t="n"/>
      <c r="COW67" s="498" t="n"/>
      <c r="COX67" s="498" t="n"/>
      <c r="COY67" s="498" t="n"/>
      <c r="COZ67" s="498" t="n"/>
      <c r="CPA67" s="498" t="n"/>
      <c r="CPB67" s="498" t="n"/>
      <c r="CPC67" s="498" t="n"/>
      <c r="CPD67" s="498" t="n"/>
      <c r="CPE67" s="498" t="n"/>
      <c r="CPF67" s="498" t="n"/>
      <c r="CPG67" s="498" t="n"/>
      <c r="CPH67" s="498" t="n"/>
      <c r="CPI67" s="498" t="n"/>
      <c r="CPJ67" s="498" t="n"/>
      <c r="CPK67" s="498" t="n"/>
      <c r="CPL67" s="498" t="n"/>
      <c r="CPM67" s="498" t="n"/>
      <c r="CPN67" s="498" t="n"/>
      <c r="CPO67" s="498" t="n"/>
      <c r="CPP67" s="498" t="n"/>
      <c r="CPQ67" s="498" t="n"/>
      <c r="CPR67" s="498" t="n"/>
      <c r="CPS67" s="498" t="n"/>
      <c r="CPT67" s="498" t="n"/>
      <c r="CPU67" s="498" t="n"/>
      <c r="CPV67" s="498" t="n"/>
      <c r="CPW67" s="498" t="n"/>
      <c r="CPX67" s="498" t="n"/>
      <c r="CPY67" s="498" t="n"/>
      <c r="CPZ67" s="498" t="n"/>
      <c r="CQA67" s="498" t="n"/>
      <c r="CQB67" s="498" t="n"/>
      <c r="CQC67" s="498" t="n"/>
      <c r="CQD67" s="498" t="n"/>
      <c r="CQE67" s="498" t="n"/>
      <c r="CQF67" s="498" t="n"/>
      <c r="CQG67" s="498" t="n"/>
      <c r="CQH67" s="498" t="n"/>
      <c r="CQI67" s="498" t="n"/>
      <c r="CQJ67" s="498" t="n"/>
      <c r="CQK67" s="498" t="n"/>
      <c r="CQL67" s="498" t="n"/>
      <c r="CQM67" s="498" t="n"/>
      <c r="CQN67" s="498" t="n"/>
      <c r="CQO67" s="498" t="n"/>
      <c r="CQP67" s="498" t="n"/>
      <c r="CQQ67" s="498" t="n"/>
      <c r="CQR67" s="498" t="n"/>
      <c r="CQS67" s="498" t="n"/>
      <c r="CQT67" s="498" t="n"/>
      <c r="CQU67" s="498" t="n"/>
      <c r="CQV67" s="498" t="n"/>
      <c r="CQW67" s="498" t="n"/>
      <c r="CQX67" s="498" t="n"/>
      <c r="CQY67" s="498" t="n"/>
      <c r="CQZ67" s="498" t="n"/>
      <c r="CRA67" s="498" t="n"/>
      <c r="CRB67" s="498" t="n"/>
      <c r="CRC67" s="498" t="n"/>
      <c r="CRD67" s="498" t="n"/>
      <c r="CRE67" s="498" t="n"/>
      <c r="CRF67" s="498" t="n"/>
      <c r="CRG67" s="498" t="n"/>
      <c r="CRH67" s="498" t="n"/>
      <c r="CRI67" s="498" t="n"/>
      <c r="CRJ67" s="498" t="n"/>
      <c r="CRK67" s="498" t="n"/>
      <c r="CRL67" s="498" t="n"/>
      <c r="CRM67" s="498" t="n"/>
      <c r="CRN67" s="498" t="n"/>
      <c r="CRO67" s="498" t="n"/>
      <c r="CRP67" s="498" t="n"/>
      <c r="CRQ67" s="498" t="n"/>
      <c r="CRR67" s="498" t="n"/>
      <c r="CRS67" s="498" t="n"/>
      <c r="CRT67" s="498" t="n"/>
      <c r="CRU67" s="498" t="n"/>
      <c r="CRV67" s="498" t="n"/>
      <c r="CRW67" s="498" t="n"/>
      <c r="CRX67" s="498" t="n"/>
      <c r="CRY67" s="498" t="n"/>
      <c r="CRZ67" s="498" t="n"/>
      <c r="CSA67" s="498" t="n"/>
      <c r="CSB67" s="498" t="n"/>
      <c r="CSC67" s="498" t="n"/>
      <c r="CSD67" s="498" t="n"/>
      <c r="CSE67" s="498" t="n"/>
      <c r="CSF67" s="498" t="n"/>
      <c r="CSG67" s="498" t="n"/>
      <c r="CSH67" s="498" t="n"/>
      <c r="CSI67" s="498" t="n"/>
      <c r="CSJ67" s="498" t="n"/>
      <c r="CSK67" s="498" t="n"/>
      <c r="CSL67" s="498" t="n"/>
      <c r="CSM67" s="498" t="n"/>
      <c r="CSN67" s="498" t="n"/>
      <c r="CSO67" s="498" t="n"/>
      <c r="CSP67" s="498" t="n"/>
      <c r="CSQ67" s="498" t="n"/>
      <c r="CSR67" s="498" t="n"/>
      <c r="CSS67" s="498" t="n"/>
      <c r="CST67" s="498" t="n"/>
      <c r="CSU67" s="498" t="n"/>
      <c r="CSV67" s="498" t="n"/>
      <c r="CSW67" s="498" t="n"/>
      <c r="CSX67" s="498" t="n"/>
      <c r="CSY67" s="498" t="n"/>
      <c r="CSZ67" s="498" t="n"/>
      <c r="CTA67" s="498" t="n"/>
      <c r="CTB67" s="498" t="n"/>
      <c r="CTC67" s="498" t="n"/>
      <c r="CTD67" s="498" t="n"/>
      <c r="CTE67" s="498" t="n"/>
      <c r="CTF67" s="498" t="n"/>
      <c r="CTG67" s="498" t="n"/>
      <c r="CTH67" s="498" t="n"/>
      <c r="CTI67" s="498" t="n"/>
      <c r="CTJ67" s="498" t="n"/>
      <c r="CTK67" s="498" t="n"/>
      <c r="CTL67" s="498" t="n"/>
      <c r="CTM67" s="498" t="n"/>
      <c r="CTN67" s="498" t="n"/>
      <c r="CTO67" s="498" t="n"/>
      <c r="CTP67" s="498" t="n"/>
      <c r="CTQ67" s="498" t="n"/>
      <c r="CTR67" s="498" t="n"/>
      <c r="CTS67" s="498" t="n"/>
      <c r="CTT67" s="498" t="n"/>
      <c r="CTU67" s="498" t="n"/>
      <c r="CTV67" s="498" t="n"/>
      <c r="CTW67" s="498" t="n"/>
      <c r="CTX67" s="498" t="n"/>
      <c r="CTY67" s="498" t="n"/>
      <c r="CTZ67" s="498" t="n"/>
      <c r="CUA67" s="498" t="n"/>
      <c r="CUB67" s="498" t="n"/>
      <c r="CUC67" s="498" t="n"/>
      <c r="CUD67" s="498" t="n"/>
      <c r="CUE67" s="498" t="n"/>
      <c r="CUF67" s="498" t="n"/>
      <c r="CUG67" s="498" t="n"/>
      <c r="CUH67" s="498" t="n"/>
      <c r="CUI67" s="498" t="n"/>
      <c r="CUJ67" s="498" t="n"/>
      <c r="CUK67" s="498" t="n"/>
      <c r="CUL67" s="498" t="n"/>
      <c r="CUM67" s="498" t="n"/>
      <c r="CUN67" s="498" t="n"/>
      <c r="CUO67" s="498" t="n"/>
      <c r="CUP67" s="498" t="n"/>
      <c r="CUQ67" s="498" t="n"/>
      <c r="CUR67" s="498" t="n"/>
      <c r="CUS67" s="498" t="n"/>
      <c r="CUT67" s="498" t="n"/>
      <c r="CUU67" s="498" t="n"/>
      <c r="CUV67" s="498" t="n"/>
      <c r="CUW67" s="498" t="n"/>
      <c r="CUX67" s="498" t="n"/>
      <c r="CUY67" s="498" t="n"/>
      <c r="CUZ67" s="498" t="n"/>
      <c r="CVA67" s="498" t="n"/>
      <c r="CVB67" s="498" t="n"/>
      <c r="CVC67" s="498" t="n"/>
      <c r="CVD67" s="498" t="n"/>
      <c r="CVE67" s="498" t="n"/>
      <c r="CVF67" s="498" t="n"/>
      <c r="CVG67" s="498" t="n"/>
      <c r="CVH67" s="498" t="n"/>
      <c r="CVI67" s="498" t="n"/>
      <c r="CVJ67" s="498" t="n"/>
      <c r="CVK67" s="498" t="n"/>
      <c r="CVL67" s="498" t="n"/>
      <c r="CVM67" s="498" t="n"/>
      <c r="CVN67" s="498" t="n"/>
      <c r="CVO67" s="498" t="n"/>
      <c r="CVP67" s="498" t="n"/>
      <c r="CVQ67" s="498" t="n"/>
      <c r="CVR67" s="498" t="n"/>
      <c r="CVS67" s="498" t="n"/>
      <c r="CVT67" s="498" t="n"/>
      <c r="CVU67" s="498" t="n"/>
      <c r="CVV67" s="498" t="n"/>
      <c r="CVW67" s="498" t="n"/>
      <c r="CVX67" s="498" t="n"/>
      <c r="CVY67" s="498" t="n"/>
      <c r="CVZ67" s="498" t="n"/>
      <c r="CWA67" s="498" t="n"/>
      <c r="CWB67" s="498" t="n"/>
      <c r="CWC67" s="498" t="n"/>
      <c r="CWD67" s="498" t="n"/>
      <c r="CWE67" s="498" t="n"/>
      <c r="CWF67" s="498" t="n"/>
      <c r="CWG67" s="498" t="n"/>
      <c r="CWH67" s="498" t="n"/>
      <c r="CWI67" s="498" t="n"/>
      <c r="CWJ67" s="498" t="n"/>
      <c r="CWK67" s="498" t="n"/>
      <c r="CWL67" s="498" t="n"/>
      <c r="CWM67" s="498" t="n"/>
      <c r="CWN67" s="498" t="n"/>
      <c r="CWO67" s="498" t="n"/>
      <c r="CWP67" s="498" t="n"/>
      <c r="CWQ67" s="498" t="n"/>
      <c r="CWR67" s="498" t="n"/>
      <c r="CWS67" s="498" t="n"/>
      <c r="CWT67" s="498" t="n"/>
      <c r="CWU67" s="498" t="n"/>
      <c r="CWV67" s="498" t="n"/>
      <c r="CWW67" s="498" t="n"/>
      <c r="CWX67" s="498" t="n"/>
      <c r="CWY67" s="498" t="n"/>
      <c r="CWZ67" s="498" t="n"/>
      <c r="CXA67" s="498" t="n"/>
      <c r="CXB67" s="498" t="n"/>
      <c r="CXC67" s="498" t="n"/>
      <c r="CXD67" s="498" t="n"/>
      <c r="CXE67" s="498" t="n"/>
      <c r="CXF67" s="498" t="n"/>
      <c r="CXG67" s="498" t="n"/>
      <c r="CXH67" s="498" t="n"/>
      <c r="CXI67" s="498" t="n"/>
      <c r="CXJ67" s="498" t="n"/>
      <c r="CXK67" s="498" t="n"/>
      <c r="CXL67" s="498" t="n"/>
      <c r="CXM67" s="498" t="n"/>
      <c r="CXN67" s="498" t="n"/>
      <c r="CXO67" s="498" t="n"/>
      <c r="CXP67" s="498" t="n"/>
      <c r="CXQ67" s="498" t="n"/>
      <c r="CXR67" s="498" t="n"/>
      <c r="CXS67" s="498" t="n"/>
      <c r="CXT67" s="498" t="n"/>
      <c r="CXU67" s="498" t="n"/>
      <c r="CXV67" s="498" t="n"/>
      <c r="CXW67" s="498" t="n"/>
      <c r="CXX67" s="498" t="n"/>
      <c r="CXY67" s="498" t="n"/>
      <c r="CXZ67" s="498" t="n"/>
      <c r="CYA67" s="498" t="n"/>
      <c r="CYB67" s="498" t="n"/>
      <c r="CYC67" s="498" t="n"/>
      <c r="CYD67" s="498" t="n"/>
      <c r="CYE67" s="498" t="n"/>
      <c r="CYF67" s="498" t="n"/>
      <c r="CYG67" s="498" t="n"/>
      <c r="CYH67" s="498" t="n"/>
      <c r="CYI67" s="498" t="n"/>
      <c r="CYJ67" s="498" t="n"/>
      <c r="CYK67" s="498" t="n"/>
      <c r="CYL67" s="498" t="n"/>
      <c r="CYM67" s="498" t="n"/>
      <c r="CYN67" s="498" t="n"/>
      <c r="CYO67" s="498" t="n"/>
      <c r="CYP67" s="498" t="n"/>
      <c r="CYQ67" s="498" t="n"/>
      <c r="CYR67" s="498" t="n"/>
      <c r="CYS67" s="498" t="n"/>
      <c r="CYT67" s="498" t="n"/>
      <c r="CYU67" s="498" t="n"/>
      <c r="CYV67" s="498" t="n"/>
      <c r="CYW67" s="498" t="n"/>
      <c r="CYX67" s="498" t="n"/>
      <c r="CYY67" s="498" t="n"/>
      <c r="CYZ67" s="498" t="n"/>
      <c r="CZA67" s="498" t="n"/>
      <c r="CZB67" s="498" t="n"/>
      <c r="CZC67" s="498" t="n"/>
      <c r="CZD67" s="498" t="n"/>
      <c r="CZE67" s="498" t="n"/>
      <c r="CZF67" s="498" t="n"/>
      <c r="CZG67" s="498" t="n"/>
      <c r="CZH67" s="498" t="n"/>
      <c r="CZI67" s="498" t="n"/>
      <c r="CZJ67" s="498" t="n"/>
      <c r="CZK67" s="498" t="n"/>
      <c r="CZL67" s="498" t="n"/>
      <c r="CZM67" s="498" t="n"/>
      <c r="CZN67" s="498" t="n"/>
      <c r="CZO67" s="498" t="n"/>
      <c r="CZP67" s="498" t="n"/>
      <c r="CZQ67" s="498" t="n"/>
      <c r="CZR67" s="498" t="n"/>
      <c r="CZS67" s="498" t="n"/>
      <c r="CZT67" s="498" t="n"/>
      <c r="CZU67" s="498" t="n"/>
      <c r="CZV67" s="498" t="n"/>
      <c r="CZW67" s="498" t="n"/>
      <c r="CZX67" s="498" t="n"/>
      <c r="CZY67" s="498" t="n"/>
      <c r="CZZ67" s="498" t="n"/>
      <c r="DAA67" s="498" t="n"/>
      <c r="DAB67" s="498" t="n"/>
      <c r="DAC67" s="498" t="n"/>
      <c r="DAD67" s="498" t="n"/>
      <c r="DAE67" s="498" t="n"/>
      <c r="DAF67" s="498" t="n"/>
      <c r="DAG67" s="498" t="n"/>
      <c r="DAH67" s="498" t="n"/>
      <c r="DAI67" s="498" t="n"/>
      <c r="DAJ67" s="498" t="n"/>
      <c r="DAK67" s="498" t="n"/>
      <c r="DAL67" s="498" t="n"/>
      <c r="DAM67" s="498" t="n"/>
      <c r="DAN67" s="498" t="n"/>
      <c r="DAO67" s="498" t="n"/>
      <c r="DAP67" s="498" t="n"/>
      <c r="DAQ67" s="498" t="n"/>
      <c r="DAR67" s="498" t="n"/>
      <c r="DAS67" s="498" t="n"/>
      <c r="DAT67" s="498" t="n"/>
      <c r="DAU67" s="498" t="n"/>
      <c r="DAV67" s="498" t="n"/>
      <c r="DAW67" s="498" t="n"/>
      <c r="DAX67" s="498" t="n"/>
      <c r="DAY67" s="498" t="n"/>
      <c r="DAZ67" s="498" t="n"/>
      <c r="DBA67" s="498" t="n"/>
      <c r="DBB67" s="498" t="n"/>
      <c r="DBC67" s="498" t="n"/>
      <c r="DBD67" s="498" t="n"/>
      <c r="DBE67" s="498" t="n"/>
      <c r="DBF67" s="498" t="n"/>
      <c r="DBG67" s="498" t="n"/>
      <c r="DBH67" s="498" t="n"/>
      <c r="DBI67" s="498" t="n"/>
      <c r="DBJ67" s="498" t="n"/>
      <c r="DBK67" s="498" t="n"/>
      <c r="DBL67" s="498" t="n"/>
      <c r="DBM67" s="498" t="n"/>
      <c r="DBN67" s="498" t="n"/>
      <c r="DBO67" s="498" t="n"/>
      <c r="DBP67" s="498" t="n"/>
      <c r="DBQ67" s="498" t="n"/>
      <c r="DBR67" s="498" t="n"/>
      <c r="DBS67" s="498" t="n"/>
      <c r="DBT67" s="498" t="n"/>
      <c r="DBU67" s="498" t="n"/>
      <c r="DBV67" s="498" t="n"/>
      <c r="DBW67" s="498" t="n"/>
      <c r="DBX67" s="498" t="n"/>
      <c r="DBY67" s="498" t="n"/>
      <c r="DBZ67" s="498" t="n"/>
      <c r="DCA67" s="498" t="n"/>
      <c r="DCB67" s="498" t="n"/>
      <c r="DCC67" s="498" t="n"/>
      <c r="DCD67" s="498" t="n"/>
      <c r="DCE67" s="498" t="n"/>
      <c r="DCF67" s="498" t="n"/>
      <c r="DCG67" s="498" t="n"/>
      <c r="DCH67" s="498" t="n"/>
      <c r="DCI67" s="498" t="n"/>
      <c r="DCJ67" s="498" t="n"/>
      <c r="DCK67" s="498" t="n"/>
      <c r="DCL67" s="498" t="n"/>
      <c r="DCM67" s="498" t="n"/>
      <c r="DCN67" s="498" t="n"/>
      <c r="DCO67" s="498" t="n"/>
      <c r="DCP67" s="498" t="n"/>
      <c r="DCQ67" s="498" t="n"/>
      <c r="DCR67" s="498" t="n"/>
      <c r="DCS67" s="498" t="n"/>
      <c r="DCT67" s="498" t="n"/>
      <c r="DCU67" s="498" t="n"/>
      <c r="DCV67" s="498" t="n"/>
      <c r="DCW67" s="498" t="n"/>
      <c r="DCX67" s="498" t="n"/>
      <c r="DCY67" s="498" t="n"/>
      <c r="DCZ67" s="498" t="n"/>
      <c r="DDA67" s="498" t="n"/>
      <c r="DDB67" s="498" t="n"/>
      <c r="DDC67" s="498" t="n"/>
      <c r="DDD67" s="498" t="n"/>
      <c r="DDE67" s="498" t="n"/>
      <c r="DDF67" s="498" t="n"/>
      <c r="DDG67" s="498" t="n"/>
      <c r="DDH67" s="498" t="n"/>
      <c r="DDI67" s="498" t="n"/>
      <c r="DDJ67" s="498" t="n"/>
      <c r="DDK67" s="498" t="n"/>
      <c r="DDL67" s="498" t="n"/>
      <c r="DDM67" s="498" t="n"/>
      <c r="DDN67" s="498" t="n"/>
      <c r="DDO67" s="498" t="n"/>
      <c r="DDP67" s="498" t="n"/>
      <c r="DDQ67" s="498" t="n"/>
      <c r="DDR67" s="498" t="n"/>
      <c r="DDS67" s="498" t="n"/>
      <c r="DDT67" s="498" t="n"/>
      <c r="DDU67" s="498" t="n"/>
      <c r="DDV67" s="498" t="n"/>
      <c r="DDW67" s="498" t="n"/>
      <c r="DDX67" s="498" t="n"/>
      <c r="DDY67" s="498" t="n"/>
      <c r="DDZ67" s="498" t="n"/>
      <c r="DEA67" s="498" t="n"/>
      <c r="DEB67" s="498" t="n"/>
      <c r="DEC67" s="498" t="n"/>
      <c r="DED67" s="498" t="n"/>
      <c r="DEE67" s="498" t="n"/>
      <c r="DEF67" s="498" t="n"/>
      <c r="DEG67" s="498" t="n"/>
      <c r="DEH67" s="498" t="n"/>
      <c r="DEI67" s="498" t="n"/>
      <c r="DEJ67" s="498" t="n"/>
      <c r="DEK67" s="498" t="n"/>
      <c r="DEL67" s="498" t="n"/>
      <c r="DEM67" s="498" t="n"/>
      <c r="DEN67" s="498" t="n"/>
      <c r="DEO67" s="498" t="n"/>
      <c r="DEP67" s="498" t="n"/>
      <c r="DEQ67" s="498" t="n"/>
      <c r="DER67" s="498" t="n"/>
      <c r="DES67" s="498" t="n"/>
      <c r="DET67" s="498" t="n"/>
      <c r="DEU67" s="498" t="n"/>
      <c r="DEV67" s="498" t="n"/>
      <c r="DEW67" s="498" t="n"/>
      <c r="DEX67" s="498" t="n"/>
      <c r="DEY67" s="498" t="n"/>
      <c r="DEZ67" s="498" t="n"/>
      <c r="DFA67" s="498" t="n"/>
      <c r="DFB67" s="498" t="n"/>
      <c r="DFC67" s="498" t="n"/>
      <c r="DFD67" s="498" t="n"/>
      <c r="DFE67" s="498" t="n"/>
      <c r="DFF67" s="498" t="n"/>
      <c r="DFG67" s="498" t="n"/>
      <c r="DFH67" s="498" t="n"/>
      <c r="DFI67" s="498" t="n"/>
      <c r="DFJ67" s="498" t="n"/>
      <c r="DFK67" s="498" t="n"/>
      <c r="DFL67" s="498" t="n"/>
      <c r="DFM67" s="498" t="n"/>
      <c r="DFN67" s="498" t="n"/>
      <c r="DFO67" s="498" t="n"/>
      <c r="DFP67" s="498" t="n"/>
      <c r="DFQ67" s="498" t="n"/>
      <c r="DFR67" s="498" t="n"/>
      <c r="DFS67" s="498" t="n"/>
      <c r="DFT67" s="498" t="n"/>
      <c r="DFU67" s="498" t="n"/>
      <c r="DFV67" s="498" t="n"/>
      <c r="DFW67" s="498" t="n"/>
      <c r="DFX67" s="498" t="n"/>
      <c r="DFY67" s="498" t="n"/>
      <c r="DFZ67" s="498" t="n"/>
      <c r="DGA67" s="498" t="n"/>
      <c r="DGB67" s="498" t="n"/>
      <c r="DGC67" s="498" t="n"/>
      <c r="DGD67" s="498" t="n"/>
      <c r="DGE67" s="498" t="n"/>
      <c r="DGF67" s="498" t="n"/>
      <c r="DGG67" s="498" t="n"/>
      <c r="DGH67" s="498" t="n"/>
      <c r="DGI67" s="498" t="n"/>
      <c r="DGJ67" s="498" t="n"/>
      <c r="DGK67" s="498" t="n"/>
      <c r="DGL67" s="498" t="n"/>
      <c r="DGM67" s="498" t="n"/>
      <c r="DGN67" s="498" t="n"/>
      <c r="DGO67" s="498" t="n"/>
      <c r="DGP67" s="498" t="n"/>
      <c r="DGQ67" s="498" t="n"/>
      <c r="DGR67" s="498" t="n"/>
      <c r="DGS67" s="498" t="n"/>
      <c r="DGT67" s="498" t="n"/>
      <c r="DGU67" s="498" t="n"/>
      <c r="DGV67" s="498" t="n"/>
      <c r="DGW67" s="498" t="n"/>
      <c r="DGX67" s="498" t="n"/>
      <c r="DGY67" s="498" t="n"/>
      <c r="DGZ67" s="498" t="n"/>
      <c r="DHA67" s="498" t="n"/>
      <c r="DHB67" s="498" t="n"/>
      <c r="DHC67" s="498" t="n"/>
      <c r="DHD67" s="498" t="n"/>
      <c r="DHE67" s="498" t="n"/>
      <c r="DHF67" s="498" t="n"/>
      <c r="DHG67" s="498" t="n"/>
      <c r="DHH67" s="498" t="n"/>
      <c r="DHI67" s="498" t="n"/>
      <c r="DHJ67" s="498" t="n"/>
      <c r="DHK67" s="498" t="n"/>
      <c r="DHL67" s="498" t="n"/>
      <c r="DHM67" s="498" t="n"/>
      <c r="DHN67" s="498" t="n"/>
      <c r="DHO67" s="498" t="n"/>
      <c r="DHP67" s="498" t="n"/>
      <c r="DHQ67" s="498" t="n"/>
      <c r="DHR67" s="498" t="n"/>
      <c r="DHS67" s="498" t="n"/>
      <c r="DHT67" s="498" t="n"/>
      <c r="DHU67" s="498" t="n"/>
      <c r="DHV67" s="498" t="n"/>
      <c r="DHW67" s="498" t="n"/>
      <c r="DHX67" s="498" t="n"/>
      <c r="DHY67" s="498" t="n"/>
      <c r="DHZ67" s="498" t="n"/>
      <c r="DIA67" s="498" t="n"/>
      <c r="DIB67" s="498" t="n"/>
      <c r="DIC67" s="498" t="n"/>
      <c r="DID67" s="498" t="n"/>
      <c r="DIE67" s="498" t="n"/>
      <c r="DIF67" s="498" t="n"/>
      <c r="DIG67" s="498" t="n"/>
      <c r="DIH67" s="498" t="n"/>
      <c r="DII67" s="498" t="n"/>
      <c r="DIJ67" s="498" t="n"/>
      <c r="DIK67" s="498" t="n"/>
      <c r="DIL67" s="498" t="n"/>
      <c r="DIM67" s="498" t="n"/>
      <c r="DIN67" s="498" t="n"/>
      <c r="DIO67" s="498" t="n"/>
      <c r="DIP67" s="498" t="n"/>
      <c r="DIQ67" s="498" t="n"/>
      <c r="DIR67" s="498" t="n"/>
      <c r="DIS67" s="498" t="n"/>
      <c r="DIT67" s="498" t="n"/>
      <c r="DIU67" s="498" t="n"/>
      <c r="DIV67" s="498" t="n"/>
      <c r="DIW67" s="498" t="n"/>
      <c r="DIX67" s="498" t="n"/>
      <c r="DIY67" s="498" t="n"/>
      <c r="DIZ67" s="498" t="n"/>
      <c r="DJA67" s="498" t="n"/>
      <c r="DJB67" s="498" t="n"/>
      <c r="DJC67" s="498" t="n"/>
      <c r="DJD67" s="498" t="n"/>
      <c r="DJE67" s="498" t="n"/>
      <c r="DJF67" s="498" t="n"/>
      <c r="DJG67" s="498" t="n"/>
      <c r="DJH67" s="498" t="n"/>
      <c r="DJI67" s="498" t="n"/>
      <c r="DJJ67" s="498" t="n"/>
      <c r="DJK67" s="498" t="n"/>
      <c r="DJL67" s="498" t="n"/>
      <c r="DJM67" s="498" t="n"/>
      <c r="DJN67" s="498" t="n"/>
      <c r="DJO67" s="498" t="n"/>
      <c r="DJP67" s="498" t="n"/>
      <c r="DJQ67" s="498" t="n"/>
      <c r="DJR67" s="498" t="n"/>
      <c r="DJS67" s="498" t="n"/>
      <c r="DJT67" s="498" t="n"/>
      <c r="DJU67" s="498" t="n"/>
      <c r="DJV67" s="498" t="n"/>
      <c r="DJW67" s="498" t="n"/>
      <c r="DJX67" s="498" t="n"/>
      <c r="DJY67" s="498" t="n"/>
      <c r="DJZ67" s="498" t="n"/>
      <c r="DKA67" s="498" t="n"/>
      <c r="DKB67" s="498" t="n"/>
      <c r="DKC67" s="498" t="n"/>
      <c r="DKD67" s="498" t="n"/>
      <c r="DKE67" s="498" t="n"/>
      <c r="DKF67" s="498" t="n"/>
      <c r="DKG67" s="498" t="n"/>
      <c r="DKH67" s="498" t="n"/>
      <c r="DKI67" s="498" t="n"/>
      <c r="DKJ67" s="498" t="n"/>
      <c r="DKK67" s="498" t="n"/>
      <c r="DKL67" s="498" t="n"/>
      <c r="DKM67" s="498" t="n"/>
      <c r="DKN67" s="498" t="n"/>
      <c r="DKO67" s="498" t="n"/>
      <c r="DKP67" s="498" t="n"/>
      <c r="DKQ67" s="498" t="n"/>
      <c r="DKR67" s="498" t="n"/>
      <c r="DKS67" s="498" t="n"/>
      <c r="DKT67" s="498" t="n"/>
      <c r="DKU67" s="498" t="n"/>
      <c r="DKV67" s="498" t="n"/>
      <c r="DKW67" s="498" t="n"/>
      <c r="DKX67" s="498" t="n"/>
      <c r="DKY67" s="498" t="n"/>
      <c r="DKZ67" s="498" t="n"/>
      <c r="DLA67" s="498" t="n"/>
      <c r="DLB67" s="498" t="n"/>
      <c r="DLC67" s="498" t="n"/>
      <c r="DLD67" s="498" t="n"/>
      <c r="DLE67" s="498" t="n"/>
      <c r="DLF67" s="498" t="n"/>
      <c r="DLG67" s="498" t="n"/>
      <c r="DLH67" s="498" t="n"/>
      <c r="DLI67" s="498" t="n"/>
      <c r="DLJ67" s="498" t="n"/>
      <c r="DLK67" s="498" t="n"/>
      <c r="DLL67" s="498" t="n"/>
      <c r="DLM67" s="498" t="n"/>
      <c r="DLN67" s="498" t="n"/>
      <c r="DLO67" s="498" t="n"/>
      <c r="DLP67" s="498" t="n"/>
      <c r="DLQ67" s="498" t="n"/>
      <c r="DLR67" s="498" t="n"/>
      <c r="DLS67" s="498" t="n"/>
      <c r="DLT67" s="498" t="n"/>
      <c r="DLU67" s="498" t="n"/>
      <c r="DLV67" s="498" t="n"/>
      <c r="DLW67" s="498" t="n"/>
      <c r="DLX67" s="498" t="n"/>
      <c r="DLY67" s="498" t="n"/>
      <c r="DLZ67" s="498" t="n"/>
      <c r="DMA67" s="498" t="n"/>
      <c r="DMB67" s="498" t="n"/>
      <c r="DMC67" s="498" t="n"/>
      <c r="DMD67" s="498" t="n"/>
      <c r="DME67" s="498" t="n"/>
      <c r="DMF67" s="498" t="n"/>
      <c r="DMG67" s="498" t="n"/>
      <c r="DMH67" s="498" t="n"/>
      <c r="DMI67" s="498" t="n"/>
      <c r="DMJ67" s="498" t="n"/>
      <c r="DMK67" s="498" t="n"/>
      <c r="DML67" s="498" t="n"/>
      <c r="DMM67" s="498" t="n"/>
      <c r="DMN67" s="498" t="n"/>
      <c r="DMO67" s="498" t="n"/>
      <c r="DMP67" s="498" t="n"/>
      <c r="DMQ67" s="498" t="n"/>
      <c r="DMR67" s="498" t="n"/>
      <c r="DMS67" s="498" t="n"/>
      <c r="DMT67" s="498" t="n"/>
      <c r="DMU67" s="498" t="n"/>
      <c r="DMV67" s="498" t="n"/>
      <c r="DMW67" s="498" t="n"/>
      <c r="DMX67" s="498" t="n"/>
      <c r="DMY67" s="498" t="n"/>
      <c r="DMZ67" s="498" t="n"/>
      <c r="DNA67" s="498" t="n"/>
      <c r="DNB67" s="498" t="n"/>
      <c r="DNC67" s="498" t="n"/>
      <c r="DND67" s="498" t="n"/>
      <c r="DNE67" s="498" t="n"/>
      <c r="DNF67" s="498" t="n"/>
      <c r="DNG67" s="498" t="n"/>
      <c r="DNH67" s="498" t="n"/>
      <c r="DNI67" s="498" t="n"/>
      <c r="DNJ67" s="498" t="n"/>
      <c r="DNK67" s="498" t="n"/>
      <c r="DNL67" s="498" t="n"/>
      <c r="DNM67" s="498" t="n"/>
      <c r="DNN67" s="498" t="n"/>
      <c r="DNO67" s="498" t="n"/>
      <c r="DNP67" s="498" t="n"/>
      <c r="DNQ67" s="498" t="n"/>
      <c r="DNR67" s="498" t="n"/>
      <c r="DNS67" s="498" t="n"/>
      <c r="DNT67" s="498" t="n"/>
      <c r="DNU67" s="498" t="n"/>
      <c r="DNV67" s="498" t="n"/>
      <c r="DNW67" s="498" t="n"/>
      <c r="DNX67" s="498" t="n"/>
      <c r="DNY67" s="498" t="n"/>
      <c r="DNZ67" s="498" t="n"/>
      <c r="DOA67" s="498" t="n"/>
      <c r="DOB67" s="498" t="n"/>
      <c r="DOC67" s="498" t="n"/>
      <c r="DOD67" s="498" t="n"/>
      <c r="DOE67" s="498" t="n"/>
      <c r="DOF67" s="498" t="n"/>
      <c r="DOG67" s="498" t="n"/>
      <c r="DOH67" s="498" t="n"/>
      <c r="DOI67" s="498" t="n"/>
      <c r="DOJ67" s="498" t="n"/>
      <c r="DOK67" s="498" t="n"/>
      <c r="DOL67" s="498" t="n"/>
      <c r="DOM67" s="498" t="n"/>
      <c r="DON67" s="498" t="n"/>
      <c r="DOO67" s="498" t="n"/>
      <c r="DOP67" s="498" t="n"/>
      <c r="DOQ67" s="498" t="n"/>
      <c r="DOR67" s="498" t="n"/>
      <c r="DOS67" s="498" t="n"/>
      <c r="DOT67" s="498" t="n"/>
      <c r="DOU67" s="498" t="n"/>
      <c r="DOV67" s="498" t="n"/>
      <c r="DOW67" s="498" t="n"/>
      <c r="DOX67" s="498" t="n"/>
      <c r="DOY67" s="498" t="n"/>
      <c r="DOZ67" s="498" t="n"/>
      <c r="DPA67" s="498" t="n"/>
      <c r="DPB67" s="498" t="n"/>
      <c r="DPC67" s="498" t="n"/>
      <c r="DPD67" s="498" t="n"/>
      <c r="DPE67" s="498" t="n"/>
      <c r="DPF67" s="498" t="n"/>
      <c r="DPG67" s="498" t="n"/>
      <c r="DPH67" s="498" t="n"/>
      <c r="DPI67" s="498" t="n"/>
      <c r="DPJ67" s="498" t="n"/>
      <c r="DPK67" s="498" t="n"/>
      <c r="DPL67" s="498" t="n"/>
      <c r="DPM67" s="498" t="n"/>
      <c r="DPN67" s="498" t="n"/>
      <c r="DPO67" s="498" t="n"/>
      <c r="DPP67" s="498" t="n"/>
      <c r="DPQ67" s="498" t="n"/>
      <c r="DPR67" s="498" t="n"/>
      <c r="DPS67" s="498" t="n"/>
      <c r="DPT67" s="498" t="n"/>
      <c r="DPU67" s="498" t="n"/>
      <c r="DPV67" s="498" t="n"/>
      <c r="DPW67" s="498" t="n"/>
      <c r="DPX67" s="498" t="n"/>
      <c r="DPY67" s="498" t="n"/>
      <c r="DPZ67" s="498" t="n"/>
      <c r="DQA67" s="498" t="n"/>
      <c r="DQB67" s="498" t="n"/>
      <c r="DQC67" s="498" t="n"/>
      <c r="DQD67" s="498" t="n"/>
      <c r="DQE67" s="498" t="n"/>
      <c r="DQF67" s="498" t="n"/>
      <c r="DQG67" s="498" t="n"/>
      <c r="DQH67" s="498" t="n"/>
      <c r="DQI67" s="498" t="n"/>
      <c r="DQJ67" s="498" t="n"/>
      <c r="DQK67" s="498" t="n"/>
      <c r="DQL67" s="498" t="n"/>
      <c r="DQM67" s="498" t="n"/>
      <c r="DQN67" s="498" t="n"/>
      <c r="DQO67" s="498" t="n"/>
      <c r="DQP67" s="498" t="n"/>
      <c r="DQQ67" s="498" t="n"/>
      <c r="DQR67" s="498" t="n"/>
      <c r="DQS67" s="498" t="n"/>
      <c r="DQT67" s="498" t="n"/>
      <c r="DQU67" s="498" t="n"/>
      <c r="DQV67" s="498" t="n"/>
      <c r="DQW67" s="498" t="n"/>
      <c r="DQX67" s="498" t="n"/>
      <c r="DQY67" s="498" t="n"/>
      <c r="DQZ67" s="498" t="n"/>
      <c r="DRA67" s="498" t="n"/>
      <c r="DRB67" s="498" t="n"/>
      <c r="DRC67" s="498" t="n"/>
      <c r="DRD67" s="498" t="n"/>
      <c r="DRE67" s="498" t="n"/>
      <c r="DRF67" s="498" t="n"/>
      <c r="DRG67" s="498" t="n"/>
      <c r="DRH67" s="498" t="n"/>
      <c r="DRI67" s="498" t="n"/>
      <c r="DRJ67" s="498" t="n"/>
      <c r="DRK67" s="498" t="n"/>
      <c r="DRL67" s="498" t="n"/>
      <c r="DRM67" s="498" t="n"/>
      <c r="DRN67" s="498" t="n"/>
      <c r="DRO67" s="498" t="n"/>
      <c r="DRP67" s="498" t="n"/>
      <c r="DRQ67" s="498" t="n"/>
      <c r="DRR67" s="498" t="n"/>
      <c r="DRS67" s="498" t="n"/>
      <c r="DRT67" s="498" t="n"/>
      <c r="DRU67" s="498" t="n"/>
      <c r="DRV67" s="498" t="n"/>
      <c r="DRW67" s="498" t="n"/>
      <c r="DRX67" s="498" t="n"/>
      <c r="DRY67" s="498" t="n"/>
      <c r="DRZ67" s="498" t="n"/>
      <c r="DSA67" s="498" t="n"/>
      <c r="DSB67" s="498" t="n"/>
      <c r="DSC67" s="498" t="n"/>
      <c r="DSD67" s="498" t="n"/>
      <c r="DSE67" s="498" t="n"/>
      <c r="DSF67" s="498" t="n"/>
      <c r="DSG67" s="498" t="n"/>
      <c r="DSH67" s="498" t="n"/>
      <c r="DSI67" s="498" t="n"/>
      <c r="DSJ67" s="498" t="n"/>
      <c r="DSK67" s="498" t="n"/>
      <c r="DSL67" s="498" t="n"/>
      <c r="DSM67" s="498" t="n"/>
      <c r="DSN67" s="498" t="n"/>
      <c r="DSO67" s="498" t="n"/>
      <c r="DSP67" s="498" t="n"/>
      <c r="DSQ67" s="498" t="n"/>
      <c r="DSR67" s="498" t="n"/>
      <c r="DSS67" s="498" t="n"/>
      <c r="DST67" s="498" t="n"/>
      <c r="DSU67" s="498" t="n"/>
      <c r="DSV67" s="498" t="n"/>
      <c r="DSW67" s="498" t="n"/>
      <c r="DSX67" s="498" t="n"/>
      <c r="DSY67" s="498" t="n"/>
      <c r="DSZ67" s="498" t="n"/>
      <c r="DTA67" s="498" t="n"/>
      <c r="DTB67" s="498" t="n"/>
      <c r="DTC67" s="498" t="n"/>
      <c r="DTD67" s="498" t="n"/>
      <c r="DTE67" s="498" t="n"/>
      <c r="DTF67" s="498" t="n"/>
      <c r="DTG67" s="498" t="n"/>
      <c r="DTH67" s="498" t="n"/>
      <c r="DTI67" s="498" t="n"/>
      <c r="DTJ67" s="498" t="n"/>
      <c r="DTK67" s="498" t="n"/>
      <c r="DTL67" s="498" t="n"/>
      <c r="DTM67" s="498" t="n"/>
      <c r="DTN67" s="498" t="n"/>
      <c r="DTO67" s="498" t="n"/>
      <c r="DTP67" s="498" t="n"/>
      <c r="DTQ67" s="498" t="n"/>
      <c r="DTR67" s="498" t="n"/>
      <c r="DTS67" s="498" t="n"/>
      <c r="DTT67" s="498" t="n"/>
      <c r="DTU67" s="498" t="n"/>
      <c r="DTV67" s="498" t="n"/>
      <c r="DTW67" s="498" t="n"/>
      <c r="DTX67" s="498" t="n"/>
      <c r="DTY67" s="498" t="n"/>
      <c r="DTZ67" s="498" t="n"/>
      <c r="DUA67" s="498" t="n"/>
      <c r="DUB67" s="498" t="n"/>
      <c r="DUC67" s="498" t="n"/>
      <c r="DUD67" s="498" t="n"/>
      <c r="DUE67" s="498" t="n"/>
      <c r="DUF67" s="498" t="n"/>
      <c r="DUG67" s="498" t="n"/>
      <c r="DUH67" s="498" t="n"/>
      <c r="DUI67" s="498" t="n"/>
      <c r="DUJ67" s="498" t="n"/>
      <c r="DUK67" s="498" t="n"/>
      <c r="DUL67" s="498" t="n"/>
      <c r="DUM67" s="498" t="n"/>
      <c r="DUN67" s="498" t="n"/>
      <c r="DUO67" s="498" t="n"/>
      <c r="DUP67" s="498" t="n"/>
      <c r="DUQ67" s="498" t="n"/>
      <c r="DUR67" s="498" t="n"/>
      <c r="DUS67" s="498" t="n"/>
      <c r="DUT67" s="498" t="n"/>
      <c r="DUU67" s="498" t="n"/>
      <c r="DUV67" s="498" t="n"/>
      <c r="DUW67" s="498" t="n"/>
      <c r="DUX67" s="498" t="n"/>
      <c r="DUY67" s="498" t="n"/>
      <c r="DUZ67" s="498" t="n"/>
      <c r="DVA67" s="498" t="n"/>
      <c r="DVB67" s="498" t="n"/>
      <c r="DVC67" s="498" t="n"/>
      <c r="DVD67" s="498" t="n"/>
      <c r="DVE67" s="498" t="n"/>
      <c r="DVF67" s="498" t="n"/>
      <c r="DVG67" s="498" t="n"/>
      <c r="DVH67" s="498" t="n"/>
      <c r="DVI67" s="498" t="n"/>
      <c r="DVJ67" s="498" t="n"/>
      <c r="DVK67" s="498" t="n"/>
      <c r="DVL67" s="498" t="n"/>
      <c r="DVM67" s="498" t="n"/>
      <c r="DVN67" s="498" t="n"/>
      <c r="DVO67" s="498" t="n"/>
      <c r="DVP67" s="498" t="n"/>
      <c r="DVQ67" s="498" t="n"/>
      <c r="DVR67" s="498" t="n"/>
      <c r="DVS67" s="498" t="n"/>
      <c r="DVT67" s="498" t="n"/>
      <c r="DVU67" s="498" t="n"/>
      <c r="DVV67" s="498" t="n"/>
      <c r="DVW67" s="498" t="n"/>
      <c r="DVX67" s="498" t="n"/>
      <c r="DVY67" s="498" t="n"/>
      <c r="DVZ67" s="498" t="n"/>
      <c r="DWA67" s="498" t="n"/>
      <c r="DWB67" s="498" t="n"/>
      <c r="DWC67" s="498" t="n"/>
      <c r="DWD67" s="498" t="n"/>
      <c r="DWE67" s="498" t="n"/>
      <c r="DWF67" s="498" t="n"/>
      <c r="DWG67" s="498" t="n"/>
      <c r="DWH67" s="498" t="n"/>
      <c r="DWI67" s="498" t="n"/>
      <c r="DWJ67" s="498" t="n"/>
      <c r="DWK67" s="498" t="n"/>
      <c r="DWL67" s="498" t="n"/>
      <c r="DWM67" s="498" t="n"/>
      <c r="DWN67" s="498" t="n"/>
      <c r="DWO67" s="498" t="n"/>
      <c r="DWP67" s="498" t="n"/>
      <c r="DWQ67" s="498" t="n"/>
      <c r="DWR67" s="498" t="n"/>
      <c r="DWS67" s="498" t="n"/>
      <c r="DWT67" s="498" t="n"/>
      <c r="DWU67" s="498" t="n"/>
      <c r="DWV67" s="498" t="n"/>
      <c r="DWW67" s="498" t="n"/>
      <c r="DWX67" s="498" t="n"/>
      <c r="DWY67" s="498" t="n"/>
      <c r="DWZ67" s="498" t="n"/>
      <c r="DXA67" s="498" t="n"/>
      <c r="DXB67" s="498" t="n"/>
      <c r="DXC67" s="498" t="n"/>
      <c r="DXD67" s="498" t="n"/>
      <c r="DXE67" s="498" t="n"/>
      <c r="DXF67" s="498" t="n"/>
      <c r="DXG67" s="498" t="n"/>
      <c r="DXH67" s="498" t="n"/>
      <c r="DXI67" s="498" t="n"/>
      <c r="DXJ67" s="498" t="n"/>
      <c r="DXK67" s="498" t="n"/>
      <c r="DXL67" s="498" t="n"/>
      <c r="DXM67" s="498" t="n"/>
      <c r="DXN67" s="498" t="n"/>
      <c r="DXO67" s="498" t="n"/>
      <c r="DXP67" s="498" t="n"/>
      <c r="DXQ67" s="498" t="n"/>
      <c r="DXR67" s="498" t="n"/>
      <c r="DXS67" s="498" t="n"/>
      <c r="DXT67" s="498" t="n"/>
      <c r="DXU67" s="498" t="n"/>
      <c r="DXV67" s="498" t="n"/>
      <c r="DXW67" s="498" t="n"/>
      <c r="DXX67" s="498" t="n"/>
      <c r="DXY67" s="498" t="n"/>
      <c r="DXZ67" s="498" t="n"/>
      <c r="DYA67" s="498" t="n"/>
      <c r="DYB67" s="498" t="n"/>
      <c r="DYC67" s="498" t="n"/>
      <c r="DYD67" s="498" t="n"/>
      <c r="DYE67" s="498" t="n"/>
      <c r="DYF67" s="498" t="n"/>
      <c r="DYG67" s="498" t="n"/>
      <c r="DYH67" s="498" t="n"/>
      <c r="DYI67" s="498" t="n"/>
      <c r="DYJ67" s="498" t="n"/>
      <c r="DYK67" s="498" t="n"/>
      <c r="DYL67" s="498" t="n"/>
      <c r="DYM67" s="498" t="n"/>
      <c r="DYN67" s="498" t="n"/>
      <c r="DYO67" s="498" t="n"/>
      <c r="DYP67" s="498" t="n"/>
      <c r="DYQ67" s="498" t="n"/>
      <c r="DYR67" s="498" t="n"/>
      <c r="DYS67" s="498" t="n"/>
      <c r="DYT67" s="498" t="n"/>
      <c r="DYU67" s="498" t="n"/>
      <c r="DYV67" s="498" t="n"/>
      <c r="DYW67" s="498" t="n"/>
      <c r="DYX67" s="498" t="n"/>
      <c r="DYY67" s="498" t="n"/>
      <c r="DYZ67" s="498" t="n"/>
      <c r="DZA67" s="498" t="n"/>
      <c r="DZB67" s="498" t="n"/>
      <c r="DZC67" s="498" t="n"/>
      <c r="DZD67" s="498" t="n"/>
      <c r="DZE67" s="498" t="n"/>
      <c r="DZF67" s="498" t="n"/>
      <c r="DZG67" s="498" t="n"/>
      <c r="DZH67" s="498" t="n"/>
      <c r="DZI67" s="498" t="n"/>
      <c r="DZJ67" s="498" t="n"/>
      <c r="DZK67" s="498" t="n"/>
      <c r="DZL67" s="498" t="n"/>
      <c r="DZM67" s="498" t="n"/>
      <c r="DZN67" s="498" t="n"/>
      <c r="DZO67" s="498" t="n"/>
      <c r="DZP67" s="498" t="n"/>
      <c r="DZQ67" s="498" t="n"/>
      <c r="DZR67" s="498" t="n"/>
      <c r="DZS67" s="498" t="n"/>
      <c r="DZT67" s="498" t="n"/>
      <c r="DZU67" s="498" t="n"/>
      <c r="DZV67" s="498" t="n"/>
      <c r="DZW67" s="498" t="n"/>
      <c r="DZX67" s="498" t="n"/>
      <c r="DZY67" s="498" t="n"/>
      <c r="DZZ67" s="498" t="n"/>
      <c r="EAA67" s="498" t="n"/>
      <c r="EAB67" s="498" t="n"/>
      <c r="EAC67" s="498" t="n"/>
      <c r="EAD67" s="498" t="n"/>
      <c r="EAE67" s="498" t="n"/>
      <c r="EAF67" s="498" t="n"/>
      <c r="EAG67" s="498" t="n"/>
      <c r="EAH67" s="498" t="n"/>
      <c r="EAI67" s="498" t="n"/>
      <c r="EAJ67" s="498" t="n"/>
      <c r="EAK67" s="498" t="n"/>
      <c r="EAL67" s="498" t="n"/>
      <c r="EAM67" s="498" t="n"/>
      <c r="EAN67" s="498" t="n"/>
      <c r="EAO67" s="498" t="n"/>
      <c r="EAP67" s="498" t="n"/>
      <c r="EAQ67" s="498" t="n"/>
      <c r="EAR67" s="498" t="n"/>
      <c r="EAS67" s="498" t="n"/>
      <c r="EAT67" s="498" t="n"/>
      <c r="EAU67" s="498" t="n"/>
      <c r="EAV67" s="498" t="n"/>
      <c r="EAW67" s="498" t="n"/>
      <c r="EAX67" s="498" t="n"/>
      <c r="EAY67" s="498" t="n"/>
      <c r="EAZ67" s="498" t="n"/>
      <c r="EBA67" s="498" t="n"/>
      <c r="EBB67" s="498" t="n"/>
      <c r="EBC67" s="498" t="n"/>
      <c r="EBD67" s="498" t="n"/>
      <c r="EBE67" s="498" t="n"/>
      <c r="EBF67" s="498" t="n"/>
      <c r="EBG67" s="498" t="n"/>
      <c r="EBH67" s="498" t="n"/>
      <c r="EBI67" s="498" t="n"/>
      <c r="EBJ67" s="498" t="n"/>
      <c r="EBK67" s="498" t="n"/>
      <c r="EBL67" s="498" t="n"/>
      <c r="EBM67" s="498" t="n"/>
      <c r="EBN67" s="498" t="n"/>
      <c r="EBO67" s="498" t="n"/>
      <c r="EBP67" s="498" t="n"/>
      <c r="EBQ67" s="498" t="n"/>
      <c r="EBR67" s="498" t="n"/>
      <c r="EBS67" s="498" t="n"/>
      <c r="EBT67" s="498" t="n"/>
      <c r="EBU67" s="498" t="n"/>
      <c r="EBV67" s="498" t="n"/>
      <c r="EBW67" s="498" t="n"/>
      <c r="EBX67" s="498" t="n"/>
      <c r="EBY67" s="498" t="n"/>
      <c r="EBZ67" s="498" t="n"/>
      <c r="ECA67" s="498" t="n"/>
      <c r="ECB67" s="498" t="n"/>
      <c r="ECC67" s="498" t="n"/>
      <c r="ECD67" s="498" t="n"/>
      <c r="ECE67" s="498" t="n"/>
      <c r="ECF67" s="498" t="n"/>
      <c r="ECG67" s="498" t="n"/>
      <c r="ECH67" s="498" t="n"/>
      <c r="ECI67" s="498" t="n"/>
      <c r="ECJ67" s="498" t="n"/>
      <c r="ECK67" s="498" t="n"/>
      <c r="ECL67" s="498" t="n"/>
      <c r="ECM67" s="498" t="n"/>
      <c r="ECN67" s="498" t="n"/>
      <c r="ECO67" s="498" t="n"/>
      <c r="ECP67" s="498" t="n"/>
      <c r="ECQ67" s="498" t="n"/>
      <c r="ECR67" s="498" t="n"/>
      <c r="ECS67" s="498" t="n"/>
      <c r="ECT67" s="498" t="n"/>
      <c r="ECU67" s="498" t="n"/>
      <c r="ECV67" s="498" t="n"/>
      <c r="ECW67" s="498" t="n"/>
      <c r="ECX67" s="498" t="n"/>
      <c r="ECY67" s="498" t="n"/>
      <c r="ECZ67" s="498" t="n"/>
      <c r="EDA67" s="498" t="n"/>
      <c r="EDB67" s="498" t="n"/>
      <c r="EDC67" s="498" t="n"/>
      <c r="EDD67" s="498" t="n"/>
      <c r="EDE67" s="498" t="n"/>
      <c r="EDF67" s="498" t="n"/>
      <c r="EDG67" s="498" t="n"/>
      <c r="EDH67" s="498" t="n"/>
      <c r="EDI67" s="498" t="n"/>
      <c r="EDJ67" s="498" t="n"/>
      <c r="EDK67" s="498" t="n"/>
      <c r="EDL67" s="498" t="n"/>
      <c r="EDM67" s="498" t="n"/>
      <c r="EDN67" s="498" t="n"/>
      <c r="EDO67" s="498" t="n"/>
      <c r="EDP67" s="498" t="n"/>
      <c r="EDQ67" s="498" t="n"/>
      <c r="EDR67" s="498" t="n"/>
      <c r="EDS67" s="498" t="n"/>
      <c r="EDT67" s="498" t="n"/>
      <c r="EDU67" s="498" t="n"/>
      <c r="EDV67" s="498" t="n"/>
      <c r="EDW67" s="498" t="n"/>
      <c r="EDX67" s="498" t="n"/>
      <c r="EDY67" s="498" t="n"/>
      <c r="EDZ67" s="498" t="n"/>
      <c r="EEA67" s="498" t="n"/>
      <c r="EEB67" s="498" t="n"/>
      <c r="EEC67" s="498" t="n"/>
      <c r="EED67" s="498" t="n"/>
      <c r="EEE67" s="498" t="n"/>
      <c r="EEF67" s="498" t="n"/>
      <c r="EEG67" s="498" t="n"/>
      <c r="EEH67" s="498" t="n"/>
      <c r="EEI67" s="498" t="n"/>
      <c r="EEJ67" s="498" t="n"/>
      <c r="EEK67" s="498" t="n"/>
      <c r="EEL67" s="498" t="n"/>
      <c r="EEM67" s="498" t="n"/>
      <c r="EEN67" s="498" t="n"/>
      <c r="EEO67" s="498" t="n"/>
      <c r="EEP67" s="498" t="n"/>
      <c r="EEQ67" s="498" t="n"/>
      <c r="EER67" s="498" t="n"/>
      <c r="EES67" s="498" t="n"/>
      <c r="EET67" s="498" t="n"/>
      <c r="EEU67" s="498" t="n"/>
      <c r="EEV67" s="498" t="n"/>
      <c r="EEW67" s="498" t="n"/>
      <c r="EEX67" s="498" t="n"/>
      <c r="EEY67" s="498" t="n"/>
      <c r="EEZ67" s="498" t="n"/>
      <c r="EFA67" s="498" t="n"/>
      <c r="EFB67" s="498" t="n"/>
      <c r="EFC67" s="498" t="n"/>
      <c r="EFD67" s="498" t="n"/>
      <c r="EFE67" s="498" t="n"/>
      <c r="EFF67" s="498" t="n"/>
      <c r="EFG67" s="498" t="n"/>
      <c r="EFH67" s="498" t="n"/>
      <c r="EFI67" s="498" t="n"/>
      <c r="EFJ67" s="498" t="n"/>
      <c r="EFK67" s="498" t="n"/>
      <c r="EFL67" s="498" t="n"/>
      <c r="EFM67" s="498" t="n"/>
      <c r="EFN67" s="498" t="n"/>
      <c r="EFO67" s="498" t="n"/>
      <c r="EFP67" s="498" t="n"/>
      <c r="EFQ67" s="498" t="n"/>
      <c r="EFR67" s="498" t="n"/>
      <c r="EFS67" s="498" t="n"/>
      <c r="EFT67" s="498" t="n"/>
      <c r="EFU67" s="498" t="n"/>
      <c r="EFV67" s="498" t="n"/>
      <c r="EFW67" s="498" t="n"/>
      <c r="EFX67" s="498" t="n"/>
      <c r="EFY67" s="498" t="n"/>
      <c r="EFZ67" s="498" t="n"/>
      <c r="EGA67" s="498" t="n"/>
      <c r="EGB67" s="498" t="n"/>
      <c r="EGC67" s="498" t="n"/>
      <c r="EGD67" s="498" t="n"/>
      <c r="EGE67" s="498" t="n"/>
      <c r="EGF67" s="498" t="n"/>
      <c r="EGG67" s="498" t="n"/>
      <c r="EGH67" s="498" t="n"/>
      <c r="EGI67" s="498" t="n"/>
      <c r="EGJ67" s="498" t="n"/>
      <c r="EGK67" s="498" t="n"/>
      <c r="EGL67" s="498" t="n"/>
      <c r="EGM67" s="498" t="n"/>
      <c r="EGN67" s="498" t="n"/>
      <c r="EGO67" s="498" t="n"/>
      <c r="EGP67" s="498" t="n"/>
      <c r="EGQ67" s="498" t="n"/>
      <c r="EGR67" s="498" t="n"/>
      <c r="EGS67" s="498" t="n"/>
      <c r="EGT67" s="498" t="n"/>
      <c r="EGU67" s="498" t="n"/>
      <c r="EGV67" s="498" t="n"/>
      <c r="EGW67" s="498" t="n"/>
      <c r="EGX67" s="498" t="n"/>
      <c r="EGY67" s="498" t="n"/>
      <c r="EGZ67" s="498" t="n"/>
      <c r="EHA67" s="498" t="n"/>
      <c r="EHB67" s="498" t="n"/>
      <c r="EHC67" s="498" t="n"/>
      <c r="EHD67" s="498" t="n"/>
      <c r="EHE67" s="498" t="n"/>
      <c r="EHF67" s="498" t="n"/>
      <c r="EHG67" s="498" t="n"/>
      <c r="EHH67" s="498" t="n"/>
      <c r="EHI67" s="498" t="n"/>
      <c r="EHJ67" s="498" t="n"/>
      <c r="EHK67" s="498" t="n"/>
      <c r="EHL67" s="498" t="n"/>
      <c r="EHM67" s="498" t="n"/>
      <c r="EHN67" s="498" t="n"/>
      <c r="EHO67" s="498" t="n"/>
      <c r="EHP67" s="498" t="n"/>
      <c r="EHQ67" s="498" t="n"/>
      <c r="EHR67" s="498" t="n"/>
      <c r="EHS67" s="498" t="n"/>
      <c r="EHT67" s="498" t="n"/>
      <c r="EHU67" s="498" t="n"/>
      <c r="EHV67" s="498" t="n"/>
      <c r="EHW67" s="498" t="n"/>
      <c r="EHX67" s="498" t="n"/>
      <c r="EHY67" s="498" t="n"/>
      <c r="EHZ67" s="498" t="n"/>
      <c r="EIA67" s="498" t="n"/>
      <c r="EIB67" s="498" t="n"/>
      <c r="EIC67" s="498" t="n"/>
      <c r="EID67" s="498" t="n"/>
      <c r="EIE67" s="498" t="n"/>
      <c r="EIF67" s="498" t="n"/>
      <c r="EIG67" s="498" t="n"/>
      <c r="EIH67" s="498" t="n"/>
      <c r="EII67" s="498" t="n"/>
      <c r="EIJ67" s="498" t="n"/>
      <c r="EIK67" s="498" t="n"/>
      <c r="EIL67" s="498" t="n"/>
      <c r="EIM67" s="498" t="n"/>
      <c r="EIN67" s="498" t="n"/>
      <c r="EIO67" s="498" t="n"/>
      <c r="EIP67" s="498" t="n"/>
      <c r="EIQ67" s="498" t="n"/>
      <c r="EIR67" s="498" t="n"/>
      <c r="EIS67" s="498" t="n"/>
      <c r="EIT67" s="498" t="n"/>
      <c r="EIU67" s="498" t="n"/>
      <c r="EIV67" s="498" t="n"/>
      <c r="EIW67" s="498" t="n"/>
      <c r="EIX67" s="498" t="n"/>
      <c r="EIY67" s="498" t="n"/>
      <c r="EIZ67" s="498" t="n"/>
      <c r="EJA67" s="498" t="n"/>
      <c r="EJB67" s="498" t="n"/>
      <c r="EJC67" s="498" t="n"/>
      <c r="EJD67" s="498" t="n"/>
      <c r="EJE67" s="498" t="n"/>
      <c r="EJF67" s="498" t="n"/>
      <c r="EJG67" s="498" t="n"/>
      <c r="EJH67" s="498" t="n"/>
      <c r="EJI67" s="498" t="n"/>
      <c r="EJJ67" s="498" t="n"/>
      <c r="EJK67" s="498" t="n"/>
      <c r="EJL67" s="498" t="n"/>
      <c r="EJM67" s="498" t="n"/>
      <c r="EJN67" s="498" t="n"/>
      <c r="EJO67" s="498" t="n"/>
      <c r="EJP67" s="498" t="n"/>
      <c r="EJQ67" s="498" t="n"/>
      <c r="EJR67" s="498" t="n"/>
      <c r="EJS67" s="498" t="n"/>
      <c r="EJT67" s="498" t="n"/>
      <c r="EJU67" s="498" t="n"/>
      <c r="EJV67" s="498" t="n"/>
      <c r="EJW67" s="498" t="n"/>
      <c r="EJX67" s="498" t="n"/>
      <c r="EJY67" s="498" t="n"/>
      <c r="EJZ67" s="498" t="n"/>
      <c r="EKA67" s="498" t="n"/>
      <c r="EKB67" s="498" t="n"/>
      <c r="EKC67" s="498" t="n"/>
      <c r="EKD67" s="498" t="n"/>
      <c r="EKE67" s="498" t="n"/>
      <c r="EKF67" s="498" t="n"/>
      <c r="EKG67" s="498" t="n"/>
      <c r="EKH67" s="498" t="n"/>
      <c r="EKI67" s="498" t="n"/>
      <c r="EKJ67" s="498" t="n"/>
      <c r="EKK67" s="498" t="n"/>
      <c r="EKL67" s="498" t="n"/>
      <c r="EKM67" s="498" t="n"/>
      <c r="EKN67" s="498" t="n"/>
      <c r="EKO67" s="498" t="n"/>
      <c r="EKP67" s="498" t="n"/>
      <c r="EKQ67" s="498" t="n"/>
      <c r="EKR67" s="498" t="n"/>
      <c r="EKS67" s="498" t="n"/>
      <c r="EKT67" s="498" t="n"/>
      <c r="EKU67" s="498" t="n"/>
      <c r="EKV67" s="498" t="n"/>
      <c r="EKW67" s="498" t="n"/>
      <c r="EKX67" s="498" t="n"/>
      <c r="EKY67" s="498" t="n"/>
      <c r="EKZ67" s="498" t="n"/>
      <c r="ELA67" s="498" t="n"/>
      <c r="ELB67" s="498" t="n"/>
      <c r="ELC67" s="498" t="n"/>
      <c r="ELD67" s="498" t="n"/>
      <c r="ELE67" s="498" t="n"/>
      <c r="ELF67" s="498" t="n"/>
      <c r="ELG67" s="498" t="n"/>
      <c r="ELH67" s="498" t="n"/>
      <c r="ELI67" s="498" t="n"/>
      <c r="ELJ67" s="498" t="n"/>
      <c r="ELK67" s="498" t="n"/>
      <c r="ELL67" s="498" t="n"/>
      <c r="ELM67" s="498" t="n"/>
      <c r="ELN67" s="498" t="n"/>
      <c r="ELO67" s="498" t="n"/>
      <c r="ELP67" s="498" t="n"/>
      <c r="ELQ67" s="498" t="n"/>
      <c r="ELR67" s="498" t="n"/>
      <c r="ELS67" s="498" t="n"/>
      <c r="ELT67" s="498" t="n"/>
      <c r="ELU67" s="498" t="n"/>
      <c r="ELV67" s="498" t="n"/>
      <c r="ELW67" s="498" t="n"/>
      <c r="ELX67" s="498" t="n"/>
      <c r="ELY67" s="498" t="n"/>
      <c r="ELZ67" s="498" t="n"/>
      <c r="EMA67" s="498" t="n"/>
      <c r="EMB67" s="498" t="n"/>
      <c r="EMC67" s="498" t="n"/>
      <c r="EMD67" s="498" t="n"/>
      <c r="EME67" s="498" t="n"/>
      <c r="EMF67" s="498" t="n"/>
      <c r="EMG67" s="498" t="n"/>
      <c r="EMH67" s="498" t="n"/>
      <c r="EMI67" s="498" t="n"/>
      <c r="EMJ67" s="498" t="n"/>
      <c r="EMK67" s="498" t="n"/>
      <c r="EML67" s="498" t="n"/>
      <c r="EMM67" s="498" t="n"/>
      <c r="EMN67" s="498" t="n"/>
      <c r="EMO67" s="498" t="n"/>
      <c r="EMP67" s="498" t="n"/>
      <c r="EMQ67" s="498" t="n"/>
      <c r="EMR67" s="498" t="n"/>
      <c r="EMS67" s="498" t="n"/>
      <c r="EMT67" s="498" t="n"/>
      <c r="EMU67" s="498" t="n"/>
      <c r="EMV67" s="498" t="n"/>
      <c r="EMW67" s="498" t="n"/>
      <c r="EMX67" s="498" t="n"/>
      <c r="EMY67" s="498" t="n"/>
      <c r="EMZ67" s="498" t="n"/>
      <c r="ENA67" s="498" t="n"/>
      <c r="ENB67" s="498" t="n"/>
      <c r="ENC67" s="498" t="n"/>
      <c r="END67" s="498" t="n"/>
      <c r="ENE67" s="498" t="n"/>
      <c r="ENF67" s="498" t="n"/>
      <c r="ENG67" s="498" t="n"/>
      <c r="ENH67" s="498" t="n"/>
      <c r="ENI67" s="498" t="n"/>
      <c r="ENJ67" s="498" t="n"/>
      <c r="ENK67" s="498" t="n"/>
      <c r="ENL67" s="498" t="n"/>
      <c r="ENM67" s="498" t="n"/>
      <c r="ENN67" s="498" t="n"/>
      <c r="ENO67" s="498" t="n"/>
      <c r="ENP67" s="498" t="n"/>
      <c r="ENQ67" s="498" t="n"/>
      <c r="ENR67" s="498" t="n"/>
      <c r="ENS67" s="498" t="n"/>
      <c r="ENT67" s="498" t="n"/>
      <c r="ENU67" s="498" t="n"/>
      <c r="ENV67" s="498" t="n"/>
      <c r="ENW67" s="498" t="n"/>
      <c r="ENX67" s="498" t="n"/>
      <c r="ENY67" s="498" t="n"/>
      <c r="ENZ67" s="498" t="n"/>
      <c r="EOA67" s="498" t="n"/>
      <c r="EOB67" s="498" t="n"/>
      <c r="EOC67" s="498" t="n"/>
      <c r="EOD67" s="498" t="n"/>
      <c r="EOE67" s="498" t="n"/>
      <c r="EOF67" s="498" t="n"/>
      <c r="EOG67" s="498" t="n"/>
      <c r="EOH67" s="498" t="n"/>
      <c r="EOI67" s="498" t="n"/>
      <c r="EOJ67" s="498" t="n"/>
      <c r="EOK67" s="498" t="n"/>
      <c r="EOL67" s="498" t="n"/>
      <c r="EOM67" s="498" t="n"/>
      <c r="EON67" s="498" t="n"/>
      <c r="EOO67" s="498" t="n"/>
      <c r="EOP67" s="498" t="n"/>
      <c r="EOQ67" s="498" t="n"/>
      <c r="EOR67" s="498" t="n"/>
      <c r="EOS67" s="498" t="n"/>
      <c r="EOT67" s="498" t="n"/>
      <c r="EOU67" s="498" t="n"/>
      <c r="EOV67" s="498" t="n"/>
      <c r="EOW67" s="498" t="n"/>
      <c r="EOX67" s="498" t="n"/>
      <c r="EOY67" s="498" t="n"/>
      <c r="EOZ67" s="498" t="n"/>
      <c r="EPA67" s="498" t="n"/>
      <c r="EPB67" s="498" t="n"/>
      <c r="EPC67" s="498" t="n"/>
      <c r="EPD67" s="498" t="n"/>
      <c r="EPE67" s="498" t="n"/>
      <c r="EPF67" s="498" t="n"/>
      <c r="EPG67" s="498" t="n"/>
      <c r="EPH67" s="498" t="n"/>
      <c r="EPI67" s="498" t="n"/>
      <c r="EPJ67" s="498" t="n"/>
      <c r="EPK67" s="498" t="n"/>
      <c r="EPL67" s="498" t="n"/>
      <c r="EPM67" s="498" t="n"/>
      <c r="EPN67" s="498" t="n"/>
      <c r="EPO67" s="498" t="n"/>
      <c r="EPP67" s="498" t="n"/>
      <c r="EPQ67" s="498" t="n"/>
      <c r="EPR67" s="498" t="n"/>
      <c r="EPS67" s="498" t="n"/>
      <c r="EPT67" s="498" t="n"/>
      <c r="EPU67" s="498" t="n"/>
      <c r="EPV67" s="498" t="n"/>
      <c r="EPW67" s="498" t="n"/>
      <c r="EPX67" s="498" t="n"/>
      <c r="EPY67" s="498" t="n"/>
      <c r="EPZ67" s="498" t="n"/>
      <c r="EQA67" s="498" t="n"/>
      <c r="EQB67" s="498" t="n"/>
      <c r="EQC67" s="498" t="n"/>
      <c r="EQD67" s="498" t="n"/>
      <c r="EQE67" s="498" t="n"/>
      <c r="EQF67" s="498" t="n"/>
      <c r="EQG67" s="498" t="n"/>
      <c r="EQH67" s="498" t="n"/>
      <c r="EQI67" s="498" t="n"/>
      <c r="EQJ67" s="498" t="n"/>
      <c r="EQK67" s="498" t="n"/>
      <c r="EQL67" s="498" t="n"/>
      <c r="EQM67" s="498" t="n"/>
      <c r="EQN67" s="498" t="n"/>
      <c r="EQO67" s="498" t="n"/>
      <c r="EQP67" s="498" t="n"/>
      <c r="EQQ67" s="498" t="n"/>
      <c r="EQR67" s="498" t="n"/>
      <c r="EQS67" s="498" t="n"/>
      <c r="EQT67" s="498" t="n"/>
      <c r="EQU67" s="498" t="n"/>
      <c r="EQV67" s="498" t="n"/>
      <c r="EQW67" s="498" t="n"/>
      <c r="EQX67" s="498" t="n"/>
      <c r="EQY67" s="498" t="n"/>
      <c r="EQZ67" s="498" t="n"/>
      <c r="ERA67" s="498" t="n"/>
      <c r="ERB67" s="498" t="n"/>
      <c r="ERC67" s="498" t="n"/>
      <c r="ERD67" s="498" t="n"/>
      <c r="ERE67" s="498" t="n"/>
      <c r="ERF67" s="498" t="n"/>
      <c r="ERG67" s="498" t="n"/>
      <c r="ERH67" s="498" t="n"/>
      <c r="ERI67" s="498" t="n"/>
      <c r="ERJ67" s="498" t="n"/>
      <c r="ERK67" s="498" t="n"/>
      <c r="ERL67" s="498" t="n"/>
      <c r="ERM67" s="498" t="n"/>
      <c r="ERN67" s="498" t="n"/>
      <c r="ERO67" s="498" t="n"/>
      <c r="ERP67" s="498" t="n"/>
      <c r="ERQ67" s="498" t="n"/>
      <c r="ERR67" s="498" t="n"/>
      <c r="ERS67" s="498" t="n"/>
      <c r="ERT67" s="498" t="n"/>
      <c r="ERU67" s="498" t="n"/>
      <c r="ERV67" s="498" t="n"/>
      <c r="ERW67" s="498" t="n"/>
      <c r="ERX67" s="498" t="n"/>
      <c r="ERY67" s="498" t="n"/>
      <c r="ERZ67" s="498" t="n"/>
      <c r="ESA67" s="498" t="n"/>
      <c r="ESB67" s="498" t="n"/>
      <c r="ESC67" s="498" t="n"/>
      <c r="ESD67" s="498" t="n"/>
      <c r="ESE67" s="498" t="n"/>
      <c r="ESF67" s="498" t="n"/>
      <c r="ESG67" s="498" t="n"/>
      <c r="ESH67" s="498" t="n"/>
      <c r="ESI67" s="498" t="n"/>
      <c r="ESJ67" s="498" t="n"/>
      <c r="ESK67" s="498" t="n"/>
      <c r="ESL67" s="498" t="n"/>
      <c r="ESM67" s="498" t="n"/>
      <c r="ESN67" s="498" t="n"/>
      <c r="ESO67" s="498" t="n"/>
      <c r="ESP67" s="498" t="n"/>
      <c r="ESQ67" s="498" t="n"/>
      <c r="ESR67" s="498" t="n"/>
      <c r="ESS67" s="498" t="n"/>
      <c r="EST67" s="498" t="n"/>
      <c r="ESU67" s="498" t="n"/>
      <c r="ESV67" s="498" t="n"/>
      <c r="ESW67" s="498" t="n"/>
      <c r="ESX67" s="498" t="n"/>
      <c r="ESY67" s="498" t="n"/>
      <c r="ESZ67" s="498" t="n"/>
      <c r="ETA67" s="498" t="n"/>
      <c r="ETB67" s="498" t="n"/>
      <c r="ETC67" s="498" t="n"/>
      <c r="ETD67" s="498" t="n"/>
      <c r="ETE67" s="498" t="n"/>
      <c r="ETF67" s="498" t="n"/>
      <c r="ETG67" s="498" t="n"/>
      <c r="ETH67" s="498" t="n"/>
      <c r="ETI67" s="498" t="n"/>
      <c r="ETJ67" s="498" t="n"/>
      <c r="ETK67" s="498" t="n"/>
      <c r="ETL67" s="498" t="n"/>
      <c r="ETM67" s="498" t="n"/>
      <c r="ETN67" s="498" t="n"/>
      <c r="ETO67" s="498" t="n"/>
      <c r="ETP67" s="498" t="n"/>
      <c r="ETQ67" s="498" t="n"/>
      <c r="ETR67" s="498" t="n"/>
      <c r="ETS67" s="498" t="n"/>
      <c r="ETT67" s="498" t="n"/>
      <c r="ETU67" s="498" t="n"/>
      <c r="ETV67" s="498" t="n"/>
      <c r="ETW67" s="498" t="n"/>
      <c r="ETX67" s="498" t="n"/>
      <c r="ETY67" s="498" t="n"/>
      <c r="ETZ67" s="498" t="n"/>
      <c r="EUA67" s="498" t="n"/>
      <c r="EUB67" s="498" t="n"/>
      <c r="EUC67" s="498" t="n"/>
      <c r="EUD67" s="498" t="n"/>
      <c r="EUE67" s="498" t="n"/>
      <c r="EUF67" s="498" t="n"/>
      <c r="EUG67" s="498" t="n"/>
      <c r="EUH67" s="498" t="n"/>
      <c r="EUI67" s="498" t="n"/>
      <c r="EUJ67" s="498" t="n"/>
      <c r="EUK67" s="498" t="n"/>
      <c r="EUL67" s="498" t="n"/>
      <c r="EUM67" s="498" t="n"/>
      <c r="EUN67" s="498" t="n"/>
      <c r="EUO67" s="498" t="n"/>
      <c r="EUP67" s="498" t="n"/>
      <c r="EUQ67" s="498" t="n"/>
      <c r="EUR67" s="498" t="n"/>
      <c r="EUS67" s="498" t="n"/>
      <c r="EUT67" s="498" t="n"/>
      <c r="EUU67" s="498" t="n"/>
      <c r="EUV67" s="498" t="n"/>
      <c r="EUW67" s="498" t="n"/>
      <c r="EUX67" s="498" t="n"/>
      <c r="EUY67" s="498" t="n"/>
      <c r="EUZ67" s="498" t="n"/>
      <c r="EVA67" s="498" t="n"/>
      <c r="EVB67" s="498" t="n"/>
      <c r="EVC67" s="498" t="n"/>
      <c r="EVD67" s="498" t="n"/>
      <c r="EVE67" s="498" t="n"/>
      <c r="EVF67" s="498" t="n"/>
      <c r="EVG67" s="498" t="n"/>
      <c r="EVH67" s="498" t="n"/>
      <c r="EVI67" s="498" t="n"/>
      <c r="EVJ67" s="498" t="n"/>
      <c r="EVK67" s="498" t="n"/>
      <c r="EVL67" s="498" t="n"/>
      <c r="EVM67" s="498" t="n"/>
      <c r="EVN67" s="498" t="n"/>
      <c r="EVO67" s="498" t="n"/>
      <c r="EVP67" s="498" t="n"/>
      <c r="EVQ67" s="498" t="n"/>
      <c r="EVR67" s="498" t="n"/>
      <c r="EVS67" s="498" t="n"/>
      <c r="EVT67" s="498" t="n"/>
      <c r="EVU67" s="498" t="n"/>
      <c r="EVV67" s="498" t="n"/>
      <c r="EVW67" s="498" t="n"/>
      <c r="EVX67" s="498" t="n"/>
      <c r="EVY67" s="498" t="n"/>
      <c r="EVZ67" s="498" t="n"/>
      <c r="EWA67" s="498" t="n"/>
      <c r="EWB67" s="498" t="n"/>
      <c r="EWC67" s="498" t="n"/>
      <c r="EWD67" s="498" t="n"/>
      <c r="EWE67" s="498" t="n"/>
      <c r="EWF67" s="498" t="n"/>
      <c r="EWG67" s="498" t="n"/>
      <c r="EWH67" s="498" t="n"/>
      <c r="EWI67" s="498" t="n"/>
      <c r="EWJ67" s="498" t="n"/>
      <c r="EWK67" s="498" t="n"/>
      <c r="EWL67" s="498" t="n"/>
      <c r="EWM67" s="498" t="n"/>
      <c r="EWN67" s="498" t="n"/>
      <c r="EWO67" s="498" t="n"/>
      <c r="EWP67" s="498" t="n"/>
      <c r="EWQ67" s="498" t="n"/>
      <c r="EWR67" s="498" t="n"/>
      <c r="EWS67" s="498" t="n"/>
      <c r="EWT67" s="498" t="n"/>
      <c r="EWU67" s="498" t="n"/>
      <c r="EWV67" s="498" t="n"/>
      <c r="EWW67" s="498" t="n"/>
      <c r="EWX67" s="498" t="n"/>
      <c r="EWY67" s="498" t="n"/>
      <c r="EWZ67" s="498" t="n"/>
      <c r="EXA67" s="498" t="n"/>
      <c r="EXB67" s="498" t="n"/>
      <c r="EXC67" s="498" t="n"/>
      <c r="EXD67" s="498" t="n"/>
      <c r="EXE67" s="498" t="n"/>
      <c r="EXF67" s="498" t="n"/>
      <c r="EXG67" s="498" t="n"/>
      <c r="EXH67" s="498" t="n"/>
      <c r="EXI67" s="498" t="n"/>
      <c r="EXJ67" s="498" t="n"/>
      <c r="EXK67" s="498" t="n"/>
      <c r="EXL67" s="498" t="n"/>
      <c r="EXM67" s="498" t="n"/>
      <c r="EXN67" s="498" t="n"/>
      <c r="EXO67" s="498" t="n"/>
      <c r="EXP67" s="498" t="n"/>
      <c r="EXQ67" s="498" t="n"/>
      <c r="EXR67" s="498" t="n"/>
      <c r="EXS67" s="498" t="n"/>
      <c r="EXT67" s="498" t="n"/>
      <c r="EXU67" s="498" t="n"/>
      <c r="EXV67" s="498" t="n"/>
      <c r="EXW67" s="498" t="n"/>
      <c r="EXX67" s="498" t="n"/>
      <c r="EXY67" s="498" t="n"/>
      <c r="EXZ67" s="498" t="n"/>
      <c r="EYA67" s="498" t="n"/>
      <c r="EYB67" s="498" t="n"/>
      <c r="EYC67" s="498" t="n"/>
      <c r="EYD67" s="498" t="n"/>
      <c r="EYE67" s="498" t="n"/>
      <c r="EYF67" s="498" t="n"/>
      <c r="EYG67" s="498" t="n"/>
      <c r="EYH67" s="498" t="n"/>
      <c r="EYI67" s="498" t="n"/>
      <c r="EYJ67" s="498" t="n"/>
      <c r="EYK67" s="498" t="n"/>
      <c r="EYL67" s="498" t="n"/>
      <c r="EYM67" s="498" t="n"/>
      <c r="EYN67" s="498" t="n"/>
      <c r="EYO67" s="498" t="n"/>
      <c r="EYP67" s="498" t="n"/>
      <c r="EYQ67" s="498" t="n"/>
      <c r="EYR67" s="498" t="n"/>
      <c r="EYS67" s="498" t="n"/>
      <c r="EYT67" s="498" t="n"/>
      <c r="EYU67" s="498" t="n"/>
      <c r="EYV67" s="498" t="n"/>
      <c r="EYW67" s="498" t="n"/>
      <c r="EYX67" s="498" t="n"/>
      <c r="EYY67" s="498" t="n"/>
      <c r="EYZ67" s="498" t="n"/>
      <c r="EZA67" s="498" t="n"/>
      <c r="EZB67" s="498" t="n"/>
      <c r="EZC67" s="498" t="n"/>
      <c r="EZD67" s="498" t="n"/>
      <c r="EZE67" s="498" t="n"/>
      <c r="EZF67" s="498" t="n"/>
      <c r="EZG67" s="498" t="n"/>
      <c r="EZH67" s="498" t="n"/>
      <c r="EZI67" s="498" t="n"/>
      <c r="EZJ67" s="498" t="n"/>
      <c r="EZK67" s="498" t="n"/>
      <c r="EZL67" s="498" t="n"/>
      <c r="EZM67" s="498" t="n"/>
      <c r="EZN67" s="498" t="n"/>
      <c r="EZO67" s="498" t="n"/>
      <c r="EZP67" s="498" t="n"/>
      <c r="EZQ67" s="498" t="n"/>
      <c r="EZR67" s="498" t="n"/>
      <c r="EZS67" s="498" t="n"/>
      <c r="EZT67" s="498" t="n"/>
      <c r="EZU67" s="498" t="n"/>
      <c r="EZV67" s="498" t="n"/>
      <c r="EZW67" s="498" t="n"/>
      <c r="EZX67" s="498" t="n"/>
      <c r="EZY67" s="498" t="n"/>
      <c r="EZZ67" s="498" t="n"/>
      <c r="FAA67" s="498" t="n"/>
      <c r="FAB67" s="498" t="n"/>
      <c r="FAC67" s="498" t="n"/>
      <c r="FAD67" s="498" t="n"/>
      <c r="FAE67" s="498" t="n"/>
      <c r="FAF67" s="498" t="n"/>
      <c r="FAG67" s="498" t="n"/>
      <c r="FAH67" s="498" t="n"/>
      <c r="FAI67" s="498" t="n"/>
      <c r="FAJ67" s="498" t="n"/>
      <c r="FAK67" s="498" t="n"/>
      <c r="FAL67" s="498" t="n"/>
      <c r="FAM67" s="498" t="n"/>
      <c r="FAN67" s="498" t="n"/>
      <c r="FAO67" s="498" t="n"/>
      <c r="FAP67" s="498" t="n"/>
      <c r="FAQ67" s="498" t="n"/>
      <c r="FAR67" s="498" t="n"/>
      <c r="FAS67" s="498" t="n"/>
      <c r="FAT67" s="498" t="n"/>
      <c r="FAU67" s="498" t="n"/>
      <c r="FAV67" s="498" t="n"/>
      <c r="FAW67" s="498" t="n"/>
      <c r="FAX67" s="498" t="n"/>
      <c r="FAY67" s="498" t="n"/>
      <c r="FAZ67" s="498" t="n"/>
      <c r="FBA67" s="498" t="n"/>
      <c r="FBB67" s="498" t="n"/>
      <c r="FBC67" s="498" t="n"/>
      <c r="FBD67" s="498" t="n"/>
      <c r="FBE67" s="498" t="n"/>
      <c r="FBF67" s="498" t="n"/>
      <c r="FBG67" s="498" t="n"/>
      <c r="FBH67" s="498" t="n"/>
      <c r="FBI67" s="498" t="n"/>
      <c r="FBJ67" s="498" t="n"/>
      <c r="FBK67" s="498" t="n"/>
      <c r="FBL67" s="498" t="n"/>
      <c r="FBM67" s="498" t="n"/>
      <c r="FBN67" s="498" t="n"/>
      <c r="FBO67" s="498" t="n"/>
      <c r="FBP67" s="498" t="n"/>
      <c r="FBQ67" s="498" t="n"/>
      <c r="FBR67" s="498" t="n"/>
      <c r="FBS67" s="498" t="n"/>
      <c r="FBT67" s="498" t="n"/>
      <c r="FBU67" s="498" t="n"/>
      <c r="FBV67" s="498" t="n"/>
      <c r="FBW67" s="498" t="n"/>
      <c r="FBX67" s="498" t="n"/>
      <c r="FBY67" s="498" t="n"/>
      <c r="FBZ67" s="498" t="n"/>
      <c r="FCA67" s="498" t="n"/>
      <c r="FCB67" s="498" t="n"/>
      <c r="FCC67" s="498" t="n"/>
      <c r="FCD67" s="498" t="n"/>
      <c r="FCE67" s="498" t="n"/>
      <c r="FCF67" s="498" t="n"/>
      <c r="FCG67" s="498" t="n"/>
      <c r="FCH67" s="498" t="n"/>
      <c r="FCI67" s="498" t="n"/>
      <c r="FCJ67" s="498" t="n"/>
      <c r="FCK67" s="498" t="n"/>
      <c r="FCL67" s="498" t="n"/>
      <c r="FCM67" s="498" t="n"/>
      <c r="FCN67" s="498" t="n"/>
      <c r="FCO67" s="498" t="n"/>
      <c r="FCP67" s="498" t="n"/>
      <c r="FCQ67" s="498" t="n"/>
      <c r="FCR67" s="498" t="n"/>
      <c r="FCS67" s="498" t="n"/>
      <c r="FCT67" s="498" t="n"/>
      <c r="FCU67" s="498" t="n"/>
      <c r="FCV67" s="498" t="n"/>
      <c r="FCW67" s="498" t="n"/>
      <c r="FCX67" s="498" t="n"/>
      <c r="FCY67" s="498" t="n"/>
      <c r="FCZ67" s="498" t="n"/>
      <c r="FDA67" s="498" t="n"/>
      <c r="FDB67" s="498" t="n"/>
      <c r="FDC67" s="498" t="n"/>
      <c r="FDD67" s="498" t="n"/>
      <c r="FDE67" s="498" t="n"/>
      <c r="FDF67" s="498" t="n"/>
      <c r="FDG67" s="498" t="n"/>
      <c r="FDH67" s="498" t="n"/>
      <c r="FDI67" s="498" t="n"/>
      <c r="FDJ67" s="498" t="n"/>
      <c r="FDK67" s="498" t="n"/>
      <c r="FDL67" s="498" t="n"/>
      <c r="FDM67" s="498" t="n"/>
      <c r="FDN67" s="498" t="n"/>
      <c r="FDO67" s="498" t="n"/>
      <c r="FDP67" s="498" t="n"/>
      <c r="FDQ67" s="498" t="n"/>
      <c r="FDR67" s="498" t="n"/>
      <c r="FDS67" s="498" t="n"/>
      <c r="FDT67" s="498" t="n"/>
      <c r="FDU67" s="498" t="n"/>
      <c r="FDV67" s="498" t="n"/>
      <c r="FDW67" s="498" t="n"/>
      <c r="FDX67" s="498" t="n"/>
      <c r="FDY67" s="498" t="n"/>
      <c r="FDZ67" s="498" t="n"/>
      <c r="FEA67" s="498" t="n"/>
      <c r="FEB67" s="498" t="n"/>
      <c r="FEC67" s="498" t="n"/>
      <c r="FED67" s="498" t="n"/>
      <c r="FEE67" s="498" t="n"/>
      <c r="FEF67" s="498" t="n"/>
      <c r="FEG67" s="498" t="n"/>
      <c r="FEH67" s="498" t="n"/>
      <c r="FEI67" s="498" t="n"/>
      <c r="FEJ67" s="498" t="n"/>
      <c r="FEK67" s="498" t="n"/>
      <c r="FEL67" s="498" t="n"/>
      <c r="FEM67" s="498" t="n"/>
      <c r="FEN67" s="498" t="n"/>
      <c r="FEO67" s="498" t="n"/>
      <c r="FEP67" s="498" t="n"/>
      <c r="FEQ67" s="498" t="n"/>
      <c r="FER67" s="498" t="n"/>
      <c r="FES67" s="498" t="n"/>
      <c r="FET67" s="498" t="n"/>
      <c r="FEU67" s="498" t="n"/>
      <c r="FEV67" s="498" t="n"/>
      <c r="FEW67" s="498" t="n"/>
      <c r="FEX67" s="498" t="n"/>
      <c r="FEY67" s="498" t="n"/>
      <c r="FEZ67" s="498" t="n"/>
      <c r="FFA67" s="498" t="n"/>
      <c r="FFB67" s="498" t="n"/>
      <c r="FFC67" s="498" t="n"/>
      <c r="FFD67" s="498" t="n"/>
      <c r="FFE67" s="498" t="n"/>
      <c r="FFF67" s="498" t="n"/>
      <c r="FFG67" s="498" t="n"/>
      <c r="FFH67" s="498" t="n"/>
      <c r="FFI67" s="498" t="n"/>
      <c r="FFJ67" s="498" t="n"/>
      <c r="FFK67" s="498" t="n"/>
      <c r="FFL67" s="498" t="n"/>
      <c r="FFM67" s="498" t="n"/>
      <c r="FFN67" s="498" t="n"/>
      <c r="FFO67" s="498" t="n"/>
      <c r="FFP67" s="498" t="n"/>
      <c r="FFQ67" s="498" t="n"/>
      <c r="FFR67" s="498" t="n"/>
      <c r="FFS67" s="498" t="n"/>
      <c r="FFT67" s="498" t="n"/>
      <c r="FFU67" s="498" t="n"/>
      <c r="FFV67" s="498" t="n"/>
      <c r="FFW67" s="498" t="n"/>
      <c r="FFX67" s="498" t="n"/>
      <c r="FFY67" s="498" t="n"/>
      <c r="FFZ67" s="498" t="n"/>
      <c r="FGA67" s="498" t="n"/>
      <c r="FGB67" s="498" t="n"/>
      <c r="FGC67" s="498" t="n"/>
      <c r="FGD67" s="498" t="n"/>
      <c r="FGE67" s="498" t="n"/>
      <c r="FGF67" s="498" t="n"/>
      <c r="FGG67" s="498" t="n"/>
      <c r="FGH67" s="498" t="n"/>
      <c r="FGI67" s="498" t="n"/>
      <c r="FGJ67" s="498" t="n"/>
      <c r="FGK67" s="498" t="n"/>
      <c r="FGL67" s="498" t="n"/>
      <c r="FGM67" s="498" t="n"/>
      <c r="FGN67" s="498" t="n"/>
      <c r="FGO67" s="498" t="n"/>
      <c r="FGP67" s="498" t="n"/>
      <c r="FGQ67" s="498" t="n"/>
      <c r="FGR67" s="498" t="n"/>
      <c r="FGS67" s="498" t="n"/>
      <c r="FGT67" s="498" t="n"/>
      <c r="FGU67" s="498" t="n"/>
      <c r="FGV67" s="498" t="n"/>
      <c r="FGW67" s="498" t="n"/>
      <c r="FGX67" s="498" t="n"/>
      <c r="FGY67" s="498" t="n"/>
      <c r="FGZ67" s="498" t="n"/>
      <c r="FHA67" s="498" t="n"/>
      <c r="FHB67" s="498" t="n"/>
      <c r="FHC67" s="498" t="n"/>
      <c r="FHD67" s="498" t="n"/>
      <c r="FHE67" s="498" t="n"/>
      <c r="FHF67" s="498" t="n"/>
      <c r="FHG67" s="498" t="n"/>
      <c r="FHH67" s="498" t="n"/>
      <c r="FHI67" s="498" t="n"/>
      <c r="FHJ67" s="498" t="n"/>
      <c r="FHK67" s="498" t="n"/>
      <c r="FHL67" s="498" t="n"/>
      <c r="FHM67" s="498" t="n"/>
      <c r="FHN67" s="498" t="n"/>
      <c r="FHO67" s="498" t="n"/>
      <c r="FHP67" s="498" t="n"/>
      <c r="FHQ67" s="498" t="n"/>
      <c r="FHR67" s="498" t="n"/>
      <c r="FHS67" s="498" t="n"/>
      <c r="FHT67" s="498" t="n"/>
      <c r="FHU67" s="498" t="n"/>
      <c r="FHV67" s="498" t="n"/>
      <c r="FHW67" s="498" t="n"/>
      <c r="FHX67" s="498" t="n"/>
      <c r="FHY67" s="498" t="n"/>
      <c r="FHZ67" s="498" t="n"/>
      <c r="FIA67" s="498" t="n"/>
      <c r="FIB67" s="498" t="n"/>
      <c r="FIC67" s="498" t="n"/>
      <c r="FID67" s="498" t="n"/>
      <c r="FIE67" s="498" t="n"/>
      <c r="FIF67" s="498" t="n"/>
      <c r="FIG67" s="498" t="n"/>
      <c r="FIH67" s="498" t="n"/>
      <c r="FII67" s="498" t="n"/>
      <c r="FIJ67" s="498" t="n"/>
      <c r="FIK67" s="498" t="n"/>
      <c r="FIL67" s="498" t="n"/>
      <c r="FIM67" s="498" t="n"/>
      <c r="FIN67" s="498" t="n"/>
      <c r="FIO67" s="498" t="n"/>
      <c r="FIP67" s="498" t="n"/>
      <c r="FIQ67" s="498" t="n"/>
      <c r="FIR67" s="498" t="n"/>
      <c r="FIS67" s="498" t="n"/>
      <c r="FIT67" s="498" t="n"/>
      <c r="FIU67" s="498" t="n"/>
      <c r="FIV67" s="498" t="n"/>
      <c r="FIW67" s="498" t="n"/>
      <c r="FIX67" s="498" t="n"/>
      <c r="FIY67" s="498" t="n"/>
      <c r="FIZ67" s="498" t="n"/>
      <c r="FJA67" s="498" t="n"/>
      <c r="FJB67" s="498" t="n"/>
      <c r="FJC67" s="498" t="n"/>
      <c r="FJD67" s="498" t="n"/>
      <c r="FJE67" s="498" t="n"/>
      <c r="FJF67" s="498" t="n"/>
      <c r="FJG67" s="498" t="n"/>
      <c r="FJH67" s="498" t="n"/>
      <c r="FJI67" s="498" t="n"/>
      <c r="FJJ67" s="498" t="n"/>
      <c r="FJK67" s="498" t="n"/>
      <c r="FJL67" s="498" t="n"/>
      <c r="FJM67" s="498" t="n"/>
      <c r="FJN67" s="498" t="n"/>
      <c r="FJO67" s="498" t="n"/>
      <c r="FJP67" s="498" t="n"/>
      <c r="FJQ67" s="498" t="n"/>
      <c r="FJR67" s="498" t="n"/>
      <c r="FJS67" s="498" t="n"/>
      <c r="FJT67" s="498" t="n"/>
      <c r="FJU67" s="498" t="n"/>
      <c r="FJV67" s="498" t="n"/>
      <c r="FJW67" s="498" t="n"/>
      <c r="FJX67" s="498" t="n"/>
      <c r="FJY67" s="498" t="n"/>
      <c r="FJZ67" s="498" t="n"/>
      <c r="FKA67" s="498" t="n"/>
      <c r="FKB67" s="498" t="n"/>
      <c r="FKC67" s="498" t="n"/>
      <c r="FKD67" s="498" t="n"/>
      <c r="FKE67" s="498" t="n"/>
      <c r="FKF67" s="498" t="n"/>
      <c r="FKG67" s="498" t="n"/>
      <c r="FKH67" s="498" t="n"/>
      <c r="FKI67" s="498" t="n"/>
      <c r="FKJ67" s="498" t="n"/>
      <c r="FKK67" s="498" t="n"/>
      <c r="FKL67" s="498" t="n"/>
      <c r="FKM67" s="498" t="n"/>
      <c r="FKN67" s="498" t="n"/>
      <c r="FKO67" s="498" t="n"/>
      <c r="FKP67" s="498" t="n"/>
      <c r="FKQ67" s="498" t="n"/>
      <c r="FKR67" s="498" t="n"/>
      <c r="FKS67" s="498" t="n"/>
      <c r="FKT67" s="498" t="n"/>
      <c r="FKU67" s="498" t="n"/>
      <c r="FKV67" s="498" t="n"/>
      <c r="FKW67" s="498" t="n"/>
      <c r="FKX67" s="498" t="n"/>
      <c r="FKY67" s="498" t="n"/>
      <c r="FKZ67" s="498" t="n"/>
      <c r="FLA67" s="498" t="n"/>
      <c r="FLB67" s="498" t="n"/>
      <c r="FLC67" s="498" t="n"/>
      <c r="FLD67" s="498" t="n"/>
      <c r="FLE67" s="498" t="n"/>
      <c r="FLF67" s="498" t="n"/>
      <c r="FLG67" s="498" t="n"/>
      <c r="FLH67" s="498" t="n"/>
      <c r="FLI67" s="498" t="n"/>
      <c r="FLJ67" s="498" t="n"/>
      <c r="FLK67" s="498" t="n"/>
      <c r="FLL67" s="498" t="n"/>
      <c r="FLM67" s="498" t="n"/>
      <c r="FLN67" s="498" t="n"/>
      <c r="FLO67" s="498" t="n"/>
      <c r="FLP67" s="498" t="n"/>
      <c r="FLQ67" s="498" t="n"/>
      <c r="FLR67" s="498" t="n"/>
      <c r="FLS67" s="498" t="n"/>
      <c r="FLT67" s="498" t="n"/>
      <c r="FLU67" s="498" t="n"/>
      <c r="FLV67" s="498" t="n"/>
      <c r="FLW67" s="498" t="n"/>
      <c r="FLX67" s="498" t="n"/>
      <c r="FLY67" s="498" t="n"/>
      <c r="FLZ67" s="498" t="n"/>
      <c r="FMA67" s="498" t="n"/>
      <c r="FMB67" s="498" t="n"/>
      <c r="FMC67" s="498" t="n"/>
      <c r="FMD67" s="498" t="n"/>
      <c r="FME67" s="498" t="n"/>
      <c r="FMF67" s="498" t="n"/>
      <c r="FMG67" s="498" t="n"/>
      <c r="FMH67" s="498" t="n"/>
      <c r="FMI67" s="498" t="n"/>
      <c r="FMJ67" s="498" t="n"/>
      <c r="FMK67" s="498" t="n"/>
      <c r="FML67" s="498" t="n"/>
      <c r="FMM67" s="498" t="n"/>
      <c r="FMN67" s="498" t="n"/>
      <c r="FMO67" s="498" t="n"/>
      <c r="FMP67" s="498" t="n"/>
      <c r="FMQ67" s="498" t="n"/>
      <c r="FMR67" s="498" t="n"/>
      <c r="FMS67" s="498" t="n"/>
      <c r="FMT67" s="498" t="n"/>
      <c r="FMU67" s="498" t="n"/>
      <c r="FMV67" s="498" t="n"/>
      <c r="FMW67" s="498" t="n"/>
      <c r="FMX67" s="498" t="n"/>
      <c r="FMY67" s="498" t="n"/>
      <c r="FMZ67" s="498" t="n"/>
      <c r="FNA67" s="498" t="n"/>
      <c r="FNB67" s="498" t="n"/>
      <c r="FNC67" s="498" t="n"/>
      <c r="FND67" s="498" t="n"/>
      <c r="FNE67" s="498" t="n"/>
      <c r="FNF67" s="498" t="n"/>
      <c r="FNG67" s="498" t="n"/>
      <c r="FNH67" s="498" t="n"/>
      <c r="FNI67" s="498" t="n"/>
      <c r="FNJ67" s="498" t="n"/>
      <c r="FNK67" s="498" t="n"/>
      <c r="FNL67" s="498" t="n"/>
      <c r="FNM67" s="498" t="n"/>
      <c r="FNN67" s="498" t="n"/>
      <c r="FNO67" s="498" t="n"/>
      <c r="FNP67" s="498" t="n"/>
      <c r="FNQ67" s="498" t="n"/>
      <c r="FNR67" s="498" t="n"/>
      <c r="FNS67" s="498" t="n"/>
      <c r="FNT67" s="498" t="n"/>
      <c r="FNU67" s="498" t="n"/>
      <c r="FNV67" s="498" t="n"/>
      <c r="FNW67" s="498" t="n"/>
      <c r="FNX67" s="498" t="n"/>
      <c r="FNY67" s="498" t="n"/>
      <c r="FNZ67" s="498" t="n"/>
      <c r="FOA67" s="498" t="n"/>
      <c r="FOB67" s="498" t="n"/>
      <c r="FOC67" s="498" t="n"/>
      <c r="FOD67" s="498" t="n"/>
      <c r="FOE67" s="498" t="n"/>
      <c r="FOF67" s="498" t="n"/>
      <c r="FOG67" s="498" t="n"/>
      <c r="FOH67" s="498" t="n"/>
      <c r="FOI67" s="498" t="n"/>
      <c r="FOJ67" s="498" t="n"/>
      <c r="FOK67" s="498" t="n"/>
      <c r="FOL67" s="498" t="n"/>
      <c r="FOM67" s="498" t="n"/>
      <c r="FON67" s="498" t="n"/>
      <c r="FOO67" s="498" t="n"/>
      <c r="FOP67" s="498" t="n"/>
      <c r="FOQ67" s="498" t="n"/>
      <c r="FOR67" s="498" t="n"/>
      <c r="FOS67" s="498" t="n"/>
      <c r="FOT67" s="498" t="n"/>
      <c r="FOU67" s="498" t="n"/>
      <c r="FOV67" s="498" t="n"/>
      <c r="FOW67" s="498" t="n"/>
      <c r="FOX67" s="498" t="n"/>
      <c r="FOY67" s="498" t="n"/>
      <c r="FOZ67" s="498" t="n"/>
      <c r="FPA67" s="498" t="n"/>
      <c r="FPB67" s="498" t="n"/>
      <c r="FPC67" s="498" t="n"/>
      <c r="FPD67" s="498" t="n"/>
      <c r="FPE67" s="498" t="n"/>
      <c r="FPF67" s="498" t="n"/>
      <c r="FPG67" s="498" t="n"/>
      <c r="FPH67" s="498" t="n"/>
      <c r="FPI67" s="498" t="n"/>
      <c r="FPJ67" s="498" t="n"/>
      <c r="FPK67" s="498" t="n"/>
      <c r="FPL67" s="498" t="n"/>
      <c r="FPM67" s="498" t="n"/>
      <c r="FPN67" s="498" t="n"/>
      <c r="FPO67" s="498" t="n"/>
      <c r="FPP67" s="498" t="n"/>
      <c r="FPQ67" s="498" t="n"/>
      <c r="FPR67" s="498" t="n"/>
      <c r="FPS67" s="498" t="n"/>
      <c r="FPT67" s="498" t="n"/>
      <c r="FPU67" s="498" t="n"/>
      <c r="FPV67" s="498" t="n"/>
      <c r="FPW67" s="498" t="n"/>
      <c r="FPX67" s="498" t="n"/>
      <c r="FPY67" s="498" t="n"/>
      <c r="FPZ67" s="498" t="n"/>
      <c r="FQA67" s="498" t="n"/>
      <c r="FQB67" s="498" t="n"/>
      <c r="FQC67" s="498" t="n"/>
      <c r="FQD67" s="498" t="n"/>
      <c r="FQE67" s="498" t="n"/>
      <c r="FQF67" s="498" t="n"/>
      <c r="FQG67" s="498" t="n"/>
      <c r="FQH67" s="498" t="n"/>
      <c r="FQI67" s="498" t="n"/>
      <c r="FQJ67" s="498" t="n"/>
      <c r="FQK67" s="498" t="n"/>
      <c r="FQL67" s="498" t="n"/>
      <c r="FQM67" s="498" t="n"/>
      <c r="FQN67" s="498" t="n"/>
      <c r="FQO67" s="498" t="n"/>
      <c r="FQP67" s="498" t="n"/>
      <c r="FQQ67" s="498" t="n"/>
      <c r="FQR67" s="498" t="n"/>
      <c r="FQS67" s="498" t="n"/>
      <c r="FQT67" s="498" t="n"/>
      <c r="FQU67" s="498" t="n"/>
      <c r="FQV67" s="498" t="n"/>
      <c r="FQW67" s="498" t="n"/>
      <c r="FQX67" s="498" t="n"/>
      <c r="FQY67" s="498" t="n"/>
      <c r="FQZ67" s="498" t="n"/>
      <c r="FRA67" s="498" t="n"/>
      <c r="FRB67" s="498" t="n"/>
      <c r="FRC67" s="498" t="n"/>
      <c r="FRD67" s="498" t="n"/>
      <c r="FRE67" s="498" t="n"/>
      <c r="FRF67" s="498" t="n"/>
      <c r="FRG67" s="498" t="n"/>
      <c r="FRH67" s="498" t="n"/>
      <c r="FRI67" s="498" t="n"/>
      <c r="FRJ67" s="498" t="n"/>
      <c r="FRK67" s="498" t="n"/>
      <c r="FRL67" s="498" t="n"/>
      <c r="FRM67" s="498" t="n"/>
      <c r="FRN67" s="498" t="n"/>
      <c r="FRO67" s="498" t="n"/>
      <c r="FRP67" s="498" t="n"/>
      <c r="FRQ67" s="498" t="n"/>
      <c r="FRR67" s="498" t="n"/>
      <c r="FRS67" s="498" t="n"/>
      <c r="FRT67" s="498" t="n"/>
      <c r="FRU67" s="498" t="n"/>
      <c r="FRV67" s="498" t="n"/>
      <c r="FRW67" s="498" t="n"/>
      <c r="FRX67" s="498" t="n"/>
      <c r="FRY67" s="498" t="n"/>
      <c r="FRZ67" s="498" t="n"/>
      <c r="FSA67" s="498" t="n"/>
      <c r="FSB67" s="498" t="n"/>
      <c r="FSC67" s="498" t="n"/>
      <c r="FSD67" s="498" t="n"/>
      <c r="FSE67" s="498" t="n"/>
      <c r="FSF67" s="498" t="n"/>
      <c r="FSG67" s="498" t="n"/>
      <c r="FSH67" s="498" t="n"/>
      <c r="FSI67" s="498" t="n"/>
      <c r="FSJ67" s="498" t="n"/>
      <c r="FSK67" s="498" t="n"/>
      <c r="FSL67" s="498" t="n"/>
      <c r="FSM67" s="498" t="n"/>
      <c r="FSN67" s="498" t="n"/>
      <c r="FSO67" s="498" t="n"/>
      <c r="FSP67" s="498" t="n"/>
      <c r="FSQ67" s="498" t="n"/>
      <c r="FSR67" s="498" t="n"/>
      <c r="FSS67" s="498" t="n"/>
      <c r="FST67" s="498" t="n"/>
      <c r="FSU67" s="498" t="n"/>
      <c r="FSV67" s="498" t="n"/>
      <c r="FSW67" s="498" t="n"/>
      <c r="FSX67" s="498" t="n"/>
      <c r="FSY67" s="498" t="n"/>
      <c r="FSZ67" s="498" t="n"/>
      <c r="FTA67" s="498" t="n"/>
      <c r="FTB67" s="498" t="n"/>
      <c r="FTC67" s="498" t="n"/>
      <c r="FTD67" s="498" t="n"/>
      <c r="FTE67" s="498" t="n"/>
      <c r="FTF67" s="498" t="n"/>
      <c r="FTG67" s="498" t="n"/>
      <c r="FTH67" s="498" t="n"/>
      <c r="FTI67" s="498" t="n"/>
      <c r="FTJ67" s="498" t="n"/>
      <c r="FTK67" s="498" t="n"/>
      <c r="FTL67" s="498" t="n"/>
      <c r="FTM67" s="498" t="n"/>
      <c r="FTN67" s="498" t="n"/>
      <c r="FTO67" s="498" t="n"/>
      <c r="FTP67" s="498" t="n"/>
      <c r="FTQ67" s="498" t="n"/>
      <c r="FTR67" s="498" t="n"/>
      <c r="FTS67" s="498" t="n"/>
      <c r="FTT67" s="498" t="n"/>
      <c r="FTU67" s="498" t="n"/>
      <c r="FTV67" s="498" t="n"/>
      <c r="FTW67" s="498" t="n"/>
      <c r="FTX67" s="498" t="n"/>
      <c r="FTY67" s="498" t="n"/>
      <c r="FTZ67" s="498" t="n"/>
      <c r="FUA67" s="498" t="n"/>
      <c r="FUB67" s="498" t="n"/>
      <c r="FUC67" s="498" t="n"/>
      <c r="FUD67" s="498" t="n"/>
      <c r="FUE67" s="498" t="n"/>
      <c r="FUF67" s="498" t="n"/>
      <c r="FUG67" s="498" t="n"/>
      <c r="FUH67" s="498" t="n"/>
      <c r="FUI67" s="498" t="n"/>
      <c r="FUJ67" s="498" t="n"/>
      <c r="FUK67" s="498" t="n"/>
      <c r="FUL67" s="498" t="n"/>
      <c r="FUM67" s="498" t="n"/>
      <c r="FUN67" s="498" t="n"/>
      <c r="FUO67" s="498" t="n"/>
      <c r="FUP67" s="498" t="n"/>
      <c r="FUQ67" s="498" t="n"/>
      <c r="FUR67" s="498" t="n"/>
      <c r="FUS67" s="498" t="n"/>
      <c r="FUT67" s="498" t="n"/>
      <c r="FUU67" s="498" t="n"/>
      <c r="FUV67" s="498" t="n"/>
      <c r="FUW67" s="498" t="n"/>
      <c r="FUX67" s="498" t="n"/>
      <c r="FUY67" s="498" t="n"/>
      <c r="FUZ67" s="498" t="n"/>
      <c r="FVA67" s="498" t="n"/>
      <c r="FVB67" s="498" t="n"/>
      <c r="FVC67" s="498" t="n"/>
      <c r="FVD67" s="498" t="n"/>
      <c r="FVE67" s="498" t="n"/>
      <c r="FVF67" s="498" t="n"/>
      <c r="FVG67" s="498" t="n"/>
      <c r="FVH67" s="498" t="n"/>
      <c r="FVI67" s="498" t="n"/>
      <c r="FVJ67" s="498" t="n"/>
      <c r="FVK67" s="498" t="n"/>
      <c r="FVL67" s="498" t="n"/>
      <c r="FVM67" s="498" t="n"/>
      <c r="FVN67" s="498" t="n"/>
      <c r="FVO67" s="498" t="n"/>
      <c r="FVP67" s="498" t="n"/>
      <c r="FVQ67" s="498" t="n"/>
      <c r="FVR67" s="498" t="n"/>
      <c r="FVS67" s="498" t="n"/>
      <c r="FVT67" s="498" t="n"/>
      <c r="FVU67" s="498" t="n"/>
      <c r="FVV67" s="498" t="n"/>
      <c r="FVW67" s="498" t="n"/>
      <c r="FVX67" s="498" t="n"/>
      <c r="FVY67" s="498" t="n"/>
      <c r="FVZ67" s="498" t="n"/>
      <c r="FWA67" s="498" t="n"/>
      <c r="FWB67" s="498" t="n"/>
      <c r="FWC67" s="498" t="n"/>
      <c r="FWD67" s="498" t="n"/>
      <c r="FWE67" s="498" t="n"/>
      <c r="FWF67" s="498" t="n"/>
      <c r="FWG67" s="498" t="n"/>
      <c r="FWH67" s="498" t="n"/>
      <c r="FWI67" s="498" t="n"/>
      <c r="FWJ67" s="498" t="n"/>
      <c r="FWK67" s="498" t="n"/>
      <c r="FWL67" s="498" t="n"/>
      <c r="FWM67" s="498" t="n"/>
      <c r="FWN67" s="498" t="n"/>
      <c r="FWO67" s="498" t="n"/>
      <c r="FWP67" s="498" t="n"/>
      <c r="FWQ67" s="498" t="n"/>
      <c r="FWR67" s="498" t="n"/>
      <c r="FWS67" s="498" t="n"/>
      <c r="FWT67" s="498" t="n"/>
      <c r="FWU67" s="498" t="n"/>
      <c r="FWV67" s="498" t="n"/>
      <c r="FWW67" s="498" t="n"/>
      <c r="FWX67" s="498" t="n"/>
      <c r="FWY67" s="498" t="n"/>
      <c r="FWZ67" s="498" t="n"/>
      <c r="FXA67" s="498" t="n"/>
      <c r="FXB67" s="498" t="n"/>
      <c r="FXC67" s="498" t="n"/>
      <c r="FXD67" s="498" t="n"/>
      <c r="FXE67" s="498" t="n"/>
      <c r="FXF67" s="498" t="n"/>
      <c r="FXG67" s="498" t="n"/>
      <c r="FXH67" s="498" t="n"/>
      <c r="FXI67" s="498" t="n"/>
      <c r="FXJ67" s="498" t="n"/>
      <c r="FXK67" s="498" t="n"/>
      <c r="FXL67" s="498" t="n"/>
      <c r="FXM67" s="498" t="n"/>
      <c r="FXN67" s="498" t="n"/>
      <c r="FXO67" s="498" t="n"/>
      <c r="FXP67" s="498" t="n"/>
      <c r="FXQ67" s="498" t="n"/>
      <c r="FXR67" s="498" t="n"/>
      <c r="FXS67" s="498" t="n"/>
      <c r="FXT67" s="498" t="n"/>
      <c r="FXU67" s="498" t="n"/>
      <c r="FXV67" s="498" t="n"/>
      <c r="FXW67" s="498" t="n"/>
      <c r="FXX67" s="498" t="n"/>
      <c r="FXY67" s="498" t="n"/>
      <c r="FXZ67" s="498" t="n"/>
      <c r="FYA67" s="498" t="n"/>
      <c r="FYB67" s="498" t="n"/>
      <c r="FYC67" s="498" t="n"/>
      <c r="FYD67" s="498" t="n"/>
      <c r="FYE67" s="498" t="n"/>
      <c r="FYF67" s="498" t="n"/>
      <c r="FYG67" s="498" t="n"/>
      <c r="FYH67" s="498" t="n"/>
      <c r="FYI67" s="498" t="n"/>
      <c r="FYJ67" s="498" t="n"/>
      <c r="FYK67" s="498" t="n"/>
      <c r="FYL67" s="498" t="n"/>
      <c r="FYM67" s="498" t="n"/>
      <c r="FYN67" s="498" t="n"/>
      <c r="FYO67" s="498" t="n"/>
      <c r="FYP67" s="498" t="n"/>
      <c r="FYQ67" s="498" t="n"/>
      <c r="FYR67" s="498" t="n"/>
      <c r="FYS67" s="498" t="n"/>
      <c r="FYT67" s="498" t="n"/>
      <c r="FYU67" s="498" t="n"/>
      <c r="FYV67" s="498" t="n"/>
      <c r="FYW67" s="498" t="n"/>
      <c r="FYX67" s="498" t="n"/>
      <c r="FYY67" s="498" t="n"/>
      <c r="FYZ67" s="498" t="n"/>
      <c r="FZA67" s="498" t="n"/>
      <c r="FZB67" s="498" t="n"/>
      <c r="FZC67" s="498" t="n"/>
      <c r="FZD67" s="498" t="n"/>
      <c r="FZE67" s="498" t="n"/>
      <c r="FZF67" s="498" t="n"/>
      <c r="FZG67" s="498" t="n"/>
      <c r="FZH67" s="498" t="n"/>
      <c r="FZI67" s="498" t="n"/>
      <c r="FZJ67" s="498" t="n"/>
      <c r="FZK67" s="498" t="n"/>
      <c r="FZL67" s="498" t="n"/>
      <c r="FZM67" s="498" t="n"/>
      <c r="FZN67" s="498" t="n"/>
      <c r="FZO67" s="498" t="n"/>
      <c r="FZP67" s="498" t="n"/>
      <c r="FZQ67" s="498" t="n"/>
      <c r="FZR67" s="498" t="n"/>
      <c r="FZS67" s="498" t="n"/>
      <c r="FZT67" s="498" t="n"/>
      <c r="FZU67" s="498" t="n"/>
      <c r="FZV67" s="498" t="n"/>
      <c r="FZW67" s="498" t="n"/>
      <c r="FZX67" s="498" t="n"/>
      <c r="FZY67" s="498" t="n"/>
      <c r="FZZ67" s="498" t="n"/>
      <c r="GAA67" s="498" t="n"/>
      <c r="GAB67" s="498" t="n"/>
      <c r="GAC67" s="498" t="n"/>
      <c r="GAD67" s="498" t="n"/>
      <c r="GAE67" s="498" t="n"/>
      <c r="GAF67" s="498" t="n"/>
      <c r="GAG67" s="498" t="n"/>
      <c r="GAH67" s="498" t="n"/>
      <c r="GAI67" s="498" t="n"/>
      <c r="GAJ67" s="498" t="n"/>
      <c r="GAK67" s="498" t="n"/>
      <c r="GAL67" s="498" t="n"/>
      <c r="GAM67" s="498" t="n"/>
      <c r="GAN67" s="498" t="n"/>
      <c r="GAO67" s="498" t="n"/>
      <c r="GAP67" s="498" t="n"/>
      <c r="GAQ67" s="498" t="n"/>
      <c r="GAR67" s="498" t="n"/>
      <c r="GAS67" s="498" t="n"/>
      <c r="GAT67" s="498" t="n"/>
      <c r="GAU67" s="498" t="n"/>
      <c r="GAV67" s="498" t="n"/>
      <c r="GAW67" s="498" t="n"/>
      <c r="GAX67" s="498" t="n"/>
      <c r="GAY67" s="498" t="n"/>
      <c r="GAZ67" s="498" t="n"/>
      <c r="GBA67" s="498" t="n"/>
      <c r="GBB67" s="498" t="n"/>
      <c r="GBC67" s="498" t="n"/>
      <c r="GBD67" s="498" t="n"/>
      <c r="GBE67" s="498" t="n"/>
      <c r="GBF67" s="498" t="n"/>
      <c r="GBG67" s="498" t="n"/>
      <c r="GBH67" s="498" t="n"/>
      <c r="GBI67" s="498" t="n"/>
      <c r="GBJ67" s="498" t="n"/>
      <c r="GBK67" s="498" t="n"/>
      <c r="GBL67" s="498" t="n"/>
      <c r="GBM67" s="498" t="n"/>
      <c r="GBN67" s="498" t="n"/>
      <c r="GBO67" s="498" t="n"/>
      <c r="GBP67" s="498" t="n"/>
      <c r="GBQ67" s="498" t="n"/>
      <c r="GBR67" s="498" t="n"/>
      <c r="GBS67" s="498" t="n"/>
      <c r="GBT67" s="498" t="n"/>
      <c r="GBU67" s="498" t="n"/>
      <c r="GBV67" s="498" t="n"/>
      <c r="GBW67" s="498" t="n"/>
      <c r="GBX67" s="498" t="n"/>
      <c r="GBY67" s="498" t="n"/>
      <c r="GBZ67" s="498" t="n"/>
      <c r="GCA67" s="498" t="n"/>
      <c r="GCB67" s="498" t="n"/>
      <c r="GCC67" s="498" t="n"/>
      <c r="GCD67" s="498" t="n"/>
      <c r="GCE67" s="498" t="n"/>
      <c r="GCF67" s="498" t="n"/>
      <c r="GCG67" s="498" t="n"/>
      <c r="GCH67" s="498" t="n"/>
      <c r="GCI67" s="498" t="n"/>
      <c r="GCJ67" s="498" t="n"/>
      <c r="GCK67" s="498" t="n"/>
      <c r="GCL67" s="498" t="n"/>
      <c r="GCM67" s="498" t="n"/>
      <c r="GCN67" s="498" t="n"/>
      <c r="GCO67" s="498" t="n"/>
      <c r="GCP67" s="498" t="n"/>
      <c r="GCQ67" s="498" t="n"/>
      <c r="GCR67" s="498" t="n"/>
      <c r="GCS67" s="498" t="n"/>
      <c r="GCT67" s="498" t="n"/>
      <c r="GCU67" s="498" t="n"/>
      <c r="GCV67" s="498" t="n"/>
      <c r="GCW67" s="498" t="n"/>
      <c r="GCX67" s="498" t="n"/>
      <c r="GCY67" s="498" t="n"/>
      <c r="GCZ67" s="498" t="n"/>
      <c r="GDA67" s="498" t="n"/>
      <c r="GDB67" s="498" t="n"/>
      <c r="GDC67" s="498" t="n"/>
      <c r="GDD67" s="498" t="n"/>
      <c r="GDE67" s="498" t="n"/>
      <c r="GDF67" s="498" t="n"/>
      <c r="GDG67" s="498" t="n"/>
      <c r="GDH67" s="498" t="n"/>
      <c r="GDI67" s="498" t="n"/>
      <c r="GDJ67" s="498" t="n"/>
      <c r="GDK67" s="498" t="n"/>
      <c r="GDL67" s="498" t="n"/>
      <c r="GDM67" s="498" t="n"/>
      <c r="GDN67" s="498" t="n"/>
      <c r="GDO67" s="498" t="n"/>
      <c r="GDP67" s="498" t="n"/>
      <c r="GDQ67" s="498" t="n"/>
      <c r="GDR67" s="498" t="n"/>
      <c r="GDS67" s="498" t="n"/>
      <c r="GDT67" s="498" t="n"/>
      <c r="GDU67" s="498" t="n"/>
      <c r="GDV67" s="498" t="n"/>
      <c r="GDW67" s="498" t="n"/>
      <c r="GDX67" s="498" t="n"/>
      <c r="GDY67" s="498" t="n"/>
      <c r="GDZ67" s="498" t="n"/>
      <c r="GEA67" s="498" t="n"/>
      <c r="GEB67" s="498" t="n"/>
      <c r="GEC67" s="498" t="n"/>
      <c r="GED67" s="498" t="n"/>
      <c r="GEE67" s="498" t="n"/>
      <c r="GEF67" s="498" t="n"/>
      <c r="GEG67" s="498" t="n"/>
      <c r="GEH67" s="498" t="n"/>
      <c r="GEI67" s="498" t="n"/>
      <c r="GEJ67" s="498" t="n"/>
      <c r="GEK67" s="498" t="n"/>
      <c r="GEL67" s="498" t="n"/>
      <c r="GEM67" s="498" t="n"/>
      <c r="GEN67" s="498" t="n"/>
      <c r="GEO67" s="498" t="n"/>
      <c r="GEP67" s="498" t="n"/>
      <c r="GEQ67" s="498" t="n"/>
      <c r="GER67" s="498" t="n"/>
      <c r="GES67" s="498" t="n"/>
      <c r="GET67" s="498" t="n"/>
      <c r="GEU67" s="498" t="n"/>
      <c r="GEV67" s="498" t="n"/>
      <c r="GEW67" s="498" t="n"/>
      <c r="GEX67" s="498" t="n"/>
      <c r="GEY67" s="498" t="n"/>
      <c r="GEZ67" s="498" t="n"/>
      <c r="GFA67" s="498" t="n"/>
      <c r="GFB67" s="498" t="n"/>
      <c r="GFC67" s="498" t="n"/>
      <c r="GFD67" s="498" t="n"/>
      <c r="GFE67" s="498" t="n"/>
      <c r="GFF67" s="498" t="n"/>
      <c r="GFG67" s="498" t="n"/>
      <c r="GFH67" s="498" t="n"/>
      <c r="GFI67" s="498" t="n"/>
      <c r="GFJ67" s="498" t="n"/>
      <c r="GFK67" s="498" t="n"/>
      <c r="GFL67" s="498" t="n"/>
      <c r="GFM67" s="498" t="n"/>
      <c r="GFN67" s="498" t="n"/>
      <c r="GFO67" s="498" t="n"/>
      <c r="GFP67" s="498" t="n"/>
      <c r="GFQ67" s="498" t="n"/>
      <c r="GFR67" s="498" t="n"/>
      <c r="GFS67" s="498" t="n"/>
      <c r="GFT67" s="498" t="n"/>
      <c r="GFU67" s="498" t="n"/>
      <c r="GFV67" s="498" t="n"/>
      <c r="GFW67" s="498" t="n"/>
      <c r="GFX67" s="498" t="n"/>
      <c r="GFY67" s="498" t="n"/>
      <c r="GFZ67" s="498" t="n"/>
      <c r="GGA67" s="498" t="n"/>
      <c r="GGB67" s="498" t="n"/>
      <c r="GGC67" s="498" t="n"/>
      <c r="GGD67" s="498" t="n"/>
      <c r="GGE67" s="498" t="n"/>
      <c r="GGF67" s="498" t="n"/>
      <c r="GGG67" s="498" t="n"/>
      <c r="GGH67" s="498" t="n"/>
      <c r="GGI67" s="498" t="n"/>
      <c r="GGJ67" s="498" t="n"/>
      <c r="GGK67" s="498" t="n"/>
      <c r="GGL67" s="498" t="n"/>
      <c r="GGM67" s="498" t="n"/>
      <c r="GGN67" s="498" t="n"/>
      <c r="GGO67" s="498" t="n"/>
      <c r="GGP67" s="498" t="n"/>
      <c r="GGQ67" s="498" t="n"/>
      <c r="GGR67" s="498" t="n"/>
      <c r="GGS67" s="498" t="n"/>
      <c r="GGT67" s="498" t="n"/>
      <c r="GGU67" s="498" t="n"/>
      <c r="GGV67" s="498" t="n"/>
      <c r="GGW67" s="498" t="n"/>
      <c r="GGX67" s="498" t="n"/>
      <c r="GGY67" s="498" t="n"/>
      <c r="GGZ67" s="498" t="n"/>
      <c r="GHA67" s="498" t="n"/>
      <c r="GHB67" s="498" t="n"/>
      <c r="GHC67" s="498" t="n"/>
      <c r="GHD67" s="498" t="n"/>
      <c r="GHE67" s="498" t="n"/>
      <c r="GHF67" s="498" t="n"/>
      <c r="GHG67" s="498" t="n"/>
      <c r="GHH67" s="498" t="n"/>
      <c r="GHI67" s="498" t="n"/>
      <c r="GHJ67" s="498" t="n"/>
      <c r="GHK67" s="498" t="n"/>
      <c r="GHL67" s="498" t="n"/>
      <c r="GHM67" s="498" t="n"/>
      <c r="GHN67" s="498" t="n"/>
      <c r="GHO67" s="498" t="n"/>
      <c r="GHP67" s="498" t="n"/>
      <c r="GHQ67" s="498" t="n"/>
      <c r="GHR67" s="498" t="n"/>
      <c r="GHS67" s="498" t="n"/>
      <c r="GHT67" s="498" t="n"/>
      <c r="GHU67" s="498" t="n"/>
      <c r="GHV67" s="498" t="n"/>
      <c r="GHW67" s="498" t="n"/>
      <c r="GHX67" s="498" t="n"/>
      <c r="GHY67" s="498" t="n"/>
      <c r="GHZ67" s="498" t="n"/>
      <c r="GIA67" s="498" t="n"/>
      <c r="GIB67" s="498" t="n"/>
      <c r="GIC67" s="498" t="n"/>
      <c r="GID67" s="498" t="n"/>
      <c r="GIE67" s="498" t="n"/>
      <c r="GIF67" s="498" t="n"/>
      <c r="GIG67" s="498" t="n"/>
      <c r="GIH67" s="498" t="n"/>
      <c r="GII67" s="498" t="n"/>
      <c r="GIJ67" s="498" t="n"/>
      <c r="GIK67" s="498" t="n"/>
      <c r="GIL67" s="498" t="n"/>
      <c r="GIM67" s="498" t="n"/>
      <c r="GIN67" s="498" t="n"/>
      <c r="GIO67" s="498" t="n"/>
      <c r="GIP67" s="498" t="n"/>
      <c r="GIQ67" s="498" t="n"/>
      <c r="GIR67" s="498" t="n"/>
      <c r="GIS67" s="498" t="n"/>
      <c r="GIT67" s="498" t="n"/>
      <c r="GIU67" s="498" t="n"/>
      <c r="GIV67" s="498" t="n"/>
      <c r="GIW67" s="498" t="n"/>
      <c r="GIX67" s="498" t="n"/>
      <c r="GIY67" s="498" t="n"/>
      <c r="GIZ67" s="498" t="n"/>
      <c r="GJA67" s="498" t="n"/>
      <c r="GJB67" s="498" t="n"/>
      <c r="GJC67" s="498" t="n"/>
      <c r="GJD67" s="498" t="n"/>
      <c r="GJE67" s="498" t="n"/>
      <c r="GJF67" s="498" t="n"/>
      <c r="GJG67" s="498" t="n"/>
      <c r="GJH67" s="498" t="n"/>
      <c r="GJI67" s="498" t="n"/>
      <c r="GJJ67" s="498" t="n"/>
      <c r="GJK67" s="498" t="n"/>
      <c r="GJL67" s="498" t="n"/>
      <c r="GJM67" s="498" t="n"/>
      <c r="GJN67" s="498" t="n"/>
      <c r="GJO67" s="498" t="n"/>
      <c r="GJP67" s="498" t="n"/>
      <c r="GJQ67" s="498" t="n"/>
      <c r="GJR67" s="498" t="n"/>
      <c r="GJS67" s="498" t="n"/>
      <c r="GJT67" s="498" t="n"/>
      <c r="GJU67" s="498" t="n"/>
      <c r="GJV67" s="498" t="n"/>
      <c r="GJW67" s="498" t="n"/>
      <c r="GJX67" s="498" t="n"/>
      <c r="GJY67" s="498" t="n"/>
      <c r="GJZ67" s="498" t="n"/>
      <c r="GKA67" s="498" t="n"/>
      <c r="GKB67" s="498" t="n"/>
      <c r="GKC67" s="498" t="n"/>
      <c r="GKD67" s="498" t="n"/>
      <c r="GKE67" s="498" t="n"/>
      <c r="GKF67" s="498" t="n"/>
      <c r="GKG67" s="498" t="n"/>
      <c r="GKH67" s="498" t="n"/>
      <c r="GKI67" s="498" t="n"/>
      <c r="GKJ67" s="498" t="n"/>
      <c r="GKK67" s="498" t="n"/>
      <c r="GKL67" s="498" t="n"/>
      <c r="GKM67" s="498" t="n"/>
      <c r="GKN67" s="498" t="n"/>
      <c r="GKO67" s="498" t="n"/>
      <c r="GKP67" s="498" t="n"/>
      <c r="GKQ67" s="498" t="n"/>
      <c r="GKR67" s="498" t="n"/>
      <c r="GKS67" s="498" t="n"/>
      <c r="GKT67" s="498" t="n"/>
      <c r="GKU67" s="498" t="n"/>
      <c r="GKV67" s="498" t="n"/>
      <c r="GKW67" s="498" t="n"/>
      <c r="GKX67" s="498" t="n"/>
      <c r="GKY67" s="498" t="n"/>
      <c r="GKZ67" s="498" t="n"/>
      <c r="GLA67" s="498" t="n"/>
      <c r="GLB67" s="498" t="n"/>
      <c r="GLC67" s="498" t="n"/>
      <c r="GLD67" s="498" t="n"/>
      <c r="GLE67" s="498" t="n"/>
      <c r="GLF67" s="498" t="n"/>
      <c r="GLG67" s="498" t="n"/>
      <c r="GLH67" s="498" t="n"/>
      <c r="GLI67" s="498" t="n"/>
      <c r="GLJ67" s="498" t="n"/>
      <c r="GLK67" s="498" t="n"/>
      <c r="GLL67" s="498" t="n"/>
      <c r="GLM67" s="498" t="n"/>
      <c r="GLN67" s="498" t="n"/>
      <c r="GLO67" s="498" t="n"/>
      <c r="GLP67" s="498" t="n"/>
      <c r="GLQ67" s="498" t="n"/>
      <c r="GLR67" s="498" t="n"/>
      <c r="GLS67" s="498" t="n"/>
      <c r="GLT67" s="498" t="n"/>
      <c r="GLU67" s="498" t="n"/>
      <c r="GLV67" s="498" t="n"/>
      <c r="GLW67" s="498" t="n"/>
      <c r="GLX67" s="498" t="n"/>
      <c r="GLY67" s="498" t="n"/>
      <c r="GLZ67" s="498" t="n"/>
      <c r="GMA67" s="498" t="n"/>
      <c r="GMB67" s="498" t="n"/>
      <c r="GMC67" s="498" t="n"/>
      <c r="GMD67" s="498" t="n"/>
      <c r="GME67" s="498" t="n"/>
      <c r="GMF67" s="498" t="n"/>
      <c r="GMG67" s="498" t="n"/>
      <c r="GMH67" s="498" t="n"/>
      <c r="GMI67" s="498" t="n"/>
      <c r="GMJ67" s="498" t="n"/>
      <c r="GMK67" s="498" t="n"/>
      <c r="GML67" s="498" t="n"/>
      <c r="GMM67" s="498" t="n"/>
      <c r="GMN67" s="498" t="n"/>
      <c r="GMO67" s="498" t="n"/>
      <c r="GMP67" s="498" t="n"/>
      <c r="GMQ67" s="498" t="n"/>
      <c r="GMR67" s="498" t="n"/>
      <c r="GMS67" s="498" t="n"/>
      <c r="GMT67" s="498" t="n"/>
      <c r="GMU67" s="498" t="n"/>
      <c r="GMV67" s="498" t="n"/>
      <c r="GMW67" s="498" t="n"/>
      <c r="GMX67" s="498" t="n"/>
      <c r="GMY67" s="498" t="n"/>
      <c r="GMZ67" s="498" t="n"/>
      <c r="GNA67" s="498" t="n"/>
      <c r="GNB67" s="498" t="n"/>
      <c r="GNC67" s="498" t="n"/>
      <c r="GND67" s="498" t="n"/>
      <c r="GNE67" s="498" t="n"/>
      <c r="GNF67" s="498" t="n"/>
      <c r="GNG67" s="498" t="n"/>
      <c r="GNH67" s="498" t="n"/>
      <c r="GNI67" s="498" t="n"/>
      <c r="GNJ67" s="498" t="n"/>
      <c r="GNK67" s="498" t="n"/>
      <c r="GNL67" s="498" t="n"/>
      <c r="GNM67" s="498" t="n"/>
      <c r="GNN67" s="498" t="n"/>
      <c r="GNO67" s="498" t="n"/>
      <c r="GNP67" s="498" t="n"/>
      <c r="GNQ67" s="498" t="n"/>
      <c r="GNR67" s="498" t="n"/>
      <c r="GNS67" s="498" t="n"/>
      <c r="GNT67" s="498" t="n"/>
      <c r="GNU67" s="498" t="n"/>
      <c r="GNV67" s="498" t="n"/>
      <c r="GNW67" s="498" t="n"/>
      <c r="GNX67" s="498" t="n"/>
      <c r="GNY67" s="498" t="n"/>
      <c r="GNZ67" s="498" t="n"/>
      <c r="GOA67" s="498" t="n"/>
      <c r="GOB67" s="498" t="n"/>
      <c r="GOC67" s="498" t="n"/>
      <c r="GOD67" s="498" t="n"/>
      <c r="GOE67" s="498" t="n"/>
      <c r="GOF67" s="498" t="n"/>
      <c r="GOG67" s="498" t="n"/>
      <c r="GOH67" s="498" t="n"/>
      <c r="GOI67" s="498" t="n"/>
      <c r="GOJ67" s="498" t="n"/>
      <c r="GOK67" s="498" t="n"/>
      <c r="GOL67" s="498" t="n"/>
      <c r="GOM67" s="498" t="n"/>
      <c r="GON67" s="498" t="n"/>
      <c r="GOO67" s="498" t="n"/>
      <c r="GOP67" s="498" t="n"/>
      <c r="GOQ67" s="498" t="n"/>
      <c r="GOR67" s="498" t="n"/>
      <c r="GOS67" s="498" t="n"/>
      <c r="GOT67" s="498" t="n"/>
      <c r="GOU67" s="498" t="n"/>
      <c r="GOV67" s="498" t="n"/>
      <c r="GOW67" s="498" t="n"/>
      <c r="GOX67" s="498" t="n"/>
      <c r="GOY67" s="498" t="n"/>
      <c r="GOZ67" s="498" t="n"/>
      <c r="GPA67" s="498" t="n"/>
      <c r="GPB67" s="498" t="n"/>
      <c r="GPC67" s="498" t="n"/>
      <c r="GPD67" s="498" t="n"/>
      <c r="GPE67" s="498" t="n"/>
      <c r="GPF67" s="498" t="n"/>
      <c r="GPG67" s="498" t="n"/>
      <c r="GPH67" s="498" t="n"/>
      <c r="GPI67" s="498" t="n"/>
      <c r="GPJ67" s="498" t="n"/>
      <c r="GPK67" s="498" t="n"/>
      <c r="GPL67" s="498" t="n"/>
      <c r="GPM67" s="498" t="n"/>
      <c r="GPN67" s="498" t="n"/>
      <c r="GPO67" s="498" t="n"/>
      <c r="GPP67" s="498" t="n"/>
      <c r="GPQ67" s="498" t="n"/>
      <c r="GPR67" s="498" t="n"/>
      <c r="GPS67" s="498" t="n"/>
      <c r="GPT67" s="498" t="n"/>
      <c r="GPU67" s="498" t="n"/>
      <c r="GPV67" s="498" t="n"/>
      <c r="GPW67" s="498" t="n"/>
      <c r="GPX67" s="498" t="n"/>
      <c r="GPY67" s="498" t="n"/>
      <c r="GPZ67" s="498" t="n"/>
      <c r="GQA67" s="498" t="n"/>
      <c r="GQB67" s="498" t="n"/>
      <c r="GQC67" s="498" t="n"/>
      <c r="GQD67" s="498" t="n"/>
      <c r="GQE67" s="498" t="n"/>
      <c r="GQF67" s="498" t="n"/>
      <c r="GQG67" s="498" t="n"/>
      <c r="GQH67" s="498" t="n"/>
      <c r="GQI67" s="498" t="n"/>
      <c r="GQJ67" s="498" t="n"/>
      <c r="GQK67" s="498" t="n"/>
      <c r="GQL67" s="498" t="n"/>
      <c r="GQM67" s="498" t="n"/>
      <c r="GQN67" s="498" t="n"/>
      <c r="GQO67" s="498" t="n"/>
      <c r="GQP67" s="498" t="n"/>
      <c r="GQQ67" s="498" t="n"/>
      <c r="GQR67" s="498" t="n"/>
      <c r="GQS67" s="498" t="n"/>
      <c r="GQT67" s="498" t="n"/>
      <c r="GQU67" s="498" t="n"/>
      <c r="GQV67" s="498" t="n"/>
      <c r="GQW67" s="498" t="n"/>
      <c r="GQX67" s="498" t="n"/>
      <c r="GQY67" s="498" t="n"/>
      <c r="GQZ67" s="498" t="n"/>
      <c r="GRA67" s="498" t="n"/>
      <c r="GRB67" s="498" t="n"/>
      <c r="GRC67" s="498" t="n"/>
      <c r="GRD67" s="498" t="n"/>
      <c r="GRE67" s="498" t="n"/>
      <c r="GRF67" s="498" t="n"/>
      <c r="GRG67" s="498" t="n"/>
      <c r="GRH67" s="498" t="n"/>
      <c r="GRI67" s="498" t="n"/>
      <c r="GRJ67" s="498" t="n"/>
      <c r="GRK67" s="498" t="n"/>
      <c r="GRL67" s="498" t="n"/>
      <c r="GRM67" s="498" t="n"/>
      <c r="GRN67" s="498" t="n"/>
      <c r="GRO67" s="498" t="n"/>
      <c r="GRP67" s="498" t="n"/>
      <c r="GRQ67" s="498" t="n"/>
      <c r="GRR67" s="498" t="n"/>
      <c r="GRS67" s="498" t="n"/>
      <c r="GRT67" s="498" t="n"/>
      <c r="GRU67" s="498" t="n"/>
      <c r="GRV67" s="498" t="n"/>
      <c r="GRW67" s="498" t="n"/>
      <c r="GRX67" s="498" t="n"/>
      <c r="GRY67" s="498" t="n"/>
      <c r="GRZ67" s="498" t="n"/>
      <c r="GSA67" s="498" t="n"/>
      <c r="GSB67" s="498" t="n"/>
      <c r="GSC67" s="498" t="n"/>
      <c r="GSD67" s="498" t="n"/>
      <c r="GSE67" s="498" t="n"/>
      <c r="GSF67" s="498" t="n"/>
      <c r="GSG67" s="498" t="n"/>
      <c r="GSH67" s="498" t="n"/>
      <c r="GSI67" s="498" t="n"/>
      <c r="GSJ67" s="498" t="n"/>
      <c r="GSK67" s="498" t="n"/>
      <c r="GSL67" s="498" t="n"/>
      <c r="GSM67" s="498" t="n"/>
      <c r="GSN67" s="498" t="n"/>
      <c r="GSO67" s="498" t="n"/>
      <c r="GSP67" s="498" t="n"/>
      <c r="GSQ67" s="498" t="n"/>
      <c r="GSR67" s="498" t="n"/>
      <c r="GSS67" s="498" t="n"/>
      <c r="GST67" s="498" t="n"/>
      <c r="GSU67" s="498" t="n"/>
      <c r="GSV67" s="498" t="n"/>
      <c r="GSW67" s="498" t="n"/>
      <c r="GSX67" s="498" t="n"/>
      <c r="GSY67" s="498" t="n"/>
      <c r="GSZ67" s="498" t="n"/>
      <c r="GTA67" s="498" t="n"/>
      <c r="GTB67" s="498" t="n"/>
      <c r="GTC67" s="498" t="n"/>
      <c r="GTD67" s="498" t="n"/>
      <c r="GTE67" s="498" t="n"/>
      <c r="GTF67" s="498" t="n"/>
      <c r="GTG67" s="498" t="n"/>
      <c r="GTH67" s="498" t="n"/>
      <c r="GTI67" s="498" t="n"/>
      <c r="GTJ67" s="498" t="n"/>
      <c r="GTK67" s="498" t="n"/>
      <c r="GTL67" s="498" t="n"/>
      <c r="GTM67" s="498" t="n"/>
      <c r="GTN67" s="498" t="n"/>
      <c r="GTO67" s="498" t="n"/>
      <c r="GTP67" s="498" t="n"/>
      <c r="GTQ67" s="498" t="n"/>
      <c r="GTR67" s="498" t="n"/>
      <c r="GTS67" s="498" t="n"/>
      <c r="GTT67" s="498" t="n"/>
      <c r="GTU67" s="498" t="n"/>
      <c r="GTV67" s="498" t="n"/>
      <c r="GTW67" s="498" t="n"/>
      <c r="GTX67" s="498" t="n"/>
      <c r="GTY67" s="498" t="n"/>
      <c r="GTZ67" s="498" t="n"/>
      <c r="GUA67" s="498" t="n"/>
      <c r="GUB67" s="498" t="n"/>
      <c r="GUC67" s="498" t="n"/>
      <c r="GUD67" s="498" t="n"/>
      <c r="GUE67" s="498" t="n"/>
      <c r="GUF67" s="498" t="n"/>
      <c r="GUG67" s="498" t="n"/>
      <c r="GUH67" s="498" t="n"/>
      <c r="GUI67" s="498" t="n"/>
      <c r="GUJ67" s="498" t="n"/>
      <c r="GUK67" s="498" t="n"/>
      <c r="GUL67" s="498" t="n"/>
      <c r="GUM67" s="498" t="n"/>
      <c r="GUN67" s="498" t="n"/>
      <c r="GUO67" s="498" t="n"/>
      <c r="GUP67" s="498" t="n"/>
      <c r="GUQ67" s="498" t="n"/>
      <c r="GUR67" s="498" t="n"/>
      <c r="GUS67" s="498" t="n"/>
      <c r="GUT67" s="498" t="n"/>
      <c r="GUU67" s="498" t="n"/>
      <c r="GUV67" s="498" t="n"/>
      <c r="GUW67" s="498" t="n"/>
      <c r="GUX67" s="498" t="n"/>
      <c r="GUY67" s="498" t="n"/>
      <c r="GUZ67" s="498" t="n"/>
      <c r="GVA67" s="498" t="n"/>
      <c r="GVB67" s="498" t="n"/>
      <c r="GVC67" s="498" t="n"/>
      <c r="GVD67" s="498" t="n"/>
      <c r="GVE67" s="498" t="n"/>
      <c r="GVF67" s="498" t="n"/>
      <c r="GVG67" s="498" t="n"/>
      <c r="GVH67" s="498" t="n"/>
      <c r="GVI67" s="498" t="n"/>
      <c r="GVJ67" s="498" t="n"/>
      <c r="GVK67" s="498" t="n"/>
      <c r="GVL67" s="498" t="n"/>
      <c r="GVM67" s="498" t="n"/>
      <c r="GVN67" s="498" t="n"/>
      <c r="GVO67" s="498" t="n"/>
      <c r="GVP67" s="498" t="n"/>
      <c r="GVQ67" s="498" t="n"/>
      <c r="GVR67" s="498" t="n"/>
      <c r="GVS67" s="498" t="n"/>
      <c r="GVT67" s="498" t="n"/>
      <c r="GVU67" s="498" t="n"/>
      <c r="GVV67" s="498" t="n"/>
      <c r="GVW67" s="498" t="n"/>
      <c r="GVX67" s="498" t="n"/>
      <c r="GVY67" s="498" t="n"/>
      <c r="GVZ67" s="498" t="n"/>
      <c r="GWA67" s="498" t="n"/>
      <c r="GWB67" s="498" t="n"/>
      <c r="GWC67" s="498" t="n"/>
      <c r="GWD67" s="498" t="n"/>
      <c r="GWE67" s="498" t="n"/>
      <c r="GWF67" s="498" t="n"/>
      <c r="GWG67" s="498" t="n"/>
      <c r="GWH67" s="498" t="n"/>
      <c r="GWI67" s="498" t="n"/>
      <c r="GWJ67" s="498" t="n"/>
      <c r="GWK67" s="498" t="n"/>
      <c r="GWL67" s="498" t="n"/>
      <c r="GWM67" s="498" t="n"/>
      <c r="GWN67" s="498" t="n"/>
      <c r="GWO67" s="498" t="n"/>
      <c r="GWP67" s="498" t="n"/>
      <c r="GWQ67" s="498" t="n"/>
      <c r="GWR67" s="498" t="n"/>
      <c r="GWS67" s="498" t="n"/>
      <c r="GWT67" s="498" t="n"/>
      <c r="GWU67" s="498" t="n"/>
      <c r="GWV67" s="498" t="n"/>
      <c r="GWW67" s="498" t="n"/>
      <c r="GWX67" s="498" t="n"/>
      <c r="GWY67" s="498" t="n"/>
      <c r="GWZ67" s="498" t="n"/>
      <c r="GXA67" s="498" t="n"/>
      <c r="GXB67" s="498" t="n"/>
      <c r="GXC67" s="498" t="n"/>
      <c r="GXD67" s="498" t="n"/>
      <c r="GXE67" s="498" t="n"/>
      <c r="GXF67" s="498" t="n"/>
      <c r="GXG67" s="498" t="n"/>
      <c r="GXH67" s="498" t="n"/>
      <c r="GXI67" s="498" t="n"/>
      <c r="GXJ67" s="498" t="n"/>
      <c r="GXK67" s="498" t="n"/>
      <c r="GXL67" s="498" t="n"/>
      <c r="GXM67" s="498" t="n"/>
      <c r="GXN67" s="498" t="n"/>
      <c r="GXO67" s="498" t="n"/>
      <c r="GXP67" s="498" t="n"/>
      <c r="GXQ67" s="498" t="n"/>
      <c r="GXR67" s="498" t="n"/>
      <c r="GXS67" s="498" t="n"/>
      <c r="GXT67" s="498" t="n"/>
      <c r="GXU67" s="498" t="n"/>
      <c r="GXV67" s="498" t="n"/>
      <c r="GXW67" s="498" t="n"/>
      <c r="GXX67" s="498" t="n"/>
      <c r="GXY67" s="498" t="n"/>
      <c r="GXZ67" s="498" t="n"/>
      <c r="GYA67" s="498" t="n"/>
      <c r="GYB67" s="498" t="n"/>
      <c r="GYC67" s="498" t="n"/>
      <c r="GYD67" s="498" t="n"/>
      <c r="GYE67" s="498" t="n"/>
      <c r="GYF67" s="498" t="n"/>
      <c r="GYG67" s="498" t="n"/>
      <c r="GYH67" s="498" t="n"/>
      <c r="GYI67" s="498" t="n"/>
      <c r="GYJ67" s="498" t="n"/>
      <c r="GYK67" s="498" t="n"/>
      <c r="GYL67" s="498" t="n"/>
      <c r="GYM67" s="498" t="n"/>
      <c r="GYN67" s="498" t="n"/>
      <c r="GYO67" s="498" t="n"/>
      <c r="GYP67" s="498" t="n"/>
      <c r="GYQ67" s="498" t="n"/>
      <c r="GYR67" s="498" t="n"/>
      <c r="GYS67" s="498" t="n"/>
      <c r="GYT67" s="498" t="n"/>
      <c r="GYU67" s="498" t="n"/>
      <c r="GYV67" s="498" t="n"/>
      <c r="GYW67" s="498" t="n"/>
      <c r="GYX67" s="498" t="n"/>
      <c r="GYY67" s="498" t="n"/>
      <c r="GYZ67" s="498" t="n"/>
      <c r="GZA67" s="498" t="n"/>
      <c r="GZB67" s="498" t="n"/>
      <c r="GZC67" s="498" t="n"/>
      <c r="GZD67" s="498" t="n"/>
      <c r="GZE67" s="498" t="n"/>
      <c r="GZF67" s="498" t="n"/>
      <c r="GZG67" s="498" t="n"/>
      <c r="GZH67" s="498" t="n"/>
      <c r="GZI67" s="498" t="n"/>
      <c r="GZJ67" s="498" t="n"/>
      <c r="GZK67" s="498" t="n"/>
      <c r="GZL67" s="498" t="n"/>
      <c r="GZM67" s="498" t="n"/>
      <c r="GZN67" s="498" t="n"/>
      <c r="GZO67" s="498" t="n"/>
      <c r="GZP67" s="498" t="n"/>
      <c r="GZQ67" s="498" t="n"/>
      <c r="GZR67" s="498" t="n"/>
      <c r="GZS67" s="498" t="n"/>
      <c r="GZT67" s="498" t="n"/>
      <c r="GZU67" s="498" t="n"/>
      <c r="GZV67" s="498" t="n"/>
      <c r="GZW67" s="498" t="n"/>
      <c r="GZX67" s="498" t="n"/>
      <c r="GZY67" s="498" t="n"/>
      <c r="GZZ67" s="498" t="n"/>
      <c r="HAA67" s="498" t="n"/>
      <c r="HAB67" s="498" t="n"/>
      <c r="HAC67" s="498" t="n"/>
      <c r="HAD67" s="498" t="n"/>
      <c r="HAE67" s="498" t="n"/>
      <c r="HAF67" s="498" t="n"/>
      <c r="HAG67" s="498" t="n"/>
      <c r="HAH67" s="498" t="n"/>
      <c r="HAI67" s="498" t="n"/>
      <c r="HAJ67" s="498" t="n"/>
      <c r="HAK67" s="498" t="n"/>
      <c r="HAL67" s="498" t="n"/>
      <c r="HAM67" s="498" t="n"/>
      <c r="HAN67" s="498" t="n"/>
      <c r="HAO67" s="498" t="n"/>
      <c r="HAP67" s="498" t="n"/>
      <c r="HAQ67" s="498" t="n"/>
      <c r="HAR67" s="498" t="n"/>
      <c r="HAS67" s="498" t="n"/>
      <c r="HAT67" s="498" t="n"/>
      <c r="HAU67" s="498" t="n"/>
      <c r="HAV67" s="498" t="n"/>
      <c r="HAW67" s="498" t="n"/>
      <c r="HAX67" s="498" t="n"/>
      <c r="HAY67" s="498" t="n"/>
      <c r="HAZ67" s="498" t="n"/>
      <c r="HBA67" s="498" t="n"/>
      <c r="HBB67" s="498" t="n"/>
      <c r="HBC67" s="498" t="n"/>
      <c r="HBD67" s="498" t="n"/>
      <c r="HBE67" s="498" t="n"/>
      <c r="HBF67" s="498" t="n"/>
      <c r="HBG67" s="498" t="n"/>
      <c r="HBH67" s="498" t="n"/>
      <c r="HBI67" s="498" t="n"/>
      <c r="HBJ67" s="498" t="n"/>
      <c r="HBK67" s="498" t="n"/>
      <c r="HBL67" s="498" t="n"/>
      <c r="HBM67" s="498" t="n"/>
      <c r="HBN67" s="498" t="n"/>
      <c r="HBO67" s="498" t="n"/>
      <c r="HBP67" s="498" t="n"/>
      <c r="HBQ67" s="498" t="n"/>
      <c r="HBR67" s="498" t="n"/>
      <c r="HBS67" s="498" t="n"/>
      <c r="HBT67" s="498" t="n"/>
      <c r="HBU67" s="498" t="n"/>
      <c r="HBV67" s="498" t="n"/>
      <c r="HBW67" s="498" t="n"/>
      <c r="HBX67" s="498" t="n"/>
      <c r="HBY67" s="498" t="n"/>
      <c r="HBZ67" s="498" t="n"/>
      <c r="HCA67" s="498" t="n"/>
      <c r="HCB67" s="498" t="n"/>
      <c r="HCC67" s="498" t="n"/>
      <c r="HCD67" s="498" t="n"/>
      <c r="HCE67" s="498" t="n"/>
      <c r="HCF67" s="498" t="n"/>
      <c r="HCG67" s="498" t="n"/>
      <c r="HCH67" s="498" t="n"/>
      <c r="HCI67" s="498" t="n"/>
      <c r="HCJ67" s="498" t="n"/>
      <c r="HCK67" s="498" t="n"/>
      <c r="HCL67" s="498" t="n"/>
      <c r="HCM67" s="498" t="n"/>
      <c r="HCN67" s="498" t="n"/>
      <c r="HCO67" s="498" t="n"/>
      <c r="HCP67" s="498" t="n"/>
      <c r="HCQ67" s="498" t="n"/>
      <c r="HCR67" s="498" t="n"/>
      <c r="HCS67" s="498" t="n"/>
      <c r="HCT67" s="498" t="n"/>
      <c r="HCU67" s="498" t="n"/>
      <c r="HCV67" s="498" t="n"/>
      <c r="HCW67" s="498" t="n"/>
      <c r="HCX67" s="498" t="n"/>
      <c r="HCY67" s="498" t="n"/>
      <c r="HCZ67" s="498" t="n"/>
      <c r="HDA67" s="498" t="n"/>
      <c r="HDB67" s="498" t="n"/>
      <c r="HDC67" s="498" t="n"/>
      <c r="HDD67" s="498" t="n"/>
      <c r="HDE67" s="498" t="n"/>
      <c r="HDF67" s="498" t="n"/>
      <c r="HDG67" s="498" t="n"/>
      <c r="HDH67" s="498" t="n"/>
      <c r="HDI67" s="498" t="n"/>
      <c r="HDJ67" s="498" t="n"/>
      <c r="HDK67" s="498" t="n"/>
      <c r="HDL67" s="498" t="n"/>
      <c r="HDM67" s="498" t="n"/>
      <c r="HDN67" s="498" t="n"/>
      <c r="HDO67" s="498" t="n"/>
      <c r="HDP67" s="498" t="n"/>
      <c r="HDQ67" s="498" t="n"/>
      <c r="HDR67" s="498" t="n"/>
      <c r="HDS67" s="498" t="n"/>
      <c r="HDT67" s="498" t="n"/>
      <c r="HDU67" s="498" t="n"/>
      <c r="HDV67" s="498" t="n"/>
      <c r="HDW67" s="498" t="n"/>
      <c r="HDX67" s="498" t="n"/>
      <c r="HDY67" s="498" t="n"/>
      <c r="HDZ67" s="498" t="n"/>
      <c r="HEA67" s="498" t="n"/>
      <c r="HEB67" s="498" t="n"/>
      <c r="HEC67" s="498" t="n"/>
      <c r="HED67" s="498" t="n"/>
      <c r="HEE67" s="498" t="n"/>
      <c r="HEF67" s="498" t="n"/>
      <c r="HEG67" s="498" t="n"/>
      <c r="HEH67" s="498" t="n"/>
      <c r="HEI67" s="498" t="n"/>
      <c r="HEJ67" s="498" t="n"/>
      <c r="HEK67" s="498" t="n"/>
      <c r="HEL67" s="498" t="n"/>
      <c r="HEM67" s="498" t="n"/>
      <c r="HEN67" s="498" t="n"/>
      <c r="HEO67" s="498" t="n"/>
      <c r="HEP67" s="498" t="n"/>
      <c r="HEQ67" s="498" t="n"/>
      <c r="HER67" s="498" t="n"/>
      <c r="HES67" s="498" t="n"/>
      <c r="HET67" s="498" t="n"/>
      <c r="HEU67" s="498" t="n"/>
      <c r="HEV67" s="498" t="n"/>
      <c r="HEW67" s="498" t="n"/>
      <c r="HEX67" s="498" t="n"/>
      <c r="HEY67" s="498" t="n"/>
      <c r="HEZ67" s="498" t="n"/>
      <c r="HFA67" s="498" t="n"/>
      <c r="HFB67" s="498" t="n"/>
      <c r="HFC67" s="498" t="n"/>
      <c r="HFD67" s="498" t="n"/>
      <c r="HFE67" s="498" t="n"/>
      <c r="HFF67" s="498" t="n"/>
      <c r="HFG67" s="498" t="n"/>
      <c r="HFH67" s="498" t="n"/>
      <c r="HFI67" s="498" t="n"/>
      <c r="HFJ67" s="498" t="n"/>
      <c r="HFK67" s="498" t="n"/>
      <c r="HFL67" s="498" t="n"/>
      <c r="HFM67" s="498" t="n"/>
      <c r="HFN67" s="498" t="n"/>
      <c r="HFO67" s="498" t="n"/>
      <c r="HFP67" s="498" t="n"/>
      <c r="HFQ67" s="498" t="n"/>
      <c r="HFR67" s="498" t="n"/>
      <c r="HFS67" s="498" t="n"/>
      <c r="HFT67" s="498" t="n"/>
      <c r="HFU67" s="498" t="n"/>
      <c r="HFV67" s="498" t="n"/>
      <c r="HFW67" s="498" t="n"/>
      <c r="HFX67" s="498" t="n"/>
      <c r="HFY67" s="498" t="n"/>
      <c r="HFZ67" s="498" t="n"/>
      <c r="HGA67" s="498" t="n"/>
      <c r="HGB67" s="498" t="n"/>
      <c r="HGC67" s="498" t="n"/>
      <c r="HGD67" s="498" t="n"/>
      <c r="HGE67" s="498" t="n"/>
      <c r="HGF67" s="498" t="n"/>
      <c r="HGG67" s="498" t="n"/>
      <c r="HGH67" s="498" t="n"/>
      <c r="HGI67" s="498" t="n"/>
      <c r="HGJ67" s="498" t="n"/>
      <c r="HGK67" s="498" t="n"/>
      <c r="HGL67" s="498" t="n"/>
      <c r="HGM67" s="498" t="n"/>
      <c r="HGN67" s="498" t="n"/>
      <c r="HGO67" s="498" t="n"/>
      <c r="HGP67" s="498" t="n"/>
      <c r="HGQ67" s="498" t="n"/>
      <c r="HGR67" s="498" t="n"/>
      <c r="HGS67" s="498" t="n"/>
      <c r="HGT67" s="498" t="n"/>
      <c r="HGU67" s="498" t="n"/>
      <c r="HGV67" s="498" t="n"/>
      <c r="HGW67" s="498" t="n"/>
      <c r="HGX67" s="498" t="n"/>
      <c r="HGY67" s="498" t="n"/>
      <c r="HGZ67" s="498" t="n"/>
      <c r="HHA67" s="498" t="n"/>
      <c r="HHB67" s="498" t="n"/>
      <c r="HHC67" s="498" t="n"/>
      <c r="HHD67" s="498" t="n"/>
      <c r="HHE67" s="498" t="n"/>
      <c r="HHF67" s="498" t="n"/>
      <c r="HHG67" s="498" t="n"/>
      <c r="HHH67" s="498" t="n"/>
      <c r="HHI67" s="498" t="n"/>
      <c r="HHJ67" s="498" t="n"/>
      <c r="HHK67" s="498" t="n"/>
      <c r="HHL67" s="498" t="n"/>
      <c r="HHM67" s="498" t="n"/>
      <c r="HHN67" s="498" t="n"/>
      <c r="HHO67" s="498" t="n"/>
      <c r="HHP67" s="498" t="n"/>
      <c r="HHQ67" s="498" t="n"/>
      <c r="HHR67" s="498" t="n"/>
      <c r="HHS67" s="498" t="n"/>
      <c r="HHT67" s="498" t="n"/>
      <c r="HHU67" s="498" t="n"/>
      <c r="HHV67" s="498" t="n"/>
      <c r="HHW67" s="498" t="n"/>
      <c r="HHX67" s="498" t="n"/>
      <c r="HHY67" s="498" t="n"/>
      <c r="HHZ67" s="498" t="n"/>
      <c r="HIA67" s="498" t="n"/>
      <c r="HIB67" s="498" t="n"/>
      <c r="HIC67" s="498" t="n"/>
      <c r="HID67" s="498" t="n"/>
      <c r="HIE67" s="498" t="n"/>
      <c r="HIF67" s="498" t="n"/>
      <c r="HIG67" s="498" t="n"/>
      <c r="HIH67" s="498" t="n"/>
      <c r="HII67" s="498" t="n"/>
      <c r="HIJ67" s="498" t="n"/>
      <c r="HIK67" s="498" t="n"/>
      <c r="HIL67" s="498" t="n"/>
      <c r="HIM67" s="498" t="n"/>
      <c r="HIN67" s="498" t="n"/>
      <c r="HIO67" s="498" t="n"/>
      <c r="HIP67" s="498" t="n"/>
      <c r="HIQ67" s="498" t="n"/>
      <c r="HIR67" s="498" t="n"/>
      <c r="HIS67" s="498" t="n"/>
      <c r="HIT67" s="498" t="n"/>
      <c r="HIU67" s="498" t="n"/>
      <c r="HIV67" s="498" t="n"/>
      <c r="HIW67" s="498" t="n"/>
      <c r="HIX67" s="498" t="n"/>
      <c r="HIY67" s="498" t="n"/>
      <c r="HIZ67" s="498" t="n"/>
      <c r="HJA67" s="498" t="n"/>
      <c r="HJB67" s="498" t="n"/>
      <c r="HJC67" s="498" t="n"/>
      <c r="HJD67" s="498" t="n"/>
      <c r="HJE67" s="498" t="n"/>
      <c r="HJF67" s="498" t="n"/>
      <c r="HJG67" s="498" t="n"/>
      <c r="HJH67" s="498" t="n"/>
      <c r="HJI67" s="498" t="n"/>
      <c r="HJJ67" s="498" t="n"/>
      <c r="HJK67" s="498" t="n"/>
      <c r="HJL67" s="498" t="n"/>
      <c r="HJM67" s="498" t="n"/>
      <c r="HJN67" s="498" t="n"/>
      <c r="HJO67" s="498" t="n"/>
      <c r="HJP67" s="498" t="n"/>
      <c r="HJQ67" s="498" t="n"/>
      <c r="HJR67" s="498" t="n"/>
      <c r="HJS67" s="498" t="n"/>
      <c r="HJT67" s="498" t="n"/>
      <c r="HJU67" s="498" t="n"/>
      <c r="HJV67" s="498" t="n"/>
      <c r="HJW67" s="498" t="n"/>
      <c r="HJX67" s="498" t="n"/>
      <c r="HJY67" s="498" t="n"/>
      <c r="HJZ67" s="498" t="n"/>
      <c r="HKA67" s="498" t="n"/>
      <c r="HKB67" s="498" t="n"/>
      <c r="HKC67" s="498" t="n"/>
      <c r="HKD67" s="498" t="n"/>
      <c r="HKE67" s="498" t="n"/>
      <c r="HKF67" s="498" t="n"/>
      <c r="HKG67" s="498" t="n"/>
      <c r="HKH67" s="498" t="n"/>
      <c r="HKI67" s="498" t="n"/>
      <c r="HKJ67" s="498" t="n"/>
      <c r="HKK67" s="498" t="n"/>
      <c r="HKL67" s="498" t="n"/>
      <c r="HKM67" s="498" t="n"/>
      <c r="HKN67" s="498" t="n"/>
      <c r="HKO67" s="498" t="n"/>
      <c r="HKP67" s="498" t="n"/>
      <c r="HKQ67" s="498" t="n"/>
      <c r="HKR67" s="498" t="n"/>
      <c r="HKS67" s="498" t="n"/>
      <c r="HKT67" s="498" t="n"/>
      <c r="HKU67" s="498" t="n"/>
      <c r="HKV67" s="498" t="n"/>
      <c r="HKW67" s="498" t="n"/>
      <c r="HKX67" s="498" t="n"/>
      <c r="HKY67" s="498" t="n"/>
      <c r="HKZ67" s="498" t="n"/>
      <c r="HLA67" s="498" t="n"/>
      <c r="HLB67" s="498" t="n"/>
      <c r="HLC67" s="498" t="n"/>
      <c r="HLD67" s="498" t="n"/>
      <c r="HLE67" s="498" t="n"/>
      <c r="HLF67" s="498" t="n"/>
      <c r="HLG67" s="498" t="n"/>
      <c r="HLH67" s="498" t="n"/>
      <c r="HLI67" s="498" t="n"/>
      <c r="HLJ67" s="498" t="n"/>
      <c r="HLK67" s="498" t="n"/>
      <c r="HLL67" s="498" t="n"/>
      <c r="HLM67" s="498" t="n"/>
      <c r="HLN67" s="498" t="n"/>
      <c r="HLO67" s="498" t="n"/>
      <c r="HLP67" s="498" t="n"/>
      <c r="HLQ67" s="498" t="n"/>
      <c r="HLR67" s="498" t="n"/>
      <c r="HLS67" s="498" t="n"/>
      <c r="HLT67" s="498" t="n"/>
      <c r="HLU67" s="498" t="n"/>
      <c r="HLV67" s="498" t="n"/>
      <c r="HLW67" s="498" t="n"/>
      <c r="HLX67" s="498" t="n"/>
      <c r="HLY67" s="498" t="n"/>
      <c r="HLZ67" s="498" t="n"/>
      <c r="HMA67" s="498" t="n"/>
      <c r="HMB67" s="498" t="n"/>
      <c r="HMC67" s="498" t="n"/>
      <c r="HMD67" s="498" t="n"/>
      <c r="HME67" s="498" t="n"/>
      <c r="HMF67" s="498" t="n"/>
      <c r="HMG67" s="498" t="n"/>
      <c r="HMH67" s="498" t="n"/>
      <c r="HMI67" s="498" t="n"/>
      <c r="HMJ67" s="498" t="n"/>
      <c r="HMK67" s="498" t="n"/>
      <c r="HML67" s="498" t="n"/>
      <c r="HMM67" s="498" t="n"/>
      <c r="HMN67" s="498" t="n"/>
      <c r="HMO67" s="498" t="n"/>
      <c r="HMP67" s="498" t="n"/>
      <c r="HMQ67" s="498" t="n"/>
      <c r="HMR67" s="498" t="n"/>
      <c r="HMS67" s="498" t="n"/>
      <c r="HMT67" s="498" t="n"/>
      <c r="HMU67" s="498" t="n"/>
      <c r="HMV67" s="498" t="n"/>
      <c r="HMW67" s="498" t="n"/>
      <c r="HMX67" s="498" t="n"/>
      <c r="HMY67" s="498" t="n"/>
      <c r="HMZ67" s="498" t="n"/>
      <c r="HNA67" s="498" t="n"/>
      <c r="HNB67" s="498" t="n"/>
      <c r="HNC67" s="498" t="n"/>
      <c r="HND67" s="498" t="n"/>
      <c r="HNE67" s="498" t="n"/>
      <c r="HNF67" s="498" t="n"/>
      <c r="HNG67" s="498" t="n"/>
      <c r="HNH67" s="498" t="n"/>
      <c r="HNI67" s="498" t="n"/>
      <c r="HNJ67" s="498" t="n"/>
      <c r="HNK67" s="498" t="n"/>
      <c r="HNL67" s="498" t="n"/>
      <c r="HNM67" s="498" t="n"/>
      <c r="HNN67" s="498" t="n"/>
      <c r="HNO67" s="498" t="n"/>
      <c r="HNP67" s="498" t="n"/>
      <c r="HNQ67" s="498" t="n"/>
      <c r="HNR67" s="498" t="n"/>
      <c r="HNS67" s="498" t="n"/>
      <c r="HNT67" s="498" t="n"/>
      <c r="HNU67" s="498" t="n"/>
      <c r="HNV67" s="498" t="n"/>
      <c r="HNW67" s="498" t="n"/>
      <c r="HNX67" s="498" t="n"/>
      <c r="HNY67" s="498" t="n"/>
      <c r="HNZ67" s="498" t="n"/>
      <c r="HOA67" s="498" t="n"/>
      <c r="HOB67" s="498" t="n"/>
      <c r="HOC67" s="498" t="n"/>
      <c r="HOD67" s="498" t="n"/>
      <c r="HOE67" s="498" t="n"/>
      <c r="HOF67" s="498" t="n"/>
      <c r="HOG67" s="498" t="n"/>
      <c r="HOH67" s="498" t="n"/>
      <c r="HOI67" s="498" t="n"/>
      <c r="HOJ67" s="498" t="n"/>
      <c r="HOK67" s="498" t="n"/>
      <c r="HOL67" s="498" t="n"/>
      <c r="HOM67" s="498" t="n"/>
      <c r="HON67" s="498" t="n"/>
      <c r="HOO67" s="498" t="n"/>
      <c r="HOP67" s="498" t="n"/>
      <c r="HOQ67" s="498" t="n"/>
      <c r="HOR67" s="498" t="n"/>
      <c r="HOS67" s="498" t="n"/>
      <c r="HOT67" s="498" t="n"/>
      <c r="HOU67" s="498" t="n"/>
      <c r="HOV67" s="498" t="n"/>
      <c r="HOW67" s="498" t="n"/>
      <c r="HOX67" s="498" t="n"/>
      <c r="HOY67" s="498" t="n"/>
      <c r="HOZ67" s="498" t="n"/>
      <c r="HPA67" s="498" t="n"/>
      <c r="HPB67" s="498" t="n"/>
      <c r="HPC67" s="498" t="n"/>
      <c r="HPD67" s="498" t="n"/>
      <c r="HPE67" s="498" t="n"/>
      <c r="HPF67" s="498" t="n"/>
      <c r="HPG67" s="498" t="n"/>
      <c r="HPH67" s="498" t="n"/>
      <c r="HPI67" s="498" t="n"/>
      <c r="HPJ67" s="498" t="n"/>
      <c r="HPK67" s="498" t="n"/>
      <c r="HPL67" s="498" t="n"/>
      <c r="HPM67" s="498" t="n"/>
      <c r="HPN67" s="498" t="n"/>
      <c r="HPO67" s="498" t="n"/>
      <c r="HPP67" s="498" t="n"/>
      <c r="HPQ67" s="498" t="n"/>
      <c r="HPR67" s="498" t="n"/>
      <c r="HPS67" s="498" t="n"/>
      <c r="HPT67" s="498" t="n"/>
      <c r="HPU67" s="498" t="n"/>
      <c r="HPV67" s="498" t="n"/>
      <c r="HPW67" s="498" t="n"/>
      <c r="HPX67" s="498" t="n"/>
      <c r="HPY67" s="498" t="n"/>
      <c r="HPZ67" s="498" t="n"/>
      <c r="HQA67" s="498" t="n"/>
      <c r="HQB67" s="498" t="n"/>
      <c r="HQC67" s="498" t="n"/>
      <c r="HQD67" s="498" t="n"/>
      <c r="HQE67" s="498" t="n"/>
      <c r="HQF67" s="498" t="n"/>
      <c r="HQG67" s="498" t="n"/>
      <c r="HQH67" s="498" t="n"/>
      <c r="HQI67" s="498" t="n"/>
      <c r="HQJ67" s="498" t="n"/>
      <c r="HQK67" s="498" t="n"/>
      <c r="HQL67" s="498" t="n"/>
      <c r="HQM67" s="498" t="n"/>
      <c r="HQN67" s="498" t="n"/>
      <c r="HQO67" s="498" t="n"/>
      <c r="HQP67" s="498" t="n"/>
      <c r="HQQ67" s="498" t="n"/>
      <c r="HQR67" s="498" t="n"/>
      <c r="HQS67" s="498" t="n"/>
      <c r="HQT67" s="498" t="n"/>
      <c r="HQU67" s="498" t="n"/>
      <c r="HQV67" s="498" t="n"/>
      <c r="HQW67" s="498" t="n"/>
      <c r="HQX67" s="498" t="n"/>
      <c r="HQY67" s="498" t="n"/>
      <c r="HQZ67" s="498" t="n"/>
      <c r="HRA67" s="498" t="n"/>
      <c r="HRB67" s="498" t="n"/>
      <c r="HRC67" s="498" t="n"/>
      <c r="HRD67" s="498" t="n"/>
      <c r="HRE67" s="498" t="n"/>
      <c r="HRF67" s="498" t="n"/>
      <c r="HRG67" s="498" t="n"/>
      <c r="HRH67" s="498" t="n"/>
      <c r="HRI67" s="498" t="n"/>
      <c r="HRJ67" s="498" t="n"/>
      <c r="HRK67" s="498" t="n"/>
      <c r="HRL67" s="498" t="n"/>
      <c r="HRM67" s="498" t="n"/>
      <c r="HRN67" s="498" t="n"/>
      <c r="HRO67" s="498" t="n"/>
      <c r="HRP67" s="498" t="n"/>
      <c r="HRQ67" s="498" t="n"/>
      <c r="HRR67" s="498" t="n"/>
      <c r="HRS67" s="498" t="n"/>
      <c r="HRT67" s="498" t="n"/>
      <c r="HRU67" s="498" t="n"/>
      <c r="HRV67" s="498" t="n"/>
      <c r="HRW67" s="498" t="n"/>
      <c r="HRX67" s="498" t="n"/>
      <c r="HRY67" s="498" t="n"/>
      <c r="HRZ67" s="498" t="n"/>
      <c r="HSA67" s="498" t="n"/>
      <c r="HSB67" s="498" t="n"/>
      <c r="HSC67" s="498" t="n"/>
      <c r="HSD67" s="498" t="n"/>
      <c r="HSE67" s="498" t="n"/>
      <c r="HSF67" s="498" t="n"/>
      <c r="HSG67" s="498" t="n"/>
      <c r="HSH67" s="498" t="n"/>
      <c r="HSI67" s="498" t="n"/>
      <c r="HSJ67" s="498" t="n"/>
      <c r="HSK67" s="498" t="n"/>
      <c r="HSL67" s="498" t="n"/>
      <c r="HSM67" s="498" t="n"/>
      <c r="HSN67" s="498" t="n"/>
      <c r="HSO67" s="498" t="n"/>
      <c r="HSP67" s="498" t="n"/>
      <c r="HSQ67" s="498" t="n"/>
      <c r="HSR67" s="498" t="n"/>
      <c r="HSS67" s="498" t="n"/>
      <c r="HST67" s="498" t="n"/>
      <c r="HSU67" s="498" t="n"/>
      <c r="HSV67" s="498" t="n"/>
      <c r="HSW67" s="498" t="n"/>
      <c r="HSX67" s="498" t="n"/>
      <c r="HSY67" s="498" t="n"/>
      <c r="HSZ67" s="498" t="n"/>
      <c r="HTA67" s="498" t="n"/>
      <c r="HTB67" s="498" t="n"/>
      <c r="HTC67" s="498" t="n"/>
      <c r="HTD67" s="498" t="n"/>
      <c r="HTE67" s="498" t="n"/>
      <c r="HTF67" s="498" t="n"/>
      <c r="HTG67" s="498" t="n"/>
      <c r="HTH67" s="498" t="n"/>
      <c r="HTI67" s="498" t="n"/>
      <c r="HTJ67" s="498" t="n"/>
      <c r="HTK67" s="498" t="n"/>
      <c r="HTL67" s="498" t="n"/>
      <c r="HTM67" s="498" t="n"/>
      <c r="HTN67" s="498" t="n"/>
      <c r="HTO67" s="498" t="n"/>
      <c r="HTP67" s="498" t="n"/>
      <c r="HTQ67" s="498" t="n"/>
      <c r="HTR67" s="498" t="n"/>
      <c r="HTS67" s="498" t="n"/>
      <c r="HTT67" s="498" t="n"/>
      <c r="HTU67" s="498" t="n"/>
      <c r="HTV67" s="498" t="n"/>
      <c r="HTW67" s="498" t="n"/>
      <c r="HTX67" s="498" t="n"/>
      <c r="HTY67" s="498" t="n"/>
      <c r="HTZ67" s="498" t="n"/>
      <c r="HUA67" s="498" t="n"/>
      <c r="HUB67" s="498" t="n"/>
      <c r="HUC67" s="498" t="n"/>
      <c r="HUD67" s="498" t="n"/>
      <c r="HUE67" s="498" t="n"/>
      <c r="HUF67" s="498" t="n"/>
      <c r="HUG67" s="498" t="n"/>
      <c r="HUH67" s="498" t="n"/>
      <c r="HUI67" s="498" t="n"/>
      <c r="HUJ67" s="498" t="n"/>
      <c r="HUK67" s="498" t="n"/>
      <c r="HUL67" s="498" t="n"/>
      <c r="HUM67" s="498" t="n"/>
      <c r="HUN67" s="498" t="n"/>
      <c r="HUO67" s="498" t="n"/>
      <c r="HUP67" s="498" t="n"/>
      <c r="HUQ67" s="498" t="n"/>
      <c r="HUR67" s="498" t="n"/>
      <c r="HUS67" s="498" t="n"/>
      <c r="HUT67" s="498" t="n"/>
      <c r="HUU67" s="498" t="n"/>
      <c r="HUV67" s="498" t="n"/>
      <c r="HUW67" s="498" t="n"/>
      <c r="HUX67" s="498" t="n"/>
      <c r="HUY67" s="498" t="n"/>
      <c r="HUZ67" s="498" t="n"/>
      <c r="HVA67" s="498" t="n"/>
      <c r="HVB67" s="498" t="n"/>
      <c r="HVC67" s="498" t="n"/>
      <c r="HVD67" s="498" t="n"/>
      <c r="HVE67" s="498" t="n"/>
      <c r="HVF67" s="498" t="n"/>
      <c r="HVG67" s="498" t="n"/>
      <c r="HVH67" s="498" t="n"/>
      <c r="HVI67" s="498" t="n"/>
      <c r="HVJ67" s="498" t="n"/>
      <c r="HVK67" s="498" t="n"/>
      <c r="HVL67" s="498" t="n"/>
      <c r="HVM67" s="498" t="n"/>
      <c r="HVN67" s="498" t="n"/>
      <c r="HVO67" s="498" t="n"/>
      <c r="HVP67" s="498" t="n"/>
      <c r="HVQ67" s="498" t="n"/>
      <c r="HVR67" s="498" t="n"/>
      <c r="HVS67" s="498" t="n"/>
      <c r="HVT67" s="498" t="n"/>
      <c r="HVU67" s="498" t="n"/>
      <c r="HVV67" s="498" t="n"/>
      <c r="HVW67" s="498" t="n"/>
      <c r="HVX67" s="498" t="n"/>
      <c r="HVY67" s="498" t="n"/>
      <c r="HVZ67" s="498" t="n"/>
      <c r="HWA67" s="498" t="n"/>
      <c r="HWB67" s="498" t="n"/>
      <c r="HWC67" s="498" t="n"/>
      <c r="HWD67" s="498" t="n"/>
      <c r="HWE67" s="498" t="n"/>
      <c r="HWF67" s="498" t="n"/>
      <c r="HWG67" s="498" t="n"/>
      <c r="HWH67" s="498" t="n"/>
      <c r="HWI67" s="498" t="n"/>
      <c r="HWJ67" s="498" t="n"/>
      <c r="HWK67" s="498" t="n"/>
      <c r="HWL67" s="498" t="n"/>
      <c r="HWM67" s="498" t="n"/>
      <c r="HWN67" s="498" t="n"/>
      <c r="HWO67" s="498" t="n"/>
      <c r="HWP67" s="498" t="n"/>
      <c r="HWQ67" s="498" t="n"/>
      <c r="HWR67" s="498" t="n"/>
      <c r="HWS67" s="498" t="n"/>
      <c r="HWT67" s="498" t="n"/>
      <c r="HWU67" s="498" t="n"/>
      <c r="HWV67" s="498" t="n"/>
      <c r="HWW67" s="498" t="n"/>
      <c r="HWX67" s="498" t="n"/>
      <c r="HWY67" s="498" t="n"/>
      <c r="HWZ67" s="498" t="n"/>
      <c r="HXA67" s="498" t="n"/>
      <c r="HXB67" s="498" t="n"/>
      <c r="HXC67" s="498" t="n"/>
      <c r="HXD67" s="498" t="n"/>
      <c r="HXE67" s="498" t="n"/>
      <c r="HXF67" s="498" t="n"/>
      <c r="HXG67" s="498" t="n"/>
      <c r="HXH67" s="498" t="n"/>
      <c r="HXI67" s="498" t="n"/>
      <c r="HXJ67" s="498" t="n"/>
      <c r="HXK67" s="498" t="n"/>
      <c r="HXL67" s="498" t="n"/>
      <c r="HXM67" s="498" t="n"/>
      <c r="HXN67" s="498" t="n"/>
      <c r="HXO67" s="498" t="n"/>
      <c r="HXP67" s="498" t="n"/>
      <c r="HXQ67" s="498" t="n"/>
      <c r="HXR67" s="498" t="n"/>
      <c r="HXS67" s="498" t="n"/>
      <c r="HXT67" s="498" t="n"/>
      <c r="HXU67" s="498" t="n"/>
      <c r="HXV67" s="498" t="n"/>
      <c r="HXW67" s="498" t="n"/>
      <c r="HXX67" s="498" t="n"/>
      <c r="HXY67" s="498" t="n"/>
      <c r="HXZ67" s="498" t="n"/>
      <c r="HYA67" s="498" t="n"/>
      <c r="HYB67" s="498" t="n"/>
      <c r="HYC67" s="498" t="n"/>
      <c r="HYD67" s="498" t="n"/>
      <c r="HYE67" s="498" t="n"/>
      <c r="HYF67" s="498" t="n"/>
      <c r="HYG67" s="498" t="n"/>
      <c r="HYH67" s="498" t="n"/>
      <c r="HYI67" s="498" t="n"/>
      <c r="HYJ67" s="498" t="n"/>
      <c r="HYK67" s="498" t="n"/>
      <c r="HYL67" s="498" t="n"/>
      <c r="HYM67" s="498" t="n"/>
      <c r="HYN67" s="498" t="n"/>
      <c r="HYO67" s="498" t="n"/>
      <c r="HYP67" s="498" t="n"/>
      <c r="HYQ67" s="498" t="n"/>
      <c r="HYR67" s="498" t="n"/>
      <c r="HYS67" s="498" t="n"/>
      <c r="HYT67" s="498" t="n"/>
      <c r="HYU67" s="498" t="n"/>
      <c r="HYV67" s="498" t="n"/>
      <c r="HYW67" s="498" t="n"/>
      <c r="HYX67" s="498" t="n"/>
      <c r="HYY67" s="498" t="n"/>
      <c r="HYZ67" s="498" t="n"/>
      <c r="HZA67" s="498" t="n"/>
      <c r="HZB67" s="498" t="n"/>
      <c r="HZC67" s="498" t="n"/>
      <c r="HZD67" s="498" t="n"/>
      <c r="HZE67" s="498" t="n"/>
      <c r="HZF67" s="498" t="n"/>
      <c r="HZG67" s="498" t="n"/>
      <c r="HZH67" s="498" t="n"/>
      <c r="HZI67" s="498" t="n"/>
      <c r="HZJ67" s="498" t="n"/>
      <c r="HZK67" s="498" t="n"/>
      <c r="HZL67" s="498" t="n"/>
      <c r="HZM67" s="498" t="n"/>
      <c r="HZN67" s="498" t="n"/>
      <c r="HZO67" s="498" t="n"/>
      <c r="HZP67" s="498" t="n"/>
      <c r="HZQ67" s="498" t="n"/>
      <c r="HZR67" s="498" t="n"/>
      <c r="HZS67" s="498" t="n"/>
      <c r="HZT67" s="498" t="n"/>
      <c r="HZU67" s="498" t="n"/>
      <c r="HZV67" s="498" t="n"/>
      <c r="HZW67" s="498" t="n"/>
      <c r="HZX67" s="498" t="n"/>
      <c r="HZY67" s="498" t="n"/>
      <c r="HZZ67" s="498" t="n"/>
      <c r="IAA67" s="498" t="n"/>
      <c r="IAB67" s="498" t="n"/>
      <c r="IAC67" s="498" t="n"/>
      <c r="IAD67" s="498" t="n"/>
      <c r="IAE67" s="498" t="n"/>
      <c r="IAF67" s="498" t="n"/>
      <c r="IAG67" s="498" t="n"/>
      <c r="IAH67" s="498" t="n"/>
      <c r="IAI67" s="498" t="n"/>
      <c r="IAJ67" s="498" t="n"/>
      <c r="IAK67" s="498" t="n"/>
      <c r="IAL67" s="498" t="n"/>
      <c r="IAM67" s="498" t="n"/>
      <c r="IAN67" s="498" t="n"/>
      <c r="IAO67" s="498" t="n"/>
      <c r="IAP67" s="498" t="n"/>
      <c r="IAQ67" s="498" t="n"/>
      <c r="IAR67" s="498" t="n"/>
      <c r="IAS67" s="498" t="n"/>
      <c r="IAT67" s="498" t="n"/>
      <c r="IAU67" s="498" t="n"/>
      <c r="IAV67" s="498" t="n"/>
      <c r="IAW67" s="498" t="n"/>
      <c r="IAX67" s="498" t="n"/>
      <c r="IAY67" s="498" t="n"/>
      <c r="IAZ67" s="498" t="n"/>
      <c r="IBA67" s="498" t="n"/>
      <c r="IBB67" s="498" t="n"/>
      <c r="IBC67" s="498" t="n"/>
      <c r="IBD67" s="498" t="n"/>
      <c r="IBE67" s="498" t="n"/>
      <c r="IBF67" s="498" t="n"/>
      <c r="IBG67" s="498" t="n"/>
      <c r="IBH67" s="498" t="n"/>
      <c r="IBI67" s="498" t="n"/>
      <c r="IBJ67" s="498" t="n"/>
      <c r="IBK67" s="498" t="n"/>
      <c r="IBL67" s="498" t="n"/>
      <c r="IBM67" s="498" t="n"/>
      <c r="IBN67" s="498" t="n"/>
      <c r="IBO67" s="498" t="n"/>
      <c r="IBP67" s="498" t="n"/>
      <c r="IBQ67" s="498" t="n"/>
      <c r="IBR67" s="498" t="n"/>
      <c r="IBS67" s="498" t="n"/>
      <c r="IBT67" s="498" t="n"/>
      <c r="IBU67" s="498" t="n"/>
      <c r="IBV67" s="498" t="n"/>
      <c r="IBW67" s="498" t="n"/>
      <c r="IBX67" s="498" t="n"/>
      <c r="IBY67" s="498" t="n"/>
      <c r="IBZ67" s="498" t="n"/>
      <c r="ICA67" s="498" t="n"/>
      <c r="ICB67" s="498" t="n"/>
      <c r="ICC67" s="498" t="n"/>
      <c r="ICD67" s="498" t="n"/>
      <c r="ICE67" s="498" t="n"/>
      <c r="ICF67" s="498" t="n"/>
      <c r="ICG67" s="498" t="n"/>
      <c r="ICH67" s="498" t="n"/>
      <c r="ICI67" s="498" t="n"/>
      <c r="ICJ67" s="498" t="n"/>
      <c r="ICK67" s="498" t="n"/>
      <c r="ICL67" s="498" t="n"/>
      <c r="ICM67" s="498" t="n"/>
      <c r="ICN67" s="498" t="n"/>
      <c r="ICO67" s="498" t="n"/>
      <c r="ICP67" s="498" t="n"/>
      <c r="ICQ67" s="498" t="n"/>
      <c r="ICR67" s="498" t="n"/>
      <c r="ICS67" s="498" t="n"/>
      <c r="ICT67" s="498" t="n"/>
      <c r="ICU67" s="498" t="n"/>
      <c r="ICV67" s="498" t="n"/>
      <c r="ICW67" s="498" t="n"/>
      <c r="ICX67" s="498" t="n"/>
      <c r="ICY67" s="498" t="n"/>
      <c r="ICZ67" s="498" t="n"/>
      <c r="IDA67" s="498" t="n"/>
      <c r="IDB67" s="498" t="n"/>
      <c r="IDC67" s="498" t="n"/>
      <c r="IDD67" s="498" t="n"/>
      <c r="IDE67" s="498" t="n"/>
      <c r="IDF67" s="498" t="n"/>
      <c r="IDG67" s="498" t="n"/>
      <c r="IDH67" s="498" t="n"/>
      <c r="IDI67" s="498" t="n"/>
      <c r="IDJ67" s="498" t="n"/>
      <c r="IDK67" s="498" t="n"/>
      <c r="IDL67" s="498" t="n"/>
      <c r="IDM67" s="498" t="n"/>
      <c r="IDN67" s="498" t="n"/>
      <c r="IDO67" s="498" t="n"/>
      <c r="IDP67" s="498" t="n"/>
      <c r="IDQ67" s="498" t="n"/>
      <c r="IDR67" s="498" t="n"/>
      <c r="IDS67" s="498" t="n"/>
      <c r="IDT67" s="498" t="n"/>
      <c r="IDU67" s="498" t="n"/>
      <c r="IDV67" s="498" t="n"/>
      <c r="IDW67" s="498" t="n"/>
      <c r="IDX67" s="498" t="n"/>
      <c r="IDY67" s="498" t="n"/>
      <c r="IDZ67" s="498" t="n"/>
      <c r="IEA67" s="498" t="n"/>
      <c r="IEB67" s="498" t="n"/>
      <c r="IEC67" s="498" t="n"/>
      <c r="IED67" s="498" t="n"/>
      <c r="IEE67" s="498" t="n"/>
      <c r="IEF67" s="498" t="n"/>
      <c r="IEG67" s="498" t="n"/>
      <c r="IEH67" s="498" t="n"/>
      <c r="IEI67" s="498" t="n"/>
      <c r="IEJ67" s="498" t="n"/>
      <c r="IEK67" s="498" t="n"/>
      <c r="IEL67" s="498" t="n"/>
      <c r="IEM67" s="498" t="n"/>
      <c r="IEN67" s="498" t="n"/>
      <c r="IEO67" s="498" t="n"/>
      <c r="IEP67" s="498" t="n"/>
      <c r="IEQ67" s="498" t="n"/>
      <c r="IER67" s="498" t="n"/>
      <c r="IES67" s="498" t="n"/>
      <c r="IET67" s="498" t="n"/>
      <c r="IEU67" s="498" t="n"/>
      <c r="IEV67" s="498" t="n"/>
      <c r="IEW67" s="498" t="n"/>
      <c r="IEX67" s="498" t="n"/>
      <c r="IEY67" s="498" t="n"/>
      <c r="IEZ67" s="498" t="n"/>
      <c r="IFA67" s="498" t="n"/>
      <c r="IFB67" s="498" t="n"/>
      <c r="IFC67" s="498" t="n"/>
      <c r="IFD67" s="498" t="n"/>
      <c r="IFE67" s="498" t="n"/>
      <c r="IFF67" s="498" t="n"/>
      <c r="IFG67" s="498" t="n"/>
      <c r="IFH67" s="498" t="n"/>
      <c r="IFI67" s="498" t="n"/>
      <c r="IFJ67" s="498" t="n"/>
      <c r="IFK67" s="498" t="n"/>
      <c r="IFL67" s="498" t="n"/>
      <c r="IFM67" s="498" t="n"/>
      <c r="IFN67" s="498" t="n"/>
      <c r="IFO67" s="498" t="n"/>
      <c r="IFP67" s="498" t="n"/>
      <c r="IFQ67" s="498" t="n"/>
      <c r="IFR67" s="498" t="n"/>
      <c r="IFS67" s="498" t="n"/>
      <c r="IFT67" s="498" t="n"/>
      <c r="IFU67" s="498" t="n"/>
      <c r="IFV67" s="498" t="n"/>
      <c r="IFW67" s="498" t="n"/>
      <c r="IFX67" s="498" t="n"/>
      <c r="IFY67" s="498" t="n"/>
      <c r="IFZ67" s="498" t="n"/>
      <c r="IGA67" s="498" t="n"/>
      <c r="IGB67" s="498" t="n"/>
      <c r="IGC67" s="498" t="n"/>
      <c r="IGD67" s="498" t="n"/>
      <c r="IGE67" s="498" t="n"/>
      <c r="IGF67" s="498" t="n"/>
      <c r="IGG67" s="498" t="n"/>
      <c r="IGH67" s="498" t="n"/>
      <c r="IGI67" s="498" t="n"/>
      <c r="IGJ67" s="498" t="n"/>
      <c r="IGK67" s="498" t="n"/>
      <c r="IGL67" s="498" t="n"/>
      <c r="IGM67" s="498" t="n"/>
      <c r="IGN67" s="498" t="n"/>
      <c r="IGO67" s="498" t="n"/>
      <c r="IGP67" s="498" t="n"/>
      <c r="IGQ67" s="498" t="n"/>
      <c r="IGR67" s="498" t="n"/>
      <c r="IGS67" s="498" t="n"/>
      <c r="IGT67" s="498" t="n"/>
      <c r="IGU67" s="498" t="n"/>
      <c r="IGV67" s="498" t="n"/>
      <c r="IGW67" s="498" t="n"/>
      <c r="IGX67" s="498" t="n"/>
      <c r="IGY67" s="498" t="n"/>
      <c r="IGZ67" s="498" t="n"/>
      <c r="IHA67" s="498" t="n"/>
      <c r="IHB67" s="498" t="n"/>
      <c r="IHC67" s="498" t="n"/>
      <c r="IHD67" s="498" t="n"/>
      <c r="IHE67" s="498" t="n"/>
      <c r="IHF67" s="498" t="n"/>
      <c r="IHG67" s="498" t="n"/>
      <c r="IHH67" s="498" t="n"/>
      <c r="IHI67" s="498" t="n"/>
      <c r="IHJ67" s="498" t="n"/>
      <c r="IHK67" s="498" t="n"/>
      <c r="IHL67" s="498" t="n"/>
      <c r="IHM67" s="498" t="n"/>
      <c r="IHN67" s="498" t="n"/>
      <c r="IHO67" s="498" t="n"/>
      <c r="IHP67" s="498" t="n"/>
      <c r="IHQ67" s="498" t="n"/>
      <c r="IHR67" s="498" t="n"/>
      <c r="IHS67" s="498" t="n"/>
      <c r="IHT67" s="498" t="n"/>
      <c r="IHU67" s="498" t="n"/>
      <c r="IHV67" s="498" t="n"/>
      <c r="IHW67" s="498" t="n"/>
      <c r="IHX67" s="498" t="n"/>
      <c r="IHY67" s="498" t="n"/>
      <c r="IHZ67" s="498" t="n"/>
      <c r="IIA67" s="498" t="n"/>
      <c r="IIB67" s="498" t="n"/>
      <c r="IIC67" s="498" t="n"/>
      <c r="IID67" s="498" t="n"/>
      <c r="IIE67" s="498" t="n"/>
      <c r="IIF67" s="498" t="n"/>
      <c r="IIG67" s="498" t="n"/>
      <c r="IIH67" s="498" t="n"/>
      <c r="III67" s="498" t="n"/>
      <c r="IIJ67" s="498" t="n"/>
      <c r="IIK67" s="498" t="n"/>
      <c r="IIL67" s="498" t="n"/>
      <c r="IIM67" s="498" t="n"/>
      <c r="IIN67" s="498" t="n"/>
      <c r="IIO67" s="498" t="n"/>
      <c r="IIP67" s="498" t="n"/>
      <c r="IIQ67" s="498" t="n"/>
      <c r="IIR67" s="498" t="n"/>
      <c r="IIS67" s="498" t="n"/>
      <c r="IIT67" s="498" t="n"/>
      <c r="IIU67" s="498" t="n"/>
      <c r="IIV67" s="498" t="n"/>
      <c r="IIW67" s="498" t="n"/>
      <c r="IIX67" s="498" t="n"/>
      <c r="IIY67" s="498" t="n"/>
      <c r="IIZ67" s="498" t="n"/>
      <c r="IJA67" s="498" t="n"/>
      <c r="IJB67" s="498" t="n"/>
      <c r="IJC67" s="498" t="n"/>
      <c r="IJD67" s="498" t="n"/>
      <c r="IJE67" s="498" t="n"/>
      <c r="IJF67" s="498" t="n"/>
      <c r="IJG67" s="498" t="n"/>
      <c r="IJH67" s="498" t="n"/>
      <c r="IJI67" s="498" t="n"/>
      <c r="IJJ67" s="498" t="n"/>
      <c r="IJK67" s="498" t="n"/>
      <c r="IJL67" s="498" t="n"/>
      <c r="IJM67" s="498" t="n"/>
      <c r="IJN67" s="498" t="n"/>
      <c r="IJO67" s="498" t="n"/>
      <c r="IJP67" s="498" t="n"/>
      <c r="IJQ67" s="498" t="n"/>
      <c r="IJR67" s="498" t="n"/>
      <c r="IJS67" s="498" t="n"/>
      <c r="IJT67" s="498" t="n"/>
      <c r="IJU67" s="498" t="n"/>
      <c r="IJV67" s="498" t="n"/>
      <c r="IJW67" s="498" t="n"/>
      <c r="IJX67" s="498" t="n"/>
      <c r="IJY67" s="498" t="n"/>
      <c r="IJZ67" s="498" t="n"/>
      <c r="IKA67" s="498" t="n"/>
      <c r="IKB67" s="498" t="n"/>
      <c r="IKC67" s="498" t="n"/>
      <c r="IKD67" s="498" t="n"/>
      <c r="IKE67" s="498" t="n"/>
      <c r="IKF67" s="498" t="n"/>
      <c r="IKG67" s="498" t="n"/>
      <c r="IKH67" s="498" t="n"/>
      <c r="IKI67" s="498" t="n"/>
      <c r="IKJ67" s="498" t="n"/>
      <c r="IKK67" s="498" t="n"/>
      <c r="IKL67" s="498" t="n"/>
      <c r="IKM67" s="498" t="n"/>
      <c r="IKN67" s="498" t="n"/>
      <c r="IKO67" s="498" t="n"/>
      <c r="IKP67" s="498" t="n"/>
      <c r="IKQ67" s="498" t="n"/>
      <c r="IKR67" s="498" t="n"/>
      <c r="IKS67" s="498" t="n"/>
      <c r="IKT67" s="498" t="n"/>
      <c r="IKU67" s="498" t="n"/>
      <c r="IKV67" s="498" t="n"/>
      <c r="IKW67" s="498" t="n"/>
      <c r="IKX67" s="498" t="n"/>
      <c r="IKY67" s="498" t="n"/>
      <c r="IKZ67" s="498" t="n"/>
      <c r="ILA67" s="498" t="n"/>
      <c r="ILB67" s="498" t="n"/>
      <c r="ILC67" s="498" t="n"/>
      <c r="ILD67" s="498" t="n"/>
      <c r="ILE67" s="498" t="n"/>
      <c r="ILF67" s="498" t="n"/>
      <c r="ILG67" s="498" t="n"/>
      <c r="ILH67" s="498" t="n"/>
      <c r="ILI67" s="498" t="n"/>
      <c r="ILJ67" s="498" t="n"/>
      <c r="ILK67" s="498" t="n"/>
      <c r="ILL67" s="498" t="n"/>
      <c r="ILM67" s="498" t="n"/>
      <c r="ILN67" s="498" t="n"/>
      <c r="ILO67" s="498" t="n"/>
      <c r="ILP67" s="498" t="n"/>
      <c r="ILQ67" s="498" t="n"/>
      <c r="ILR67" s="498" t="n"/>
      <c r="ILS67" s="498" t="n"/>
      <c r="ILT67" s="498" t="n"/>
      <c r="ILU67" s="498" t="n"/>
      <c r="ILV67" s="498" t="n"/>
      <c r="ILW67" s="498" t="n"/>
      <c r="ILX67" s="498" t="n"/>
      <c r="ILY67" s="498" t="n"/>
      <c r="ILZ67" s="498" t="n"/>
      <c r="IMA67" s="498" t="n"/>
      <c r="IMB67" s="498" t="n"/>
      <c r="IMC67" s="498" t="n"/>
      <c r="IMD67" s="498" t="n"/>
      <c r="IME67" s="498" t="n"/>
      <c r="IMF67" s="498" t="n"/>
      <c r="IMG67" s="498" t="n"/>
      <c r="IMH67" s="498" t="n"/>
      <c r="IMI67" s="498" t="n"/>
      <c r="IMJ67" s="498" t="n"/>
      <c r="IMK67" s="498" t="n"/>
      <c r="IML67" s="498" t="n"/>
      <c r="IMM67" s="498" t="n"/>
      <c r="IMN67" s="498" t="n"/>
      <c r="IMO67" s="498" t="n"/>
      <c r="IMP67" s="498" t="n"/>
      <c r="IMQ67" s="498" t="n"/>
      <c r="IMR67" s="498" t="n"/>
      <c r="IMS67" s="498" t="n"/>
      <c r="IMT67" s="498" t="n"/>
      <c r="IMU67" s="498" t="n"/>
      <c r="IMV67" s="498" t="n"/>
      <c r="IMW67" s="498" t="n"/>
      <c r="IMX67" s="498" t="n"/>
      <c r="IMY67" s="498" t="n"/>
      <c r="IMZ67" s="498" t="n"/>
      <c r="INA67" s="498" t="n"/>
      <c r="INB67" s="498" t="n"/>
      <c r="INC67" s="498" t="n"/>
      <c r="IND67" s="498" t="n"/>
      <c r="INE67" s="498" t="n"/>
      <c r="INF67" s="498" t="n"/>
      <c r="ING67" s="498" t="n"/>
      <c r="INH67" s="498" t="n"/>
      <c r="INI67" s="498" t="n"/>
      <c r="INJ67" s="498" t="n"/>
      <c r="INK67" s="498" t="n"/>
      <c r="INL67" s="498" t="n"/>
      <c r="INM67" s="498" t="n"/>
      <c r="INN67" s="498" t="n"/>
      <c r="INO67" s="498" t="n"/>
      <c r="INP67" s="498" t="n"/>
      <c r="INQ67" s="498" t="n"/>
      <c r="INR67" s="498" t="n"/>
      <c r="INS67" s="498" t="n"/>
      <c r="INT67" s="498" t="n"/>
      <c r="INU67" s="498" t="n"/>
      <c r="INV67" s="498" t="n"/>
      <c r="INW67" s="498" t="n"/>
      <c r="INX67" s="498" t="n"/>
      <c r="INY67" s="498" t="n"/>
      <c r="INZ67" s="498" t="n"/>
      <c r="IOA67" s="498" t="n"/>
      <c r="IOB67" s="498" t="n"/>
      <c r="IOC67" s="498" t="n"/>
      <c r="IOD67" s="498" t="n"/>
      <c r="IOE67" s="498" t="n"/>
      <c r="IOF67" s="498" t="n"/>
      <c r="IOG67" s="498" t="n"/>
      <c r="IOH67" s="498" t="n"/>
      <c r="IOI67" s="498" t="n"/>
      <c r="IOJ67" s="498" t="n"/>
      <c r="IOK67" s="498" t="n"/>
      <c r="IOL67" s="498" t="n"/>
      <c r="IOM67" s="498" t="n"/>
      <c r="ION67" s="498" t="n"/>
      <c r="IOO67" s="498" t="n"/>
      <c r="IOP67" s="498" t="n"/>
      <c r="IOQ67" s="498" t="n"/>
      <c r="IOR67" s="498" t="n"/>
      <c r="IOS67" s="498" t="n"/>
      <c r="IOT67" s="498" t="n"/>
      <c r="IOU67" s="498" t="n"/>
      <c r="IOV67" s="498" t="n"/>
      <c r="IOW67" s="498" t="n"/>
      <c r="IOX67" s="498" t="n"/>
      <c r="IOY67" s="498" t="n"/>
      <c r="IOZ67" s="498" t="n"/>
      <c r="IPA67" s="498" t="n"/>
      <c r="IPB67" s="498" t="n"/>
      <c r="IPC67" s="498" t="n"/>
      <c r="IPD67" s="498" t="n"/>
      <c r="IPE67" s="498" t="n"/>
      <c r="IPF67" s="498" t="n"/>
      <c r="IPG67" s="498" t="n"/>
      <c r="IPH67" s="498" t="n"/>
      <c r="IPI67" s="498" t="n"/>
      <c r="IPJ67" s="498" t="n"/>
      <c r="IPK67" s="498" t="n"/>
      <c r="IPL67" s="498" t="n"/>
      <c r="IPM67" s="498" t="n"/>
      <c r="IPN67" s="498" t="n"/>
      <c r="IPO67" s="498" t="n"/>
      <c r="IPP67" s="498" t="n"/>
      <c r="IPQ67" s="498" t="n"/>
      <c r="IPR67" s="498" t="n"/>
      <c r="IPS67" s="498" t="n"/>
      <c r="IPT67" s="498" t="n"/>
      <c r="IPU67" s="498" t="n"/>
      <c r="IPV67" s="498" t="n"/>
      <c r="IPW67" s="498" t="n"/>
      <c r="IPX67" s="498" t="n"/>
      <c r="IPY67" s="498" t="n"/>
      <c r="IPZ67" s="498" t="n"/>
      <c r="IQA67" s="498" t="n"/>
      <c r="IQB67" s="498" t="n"/>
      <c r="IQC67" s="498" t="n"/>
      <c r="IQD67" s="498" t="n"/>
      <c r="IQE67" s="498" t="n"/>
      <c r="IQF67" s="498" t="n"/>
      <c r="IQG67" s="498" t="n"/>
      <c r="IQH67" s="498" t="n"/>
      <c r="IQI67" s="498" t="n"/>
      <c r="IQJ67" s="498" t="n"/>
      <c r="IQK67" s="498" t="n"/>
      <c r="IQL67" s="498" t="n"/>
      <c r="IQM67" s="498" t="n"/>
      <c r="IQN67" s="498" t="n"/>
      <c r="IQO67" s="498" t="n"/>
      <c r="IQP67" s="498" t="n"/>
      <c r="IQQ67" s="498" t="n"/>
      <c r="IQR67" s="498" t="n"/>
      <c r="IQS67" s="498" t="n"/>
      <c r="IQT67" s="498" t="n"/>
      <c r="IQU67" s="498" t="n"/>
      <c r="IQV67" s="498" t="n"/>
      <c r="IQW67" s="498" t="n"/>
      <c r="IQX67" s="498" t="n"/>
      <c r="IQY67" s="498" t="n"/>
      <c r="IQZ67" s="498" t="n"/>
      <c r="IRA67" s="498" t="n"/>
      <c r="IRB67" s="498" t="n"/>
      <c r="IRC67" s="498" t="n"/>
      <c r="IRD67" s="498" t="n"/>
      <c r="IRE67" s="498" t="n"/>
      <c r="IRF67" s="498" t="n"/>
      <c r="IRG67" s="498" t="n"/>
      <c r="IRH67" s="498" t="n"/>
      <c r="IRI67" s="498" t="n"/>
      <c r="IRJ67" s="498" t="n"/>
      <c r="IRK67" s="498" t="n"/>
      <c r="IRL67" s="498" t="n"/>
      <c r="IRM67" s="498" t="n"/>
      <c r="IRN67" s="498" t="n"/>
      <c r="IRO67" s="498" t="n"/>
      <c r="IRP67" s="498" t="n"/>
      <c r="IRQ67" s="498" t="n"/>
      <c r="IRR67" s="498" t="n"/>
      <c r="IRS67" s="498" t="n"/>
      <c r="IRT67" s="498" t="n"/>
      <c r="IRU67" s="498" t="n"/>
      <c r="IRV67" s="498" t="n"/>
      <c r="IRW67" s="498" t="n"/>
      <c r="IRX67" s="498" t="n"/>
      <c r="IRY67" s="498" t="n"/>
      <c r="IRZ67" s="498" t="n"/>
      <c r="ISA67" s="498" t="n"/>
      <c r="ISB67" s="498" t="n"/>
      <c r="ISC67" s="498" t="n"/>
      <c r="ISD67" s="498" t="n"/>
      <c r="ISE67" s="498" t="n"/>
      <c r="ISF67" s="498" t="n"/>
      <c r="ISG67" s="498" t="n"/>
      <c r="ISH67" s="498" t="n"/>
      <c r="ISI67" s="498" t="n"/>
      <c r="ISJ67" s="498" t="n"/>
      <c r="ISK67" s="498" t="n"/>
      <c r="ISL67" s="498" t="n"/>
      <c r="ISM67" s="498" t="n"/>
      <c r="ISN67" s="498" t="n"/>
      <c r="ISO67" s="498" t="n"/>
      <c r="ISP67" s="498" t="n"/>
      <c r="ISQ67" s="498" t="n"/>
      <c r="ISR67" s="498" t="n"/>
      <c r="ISS67" s="498" t="n"/>
      <c r="IST67" s="498" t="n"/>
      <c r="ISU67" s="498" t="n"/>
      <c r="ISV67" s="498" t="n"/>
      <c r="ISW67" s="498" t="n"/>
      <c r="ISX67" s="498" t="n"/>
      <c r="ISY67" s="498" t="n"/>
      <c r="ISZ67" s="498" t="n"/>
      <c r="ITA67" s="498" t="n"/>
      <c r="ITB67" s="498" t="n"/>
      <c r="ITC67" s="498" t="n"/>
      <c r="ITD67" s="498" t="n"/>
      <c r="ITE67" s="498" t="n"/>
      <c r="ITF67" s="498" t="n"/>
      <c r="ITG67" s="498" t="n"/>
      <c r="ITH67" s="498" t="n"/>
      <c r="ITI67" s="498" t="n"/>
      <c r="ITJ67" s="498" t="n"/>
      <c r="ITK67" s="498" t="n"/>
      <c r="ITL67" s="498" t="n"/>
      <c r="ITM67" s="498" t="n"/>
      <c r="ITN67" s="498" t="n"/>
      <c r="ITO67" s="498" t="n"/>
      <c r="ITP67" s="498" t="n"/>
      <c r="ITQ67" s="498" t="n"/>
      <c r="ITR67" s="498" t="n"/>
      <c r="ITS67" s="498" t="n"/>
      <c r="ITT67" s="498" t="n"/>
      <c r="ITU67" s="498" t="n"/>
      <c r="ITV67" s="498" t="n"/>
      <c r="ITW67" s="498" t="n"/>
      <c r="ITX67" s="498" t="n"/>
      <c r="ITY67" s="498" t="n"/>
      <c r="ITZ67" s="498" t="n"/>
      <c r="IUA67" s="498" t="n"/>
      <c r="IUB67" s="498" t="n"/>
      <c r="IUC67" s="498" t="n"/>
      <c r="IUD67" s="498" t="n"/>
      <c r="IUE67" s="498" t="n"/>
      <c r="IUF67" s="498" t="n"/>
      <c r="IUG67" s="498" t="n"/>
      <c r="IUH67" s="498" t="n"/>
      <c r="IUI67" s="498" t="n"/>
      <c r="IUJ67" s="498" t="n"/>
      <c r="IUK67" s="498" t="n"/>
      <c r="IUL67" s="498" t="n"/>
      <c r="IUM67" s="498" t="n"/>
      <c r="IUN67" s="498" t="n"/>
      <c r="IUO67" s="498" t="n"/>
      <c r="IUP67" s="498" t="n"/>
      <c r="IUQ67" s="498" t="n"/>
      <c r="IUR67" s="498" t="n"/>
      <c r="IUS67" s="498" t="n"/>
      <c r="IUT67" s="498" t="n"/>
      <c r="IUU67" s="498" t="n"/>
      <c r="IUV67" s="498" t="n"/>
      <c r="IUW67" s="498" t="n"/>
      <c r="IUX67" s="498" t="n"/>
      <c r="IUY67" s="498" t="n"/>
      <c r="IUZ67" s="498" t="n"/>
      <c r="IVA67" s="498" t="n"/>
      <c r="IVB67" s="498" t="n"/>
      <c r="IVC67" s="498" t="n"/>
      <c r="IVD67" s="498" t="n"/>
      <c r="IVE67" s="498" t="n"/>
      <c r="IVF67" s="498" t="n"/>
      <c r="IVG67" s="498" t="n"/>
      <c r="IVH67" s="498" t="n"/>
      <c r="IVI67" s="498" t="n"/>
      <c r="IVJ67" s="498" t="n"/>
      <c r="IVK67" s="498" t="n"/>
      <c r="IVL67" s="498" t="n"/>
      <c r="IVM67" s="498" t="n"/>
      <c r="IVN67" s="498" t="n"/>
      <c r="IVO67" s="498" t="n"/>
      <c r="IVP67" s="498" t="n"/>
      <c r="IVQ67" s="498" t="n"/>
      <c r="IVR67" s="498" t="n"/>
      <c r="IVS67" s="498" t="n"/>
      <c r="IVT67" s="498" t="n"/>
      <c r="IVU67" s="498" t="n"/>
      <c r="IVV67" s="498" t="n"/>
      <c r="IVW67" s="498" t="n"/>
      <c r="IVX67" s="498" t="n"/>
      <c r="IVY67" s="498" t="n"/>
      <c r="IVZ67" s="498" t="n"/>
      <c r="IWA67" s="498" t="n"/>
      <c r="IWB67" s="498" t="n"/>
      <c r="IWC67" s="498" t="n"/>
      <c r="IWD67" s="498" t="n"/>
      <c r="IWE67" s="498" t="n"/>
      <c r="IWF67" s="498" t="n"/>
      <c r="IWG67" s="498" t="n"/>
      <c r="IWH67" s="498" t="n"/>
      <c r="IWI67" s="498" t="n"/>
      <c r="IWJ67" s="498" t="n"/>
      <c r="IWK67" s="498" t="n"/>
      <c r="IWL67" s="498" t="n"/>
      <c r="IWM67" s="498" t="n"/>
      <c r="IWN67" s="498" t="n"/>
      <c r="IWO67" s="498" t="n"/>
      <c r="IWP67" s="498" t="n"/>
      <c r="IWQ67" s="498" t="n"/>
      <c r="IWR67" s="498" t="n"/>
      <c r="IWS67" s="498" t="n"/>
      <c r="IWT67" s="498" t="n"/>
      <c r="IWU67" s="498" t="n"/>
      <c r="IWV67" s="498" t="n"/>
      <c r="IWW67" s="498" t="n"/>
      <c r="IWX67" s="498" t="n"/>
      <c r="IWY67" s="498" t="n"/>
      <c r="IWZ67" s="498" t="n"/>
      <c r="IXA67" s="498" t="n"/>
      <c r="IXB67" s="498" t="n"/>
      <c r="IXC67" s="498" t="n"/>
      <c r="IXD67" s="498" t="n"/>
      <c r="IXE67" s="498" t="n"/>
      <c r="IXF67" s="498" t="n"/>
      <c r="IXG67" s="498" t="n"/>
      <c r="IXH67" s="498" t="n"/>
      <c r="IXI67" s="498" t="n"/>
      <c r="IXJ67" s="498" t="n"/>
      <c r="IXK67" s="498" t="n"/>
      <c r="IXL67" s="498" t="n"/>
      <c r="IXM67" s="498" t="n"/>
      <c r="IXN67" s="498" t="n"/>
      <c r="IXO67" s="498" t="n"/>
      <c r="IXP67" s="498" t="n"/>
      <c r="IXQ67" s="498" t="n"/>
      <c r="IXR67" s="498" t="n"/>
      <c r="IXS67" s="498" t="n"/>
      <c r="IXT67" s="498" t="n"/>
      <c r="IXU67" s="498" t="n"/>
      <c r="IXV67" s="498" t="n"/>
      <c r="IXW67" s="498" t="n"/>
      <c r="IXX67" s="498" t="n"/>
      <c r="IXY67" s="498" t="n"/>
      <c r="IXZ67" s="498" t="n"/>
      <c r="IYA67" s="498" t="n"/>
      <c r="IYB67" s="498" t="n"/>
      <c r="IYC67" s="498" t="n"/>
      <c r="IYD67" s="498" t="n"/>
      <c r="IYE67" s="498" t="n"/>
      <c r="IYF67" s="498" t="n"/>
      <c r="IYG67" s="498" t="n"/>
      <c r="IYH67" s="498" t="n"/>
      <c r="IYI67" s="498" t="n"/>
      <c r="IYJ67" s="498" t="n"/>
      <c r="IYK67" s="498" t="n"/>
      <c r="IYL67" s="498" t="n"/>
      <c r="IYM67" s="498" t="n"/>
      <c r="IYN67" s="498" t="n"/>
      <c r="IYO67" s="498" t="n"/>
      <c r="IYP67" s="498" t="n"/>
      <c r="IYQ67" s="498" t="n"/>
      <c r="IYR67" s="498" t="n"/>
      <c r="IYS67" s="498" t="n"/>
      <c r="IYT67" s="498" t="n"/>
      <c r="IYU67" s="498" t="n"/>
      <c r="IYV67" s="498" t="n"/>
      <c r="IYW67" s="498" t="n"/>
      <c r="IYX67" s="498" t="n"/>
      <c r="IYY67" s="498" t="n"/>
      <c r="IYZ67" s="498" t="n"/>
      <c r="IZA67" s="498" t="n"/>
      <c r="IZB67" s="498" t="n"/>
      <c r="IZC67" s="498" t="n"/>
      <c r="IZD67" s="498" t="n"/>
      <c r="IZE67" s="498" t="n"/>
      <c r="IZF67" s="498" t="n"/>
      <c r="IZG67" s="498" t="n"/>
      <c r="IZH67" s="498" t="n"/>
      <c r="IZI67" s="498" t="n"/>
      <c r="IZJ67" s="498" t="n"/>
      <c r="IZK67" s="498" t="n"/>
      <c r="IZL67" s="498" t="n"/>
      <c r="IZM67" s="498" t="n"/>
      <c r="IZN67" s="498" t="n"/>
      <c r="IZO67" s="498" t="n"/>
      <c r="IZP67" s="498" t="n"/>
      <c r="IZQ67" s="498" t="n"/>
      <c r="IZR67" s="498" t="n"/>
      <c r="IZS67" s="498" t="n"/>
      <c r="IZT67" s="498" t="n"/>
      <c r="IZU67" s="498" t="n"/>
      <c r="IZV67" s="498" t="n"/>
      <c r="IZW67" s="498" t="n"/>
      <c r="IZX67" s="498" t="n"/>
      <c r="IZY67" s="498" t="n"/>
      <c r="IZZ67" s="498" t="n"/>
      <c r="JAA67" s="498" t="n"/>
      <c r="JAB67" s="498" t="n"/>
      <c r="JAC67" s="498" t="n"/>
      <c r="JAD67" s="498" t="n"/>
      <c r="JAE67" s="498" t="n"/>
      <c r="JAF67" s="498" t="n"/>
      <c r="JAG67" s="498" t="n"/>
      <c r="JAH67" s="498" t="n"/>
      <c r="JAI67" s="498" t="n"/>
      <c r="JAJ67" s="498" t="n"/>
      <c r="JAK67" s="498" t="n"/>
      <c r="JAL67" s="498" t="n"/>
      <c r="JAM67" s="498" t="n"/>
      <c r="JAN67" s="498" t="n"/>
      <c r="JAO67" s="498" t="n"/>
      <c r="JAP67" s="498" t="n"/>
      <c r="JAQ67" s="498" t="n"/>
      <c r="JAR67" s="498" t="n"/>
      <c r="JAS67" s="498" t="n"/>
      <c r="JAT67" s="498" t="n"/>
      <c r="JAU67" s="498" t="n"/>
      <c r="JAV67" s="498" t="n"/>
      <c r="JAW67" s="498" t="n"/>
      <c r="JAX67" s="498" t="n"/>
      <c r="JAY67" s="498" t="n"/>
      <c r="JAZ67" s="498" t="n"/>
      <c r="JBA67" s="498" t="n"/>
      <c r="JBB67" s="498" t="n"/>
      <c r="JBC67" s="498" t="n"/>
      <c r="JBD67" s="498" t="n"/>
      <c r="JBE67" s="498" t="n"/>
      <c r="JBF67" s="498" t="n"/>
      <c r="JBG67" s="498" t="n"/>
      <c r="JBH67" s="498" t="n"/>
      <c r="JBI67" s="498" t="n"/>
      <c r="JBJ67" s="498" t="n"/>
      <c r="JBK67" s="498" t="n"/>
      <c r="JBL67" s="498" t="n"/>
      <c r="JBM67" s="498" t="n"/>
      <c r="JBN67" s="498" t="n"/>
      <c r="JBO67" s="498" t="n"/>
      <c r="JBP67" s="498" t="n"/>
      <c r="JBQ67" s="498" t="n"/>
      <c r="JBR67" s="498" t="n"/>
      <c r="JBS67" s="498" t="n"/>
      <c r="JBT67" s="498" t="n"/>
      <c r="JBU67" s="498" t="n"/>
      <c r="JBV67" s="498" t="n"/>
      <c r="JBW67" s="498" t="n"/>
      <c r="JBX67" s="498" t="n"/>
      <c r="JBY67" s="498" t="n"/>
      <c r="JBZ67" s="498" t="n"/>
      <c r="JCA67" s="498" t="n"/>
      <c r="JCB67" s="498" t="n"/>
      <c r="JCC67" s="498" t="n"/>
      <c r="JCD67" s="498" t="n"/>
      <c r="JCE67" s="498" t="n"/>
      <c r="JCF67" s="498" t="n"/>
      <c r="JCG67" s="498" t="n"/>
      <c r="JCH67" s="498" t="n"/>
      <c r="JCI67" s="498" t="n"/>
      <c r="JCJ67" s="498" t="n"/>
      <c r="JCK67" s="498" t="n"/>
      <c r="JCL67" s="498" t="n"/>
      <c r="JCM67" s="498" t="n"/>
      <c r="JCN67" s="498" t="n"/>
      <c r="JCO67" s="498" t="n"/>
      <c r="JCP67" s="498" t="n"/>
      <c r="JCQ67" s="498" t="n"/>
      <c r="JCR67" s="498" t="n"/>
      <c r="JCS67" s="498" t="n"/>
      <c r="JCT67" s="498" t="n"/>
      <c r="JCU67" s="498" t="n"/>
      <c r="JCV67" s="498" t="n"/>
      <c r="JCW67" s="498" t="n"/>
      <c r="JCX67" s="498" t="n"/>
      <c r="JCY67" s="498" t="n"/>
      <c r="JCZ67" s="498" t="n"/>
      <c r="JDA67" s="498" t="n"/>
      <c r="JDB67" s="498" t="n"/>
      <c r="JDC67" s="498" t="n"/>
      <c r="JDD67" s="498" t="n"/>
      <c r="JDE67" s="498" t="n"/>
      <c r="JDF67" s="498" t="n"/>
      <c r="JDG67" s="498" t="n"/>
      <c r="JDH67" s="498" t="n"/>
      <c r="JDI67" s="498" t="n"/>
      <c r="JDJ67" s="498" t="n"/>
      <c r="JDK67" s="498" t="n"/>
      <c r="JDL67" s="498" t="n"/>
      <c r="JDM67" s="498" t="n"/>
      <c r="JDN67" s="498" t="n"/>
      <c r="JDO67" s="498" t="n"/>
      <c r="JDP67" s="498" t="n"/>
      <c r="JDQ67" s="498" t="n"/>
      <c r="JDR67" s="498" t="n"/>
      <c r="JDS67" s="498" t="n"/>
      <c r="JDT67" s="498" t="n"/>
      <c r="JDU67" s="498" t="n"/>
      <c r="JDV67" s="498" t="n"/>
      <c r="JDW67" s="498" t="n"/>
      <c r="JDX67" s="498" t="n"/>
      <c r="JDY67" s="498" t="n"/>
      <c r="JDZ67" s="498" t="n"/>
      <c r="JEA67" s="498" t="n"/>
      <c r="JEB67" s="498" t="n"/>
      <c r="JEC67" s="498" t="n"/>
      <c r="JED67" s="498" t="n"/>
      <c r="JEE67" s="498" t="n"/>
      <c r="JEF67" s="498" t="n"/>
      <c r="JEG67" s="498" t="n"/>
      <c r="JEH67" s="498" t="n"/>
      <c r="JEI67" s="498" t="n"/>
      <c r="JEJ67" s="498" t="n"/>
      <c r="JEK67" s="498" t="n"/>
      <c r="JEL67" s="498" t="n"/>
      <c r="JEM67" s="498" t="n"/>
      <c r="JEN67" s="498" t="n"/>
      <c r="JEO67" s="498" t="n"/>
      <c r="JEP67" s="498" t="n"/>
      <c r="JEQ67" s="498" t="n"/>
      <c r="JER67" s="498" t="n"/>
      <c r="JES67" s="498" t="n"/>
      <c r="JET67" s="498" t="n"/>
      <c r="JEU67" s="498" t="n"/>
      <c r="JEV67" s="498" t="n"/>
      <c r="JEW67" s="498" t="n"/>
      <c r="JEX67" s="498" t="n"/>
      <c r="JEY67" s="498" t="n"/>
      <c r="JEZ67" s="498" t="n"/>
      <c r="JFA67" s="498" t="n"/>
      <c r="JFB67" s="498" t="n"/>
      <c r="JFC67" s="498" t="n"/>
      <c r="JFD67" s="498" t="n"/>
      <c r="JFE67" s="498" t="n"/>
      <c r="JFF67" s="498" t="n"/>
      <c r="JFG67" s="498" t="n"/>
      <c r="JFH67" s="498" t="n"/>
      <c r="JFI67" s="498" t="n"/>
      <c r="JFJ67" s="498" t="n"/>
      <c r="JFK67" s="498" t="n"/>
      <c r="JFL67" s="498" t="n"/>
      <c r="JFM67" s="498" t="n"/>
      <c r="JFN67" s="498" t="n"/>
      <c r="JFO67" s="498" t="n"/>
      <c r="JFP67" s="498" t="n"/>
      <c r="JFQ67" s="498" t="n"/>
      <c r="JFR67" s="498" t="n"/>
      <c r="JFS67" s="498" t="n"/>
      <c r="JFT67" s="498" t="n"/>
      <c r="JFU67" s="498" t="n"/>
      <c r="JFV67" s="498" t="n"/>
      <c r="JFW67" s="498" t="n"/>
      <c r="JFX67" s="498" t="n"/>
      <c r="JFY67" s="498" t="n"/>
      <c r="JFZ67" s="498" t="n"/>
      <c r="JGA67" s="498" t="n"/>
      <c r="JGB67" s="498" t="n"/>
      <c r="JGC67" s="498" t="n"/>
      <c r="JGD67" s="498" t="n"/>
      <c r="JGE67" s="498" t="n"/>
      <c r="JGF67" s="498" t="n"/>
      <c r="JGG67" s="498" t="n"/>
      <c r="JGH67" s="498" t="n"/>
      <c r="JGI67" s="498" t="n"/>
      <c r="JGJ67" s="498" t="n"/>
      <c r="JGK67" s="498" t="n"/>
      <c r="JGL67" s="498" t="n"/>
      <c r="JGM67" s="498" t="n"/>
      <c r="JGN67" s="498" t="n"/>
      <c r="JGO67" s="498" t="n"/>
      <c r="JGP67" s="498" t="n"/>
      <c r="JGQ67" s="498" t="n"/>
      <c r="JGR67" s="498" t="n"/>
      <c r="JGS67" s="498" t="n"/>
      <c r="JGT67" s="498" t="n"/>
      <c r="JGU67" s="498" t="n"/>
      <c r="JGV67" s="498" t="n"/>
      <c r="JGW67" s="498" t="n"/>
      <c r="JGX67" s="498" t="n"/>
      <c r="JGY67" s="498" t="n"/>
      <c r="JGZ67" s="498" t="n"/>
      <c r="JHA67" s="498" t="n"/>
      <c r="JHB67" s="498" t="n"/>
      <c r="JHC67" s="498" t="n"/>
      <c r="JHD67" s="498" t="n"/>
      <c r="JHE67" s="498" t="n"/>
      <c r="JHF67" s="498" t="n"/>
      <c r="JHG67" s="498" t="n"/>
      <c r="JHH67" s="498" t="n"/>
      <c r="JHI67" s="498" t="n"/>
      <c r="JHJ67" s="498" t="n"/>
      <c r="JHK67" s="498" t="n"/>
      <c r="JHL67" s="498" t="n"/>
      <c r="JHM67" s="498" t="n"/>
      <c r="JHN67" s="498" t="n"/>
      <c r="JHO67" s="498" t="n"/>
      <c r="JHP67" s="498" t="n"/>
      <c r="JHQ67" s="498" t="n"/>
      <c r="JHR67" s="498" t="n"/>
      <c r="JHS67" s="498" t="n"/>
      <c r="JHT67" s="498" t="n"/>
      <c r="JHU67" s="498" t="n"/>
      <c r="JHV67" s="498" t="n"/>
      <c r="JHW67" s="498" t="n"/>
      <c r="JHX67" s="498" t="n"/>
      <c r="JHY67" s="498" t="n"/>
      <c r="JHZ67" s="498" t="n"/>
      <c r="JIA67" s="498" t="n"/>
      <c r="JIB67" s="498" t="n"/>
      <c r="JIC67" s="498" t="n"/>
      <c r="JID67" s="498" t="n"/>
      <c r="JIE67" s="498" t="n"/>
      <c r="JIF67" s="498" t="n"/>
      <c r="JIG67" s="498" t="n"/>
      <c r="JIH67" s="498" t="n"/>
      <c r="JII67" s="498" t="n"/>
      <c r="JIJ67" s="498" t="n"/>
      <c r="JIK67" s="498" t="n"/>
      <c r="JIL67" s="498" t="n"/>
      <c r="JIM67" s="498" t="n"/>
      <c r="JIN67" s="498" t="n"/>
      <c r="JIO67" s="498" t="n"/>
      <c r="JIP67" s="498" t="n"/>
      <c r="JIQ67" s="498" t="n"/>
      <c r="JIR67" s="498" t="n"/>
      <c r="JIS67" s="498" t="n"/>
      <c r="JIT67" s="498" t="n"/>
      <c r="JIU67" s="498" t="n"/>
      <c r="JIV67" s="498" t="n"/>
      <c r="JIW67" s="498" t="n"/>
      <c r="JIX67" s="498" t="n"/>
      <c r="JIY67" s="498" t="n"/>
      <c r="JIZ67" s="498" t="n"/>
      <c r="JJA67" s="498" t="n"/>
      <c r="JJB67" s="498" t="n"/>
      <c r="JJC67" s="498" t="n"/>
      <c r="JJD67" s="498" t="n"/>
      <c r="JJE67" s="498" t="n"/>
      <c r="JJF67" s="498" t="n"/>
      <c r="JJG67" s="498" t="n"/>
      <c r="JJH67" s="498" t="n"/>
      <c r="JJI67" s="498" t="n"/>
      <c r="JJJ67" s="498" t="n"/>
      <c r="JJK67" s="498" t="n"/>
      <c r="JJL67" s="498" t="n"/>
      <c r="JJM67" s="498" t="n"/>
      <c r="JJN67" s="498" t="n"/>
      <c r="JJO67" s="498" t="n"/>
      <c r="JJP67" s="498" t="n"/>
      <c r="JJQ67" s="498" t="n"/>
      <c r="JJR67" s="498" t="n"/>
      <c r="JJS67" s="498" t="n"/>
      <c r="JJT67" s="498" t="n"/>
      <c r="JJU67" s="498" t="n"/>
      <c r="JJV67" s="498" t="n"/>
      <c r="JJW67" s="498" t="n"/>
      <c r="JJX67" s="498" t="n"/>
      <c r="JJY67" s="498" t="n"/>
      <c r="JJZ67" s="498" t="n"/>
      <c r="JKA67" s="498" t="n"/>
      <c r="JKB67" s="498" t="n"/>
      <c r="JKC67" s="498" t="n"/>
      <c r="JKD67" s="498" t="n"/>
      <c r="JKE67" s="498" t="n"/>
      <c r="JKF67" s="498" t="n"/>
      <c r="JKG67" s="498" t="n"/>
      <c r="JKH67" s="498" t="n"/>
      <c r="JKI67" s="498" t="n"/>
      <c r="JKJ67" s="498" t="n"/>
      <c r="JKK67" s="498" t="n"/>
      <c r="JKL67" s="498" t="n"/>
      <c r="JKM67" s="498" t="n"/>
      <c r="JKN67" s="498" t="n"/>
      <c r="JKO67" s="498" t="n"/>
      <c r="JKP67" s="498" t="n"/>
      <c r="JKQ67" s="498" t="n"/>
      <c r="JKR67" s="498" t="n"/>
      <c r="JKS67" s="498" t="n"/>
      <c r="JKT67" s="498" t="n"/>
      <c r="JKU67" s="498" t="n"/>
      <c r="JKV67" s="498" t="n"/>
      <c r="JKW67" s="498" t="n"/>
      <c r="JKX67" s="498" t="n"/>
      <c r="JKY67" s="498" t="n"/>
      <c r="JKZ67" s="498" t="n"/>
      <c r="JLA67" s="498" t="n"/>
      <c r="JLB67" s="498" t="n"/>
      <c r="JLC67" s="498" t="n"/>
      <c r="JLD67" s="498" t="n"/>
      <c r="JLE67" s="498" t="n"/>
      <c r="JLF67" s="498" t="n"/>
      <c r="JLG67" s="498" t="n"/>
      <c r="JLH67" s="498" t="n"/>
      <c r="JLI67" s="498" t="n"/>
      <c r="JLJ67" s="498" t="n"/>
      <c r="JLK67" s="498" t="n"/>
      <c r="JLL67" s="498" t="n"/>
      <c r="JLM67" s="498" t="n"/>
      <c r="JLN67" s="498" t="n"/>
      <c r="JLO67" s="498" t="n"/>
      <c r="JLP67" s="498" t="n"/>
      <c r="JLQ67" s="498" t="n"/>
      <c r="JLR67" s="498" t="n"/>
      <c r="JLS67" s="498" t="n"/>
      <c r="JLT67" s="498" t="n"/>
      <c r="JLU67" s="498" t="n"/>
      <c r="JLV67" s="498" t="n"/>
      <c r="JLW67" s="498" t="n"/>
      <c r="JLX67" s="498" t="n"/>
      <c r="JLY67" s="498" t="n"/>
      <c r="JLZ67" s="498" t="n"/>
      <c r="JMA67" s="498" t="n"/>
      <c r="JMB67" s="498" t="n"/>
      <c r="JMC67" s="498" t="n"/>
      <c r="JMD67" s="498" t="n"/>
      <c r="JME67" s="498" t="n"/>
      <c r="JMF67" s="498" t="n"/>
      <c r="JMG67" s="498" t="n"/>
      <c r="JMH67" s="498" t="n"/>
      <c r="JMI67" s="498" t="n"/>
      <c r="JMJ67" s="498" t="n"/>
      <c r="JMK67" s="498" t="n"/>
      <c r="JML67" s="498" t="n"/>
      <c r="JMM67" s="498" t="n"/>
      <c r="JMN67" s="498" t="n"/>
      <c r="JMO67" s="498" t="n"/>
      <c r="JMP67" s="498" t="n"/>
      <c r="JMQ67" s="498" t="n"/>
      <c r="JMR67" s="498" t="n"/>
      <c r="JMS67" s="498" t="n"/>
      <c r="JMT67" s="498" t="n"/>
      <c r="JMU67" s="498" t="n"/>
      <c r="JMV67" s="498" t="n"/>
      <c r="JMW67" s="498" t="n"/>
      <c r="JMX67" s="498" t="n"/>
      <c r="JMY67" s="498" t="n"/>
      <c r="JMZ67" s="498" t="n"/>
      <c r="JNA67" s="498" t="n"/>
      <c r="JNB67" s="498" t="n"/>
      <c r="JNC67" s="498" t="n"/>
      <c r="JND67" s="498" t="n"/>
      <c r="JNE67" s="498" t="n"/>
      <c r="JNF67" s="498" t="n"/>
      <c r="JNG67" s="498" t="n"/>
      <c r="JNH67" s="498" t="n"/>
      <c r="JNI67" s="498" t="n"/>
      <c r="JNJ67" s="498" t="n"/>
      <c r="JNK67" s="498" t="n"/>
      <c r="JNL67" s="498" t="n"/>
      <c r="JNM67" s="498" t="n"/>
      <c r="JNN67" s="498" t="n"/>
      <c r="JNO67" s="498" t="n"/>
      <c r="JNP67" s="498" t="n"/>
      <c r="JNQ67" s="498" t="n"/>
      <c r="JNR67" s="498" t="n"/>
      <c r="JNS67" s="498" t="n"/>
      <c r="JNT67" s="498" t="n"/>
      <c r="JNU67" s="498" t="n"/>
      <c r="JNV67" s="498" t="n"/>
      <c r="JNW67" s="498" t="n"/>
      <c r="JNX67" s="498" t="n"/>
      <c r="JNY67" s="498" t="n"/>
      <c r="JNZ67" s="498" t="n"/>
      <c r="JOA67" s="498" t="n"/>
      <c r="JOB67" s="498" t="n"/>
      <c r="JOC67" s="498" t="n"/>
      <c r="JOD67" s="498" t="n"/>
      <c r="JOE67" s="498" t="n"/>
      <c r="JOF67" s="498" t="n"/>
      <c r="JOG67" s="498" t="n"/>
      <c r="JOH67" s="498" t="n"/>
      <c r="JOI67" s="498" t="n"/>
      <c r="JOJ67" s="498" t="n"/>
      <c r="JOK67" s="498" t="n"/>
      <c r="JOL67" s="498" t="n"/>
      <c r="JOM67" s="498" t="n"/>
      <c r="JON67" s="498" t="n"/>
      <c r="JOO67" s="498" t="n"/>
      <c r="JOP67" s="498" t="n"/>
      <c r="JOQ67" s="498" t="n"/>
      <c r="JOR67" s="498" t="n"/>
      <c r="JOS67" s="498" t="n"/>
      <c r="JOT67" s="498" t="n"/>
      <c r="JOU67" s="498" t="n"/>
      <c r="JOV67" s="498" t="n"/>
      <c r="JOW67" s="498" t="n"/>
      <c r="JOX67" s="498" t="n"/>
      <c r="JOY67" s="498" t="n"/>
      <c r="JOZ67" s="498" t="n"/>
      <c r="JPA67" s="498" t="n"/>
      <c r="JPB67" s="498" t="n"/>
      <c r="JPC67" s="498" t="n"/>
      <c r="JPD67" s="498" t="n"/>
      <c r="JPE67" s="498" t="n"/>
      <c r="JPF67" s="498" t="n"/>
      <c r="JPG67" s="498" t="n"/>
      <c r="JPH67" s="498" t="n"/>
      <c r="JPI67" s="498" t="n"/>
      <c r="JPJ67" s="498" t="n"/>
      <c r="JPK67" s="498" t="n"/>
      <c r="JPL67" s="498" t="n"/>
      <c r="JPM67" s="498" t="n"/>
      <c r="JPN67" s="498" t="n"/>
      <c r="JPO67" s="498" t="n"/>
      <c r="JPP67" s="498" t="n"/>
      <c r="JPQ67" s="498" t="n"/>
      <c r="JPR67" s="498" t="n"/>
      <c r="JPS67" s="498" t="n"/>
      <c r="JPT67" s="498" t="n"/>
      <c r="JPU67" s="498" t="n"/>
      <c r="JPV67" s="498" t="n"/>
      <c r="JPW67" s="498" t="n"/>
      <c r="JPX67" s="498" t="n"/>
      <c r="JPY67" s="498" t="n"/>
      <c r="JPZ67" s="498" t="n"/>
      <c r="JQA67" s="498" t="n"/>
      <c r="JQB67" s="498" t="n"/>
      <c r="JQC67" s="498" t="n"/>
      <c r="JQD67" s="498" t="n"/>
      <c r="JQE67" s="498" t="n"/>
      <c r="JQF67" s="498" t="n"/>
      <c r="JQG67" s="498" t="n"/>
      <c r="JQH67" s="498" t="n"/>
      <c r="JQI67" s="498" t="n"/>
      <c r="JQJ67" s="498" t="n"/>
      <c r="JQK67" s="498" t="n"/>
      <c r="JQL67" s="498" t="n"/>
      <c r="JQM67" s="498" t="n"/>
      <c r="JQN67" s="498" t="n"/>
      <c r="JQO67" s="498" t="n"/>
      <c r="JQP67" s="498" t="n"/>
      <c r="JQQ67" s="498" t="n"/>
      <c r="JQR67" s="498" t="n"/>
      <c r="JQS67" s="498" t="n"/>
      <c r="JQT67" s="498" t="n"/>
      <c r="JQU67" s="498" t="n"/>
      <c r="JQV67" s="498" t="n"/>
      <c r="JQW67" s="498" t="n"/>
      <c r="JQX67" s="498" t="n"/>
      <c r="JQY67" s="498" t="n"/>
      <c r="JQZ67" s="498" t="n"/>
      <c r="JRA67" s="498" t="n"/>
      <c r="JRB67" s="498" t="n"/>
      <c r="JRC67" s="498" t="n"/>
      <c r="JRD67" s="498" t="n"/>
      <c r="JRE67" s="498" t="n"/>
      <c r="JRF67" s="498" t="n"/>
      <c r="JRG67" s="498" t="n"/>
      <c r="JRH67" s="498" t="n"/>
      <c r="JRI67" s="498" t="n"/>
      <c r="JRJ67" s="498" t="n"/>
      <c r="JRK67" s="498" t="n"/>
      <c r="JRL67" s="498" t="n"/>
      <c r="JRM67" s="498" t="n"/>
      <c r="JRN67" s="498" t="n"/>
      <c r="JRO67" s="498" t="n"/>
      <c r="JRP67" s="498" t="n"/>
      <c r="JRQ67" s="498" t="n"/>
      <c r="JRR67" s="498" t="n"/>
      <c r="JRS67" s="498" t="n"/>
      <c r="JRT67" s="498" t="n"/>
      <c r="JRU67" s="498" t="n"/>
      <c r="JRV67" s="498" t="n"/>
      <c r="JRW67" s="498" t="n"/>
      <c r="JRX67" s="498" t="n"/>
      <c r="JRY67" s="498" t="n"/>
      <c r="JRZ67" s="498" t="n"/>
      <c r="JSA67" s="498" t="n"/>
      <c r="JSB67" s="498" t="n"/>
      <c r="JSC67" s="498" t="n"/>
      <c r="JSD67" s="498" t="n"/>
      <c r="JSE67" s="498" t="n"/>
      <c r="JSF67" s="498" t="n"/>
      <c r="JSG67" s="498" t="n"/>
      <c r="JSH67" s="498" t="n"/>
      <c r="JSI67" s="498" t="n"/>
      <c r="JSJ67" s="498" t="n"/>
      <c r="JSK67" s="498" t="n"/>
      <c r="JSL67" s="498" t="n"/>
      <c r="JSM67" s="498" t="n"/>
      <c r="JSN67" s="498" t="n"/>
      <c r="JSO67" s="498" t="n"/>
      <c r="JSP67" s="498" t="n"/>
      <c r="JSQ67" s="498" t="n"/>
      <c r="JSR67" s="498" t="n"/>
      <c r="JSS67" s="498" t="n"/>
      <c r="JST67" s="498" t="n"/>
      <c r="JSU67" s="498" t="n"/>
      <c r="JSV67" s="498" t="n"/>
      <c r="JSW67" s="498" t="n"/>
      <c r="JSX67" s="498" t="n"/>
      <c r="JSY67" s="498" t="n"/>
      <c r="JSZ67" s="498" t="n"/>
      <c r="JTA67" s="498" t="n"/>
      <c r="JTB67" s="498" t="n"/>
      <c r="JTC67" s="498" t="n"/>
      <c r="JTD67" s="498" t="n"/>
      <c r="JTE67" s="498" t="n"/>
      <c r="JTF67" s="498" t="n"/>
      <c r="JTG67" s="498" t="n"/>
      <c r="JTH67" s="498" t="n"/>
      <c r="JTI67" s="498" t="n"/>
      <c r="JTJ67" s="498" t="n"/>
      <c r="JTK67" s="498" t="n"/>
      <c r="JTL67" s="498" t="n"/>
      <c r="JTM67" s="498" t="n"/>
      <c r="JTN67" s="498" t="n"/>
      <c r="JTO67" s="498" t="n"/>
      <c r="JTP67" s="498" t="n"/>
      <c r="JTQ67" s="498" t="n"/>
      <c r="JTR67" s="498" t="n"/>
      <c r="JTS67" s="498" t="n"/>
      <c r="JTT67" s="498" t="n"/>
      <c r="JTU67" s="498" t="n"/>
      <c r="JTV67" s="498" t="n"/>
      <c r="JTW67" s="498" t="n"/>
      <c r="JTX67" s="498" t="n"/>
      <c r="JTY67" s="498" t="n"/>
      <c r="JTZ67" s="498" t="n"/>
      <c r="JUA67" s="498" t="n"/>
      <c r="JUB67" s="498" t="n"/>
      <c r="JUC67" s="498" t="n"/>
      <c r="JUD67" s="498" t="n"/>
      <c r="JUE67" s="498" t="n"/>
      <c r="JUF67" s="498" t="n"/>
      <c r="JUG67" s="498" t="n"/>
      <c r="JUH67" s="498" t="n"/>
      <c r="JUI67" s="498" t="n"/>
      <c r="JUJ67" s="498" t="n"/>
      <c r="JUK67" s="498" t="n"/>
      <c r="JUL67" s="498" t="n"/>
      <c r="JUM67" s="498" t="n"/>
      <c r="JUN67" s="498" t="n"/>
      <c r="JUO67" s="498" t="n"/>
      <c r="JUP67" s="498" t="n"/>
      <c r="JUQ67" s="498" t="n"/>
      <c r="JUR67" s="498" t="n"/>
      <c r="JUS67" s="498" t="n"/>
      <c r="JUT67" s="498" t="n"/>
      <c r="JUU67" s="498" t="n"/>
      <c r="JUV67" s="498" t="n"/>
      <c r="JUW67" s="498" t="n"/>
      <c r="JUX67" s="498" t="n"/>
      <c r="JUY67" s="498" t="n"/>
      <c r="JUZ67" s="498" t="n"/>
      <c r="JVA67" s="498" t="n"/>
      <c r="JVB67" s="498" t="n"/>
      <c r="JVC67" s="498" t="n"/>
      <c r="JVD67" s="498" t="n"/>
      <c r="JVE67" s="498" t="n"/>
      <c r="JVF67" s="498" t="n"/>
      <c r="JVG67" s="498" t="n"/>
      <c r="JVH67" s="498" t="n"/>
      <c r="JVI67" s="498" t="n"/>
      <c r="JVJ67" s="498" t="n"/>
      <c r="JVK67" s="498" t="n"/>
      <c r="JVL67" s="498" t="n"/>
      <c r="JVM67" s="498" t="n"/>
      <c r="JVN67" s="498" t="n"/>
      <c r="JVO67" s="498" t="n"/>
      <c r="JVP67" s="498" t="n"/>
      <c r="JVQ67" s="498" t="n"/>
      <c r="JVR67" s="498" t="n"/>
      <c r="JVS67" s="498" t="n"/>
      <c r="JVT67" s="498" t="n"/>
      <c r="JVU67" s="498" t="n"/>
      <c r="JVV67" s="498" t="n"/>
      <c r="JVW67" s="498" t="n"/>
      <c r="JVX67" s="498" t="n"/>
      <c r="JVY67" s="498" t="n"/>
      <c r="JVZ67" s="498" t="n"/>
      <c r="JWA67" s="498" t="n"/>
      <c r="JWB67" s="498" t="n"/>
      <c r="JWC67" s="498" t="n"/>
      <c r="JWD67" s="498" t="n"/>
      <c r="JWE67" s="498" t="n"/>
      <c r="JWF67" s="498" t="n"/>
      <c r="JWG67" s="498" t="n"/>
      <c r="JWH67" s="498" t="n"/>
      <c r="JWI67" s="498" t="n"/>
      <c r="JWJ67" s="498" t="n"/>
      <c r="JWK67" s="498" t="n"/>
      <c r="JWL67" s="498" t="n"/>
      <c r="JWM67" s="498" t="n"/>
      <c r="JWN67" s="498" t="n"/>
      <c r="JWO67" s="498" t="n"/>
      <c r="JWP67" s="498" t="n"/>
      <c r="JWQ67" s="498" t="n"/>
      <c r="JWR67" s="498" t="n"/>
      <c r="JWS67" s="498" t="n"/>
      <c r="JWT67" s="498" t="n"/>
      <c r="JWU67" s="498" t="n"/>
      <c r="JWV67" s="498" t="n"/>
      <c r="JWW67" s="498" t="n"/>
      <c r="JWX67" s="498" t="n"/>
      <c r="JWY67" s="498" t="n"/>
      <c r="JWZ67" s="498" t="n"/>
      <c r="JXA67" s="498" t="n"/>
      <c r="JXB67" s="498" t="n"/>
      <c r="JXC67" s="498" t="n"/>
      <c r="JXD67" s="498" t="n"/>
      <c r="JXE67" s="498" t="n"/>
      <c r="JXF67" s="498" t="n"/>
      <c r="JXG67" s="498" t="n"/>
      <c r="JXH67" s="498" t="n"/>
      <c r="JXI67" s="498" t="n"/>
      <c r="JXJ67" s="498" t="n"/>
      <c r="JXK67" s="498" t="n"/>
      <c r="JXL67" s="498" t="n"/>
      <c r="JXM67" s="498" t="n"/>
      <c r="JXN67" s="498" t="n"/>
      <c r="JXO67" s="498" t="n"/>
      <c r="JXP67" s="498" t="n"/>
      <c r="JXQ67" s="498" t="n"/>
      <c r="JXR67" s="498" t="n"/>
      <c r="JXS67" s="498" t="n"/>
      <c r="JXT67" s="498" t="n"/>
      <c r="JXU67" s="498" t="n"/>
      <c r="JXV67" s="498" t="n"/>
      <c r="JXW67" s="498" t="n"/>
      <c r="JXX67" s="498" t="n"/>
      <c r="JXY67" s="498" t="n"/>
      <c r="JXZ67" s="498" t="n"/>
      <c r="JYA67" s="498" t="n"/>
      <c r="JYB67" s="498" t="n"/>
      <c r="JYC67" s="498" t="n"/>
      <c r="JYD67" s="498" t="n"/>
      <c r="JYE67" s="498" t="n"/>
      <c r="JYF67" s="498" t="n"/>
      <c r="JYG67" s="498" t="n"/>
      <c r="JYH67" s="498" t="n"/>
      <c r="JYI67" s="498" t="n"/>
      <c r="JYJ67" s="498" t="n"/>
      <c r="JYK67" s="498" t="n"/>
      <c r="JYL67" s="498" t="n"/>
      <c r="JYM67" s="498" t="n"/>
      <c r="JYN67" s="498" t="n"/>
      <c r="JYO67" s="498" t="n"/>
      <c r="JYP67" s="498" t="n"/>
      <c r="JYQ67" s="498" t="n"/>
      <c r="JYR67" s="498" t="n"/>
      <c r="JYS67" s="498" t="n"/>
      <c r="JYT67" s="498" t="n"/>
      <c r="JYU67" s="498" t="n"/>
      <c r="JYV67" s="498" t="n"/>
      <c r="JYW67" s="498" t="n"/>
      <c r="JYX67" s="498" t="n"/>
      <c r="JYY67" s="498" t="n"/>
      <c r="JYZ67" s="498" t="n"/>
      <c r="JZA67" s="498" t="n"/>
      <c r="JZB67" s="498" t="n"/>
      <c r="JZC67" s="498" t="n"/>
      <c r="JZD67" s="498" t="n"/>
      <c r="JZE67" s="498" t="n"/>
      <c r="JZF67" s="498" t="n"/>
      <c r="JZG67" s="498" t="n"/>
      <c r="JZH67" s="498" t="n"/>
      <c r="JZI67" s="498" t="n"/>
      <c r="JZJ67" s="498" t="n"/>
      <c r="JZK67" s="498" t="n"/>
      <c r="JZL67" s="498" t="n"/>
      <c r="JZM67" s="498" t="n"/>
      <c r="JZN67" s="498" t="n"/>
      <c r="JZO67" s="498" t="n"/>
      <c r="JZP67" s="498" t="n"/>
      <c r="JZQ67" s="498" t="n"/>
      <c r="JZR67" s="498" t="n"/>
      <c r="JZS67" s="498" t="n"/>
      <c r="JZT67" s="498" t="n"/>
      <c r="JZU67" s="498" t="n"/>
      <c r="JZV67" s="498" t="n"/>
      <c r="JZW67" s="498" t="n"/>
      <c r="JZX67" s="498" t="n"/>
      <c r="JZY67" s="498" t="n"/>
      <c r="JZZ67" s="498" t="n"/>
      <c r="KAA67" s="498" t="n"/>
      <c r="KAB67" s="498" t="n"/>
      <c r="KAC67" s="498" t="n"/>
      <c r="KAD67" s="498" t="n"/>
      <c r="KAE67" s="498" t="n"/>
      <c r="KAF67" s="498" t="n"/>
      <c r="KAG67" s="498" t="n"/>
      <c r="KAH67" s="498" t="n"/>
      <c r="KAI67" s="498" t="n"/>
      <c r="KAJ67" s="498" t="n"/>
      <c r="KAK67" s="498" t="n"/>
      <c r="KAL67" s="498" t="n"/>
      <c r="KAM67" s="498" t="n"/>
      <c r="KAN67" s="498" t="n"/>
      <c r="KAO67" s="498" t="n"/>
      <c r="KAP67" s="498" t="n"/>
      <c r="KAQ67" s="498" t="n"/>
      <c r="KAR67" s="498" t="n"/>
      <c r="KAS67" s="498" t="n"/>
      <c r="KAT67" s="498" t="n"/>
      <c r="KAU67" s="498" t="n"/>
      <c r="KAV67" s="498" t="n"/>
      <c r="KAW67" s="498" t="n"/>
      <c r="KAX67" s="498" t="n"/>
      <c r="KAY67" s="498" t="n"/>
      <c r="KAZ67" s="498" t="n"/>
      <c r="KBA67" s="498" t="n"/>
      <c r="KBB67" s="498" t="n"/>
      <c r="KBC67" s="498" t="n"/>
      <c r="KBD67" s="498" t="n"/>
      <c r="KBE67" s="498" t="n"/>
      <c r="KBF67" s="498" t="n"/>
      <c r="KBG67" s="498" t="n"/>
      <c r="KBH67" s="498" t="n"/>
      <c r="KBI67" s="498" t="n"/>
      <c r="KBJ67" s="498" t="n"/>
      <c r="KBK67" s="498" t="n"/>
      <c r="KBL67" s="498" t="n"/>
      <c r="KBM67" s="498" t="n"/>
      <c r="KBN67" s="498" t="n"/>
      <c r="KBO67" s="498" t="n"/>
      <c r="KBP67" s="498" t="n"/>
      <c r="KBQ67" s="498" t="n"/>
      <c r="KBR67" s="498" t="n"/>
      <c r="KBS67" s="498" t="n"/>
      <c r="KBT67" s="498" t="n"/>
      <c r="KBU67" s="498" t="n"/>
      <c r="KBV67" s="498" t="n"/>
      <c r="KBW67" s="498" t="n"/>
      <c r="KBX67" s="498" t="n"/>
      <c r="KBY67" s="498" t="n"/>
      <c r="KBZ67" s="498" t="n"/>
      <c r="KCA67" s="498" t="n"/>
      <c r="KCB67" s="498" t="n"/>
      <c r="KCC67" s="498" t="n"/>
      <c r="KCD67" s="498" t="n"/>
      <c r="KCE67" s="498" t="n"/>
      <c r="KCF67" s="498" t="n"/>
      <c r="KCG67" s="498" t="n"/>
      <c r="KCH67" s="498" t="n"/>
      <c r="KCI67" s="498" t="n"/>
      <c r="KCJ67" s="498" t="n"/>
      <c r="KCK67" s="498" t="n"/>
      <c r="KCL67" s="498" t="n"/>
      <c r="KCM67" s="498" t="n"/>
      <c r="KCN67" s="498" t="n"/>
      <c r="KCO67" s="498" t="n"/>
      <c r="KCP67" s="498" t="n"/>
      <c r="KCQ67" s="498" t="n"/>
      <c r="KCR67" s="498" t="n"/>
      <c r="KCS67" s="498" t="n"/>
      <c r="KCT67" s="498" t="n"/>
      <c r="KCU67" s="498" t="n"/>
      <c r="KCV67" s="498" t="n"/>
      <c r="KCW67" s="498" t="n"/>
      <c r="KCX67" s="498" t="n"/>
      <c r="KCY67" s="498" t="n"/>
      <c r="KCZ67" s="498" t="n"/>
      <c r="KDA67" s="498" t="n"/>
      <c r="KDB67" s="498" t="n"/>
      <c r="KDC67" s="498" t="n"/>
      <c r="KDD67" s="498" t="n"/>
      <c r="KDE67" s="498" t="n"/>
      <c r="KDF67" s="498" t="n"/>
      <c r="KDG67" s="498" t="n"/>
      <c r="KDH67" s="498" t="n"/>
      <c r="KDI67" s="498" t="n"/>
      <c r="KDJ67" s="498" t="n"/>
      <c r="KDK67" s="498" t="n"/>
      <c r="KDL67" s="498" t="n"/>
      <c r="KDM67" s="498" t="n"/>
      <c r="KDN67" s="498" t="n"/>
      <c r="KDO67" s="498" t="n"/>
      <c r="KDP67" s="498" t="n"/>
      <c r="KDQ67" s="498" t="n"/>
      <c r="KDR67" s="498" t="n"/>
      <c r="KDS67" s="498" t="n"/>
      <c r="KDT67" s="498" t="n"/>
      <c r="KDU67" s="498" t="n"/>
      <c r="KDV67" s="498" t="n"/>
      <c r="KDW67" s="498" t="n"/>
      <c r="KDX67" s="498" t="n"/>
      <c r="KDY67" s="498" t="n"/>
      <c r="KDZ67" s="498" t="n"/>
      <c r="KEA67" s="498" t="n"/>
      <c r="KEB67" s="498" t="n"/>
      <c r="KEC67" s="498" t="n"/>
      <c r="KED67" s="498" t="n"/>
      <c r="KEE67" s="498" t="n"/>
      <c r="KEF67" s="498" t="n"/>
      <c r="KEG67" s="498" t="n"/>
      <c r="KEH67" s="498" t="n"/>
      <c r="KEI67" s="498" t="n"/>
      <c r="KEJ67" s="498" t="n"/>
      <c r="KEK67" s="498" t="n"/>
      <c r="KEL67" s="498" t="n"/>
      <c r="KEM67" s="498" t="n"/>
      <c r="KEN67" s="498" t="n"/>
      <c r="KEO67" s="498" t="n"/>
      <c r="KEP67" s="498" t="n"/>
      <c r="KEQ67" s="498" t="n"/>
      <c r="KER67" s="498" t="n"/>
      <c r="KES67" s="498" t="n"/>
      <c r="KET67" s="498" t="n"/>
      <c r="KEU67" s="498" t="n"/>
      <c r="KEV67" s="498" t="n"/>
      <c r="KEW67" s="498" t="n"/>
      <c r="KEX67" s="498" t="n"/>
      <c r="KEY67" s="498" t="n"/>
      <c r="KEZ67" s="498" t="n"/>
      <c r="KFA67" s="498" t="n"/>
      <c r="KFB67" s="498" t="n"/>
      <c r="KFC67" s="498" t="n"/>
      <c r="KFD67" s="498" t="n"/>
      <c r="KFE67" s="498" t="n"/>
      <c r="KFF67" s="498" t="n"/>
      <c r="KFG67" s="498" t="n"/>
      <c r="KFH67" s="498" t="n"/>
      <c r="KFI67" s="498" t="n"/>
      <c r="KFJ67" s="498" t="n"/>
      <c r="KFK67" s="498" t="n"/>
      <c r="KFL67" s="498" t="n"/>
      <c r="KFM67" s="498" t="n"/>
      <c r="KFN67" s="498" t="n"/>
      <c r="KFO67" s="498" t="n"/>
      <c r="KFP67" s="498" t="n"/>
      <c r="KFQ67" s="498" t="n"/>
      <c r="KFR67" s="498" t="n"/>
      <c r="KFS67" s="498" t="n"/>
      <c r="KFT67" s="498" t="n"/>
      <c r="KFU67" s="498" t="n"/>
      <c r="KFV67" s="498" t="n"/>
      <c r="KFW67" s="498" t="n"/>
      <c r="KFX67" s="498" t="n"/>
      <c r="KFY67" s="498" t="n"/>
      <c r="KFZ67" s="498" t="n"/>
      <c r="KGA67" s="498" t="n"/>
      <c r="KGB67" s="498" t="n"/>
      <c r="KGC67" s="498" t="n"/>
      <c r="KGD67" s="498" t="n"/>
      <c r="KGE67" s="498" t="n"/>
      <c r="KGF67" s="498" t="n"/>
      <c r="KGG67" s="498" t="n"/>
      <c r="KGH67" s="498" t="n"/>
      <c r="KGI67" s="498" t="n"/>
      <c r="KGJ67" s="498" t="n"/>
      <c r="KGK67" s="498" t="n"/>
      <c r="KGL67" s="498" t="n"/>
      <c r="KGM67" s="498" t="n"/>
      <c r="KGN67" s="498" t="n"/>
      <c r="KGO67" s="498" t="n"/>
      <c r="KGP67" s="498" t="n"/>
      <c r="KGQ67" s="498" t="n"/>
      <c r="KGR67" s="498" t="n"/>
      <c r="KGS67" s="498" t="n"/>
      <c r="KGT67" s="498" t="n"/>
      <c r="KGU67" s="498" t="n"/>
      <c r="KGV67" s="498" t="n"/>
      <c r="KGW67" s="498" t="n"/>
      <c r="KGX67" s="498" t="n"/>
      <c r="KGY67" s="498" t="n"/>
      <c r="KGZ67" s="498" t="n"/>
      <c r="KHA67" s="498" t="n"/>
      <c r="KHB67" s="498" t="n"/>
      <c r="KHC67" s="498" t="n"/>
      <c r="KHD67" s="498" t="n"/>
      <c r="KHE67" s="498" t="n"/>
      <c r="KHF67" s="498" t="n"/>
      <c r="KHG67" s="498" t="n"/>
      <c r="KHH67" s="498" t="n"/>
      <c r="KHI67" s="498" t="n"/>
      <c r="KHJ67" s="498" t="n"/>
      <c r="KHK67" s="498" t="n"/>
      <c r="KHL67" s="498" t="n"/>
      <c r="KHM67" s="498" t="n"/>
      <c r="KHN67" s="498" t="n"/>
      <c r="KHO67" s="498" t="n"/>
      <c r="KHP67" s="498" t="n"/>
      <c r="KHQ67" s="498" t="n"/>
      <c r="KHR67" s="498" t="n"/>
      <c r="KHS67" s="498" t="n"/>
      <c r="KHT67" s="498" t="n"/>
      <c r="KHU67" s="498" t="n"/>
      <c r="KHV67" s="498" t="n"/>
      <c r="KHW67" s="498" t="n"/>
      <c r="KHX67" s="498" t="n"/>
      <c r="KHY67" s="498" t="n"/>
      <c r="KHZ67" s="498" t="n"/>
      <c r="KIA67" s="498" t="n"/>
      <c r="KIB67" s="498" t="n"/>
      <c r="KIC67" s="498" t="n"/>
      <c r="KID67" s="498" t="n"/>
      <c r="KIE67" s="498" t="n"/>
      <c r="KIF67" s="498" t="n"/>
      <c r="KIG67" s="498" t="n"/>
      <c r="KIH67" s="498" t="n"/>
      <c r="KII67" s="498" t="n"/>
      <c r="KIJ67" s="498" t="n"/>
      <c r="KIK67" s="498" t="n"/>
      <c r="KIL67" s="498" t="n"/>
      <c r="KIM67" s="498" t="n"/>
      <c r="KIN67" s="498" t="n"/>
      <c r="KIO67" s="498" t="n"/>
      <c r="KIP67" s="498" t="n"/>
      <c r="KIQ67" s="498" t="n"/>
      <c r="KIR67" s="498" t="n"/>
      <c r="KIS67" s="498" t="n"/>
      <c r="KIT67" s="498" t="n"/>
      <c r="KIU67" s="498" t="n"/>
      <c r="KIV67" s="498" t="n"/>
      <c r="KIW67" s="498" t="n"/>
      <c r="KIX67" s="498" t="n"/>
      <c r="KIY67" s="498" t="n"/>
      <c r="KIZ67" s="498" t="n"/>
      <c r="KJA67" s="498" t="n"/>
      <c r="KJB67" s="498" t="n"/>
      <c r="KJC67" s="498" t="n"/>
      <c r="KJD67" s="498" t="n"/>
      <c r="KJE67" s="498" t="n"/>
      <c r="KJF67" s="498" t="n"/>
      <c r="KJG67" s="498" t="n"/>
      <c r="KJH67" s="498" t="n"/>
      <c r="KJI67" s="498" t="n"/>
      <c r="KJJ67" s="498" t="n"/>
      <c r="KJK67" s="498" t="n"/>
      <c r="KJL67" s="498" t="n"/>
      <c r="KJM67" s="498" t="n"/>
      <c r="KJN67" s="498" t="n"/>
      <c r="KJO67" s="498" t="n"/>
      <c r="KJP67" s="498" t="n"/>
      <c r="KJQ67" s="498" t="n"/>
      <c r="KJR67" s="498" t="n"/>
      <c r="KJS67" s="498" t="n"/>
      <c r="KJT67" s="498" t="n"/>
      <c r="KJU67" s="498" t="n"/>
      <c r="KJV67" s="498" t="n"/>
      <c r="KJW67" s="498" t="n"/>
      <c r="KJX67" s="498" t="n"/>
      <c r="KJY67" s="498" t="n"/>
      <c r="KJZ67" s="498" t="n"/>
      <c r="KKA67" s="498" t="n"/>
      <c r="KKB67" s="498" t="n"/>
      <c r="KKC67" s="498" t="n"/>
      <c r="KKD67" s="498" t="n"/>
      <c r="KKE67" s="498" t="n"/>
      <c r="KKF67" s="498" t="n"/>
      <c r="KKG67" s="498" t="n"/>
      <c r="KKH67" s="498" t="n"/>
      <c r="KKI67" s="498" t="n"/>
      <c r="KKJ67" s="498" t="n"/>
      <c r="KKK67" s="498" t="n"/>
      <c r="KKL67" s="498" t="n"/>
      <c r="KKM67" s="498" t="n"/>
      <c r="KKN67" s="498" t="n"/>
      <c r="KKO67" s="498" t="n"/>
      <c r="KKP67" s="498" t="n"/>
      <c r="KKQ67" s="498" t="n"/>
      <c r="KKR67" s="498" t="n"/>
      <c r="KKS67" s="498" t="n"/>
      <c r="KKT67" s="498" t="n"/>
      <c r="KKU67" s="498" t="n"/>
      <c r="KKV67" s="498" t="n"/>
      <c r="KKW67" s="498" t="n"/>
      <c r="KKX67" s="498" t="n"/>
      <c r="KKY67" s="498" t="n"/>
      <c r="KKZ67" s="498" t="n"/>
      <c r="KLA67" s="498" t="n"/>
      <c r="KLB67" s="498" t="n"/>
      <c r="KLC67" s="498" t="n"/>
      <c r="KLD67" s="498" t="n"/>
      <c r="KLE67" s="498" t="n"/>
      <c r="KLF67" s="498" t="n"/>
      <c r="KLG67" s="498" t="n"/>
      <c r="KLH67" s="498" t="n"/>
      <c r="KLI67" s="498" t="n"/>
      <c r="KLJ67" s="498" t="n"/>
      <c r="KLK67" s="498" t="n"/>
      <c r="KLL67" s="498" t="n"/>
      <c r="KLM67" s="498" t="n"/>
      <c r="KLN67" s="498" t="n"/>
      <c r="KLO67" s="498" t="n"/>
      <c r="KLP67" s="498" t="n"/>
      <c r="KLQ67" s="498" t="n"/>
      <c r="KLR67" s="498" t="n"/>
      <c r="KLS67" s="498" t="n"/>
      <c r="KLT67" s="498" t="n"/>
      <c r="KLU67" s="498" t="n"/>
      <c r="KLV67" s="498" t="n"/>
      <c r="KLW67" s="498" t="n"/>
      <c r="KLX67" s="498" t="n"/>
      <c r="KLY67" s="498" t="n"/>
      <c r="KLZ67" s="498" t="n"/>
      <c r="KMA67" s="498" t="n"/>
      <c r="KMB67" s="498" t="n"/>
      <c r="KMC67" s="498" t="n"/>
      <c r="KMD67" s="498" t="n"/>
      <c r="KME67" s="498" t="n"/>
      <c r="KMF67" s="498" t="n"/>
      <c r="KMG67" s="498" t="n"/>
      <c r="KMH67" s="498" t="n"/>
      <c r="KMI67" s="498" t="n"/>
      <c r="KMJ67" s="498" t="n"/>
      <c r="KMK67" s="498" t="n"/>
      <c r="KML67" s="498" t="n"/>
      <c r="KMM67" s="498" t="n"/>
      <c r="KMN67" s="498" t="n"/>
      <c r="KMO67" s="498" t="n"/>
      <c r="KMP67" s="498" t="n"/>
      <c r="KMQ67" s="498" t="n"/>
      <c r="KMR67" s="498" t="n"/>
      <c r="KMS67" s="498" t="n"/>
      <c r="KMT67" s="498" t="n"/>
      <c r="KMU67" s="498" t="n"/>
      <c r="KMV67" s="498" t="n"/>
      <c r="KMW67" s="498" t="n"/>
      <c r="KMX67" s="498" t="n"/>
      <c r="KMY67" s="498" t="n"/>
      <c r="KMZ67" s="498" t="n"/>
      <c r="KNA67" s="498" t="n"/>
      <c r="KNB67" s="498" t="n"/>
      <c r="KNC67" s="498" t="n"/>
      <c r="KND67" s="498" t="n"/>
      <c r="KNE67" s="498" t="n"/>
      <c r="KNF67" s="498" t="n"/>
      <c r="KNG67" s="498" t="n"/>
      <c r="KNH67" s="498" t="n"/>
      <c r="KNI67" s="498" t="n"/>
      <c r="KNJ67" s="498" t="n"/>
      <c r="KNK67" s="498" t="n"/>
      <c r="KNL67" s="498" t="n"/>
      <c r="KNM67" s="498" t="n"/>
      <c r="KNN67" s="498" t="n"/>
      <c r="KNO67" s="498" t="n"/>
      <c r="KNP67" s="498" t="n"/>
      <c r="KNQ67" s="498" t="n"/>
      <c r="KNR67" s="498" t="n"/>
      <c r="KNS67" s="498" t="n"/>
      <c r="KNT67" s="498" t="n"/>
      <c r="KNU67" s="498" t="n"/>
      <c r="KNV67" s="498" t="n"/>
      <c r="KNW67" s="498" t="n"/>
      <c r="KNX67" s="498" t="n"/>
      <c r="KNY67" s="498" t="n"/>
      <c r="KNZ67" s="498" t="n"/>
      <c r="KOA67" s="498" t="n"/>
      <c r="KOB67" s="498" t="n"/>
      <c r="KOC67" s="498" t="n"/>
      <c r="KOD67" s="498" t="n"/>
      <c r="KOE67" s="498" t="n"/>
      <c r="KOF67" s="498" t="n"/>
      <c r="KOG67" s="498" t="n"/>
      <c r="KOH67" s="498" t="n"/>
      <c r="KOI67" s="498" t="n"/>
      <c r="KOJ67" s="498" t="n"/>
      <c r="KOK67" s="498" t="n"/>
      <c r="KOL67" s="498" t="n"/>
      <c r="KOM67" s="498" t="n"/>
      <c r="KON67" s="498" t="n"/>
      <c r="KOO67" s="498" t="n"/>
      <c r="KOP67" s="498" t="n"/>
      <c r="KOQ67" s="498" t="n"/>
      <c r="KOR67" s="498" t="n"/>
      <c r="KOS67" s="498" t="n"/>
      <c r="KOT67" s="498" t="n"/>
      <c r="KOU67" s="498" t="n"/>
      <c r="KOV67" s="498" t="n"/>
      <c r="KOW67" s="498" t="n"/>
      <c r="KOX67" s="498" t="n"/>
      <c r="KOY67" s="498" t="n"/>
      <c r="KOZ67" s="498" t="n"/>
      <c r="KPA67" s="498" t="n"/>
      <c r="KPB67" s="498" t="n"/>
      <c r="KPC67" s="498" t="n"/>
      <c r="KPD67" s="498" t="n"/>
      <c r="KPE67" s="498" t="n"/>
      <c r="KPF67" s="498" t="n"/>
      <c r="KPG67" s="498" t="n"/>
      <c r="KPH67" s="498" t="n"/>
      <c r="KPI67" s="498" t="n"/>
      <c r="KPJ67" s="498" t="n"/>
      <c r="KPK67" s="498" t="n"/>
      <c r="KPL67" s="498" t="n"/>
      <c r="KPM67" s="498" t="n"/>
      <c r="KPN67" s="498" t="n"/>
      <c r="KPO67" s="498" t="n"/>
      <c r="KPP67" s="498" t="n"/>
      <c r="KPQ67" s="498" t="n"/>
      <c r="KPR67" s="498" t="n"/>
      <c r="KPS67" s="498" t="n"/>
      <c r="KPT67" s="498" t="n"/>
      <c r="KPU67" s="498" t="n"/>
      <c r="KPV67" s="498" t="n"/>
      <c r="KPW67" s="498" t="n"/>
      <c r="KPX67" s="498" t="n"/>
      <c r="KPY67" s="498" t="n"/>
      <c r="KPZ67" s="498" t="n"/>
      <c r="KQA67" s="498" t="n"/>
      <c r="KQB67" s="498" t="n"/>
      <c r="KQC67" s="498" t="n"/>
      <c r="KQD67" s="498" t="n"/>
      <c r="KQE67" s="498" t="n"/>
      <c r="KQF67" s="498" t="n"/>
      <c r="KQG67" s="498" t="n"/>
      <c r="KQH67" s="498" t="n"/>
      <c r="KQI67" s="498" t="n"/>
      <c r="KQJ67" s="498" t="n"/>
      <c r="KQK67" s="498" t="n"/>
      <c r="KQL67" s="498" t="n"/>
      <c r="KQM67" s="498" t="n"/>
      <c r="KQN67" s="498" t="n"/>
      <c r="KQO67" s="498" t="n"/>
      <c r="KQP67" s="498" t="n"/>
      <c r="KQQ67" s="498" t="n"/>
      <c r="KQR67" s="498" t="n"/>
      <c r="KQS67" s="498" t="n"/>
      <c r="KQT67" s="498" t="n"/>
      <c r="KQU67" s="498" t="n"/>
      <c r="KQV67" s="498" t="n"/>
      <c r="KQW67" s="498" t="n"/>
      <c r="KQX67" s="498" t="n"/>
      <c r="KQY67" s="498" t="n"/>
      <c r="KQZ67" s="498" t="n"/>
      <c r="KRA67" s="498" t="n"/>
      <c r="KRB67" s="498" t="n"/>
      <c r="KRC67" s="498" t="n"/>
      <c r="KRD67" s="498" t="n"/>
      <c r="KRE67" s="498" t="n"/>
      <c r="KRF67" s="498" t="n"/>
      <c r="KRG67" s="498" t="n"/>
      <c r="KRH67" s="498" t="n"/>
      <c r="KRI67" s="498" t="n"/>
      <c r="KRJ67" s="498" t="n"/>
      <c r="KRK67" s="498" t="n"/>
      <c r="KRL67" s="498" t="n"/>
      <c r="KRM67" s="498" t="n"/>
      <c r="KRN67" s="498" t="n"/>
      <c r="KRO67" s="498" t="n"/>
      <c r="KRP67" s="498" t="n"/>
      <c r="KRQ67" s="498" t="n"/>
      <c r="KRR67" s="498" t="n"/>
      <c r="KRS67" s="498" t="n"/>
      <c r="KRT67" s="498" t="n"/>
      <c r="KRU67" s="498" t="n"/>
      <c r="KRV67" s="498" t="n"/>
      <c r="KRW67" s="498" t="n"/>
      <c r="KRX67" s="498" t="n"/>
      <c r="KRY67" s="498" t="n"/>
      <c r="KRZ67" s="498" t="n"/>
      <c r="KSA67" s="498" t="n"/>
      <c r="KSB67" s="498" t="n"/>
      <c r="KSC67" s="498" t="n"/>
      <c r="KSD67" s="498" t="n"/>
      <c r="KSE67" s="498" t="n"/>
      <c r="KSF67" s="498" t="n"/>
      <c r="KSG67" s="498" t="n"/>
      <c r="KSH67" s="498" t="n"/>
      <c r="KSI67" s="498" t="n"/>
      <c r="KSJ67" s="498" t="n"/>
      <c r="KSK67" s="498" t="n"/>
      <c r="KSL67" s="498" t="n"/>
      <c r="KSM67" s="498" t="n"/>
      <c r="KSN67" s="498" t="n"/>
      <c r="KSO67" s="498" t="n"/>
      <c r="KSP67" s="498" t="n"/>
      <c r="KSQ67" s="498" t="n"/>
      <c r="KSR67" s="498" t="n"/>
      <c r="KSS67" s="498" t="n"/>
      <c r="KST67" s="498" t="n"/>
      <c r="KSU67" s="498" t="n"/>
      <c r="KSV67" s="498" t="n"/>
      <c r="KSW67" s="498" t="n"/>
      <c r="KSX67" s="498" t="n"/>
      <c r="KSY67" s="498" t="n"/>
      <c r="KSZ67" s="498" t="n"/>
      <c r="KTA67" s="498" t="n"/>
      <c r="KTB67" s="498" t="n"/>
      <c r="KTC67" s="498" t="n"/>
      <c r="KTD67" s="498" t="n"/>
      <c r="KTE67" s="498" t="n"/>
      <c r="KTF67" s="498" t="n"/>
      <c r="KTG67" s="498" t="n"/>
      <c r="KTH67" s="498" t="n"/>
      <c r="KTI67" s="498" t="n"/>
      <c r="KTJ67" s="498" t="n"/>
      <c r="KTK67" s="498" t="n"/>
      <c r="KTL67" s="498" t="n"/>
      <c r="KTM67" s="498" t="n"/>
      <c r="KTN67" s="498" t="n"/>
      <c r="KTO67" s="498" t="n"/>
      <c r="KTP67" s="498" t="n"/>
      <c r="KTQ67" s="498" t="n"/>
      <c r="KTR67" s="498" t="n"/>
      <c r="KTS67" s="498" t="n"/>
      <c r="KTT67" s="498" t="n"/>
      <c r="KTU67" s="498" t="n"/>
      <c r="KTV67" s="498" t="n"/>
      <c r="KTW67" s="498" t="n"/>
      <c r="KTX67" s="498" t="n"/>
      <c r="KTY67" s="498" t="n"/>
      <c r="KTZ67" s="498" t="n"/>
      <c r="KUA67" s="498" t="n"/>
      <c r="KUB67" s="498" t="n"/>
      <c r="KUC67" s="498" t="n"/>
      <c r="KUD67" s="498" t="n"/>
      <c r="KUE67" s="498" t="n"/>
      <c r="KUF67" s="498" t="n"/>
      <c r="KUG67" s="498" t="n"/>
      <c r="KUH67" s="498" t="n"/>
      <c r="KUI67" s="498" t="n"/>
      <c r="KUJ67" s="498" t="n"/>
      <c r="KUK67" s="498" t="n"/>
      <c r="KUL67" s="498" t="n"/>
      <c r="KUM67" s="498" t="n"/>
      <c r="KUN67" s="498" t="n"/>
      <c r="KUO67" s="498" t="n"/>
      <c r="KUP67" s="498" t="n"/>
      <c r="KUQ67" s="498" t="n"/>
      <c r="KUR67" s="498" t="n"/>
      <c r="KUS67" s="498" t="n"/>
      <c r="KUT67" s="498" t="n"/>
      <c r="KUU67" s="498" t="n"/>
      <c r="KUV67" s="498" t="n"/>
      <c r="KUW67" s="498" t="n"/>
      <c r="KUX67" s="498" t="n"/>
      <c r="KUY67" s="498" t="n"/>
      <c r="KUZ67" s="498" t="n"/>
      <c r="KVA67" s="498" t="n"/>
      <c r="KVB67" s="498" t="n"/>
      <c r="KVC67" s="498" t="n"/>
      <c r="KVD67" s="498" t="n"/>
      <c r="KVE67" s="498" t="n"/>
      <c r="KVF67" s="498" t="n"/>
      <c r="KVG67" s="498" t="n"/>
      <c r="KVH67" s="498" t="n"/>
      <c r="KVI67" s="498" t="n"/>
      <c r="KVJ67" s="498" t="n"/>
      <c r="KVK67" s="498" t="n"/>
      <c r="KVL67" s="498" t="n"/>
      <c r="KVM67" s="498" t="n"/>
      <c r="KVN67" s="498" t="n"/>
      <c r="KVO67" s="498" t="n"/>
      <c r="KVP67" s="498" t="n"/>
      <c r="KVQ67" s="498" t="n"/>
      <c r="KVR67" s="498" t="n"/>
      <c r="KVS67" s="498" t="n"/>
      <c r="KVT67" s="498" t="n"/>
      <c r="KVU67" s="498" t="n"/>
      <c r="KVV67" s="498" t="n"/>
      <c r="KVW67" s="498" t="n"/>
      <c r="KVX67" s="498" t="n"/>
      <c r="KVY67" s="498" t="n"/>
      <c r="KVZ67" s="498" t="n"/>
      <c r="KWA67" s="498" t="n"/>
      <c r="KWB67" s="498" t="n"/>
      <c r="KWC67" s="498" t="n"/>
      <c r="KWD67" s="498" t="n"/>
      <c r="KWE67" s="498" t="n"/>
      <c r="KWF67" s="498" t="n"/>
      <c r="KWG67" s="498" t="n"/>
      <c r="KWH67" s="498" t="n"/>
      <c r="KWI67" s="498" t="n"/>
      <c r="KWJ67" s="498" t="n"/>
      <c r="KWK67" s="498" t="n"/>
      <c r="KWL67" s="498" t="n"/>
      <c r="KWM67" s="498" t="n"/>
      <c r="KWN67" s="498" t="n"/>
      <c r="KWO67" s="498" t="n"/>
      <c r="KWP67" s="498" t="n"/>
      <c r="KWQ67" s="498" t="n"/>
      <c r="KWR67" s="498" t="n"/>
      <c r="KWS67" s="498" t="n"/>
      <c r="KWT67" s="498" t="n"/>
      <c r="KWU67" s="498" t="n"/>
      <c r="KWV67" s="498" t="n"/>
      <c r="KWW67" s="498" t="n"/>
      <c r="KWX67" s="498" t="n"/>
      <c r="KWY67" s="498" t="n"/>
      <c r="KWZ67" s="498" t="n"/>
      <c r="KXA67" s="498" t="n"/>
      <c r="KXB67" s="498" t="n"/>
      <c r="KXC67" s="498" t="n"/>
      <c r="KXD67" s="498" t="n"/>
      <c r="KXE67" s="498" t="n"/>
      <c r="KXF67" s="498" t="n"/>
      <c r="KXG67" s="498" t="n"/>
      <c r="KXH67" s="498" t="n"/>
      <c r="KXI67" s="498" t="n"/>
      <c r="KXJ67" s="498" t="n"/>
      <c r="KXK67" s="498" t="n"/>
      <c r="KXL67" s="498" t="n"/>
      <c r="KXM67" s="498" t="n"/>
      <c r="KXN67" s="498" t="n"/>
      <c r="KXO67" s="498" t="n"/>
      <c r="KXP67" s="498" t="n"/>
      <c r="KXQ67" s="498" t="n"/>
      <c r="KXR67" s="498" t="n"/>
      <c r="KXS67" s="498" t="n"/>
      <c r="KXT67" s="498" t="n"/>
      <c r="KXU67" s="498" t="n"/>
      <c r="KXV67" s="498" t="n"/>
      <c r="KXW67" s="498" t="n"/>
      <c r="KXX67" s="498" t="n"/>
      <c r="KXY67" s="498" t="n"/>
      <c r="KXZ67" s="498" t="n"/>
      <c r="KYA67" s="498" t="n"/>
      <c r="KYB67" s="498" t="n"/>
      <c r="KYC67" s="498" t="n"/>
      <c r="KYD67" s="498" t="n"/>
      <c r="KYE67" s="498" t="n"/>
      <c r="KYF67" s="498" t="n"/>
      <c r="KYG67" s="498" t="n"/>
      <c r="KYH67" s="498" t="n"/>
      <c r="KYI67" s="498" t="n"/>
      <c r="KYJ67" s="498" t="n"/>
      <c r="KYK67" s="498" t="n"/>
      <c r="KYL67" s="498" t="n"/>
      <c r="KYM67" s="498" t="n"/>
      <c r="KYN67" s="498" t="n"/>
      <c r="KYO67" s="498" t="n"/>
      <c r="KYP67" s="498" t="n"/>
      <c r="KYQ67" s="498" t="n"/>
      <c r="KYR67" s="498" t="n"/>
      <c r="KYS67" s="498" t="n"/>
      <c r="KYT67" s="498" t="n"/>
      <c r="KYU67" s="498" t="n"/>
      <c r="KYV67" s="498" t="n"/>
      <c r="KYW67" s="498" t="n"/>
      <c r="KYX67" s="498" t="n"/>
      <c r="KYY67" s="498" t="n"/>
      <c r="KYZ67" s="498" t="n"/>
      <c r="KZA67" s="498" t="n"/>
      <c r="KZB67" s="498" t="n"/>
      <c r="KZC67" s="498" t="n"/>
      <c r="KZD67" s="498" t="n"/>
      <c r="KZE67" s="498" t="n"/>
      <c r="KZF67" s="498" t="n"/>
      <c r="KZG67" s="498" t="n"/>
      <c r="KZH67" s="498" t="n"/>
      <c r="KZI67" s="498" t="n"/>
      <c r="KZJ67" s="498" t="n"/>
      <c r="KZK67" s="498" t="n"/>
      <c r="KZL67" s="498" t="n"/>
      <c r="KZM67" s="498" t="n"/>
      <c r="KZN67" s="498" t="n"/>
      <c r="KZO67" s="498" t="n"/>
      <c r="KZP67" s="498" t="n"/>
      <c r="KZQ67" s="498" t="n"/>
      <c r="KZR67" s="498" t="n"/>
      <c r="KZS67" s="498" t="n"/>
      <c r="KZT67" s="498" t="n"/>
      <c r="KZU67" s="498" t="n"/>
      <c r="KZV67" s="498" t="n"/>
      <c r="KZW67" s="498" t="n"/>
      <c r="KZX67" s="498" t="n"/>
      <c r="KZY67" s="498" t="n"/>
      <c r="KZZ67" s="498" t="n"/>
      <c r="LAA67" s="498" t="n"/>
      <c r="LAB67" s="498" t="n"/>
      <c r="LAC67" s="498" t="n"/>
      <c r="LAD67" s="498" t="n"/>
      <c r="LAE67" s="498" t="n"/>
      <c r="LAF67" s="498" t="n"/>
      <c r="LAG67" s="498" t="n"/>
      <c r="LAH67" s="498" t="n"/>
      <c r="LAI67" s="498" t="n"/>
      <c r="LAJ67" s="498" t="n"/>
      <c r="LAK67" s="498" t="n"/>
      <c r="LAL67" s="498" t="n"/>
      <c r="LAM67" s="498" t="n"/>
      <c r="LAN67" s="498" t="n"/>
      <c r="LAO67" s="498" t="n"/>
      <c r="LAP67" s="498" t="n"/>
      <c r="LAQ67" s="498" t="n"/>
      <c r="LAR67" s="498" t="n"/>
      <c r="LAS67" s="498" t="n"/>
      <c r="LAT67" s="498" t="n"/>
      <c r="LAU67" s="498" t="n"/>
      <c r="LAV67" s="498" t="n"/>
      <c r="LAW67" s="498" t="n"/>
      <c r="LAX67" s="498" t="n"/>
      <c r="LAY67" s="498" t="n"/>
      <c r="LAZ67" s="498" t="n"/>
      <c r="LBA67" s="498" t="n"/>
      <c r="LBB67" s="498" t="n"/>
      <c r="LBC67" s="498" t="n"/>
      <c r="LBD67" s="498" t="n"/>
      <c r="LBE67" s="498" t="n"/>
      <c r="LBF67" s="498" t="n"/>
      <c r="LBG67" s="498" t="n"/>
      <c r="LBH67" s="498" t="n"/>
      <c r="LBI67" s="498" t="n"/>
      <c r="LBJ67" s="498" t="n"/>
      <c r="LBK67" s="498" t="n"/>
      <c r="LBL67" s="498" t="n"/>
      <c r="LBM67" s="498" t="n"/>
      <c r="LBN67" s="498" t="n"/>
      <c r="LBO67" s="498" t="n"/>
      <c r="LBP67" s="498" t="n"/>
      <c r="LBQ67" s="498" t="n"/>
      <c r="LBR67" s="498" t="n"/>
      <c r="LBS67" s="498" t="n"/>
      <c r="LBT67" s="498" t="n"/>
      <c r="LBU67" s="498" t="n"/>
      <c r="LBV67" s="498" t="n"/>
      <c r="LBW67" s="498" t="n"/>
      <c r="LBX67" s="498" t="n"/>
      <c r="LBY67" s="498" t="n"/>
      <c r="LBZ67" s="498" t="n"/>
      <c r="LCA67" s="498" t="n"/>
      <c r="LCB67" s="498" t="n"/>
      <c r="LCC67" s="498" t="n"/>
      <c r="LCD67" s="498" t="n"/>
      <c r="LCE67" s="498" t="n"/>
      <c r="LCF67" s="498" t="n"/>
      <c r="LCG67" s="498" t="n"/>
      <c r="LCH67" s="498" t="n"/>
      <c r="LCI67" s="498" t="n"/>
      <c r="LCJ67" s="498" t="n"/>
      <c r="LCK67" s="498" t="n"/>
      <c r="LCL67" s="498" t="n"/>
      <c r="LCM67" s="498" t="n"/>
      <c r="LCN67" s="498" t="n"/>
      <c r="LCO67" s="498" t="n"/>
      <c r="LCP67" s="498" t="n"/>
      <c r="LCQ67" s="498" t="n"/>
      <c r="LCR67" s="498" t="n"/>
      <c r="LCS67" s="498" t="n"/>
      <c r="LCT67" s="498" t="n"/>
      <c r="LCU67" s="498" t="n"/>
      <c r="LCV67" s="498" t="n"/>
      <c r="LCW67" s="498" t="n"/>
      <c r="LCX67" s="498" t="n"/>
      <c r="LCY67" s="498" t="n"/>
      <c r="LCZ67" s="498" t="n"/>
      <c r="LDA67" s="498" t="n"/>
      <c r="LDB67" s="498" t="n"/>
      <c r="LDC67" s="498" t="n"/>
      <c r="LDD67" s="498" t="n"/>
      <c r="LDE67" s="498" t="n"/>
      <c r="LDF67" s="498" t="n"/>
      <c r="LDG67" s="498" t="n"/>
      <c r="LDH67" s="498" t="n"/>
      <c r="LDI67" s="498" t="n"/>
      <c r="LDJ67" s="498" t="n"/>
      <c r="LDK67" s="498" t="n"/>
      <c r="LDL67" s="498" t="n"/>
      <c r="LDM67" s="498" t="n"/>
      <c r="LDN67" s="498" t="n"/>
      <c r="LDO67" s="498" t="n"/>
      <c r="LDP67" s="498" t="n"/>
      <c r="LDQ67" s="498" t="n"/>
      <c r="LDR67" s="498" t="n"/>
      <c r="LDS67" s="498" t="n"/>
      <c r="LDT67" s="498" t="n"/>
      <c r="LDU67" s="498" t="n"/>
      <c r="LDV67" s="498" t="n"/>
      <c r="LDW67" s="498" t="n"/>
      <c r="LDX67" s="498" t="n"/>
      <c r="LDY67" s="498" t="n"/>
      <c r="LDZ67" s="498" t="n"/>
      <c r="LEA67" s="498" t="n"/>
      <c r="LEB67" s="498" t="n"/>
      <c r="LEC67" s="498" t="n"/>
      <c r="LED67" s="498" t="n"/>
      <c r="LEE67" s="498" t="n"/>
      <c r="LEF67" s="498" t="n"/>
      <c r="LEG67" s="498" t="n"/>
      <c r="LEH67" s="498" t="n"/>
      <c r="LEI67" s="498" t="n"/>
      <c r="LEJ67" s="498" t="n"/>
      <c r="LEK67" s="498" t="n"/>
      <c r="LEL67" s="498" t="n"/>
      <c r="LEM67" s="498" t="n"/>
      <c r="LEN67" s="498" t="n"/>
      <c r="LEO67" s="498" t="n"/>
      <c r="LEP67" s="498" t="n"/>
      <c r="LEQ67" s="498" t="n"/>
      <c r="LER67" s="498" t="n"/>
      <c r="LES67" s="498" t="n"/>
      <c r="LET67" s="498" t="n"/>
      <c r="LEU67" s="498" t="n"/>
      <c r="LEV67" s="498" t="n"/>
      <c r="LEW67" s="498" t="n"/>
      <c r="LEX67" s="498" t="n"/>
      <c r="LEY67" s="498" t="n"/>
      <c r="LEZ67" s="498" t="n"/>
      <c r="LFA67" s="498" t="n"/>
      <c r="LFB67" s="498" t="n"/>
      <c r="LFC67" s="498" t="n"/>
      <c r="LFD67" s="498" t="n"/>
      <c r="LFE67" s="498" t="n"/>
      <c r="LFF67" s="498" t="n"/>
      <c r="LFG67" s="498" t="n"/>
      <c r="LFH67" s="498" t="n"/>
      <c r="LFI67" s="498" t="n"/>
      <c r="LFJ67" s="498" t="n"/>
      <c r="LFK67" s="498" t="n"/>
      <c r="LFL67" s="498" t="n"/>
      <c r="LFM67" s="498" t="n"/>
      <c r="LFN67" s="498" t="n"/>
      <c r="LFO67" s="498" t="n"/>
      <c r="LFP67" s="498" t="n"/>
      <c r="LFQ67" s="498" t="n"/>
      <c r="LFR67" s="498" t="n"/>
      <c r="LFS67" s="498" t="n"/>
      <c r="LFT67" s="498" t="n"/>
      <c r="LFU67" s="498" t="n"/>
      <c r="LFV67" s="498" t="n"/>
      <c r="LFW67" s="498" t="n"/>
      <c r="LFX67" s="498" t="n"/>
      <c r="LFY67" s="498" t="n"/>
      <c r="LFZ67" s="498" t="n"/>
      <c r="LGA67" s="498" t="n"/>
      <c r="LGB67" s="498" t="n"/>
      <c r="LGC67" s="498" t="n"/>
      <c r="LGD67" s="498" t="n"/>
      <c r="LGE67" s="498" t="n"/>
      <c r="LGF67" s="498" t="n"/>
      <c r="LGG67" s="498" t="n"/>
      <c r="LGH67" s="498" t="n"/>
      <c r="LGI67" s="498" t="n"/>
      <c r="LGJ67" s="498" t="n"/>
      <c r="LGK67" s="498" t="n"/>
      <c r="LGL67" s="498" t="n"/>
      <c r="LGM67" s="498" t="n"/>
      <c r="LGN67" s="498" t="n"/>
      <c r="LGO67" s="498" t="n"/>
      <c r="LGP67" s="498" t="n"/>
      <c r="LGQ67" s="498" t="n"/>
      <c r="LGR67" s="498" t="n"/>
      <c r="LGS67" s="498" t="n"/>
      <c r="LGT67" s="498" t="n"/>
      <c r="LGU67" s="498" t="n"/>
      <c r="LGV67" s="498" t="n"/>
      <c r="LGW67" s="498" t="n"/>
      <c r="LGX67" s="498" t="n"/>
      <c r="LGY67" s="498" t="n"/>
      <c r="LGZ67" s="498" t="n"/>
      <c r="LHA67" s="498" t="n"/>
      <c r="LHB67" s="498" t="n"/>
      <c r="LHC67" s="498" t="n"/>
      <c r="LHD67" s="498" t="n"/>
      <c r="LHE67" s="498" t="n"/>
      <c r="LHF67" s="498" t="n"/>
      <c r="LHG67" s="498" t="n"/>
      <c r="LHH67" s="498" t="n"/>
      <c r="LHI67" s="498" t="n"/>
      <c r="LHJ67" s="498" t="n"/>
      <c r="LHK67" s="498" t="n"/>
      <c r="LHL67" s="498" t="n"/>
      <c r="LHM67" s="498" t="n"/>
      <c r="LHN67" s="498" t="n"/>
      <c r="LHO67" s="498" t="n"/>
      <c r="LHP67" s="498" t="n"/>
      <c r="LHQ67" s="498" t="n"/>
      <c r="LHR67" s="498" t="n"/>
      <c r="LHS67" s="498" t="n"/>
      <c r="LHT67" s="498" t="n"/>
      <c r="LHU67" s="498" t="n"/>
      <c r="LHV67" s="498" t="n"/>
      <c r="LHW67" s="498" t="n"/>
      <c r="LHX67" s="498" t="n"/>
      <c r="LHY67" s="498" t="n"/>
      <c r="LHZ67" s="498" t="n"/>
      <c r="LIA67" s="498" t="n"/>
      <c r="LIB67" s="498" t="n"/>
      <c r="LIC67" s="498" t="n"/>
      <c r="LID67" s="498" t="n"/>
      <c r="LIE67" s="498" t="n"/>
      <c r="LIF67" s="498" t="n"/>
      <c r="LIG67" s="498" t="n"/>
      <c r="LIH67" s="498" t="n"/>
      <c r="LII67" s="498" t="n"/>
      <c r="LIJ67" s="498" t="n"/>
      <c r="LIK67" s="498" t="n"/>
      <c r="LIL67" s="498" t="n"/>
      <c r="LIM67" s="498" t="n"/>
      <c r="LIN67" s="498" t="n"/>
      <c r="LIO67" s="498" t="n"/>
      <c r="LIP67" s="498" t="n"/>
      <c r="LIQ67" s="498" t="n"/>
      <c r="LIR67" s="498" t="n"/>
      <c r="LIS67" s="498" t="n"/>
      <c r="LIT67" s="498" t="n"/>
      <c r="LIU67" s="498" t="n"/>
      <c r="LIV67" s="498" t="n"/>
      <c r="LIW67" s="498" t="n"/>
      <c r="LIX67" s="498" t="n"/>
      <c r="LIY67" s="498" t="n"/>
      <c r="LIZ67" s="498" t="n"/>
      <c r="LJA67" s="498" t="n"/>
      <c r="LJB67" s="498" t="n"/>
      <c r="LJC67" s="498" t="n"/>
      <c r="LJD67" s="498" t="n"/>
      <c r="LJE67" s="498" t="n"/>
      <c r="LJF67" s="498" t="n"/>
      <c r="LJG67" s="498" t="n"/>
      <c r="LJH67" s="498" t="n"/>
      <c r="LJI67" s="498" t="n"/>
      <c r="LJJ67" s="498" t="n"/>
      <c r="LJK67" s="498" t="n"/>
      <c r="LJL67" s="498" t="n"/>
      <c r="LJM67" s="498" t="n"/>
      <c r="LJN67" s="498" t="n"/>
      <c r="LJO67" s="498" t="n"/>
      <c r="LJP67" s="498" t="n"/>
      <c r="LJQ67" s="498" t="n"/>
      <c r="LJR67" s="498" t="n"/>
      <c r="LJS67" s="498" t="n"/>
      <c r="LJT67" s="498" t="n"/>
      <c r="LJU67" s="498" t="n"/>
      <c r="LJV67" s="498" t="n"/>
      <c r="LJW67" s="498" t="n"/>
      <c r="LJX67" s="498" t="n"/>
      <c r="LJY67" s="498" t="n"/>
      <c r="LJZ67" s="498" t="n"/>
      <c r="LKA67" s="498" t="n"/>
      <c r="LKB67" s="498" t="n"/>
      <c r="LKC67" s="498" t="n"/>
      <c r="LKD67" s="498" t="n"/>
      <c r="LKE67" s="498" t="n"/>
      <c r="LKF67" s="498" t="n"/>
      <c r="LKG67" s="498" t="n"/>
      <c r="LKH67" s="498" t="n"/>
      <c r="LKI67" s="498" t="n"/>
      <c r="LKJ67" s="498" t="n"/>
      <c r="LKK67" s="498" t="n"/>
      <c r="LKL67" s="498" t="n"/>
      <c r="LKM67" s="498" t="n"/>
      <c r="LKN67" s="498" t="n"/>
      <c r="LKO67" s="498" t="n"/>
      <c r="LKP67" s="498" t="n"/>
      <c r="LKQ67" s="498" t="n"/>
      <c r="LKR67" s="498" t="n"/>
      <c r="LKS67" s="498" t="n"/>
      <c r="LKT67" s="498" t="n"/>
      <c r="LKU67" s="498" t="n"/>
      <c r="LKV67" s="498" t="n"/>
      <c r="LKW67" s="498" t="n"/>
      <c r="LKX67" s="498" t="n"/>
      <c r="LKY67" s="498" t="n"/>
      <c r="LKZ67" s="498" t="n"/>
      <c r="LLA67" s="498" t="n"/>
      <c r="LLB67" s="498" t="n"/>
      <c r="LLC67" s="498" t="n"/>
      <c r="LLD67" s="498" t="n"/>
      <c r="LLE67" s="498" t="n"/>
      <c r="LLF67" s="498" t="n"/>
      <c r="LLG67" s="498" t="n"/>
      <c r="LLH67" s="498" t="n"/>
      <c r="LLI67" s="498" t="n"/>
      <c r="LLJ67" s="498" t="n"/>
      <c r="LLK67" s="498" t="n"/>
      <c r="LLL67" s="498" t="n"/>
      <c r="LLM67" s="498" t="n"/>
      <c r="LLN67" s="498" t="n"/>
      <c r="LLO67" s="498" t="n"/>
      <c r="LLP67" s="498" t="n"/>
      <c r="LLQ67" s="498" t="n"/>
      <c r="LLR67" s="498" t="n"/>
      <c r="LLS67" s="498" t="n"/>
      <c r="LLT67" s="498" t="n"/>
      <c r="LLU67" s="498" t="n"/>
      <c r="LLV67" s="498" t="n"/>
      <c r="LLW67" s="498" t="n"/>
      <c r="LLX67" s="498" t="n"/>
      <c r="LLY67" s="498" t="n"/>
      <c r="LLZ67" s="498" t="n"/>
      <c r="LMA67" s="498" t="n"/>
      <c r="LMB67" s="498" t="n"/>
      <c r="LMC67" s="498" t="n"/>
      <c r="LMD67" s="498" t="n"/>
      <c r="LME67" s="498" t="n"/>
      <c r="LMF67" s="498" t="n"/>
      <c r="LMG67" s="498" t="n"/>
      <c r="LMH67" s="498" t="n"/>
      <c r="LMI67" s="498" t="n"/>
      <c r="LMJ67" s="498" t="n"/>
      <c r="LMK67" s="498" t="n"/>
      <c r="LML67" s="498" t="n"/>
      <c r="LMM67" s="498" t="n"/>
      <c r="LMN67" s="498" t="n"/>
      <c r="LMO67" s="498" t="n"/>
      <c r="LMP67" s="498" t="n"/>
      <c r="LMQ67" s="498" t="n"/>
      <c r="LMR67" s="498" t="n"/>
      <c r="LMS67" s="498" t="n"/>
      <c r="LMT67" s="498" t="n"/>
      <c r="LMU67" s="498" t="n"/>
      <c r="LMV67" s="498" t="n"/>
      <c r="LMW67" s="498" t="n"/>
      <c r="LMX67" s="498" t="n"/>
      <c r="LMY67" s="498" t="n"/>
      <c r="LMZ67" s="498" t="n"/>
      <c r="LNA67" s="498" t="n"/>
      <c r="LNB67" s="498" t="n"/>
      <c r="LNC67" s="498" t="n"/>
      <c r="LND67" s="498" t="n"/>
      <c r="LNE67" s="498" t="n"/>
      <c r="LNF67" s="498" t="n"/>
      <c r="LNG67" s="498" t="n"/>
      <c r="LNH67" s="498" t="n"/>
      <c r="LNI67" s="498" t="n"/>
      <c r="LNJ67" s="498" t="n"/>
      <c r="LNK67" s="498" t="n"/>
      <c r="LNL67" s="498" t="n"/>
      <c r="LNM67" s="498" t="n"/>
      <c r="LNN67" s="498" t="n"/>
      <c r="LNO67" s="498" t="n"/>
      <c r="LNP67" s="498" t="n"/>
      <c r="LNQ67" s="498" t="n"/>
      <c r="LNR67" s="498" t="n"/>
      <c r="LNS67" s="498" t="n"/>
      <c r="LNT67" s="498" t="n"/>
      <c r="LNU67" s="498" t="n"/>
      <c r="LNV67" s="498" t="n"/>
      <c r="LNW67" s="498" t="n"/>
      <c r="LNX67" s="498" t="n"/>
      <c r="LNY67" s="498" t="n"/>
      <c r="LNZ67" s="498" t="n"/>
      <c r="LOA67" s="498" t="n"/>
      <c r="LOB67" s="498" t="n"/>
      <c r="LOC67" s="498" t="n"/>
      <c r="LOD67" s="498" t="n"/>
      <c r="LOE67" s="498" t="n"/>
      <c r="LOF67" s="498" t="n"/>
      <c r="LOG67" s="498" t="n"/>
      <c r="LOH67" s="498" t="n"/>
      <c r="LOI67" s="498" t="n"/>
      <c r="LOJ67" s="498" t="n"/>
      <c r="LOK67" s="498" t="n"/>
      <c r="LOL67" s="498" t="n"/>
      <c r="LOM67" s="498" t="n"/>
      <c r="LON67" s="498" t="n"/>
      <c r="LOO67" s="498" t="n"/>
      <c r="LOP67" s="498" t="n"/>
      <c r="LOQ67" s="498" t="n"/>
      <c r="LOR67" s="498" t="n"/>
      <c r="LOS67" s="498" t="n"/>
      <c r="LOT67" s="498" t="n"/>
      <c r="LOU67" s="498" t="n"/>
      <c r="LOV67" s="498" t="n"/>
      <c r="LOW67" s="498" t="n"/>
      <c r="LOX67" s="498" t="n"/>
      <c r="LOY67" s="498" t="n"/>
      <c r="LOZ67" s="498" t="n"/>
      <c r="LPA67" s="498" t="n"/>
      <c r="LPB67" s="498" t="n"/>
      <c r="LPC67" s="498" t="n"/>
      <c r="LPD67" s="498" t="n"/>
      <c r="LPE67" s="498" t="n"/>
      <c r="LPF67" s="498" t="n"/>
      <c r="LPG67" s="498" t="n"/>
      <c r="LPH67" s="498" t="n"/>
      <c r="LPI67" s="498" t="n"/>
      <c r="LPJ67" s="498" t="n"/>
      <c r="LPK67" s="498" t="n"/>
      <c r="LPL67" s="498" t="n"/>
      <c r="LPM67" s="498" t="n"/>
      <c r="LPN67" s="498" t="n"/>
      <c r="LPO67" s="498" t="n"/>
      <c r="LPP67" s="498" t="n"/>
      <c r="LPQ67" s="498" t="n"/>
      <c r="LPR67" s="498" t="n"/>
      <c r="LPS67" s="498" t="n"/>
      <c r="LPT67" s="498" t="n"/>
      <c r="LPU67" s="498" t="n"/>
      <c r="LPV67" s="498" t="n"/>
      <c r="LPW67" s="498" t="n"/>
      <c r="LPX67" s="498" t="n"/>
      <c r="LPY67" s="498" t="n"/>
      <c r="LPZ67" s="498" t="n"/>
      <c r="LQA67" s="498" t="n"/>
      <c r="LQB67" s="498" t="n"/>
      <c r="LQC67" s="498" t="n"/>
      <c r="LQD67" s="498" t="n"/>
      <c r="LQE67" s="498" t="n"/>
      <c r="LQF67" s="498" t="n"/>
      <c r="LQG67" s="498" t="n"/>
      <c r="LQH67" s="498" t="n"/>
      <c r="LQI67" s="498" t="n"/>
      <c r="LQJ67" s="498" t="n"/>
      <c r="LQK67" s="498" t="n"/>
      <c r="LQL67" s="498" t="n"/>
      <c r="LQM67" s="498" t="n"/>
      <c r="LQN67" s="498" t="n"/>
      <c r="LQO67" s="498" t="n"/>
      <c r="LQP67" s="498" t="n"/>
      <c r="LQQ67" s="498" t="n"/>
      <c r="LQR67" s="498" t="n"/>
      <c r="LQS67" s="498" t="n"/>
      <c r="LQT67" s="498" t="n"/>
      <c r="LQU67" s="498" t="n"/>
      <c r="LQV67" s="498" t="n"/>
      <c r="LQW67" s="498" t="n"/>
      <c r="LQX67" s="498" t="n"/>
      <c r="LQY67" s="498" t="n"/>
      <c r="LQZ67" s="498" t="n"/>
      <c r="LRA67" s="498" t="n"/>
      <c r="LRB67" s="498" t="n"/>
      <c r="LRC67" s="498" t="n"/>
      <c r="LRD67" s="498" t="n"/>
      <c r="LRE67" s="498" t="n"/>
      <c r="LRF67" s="498" t="n"/>
      <c r="LRG67" s="498" t="n"/>
      <c r="LRH67" s="498" t="n"/>
      <c r="LRI67" s="498" t="n"/>
      <c r="LRJ67" s="498" t="n"/>
      <c r="LRK67" s="498" t="n"/>
      <c r="LRL67" s="498" t="n"/>
      <c r="LRM67" s="498" t="n"/>
      <c r="LRN67" s="498" t="n"/>
      <c r="LRO67" s="498" t="n"/>
      <c r="LRP67" s="498" t="n"/>
      <c r="LRQ67" s="498" t="n"/>
      <c r="LRR67" s="498" t="n"/>
      <c r="LRS67" s="498" t="n"/>
      <c r="LRT67" s="498" t="n"/>
      <c r="LRU67" s="498" t="n"/>
      <c r="LRV67" s="498" t="n"/>
      <c r="LRW67" s="498" t="n"/>
      <c r="LRX67" s="498" t="n"/>
      <c r="LRY67" s="498" t="n"/>
      <c r="LRZ67" s="498" t="n"/>
      <c r="LSA67" s="498" t="n"/>
      <c r="LSB67" s="498" t="n"/>
      <c r="LSC67" s="498" t="n"/>
      <c r="LSD67" s="498" t="n"/>
      <c r="LSE67" s="498" t="n"/>
      <c r="LSF67" s="498" t="n"/>
      <c r="LSG67" s="498" t="n"/>
      <c r="LSH67" s="498" t="n"/>
      <c r="LSI67" s="498" t="n"/>
      <c r="LSJ67" s="498" t="n"/>
      <c r="LSK67" s="498" t="n"/>
      <c r="LSL67" s="498" t="n"/>
      <c r="LSM67" s="498" t="n"/>
      <c r="LSN67" s="498" t="n"/>
      <c r="LSO67" s="498" t="n"/>
      <c r="LSP67" s="498" t="n"/>
      <c r="LSQ67" s="498" t="n"/>
      <c r="LSR67" s="498" t="n"/>
      <c r="LSS67" s="498" t="n"/>
      <c r="LST67" s="498" t="n"/>
      <c r="LSU67" s="498" t="n"/>
      <c r="LSV67" s="498" t="n"/>
      <c r="LSW67" s="498" t="n"/>
      <c r="LSX67" s="498" t="n"/>
      <c r="LSY67" s="498" t="n"/>
      <c r="LSZ67" s="498" t="n"/>
      <c r="LTA67" s="498" t="n"/>
      <c r="LTB67" s="498" t="n"/>
      <c r="LTC67" s="498" t="n"/>
      <c r="LTD67" s="498" t="n"/>
      <c r="LTE67" s="498" t="n"/>
      <c r="LTF67" s="498" t="n"/>
      <c r="LTG67" s="498" t="n"/>
      <c r="LTH67" s="498" t="n"/>
      <c r="LTI67" s="498" t="n"/>
      <c r="LTJ67" s="498" t="n"/>
      <c r="LTK67" s="498" t="n"/>
      <c r="LTL67" s="498" t="n"/>
      <c r="LTM67" s="498" t="n"/>
      <c r="LTN67" s="498" t="n"/>
      <c r="LTO67" s="498" t="n"/>
      <c r="LTP67" s="498" t="n"/>
      <c r="LTQ67" s="498" t="n"/>
      <c r="LTR67" s="498" t="n"/>
      <c r="LTS67" s="498" t="n"/>
      <c r="LTT67" s="498" t="n"/>
      <c r="LTU67" s="498" t="n"/>
      <c r="LTV67" s="498" t="n"/>
      <c r="LTW67" s="498" t="n"/>
      <c r="LTX67" s="498" t="n"/>
      <c r="LTY67" s="498" t="n"/>
      <c r="LTZ67" s="498" t="n"/>
      <c r="LUA67" s="498" t="n"/>
      <c r="LUB67" s="498" t="n"/>
      <c r="LUC67" s="498" t="n"/>
      <c r="LUD67" s="498" t="n"/>
      <c r="LUE67" s="498" t="n"/>
      <c r="LUF67" s="498" t="n"/>
      <c r="LUG67" s="498" t="n"/>
      <c r="LUH67" s="498" t="n"/>
      <c r="LUI67" s="498" t="n"/>
      <c r="LUJ67" s="498" t="n"/>
      <c r="LUK67" s="498" t="n"/>
      <c r="LUL67" s="498" t="n"/>
      <c r="LUM67" s="498" t="n"/>
      <c r="LUN67" s="498" t="n"/>
      <c r="LUO67" s="498" t="n"/>
      <c r="LUP67" s="498" t="n"/>
      <c r="LUQ67" s="498" t="n"/>
      <c r="LUR67" s="498" t="n"/>
      <c r="LUS67" s="498" t="n"/>
      <c r="LUT67" s="498" t="n"/>
      <c r="LUU67" s="498" t="n"/>
      <c r="LUV67" s="498" t="n"/>
      <c r="LUW67" s="498" t="n"/>
      <c r="LUX67" s="498" t="n"/>
      <c r="LUY67" s="498" t="n"/>
      <c r="LUZ67" s="498" t="n"/>
      <c r="LVA67" s="498" t="n"/>
      <c r="LVB67" s="498" t="n"/>
      <c r="LVC67" s="498" t="n"/>
      <c r="LVD67" s="498" t="n"/>
      <c r="LVE67" s="498" t="n"/>
      <c r="LVF67" s="498" t="n"/>
      <c r="LVG67" s="498" t="n"/>
      <c r="LVH67" s="498" t="n"/>
      <c r="LVI67" s="498" t="n"/>
      <c r="LVJ67" s="498" t="n"/>
      <c r="LVK67" s="498" t="n"/>
      <c r="LVL67" s="498" t="n"/>
      <c r="LVM67" s="498" t="n"/>
      <c r="LVN67" s="498" t="n"/>
      <c r="LVO67" s="498" t="n"/>
      <c r="LVP67" s="498" t="n"/>
      <c r="LVQ67" s="498" t="n"/>
      <c r="LVR67" s="498" t="n"/>
      <c r="LVS67" s="498" t="n"/>
      <c r="LVT67" s="498" t="n"/>
      <c r="LVU67" s="498" t="n"/>
      <c r="LVV67" s="498" t="n"/>
      <c r="LVW67" s="498" t="n"/>
      <c r="LVX67" s="498" t="n"/>
      <c r="LVY67" s="498" t="n"/>
      <c r="LVZ67" s="498" t="n"/>
      <c r="LWA67" s="498" t="n"/>
      <c r="LWB67" s="498" t="n"/>
      <c r="LWC67" s="498" t="n"/>
      <c r="LWD67" s="498" t="n"/>
      <c r="LWE67" s="498" t="n"/>
      <c r="LWF67" s="498" t="n"/>
      <c r="LWG67" s="498" t="n"/>
      <c r="LWH67" s="498" t="n"/>
      <c r="LWI67" s="498" t="n"/>
      <c r="LWJ67" s="498" t="n"/>
      <c r="LWK67" s="498" t="n"/>
      <c r="LWL67" s="498" t="n"/>
      <c r="LWM67" s="498" t="n"/>
      <c r="LWN67" s="498" t="n"/>
      <c r="LWO67" s="498" t="n"/>
      <c r="LWP67" s="498" t="n"/>
      <c r="LWQ67" s="498" t="n"/>
      <c r="LWR67" s="498" t="n"/>
      <c r="LWS67" s="498" t="n"/>
      <c r="LWT67" s="498" t="n"/>
      <c r="LWU67" s="498" t="n"/>
      <c r="LWV67" s="498" t="n"/>
      <c r="LWW67" s="498" t="n"/>
      <c r="LWX67" s="498" t="n"/>
      <c r="LWY67" s="498" t="n"/>
      <c r="LWZ67" s="498" t="n"/>
      <c r="LXA67" s="498" t="n"/>
      <c r="LXB67" s="498" t="n"/>
      <c r="LXC67" s="498" t="n"/>
      <c r="LXD67" s="498" t="n"/>
      <c r="LXE67" s="498" t="n"/>
      <c r="LXF67" s="498" t="n"/>
      <c r="LXG67" s="498" t="n"/>
      <c r="LXH67" s="498" t="n"/>
      <c r="LXI67" s="498" t="n"/>
      <c r="LXJ67" s="498" t="n"/>
      <c r="LXK67" s="498" t="n"/>
      <c r="LXL67" s="498" t="n"/>
      <c r="LXM67" s="498" t="n"/>
      <c r="LXN67" s="498" t="n"/>
      <c r="LXO67" s="498" t="n"/>
      <c r="LXP67" s="498" t="n"/>
      <c r="LXQ67" s="498" t="n"/>
      <c r="LXR67" s="498" t="n"/>
      <c r="LXS67" s="498" t="n"/>
      <c r="LXT67" s="498" t="n"/>
      <c r="LXU67" s="498" t="n"/>
      <c r="LXV67" s="498" t="n"/>
      <c r="LXW67" s="498" t="n"/>
      <c r="LXX67" s="498" t="n"/>
      <c r="LXY67" s="498" t="n"/>
      <c r="LXZ67" s="498" t="n"/>
      <c r="LYA67" s="498" t="n"/>
      <c r="LYB67" s="498" t="n"/>
      <c r="LYC67" s="498" t="n"/>
      <c r="LYD67" s="498" t="n"/>
      <c r="LYE67" s="498" t="n"/>
      <c r="LYF67" s="498" t="n"/>
      <c r="LYG67" s="498" t="n"/>
      <c r="LYH67" s="498" t="n"/>
      <c r="LYI67" s="498" t="n"/>
      <c r="LYJ67" s="498" t="n"/>
      <c r="LYK67" s="498" t="n"/>
      <c r="LYL67" s="498" t="n"/>
      <c r="LYM67" s="498" t="n"/>
      <c r="LYN67" s="498" t="n"/>
      <c r="LYO67" s="498" t="n"/>
      <c r="LYP67" s="498" t="n"/>
      <c r="LYQ67" s="498" t="n"/>
      <c r="LYR67" s="498" t="n"/>
      <c r="LYS67" s="498" t="n"/>
      <c r="LYT67" s="498" t="n"/>
      <c r="LYU67" s="498" t="n"/>
      <c r="LYV67" s="498" t="n"/>
      <c r="LYW67" s="498" t="n"/>
      <c r="LYX67" s="498" t="n"/>
      <c r="LYY67" s="498" t="n"/>
      <c r="LYZ67" s="498" t="n"/>
      <c r="LZA67" s="498" t="n"/>
      <c r="LZB67" s="498" t="n"/>
      <c r="LZC67" s="498" t="n"/>
      <c r="LZD67" s="498" t="n"/>
      <c r="LZE67" s="498" t="n"/>
      <c r="LZF67" s="498" t="n"/>
      <c r="LZG67" s="498" t="n"/>
      <c r="LZH67" s="498" t="n"/>
      <c r="LZI67" s="498" t="n"/>
      <c r="LZJ67" s="498" t="n"/>
      <c r="LZK67" s="498" t="n"/>
      <c r="LZL67" s="498" t="n"/>
      <c r="LZM67" s="498" t="n"/>
      <c r="LZN67" s="498" t="n"/>
      <c r="LZO67" s="498" t="n"/>
      <c r="LZP67" s="498" t="n"/>
      <c r="LZQ67" s="498" t="n"/>
      <c r="LZR67" s="498" t="n"/>
      <c r="LZS67" s="498" t="n"/>
      <c r="LZT67" s="498" t="n"/>
      <c r="LZU67" s="498" t="n"/>
      <c r="LZV67" s="498" t="n"/>
      <c r="LZW67" s="498" t="n"/>
      <c r="LZX67" s="498" t="n"/>
      <c r="LZY67" s="498" t="n"/>
      <c r="LZZ67" s="498" t="n"/>
      <c r="MAA67" s="498" t="n"/>
      <c r="MAB67" s="498" t="n"/>
      <c r="MAC67" s="498" t="n"/>
      <c r="MAD67" s="498" t="n"/>
      <c r="MAE67" s="498" t="n"/>
      <c r="MAF67" s="498" t="n"/>
      <c r="MAG67" s="498" t="n"/>
      <c r="MAH67" s="498" t="n"/>
      <c r="MAI67" s="498" t="n"/>
      <c r="MAJ67" s="498" t="n"/>
      <c r="MAK67" s="498" t="n"/>
      <c r="MAL67" s="498" t="n"/>
      <c r="MAM67" s="498" t="n"/>
      <c r="MAN67" s="498" t="n"/>
      <c r="MAO67" s="498" t="n"/>
      <c r="MAP67" s="498" t="n"/>
      <c r="MAQ67" s="498" t="n"/>
      <c r="MAR67" s="498" t="n"/>
      <c r="MAS67" s="498" t="n"/>
      <c r="MAT67" s="498" t="n"/>
      <c r="MAU67" s="498" t="n"/>
      <c r="MAV67" s="498" t="n"/>
      <c r="MAW67" s="498" t="n"/>
      <c r="MAX67" s="498" t="n"/>
      <c r="MAY67" s="498" t="n"/>
      <c r="MAZ67" s="498" t="n"/>
      <c r="MBA67" s="498" t="n"/>
      <c r="MBB67" s="498" t="n"/>
      <c r="MBC67" s="498" t="n"/>
      <c r="MBD67" s="498" t="n"/>
      <c r="MBE67" s="498" t="n"/>
      <c r="MBF67" s="498" t="n"/>
      <c r="MBG67" s="498" t="n"/>
      <c r="MBH67" s="498" t="n"/>
      <c r="MBI67" s="498" t="n"/>
      <c r="MBJ67" s="498" t="n"/>
      <c r="MBK67" s="498" t="n"/>
      <c r="MBL67" s="498" t="n"/>
      <c r="MBM67" s="498" t="n"/>
      <c r="MBN67" s="498" t="n"/>
      <c r="MBO67" s="498" t="n"/>
      <c r="MBP67" s="498" t="n"/>
      <c r="MBQ67" s="498" t="n"/>
      <c r="MBR67" s="498" t="n"/>
      <c r="MBS67" s="498" t="n"/>
      <c r="MBT67" s="498" t="n"/>
      <c r="MBU67" s="498" t="n"/>
      <c r="MBV67" s="498" t="n"/>
      <c r="MBW67" s="498" t="n"/>
      <c r="MBX67" s="498" t="n"/>
      <c r="MBY67" s="498" t="n"/>
      <c r="MBZ67" s="498" t="n"/>
      <c r="MCA67" s="498" t="n"/>
      <c r="MCB67" s="498" t="n"/>
      <c r="MCC67" s="498" t="n"/>
      <c r="MCD67" s="498" t="n"/>
      <c r="MCE67" s="498" t="n"/>
      <c r="MCF67" s="498" t="n"/>
      <c r="MCG67" s="498" t="n"/>
      <c r="MCH67" s="498" t="n"/>
      <c r="MCI67" s="498" t="n"/>
      <c r="MCJ67" s="498" t="n"/>
      <c r="MCK67" s="498" t="n"/>
      <c r="MCL67" s="498" t="n"/>
      <c r="MCM67" s="498" t="n"/>
      <c r="MCN67" s="498" t="n"/>
      <c r="MCO67" s="498" t="n"/>
      <c r="MCP67" s="498" t="n"/>
      <c r="MCQ67" s="498" t="n"/>
      <c r="MCR67" s="498" t="n"/>
      <c r="MCS67" s="498" t="n"/>
      <c r="MCT67" s="498" t="n"/>
      <c r="MCU67" s="498" t="n"/>
      <c r="MCV67" s="498" t="n"/>
      <c r="MCW67" s="498" t="n"/>
      <c r="MCX67" s="498" t="n"/>
      <c r="MCY67" s="498" t="n"/>
      <c r="MCZ67" s="498" t="n"/>
      <c r="MDA67" s="498" t="n"/>
      <c r="MDB67" s="498" t="n"/>
      <c r="MDC67" s="498" t="n"/>
      <c r="MDD67" s="498" t="n"/>
      <c r="MDE67" s="498" t="n"/>
      <c r="MDF67" s="498" t="n"/>
      <c r="MDG67" s="498" t="n"/>
      <c r="MDH67" s="498" t="n"/>
      <c r="MDI67" s="498" t="n"/>
      <c r="MDJ67" s="498" t="n"/>
      <c r="MDK67" s="498" t="n"/>
      <c r="MDL67" s="498" t="n"/>
      <c r="MDM67" s="498" t="n"/>
      <c r="MDN67" s="498" t="n"/>
      <c r="MDO67" s="498" t="n"/>
      <c r="MDP67" s="498" t="n"/>
      <c r="MDQ67" s="498" t="n"/>
      <c r="MDR67" s="498" t="n"/>
      <c r="MDS67" s="498" t="n"/>
      <c r="MDT67" s="498" t="n"/>
      <c r="MDU67" s="498" t="n"/>
      <c r="MDV67" s="498" t="n"/>
      <c r="MDW67" s="498" t="n"/>
      <c r="MDX67" s="498" t="n"/>
      <c r="MDY67" s="498" t="n"/>
      <c r="MDZ67" s="498" t="n"/>
      <c r="MEA67" s="498" t="n"/>
      <c r="MEB67" s="498" t="n"/>
      <c r="MEC67" s="498" t="n"/>
      <c r="MED67" s="498" t="n"/>
      <c r="MEE67" s="498" t="n"/>
      <c r="MEF67" s="498" t="n"/>
      <c r="MEG67" s="498" t="n"/>
      <c r="MEH67" s="498" t="n"/>
      <c r="MEI67" s="498" t="n"/>
      <c r="MEJ67" s="498" t="n"/>
      <c r="MEK67" s="498" t="n"/>
      <c r="MEL67" s="498" t="n"/>
      <c r="MEM67" s="498" t="n"/>
      <c r="MEN67" s="498" t="n"/>
      <c r="MEO67" s="498" t="n"/>
      <c r="MEP67" s="498" t="n"/>
      <c r="MEQ67" s="498" t="n"/>
      <c r="MER67" s="498" t="n"/>
      <c r="MES67" s="498" t="n"/>
      <c r="MET67" s="498" t="n"/>
      <c r="MEU67" s="498" t="n"/>
      <c r="MEV67" s="498" t="n"/>
      <c r="MEW67" s="498" t="n"/>
      <c r="MEX67" s="498" t="n"/>
      <c r="MEY67" s="498" t="n"/>
      <c r="MEZ67" s="498" t="n"/>
      <c r="MFA67" s="498" t="n"/>
      <c r="MFB67" s="498" t="n"/>
      <c r="MFC67" s="498" t="n"/>
      <c r="MFD67" s="498" t="n"/>
      <c r="MFE67" s="498" t="n"/>
      <c r="MFF67" s="498" t="n"/>
      <c r="MFG67" s="498" t="n"/>
      <c r="MFH67" s="498" t="n"/>
      <c r="MFI67" s="498" t="n"/>
      <c r="MFJ67" s="498" t="n"/>
      <c r="MFK67" s="498" t="n"/>
      <c r="MFL67" s="498" t="n"/>
      <c r="MFM67" s="498" t="n"/>
      <c r="MFN67" s="498" t="n"/>
      <c r="MFO67" s="498" t="n"/>
      <c r="MFP67" s="498" t="n"/>
      <c r="MFQ67" s="498" t="n"/>
      <c r="MFR67" s="498" t="n"/>
      <c r="MFS67" s="498" t="n"/>
      <c r="MFT67" s="498" t="n"/>
      <c r="MFU67" s="498" t="n"/>
      <c r="MFV67" s="498" t="n"/>
      <c r="MFW67" s="498" t="n"/>
      <c r="MFX67" s="498" t="n"/>
      <c r="MFY67" s="498" t="n"/>
      <c r="MFZ67" s="498" t="n"/>
      <c r="MGA67" s="498" t="n"/>
      <c r="MGB67" s="498" t="n"/>
      <c r="MGC67" s="498" t="n"/>
      <c r="MGD67" s="498" t="n"/>
      <c r="MGE67" s="498" t="n"/>
      <c r="MGF67" s="498" t="n"/>
      <c r="MGG67" s="498" t="n"/>
      <c r="MGH67" s="498" t="n"/>
      <c r="MGI67" s="498" t="n"/>
      <c r="MGJ67" s="498" t="n"/>
      <c r="MGK67" s="498" t="n"/>
      <c r="MGL67" s="498" t="n"/>
      <c r="MGM67" s="498" t="n"/>
      <c r="MGN67" s="498" t="n"/>
      <c r="MGO67" s="498" t="n"/>
      <c r="MGP67" s="498" t="n"/>
      <c r="MGQ67" s="498" t="n"/>
      <c r="MGR67" s="498" t="n"/>
      <c r="MGS67" s="498" t="n"/>
      <c r="MGT67" s="498" t="n"/>
      <c r="MGU67" s="498" t="n"/>
      <c r="MGV67" s="498" t="n"/>
      <c r="MGW67" s="498" t="n"/>
      <c r="MGX67" s="498" t="n"/>
      <c r="MGY67" s="498" t="n"/>
      <c r="MGZ67" s="498" t="n"/>
      <c r="MHA67" s="498" t="n"/>
      <c r="MHB67" s="498" t="n"/>
      <c r="MHC67" s="498" t="n"/>
      <c r="MHD67" s="498" t="n"/>
      <c r="MHE67" s="498" t="n"/>
      <c r="MHF67" s="498" t="n"/>
      <c r="MHG67" s="498" t="n"/>
      <c r="MHH67" s="498" t="n"/>
      <c r="MHI67" s="498" t="n"/>
      <c r="MHJ67" s="498" t="n"/>
      <c r="MHK67" s="498" t="n"/>
      <c r="MHL67" s="498" t="n"/>
      <c r="MHM67" s="498" t="n"/>
      <c r="MHN67" s="498" t="n"/>
      <c r="MHO67" s="498" t="n"/>
      <c r="MHP67" s="498" t="n"/>
      <c r="MHQ67" s="498" t="n"/>
      <c r="MHR67" s="498" t="n"/>
      <c r="MHS67" s="498" t="n"/>
      <c r="MHT67" s="498" t="n"/>
      <c r="MHU67" s="498" t="n"/>
      <c r="MHV67" s="498" t="n"/>
      <c r="MHW67" s="498" t="n"/>
      <c r="MHX67" s="498" t="n"/>
      <c r="MHY67" s="498" t="n"/>
      <c r="MHZ67" s="498" t="n"/>
      <c r="MIA67" s="498" t="n"/>
      <c r="MIB67" s="498" t="n"/>
      <c r="MIC67" s="498" t="n"/>
      <c r="MID67" s="498" t="n"/>
      <c r="MIE67" s="498" t="n"/>
      <c r="MIF67" s="498" t="n"/>
      <c r="MIG67" s="498" t="n"/>
      <c r="MIH67" s="498" t="n"/>
      <c r="MII67" s="498" t="n"/>
      <c r="MIJ67" s="498" t="n"/>
      <c r="MIK67" s="498" t="n"/>
      <c r="MIL67" s="498" t="n"/>
      <c r="MIM67" s="498" t="n"/>
      <c r="MIN67" s="498" t="n"/>
      <c r="MIO67" s="498" t="n"/>
      <c r="MIP67" s="498" t="n"/>
      <c r="MIQ67" s="498" t="n"/>
      <c r="MIR67" s="498" t="n"/>
      <c r="MIS67" s="498" t="n"/>
      <c r="MIT67" s="498" t="n"/>
      <c r="MIU67" s="498" t="n"/>
      <c r="MIV67" s="498" t="n"/>
      <c r="MIW67" s="498" t="n"/>
      <c r="MIX67" s="498" t="n"/>
      <c r="MIY67" s="498" t="n"/>
      <c r="MIZ67" s="498" t="n"/>
      <c r="MJA67" s="498" t="n"/>
      <c r="MJB67" s="498" t="n"/>
      <c r="MJC67" s="498" t="n"/>
      <c r="MJD67" s="498" t="n"/>
      <c r="MJE67" s="498" t="n"/>
      <c r="MJF67" s="498" t="n"/>
      <c r="MJG67" s="498" t="n"/>
      <c r="MJH67" s="498" t="n"/>
      <c r="MJI67" s="498" t="n"/>
      <c r="MJJ67" s="498" t="n"/>
      <c r="MJK67" s="498" t="n"/>
      <c r="MJL67" s="498" t="n"/>
      <c r="MJM67" s="498" t="n"/>
      <c r="MJN67" s="498" t="n"/>
      <c r="MJO67" s="498" t="n"/>
      <c r="MJP67" s="498" t="n"/>
      <c r="MJQ67" s="498" t="n"/>
      <c r="MJR67" s="498" t="n"/>
      <c r="MJS67" s="498" t="n"/>
      <c r="MJT67" s="498" t="n"/>
      <c r="MJU67" s="498" t="n"/>
      <c r="MJV67" s="498" t="n"/>
      <c r="MJW67" s="498" t="n"/>
      <c r="MJX67" s="498" t="n"/>
      <c r="MJY67" s="498" t="n"/>
      <c r="MJZ67" s="498" t="n"/>
      <c r="MKA67" s="498" t="n"/>
      <c r="MKB67" s="498" t="n"/>
      <c r="MKC67" s="498" t="n"/>
      <c r="MKD67" s="498" t="n"/>
      <c r="MKE67" s="498" t="n"/>
      <c r="MKF67" s="498" t="n"/>
      <c r="MKG67" s="498" t="n"/>
      <c r="MKH67" s="498" t="n"/>
      <c r="MKI67" s="498" t="n"/>
      <c r="MKJ67" s="498" t="n"/>
      <c r="MKK67" s="498" t="n"/>
      <c r="MKL67" s="498" t="n"/>
      <c r="MKM67" s="498" t="n"/>
      <c r="MKN67" s="498" t="n"/>
      <c r="MKO67" s="498" t="n"/>
      <c r="MKP67" s="498" t="n"/>
      <c r="MKQ67" s="498" t="n"/>
      <c r="MKR67" s="498" t="n"/>
      <c r="MKS67" s="498" t="n"/>
      <c r="MKT67" s="498" t="n"/>
      <c r="MKU67" s="498" t="n"/>
      <c r="MKV67" s="498" t="n"/>
      <c r="MKW67" s="498" t="n"/>
      <c r="MKX67" s="498" t="n"/>
      <c r="MKY67" s="498" t="n"/>
      <c r="MKZ67" s="498" t="n"/>
      <c r="MLA67" s="498" t="n"/>
      <c r="MLB67" s="498" t="n"/>
      <c r="MLC67" s="498" t="n"/>
      <c r="MLD67" s="498" t="n"/>
      <c r="MLE67" s="498" t="n"/>
      <c r="MLF67" s="498" t="n"/>
      <c r="MLG67" s="498" t="n"/>
      <c r="MLH67" s="498" t="n"/>
      <c r="MLI67" s="498" t="n"/>
      <c r="MLJ67" s="498" t="n"/>
      <c r="MLK67" s="498" t="n"/>
      <c r="MLL67" s="498" t="n"/>
      <c r="MLM67" s="498" t="n"/>
      <c r="MLN67" s="498" t="n"/>
      <c r="MLO67" s="498" t="n"/>
      <c r="MLP67" s="498" t="n"/>
      <c r="MLQ67" s="498" t="n"/>
      <c r="MLR67" s="498" t="n"/>
      <c r="MLS67" s="498" t="n"/>
      <c r="MLT67" s="498" t="n"/>
      <c r="MLU67" s="498" t="n"/>
      <c r="MLV67" s="498" t="n"/>
      <c r="MLW67" s="498" t="n"/>
      <c r="MLX67" s="498" t="n"/>
      <c r="MLY67" s="498" t="n"/>
      <c r="MLZ67" s="498" t="n"/>
      <c r="MMA67" s="498" t="n"/>
      <c r="MMB67" s="498" t="n"/>
      <c r="MMC67" s="498" t="n"/>
      <c r="MMD67" s="498" t="n"/>
      <c r="MME67" s="498" t="n"/>
      <c r="MMF67" s="498" t="n"/>
      <c r="MMG67" s="498" t="n"/>
      <c r="MMH67" s="498" t="n"/>
      <c r="MMI67" s="498" t="n"/>
      <c r="MMJ67" s="498" t="n"/>
      <c r="MMK67" s="498" t="n"/>
      <c r="MML67" s="498" t="n"/>
      <c r="MMM67" s="498" t="n"/>
      <c r="MMN67" s="498" t="n"/>
      <c r="MMO67" s="498" t="n"/>
      <c r="MMP67" s="498" t="n"/>
      <c r="MMQ67" s="498" t="n"/>
      <c r="MMR67" s="498" t="n"/>
      <c r="MMS67" s="498" t="n"/>
      <c r="MMT67" s="498" t="n"/>
      <c r="MMU67" s="498" t="n"/>
      <c r="MMV67" s="498" t="n"/>
      <c r="MMW67" s="498" t="n"/>
      <c r="MMX67" s="498" t="n"/>
      <c r="MMY67" s="498" t="n"/>
      <c r="MMZ67" s="498" t="n"/>
      <c r="MNA67" s="498" t="n"/>
      <c r="MNB67" s="498" t="n"/>
      <c r="MNC67" s="498" t="n"/>
      <c r="MND67" s="498" t="n"/>
      <c r="MNE67" s="498" t="n"/>
      <c r="MNF67" s="498" t="n"/>
      <c r="MNG67" s="498" t="n"/>
      <c r="MNH67" s="498" t="n"/>
      <c r="MNI67" s="498" t="n"/>
      <c r="MNJ67" s="498" t="n"/>
      <c r="MNK67" s="498" t="n"/>
      <c r="MNL67" s="498" t="n"/>
      <c r="MNM67" s="498" t="n"/>
      <c r="MNN67" s="498" t="n"/>
      <c r="MNO67" s="498" t="n"/>
      <c r="MNP67" s="498" t="n"/>
      <c r="MNQ67" s="498" t="n"/>
      <c r="MNR67" s="498" t="n"/>
      <c r="MNS67" s="498" t="n"/>
      <c r="MNT67" s="498" t="n"/>
      <c r="MNU67" s="498" t="n"/>
      <c r="MNV67" s="498" t="n"/>
      <c r="MNW67" s="498" t="n"/>
      <c r="MNX67" s="498" t="n"/>
      <c r="MNY67" s="498" t="n"/>
      <c r="MNZ67" s="498" t="n"/>
      <c r="MOA67" s="498" t="n"/>
      <c r="MOB67" s="498" t="n"/>
      <c r="MOC67" s="498" t="n"/>
      <c r="MOD67" s="498" t="n"/>
      <c r="MOE67" s="498" t="n"/>
      <c r="MOF67" s="498" t="n"/>
      <c r="MOG67" s="498" t="n"/>
      <c r="MOH67" s="498" t="n"/>
      <c r="MOI67" s="498" t="n"/>
      <c r="MOJ67" s="498" t="n"/>
      <c r="MOK67" s="498" t="n"/>
      <c r="MOL67" s="498" t="n"/>
      <c r="MOM67" s="498" t="n"/>
      <c r="MON67" s="498" t="n"/>
      <c r="MOO67" s="498" t="n"/>
      <c r="MOP67" s="498" t="n"/>
      <c r="MOQ67" s="498" t="n"/>
      <c r="MOR67" s="498" t="n"/>
      <c r="MOS67" s="498" t="n"/>
      <c r="MOT67" s="498" t="n"/>
      <c r="MOU67" s="498" t="n"/>
      <c r="MOV67" s="498" t="n"/>
      <c r="MOW67" s="498" t="n"/>
      <c r="MOX67" s="498" t="n"/>
      <c r="MOY67" s="498" t="n"/>
      <c r="MOZ67" s="498" t="n"/>
      <c r="MPA67" s="498" t="n"/>
      <c r="MPB67" s="498" t="n"/>
      <c r="MPC67" s="498" t="n"/>
      <c r="MPD67" s="498" t="n"/>
      <c r="MPE67" s="498" t="n"/>
      <c r="MPF67" s="498" t="n"/>
      <c r="MPG67" s="498" t="n"/>
      <c r="MPH67" s="498" t="n"/>
      <c r="MPI67" s="498" t="n"/>
      <c r="MPJ67" s="498" t="n"/>
      <c r="MPK67" s="498" t="n"/>
      <c r="MPL67" s="498" t="n"/>
      <c r="MPM67" s="498" t="n"/>
      <c r="MPN67" s="498" t="n"/>
      <c r="MPO67" s="498" t="n"/>
      <c r="MPP67" s="498" t="n"/>
      <c r="MPQ67" s="498" t="n"/>
      <c r="MPR67" s="498" t="n"/>
      <c r="MPS67" s="498" t="n"/>
      <c r="MPT67" s="498" t="n"/>
      <c r="MPU67" s="498" t="n"/>
      <c r="MPV67" s="498" t="n"/>
      <c r="MPW67" s="498" t="n"/>
      <c r="MPX67" s="498" t="n"/>
      <c r="MPY67" s="498" t="n"/>
      <c r="MPZ67" s="498" t="n"/>
      <c r="MQA67" s="498" t="n"/>
      <c r="MQB67" s="498" t="n"/>
      <c r="MQC67" s="498" t="n"/>
      <c r="MQD67" s="498" t="n"/>
      <c r="MQE67" s="498" t="n"/>
      <c r="MQF67" s="498" t="n"/>
      <c r="MQG67" s="498" t="n"/>
      <c r="MQH67" s="498" t="n"/>
      <c r="MQI67" s="498" t="n"/>
      <c r="MQJ67" s="498" t="n"/>
      <c r="MQK67" s="498" t="n"/>
      <c r="MQL67" s="498" t="n"/>
      <c r="MQM67" s="498" t="n"/>
      <c r="MQN67" s="498" t="n"/>
      <c r="MQO67" s="498" t="n"/>
      <c r="MQP67" s="498" t="n"/>
      <c r="MQQ67" s="498" t="n"/>
      <c r="MQR67" s="498" t="n"/>
      <c r="MQS67" s="498" t="n"/>
      <c r="MQT67" s="498" t="n"/>
      <c r="MQU67" s="498" t="n"/>
      <c r="MQV67" s="498" t="n"/>
      <c r="MQW67" s="498" t="n"/>
      <c r="MQX67" s="498" t="n"/>
      <c r="MQY67" s="498" t="n"/>
      <c r="MQZ67" s="498" t="n"/>
      <c r="MRA67" s="498" t="n"/>
      <c r="MRB67" s="498" t="n"/>
      <c r="MRC67" s="498" t="n"/>
      <c r="MRD67" s="498" t="n"/>
      <c r="MRE67" s="498" t="n"/>
      <c r="MRF67" s="498" t="n"/>
      <c r="MRG67" s="498" t="n"/>
      <c r="MRH67" s="498" t="n"/>
      <c r="MRI67" s="498" t="n"/>
      <c r="MRJ67" s="498" t="n"/>
      <c r="MRK67" s="498" t="n"/>
      <c r="MRL67" s="498" t="n"/>
      <c r="MRM67" s="498" t="n"/>
      <c r="MRN67" s="498" t="n"/>
      <c r="MRO67" s="498" t="n"/>
      <c r="MRP67" s="498" t="n"/>
      <c r="MRQ67" s="498" t="n"/>
      <c r="MRR67" s="498" t="n"/>
      <c r="MRS67" s="498" t="n"/>
      <c r="MRT67" s="498" t="n"/>
      <c r="MRU67" s="498" t="n"/>
      <c r="MRV67" s="498" t="n"/>
      <c r="MRW67" s="498" t="n"/>
      <c r="MRX67" s="498" t="n"/>
      <c r="MRY67" s="498" t="n"/>
      <c r="MRZ67" s="498" t="n"/>
      <c r="MSA67" s="498" t="n"/>
      <c r="MSB67" s="498" t="n"/>
      <c r="MSC67" s="498" t="n"/>
      <c r="MSD67" s="498" t="n"/>
      <c r="MSE67" s="498" t="n"/>
      <c r="MSF67" s="498" t="n"/>
      <c r="MSG67" s="498" t="n"/>
      <c r="MSH67" s="498" t="n"/>
      <c r="MSI67" s="498" t="n"/>
      <c r="MSJ67" s="498" t="n"/>
      <c r="MSK67" s="498" t="n"/>
      <c r="MSL67" s="498" t="n"/>
      <c r="MSM67" s="498" t="n"/>
      <c r="MSN67" s="498" t="n"/>
      <c r="MSO67" s="498" t="n"/>
      <c r="MSP67" s="498" t="n"/>
      <c r="MSQ67" s="498" t="n"/>
      <c r="MSR67" s="498" t="n"/>
      <c r="MSS67" s="498" t="n"/>
      <c r="MST67" s="498" t="n"/>
      <c r="MSU67" s="498" t="n"/>
      <c r="MSV67" s="498" t="n"/>
      <c r="MSW67" s="498" t="n"/>
      <c r="MSX67" s="498" t="n"/>
      <c r="MSY67" s="498" t="n"/>
      <c r="MSZ67" s="498" t="n"/>
      <c r="MTA67" s="498" t="n"/>
      <c r="MTB67" s="498" t="n"/>
      <c r="MTC67" s="498" t="n"/>
      <c r="MTD67" s="498" t="n"/>
      <c r="MTE67" s="498" t="n"/>
      <c r="MTF67" s="498" t="n"/>
      <c r="MTG67" s="498" t="n"/>
      <c r="MTH67" s="498" t="n"/>
      <c r="MTI67" s="498" t="n"/>
      <c r="MTJ67" s="498" t="n"/>
      <c r="MTK67" s="498" t="n"/>
      <c r="MTL67" s="498" t="n"/>
      <c r="MTM67" s="498" t="n"/>
      <c r="MTN67" s="498" t="n"/>
      <c r="MTO67" s="498" t="n"/>
      <c r="MTP67" s="498" t="n"/>
      <c r="MTQ67" s="498" t="n"/>
      <c r="MTR67" s="498" t="n"/>
      <c r="MTS67" s="498" t="n"/>
      <c r="MTT67" s="498" t="n"/>
      <c r="MTU67" s="498" t="n"/>
      <c r="MTV67" s="498" t="n"/>
      <c r="MTW67" s="498" t="n"/>
      <c r="MTX67" s="498" t="n"/>
      <c r="MTY67" s="498" t="n"/>
      <c r="MTZ67" s="498" t="n"/>
      <c r="MUA67" s="498" t="n"/>
      <c r="MUB67" s="498" t="n"/>
      <c r="MUC67" s="498" t="n"/>
      <c r="MUD67" s="498" t="n"/>
      <c r="MUE67" s="498" t="n"/>
      <c r="MUF67" s="498" t="n"/>
      <c r="MUG67" s="498" t="n"/>
      <c r="MUH67" s="498" t="n"/>
      <c r="MUI67" s="498" t="n"/>
      <c r="MUJ67" s="498" t="n"/>
      <c r="MUK67" s="498" t="n"/>
      <c r="MUL67" s="498" t="n"/>
      <c r="MUM67" s="498" t="n"/>
      <c r="MUN67" s="498" t="n"/>
      <c r="MUO67" s="498" t="n"/>
      <c r="MUP67" s="498" t="n"/>
      <c r="MUQ67" s="498" t="n"/>
      <c r="MUR67" s="498" t="n"/>
      <c r="MUS67" s="498" t="n"/>
      <c r="MUT67" s="498" t="n"/>
      <c r="MUU67" s="498" t="n"/>
      <c r="MUV67" s="498" t="n"/>
      <c r="MUW67" s="498" t="n"/>
      <c r="MUX67" s="498" t="n"/>
      <c r="MUY67" s="498" t="n"/>
      <c r="MUZ67" s="498" t="n"/>
      <c r="MVA67" s="498" t="n"/>
      <c r="MVB67" s="498" t="n"/>
      <c r="MVC67" s="498" t="n"/>
      <c r="MVD67" s="498" t="n"/>
      <c r="MVE67" s="498" t="n"/>
      <c r="MVF67" s="498" t="n"/>
      <c r="MVG67" s="498" t="n"/>
      <c r="MVH67" s="498" t="n"/>
      <c r="MVI67" s="498" t="n"/>
      <c r="MVJ67" s="498" t="n"/>
      <c r="MVK67" s="498" t="n"/>
      <c r="MVL67" s="498" t="n"/>
      <c r="MVM67" s="498" t="n"/>
      <c r="MVN67" s="498" t="n"/>
      <c r="MVO67" s="498" t="n"/>
      <c r="MVP67" s="498" t="n"/>
      <c r="MVQ67" s="498" t="n"/>
      <c r="MVR67" s="498" t="n"/>
      <c r="MVS67" s="498" t="n"/>
      <c r="MVT67" s="498" t="n"/>
      <c r="MVU67" s="498" t="n"/>
      <c r="MVV67" s="498" t="n"/>
      <c r="MVW67" s="498" t="n"/>
      <c r="MVX67" s="498" t="n"/>
      <c r="MVY67" s="498" t="n"/>
      <c r="MVZ67" s="498" t="n"/>
      <c r="MWA67" s="498" t="n"/>
      <c r="MWB67" s="498" t="n"/>
      <c r="MWC67" s="498" t="n"/>
      <c r="MWD67" s="498" t="n"/>
      <c r="MWE67" s="498" t="n"/>
      <c r="MWF67" s="498" t="n"/>
      <c r="MWG67" s="498" t="n"/>
      <c r="MWH67" s="498" t="n"/>
      <c r="MWI67" s="498" t="n"/>
      <c r="MWJ67" s="498" t="n"/>
      <c r="MWK67" s="498" t="n"/>
      <c r="MWL67" s="498" t="n"/>
      <c r="MWM67" s="498" t="n"/>
      <c r="MWN67" s="498" t="n"/>
      <c r="MWO67" s="498" t="n"/>
      <c r="MWP67" s="498" t="n"/>
      <c r="MWQ67" s="498" t="n"/>
      <c r="MWR67" s="498" t="n"/>
      <c r="MWS67" s="498" t="n"/>
      <c r="MWT67" s="498" t="n"/>
      <c r="MWU67" s="498" t="n"/>
      <c r="MWV67" s="498" t="n"/>
      <c r="MWW67" s="498" t="n"/>
      <c r="MWX67" s="498" t="n"/>
      <c r="MWY67" s="498" t="n"/>
      <c r="MWZ67" s="498" t="n"/>
      <c r="MXA67" s="498" t="n"/>
      <c r="MXB67" s="498" t="n"/>
      <c r="MXC67" s="498" t="n"/>
      <c r="MXD67" s="498" t="n"/>
      <c r="MXE67" s="498" t="n"/>
      <c r="MXF67" s="498" t="n"/>
      <c r="MXG67" s="498" t="n"/>
      <c r="MXH67" s="498" t="n"/>
      <c r="MXI67" s="498" t="n"/>
      <c r="MXJ67" s="498" t="n"/>
      <c r="MXK67" s="498" t="n"/>
      <c r="MXL67" s="498" t="n"/>
      <c r="MXM67" s="498" t="n"/>
      <c r="MXN67" s="498" t="n"/>
      <c r="MXO67" s="498" t="n"/>
      <c r="MXP67" s="498" t="n"/>
      <c r="MXQ67" s="498" t="n"/>
      <c r="MXR67" s="498" t="n"/>
      <c r="MXS67" s="498" t="n"/>
      <c r="MXT67" s="498" t="n"/>
      <c r="MXU67" s="498" t="n"/>
      <c r="MXV67" s="498" t="n"/>
      <c r="MXW67" s="498" t="n"/>
      <c r="MXX67" s="498" t="n"/>
      <c r="MXY67" s="498" t="n"/>
      <c r="MXZ67" s="498" t="n"/>
      <c r="MYA67" s="498" t="n"/>
      <c r="MYB67" s="498" t="n"/>
      <c r="MYC67" s="498" t="n"/>
      <c r="MYD67" s="498" t="n"/>
      <c r="MYE67" s="498" t="n"/>
      <c r="MYF67" s="498" t="n"/>
      <c r="MYG67" s="498" t="n"/>
      <c r="MYH67" s="498" t="n"/>
      <c r="MYI67" s="498" t="n"/>
      <c r="MYJ67" s="498" t="n"/>
      <c r="MYK67" s="498" t="n"/>
      <c r="MYL67" s="498" t="n"/>
      <c r="MYM67" s="498" t="n"/>
      <c r="MYN67" s="498" t="n"/>
      <c r="MYO67" s="498" t="n"/>
      <c r="MYP67" s="498" t="n"/>
      <c r="MYQ67" s="498" t="n"/>
      <c r="MYR67" s="498" t="n"/>
      <c r="MYS67" s="498" t="n"/>
      <c r="MYT67" s="498" t="n"/>
      <c r="MYU67" s="498" t="n"/>
      <c r="MYV67" s="498" t="n"/>
      <c r="MYW67" s="498" t="n"/>
      <c r="MYX67" s="498" t="n"/>
      <c r="MYY67" s="498" t="n"/>
      <c r="MYZ67" s="498" t="n"/>
      <c r="MZA67" s="498" t="n"/>
      <c r="MZB67" s="498" t="n"/>
      <c r="MZC67" s="498" t="n"/>
      <c r="MZD67" s="498" t="n"/>
      <c r="MZE67" s="498" t="n"/>
      <c r="MZF67" s="498" t="n"/>
      <c r="MZG67" s="498" t="n"/>
      <c r="MZH67" s="498" t="n"/>
      <c r="MZI67" s="498" t="n"/>
      <c r="MZJ67" s="498" t="n"/>
      <c r="MZK67" s="498" t="n"/>
      <c r="MZL67" s="498" t="n"/>
      <c r="MZM67" s="498" t="n"/>
      <c r="MZN67" s="498" t="n"/>
      <c r="MZO67" s="498" t="n"/>
      <c r="MZP67" s="498" t="n"/>
      <c r="MZQ67" s="498" t="n"/>
      <c r="MZR67" s="498" t="n"/>
      <c r="MZS67" s="498" t="n"/>
      <c r="MZT67" s="498" t="n"/>
      <c r="MZU67" s="498" t="n"/>
      <c r="MZV67" s="498" t="n"/>
      <c r="MZW67" s="498" t="n"/>
      <c r="MZX67" s="498" t="n"/>
      <c r="MZY67" s="498" t="n"/>
      <c r="MZZ67" s="498" t="n"/>
      <c r="NAA67" s="498" t="n"/>
      <c r="NAB67" s="498" t="n"/>
      <c r="NAC67" s="498" t="n"/>
      <c r="NAD67" s="498" t="n"/>
      <c r="NAE67" s="498" t="n"/>
      <c r="NAF67" s="498" t="n"/>
      <c r="NAG67" s="498" t="n"/>
      <c r="NAH67" s="498" t="n"/>
      <c r="NAI67" s="498" t="n"/>
      <c r="NAJ67" s="498" t="n"/>
      <c r="NAK67" s="498" t="n"/>
      <c r="NAL67" s="498" t="n"/>
      <c r="NAM67" s="498" t="n"/>
      <c r="NAN67" s="498" t="n"/>
      <c r="NAO67" s="498" t="n"/>
      <c r="NAP67" s="498" t="n"/>
      <c r="NAQ67" s="498" t="n"/>
      <c r="NAR67" s="498" t="n"/>
      <c r="NAS67" s="498" t="n"/>
      <c r="NAT67" s="498" t="n"/>
      <c r="NAU67" s="498" t="n"/>
      <c r="NAV67" s="498" t="n"/>
      <c r="NAW67" s="498" t="n"/>
      <c r="NAX67" s="498" t="n"/>
      <c r="NAY67" s="498" t="n"/>
      <c r="NAZ67" s="498" t="n"/>
      <c r="NBA67" s="498" t="n"/>
      <c r="NBB67" s="498" t="n"/>
      <c r="NBC67" s="498" t="n"/>
      <c r="NBD67" s="498" t="n"/>
      <c r="NBE67" s="498" t="n"/>
      <c r="NBF67" s="498" t="n"/>
      <c r="NBG67" s="498" t="n"/>
      <c r="NBH67" s="498" t="n"/>
      <c r="NBI67" s="498" t="n"/>
      <c r="NBJ67" s="498" t="n"/>
      <c r="NBK67" s="498" t="n"/>
      <c r="NBL67" s="498" t="n"/>
      <c r="NBM67" s="498" t="n"/>
      <c r="NBN67" s="498" t="n"/>
      <c r="NBO67" s="498" t="n"/>
      <c r="NBP67" s="498" t="n"/>
      <c r="NBQ67" s="498" t="n"/>
      <c r="NBR67" s="498" t="n"/>
      <c r="NBS67" s="498" t="n"/>
      <c r="NBT67" s="498" t="n"/>
      <c r="NBU67" s="498" t="n"/>
      <c r="NBV67" s="498" t="n"/>
      <c r="NBW67" s="498" t="n"/>
      <c r="NBX67" s="498" t="n"/>
      <c r="NBY67" s="498" t="n"/>
      <c r="NBZ67" s="498" t="n"/>
      <c r="NCA67" s="498" t="n"/>
      <c r="NCB67" s="498" t="n"/>
      <c r="NCC67" s="498" t="n"/>
      <c r="NCD67" s="498" t="n"/>
      <c r="NCE67" s="498" t="n"/>
      <c r="NCF67" s="498" t="n"/>
      <c r="NCG67" s="498" t="n"/>
      <c r="NCH67" s="498" t="n"/>
      <c r="NCI67" s="498" t="n"/>
      <c r="NCJ67" s="498" t="n"/>
      <c r="NCK67" s="498" t="n"/>
      <c r="NCL67" s="498" t="n"/>
      <c r="NCM67" s="498" t="n"/>
      <c r="NCN67" s="498" t="n"/>
      <c r="NCO67" s="498" t="n"/>
      <c r="NCP67" s="498" t="n"/>
      <c r="NCQ67" s="498" t="n"/>
      <c r="NCR67" s="498" t="n"/>
      <c r="NCS67" s="498" t="n"/>
      <c r="NCT67" s="498" t="n"/>
      <c r="NCU67" s="498" t="n"/>
      <c r="NCV67" s="498" t="n"/>
      <c r="NCW67" s="498" t="n"/>
      <c r="NCX67" s="498" t="n"/>
      <c r="NCY67" s="498" t="n"/>
      <c r="NCZ67" s="498" t="n"/>
      <c r="NDA67" s="498" t="n"/>
      <c r="NDB67" s="498" t="n"/>
      <c r="NDC67" s="498" t="n"/>
      <c r="NDD67" s="498" t="n"/>
      <c r="NDE67" s="498" t="n"/>
      <c r="NDF67" s="498" t="n"/>
      <c r="NDG67" s="498" t="n"/>
      <c r="NDH67" s="498" t="n"/>
      <c r="NDI67" s="498" t="n"/>
      <c r="NDJ67" s="498" t="n"/>
      <c r="NDK67" s="498" t="n"/>
      <c r="NDL67" s="498" t="n"/>
      <c r="NDM67" s="498" t="n"/>
      <c r="NDN67" s="498" t="n"/>
      <c r="NDO67" s="498" t="n"/>
      <c r="NDP67" s="498" t="n"/>
      <c r="NDQ67" s="498" t="n"/>
      <c r="NDR67" s="498" t="n"/>
      <c r="NDS67" s="498" t="n"/>
      <c r="NDT67" s="498" t="n"/>
      <c r="NDU67" s="498" t="n"/>
      <c r="NDV67" s="498" t="n"/>
      <c r="NDW67" s="498" t="n"/>
      <c r="NDX67" s="498" t="n"/>
      <c r="NDY67" s="498" t="n"/>
      <c r="NDZ67" s="498" t="n"/>
      <c r="NEA67" s="498" t="n"/>
      <c r="NEB67" s="498" t="n"/>
      <c r="NEC67" s="498" t="n"/>
      <c r="NED67" s="498" t="n"/>
      <c r="NEE67" s="498" t="n"/>
      <c r="NEF67" s="498" t="n"/>
      <c r="NEG67" s="498" t="n"/>
      <c r="NEH67" s="498" t="n"/>
      <c r="NEI67" s="498" t="n"/>
      <c r="NEJ67" s="498" t="n"/>
      <c r="NEK67" s="498" t="n"/>
      <c r="NEL67" s="498" t="n"/>
      <c r="NEM67" s="498" t="n"/>
      <c r="NEN67" s="498" t="n"/>
      <c r="NEO67" s="498" t="n"/>
      <c r="NEP67" s="498" t="n"/>
      <c r="NEQ67" s="498" t="n"/>
      <c r="NER67" s="498" t="n"/>
      <c r="NES67" s="498" t="n"/>
      <c r="NET67" s="498" t="n"/>
      <c r="NEU67" s="498" t="n"/>
      <c r="NEV67" s="498" t="n"/>
      <c r="NEW67" s="498" t="n"/>
      <c r="NEX67" s="498" t="n"/>
      <c r="NEY67" s="498" t="n"/>
      <c r="NEZ67" s="498" t="n"/>
      <c r="NFA67" s="498" t="n"/>
      <c r="NFB67" s="498" t="n"/>
      <c r="NFC67" s="498" t="n"/>
      <c r="NFD67" s="498" t="n"/>
      <c r="NFE67" s="498" t="n"/>
      <c r="NFF67" s="498" t="n"/>
      <c r="NFG67" s="498" t="n"/>
      <c r="NFH67" s="498" t="n"/>
      <c r="NFI67" s="498" t="n"/>
      <c r="NFJ67" s="498" t="n"/>
      <c r="NFK67" s="498" t="n"/>
      <c r="NFL67" s="498" t="n"/>
      <c r="NFM67" s="498" t="n"/>
      <c r="NFN67" s="498" t="n"/>
      <c r="NFO67" s="498" t="n"/>
      <c r="NFP67" s="498" t="n"/>
      <c r="NFQ67" s="498" t="n"/>
      <c r="NFR67" s="498" t="n"/>
      <c r="NFS67" s="498" t="n"/>
      <c r="NFT67" s="498" t="n"/>
      <c r="NFU67" s="498" t="n"/>
      <c r="NFV67" s="498" t="n"/>
      <c r="NFW67" s="498" t="n"/>
      <c r="NFX67" s="498" t="n"/>
      <c r="NFY67" s="498" t="n"/>
      <c r="NFZ67" s="498" t="n"/>
      <c r="NGA67" s="498" t="n"/>
      <c r="NGB67" s="498" t="n"/>
      <c r="NGC67" s="498" t="n"/>
      <c r="NGD67" s="498" t="n"/>
      <c r="NGE67" s="498" t="n"/>
      <c r="NGF67" s="498" t="n"/>
      <c r="NGG67" s="498" t="n"/>
      <c r="NGH67" s="498" t="n"/>
      <c r="NGI67" s="498" t="n"/>
      <c r="NGJ67" s="498" t="n"/>
      <c r="NGK67" s="498" t="n"/>
      <c r="NGL67" s="498" t="n"/>
      <c r="NGM67" s="498" t="n"/>
      <c r="NGN67" s="498" t="n"/>
      <c r="NGO67" s="498" t="n"/>
      <c r="NGP67" s="498" t="n"/>
      <c r="NGQ67" s="498" t="n"/>
      <c r="NGR67" s="498" t="n"/>
      <c r="NGS67" s="498" t="n"/>
      <c r="NGT67" s="498" t="n"/>
      <c r="NGU67" s="498" t="n"/>
      <c r="NGV67" s="498" t="n"/>
      <c r="NGW67" s="498" t="n"/>
      <c r="NGX67" s="498" t="n"/>
      <c r="NGY67" s="498" t="n"/>
      <c r="NGZ67" s="498" t="n"/>
      <c r="NHA67" s="498" t="n"/>
      <c r="NHB67" s="498" t="n"/>
      <c r="NHC67" s="498" t="n"/>
      <c r="NHD67" s="498" t="n"/>
      <c r="NHE67" s="498" t="n"/>
      <c r="NHF67" s="498" t="n"/>
      <c r="NHG67" s="498" t="n"/>
      <c r="NHH67" s="498" t="n"/>
      <c r="NHI67" s="498" t="n"/>
      <c r="NHJ67" s="498" t="n"/>
      <c r="NHK67" s="498" t="n"/>
      <c r="NHL67" s="498" t="n"/>
      <c r="NHM67" s="498" t="n"/>
      <c r="NHN67" s="498" t="n"/>
      <c r="NHO67" s="498" t="n"/>
      <c r="NHP67" s="498" t="n"/>
      <c r="NHQ67" s="498" t="n"/>
      <c r="NHR67" s="498" t="n"/>
      <c r="NHS67" s="498" t="n"/>
      <c r="NHT67" s="498" t="n"/>
      <c r="NHU67" s="498" t="n"/>
      <c r="NHV67" s="498" t="n"/>
      <c r="NHW67" s="498" t="n"/>
      <c r="NHX67" s="498" t="n"/>
      <c r="NHY67" s="498" t="n"/>
      <c r="NHZ67" s="498" t="n"/>
      <c r="NIA67" s="498" t="n"/>
      <c r="NIB67" s="498" t="n"/>
      <c r="NIC67" s="498" t="n"/>
      <c r="NID67" s="498" t="n"/>
      <c r="NIE67" s="498" t="n"/>
      <c r="NIF67" s="498" t="n"/>
      <c r="NIG67" s="498" t="n"/>
      <c r="NIH67" s="498" t="n"/>
      <c r="NII67" s="498" t="n"/>
      <c r="NIJ67" s="498" t="n"/>
      <c r="NIK67" s="498" t="n"/>
      <c r="NIL67" s="498" t="n"/>
      <c r="NIM67" s="498" t="n"/>
      <c r="NIN67" s="498" t="n"/>
      <c r="NIO67" s="498" t="n"/>
      <c r="NIP67" s="498" t="n"/>
      <c r="NIQ67" s="498" t="n"/>
      <c r="NIR67" s="498" t="n"/>
      <c r="NIS67" s="498" t="n"/>
      <c r="NIT67" s="498" t="n"/>
      <c r="NIU67" s="498" t="n"/>
      <c r="NIV67" s="498" t="n"/>
      <c r="NIW67" s="498" t="n"/>
      <c r="NIX67" s="498" t="n"/>
      <c r="NIY67" s="498" t="n"/>
      <c r="NIZ67" s="498" t="n"/>
      <c r="NJA67" s="498" t="n"/>
      <c r="NJB67" s="498" t="n"/>
      <c r="NJC67" s="498" t="n"/>
      <c r="NJD67" s="498" t="n"/>
      <c r="NJE67" s="498" t="n"/>
      <c r="NJF67" s="498" t="n"/>
      <c r="NJG67" s="498" t="n"/>
      <c r="NJH67" s="498" t="n"/>
      <c r="NJI67" s="498" t="n"/>
      <c r="NJJ67" s="498" t="n"/>
      <c r="NJK67" s="498" t="n"/>
      <c r="NJL67" s="498" t="n"/>
      <c r="NJM67" s="498" t="n"/>
      <c r="NJN67" s="498" t="n"/>
      <c r="NJO67" s="498" t="n"/>
      <c r="NJP67" s="498" t="n"/>
      <c r="NJQ67" s="498" t="n"/>
      <c r="NJR67" s="498" t="n"/>
      <c r="NJS67" s="498" t="n"/>
      <c r="NJT67" s="498" t="n"/>
      <c r="NJU67" s="498" t="n"/>
      <c r="NJV67" s="498" t="n"/>
      <c r="NJW67" s="498" t="n"/>
      <c r="NJX67" s="498" t="n"/>
      <c r="NJY67" s="498" t="n"/>
      <c r="NJZ67" s="498" t="n"/>
      <c r="NKA67" s="498" t="n"/>
      <c r="NKB67" s="498" t="n"/>
      <c r="NKC67" s="498" t="n"/>
      <c r="NKD67" s="498" t="n"/>
      <c r="NKE67" s="498" t="n"/>
      <c r="NKF67" s="498" t="n"/>
      <c r="NKG67" s="498" t="n"/>
      <c r="NKH67" s="498" t="n"/>
      <c r="NKI67" s="498" t="n"/>
      <c r="NKJ67" s="498" t="n"/>
      <c r="NKK67" s="498" t="n"/>
      <c r="NKL67" s="498" t="n"/>
      <c r="NKM67" s="498" t="n"/>
      <c r="NKN67" s="498" t="n"/>
      <c r="NKO67" s="498" t="n"/>
      <c r="NKP67" s="498" t="n"/>
      <c r="NKQ67" s="498" t="n"/>
      <c r="NKR67" s="498" t="n"/>
      <c r="NKS67" s="498" t="n"/>
      <c r="NKT67" s="498" t="n"/>
      <c r="NKU67" s="498" t="n"/>
      <c r="NKV67" s="498" t="n"/>
      <c r="NKW67" s="498" t="n"/>
      <c r="NKX67" s="498" t="n"/>
      <c r="NKY67" s="498" t="n"/>
      <c r="NKZ67" s="498" t="n"/>
      <c r="NLA67" s="498" t="n"/>
      <c r="NLB67" s="498" t="n"/>
      <c r="NLC67" s="498" t="n"/>
      <c r="NLD67" s="498" t="n"/>
      <c r="NLE67" s="498" t="n"/>
      <c r="NLF67" s="498" t="n"/>
      <c r="NLG67" s="498" t="n"/>
      <c r="NLH67" s="498" t="n"/>
      <c r="NLI67" s="498" t="n"/>
      <c r="NLJ67" s="498" t="n"/>
      <c r="NLK67" s="498" t="n"/>
      <c r="NLL67" s="498" t="n"/>
      <c r="NLM67" s="498" t="n"/>
      <c r="NLN67" s="498" t="n"/>
      <c r="NLO67" s="498" t="n"/>
      <c r="NLP67" s="498" t="n"/>
      <c r="NLQ67" s="498" t="n"/>
      <c r="NLR67" s="498" t="n"/>
      <c r="NLS67" s="498" t="n"/>
      <c r="NLT67" s="498" t="n"/>
      <c r="NLU67" s="498" t="n"/>
      <c r="NLV67" s="498" t="n"/>
      <c r="NLW67" s="498" t="n"/>
      <c r="NLX67" s="498" t="n"/>
      <c r="NLY67" s="498" t="n"/>
      <c r="NLZ67" s="498" t="n"/>
      <c r="NMA67" s="498" t="n"/>
      <c r="NMB67" s="498" t="n"/>
      <c r="NMC67" s="498" t="n"/>
      <c r="NMD67" s="498" t="n"/>
      <c r="NME67" s="498" t="n"/>
      <c r="NMF67" s="498" t="n"/>
      <c r="NMG67" s="498" t="n"/>
      <c r="NMH67" s="498" t="n"/>
      <c r="NMI67" s="498" t="n"/>
      <c r="NMJ67" s="498" t="n"/>
      <c r="NMK67" s="498" t="n"/>
      <c r="NML67" s="498" t="n"/>
      <c r="NMM67" s="498" t="n"/>
      <c r="NMN67" s="498" t="n"/>
      <c r="NMO67" s="498" t="n"/>
      <c r="NMP67" s="498" t="n"/>
      <c r="NMQ67" s="498" t="n"/>
      <c r="NMR67" s="498" t="n"/>
      <c r="NMS67" s="498" t="n"/>
      <c r="NMT67" s="498" t="n"/>
      <c r="NMU67" s="498" t="n"/>
      <c r="NMV67" s="498" t="n"/>
      <c r="NMW67" s="498" t="n"/>
      <c r="NMX67" s="498" t="n"/>
      <c r="NMY67" s="498" t="n"/>
      <c r="NMZ67" s="498" t="n"/>
      <c r="NNA67" s="498" t="n"/>
      <c r="NNB67" s="498" t="n"/>
      <c r="NNC67" s="498" t="n"/>
      <c r="NND67" s="498" t="n"/>
      <c r="NNE67" s="498" t="n"/>
      <c r="NNF67" s="498" t="n"/>
      <c r="NNG67" s="498" t="n"/>
      <c r="NNH67" s="498" t="n"/>
      <c r="NNI67" s="498" t="n"/>
      <c r="NNJ67" s="498" t="n"/>
      <c r="NNK67" s="498" t="n"/>
      <c r="NNL67" s="498" t="n"/>
      <c r="NNM67" s="498" t="n"/>
      <c r="NNN67" s="498" t="n"/>
      <c r="NNO67" s="498" t="n"/>
      <c r="NNP67" s="498" t="n"/>
      <c r="NNQ67" s="498" t="n"/>
      <c r="NNR67" s="498" t="n"/>
      <c r="NNS67" s="498" t="n"/>
      <c r="NNT67" s="498" t="n"/>
      <c r="NNU67" s="498" t="n"/>
      <c r="NNV67" s="498" t="n"/>
      <c r="NNW67" s="498" t="n"/>
      <c r="NNX67" s="498" t="n"/>
      <c r="NNY67" s="498" t="n"/>
      <c r="NNZ67" s="498" t="n"/>
      <c r="NOA67" s="498" t="n"/>
      <c r="NOB67" s="498" t="n"/>
      <c r="NOC67" s="498" t="n"/>
      <c r="NOD67" s="498" t="n"/>
      <c r="NOE67" s="498" t="n"/>
      <c r="NOF67" s="498" t="n"/>
      <c r="NOG67" s="498" t="n"/>
      <c r="NOH67" s="498" t="n"/>
      <c r="NOI67" s="498" t="n"/>
      <c r="NOJ67" s="498" t="n"/>
      <c r="NOK67" s="498" t="n"/>
      <c r="NOL67" s="498" t="n"/>
      <c r="NOM67" s="498" t="n"/>
      <c r="NON67" s="498" t="n"/>
      <c r="NOO67" s="498" t="n"/>
      <c r="NOP67" s="498" t="n"/>
      <c r="NOQ67" s="498" t="n"/>
      <c r="NOR67" s="498" t="n"/>
      <c r="NOS67" s="498" t="n"/>
      <c r="NOT67" s="498" t="n"/>
      <c r="NOU67" s="498" t="n"/>
      <c r="NOV67" s="498" t="n"/>
      <c r="NOW67" s="498" t="n"/>
      <c r="NOX67" s="498" t="n"/>
      <c r="NOY67" s="498" t="n"/>
      <c r="NOZ67" s="498" t="n"/>
      <c r="NPA67" s="498" t="n"/>
      <c r="NPB67" s="498" t="n"/>
      <c r="NPC67" s="498" t="n"/>
      <c r="NPD67" s="498" t="n"/>
      <c r="NPE67" s="498" t="n"/>
      <c r="NPF67" s="498" t="n"/>
      <c r="NPG67" s="498" t="n"/>
      <c r="NPH67" s="498" t="n"/>
      <c r="NPI67" s="498" t="n"/>
      <c r="NPJ67" s="498" t="n"/>
      <c r="NPK67" s="498" t="n"/>
      <c r="NPL67" s="498" t="n"/>
      <c r="NPM67" s="498" t="n"/>
      <c r="NPN67" s="498" t="n"/>
      <c r="NPO67" s="498" t="n"/>
      <c r="NPP67" s="498" t="n"/>
      <c r="NPQ67" s="498" t="n"/>
      <c r="NPR67" s="498" t="n"/>
      <c r="NPS67" s="498" t="n"/>
      <c r="NPT67" s="498" t="n"/>
      <c r="NPU67" s="498" t="n"/>
      <c r="NPV67" s="498" t="n"/>
      <c r="NPW67" s="498" t="n"/>
      <c r="NPX67" s="498" t="n"/>
      <c r="NPY67" s="498" t="n"/>
      <c r="NPZ67" s="498" t="n"/>
      <c r="NQA67" s="498" t="n"/>
      <c r="NQB67" s="498" t="n"/>
      <c r="NQC67" s="498" t="n"/>
      <c r="NQD67" s="498" t="n"/>
      <c r="NQE67" s="498" t="n"/>
      <c r="NQF67" s="498" t="n"/>
      <c r="NQG67" s="498" t="n"/>
      <c r="NQH67" s="498" t="n"/>
      <c r="NQI67" s="498" t="n"/>
      <c r="NQJ67" s="498" t="n"/>
      <c r="NQK67" s="498" t="n"/>
      <c r="NQL67" s="498" t="n"/>
      <c r="NQM67" s="498" t="n"/>
      <c r="NQN67" s="498" t="n"/>
      <c r="NQO67" s="498" t="n"/>
      <c r="NQP67" s="498" t="n"/>
      <c r="NQQ67" s="498" t="n"/>
      <c r="NQR67" s="498" t="n"/>
      <c r="NQS67" s="498" t="n"/>
      <c r="NQT67" s="498" t="n"/>
      <c r="NQU67" s="498" t="n"/>
      <c r="NQV67" s="498" t="n"/>
      <c r="NQW67" s="498" t="n"/>
      <c r="NQX67" s="498" t="n"/>
      <c r="NQY67" s="498" t="n"/>
      <c r="NQZ67" s="498" t="n"/>
      <c r="NRA67" s="498" t="n"/>
      <c r="NRB67" s="498" t="n"/>
      <c r="NRC67" s="498" t="n"/>
      <c r="NRD67" s="498" t="n"/>
      <c r="NRE67" s="498" t="n"/>
      <c r="NRF67" s="498" t="n"/>
      <c r="NRG67" s="498" t="n"/>
      <c r="NRH67" s="498" t="n"/>
      <c r="NRI67" s="498" t="n"/>
      <c r="NRJ67" s="498" t="n"/>
      <c r="NRK67" s="498" t="n"/>
      <c r="NRL67" s="498" t="n"/>
      <c r="NRM67" s="498" t="n"/>
      <c r="NRN67" s="498" t="n"/>
      <c r="NRO67" s="498" t="n"/>
      <c r="NRP67" s="498" t="n"/>
      <c r="NRQ67" s="498" t="n"/>
      <c r="NRR67" s="498" t="n"/>
      <c r="NRS67" s="498" t="n"/>
      <c r="NRT67" s="498" t="n"/>
      <c r="NRU67" s="498" t="n"/>
      <c r="NRV67" s="498" t="n"/>
      <c r="NRW67" s="498" t="n"/>
      <c r="NRX67" s="498" t="n"/>
      <c r="NRY67" s="498" t="n"/>
      <c r="NRZ67" s="498" t="n"/>
      <c r="NSA67" s="498" t="n"/>
      <c r="NSB67" s="498" t="n"/>
      <c r="NSC67" s="498" t="n"/>
      <c r="NSD67" s="498" t="n"/>
      <c r="NSE67" s="498" t="n"/>
      <c r="NSF67" s="498" t="n"/>
      <c r="NSG67" s="498" t="n"/>
      <c r="NSH67" s="498" t="n"/>
      <c r="NSI67" s="498" t="n"/>
      <c r="NSJ67" s="498" t="n"/>
      <c r="NSK67" s="498" t="n"/>
      <c r="NSL67" s="498" t="n"/>
      <c r="NSM67" s="498" t="n"/>
      <c r="NSN67" s="498" t="n"/>
      <c r="NSO67" s="498" t="n"/>
      <c r="NSP67" s="498" t="n"/>
      <c r="NSQ67" s="498" t="n"/>
      <c r="NSR67" s="498" t="n"/>
      <c r="NSS67" s="498" t="n"/>
      <c r="NST67" s="498" t="n"/>
      <c r="NSU67" s="498" t="n"/>
      <c r="NSV67" s="498" t="n"/>
      <c r="NSW67" s="498" t="n"/>
      <c r="NSX67" s="498" t="n"/>
      <c r="NSY67" s="498" t="n"/>
      <c r="NSZ67" s="498" t="n"/>
      <c r="NTA67" s="498" t="n"/>
      <c r="NTB67" s="498" t="n"/>
      <c r="NTC67" s="498" t="n"/>
      <c r="NTD67" s="498" t="n"/>
      <c r="NTE67" s="498" t="n"/>
      <c r="NTF67" s="498" t="n"/>
      <c r="NTG67" s="498" t="n"/>
      <c r="NTH67" s="498" t="n"/>
      <c r="NTI67" s="498" t="n"/>
      <c r="NTJ67" s="498" t="n"/>
      <c r="NTK67" s="498" t="n"/>
      <c r="NTL67" s="498" t="n"/>
      <c r="NTM67" s="498" t="n"/>
      <c r="NTN67" s="498" t="n"/>
      <c r="NTO67" s="498" t="n"/>
      <c r="NTP67" s="498" t="n"/>
      <c r="NTQ67" s="498" t="n"/>
      <c r="NTR67" s="498" t="n"/>
      <c r="NTS67" s="498" t="n"/>
      <c r="NTT67" s="498" t="n"/>
      <c r="NTU67" s="498" t="n"/>
      <c r="NTV67" s="498" t="n"/>
      <c r="NTW67" s="498" t="n"/>
      <c r="NTX67" s="498" t="n"/>
      <c r="NTY67" s="498" t="n"/>
      <c r="NTZ67" s="498" t="n"/>
      <c r="NUA67" s="498" t="n"/>
      <c r="NUB67" s="498" t="n"/>
      <c r="NUC67" s="498" t="n"/>
      <c r="NUD67" s="498" t="n"/>
      <c r="NUE67" s="498" t="n"/>
      <c r="NUF67" s="498" t="n"/>
      <c r="NUG67" s="498" t="n"/>
      <c r="NUH67" s="498" t="n"/>
      <c r="NUI67" s="498" t="n"/>
      <c r="NUJ67" s="498" t="n"/>
      <c r="NUK67" s="498" t="n"/>
      <c r="NUL67" s="498" t="n"/>
      <c r="NUM67" s="498" t="n"/>
      <c r="NUN67" s="498" t="n"/>
      <c r="NUO67" s="498" t="n"/>
      <c r="NUP67" s="498" t="n"/>
      <c r="NUQ67" s="498" t="n"/>
      <c r="NUR67" s="498" t="n"/>
      <c r="NUS67" s="498" t="n"/>
      <c r="NUT67" s="498" t="n"/>
      <c r="NUU67" s="498" t="n"/>
      <c r="NUV67" s="498" t="n"/>
      <c r="NUW67" s="498" t="n"/>
      <c r="NUX67" s="498" t="n"/>
      <c r="NUY67" s="498" t="n"/>
      <c r="NUZ67" s="498" t="n"/>
      <c r="NVA67" s="498" t="n"/>
      <c r="NVB67" s="498" t="n"/>
      <c r="NVC67" s="498" t="n"/>
      <c r="NVD67" s="498" t="n"/>
      <c r="NVE67" s="498" t="n"/>
      <c r="NVF67" s="498" t="n"/>
      <c r="NVG67" s="498" t="n"/>
      <c r="NVH67" s="498" t="n"/>
      <c r="NVI67" s="498" t="n"/>
      <c r="NVJ67" s="498" t="n"/>
      <c r="NVK67" s="498" t="n"/>
      <c r="NVL67" s="498" t="n"/>
      <c r="NVM67" s="498" t="n"/>
      <c r="NVN67" s="498" t="n"/>
      <c r="NVO67" s="498" t="n"/>
      <c r="NVP67" s="498" t="n"/>
      <c r="NVQ67" s="498" t="n"/>
      <c r="NVR67" s="498" t="n"/>
      <c r="NVS67" s="498" t="n"/>
      <c r="NVT67" s="498" t="n"/>
      <c r="NVU67" s="498" t="n"/>
      <c r="NVV67" s="498" t="n"/>
      <c r="NVW67" s="498" t="n"/>
      <c r="NVX67" s="498" t="n"/>
      <c r="NVY67" s="498" t="n"/>
      <c r="NVZ67" s="498" t="n"/>
      <c r="NWA67" s="498" t="n"/>
      <c r="NWB67" s="498" t="n"/>
      <c r="NWC67" s="498" t="n"/>
      <c r="NWD67" s="498" t="n"/>
      <c r="NWE67" s="498" t="n"/>
      <c r="NWF67" s="498" t="n"/>
      <c r="NWG67" s="498" t="n"/>
      <c r="NWH67" s="498" t="n"/>
      <c r="NWI67" s="498" t="n"/>
      <c r="NWJ67" s="498" t="n"/>
      <c r="NWK67" s="498" t="n"/>
      <c r="NWL67" s="498" t="n"/>
      <c r="NWM67" s="498" t="n"/>
      <c r="NWN67" s="498" t="n"/>
      <c r="NWO67" s="498" t="n"/>
      <c r="NWP67" s="498" t="n"/>
      <c r="NWQ67" s="498" t="n"/>
      <c r="NWR67" s="498" t="n"/>
      <c r="NWS67" s="498" t="n"/>
      <c r="NWT67" s="498" t="n"/>
      <c r="NWU67" s="498" t="n"/>
      <c r="NWV67" s="498" t="n"/>
      <c r="NWW67" s="498" t="n"/>
      <c r="NWX67" s="498" t="n"/>
      <c r="NWY67" s="498" t="n"/>
      <c r="NWZ67" s="498" t="n"/>
      <c r="NXA67" s="498" t="n"/>
      <c r="NXB67" s="498" t="n"/>
      <c r="NXC67" s="498" t="n"/>
      <c r="NXD67" s="498" t="n"/>
      <c r="NXE67" s="498" t="n"/>
      <c r="NXF67" s="498" t="n"/>
      <c r="NXG67" s="498" t="n"/>
      <c r="NXH67" s="498" t="n"/>
      <c r="NXI67" s="498" t="n"/>
      <c r="NXJ67" s="498" t="n"/>
      <c r="NXK67" s="498" t="n"/>
      <c r="NXL67" s="498" t="n"/>
      <c r="NXM67" s="498" t="n"/>
      <c r="NXN67" s="498" t="n"/>
      <c r="NXO67" s="498" t="n"/>
      <c r="NXP67" s="498" t="n"/>
      <c r="NXQ67" s="498" t="n"/>
      <c r="NXR67" s="498" t="n"/>
      <c r="NXS67" s="498" t="n"/>
      <c r="NXT67" s="498" t="n"/>
      <c r="NXU67" s="498" t="n"/>
      <c r="NXV67" s="498" t="n"/>
      <c r="NXW67" s="498" t="n"/>
      <c r="NXX67" s="498" t="n"/>
      <c r="NXY67" s="498" t="n"/>
      <c r="NXZ67" s="498" t="n"/>
      <c r="NYA67" s="498" t="n"/>
      <c r="NYB67" s="498" t="n"/>
      <c r="NYC67" s="498" t="n"/>
      <c r="NYD67" s="498" t="n"/>
      <c r="NYE67" s="498" t="n"/>
      <c r="NYF67" s="498" t="n"/>
      <c r="NYG67" s="498" t="n"/>
      <c r="NYH67" s="498" t="n"/>
      <c r="NYI67" s="498" t="n"/>
      <c r="NYJ67" s="498" t="n"/>
      <c r="NYK67" s="498" t="n"/>
      <c r="NYL67" s="498" t="n"/>
      <c r="NYM67" s="498" t="n"/>
      <c r="NYN67" s="498" t="n"/>
      <c r="NYO67" s="498" t="n"/>
      <c r="NYP67" s="498" t="n"/>
      <c r="NYQ67" s="498" t="n"/>
      <c r="NYR67" s="498" t="n"/>
      <c r="NYS67" s="498" t="n"/>
      <c r="NYT67" s="498" t="n"/>
      <c r="NYU67" s="498" t="n"/>
      <c r="NYV67" s="498" t="n"/>
      <c r="NYW67" s="498" t="n"/>
      <c r="NYX67" s="498" t="n"/>
      <c r="NYY67" s="498" t="n"/>
      <c r="NYZ67" s="498" t="n"/>
      <c r="NZA67" s="498" t="n"/>
      <c r="NZB67" s="498" t="n"/>
      <c r="NZC67" s="498" t="n"/>
      <c r="NZD67" s="498" t="n"/>
      <c r="NZE67" s="498" t="n"/>
      <c r="NZF67" s="498" t="n"/>
      <c r="NZG67" s="498" t="n"/>
      <c r="NZH67" s="498" t="n"/>
      <c r="NZI67" s="498" t="n"/>
      <c r="NZJ67" s="498" t="n"/>
      <c r="NZK67" s="498" t="n"/>
      <c r="NZL67" s="498" t="n"/>
      <c r="NZM67" s="498" t="n"/>
      <c r="NZN67" s="498" t="n"/>
      <c r="NZO67" s="498" t="n"/>
      <c r="NZP67" s="498" t="n"/>
      <c r="NZQ67" s="498" t="n"/>
      <c r="NZR67" s="498" t="n"/>
      <c r="NZS67" s="498" t="n"/>
      <c r="NZT67" s="498" t="n"/>
      <c r="NZU67" s="498" t="n"/>
      <c r="NZV67" s="498" t="n"/>
      <c r="NZW67" s="498" t="n"/>
      <c r="NZX67" s="498" t="n"/>
      <c r="NZY67" s="498" t="n"/>
      <c r="NZZ67" s="498" t="n"/>
      <c r="OAA67" s="498" t="n"/>
      <c r="OAB67" s="498" t="n"/>
      <c r="OAC67" s="498" t="n"/>
      <c r="OAD67" s="498" t="n"/>
      <c r="OAE67" s="498" t="n"/>
      <c r="OAF67" s="498" t="n"/>
      <c r="OAG67" s="498" t="n"/>
      <c r="OAH67" s="498" t="n"/>
      <c r="OAI67" s="498" t="n"/>
      <c r="OAJ67" s="498" t="n"/>
      <c r="OAK67" s="498" t="n"/>
      <c r="OAL67" s="498" t="n"/>
      <c r="OAM67" s="498" t="n"/>
      <c r="OAN67" s="498" t="n"/>
      <c r="OAO67" s="498" t="n"/>
      <c r="OAP67" s="498" t="n"/>
      <c r="OAQ67" s="498" t="n"/>
      <c r="OAR67" s="498" t="n"/>
      <c r="OAS67" s="498" t="n"/>
      <c r="OAT67" s="498" t="n"/>
      <c r="OAU67" s="498" t="n"/>
      <c r="OAV67" s="498" t="n"/>
      <c r="OAW67" s="498" t="n"/>
      <c r="OAX67" s="498" t="n"/>
      <c r="OAY67" s="498" t="n"/>
      <c r="OAZ67" s="498" t="n"/>
      <c r="OBA67" s="498" t="n"/>
      <c r="OBB67" s="498" t="n"/>
      <c r="OBC67" s="498" t="n"/>
      <c r="OBD67" s="498" t="n"/>
      <c r="OBE67" s="498" t="n"/>
      <c r="OBF67" s="498" t="n"/>
      <c r="OBG67" s="498" t="n"/>
      <c r="OBH67" s="498" t="n"/>
      <c r="OBI67" s="498" t="n"/>
      <c r="OBJ67" s="498" t="n"/>
      <c r="OBK67" s="498" t="n"/>
      <c r="OBL67" s="498" t="n"/>
      <c r="OBM67" s="498" t="n"/>
      <c r="OBN67" s="498" t="n"/>
      <c r="OBO67" s="498" t="n"/>
      <c r="OBP67" s="498" t="n"/>
      <c r="OBQ67" s="498" t="n"/>
      <c r="OBR67" s="498" t="n"/>
      <c r="OBS67" s="498" t="n"/>
      <c r="OBT67" s="498" t="n"/>
      <c r="OBU67" s="498" t="n"/>
      <c r="OBV67" s="498" t="n"/>
      <c r="OBW67" s="498" t="n"/>
      <c r="OBX67" s="498" t="n"/>
      <c r="OBY67" s="498" t="n"/>
      <c r="OBZ67" s="498" t="n"/>
      <c r="OCA67" s="498" t="n"/>
      <c r="OCB67" s="498" t="n"/>
      <c r="OCC67" s="498" t="n"/>
      <c r="OCD67" s="498" t="n"/>
      <c r="OCE67" s="498" t="n"/>
      <c r="OCF67" s="498" t="n"/>
      <c r="OCG67" s="498" t="n"/>
      <c r="OCH67" s="498" t="n"/>
      <c r="OCI67" s="498" t="n"/>
      <c r="OCJ67" s="498" t="n"/>
      <c r="OCK67" s="498" t="n"/>
      <c r="OCL67" s="498" t="n"/>
      <c r="OCM67" s="498" t="n"/>
      <c r="OCN67" s="498" t="n"/>
      <c r="OCO67" s="498" t="n"/>
      <c r="OCP67" s="498" t="n"/>
      <c r="OCQ67" s="498" t="n"/>
      <c r="OCR67" s="498" t="n"/>
      <c r="OCS67" s="498" t="n"/>
      <c r="OCT67" s="498" t="n"/>
      <c r="OCU67" s="498" t="n"/>
      <c r="OCV67" s="498" t="n"/>
      <c r="OCW67" s="498" t="n"/>
      <c r="OCX67" s="498" t="n"/>
      <c r="OCY67" s="498" t="n"/>
      <c r="OCZ67" s="498" t="n"/>
      <c r="ODA67" s="498" t="n"/>
      <c r="ODB67" s="498" t="n"/>
      <c r="ODC67" s="498" t="n"/>
      <c r="ODD67" s="498" t="n"/>
      <c r="ODE67" s="498" t="n"/>
      <c r="ODF67" s="498" t="n"/>
      <c r="ODG67" s="498" t="n"/>
      <c r="ODH67" s="498" t="n"/>
      <c r="ODI67" s="498" t="n"/>
      <c r="ODJ67" s="498" t="n"/>
      <c r="ODK67" s="498" t="n"/>
      <c r="ODL67" s="498" t="n"/>
      <c r="ODM67" s="498" t="n"/>
      <c r="ODN67" s="498" t="n"/>
      <c r="ODO67" s="498" t="n"/>
      <c r="ODP67" s="498" t="n"/>
      <c r="ODQ67" s="498" t="n"/>
      <c r="ODR67" s="498" t="n"/>
      <c r="ODS67" s="498" t="n"/>
      <c r="ODT67" s="498" t="n"/>
      <c r="ODU67" s="498" t="n"/>
      <c r="ODV67" s="498" t="n"/>
      <c r="ODW67" s="498" t="n"/>
      <c r="ODX67" s="498" t="n"/>
      <c r="ODY67" s="498" t="n"/>
      <c r="ODZ67" s="498" t="n"/>
      <c r="OEA67" s="498" t="n"/>
      <c r="OEB67" s="498" t="n"/>
      <c r="OEC67" s="498" t="n"/>
      <c r="OED67" s="498" t="n"/>
      <c r="OEE67" s="498" t="n"/>
      <c r="OEF67" s="498" t="n"/>
      <c r="OEG67" s="498" t="n"/>
      <c r="OEH67" s="498" t="n"/>
      <c r="OEI67" s="498" t="n"/>
      <c r="OEJ67" s="498" t="n"/>
      <c r="OEK67" s="498" t="n"/>
      <c r="OEL67" s="498" t="n"/>
      <c r="OEM67" s="498" t="n"/>
      <c r="OEN67" s="498" t="n"/>
      <c r="OEO67" s="498" t="n"/>
      <c r="OEP67" s="498" t="n"/>
      <c r="OEQ67" s="498" t="n"/>
      <c r="OER67" s="498" t="n"/>
      <c r="OES67" s="498" t="n"/>
      <c r="OET67" s="498" t="n"/>
      <c r="OEU67" s="498" t="n"/>
      <c r="OEV67" s="498" t="n"/>
      <c r="OEW67" s="498" t="n"/>
      <c r="OEX67" s="498" t="n"/>
      <c r="OEY67" s="498" t="n"/>
      <c r="OEZ67" s="498" t="n"/>
      <c r="OFA67" s="498" t="n"/>
      <c r="OFB67" s="498" t="n"/>
      <c r="OFC67" s="498" t="n"/>
      <c r="OFD67" s="498" t="n"/>
      <c r="OFE67" s="498" t="n"/>
      <c r="OFF67" s="498" t="n"/>
      <c r="OFG67" s="498" t="n"/>
      <c r="OFH67" s="498" t="n"/>
      <c r="OFI67" s="498" t="n"/>
      <c r="OFJ67" s="498" t="n"/>
      <c r="OFK67" s="498" t="n"/>
      <c r="OFL67" s="498" t="n"/>
      <c r="OFM67" s="498" t="n"/>
      <c r="OFN67" s="498" t="n"/>
      <c r="OFO67" s="498" t="n"/>
      <c r="OFP67" s="498" t="n"/>
      <c r="OFQ67" s="498" t="n"/>
      <c r="OFR67" s="498" t="n"/>
      <c r="OFS67" s="498" t="n"/>
      <c r="OFT67" s="498" t="n"/>
      <c r="OFU67" s="498" t="n"/>
      <c r="OFV67" s="498" t="n"/>
      <c r="OFW67" s="498" t="n"/>
      <c r="OFX67" s="498" t="n"/>
      <c r="OFY67" s="498" t="n"/>
      <c r="OFZ67" s="498" t="n"/>
      <c r="OGA67" s="498" t="n"/>
      <c r="OGB67" s="498" t="n"/>
      <c r="OGC67" s="498" t="n"/>
      <c r="OGD67" s="498" t="n"/>
      <c r="OGE67" s="498" t="n"/>
      <c r="OGF67" s="498" t="n"/>
      <c r="OGG67" s="498" t="n"/>
      <c r="OGH67" s="498" t="n"/>
      <c r="OGI67" s="498" t="n"/>
      <c r="OGJ67" s="498" t="n"/>
      <c r="OGK67" s="498" t="n"/>
      <c r="OGL67" s="498" t="n"/>
      <c r="OGM67" s="498" t="n"/>
      <c r="OGN67" s="498" t="n"/>
      <c r="OGO67" s="498" t="n"/>
      <c r="OGP67" s="498" t="n"/>
      <c r="OGQ67" s="498" t="n"/>
      <c r="OGR67" s="498" t="n"/>
      <c r="OGS67" s="498" t="n"/>
      <c r="OGT67" s="498" t="n"/>
      <c r="OGU67" s="498" t="n"/>
      <c r="OGV67" s="498" t="n"/>
      <c r="OGW67" s="498" t="n"/>
      <c r="OGX67" s="498" t="n"/>
      <c r="OGY67" s="498" t="n"/>
      <c r="OGZ67" s="498" t="n"/>
      <c r="OHA67" s="498" t="n"/>
      <c r="OHB67" s="498" t="n"/>
      <c r="OHC67" s="498" t="n"/>
      <c r="OHD67" s="498" t="n"/>
      <c r="OHE67" s="498" t="n"/>
      <c r="OHF67" s="498" t="n"/>
      <c r="OHG67" s="498" t="n"/>
      <c r="OHH67" s="498" t="n"/>
      <c r="OHI67" s="498" t="n"/>
      <c r="OHJ67" s="498" t="n"/>
      <c r="OHK67" s="498" t="n"/>
      <c r="OHL67" s="498" t="n"/>
      <c r="OHM67" s="498" t="n"/>
      <c r="OHN67" s="498" t="n"/>
      <c r="OHO67" s="498" t="n"/>
      <c r="OHP67" s="498" t="n"/>
      <c r="OHQ67" s="498" t="n"/>
      <c r="OHR67" s="498" t="n"/>
      <c r="OHS67" s="498" t="n"/>
      <c r="OHT67" s="498" t="n"/>
      <c r="OHU67" s="498" t="n"/>
      <c r="OHV67" s="498" t="n"/>
      <c r="OHW67" s="498" t="n"/>
      <c r="OHX67" s="498" t="n"/>
      <c r="OHY67" s="498" t="n"/>
      <c r="OHZ67" s="498" t="n"/>
      <c r="OIA67" s="498" t="n"/>
      <c r="OIB67" s="498" t="n"/>
      <c r="OIC67" s="498" t="n"/>
      <c r="OID67" s="498" t="n"/>
      <c r="OIE67" s="498" t="n"/>
      <c r="OIF67" s="498" t="n"/>
      <c r="OIG67" s="498" t="n"/>
      <c r="OIH67" s="498" t="n"/>
      <c r="OII67" s="498" t="n"/>
      <c r="OIJ67" s="498" t="n"/>
      <c r="OIK67" s="498" t="n"/>
      <c r="OIL67" s="498" t="n"/>
      <c r="OIM67" s="498" t="n"/>
      <c r="OIN67" s="498" t="n"/>
      <c r="OIO67" s="498" t="n"/>
      <c r="OIP67" s="498" t="n"/>
      <c r="OIQ67" s="498" t="n"/>
      <c r="OIR67" s="498" t="n"/>
      <c r="OIS67" s="498" t="n"/>
      <c r="OIT67" s="498" t="n"/>
      <c r="OIU67" s="498" t="n"/>
      <c r="OIV67" s="498" t="n"/>
      <c r="OIW67" s="498" t="n"/>
      <c r="OIX67" s="498" t="n"/>
      <c r="OIY67" s="498" t="n"/>
      <c r="OIZ67" s="498" t="n"/>
      <c r="OJA67" s="498" t="n"/>
      <c r="OJB67" s="498" t="n"/>
      <c r="OJC67" s="498" t="n"/>
      <c r="OJD67" s="498" t="n"/>
      <c r="OJE67" s="498" t="n"/>
      <c r="OJF67" s="498" t="n"/>
      <c r="OJG67" s="498" t="n"/>
      <c r="OJH67" s="498" t="n"/>
      <c r="OJI67" s="498" t="n"/>
      <c r="OJJ67" s="498" t="n"/>
      <c r="OJK67" s="498" t="n"/>
      <c r="OJL67" s="498" t="n"/>
      <c r="OJM67" s="498" t="n"/>
      <c r="OJN67" s="498" t="n"/>
      <c r="OJO67" s="498" t="n"/>
      <c r="OJP67" s="498" t="n"/>
      <c r="OJQ67" s="498" t="n"/>
      <c r="OJR67" s="498" t="n"/>
      <c r="OJS67" s="498" t="n"/>
      <c r="OJT67" s="498" t="n"/>
      <c r="OJU67" s="498" t="n"/>
      <c r="OJV67" s="498" t="n"/>
      <c r="OJW67" s="498" t="n"/>
      <c r="OJX67" s="498" t="n"/>
      <c r="OJY67" s="498" t="n"/>
      <c r="OJZ67" s="498" t="n"/>
      <c r="OKA67" s="498" t="n"/>
      <c r="OKB67" s="498" t="n"/>
      <c r="OKC67" s="498" t="n"/>
      <c r="OKD67" s="498" t="n"/>
      <c r="OKE67" s="498" t="n"/>
      <c r="OKF67" s="498" t="n"/>
      <c r="OKG67" s="498" t="n"/>
      <c r="OKH67" s="498" t="n"/>
      <c r="OKI67" s="498" t="n"/>
      <c r="OKJ67" s="498" t="n"/>
      <c r="OKK67" s="498" t="n"/>
      <c r="OKL67" s="498" t="n"/>
      <c r="OKM67" s="498" t="n"/>
      <c r="OKN67" s="498" t="n"/>
      <c r="OKO67" s="498" t="n"/>
      <c r="OKP67" s="498" t="n"/>
      <c r="OKQ67" s="498" t="n"/>
      <c r="OKR67" s="498" t="n"/>
      <c r="OKS67" s="498" t="n"/>
      <c r="OKT67" s="498" t="n"/>
      <c r="OKU67" s="498" t="n"/>
      <c r="OKV67" s="498" t="n"/>
      <c r="OKW67" s="498" t="n"/>
      <c r="OKX67" s="498" t="n"/>
      <c r="OKY67" s="498" t="n"/>
      <c r="OKZ67" s="498" t="n"/>
      <c r="OLA67" s="498" t="n"/>
      <c r="OLB67" s="498" t="n"/>
      <c r="OLC67" s="498" t="n"/>
      <c r="OLD67" s="498" t="n"/>
      <c r="OLE67" s="498" t="n"/>
      <c r="OLF67" s="498" t="n"/>
      <c r="OLG67" s="498" t="n"/>
      <c r="OLH67" s="498" t="n"/>
      <c r="OLI67" s="498" t="n"/>
      <c r="OLJ67" s="498" t="n"/>
      <c r="OLK67" s="498" t="n"/>
      <c r="OLL67" s="498" t="n"/>
      <c r="OLM67" s="498" t="n"/>
      <c r="OLN67" s="498" t="n"/>
      <c r="OLO67" s="498" t="n"/>
      <c r="OLP67" s="498" t="n"/>
      <c r="OLQ67" s="498" t="n"/>
      <c r="OLR67" s="498" t="n"/>
      <c r="OLS67" s="498" t="n"/>
      <c r="OLT67" s="498" t="n"/>
      <c r="OLU67" s="498" t="n"/>
      <c r="OLV67" s="498" t="n"/>
      <c r="OLW67" s="498" t="n"/>
      <c r="OLX67" s="498" t="n"/>
      <c r="OLY67" s="498" t="n"/>
      <c r="OLZ67" s="498" t="n"/>
      <c r="OMA67" s="498" t="n"/>
      <c r="OMB67" s="498" t="n"/>
      <c r="OMC67" s="498" t="n"/>
      <c r="OMD67" s="498" t="n"/>
      <c r="OME67" s="498" t="n"/>
      <c r="OMF67" s="498" t="n"/>
      <c r="OMG67" s="498" t="n"/>
      <c r="OMH67" s="498" t="n"/>
      <c r="OMI67" s="498" t="n"/>
      <c r="OMJ67" s="498" t="n"/>
      <c r="OMK67" s="498" t="n"/>
      <c r="OML67" s="498" t="n"/>
      <c r="OMM67" s="498" t="n"/>
      <c r="OMN67" s="498" t="n"/>
      <c r="OMO67" s="498" t="n"/>
      <c r="OMP67" s="498" t="n"/>
      <c r="OMQ67" s="498" t="n"/>
      <c r="OMR67" s="498" t="n"/>
      <c r="OMS67" s="498" t="n"/>
      <c r="OMT67" s="498" t="n"/>
      <c r="OMU67" s="498" t="n"/>
      <c r="OMV67" s="498" t="n"/>
      <c r="OMW67" s="498" t="n"/>
      <c r="OMX67" s="498" t="n"/>
      <c r="OMY67" s="498" t="n"/>
      <c r="OMZ67" s="498" t="n"/>
      <c r="ONA67" s="498" t="n"/>
      <c r="ONB67" s="498" t="n"/>
      <c r="ONC67" s="498" t="n"/>
      <c r="OND67" s="498" t="n"/>
      <c r="ONE67" s="498" t="n"/>
      <c r="ONF67" s="498" t="n"/>
      <c r="ONG67" s="498" t="n"/>
      <c r="ONH67" s="498" t="n"/>
      <c r="ONI67" s="498" t="n"/>
      <c r="ONJ67" s="498" t="n"/>
      <c r="ONK67" s="498" t="n"/>
      <c r="ONL67" s="498" t="n"/>
      <c r="ONM67" s="498" t="n"/>
      <c r="ONN67" s="498" t="n"/>
      <c r="ONO67" s="498" t="n"/>
      <c r="ONP67" s="498" t="n"/>
      <c r="ONQ67" s="498" t="n"/>
      <c r="ONR67" s="498" t="n"/>
      <c r="ONS67" s="498" t="n"/>
      <c r="ONT67" s="498" t="n"/>
      <c r="ONU67" s="498" t="n"/>
      <c r="ONV67" s="498" t="n"/>
      <c r="ONW67" s="498" t="n"/>
      <c r="ONX67" s="498" t="n"/>
      <c r="ONY67" s="498" t="n"/>
      <c r="ONZ67" s="498" t="n"/>
      <c r="OOA67" s="498" t="n"/>
      <c r="OOB67" s="498" t="n"/>
      <c r="OOC67" s="498" t="n"/>
      <c r="OOD67" s="498" t="n"/>
      <c r="OOE67" s="498" t="n"/>
      <c r="OOF67" s="498" t="n"/>
      <c r="OOG67" s="498" t="n"/>
      <c r="OOH67" s="498" t="n"/>
      <c r="OOI67" s="498" t="n"/>
      <c r="OOJ67" s="498" t="n"/>
      <c r="OOK67" s="498" t="n"/>
      <c r="OOL67" s="498" t="n"/>
      <c r="OOM67" s="498" t="n"/>
      <c r="OON67" s="498" t="n"/>
      <c r="OOO67" s="498" t="n"/>
      <c r="OOP67" s="498" t="n"/>
      <c r="OOQ67" s="498" t="n"/>
      <c r="OOR67" s="498" t="n"/>
      <c r="OOS67" s="498" t="n"/>
      <c r="OOT67" s="498" t="n"/>
      <c r="OOU67" s="498" t="n"/>
      <c r="OOV67" s="498" t="n"/>
      <c r="OOW67" s="498" t="n"/>
      <c r="OOX67" s="498" t="n"/>
      <c r="OOY67" s="498" t="n"/>
      <c r="OOZ67" s="498" t="n"/>
      <c r="OPA67" s="498" t="n"/>
      <c r="OPB67" s="498" t="n"/>
      <c r="OPC67" s="498" t="n"/>
      <c r="OPD67" s="498" t="n"/>
      <c r="OPE67" s="498" t="n"/>
      <c r="OPF67" s="498" t="n"/>
      <c r="OPG67" s="498" t="n"/>
      <c r="OPH67" s="498" t="n"/>
      <c r="OPI67" s="498" t="n"/>
      <c r="OPJ67" s="498" t="n"/>
      <c r="OPK67" s="498" t="n"/>
      <c r="OPL67" s="498" t="n"/>
      <c r="OPM67" s="498" t="n"/>
      <c r="OPN67" s="498" t="n"/>
      <c r="OPO67" s="498" t="n"/>
      <c r="OPP67" s="498" t="n"/>
      <c r="OPQ67" s="498" t="n"/>
      <c r="OPR67" s="498" t="n"/>
      <c r="OPS67" s="498" t="n"/>
      <c r="OPT67" s="498" t="n"/>
      <c r="OPU67" s="498" t="n"/>
      <c r="OPV67" s="498" t="n"/>
      <c r="OPW67" s="498" t="n"/>
      <c r="OPX67" s="498" t="n"/>
      <c r="OPY67" s="498" t="n"/>
      <c r="OPZ67" s="498" t="n"/>
      <c r="OQA67" s="498" t="n"/>
      <c r="OQB67" s="498" t="n"/>
      <c r="OQC67" s="498" t="n"/>
      <c r="OQD67" s="498" t="n"/>
      <c r="OQE67" s="498" t="n"/>
      <c r="OQF67" s="498" t="n"/>
      <c r="OQG67" s="498" t="n"/>
      <c r="OQH67" s="498" t="n"/>
      <c r="OQI67" s="498" t="n"/>
      <c r="OQJ67" s="498" t="n"/>
      <c r="OQK67" s="498" t="n"/>
      <c r="OQL67" s="498" t="n"/>
      <c r="OQM67" s="498" t="n"/>
      <c r="OQN67" s="498" t="n"/>
      <c r="OQO67" s="498" t="n"/>
      <c r="OQP67" s="498" t="n"/>
      <c r="OQQ67" s="498" t="n"/>
      <c r="OQR67" s="498" t="n"/>
      <c r="OQS67" s="498" t="n"/>
      <c r="OQT67" s="498" t="n"/>
      <c r="OQU67" s="498" t="n"/>
      <c r="OQV67" s="498" t="n"/>
      <c r="OQW67" s="498" t="n"/>
      <c r="OQX67" s="498" t="n"/>
      <c r="OQY67" s="498" t="n"/>
      <c r="OQZ67" s="498" t="n"/>
      <c r="ORA67" s="498" t="n"/>
      <c r="ORB67" s="498" t="n"/>
      <c r="ORC67" s="498" t="n"/>
      <c r="ORD67" s="498" t="n"/>
      <c r="ORE67" s="498" t="n"/>
      <c r="ORF67" s="498" t="n"/>
      <c r="ORG67" s="498" t="n"/>
      <c r="ORH67" s="498" t="n"/>
      <c r="ORI67" s="498" t="n"/>
      <c r="ORJ67" s="498" t="n"/>
      <c r="ORK67" s="498" t="n"/>
      <c r="ORL67" s="498" t="n"/>
      <c r="ORM67" s="498" t="n"/>
      <c r="ORN67" s="498" t="n"/>
      <c r="ORO67" s="498" t="n"/>
      <c r="ORP67" s="498" t="n"/>
      <c r="ORQ67" s="498" t="n"/>
      <c r="ORR67" s="498" t="n"/>
      <c r="ORS67" s="498" t="n"/>
      <c r="ORT67" s="498" t="n"/>
      <c r="ORU67" s="498" t="n"/>
      <c r="ORV67" s="498" t="n"/>
      <c r="ORW67" s="498" t="n"/>
      <c r="ORX67" s="498" t="n"/>
      <c r="ORY67" s="498" t="n"/>
      <c r="ORZ67" s="498" t="n"/>
      <c r="OSA67" s="498" t="n"/>
      <c r="OSB67" s="498" t="n"/>
      <c r="OSC67" s="498" t="n"/>
      <c r="OSD67" s="498" t="n"/>
      <c r="OSE67" s="498" t="n"/>
      <c r="OSF67" s="498" t="n"/>
      <c r="OSG67" s="498" t="n"/>
      <c r="OSH67" s="498" t="n"/>
      <c r="OSI67" s="498" t="n"/>
      <c r="OSJ67" s="498" t="n"/>
      <c r="OSK67" s="498" t="n"/>
      <c r="OSL67" s="498" t="n"/>
      <c r="OSM67" s="498" t="n"/>
      <c r="OSN67" s="498" t="n"/>
      <c r="OSO67" s="498" t="n"/>
      <c r="OSP67" s="498" t="n"/>
      <c r="OSQ67" s="498" t="n"/>
      <c r="OSR67" s="498" t="n"/>
      <c r="OSS67" s="498" t="n"/>
      <c r="OST67" s="498" t="n"/>
      <c r="OSU67" s="498" t="n"/>
      <c r="OSV67" s="498" t="n"/>
      <c r="OSW67" s="498" t="n"/>
      <c r="OSX67" s="498" t="n"/>
      <c r="OSY67" s="498" t="n"/>
      <c r="OSZ67" s="498" t="n"/>
      <c r="OTA67" s="498" t="n"/>
      <c r="OTB67" s="498" t="n"/>
      <c r="OTC67" s="498" t="n"/>
      <c r="OTD67" s="498" t="n"/>
      <c r="OTE67" s="498" t="n"/>
      <c r="OTF67" s="498" t="n"/>
      <c r="OTG67" s="498" t="n"/>
      <c r="OTH67" s="498" t="n"/>
      <c r="OTI67" s="498" t="n"/>
      <c r="OTJ67" s="498" t="n"/>
      <c r="OTK67" s="498" t="n"/>
      <c r="OTL67" s="498" t="n"/>
      <c r="OTM67" s="498" t="n"/>
      <c r="OTN67" s="498" t="n"/>
      <c r="OTO67" s="498" t="n"/>
      <c r="OTP67" s="498" t="n"/>
      <c r="OTQ67" s="498" t="n"/>
      <c r="OTR67" s="498" t="n"/>
      <c r="OTS67" s="498" t="n"/>
      <c r="OTT67" s="498" t="n"/>
      <c r="OTU67" s="498" t="n"/>
      <c r="OTV67" s="498" t="n"/>
      <c r="OTW67" s="498" t="n"/>
      <c r="OTX67" s="498" t="n"/>
      <c r="OTY67" s="498" t="n"/>
      <c r="OTZ67" s="498" t="n"/>
      <c r="OUA67" s="498" t="n"/>
      <c r="OUB67" s="498" t="n"/>
      <c r="OUC67" s="498" t="n"/>
      <c r="OUD67" s="498" t="n"/>
      <c r="OUE67" s="498" t="n"/>
      <c r="OUF67" s="498" t="n"/>
      <c r="OUG67" s="498" t="n"/>
      <c r="OUH67" s="498" t="n"/>
      <c r="OUI67" s="498" t="n"/>
      <c r="OUJ67" s="498" t="n"/>
      <c r="OUK67" s="498" t="n"/>
      <c r="OUL67" s="498" t="n"/>
      <c r="OUM67" s="498" t="n"/>
      <c r="OUN67" s="498" t="n"/>
      <c r="OUO67" s="498" t="n"/>
      <c r="OUP67" s="498" t="n"/>
      <c r="OUQ67" s="498" t="n"/>
      <c r="OUR67" s="498" t="n"/>
      <c r="OUS67" s="498" t="n"/>
      <c r="OUT67" s="498" t="n"/>
      <c r="OUU67" s="498" t="n"/>
      <c r="OUV67" s="498" t="n"/>
      <c r="OUW67" s="498" t="n"/>
      <c r="OUX67" s="498" t="n"/>
      <c r="OUY67" s="498" t="n"/>
      <c r="OUZ67" s="498" t="n"/>
      <c r="OVA67" s="498" t="n"/>
      <c r="OVB67" s="498" t="n"/>
      <c r="OVC67" s="498" t="n"/>
      <c r="OVD67" s="498" t="n"/>
      <c r="OVE67" s="498" t="n"/>
      <c r="OVF67" s="498" t="n"/>
      <c r="OVG67" s="498" t="n"/>
      <c r="OVH67" s="498" t="n"/>
      <c r="OVI67" s="498" t="n"/>
      <c r="OVJ67" s="498" t="n"/>
      <c r="OVK67" s="498" t="n"/>
      <c r="OVL67" s="498" t="n"/>
      <c r="OVM67" s="498" t="n"/>
      <c r="OVN67" s="498" t="n"/>
      <c r="OVO67" s="498" t="n"/>
      <c r="OVP67" s="498" t="n"/>
      <c r="OVQ67" s="498" t="n"/>
      <c r="OVR67" s="498" t="n"/>
      <c r="OVS67" s="498" t="n"/>
      <c r="OVT67" s="498" t="n"/>
      <c r="OVU67" s="498" t="n"/>
      <c r="OVV67" s="498" t="n"/>
      <c r="OVW67" s="498" t="n"/>
      <c r="OVX67" s="498" t="n"/>
      <c r="OVY67" s="498" t="n"/>
      <c r="OVZ67" s="498" t="n"/>
      <c r="OWA67" s="498" t="n"/>
      <c r="OWB67" s="498" t="n"/>
      <c r="OWC67" s="498" t="n"/>
      <c r="OWD67" s="498" t="n"/>
      <c r="OWE67" s="498" t="n"/>
      <c r="OWF67" s="498" t="n"/>
      <c r="OWG67" s="498" t="n"/>
      <c r="OWH67" s="498" t="n"/>
      <c r="OWI67" s="498" t="n"/>
      <c r="OWJ67" s="498" t="n"/>
      <c r="OWK67" s="498" t="n"/>
      <c r="OWL67" s="498" t="n"/>
      <c r="OWM67" s="498" t="n"/>
      <c r="OWN67" s="498" t="n"/>
      <c r="OWO67" s="498" t="n"/>
      <c r="OWP67" s="498" t="n"/>
      <c r="OWQ67" s="498" t="n"/>
      <c r="OWR67" s="498" t="n"/>
      <c r="OWS67" s="498" t="n"/>
      <c r="OWT67" s="498" t="n"/>
      <c r="OWU67" s="498" t="n"/>
      <c r="OWV67" s="498" t="n"/>
      <c r="OWW67" s="498" t="n"/>
      <c r="OWX67" s="498" t="n"/>
      <c r="OWY67" s="498" t="n"/>
      <c r="OWZ67" s="498" t="n"/>
      <c r="OXA67" s="498" t="n"/>
      <c r="OXB67" s="498" t="n"/>
      <c r="OXC67" s="498" t="n"/>
      <c r="OXD67" s="498" t="n"/>
      <c r="OXE67" s="498" t="n"/>
      <c r="OXF67" s="498" t="n"/>
      <c r="OXG67" s="498" t="n"/>
      <c r="OXH67" s="498" t="n"/>
      <c r="OXI67" s="498" t="n"/>
      <c r="OXJ67" s="498" t="n"/>
      <c r="OXK67" s="498" t="n"/>
      <c r="OXL67" s="498" t="n"/>
      <c r="OXM67" s="498" t="n"/>
      <c r="OXN67" s="498" t="n"/>
      <c r="OXO67" s="498" t="n"/>
      <c r="OXP67" s="498" t="n"/>
      <c r="OXQ67" s="498" t="n"/>
      <c r="OXR67" s="498" t="n"/>
      <c r="OXS67" s="498" t="n"/>
      <c r="OXT67" s="498" t="n"/>
      <c r="OXU67" s="498" t="n"/>
      <c r="OXV67" s="498" t="n"/>
      <c r="OXW67" s="498" t="n"/>
      <c r="OXX67" s="498" t="n"/>
      <c r="OXY67" s="498" t="n"/>
      <c r="OXZ67" s="498" t="n"/>
      <c r="OYA67" s="498" t="n"/>
      <c r="OYB67" s="498" t="n"/>
      <c r="OYC67" s="498" t="n"/>
      <c r="OYD67" s="498" t="n"/>
      <c r="OYE67" s="498" t="n"/>
      <c r="OYF67" s="498" t="n"/>
      <c r="OYG67" s="498" t="n"/>
      <c r="OYH67" s="498" t="n"/>
      <c r="OYI67" s="498" t="n"/>
      <c r="OYJ67" s="498" t="n"/>
      <c r="OYK67" s="498" t="n"/>
      <c r="OYL67" s="498" t="n"/>
      <c r="OYM67" s="498" t="n"/>
      <c r="OYN67" s="498" t="n"/>
      <c r="OYO67" s="498" t="n"/>
      <c r="OYP67" s="498" t="n"/>
      <c r="OYQ67" s="498" t="n"/>
      <c r="OYR67" s="498" t="n"/>
      <c r="OYS67" s="498" t="n"/>
      <c r="OYT67" s="498" t="n"/>
      <c r="OYU67" s="498" t="n"/>
      <c r="OYV67" s="498" t="n"/>
      <c r="OYW67" s="498" t="n"/>
      <c r="OYX67" s="498" t="n"/>
      <c r="OYY67" s="498" t="n"/>
      <c r="OYZ67" s="498" t="n"/>
      <c r="OZA67" s="498" t="n"/>
      <c r="OZB67" s="498" t="n"/>
      <c r="OZC67" s="498" t="n"/>
      <c r="OZD67" s="498" t="n"/>
      <c r="OZE67" s="498" t="n"/>
      <c r="OZF67" s="498" t="n"/>
      <c r="OZG67" s="498" t="n"/>
      <c r="OZH67" s="498" t="n"/>
      <c r="OZI67" s="498" t="n"/>
      <c r="OZJ67" s="498" t="n"/>
      <c r="OZK67" s="498" t="n"/>
      <c r="OZL67" s="498" t="n"/>
      <c r="OZM67" s="498" t="n"/>
      <c r="OZN67" s="498" t="n"/>
      <c r="OZO67" s="498" t="n"/>
      <c r="OZP67" s="498" t="n"/>
      <c r="OZQ67" s="498" t="n"/>
      <c r="OZR67" s="498" t="n"/>
      <c r="OZS67" s="498" t="n"/>
      <c r="OZT67" s="498" t="n"/>
      <c r="OZU67" s="498" t="n"/>
      <c r="OZV67" s="498" t="n"/>
      <c r="OZW67" s="498" t="n"/>
      <c r="OZX67" s="498" t="n"/>
      <c r="OZY67" s="498" t="n"/>
      <c r="OZZ67" s="498" t="n"/>
      <c r="PAA67" s="498" t="n"/>
      <c r="PAB67" s="498" t="n"/>
      <c r="PAC67" s="498" t="n"/>
      <c r="PAD67" s="498" t="n"/>
      <c r="PAE67" s="498" t="n"/>
      <c r="PAF67" s="498" t="n"/>
      <c r="PAG67" s="498" t="n"/>
      <c r="PAH67" s="498" t="n"/>
      <c r="PAI67" s="498" t="n"/>
      <c r="PAJ67" s="498" t="n"/>
      <c r="PAK67" s="498" t="n"/>
      <c r="PAL67" s="498" t="n"/>
      <c r="PAM67" s="498" t="n"/>
      <c r="PAN67" s="498" t="n"/>
      <c r="PAO67" s="498" t="n"/>
      <c r="PAP67" s="498" t="n"/>
      <c r="PAQ67" s="498" t="n"/>
      <c r="PAR67" s="498" t="n"/>
      <c r="PAS67" s="498" t="n"/>
      <c r="PAT67" s="498" t="n"/>
      <c r="PAU67" s="498" t="n"/>
      <c r="PAV67" s="498" t="n"/>
      <c r="PAW67" s="498" t="n"/>
      <c r="PAX67" s="498" t="n"/>
      <c r="PAY67" s="498" t="n"/>
      <c r="PAZ67" s="498" t="n"/>
      <c r="PBA67" s="498" t="n"/>
      <c r="PBB67" s="498" t="n"/>
      <c r="PBC67" s="498" t="n"/>
      <c r="PBD67" s="498" t="n"/>
      <c r="PBE67" s="498" t="n"/>
      <c r="PBF67" s="498" t="n"/>
      <c r="PBG67" s="498" t="n"/>
      <c r="PBH67" s="498" t="n"/>
      <c r="PBI67" s="498" t="n"/>
      <c r="PBJ67" s="498" t="n"/>
      <c r="PBK67" s="498" t="n"/>
      <c r="PBL67" s="498" t="n"/>
      <c r="PBM67" s="498" t="n"/>
      <c r="PBN67" s="498" t="n"/>
      <c r="PBO67" s="498" t="n"/>
      <c r="PBP67" s="498" t="n"/>
      <c r="PBQ67" s="498" t="n"/>
      <c r="PBR67" s="498" t="n"/>
      <c r="PBS67" s="498" t="n"/>
      <c r="PBT67" s="498" t="n"/>
      <c r="PBU67" s="498" t="n"/>
      <c r="PBV67" s="498" t="n"/>
      <c r="PBW67" s="498" t="n"/>
      <c r="PBX67" s="498" t="n"/>
      <c r="PBY67" s="498" t="n"/>
      <c r="PBZ67" s="498" t="n"/>
      <c r="PCA67" s="498" t="n"/>
      <c r="PCB67" s="498" t="n"/>
      <c r="PCC67" s="498" t="n"/>
      <c r="PCD67" s="498" t="n"/>
      <c r="PCE67" s="498" t="n"/>
      <c r="PCF67" s="498" t="n"/>
      <c r="PCG67" s="498" t="n"/>
      <c r="PCH67" s="498" t="n"/>
      <c r="PCI67" s="498" t="n"/>
      <c r="PCJ67" s="498" t="n"/>
      <c r="PCK67" s="498" t="n"/>
      <c r="PCL67" s="498" t="n"/>
      <c r="PCM67" s="498" t="n"/>
      <c r="PCN67" s="498" t="n"/>
      <c r="PCO67" s="498" t="n"/>
      <c r="PCP67" s="498" t="n"/>
      <c r="PCQ67" s="498" t="n"/>
      <c r="PCR67" s="498" t="n"/>
      <c r="PCS67" s="498" t="n"/>
      <c r="PCT67" s="498" t="n"/>
      <c r="PCU67" s="498" t="n"/>
      <c r="PCV67" s="498" t="n"/>
      <c r="PCW67" s="498" t="n"/>
      <c r="PCX67" s="498" t="n"/>
      <c r="PCY67" s="498" t="n"/>
      <c r="PCZ67" s="498" t="n"/>
      <c r="PDA67" s="498" t="n"/>
      <c r="PDB67" s="498" t="n"/>
      <c r="PDC67" s="498" t="n"/>
      <c r="PDD67" s="498" t="n"/>
      <c r="PDE67" s="498" t="n"/>
      <c r="PDF67" s="498" t="n"/>
      <c r="PDG67" s="498" t="n"/>
      <c r="PDH67" s="498" t="n"/>
      <c r="PDI67" s="498" t="n"/>
      <c r="PDJ67" s="498" t="n"/>
      <c r="PDK67" s="498" t="n"/>
      <c r="PDL67" s="498" t="n"/>
      <c r="PDM67" s="498" t="n"/>
      <c r="PDN67" s="498" t="n"/>
      <c r="PDO67" s="498" t="n"/>
      <c r="PDP67" s="498" t="n"/>
      <c r="PDQ67" s="498" t="n"/>
      <c r="PDR67" s="498" t="n"/>
      <c r="PDS67" s="498" t="n"/>
      <c r="PDT67" s="498" t="n"/>
      <c r="PDU67" s="498" t="n"/>
      <c r="PDV67" s="498" t="n"/>
      <c r="PDW67" s="498" t="n"/>
      <c r="PDX67" s="498" t="n"/>
      <c r="PDY67" s="498" t="n"/>
      <c r="PDZ67" s="498" t="n"/>
      <c r="PEA67" s="498" t="n"/>
      <c r="PEB67" s="498" t="n"/>
      <c r="PEC67" s="498" t="n"/>
      <c r="PED67" s="498" t="n"/>
      <c r="PEE67" s="498" t="n"/>
      <c r="PEF67" s="498" t="n"/>
      <c r="PEG67" s="498" t="n"/>
      <c r="PEH67" s="498" t="n"/>
      <c r="PEI67" s="498" t="n"/>
      <c r="PEJ67" s="498" t="n"/>
      <c r="PEK67" s="498" t="n"/>
      <c r="PEL67" s="498" t="n"/>
      <c r="PEM67" s="498" t="n"/>
      <c r="PEN67" s="498" t="n"/>
      <c r="PEO67" s="498" t="n"/>
      <c r="PEP67" s="498" t="n"/>
      <c r="PEQ67" s="498" t="n"/>
      <c r="PER67" s="498" t="n"/>
      <c r="PES67" s="498" t="n"/>
      <c r="PET67" s="498" t="n"/>
      <c r="PEU67" s="498" t="n"/>
      <c r="PEV67" s="498" t="n"/>
      <c r="PEW67" s="498" t="n"/>
      <c r="PEX67" s="498" t="n"/>
      <c r="PEY67" s="498" t="n"/>
      <c r="PEZ67" s="498" t="n"/>
      <c r="PFA67" s="498" t="n"/>
      <c r="PFB67" s="498" t="n"/>
      <c r="PFC67" s="498" t="n"/>
      <c r="PFD67" s="498" t="n"/>
      <c r="PFE67" s="498" t="n"/>
      <c r="PFF67" s="498" t="n"/>
      <c r="PFG67" s="498" t="n"/>
      <c r="PFH67" s="498" t="n"/>
      <c r="PFI67" s="498" t="n"/>
      <c r="PFJ67" s="498" t="n"/>
      <c r="PFK67" s="498" t="n"/>
      <c r="PFL67" s="498" t="n"/>
      <c r="PFM67" s="498" t="n"/>
      <c r="PFN67" s="498" t="n"/>
      <c r="PFO67" s="498" t="n"/>
      <c r="PFP67" s="498" t="n"/>
      <c r="PFQ67" s="498" t="n"/>
      <c r="PFR67" s="498" t="n"/>
      <c r="PFS67" s="498" t="n"/>
      <c r="PFT67" s="498" t="n"/>
      <c r="PFU67" s="498" t="n"/>
      <c r="PFV67" s="498" t="n"/>
      <c r="PFW67" s="498" t="n"/>
      <c r="PFX67" s="498" t="n"/>
      <c r="PFY67" s="498" t="n"/>
      <c r="PFZ67" s="498" t="n"/>
      <c r="PGA67" s="498" t="n"/>
      <c r="PGB67" s="498" t="n"/>
      <c r="PGC67" s="498" t="n"/>
      <c r="PGD67" s="498" t="n"/>
      <c r="PGE67" s="498" t="n"/>
      <c r="PGF67" s="498" t="n"/>
      <c r="PGG67" s="498" t="n"/>
      <c r="PGH67" s="498" t="n"/>
      <c r="PGI67" s="498" t="n"/>
      <c r="PGJ67" s="498" t="n"/>
      <c r="PGK67" s="498" t="n"/>
      <c r="PGL67" s="498" t="n"/>
      <c r="PGM67" s="498" t="n"/>
      <c r="PGN67" s="498" t="n"/>
      <c r="PGO67" s="498" t="n"/>
      <c r="PGP67" s="498" t="n"/>
      <c r="PGQ67" s="498" t="n"/>
      <c r="PGR67" s="498" t="n"/>
      <c r="PGS67" s="498" t="n"/>
      <c r="PGT67" s="498" t="n"/>
      <c r="PGU67" s="498" t="n"/>
      <c r="PGV67" s="498" t="n"/>
      <c r="PGW67" s="498" t="n"/>
      <c r="PGX67" s="498" t="n"/>
      <c r="PGY67" s="498" t="n"/>
      <c r="PGZ67" s="498" t="n"/>
      <c r="PHA67" s="498" t="n"/>
      <c r="PHB67" s="498" t="n"/>
      <c r="PHC67" s="498" t="n"/>
      <c r="PHD67" s="498" t="n"/>
      <c r="PHE67" s="498" t="n"/>
      <c r="PHF67" s="498" t="n"/>
      <c r="PHG67" s="498" t="n"/>
      <c r="PHH67" s="498" t="n"/>
      <c r="PHI67" s="498" t="n"/>
      <c r="PHJ67" s="498" t="n"/>
      <c r="PHK67" s="498" t="n"/>
      <c r="PHL67" s="498" t="n"/>
      <c r="PHM67" s="498" t="n"/>
      <c r="PHN67" s="498" t="n"/>
      <c r="PHO67" s="498" t="n"/>
      <c r="PHP67" s="498" t="n"/>
      <c r="PHQ67" s="498" t="n"/>
      <c r="PHR67" s="498" t="n"/>
      <c r="PHS67" s="498" t="n"/>
      <c r="PHT67" s="498" t="n"/>
      <c r="PHU67" s="498" t="n"/>
      <c r="PHV67" s="498" t="n"/>
      <c r="PHW67" s="498" t="n"/>
      <c r="PHX67" s="498" t="n"/>
      <c r="PHY67" s="498" t="n"/>
      <c r="PHZ67" s="498" t="n"/>
      <c r="PIA67" s="498" t="n"/>
      <c r="PIB67" s="498" t="n"/>
      <c r="PIC67" s="498" t="n"/>
      <c r="PID67" s="498" t="n"/>
      <c r="PIE67" s="498" t="n"/>
      <c r="PIF67" s="498" t="n"/>
      <c r="PIG67" s="498" t="n"/>
      <c r="PIH67" s="498" t="n"/>
      <c r="PII67" s="498" t="n"/>
      <c r="PIJ67" s="498" t="n"/>
      <c r="PIK67" s="498" t="n"/>
      <c r="PIL67" s="498" t="n"/>
      <c r="PIM67" s="498" t="n"/>
      <c r="PIN67" s="498" t="n"/>
      <c r="PIO67" s="498" t="n"/>
      <c r="PIP67" s="498" t="n"/>
      <c r="PIQ67" s="498" t="n"/>
      <c r="PIR67" s="498" t="n"/>
      <c r="PIS67" s="498" t="n"/>
      <c r="PIT67" s="498" t="n"/>
      <c r="PIU67" s="498" t="n"/>
      <c r="PIV67" s="498" t="n"/>
      <c r="PIW67" s="498" t="n"/>
      <c r="PIX67" s="498" t="n"/>
      <c r="PIY67" s="498" t="n"/>
      <c r="PIZ67" s="498" t="n"/>
      <c r="PJA67" s="498" t="n"/>
      <c r="PJB67" s="498" t="n"/>
      <c r="PJC67" s="498" t="n"/>
      <c r="PJD67" s="498" t="n"/>
      <c r="PJE67" s="498" t="n"/>
      <c r="PJF67" s="498" t="n"/>
      <c r="PJG67" s="498" t="n"/>
      <c r="PJH67" s="498" t="n"/>
      <c r="PJI67" s="498" t="n"/>
      <c r="PJJ67" s="498" t="n"/>
      <c r="PJK67" s="498" t="n"/>
      <c r="PJL67" s="498" t="n"/>
      <c r="PJM67" s="498" t="n"/>
      <c r="PJN67" s="498" t="n"/>
      <c r="PJO67" s="498" t="n"/>
      <c r="PJP67" s="498" t="n"/>
      <c r="PJQ67" s="498" t="n"/>
      <c r="PJR67" s="498" t="n"/>
      <c r="PJS67" s="498" t="n"/>
      <c r="PJT67" s="498" t="n"/>
      <c r="PJU67" s="498" t="n"/>
      <c r="PJV67" s="498" t="n"/>
      <c r="PJW67" s="498" t="n"/>
      <c r="PJX67" s="498" t="n"/>
      <c r="PJY67" s="498" t="n"/>
      <c r="PJZ67" s="498" t="n"/>
      <c r="PKA67" s="498" t="n"/>
      <c r="PKB67" s="498" t="n"/>
      <c r="PKC67" s="498" t="n"/>
      <c r="PKD67" s="498" t="n"/>
      <c r="PKE67" s="498" t="n"/>
      <c r="PKF67" s="498" t="n"/>
      <c r="PKG67" s="498" t="n"/>
      <c r="PKH67" s="498" t="n"/>
      <c r="PKI67" s="498" t="n"/>
      <c r="PKJ67" s="498" t="n"/>
      <c r="PKK67" s="498" t="n"/>
      <c r="PKL67" s="498" t="n"/>
      <c r="PKM67" s="498" t="n"/>
      <c r="PKN67" s="498" t="n"/>
      <c r="PKO67" s="498" t="n"/>
      <c r="PKP67" s="498" t="n"/>
      <c r="PKQ67" s="498" t="n"/>
      <c r="PKR67" s="498" t="n"/>
      <c r="PKS67" s="498" t="n"/>
      <c r="PKT67" s="498" t="n"/>
      <c r="PKU67" s="498" t="n"/>
      <c r="PKV67" s="498" t="n"/>
      <c r="PKW67" s="498" t="n"/>
      <c r="PKX67" s="498" t="n"/>
      <c r="PKY67" s="498" t="n"/>
      <c r="PKZ67" s="498" t="n"/>
      <c r="PLA67" s="498" t="n"/>
      <c r="PLB67" s="498" t="n"/>
      <c r="PLC67" s="498" t="n"/>
      <c r="PLD67" s="498" t="n"/>
      <c r="PLE67" s="498" t="n"/>
      <c r="PLF67" s="498" t="n"/>
      <c r="PLG67" s="498" t="n"/>
      <c r="PLH67" s="498" t="n"/>
      <c r="PLI67" s="498" t="n"/>
      <c r="PLJ67" s="498" t="n"/>
      <c r="PLK67" s="498" t="n"/>
      <c r="PLL67" s="498" t="n"/>
      <c r="PLM67" s="498" t="n"/>
      <c r="PLN67" s="498" t="n"/>
      <c r="PLO67" s="498" t="n"/>
      <c r="PLP67" s="498" t="n"/>
      <c r="PLQ67" s="498" t="n"/>
      <c r="PLR67" s="498" t="n"/>
      <c r="PLS67" s="498" t="n"/>
      <c r="PLT67" s="498" t="n"/>
      <c r="PLU67" s="498" t="n"/>
      <c r="PLV67" s="498" t="n"/>
      <c r="PLW67" s="498" t="n"/>
      <c r="PLX67" s="498" t="n"/>
      <c r="PLY67" s="498" t="n"/>
      <c r="PLZ67" s="498" t="n"/>
      <c r="PMA67" s="498" t="n"/>
      <c r="PMB67" s="498" t="n"/>
      <c r="PMC67" s="498" t="n"/>
      <c r="PMD67" s="498" t="n"/>
      <c r="PME67" s="498" t="n"/>
      <c r="PMF67" s="498" t="n"/>
      <c r="PMG67" s="498" t="n"/>
      <c r="PMH67" s="498" t="n"/>
      <c r="PMI67" s="498" t="n"/>
      <c r="PMJ67" s="498" t="n"/>
      <c r="PMK67" s="498" t="n"/>
      <c r="PML67" s="498" t="n"/>
      <c r="PMM67" s="498" t="n"/>
      <c r="PMN67" s="498" t="n"/>
      <c r="PMO67" s="498" t="n"/>
      <c r="PMP67" s="498" t="n"/>
      <c r="PMQ67" s="498" t="n"/>
      <c r="PMR67" s="498" t="n"/>
      <c r="PMS67" s="498" t="n"/>
      <c r="PMT67" s="498" t="n"/>
      <c r="PMU67" s="498" t="n"/>
      <c r="PMV67" s="498" t="n"/>
      <c r="PMW67" s="498" t="n"/>
      <c r="PMX67" s="498" t="n"/>
      <c r="PMY67" s="498" t="n"/>
      <c r="PMZ67" s="498" t="n"/>
      <c r="PNA67" s="498" t="n"/>
      <c r="PNB67" s="498" t="n"/>
      <c r="PNC67" s="498" t="n"/>
      <c r="PND67" s="498" t="n"/>
      <c r="PNE67" s="498" t="n"/>
      <c r="PNF67" s="498" t="n"/>
      <c r="PNG67" s="498" t="n"/>
      <c r="PNH67" s="498" t="n"/>
      <c r="PNI67" s="498" t="n"/>
      <c r="PNJ67" s="498" t="n"/>
      <c r="PNK67" s="498" t="n"/>
      <c r="PNL67" s="498" t="n"/>
      <c r="PNM67" s="498" t="n"/>
      <c r="PNN67" s="498" t="n"/>
      <c r="PNO67" s="498" t="n"/>
      <c r="PNP67" s="498" t="n"/>
      <c r="PNQ67" s="498" t="n"/>
      <c r="PNR67" s="498" t="n"/>
      <c r="PNS67" s="498" t="n"/>
      <c r="PNT67" s="498" t="n"/>
      <c r="PNU67" s="498" t="n"/>
      <c r="PNV67" s="498" t="n"/>
      <c r="PNW67" s="498" t="n"/>
      <c r="PNX67" s="498" t="n"/>
      <c r="PNY67" s="498" t="n"/>
      <c r="PNZ67" s="498" t="n"/>
      <c r="POA67" s="498" t="n"/>
      <c r="POB67" s="498" t="n"/>
      <c r="POC67" s="498" t="n"/>
      <c r="POD67" s="498" t="n"/>
      <c r="POE67" s="498" t="n"/>
      <c r="POF67" s="498" t="n"/>
      <c r="POG67" s="498" t="n"/>
      <c r="POH67" s="498" t="n"/>
      <c r="POI67" s="498" t="n"/>
      <c r="POJ67" s="498" t="n"/>
      <c r="POK67" s="498" t="n"/>
      <c r="POL67" s="498" t="n"/>
      <c r="POM67" s="498" t="n"/>
      <c r="PON67" s="498" t="n"/>
      <c r="POO67" s="498" t="n"/>
      <c r="POP67" s="498" t="n"/>
      <c r="POQ67" s="498" t="n"/>
      <c r="POR67" s="498" t="n"/>
      <c r="POS67" s="498" t="n"/>
      <c r="POT67" s="498" t="n"/>
      <c r="POU67" s="498" t="n"/>
      <c r="POV67" s="498" t="n"/>
      <c r="POW67" s="498" t="n"/>
      <c r="POX67" s="498" t="n"/>
      <c r="POY67" s="498" t="n"/>
      <c r="POZ67" s="498" t="n"/>
      <c r="PPA67" s="498" t="n"/>
      <c r="PPB67" s="498" t="n"/>
      <c r="PPC67" s="498" t="n"/>
      <c r="PPD67" s="498" t="n"/>
      <c r="PPE67" s="498" t="n"/>
      <c r="PPF67" s="498" t="n"/>
      <c r="PPG67" s="498" t="n"/>
      <c r="PPH67" s="498" t="n"/>
      <c r="PPI67" s="498" t="n"/>
      <c r="PPJ67" s="498" t="n"/>
      <c r="PPK67" s="498" t="n"/>
      <c r="PPL67" s="498" t="n"/>
      <c r="PPM67" s="498" t="n"/>
      <c r="PPN67" s="498" t="n"/>
      <c r="PPO67" s="498" t="n"/>
      <c r="PPP67" s="498" t="n"/>
      <c r="PPQ67" s="498" t="n"/>
      <c r="PPR67" s="498" t="n"/>
      <c r="PPS67" s="498" t="n"/>
      <c r="PPT67" s="498" t="n"/>
      <c r="PPU67" s="498" t="n"/>
      <c r="PPV67" s="498" t="n"/>
      <c r="PPW67" s="498" t="n"/>
      <c r="PPX67" s="498" t="n"/>
      <c r="PPY67" s="498" t="n"/>
      <c r="PPZ67" s="498" t="n"/>
      <c r="PQA67" s="498" t="n"/>
      <c r="PQB67" s="498" t="n"/>
      <c r="PQC67" s="498" t="n"/>
      <c r="PQD67" s="498" t="n"/>
      <c r="PQE67" s="498" t="n"/>
      <c r="PQF67" s="498" t="n"/>
      <c r="PQG67" s="498" t="n"/>
      <c r="PQH67" s="498" t="n"/>
      <c r="PQI67" s="498" t="n"/>
      <c r="PQJ67" s="498" t="n"/>
      <c r="PQK67" s="498" t="n"/>
      <c r="PQL67" s="498" t="n"/>
      <c r="PQM67" s="498" t="n"/>
      <c r="PQN67" s="498" t="n"/>
      <c r="PQO67" s="498" t="n"/>
      <c r="PQP67" s="498" t="n"/>
      <c r="PQQ67" s="498" t="n"/>
      <c r="PQR67" s="498" t="n"/>
      <c r="PQS67" s="498" t="n"/>
      <c r="PQT67" s="498" t="n"/>
      <c r="PQU67" s="498" t="n"/>
      <c r="PQV67" s="498" t="n"/>
      <c r="PQW67" s="498" t="n"/>
      <c r="PQX67" s="498" t="n"/>
      <c r="PQY67" s="498" t="n"/>
      <c r="PQZ67" s="498" t="n"/>
      <c r="PRA67" s="498" t="n"/>
      <c r="PRB67" s="498" t="n"/>
      <c r="PRC67" s="498" t="n"/>
      <c r="PRD67" s="498" t="n"/>
      <c r="PRE67" s="498" t="n"/>
      <c r="PRF67" s="498" t="n"/>
      <c r="PRG67" s="498" t="n"/>
      <c r="PRH67" s="498" t="n"/>
      <c r="PRI67" s="498" t="n"/>
      <c r="PRJ67" s="498" t="n"/>
      <c r="PRK67" s="498" t="n"/>
      <c r="PRL67" s="498" t="n"/>
      <c r="PRM67" s="498" t="n"/>
      <c r="PRN67" s="498" t="n"/>
      <c r="PRO67" s="498" t="n"/>
      <c r="PRP67" s="498" t="n"/>
      <c r="PRQ67" s="498" t="n"/>
      <c r="PRR67" s="498" t="n"/>
      <c r="PRS67" s="498" t="n"/>
      <c r="PRT67" s="498" t="n"/>
      <c r="PRU67" s="498" t="n"/>
      <c r="PRV67" s="498" t="n"/>
      <c r="PRW67" s="498" t="n"/>
      <c r="PRX67" s="498" t="n"/>
      <c r="PRY67" s="498" t="n"/>
      <c r="PRZ67" s="498" t="n"/>
      <c r="PSA67" s="498" t="n"/>
      <c r="PSB67" s="498" t="n"/>
      <c r="PSC67" s="498" t="n"/>
      <c r="PSD67" s="498" t="n"/>
      <c r="PSE67" s="498" t="n"/>
      <c r="PSF67" s="498" t="n"/>
      <c r="PSG67" s="498" t="n"/>
      <c r="PSH67" s="498" t="n"/>
      <c r="PSI67" s="498" t="n"/>
      <c r="PSJ67" s="498" t="n"/>
      <c r="PSK67" s="498" t="n"/>
      <c r="PSL67" s="498" t="n"/>
      <c r="PSM67" s="498" t="n"/>
      <c r="PSN67" s="498" t="n"/>
      <c r="PSO67" s="498" t="n"/>
      <c r="PSP67" s="498" t="n"/>
      <c r="PSQ67" s="498" t="n"/>
      <c r="PSR67" s="498" t="n"/>
      <c r="PSS67" s="498" t="n"/>
      <c r="PST67" s="498" t="n"/>
      <c r="PSU67" s="498" t="n"/>
      <c r="PSV67" s="498" t="n"/>
      <c r="PSW67" s="498" t="n"/>
      <c r="PSX67" s="498" t="n"/>
      <c r="PSY67" s="498" t="n"/>
      <c r="PSZ67" s="498" t="n"/>
      <c r="PTA67" s="498" t="n"/>
      <c r="PTB67" s="498" t="n"/>
      <c r="PTC67" s="498" t="n"/>
      <c r="PTD67" s="498" t="n"/>
      <c r="PTE67" s="498" t="n"/>
      <c r="PTF67" s="498" t="n"/>
      <c r="PTG67" s="498" t="n"/>
      <c r="PTH67" s="498" t="n"/>
      <c r="PTI67" s="498" t="n"/>
      <c r="PTJ67" s="498" t="n"/>
      <c r="PTK67" s="498" t="n"/>
      <c r="PTL67" s="498" t="n"/>
      <c r="PTM67" s="498" t="n"/>
      <c r="PTN67" s="498" t="n"/>
      <c r="PTO67" s="498" t="n"/>
      <c r="PTP67" s="498" t="n"/>
      <c r="PTQ67" s="498" t="n"/>
      <c r="PTR67" s="498" t="n"/>
      <c r="PTS67" s="498" t="n"/>
      <c r="PTT67" s="498" t="n"/>
      <c r="PTU67" s="498" t="n"/>
      <c r="PTV67" s="498" t="n"/>
      <c r="PTW67" s="498" t="n"/>
      <c r="PTX67" s="498" t="n"/>
      <c r="PTY67" s="498" t="n"/>
      <c r="PTZ67" s="498" t="n"/>
      <c r="PUA67" s="498" t="n"/>
      <c r="PUB67" s="498" t="n"/>
      <c r="PUC67" s="498" t="n"/>
      <c r="PUD67" s="498" t="n"/>
      <c r="PUE67" s="498" t="n"/>
      <c r="PUF67" s="498" t="n"/>
      <c r="PUG67" s="498" t="n"/>
      <c r="PUH67" s="498" t="n"/>
      <c r="PUI67" s="498" t="n"/>
      <c r="PUJ67" s="498" t="n"/>
      <c r="PUK67" s="498" t="n"/>
      <c r="PUL67" s="498" t="n"/>
      <c r="PUM67" s="498" t="n"/>
      <c r="PUN67" s="498" t="n"/>
      <c r="PUO67" s="498" t="n"/>
      <c r="PUP67" s="498" t="n"/>
      <c r="PUQ67" s="498" t="n"/>
      <c r="PUR67" s="498" t="n"/>
      <c r="PUS67" s="498" t="n"/>
      <c r="PUT67" s="498" t="n"/>
      <c r="PUU67" s="498" t="n"/>
      <c r="PUV67" s="498" t="n"/>
      <c r="PUW67" s="498" t="n"/>
      <c r="PUX67" s="498" t="n"/>
      <c r="PUY67" s="498" t="n"/>
      <c r="PUZ67" s="498" t="n"/>
      <c r="PVA67" s="498" t="n"/>
      <c r="PVB67" s="498" t="n"/>
      <c r="PVC67" s="498" t="n"/>
      <c r="PVD67" s="498" t="n"/>
      <c r="PVE67" s="498" t="n"/>
      <c r="PVF67" s="498" t="n"/>
      <c r="PVG67" s="498" t="n"/>
      <c r="PVH67" s="498" t="n"/>
      <c r="PVI67" s="498" t="n"/>
      <c r="PVJ67" s="498" t="n"/>
      <c r="PVK67" s="498" t="n"/>
      <c r="PVL67" s="498" t="n"/>
      <c r="PVM67" s="498" t="n"/>
      <c r="PVN67" s="498" t="n"/>
      <c r="PVO67" s="498" t="n"/>
      <c r="PVP67" s="498" t="n"/>
      <c r="PVQ67" s="498" t="n"/>
      <c r="PVR67" s="498" t="n"/>
      <c r="PVS67" s="498" t="n"/>
      <c r="PVT67" s="498" t="n"/>
      <c r="PVU67" s="498" t="n"/>
      <c r="PVV67" s="498" t="n"/>
      <c r="PVW67" s="498" t="n"/>
      <c r="PVX67" s="498" t="n"/>
      <c r="PVY67" s="498" t="n"/>
      <c r="PVZ67" s="498" t="n"/>
      <c r="PWA67" s="498" t="n"/>
      <c r="PWB67" s="498" t="n"/>
      <c r="PWC67" s="498" t="n"/>
      <c r="PWD67" s="498" t="n"/>
      <c r="PWE67" s="498" t="n"/>
      <c r="PWF67" s="498" t="n"/>
      <c r="PWG67" s="498" t="n"/>
      <c r="PWH67" s="498" t="n"/>
      <c r="PWI67" s="498" t="n"/>
      <c r="PWJ67" s="498" t="n"/>
      <c r="PWK67" s="498" t="n"/>
      <c r="PWL67" s="498" t="n"/>
      <c r="PWM67" s="498" t="n"/>
      <c r="PWN67" s="498" t="n"/>
      <c r="PWO67" s="498" t="n"/>
      <c r="PWP67" s="498" t="n"/>
      <c r="PWQ67" s="498" t="n"/>
      <c r="PWR67" s="498" t="n"/>
      <c r="PWS67" s="498" t="n"/>
      <c r="PWT67" s="498" t="n"/>
      <c r="PWU67" s="498" t="n"/>
      <c r="PWV67" s="498" t="n"/>
      <c r="PWW67" s="498" t="n"/>
      <c r="PWX67" s="498" t="n"/>
      <c r="PWY67" s="498" t="n"/>
      <c r="PWZ67" s="498" t="n"/>
      <c r="PXA67" s="498" t="n"/>
      <c r="PXB67" s="498" t="n"/>
      <c r="PXC67" s="498" t="n"/>
      <c r="PXD67" s="498" t="n"/>
      <c r="PXE67" s="498" t="n"/>
      <c r="PXF67" s="498" t="n"/>
      <c r="PXG67" s="498" t="n"/>
      <c r="PXH67" s="498" t="n"/>
      <c r="PXI67" s="498" t="n"/>
      <c r="PXJ67" s="498" t="n"/>
      <c r="PXK67" s="498" t="n"/>
      <c r="PXL67" s="498" t="n"/>
      <c r="PXM67" s="498" t="n"/>
      <c r="PXN67" s="498" t="n"/>
      <c r="PXO67" s="498" t="n"/>
      <c r="PXP67" s="498" t="n"/>
      <c r="PXQ67" s="498" t="n"/>
      <c r="PXR67" s="498" t="n"/>
      <c r="PXS67" s="498" t="n"/>
      <c r="PXT67" s="498" t="n"/>
      <c r="PXU67" s="498" t="n"/>
      <c r="PXV67" s="498" t="n"/>
      <c r="PXW67" s="498" t="n"/>
      <c r="PXX67" s="498" t="n"/>
      <c r="PXY67" s="498" t="n"/>
      <c r="PXZ67" s="498" t="n"/>
      <c r="PYA67" s="498" t="n"/>
      <c r="PYB67" s="498" t="n"/>
      <c r="PYC67" s="498" t="n"/>
      <c r="PYD67" s="498" t="n"/>
      <c r="PYE67" s="498" t="n"/>
      <c r="PYF67" s="498" t="n"/>
      <c r="PYG67" s="498" t="n"/>
      <c r="PYH67" s="498" t="n"/>
      <c r="PYI67" s="498" t="n"/>
      <c r="PYJ67" s="498" t="n"/>
      <c r="PYK67" s="498" t="n"/>
      <c r="PYL67" s="498" t="n"/>
      <c r="PYM67" s="498" t="n"/>
      <c r="PYN67" s="498" t="n"/>
      <c r="PYO67" s="498" t="n"/>
      <c r="PYP67" s="498" t="n"/>
      <c r="PYQ67" s="498" t="n"/>
      <c r="PYR67" s="498" t="n"/>
      <c r="PYS67" s="498" t="n"/>
      <c r="PYT67" s="498" t="n"/>
      <c r="PYU67" s="498" t="n"/>
      <c r="PYV67" s="498" t="n"/>
      <c r="PYW67" s="498" t="n"/>
      <c r="PYX67" s="498" t="n"/>
      <c r="PYY67" s="498" t="n"/>
      <c r="PYZ67" s="498" t="n"/>
      <c r="PZA67" s="498" t="n"/>
      <c r="PZB67" s="498" t="n"/>
      <c r="PZC67" s="498" t="n"/>
      <c r="PZD67" s="498" t="n"/>
      <c r="PZE67" s="498" t="n"/>
      <c r="PZF67" s="498" t="n"/>
      <c r="PZG67" s="498" t="n"/>
      <c r="PZH67" s="498" t="n"/>
      <c r="PZI67" s="498" t="n"/>
      <c r="PZJ67" s="498" t="n"/>
      <c r="PZK67" s="498" t="n"/>
      <c r="PZL67" s="498" t="n"/>
      <c r="PZM67" s="498" t="n"/>
      <c r="PZN67" s="498" t="n"/>
      <c r="PZO67" s="498" t="n"/>
      <c r="PZP67" s="498" t="n"/>
      <c r="PZQ67" s="498" t="n"/>
      <c r="PZR67" s="498" t="n"/>
      <c r="PZS67" s="498" t="n"/>
      <c r="PZT67" s="498" t="n"/>
      <c r="PZU67" s="498" t="n"/>
      <c r="PZV67" s="498" t="n"/>
      <c r="PZW67" s="498" t="n"/>
      <c r="PZX67" s="498" t="n"/>
      <c r="PZY67" s="498" t="n"/>
      <c r="PZZ67" s="498" t="n"/>
      <c r="QAA67" s="498" t="n"/>
      <c r="QAB67" s="498" t="n"/>
      <c r="QAC67" s="498" t="n"/>
      <c r="QAD67" s="498" t="n"/>
      <c r="QAE67" s="498" t="n"/>
      <c r="QAF67" s="498" t="n"/>
      <c r="QAG67" s="498" t="n"/>
      <c r="QAH67" s="498" t="n"/>
      <c r="QAI67" s="498" t="n"/>
      <c r="QAJ67" s="498" t="n"/>
      <c r="QAK67" s="498" t="n"/>
      <c r="QAL67" s="498" t="n"/>
      <c r="QAM67" s="498" t="n"/>
      <c r="QAN67" s="498" t="n"/>
      <c r="QAO67" s="498" t="n"/>
      <c r="QAP67" s="498" t="n"/>
      <c r="QAQ67" s="498" t="n"/>
      <c r="QAR67" s="498" t="n"/>
      <c r="QAS67" s="498" t="n"/>
      <c r="QAT67" s="498" t="n"/>
      <c r="QAU67" s="498" t="n"/>
      <c r="QAV67" s="498" t="n"/>
      <c r="QAW67" s="498" t="n"/>
      <c r="QAX67" s="498" t="n"/>
      <c r="QAY67" s="498" t="n"/>
      <c r="QAZ67" s="498" t="n"/>
      <c r="QBA67" s="498" t="n"/>
      <c r="QBB67" s="498" t="n"/>
      <c r="QBC67" s="498" t="n"/>
      <c r="QBD67" s="498" t="n"/>
      <c r="QBE67" s="498" t="n"/>
      <c r="QBF67" s="498" t="n"/>
      <c r="QBG67" s="498" t="n"/>
      <c r="QBH67" s="498" t="n"/>
      <c r="QBI67" s="498" t="n"/>
      <c r="QBJ67" s="498" t="n"/>
      <c r="QBK67" s="498" t="n"/>
      <c r="QBL67" s="498" t="n"/>
      <c r="QBM67" s="498" t="n"/>
      <c r="QBN67" s="498" t="n"/>
      <c r="QBO67" s="498" t="n"/>
      <c r="QBP67" s="498" t="n"/>
      <c r="QBQ67" s="498" t="n"/>
      <c r="QBR67" s="498" t="n"/>
      <c r="QBS67" s="498" t="n"/>
      <c r="QBT67" s="498" t="n"/>
      <c r="QBU67" s="498" t="n"/>
      <c r="QBV67" s="498" t="n"/>
      <c r="QBW67" s="498" t="n"/>
      <c r="QBX67" s="498" t="n"/>
      <c r="QBY67" s="498" t="n"/>
      <c r="QBZ67" s="498" t="n"/>
      <c r="QCA67" s="498" t="n"/>
      <c r="QCB67" s="498" t="n"/>
      <c r="QCC67" s="498" t="n"/>
      <c r="QCD67" s="498" t="n"/>
      <c r="QCE67" s="498" t="n"/>
      <c r="QCF67" s="498" t="n"/>
      <c r="QCG67" s="498" t="n"/>
      <c r="QCH67" s="498" t="n"/>
      <c r="QCI67" s="498" t="n"/>
      <c r="QCJ67" s="498" t="n"/>
      <c r="QCK67" s="498" t="n"/>
      <c r="QCL67" s="498" t="n"/>
      <c r="QCM67" s="498" t="n"/>
      <c r="QCN67" s="498" t="n"/>
      <c r="QCO67" s="498" t="n"/>
      <c r="QCP67" s="498" t="n"/>
      <c r="QCQ67" s="498" t="n"/>
      <c r="QCR67" s="498" t="n"/>
      <c r="QCS67" s="498" t="n"/>
      <c r="QCT67" s="498" t="n"/>
      <c r="QCU67" s="498" t="n"/>
      <c r="QCV67" s="498" t="n"/>
      <c r="QCW67" s="498" t="n"/>
      <c r="QCX67" s="498" t="n"/>
      <c r="QCY67" s="498" t="n"/>
      <c r="QCZ67" s="498" t="n"/>
      <c r="QDA67" s="498" t="n"/>
      <c r="QDB67" s="498" t="n"/>
      <c r="QDC67" s="498" t="n"/>
      <c r="QDD67" s="498" t="n"/>
      <c r="QDE67" s="498" t="n"/>
      <c r="QDF67" s="498" t="n"/>
      <c r="QDG67" s="498" t="n"/>
      <c r="QDH67" s="498" t="n"/>
      <c r="QDI67" s="498" t="n"/>
      <c r="QDJ67" s="498" t="n"/>
      <c r="QDK67" s="498" t="n"/>
      <c r="QDL67" s="498" t="n"/>
      <c r="QDM67" s="498" t="n"/>
      <c r="QDN67" s="498" t="n"/>
      <c r="QDO67" s="498" t="n"/>
      <c r="QDP67" s="498" t="n"/>
      <c r="QDQ67" s="498" t="n"/>
      <c r="QDR67" s="498" t="n"/>
      <c r="QDS67" s="498" t="n"/>
      <c r="QDT67" s="498" t="n"/>
      <c r="QDU67" s="498" t="n"/>
      <c r="QDV67" s="498" t="n"/>
      <c r="QDW67" s="498" t="n"/>
      <c r="QDX67" s="498" t="n"/>
      <c r="QDY67" s="498" t="n"/>
      <c r="QDZ67" s="498" t="n"/>
      <c r="QEA67" s="498" t="n"/>
      <c r="QEB67" s="498" t="n"/>
      <c r="QEC67" s="498" t="n"/>
      <c r="QED67" s="498" t="n"/>
      <c r="QEE67" s="498" t="n"/>
      <c r="QEF67" s="498" t="n"/>
      <c r="QEG67" s="498" t="n"/>
      <c r="QEH67" s="498" t="n"/>
      <c r="QEI67" s="498" t="n"/>
      <c r="QEJ67" s="498" t="n"/>
      <c r="QEK67" s="498" t="n"/>
      <c r="QEL67" s="498" t="n"/>
      <c r="QEM67" s="498" t="n"/>
      <c r="QEN67" s="498" t="n"/>
      <c r="QEO67" s="498" t="n"/>
      <c r="QEP67" s="498" t="n"/>
      <c r="QEQ67" s="498" t="n"/>
      <c r="QER67" s="498" t="n"/>
      <c r="QES67" s="498" t="n"/>
      <c r="QET67" s="498" t="n"/>
      <c r="QEU67" s="498" t="n"/>
      <c r="QEV67" s="498" t="n"/>
      <c r="QEW67" s="498" t="n"/>
      <c r="QEX67" s="498" t="n"/>
      <c r="QEY67" s="498" t="n"/>
      <c r="QEZ67" s="498" t="n"/>
      <c r="QFA67" s="498" t="n"/>
      <c r="QFB67" s="498" t="n"/>
      <c r="QFC67" s="498" t="n"/>
      <c r="QFD67" s="498" t="n"/>
      <c r="QFE67" s="498" t="n"/>
      <c r="QFF67" s="498" t="n"/>
      <c r="QFG67" s="498" t="n"/>
      <c r="QFH67" s="498" t="n"/>
      <c r="QFI67" s="498" t="n"/>
      <c r="QFJ67" s="498" t="n"/>
      <c r="QFK67" s="498" t="n"/>
      <c r="QFL67" s="498" t="n"/>
      <c r="QFM67" s="498" t="n"/>
      <c r="QFN67" s="498" t="n"/>
      <c r="QFO67" s="498" t="n"/>
      <c r="QFP67" s="498" t="n"/>
      <c r="QFQ67" s="498" t="n"/>
      <c r="QFR67" s="498" t="n"/>
      <c r="QFS67" s="498" t="n"/>
      <c r="QFT67" s="498" t="n"/>
      <c r="QFU67" s="498" t="n"/>
      <c r="QFV67" s="498" t="n"/>
      <c r="QFW67" s="498" t="n"/>
      <c r="QFX67" s="498" t="n"/>
      <c r="QFY67" s="498" t="n"/>
      <c r="QFZ67" s="498" t="n"/>
      <c r="QGA67" s="498" t="n"/>
      <c r="QGB67" s="498" t="n"/>
      <c r="QGC67" s="498" t="n"/>
      <c r="QGD67" s="498" t="n"/>
      <c r="QGE67" s="498" t="n"/>
      <c r="QGF67" s="498" t="n"/>
      <c r="QGG67" s="498" t="n"/>
      <c r="QGH67" s="498" t="n"/>
      <c r="QGI67" s="498" t="n"/>
      <c r="QGJ67" s="498" t="n"/>
      <c r="QGK67" s="498" t="n"/>
      <c r="QGL67" s="498" t="n"/>
      <c r="QGM67" s="498" t="n"/>
      <c r="QGN67" s="498" t="n"/>
      <c r="QGO67" s="498" t="n"/>
      <c r="QGP67" s="498" t="n"/>
      <c r="QGQ67" s="498" t="n"/>
      <c r="QGR67" s="498" t="n"/>
      <c r="QGS67" s="498" t="n"/>
      <c r="QGT67" s="498" t="n"/>
      <c r="QGU67" s="498" t="n"/>
      <c r="QGV67" s="498" t="n"/>
      <c r="QGW67" s="498" t="n"/>
      <c r="QGX67" s="498" t="n"/>
      <c r="QGY67" s="498" t="n"/>
      <c r="QGZ67" s="498" t="n"/>
      <c r="QHA67" s="498" t="n"/>
      <c r="QHB67" s="498" t="n"/>
      <c r="QHC67" s="498" t="n"/>
      <c r="QHD67" s="498" t="n"/>
      <c r="QHE67" s="498" t="n"/>
      <c r="QHF67" s="498" t="n"/>
      <c r="QHG67" s="498" t="n"/>
      <c r="QHH67" s="498" t="n"/>
      <c r="QHI67" s="498" t="n"/>
      <c r="QHJ67" s="498" t="n"/>
      <c r="QHK67" s="498" t="n"/>
      <c r="QHL67" s="498" t="n"/>
      <c r="QHM67" s="498" t="n"/>
      <c r="QHN67" s="498" t="n"/>
      <c r="QHO67" s="498" t="n"/>
      <c r="QHP67" s="498" t="n"/>
      <c r="QHQ67" s="498" t="n"/>
      <c r="QHR67" s="498" t="n"/>
      <c r="QHS67" s="498" t="n"/>
      <c r="QHT67" s="498" t="n"/>
      <c r="QHU67" s="498" t="n"/>
      <c r="QHV67" s="498" t="n"/>
      <c r="QHW67" s="498" t="n"/>
      <c r="QHX67" s="498" t="n"/>
      <c r="QHY67" s="498" t="n"/>
      <c r="QHZ67" s="498" t="n"/>
      <c r="QIA67" s="498" t="n"/>
      <c r="QIB67" s="498" t="n"/>
      <c r="QIC67" s="498" t="n"/>
      <c r="QID67" s="498" t="n"/>
      <c r="QIE67" s="498" t="n"/>
      <c r="QIF67" s="498" t="n"/>
      <c r="QIG67" s="498" t="n"/>
      <c r="QIH67" s="498" t="n"/>
      <c r="QII67" s="498" t="n"/>
      <c r="QIJ67" s="498" t="n"/>
      <c r="QIK67" s="498" t="n"/>
      <c r="QIL67" s="498" t="n"/>
      <c r="QIM67" s="498" t="n"/>
      <c r="QIN67" s="498" t="n"/>
      <c r="QIO67" s="498" t="n"/>
      <c r="QIP67" s="498" t="n"/>
      <c r="QIQ67" s="498" t="n"/>
      <c r="QIR67" s="498" t="n"/>
      <c r="QIS67" s="498" t="n"/>
      <c r="QIT67" s="498" t="n"/>
      <c r="QIU67" s="498" t="n"/>
      <c r="QIV67" s="498" t="n"/>
      <c r="QIW67" s="498" t="n"/>
      <c r="QIX67" s="498" t="n"/>
      <c r="QIY67" s="498" t="n"/>
      <c r="QIZ67" s="498" t="n"/>
      <c r="QJA67" s="498" t="n"/>
      <c r="QJB67" s="498" t="n"/>
      <c r="QJC67" s="498" t="n"/>
      <c r="QJD67" s="498" t="n"/>
      <c r="QJE67" s="498" t="n"/>
      <c r="QJF67" s="498" t="n"/>
      <c r="QJG67" s="498" t="n"/>
      <c r="QJH67" s="498" t="n"/>
      <c r="QJI67" s="498" t="n"/>
      <c r="QJJ67" s="498" t="n"/>
      <c r="QJK67" s="498" t="n"/>
      <c r="QJL67" s="498" t="n"/>
      <c r="QJM67" s="498" t="n"/>
      <c r="QJN67" s="498" t="n"/>
      <c r="QJO67" s="498" t="n"/>
      <c r="QJP67" s="498" t="n"/>
      <c r="QJQ67" s="498" t="n"/>
      <c r="QJR67" s="498" t="n"/>
      <c r="QJS67" s="498" t="n"/>
      <c r="QJT67" s="498" t="n"/>
      <c r="QJU67" s="498" t="n"/>
      <c r="QJV67" s="498" t="n"/>
      <c r="QJW67" s="498" t="n"/>
      <c r="QJX67" s="498" t="n"/>
      <c r="QJY67" s="498" t="n"/>
      <c r="QJZ67" s="498" t="n"/>
      <c r="QKA67" s="498" t="n"/>
      <c r="QKB67" s="498" t="n"/>
      <c r="QKC67" s="498" t="n"/>
      <c r="QKD67" s="498" t="n"/>
      <c r="QKE67" s="498" t="n"/>
      <c r="QKF67" s="498" t="n"/>
      <c r="QKG67" s="498" t="n"/>
      <c r="QKH67" s="498" t="n"/>
      <c r="QKI67" s="498" t="n"/>
      <c r="QKJ67" s="498" t="n"/>
      <c r="QKK67" s="498" t="n"/>
      <c r="QKL67" s="498" t="n"/>
      <c r="QKM67" s="498" t="n"/>
      <c r="QKN67" s="498" t="n"/>
      <c r="QKO67" s="498" t="n"/>
      <c r="QKP67" s="498" t="n"/>
      <c r="QKQ67" s="498" t="n"/>
      <c r="QKR67" s="498" t="n"/>
      <c r="QKS67" s="498" t="n"/>
      <c r="QKT67" s="498" t="n"/>
      <c r="QKU67" s="498" t="n"/>
      <c r="QKV67" s="498" t="n"/>
      <c r="QKW67" s="498" t="n"/>
      <c r="QKX67" s="498" t="n"/>
      <c r="QKY67" s="498" t="n"/>
      <c r="QKZ67" s="498" t="n"/>
      <c r="QLA67" s="498" t="n"/>
      <c r="QLB67" s="498" t="n"/>
      <c r="QLC67" s="498" t="n"/>
      <c r="QLD67" s="498" t="n"/>
      <c r="QLE67" s="498" t="n"/>
      <c r="QLF67" s="498" t="n"/>
      <c r="QLG67" s="498" t="n"/>
      <c r="QLH67" s="498" t="n"/>
      <c r="QLI67" s="498" t="n"/>
      <c r="QLJ67" s="498" t="n"/>
      <c r="QLK67" s="498" t="n"/>
      <c r="QLL67" s="498" t="n"/>
      <c r="QLM67" s="498" t="n"/>
      <c r="QLN67" s="498" t="n"/>
      <c r="QLO67" s="498" t="n"/>
      <c r="QLP67" s="498" t="n"/>
      <c r="QLQ67" s="498" t="n"/>
      <c r="QLR67" s="498" t="n"/>
      <c r="QLS67" s="498" t="n"/>
      <c r="QLT67" s="498" t="n"/>
      <c r="QLU67" s="498" t="n"/>
      <c r="QLV67" s="498" t="n"/>
      <c r="QLW67" s="498" t="n"/>
      <c r="QLX67" s="498" t="n"/>
      <c r="QLY67" s="498" t="n"/>
      <c r="QLZ67" s="498" t="n"/>
      <c r="QMA67" s="498" t="n"/>
      <c r="QMB67" s="498" t="n"/>
      <c r="QMC67" s="498" t="n"/>
      <c r="QMD67" s="498" t="n"/>
      <c r="QME67" s="498" t="n"/>
      <c r="QMF67" s="498" t="n"/>
      <c r="QMG67" s="498" t="n"/>
      <c r="QMH67" s="498" t="n"/>
      <c r="QMI67" s="498" t="n"/>
      <c r="QMJ67" s="498" t="n"/>
      <c r="QMK67" s="498" t="n"/>
      <c r="QML67" s="498" t="n"/>
      <c r="QMM67" s="498" t="n"/>
      <c r="QMN67" s="498" t="n"/>
      <c r="QMO67" s="498" t="n"/>
      <c r="QMP67" s="498" t="n"/>
      <c r="QMQ67" s="498" t="n"/>
      <c r="QMR67" s="498" t="n"/>
      <c r="QMS67" s="498" t="n"/>
      <c r="QMT67" s="498" t="n"/>
      <c r="QMU67" s="498" t="n"/>
      <c r="QMV67" s="498" t="n"/>
      <c r="QMW67" s="498" t="n"/>
      <c r="QMX67" s="498" t="n"/>
      <c r="QMY67" s="498" t="n"/>
      <c r="QMZ67" s="498" t="n"/>
      <c r="QNA67" s="498" t="n"/>
      <c r="QNB67" s="498" t="n"/>
      <c r="QNC67" s="498" t="n"/>
      <c r="QND67" s="498" t="n"/>
      <c r="QNE67" s="498" t="n"/>
      <c r="QNF67" s="498" t="n"/>
      <c r="QNG67" s="498" t="n"/>
      <c r="QNH67" s="498" t="n"/>
      <c r="QNI67" s="498" t="n"/>
      <c r="QNJ67" s="498" t="n"/>
      <c r="QNK67" s="498" t="n"/>
      <c r="QNL67" s="498" t="n"/>
      <c r="QNM67" s="498" t="n"/>
      <c r="QNN67" s="498" t="n"/>
      <c r="QNO67" s="498" t="n"/>
      <c r="QNP67" s="498" t="n"/>
      <c r="QNQ67" s="498" t="n"/>
      <c r="QNR67" s="498" t="n"/>
      <c r="QNS67" s="498" t="n"/>
      <c r="QNT67" s="498" t="n"/>
      <c r="QNU67" s="498" t="n"/>
      <c r="QNV67" s="498" t="n"/>
      <c r="QNW67" s="498" t="n"/>
      <c r="QNX67" s="498" t="n"/>
      <c r="QNY67" s="498" t="n"/>
      <c r="QNZ67" s="498" t="n"/>
      <c r="QOA67" s="498" t="n"/>
      <c r="QOB67" s="498" t="n"/>
      <c r="QOC67" s="498" t="n"/>
      <c r="QOD67" s="498" t="n"/>
      <c r="QOE67" s="498" t="n"/>
      <c r="QOF67" s="498" t="n"/>
      <c r="QOG67" s="498" t="n"/>
      <c r="QOH67" s="498" t="n"/>
      <c r="QOI67" s="498" t="n"/>
      <c r="QOJ67" s="498" t="n"/>
      <c r="QOK67" s="498" t="n"/>
      <c r="QOL67" s="498" t="n"/>
      <c r="QOM67" s="498" t="n"/>
      <c r="QON67" s="498" t="n"/>
      <c r="QOO67" s="498" t="n"/>
      <c r="QOP67" s="498" t="n"/>
      <c r="QOQ67" s="498" t="n"/>
      <c r="QOR67" s="498" t="n"/>
      <c r="QOS67" s="498" t="n"/>
      <c r="QOT67" s="498" t="n"/>
      <c r="QOU67" s="498" t="n"/>
      <c r="QOV67" s="498" t="n"/>
      <c r="QOW67" s="498" t="n"/>
      <c r="QOX67" s="498" t="n"/>
      <c r="QOY67" s="498" t="n"/>
      <c r="QOZ67" s="498" t="n"/>
      <c r="QPA67" s="498" t="n"/>
      <c r="QPB67" s="498" t="n"/>
      <c r="QPC67" s="498" t="n"/>
      <c r="QPD67" s="498" t="n"/>
      <c r="QPE67" s="498" t="n"/>
      <c r="QPF67" s="498" t="n"/>
      <c r="QPG67" s="498" t="n"/>
      <c r="QPH67" s="498" t="n"/>
      <c r="QPI67" s="498" t="n"/>
      <c r="QPJ67" s="498" t="n"/>
      <c r="QPK67" s="498" t="n"/>
      <c r="QPL67" s="498" t="n"/>
      <c r="QPM67" s="498" t="n"/>
      <c r="QPN67" s="498" t="n"/>
      <c r="QPO67" s="498" t="n"/>
      <c r="QPP67" s="498" t="n"/>
      <c r="QPQ67" s="498" t="n"/>
      <c r="QPR67" s="498" t="n"/>
      <c r="QPS67" s="498" t="n"/>
      <c r="QPT67" s="498" t="n"/>
      <c r="QPU67" s="498" t="n"/>
      <c r="QPV67" s="498" t="n"/>
      <c r="QPW67" s="498" t="n"/>
      <c r="QPX67" s="498" t="n"/>
      <c r="QPY67" s="498" t="n"/>
      <c r="QPZ67" s="498" t="n"/>
      <c r="QQA67" s="498" t="n"/>
      <c r="QQB67" s="498" t="n"/>
      <c r="QQC67" s="498" t="n"/>
      <c r="QQD67" s="498" t="n"/>
      <c r="QQE67" s="498" t="n"/>
      <c r="QQF67" s="498" t="n"/>
      <c r="QQG67" s="498" t="n"/>
      <c r="QQH67" s="498" t="n"/>
      <c r="QQI67" s="498" t="n"/>
      <c r="QQJ67" s="498" t="n"/>
      <c r="QQK67" s="498" t="n"/>
      <c r="QQL67" s="498" t="n"/>
      <c r="QQM67" s="498" t="n"/>
      <c r="QQN67" s="498" t="n"/>
      <c r="QQO67" s="498" t="n"/>
      <c r="QQP67" s="498" t="n"/>
      <c r="QQQ67" s="498" t="n"/>
      <c r="QQR67" s="498" t="n"/>
      <c r="QQS67" s="498" t="n"/>
      <c r="QQT67" s="498" t="n"/>
      <c r="QQU67" s="498" t="n"/>
      <c r="QQV67" s="498" t="n"/>
      <c r="QQW67" s="498" t="n"/>
      <c r="QQX67" s="498" t="n"/>
      <c r="QQY67" s="498" t="n"/>
      <c r="QQZ67" s="498" t="n"/>
      <c r="QRA67" s="498" t="n"/>
      <c r="QRB67" s="498" t="n"/>
      <c r="QRC67" s="498" t="n"/>
      <c r="QRD67" s="498" t="n"/>
      <c r="QRE67" s="498" t="n"/>
      <c r="QRF67" s="498" t="n"/>
      <c r="QRG67" s="498" t="n"/>
      <c r="QRH67" s="498" t="n"/>
      <c r="QRI67" s="498" t="n"/>
      <c r="QRJ67" s="498" t="n"/>
      <c r="QRK67" s="498" t="n"/>
      <c r="QRL67" s="498" t="n"/>
      <c r="QRM67" s="498" t="n"/>
      <c r="QRN67" s="498" t="n"/>
      <c r="QRO67" s="498" t="n"/>
      <c r="QRP67" s="498" t="n"/>
      <c r="QRQ67" s="498" t="n"/>
      <c r="QRR67" s="498" t="n"/>
      <c r="QRS67" s="498" t="n"/>
      <c r="QRT67" s="498" t="n"/>
      <c r="QRU67" s="498" t="n"/>
      <c r="QRV67" s="498" t="n"/>
      <c r="QRW67" s="498" t="n"/>
      <c r="QRX67" s="498" t="n"/>
      <c r="QRY67" s="498" t="n"/>
      <c r="QRZ67" s="498" t="n"/>
      <c r="QSA67" s="498" t="n"/>
      <c r="QSB67" s="498" t="n"/>
      <c r="QSC67" s="498" t="n"/>
      <c r="QSD67" s="498" t="n"/>
      <c r="QSE67" s="498" t="n"/>
      <c r="QSF67" s="498" t="n"/>
      <c r="QSG67" s="498" t="n"/>
      <c r="QSH67" s="498" t="n"/>
      <c r="QSI67" s="498" t="n"/>
      <c r="QSJ67" s="498" t="n"/>
      <c r="QSK67" s="498" t="n"/>
      <c r="QSL67" s="498" t="n"/>
      <c r="QSM67" s="498" t="n"/>
      <c r="QSN67" s="498" t="n"/>
      <c r="QSO67" s="498" t="n"/>
      <c r="QSP67" s="498" t="n"/>
      <c r="QSQ67" s="498" t="n"/>
      <c r="QSR67" s="498" t="n"/>
      <c r="QSS67" s="498" t="n"/>
      <c r="QST67" s="498" t="n"/>
      <c r="QSU67" s="498" t="n"/>
      <c r="QSV67" s="498" t="n"/>
      <c r="QSW67" s="498" t="n"/>
      <c r="QSX67" s="498" t="n"/>
      <c r="QSY67" s="498" t="n"/>
      <c r="QSZ67" s="498" t="n"/>
      <c r="QTA67" s="498" t="n"/>
      <c r="QTB67" s="498" t="n"/>
      <c r="QTC67" s="498" t="n"/>
      <c r="QTD67" s="498" t="n"/>
      <c r="QTE67" s="498" t="n"/>
      <c r="QTF67" s="498" t="n"/>
      <c r="QTG67" s="498" t="n"/>
      <c r="QTH67" s="498" t="n"/>
      <c r="QTI67" s="498" t="n"/>
      <c r="QTJ67" s="498" t="n"/>
      <c r="QTK67" s="498" t="n"/>
      <c r="QTL67" s="498" t="n"/>
      <c r="QTM67" s="498" t="n"/>
      <c r="QTN67" s="498" t="n"/>
      <c r="QTO67" s="498" t="n"/>
      <c r="QTP67" s="498" t="n"/>
      <c r="QTQ67" s="498" t="n"/>
      <c r="QTR67" s="498" t="n"/>
      <c r="QTS67" s="498" t="n"/>
      <c r="QTT67" s="498" t="n"/>
      <c r="QTU67" s="498" t="n"/>
      <c r="QTV67" s="498" t="n"/>
      <c r="QTW67" s="498" t="n"/>
      <c r="QTX67" s="498" t="n"/>
      <c r="QTY67" s="498" t="n"/>
      <c r="QTZ67" s="498" t="n"/>
      <c r="QUA67" s="498" t="n"/>
      <c r="QUB67" s="498" t="n"/>
      <c r="QUC67" s="498" t="n"/>
      <c r="QUD67" s="498" t="n"/>
      <c r="QUE67" s="498" t="n"/>
      <c r="QUF67" s="498" t="n"/>
      <c r="QUG67" s="498" t="n"/>
      <c r="QUH67" s="498" t="n"/>
      <c r="QUI67" s="498" t="n"/>
      <c r="QUJ67" s="498" t="n"/>
      <c r="QUK67" s="498" t="n"/>
      <c r="QUL67" s="498" t="n"/>
      <c r="QUM67" s="498" t="n"/>
      <c r="QUN67" s="498" t="n"/>
      <c r="QUO67" s="498" t="n"/>
      <c r="QUP67" s="498" t="n"/>
      <c r="QUQ67" s="498" t="n"/>
      <c r="QUR67" s="498" t="n"/>
      <c r="QUS67" s="498" t="n"/>
      <c r="QUT67" s="498" t="n"/>
      <c r="QUU67" s="498" t="n"/>
      <c r="QUV67" s="498" t="n"/>
      <c r="QUW67" s="498" t="n"/>
      <c r="QUX67" s="498" t="n"/>
      <c r="QUY67" s="498" t="n"/>
      <c r="QUZ67" s="498" t="n"/>
      <c r="QVA67" s="498" t="n"/>
      <c r="QVB67" s="498" t="n"/>
      <c r="QVC67" s="498" t="n"/>
      <c r="QVD67" s="498" t="n"/>
      <c r="QVE67" s="498" t="n"/>
      <c r="QVF67" s="498" t="n"/>
      <c r="QVG67" s="498" t="n"/>
      <c r="QVH67" s="498" t="n"/>
      <c r="QVI67" s="498" t="n"/>
      <c r="QVJ67" s="498" t="n"/>
      <c r="QVK67" s="498" t="n"/>
      <c r="QVL67" s="498" t="n"/>
      <c r="QVM67" s="498" t="n"/>
      <c r="QVN67" s="498" t="n"/>
      <c r="QVO67" s="498" t="n"/>
      <c r="QVP67" s="498" t="n"/>
      <c r="QVQ67" s="498" t="n"/>
      <c r="QVR67" s="498" t="n"/>
      <c r="QVS67" s="498" t="n"/>
      <c r="QVT67" s="498" t="n"/>
      <c r="QVU67" s="498" t="n"/>
      <c r="QVV67" s="498" t="n"/>
      <c r="QVW67" s="498" t="n"/>
      <c r="QVX67" s="498" t="n"/>
      <c r="QVY67" s="498" t="n"/>
      <c r="QVZ67" s="498" t="n"/>
      <c r="QWA67" s="498" t="n"/>
      <c r="QWB67" s="498" t="n"/>
      <c r="QWC67" s="498" t="n"/>
      <c r="QWD67" s="498" t="n"/>
      <c r="QWE67" s="498" t="n"/>
      <c r="QWF67" s="498" t="n"/>
      <c r="QWG67" s="498" t="n"/>
      <c r="QWH67" s="498" t="n"/>
      <c r="QWI67" s="498" t="n"/>
      <c r="QWJ67" s="498" t="n"/>
      <c r="QWK67" s="498" t="n"/>
      <c r="QWL67" s="498" t="n"/>
      <c r="QWM67" s="498" t="n"/>
      <c r="QWN67" s="498" t="n"/>
      <c r="QWO67" s="498" t="n"/>
      <c r="QWP67" s="498" t="n"/>
      <c r="QWQ67" s="498" t="n"/>
      <c r="QWR67" s="498" t="n"/>
      <c r="QWS67" s="498" t="n"/>
      <c r="QWT67" s="498" t="n"/>
      <c r="QWU67" s="498" t="n"/>
      <c r="QWV67" s="498" t="n"/>
      <c r="QWW67" s="498" t="n"/>
      <c r="QWX67" s="498" t="n"/>
      <c r="QWY67" s="498" t="n"/>
      <c r="QWZ67" s="498" t="n"/>
      <c r="QXA67" s="498" t="n"/>
      <c r="QXB67" s="498" t="n"/>
      <c r="QXC67" s="498" t="n"/>
      <c r="QXD67" s="498" t="n"/>
      <c r="QXE67" s="498" t="n"/>
      <c r="QXF67" s="498" t="n"/>
      <c r="QXG67" s="498" t="n"/>
      <c r="QXH67" s="498" t="n"/>
      <c r="QXI67" s="498" t="n"/>
      <c r="QXJ67" s="498" t="n"/>
      <c r="QXK67" s="498" t="n"/>
      <c r="QXL67" s="498" t="n"/>
      <c r="QXM67" s="498" t="n"/>
      <c r="QXN67" s="498" t="n"/>
      <c r="QXO67" s="498" t="n"/>
      <c r="QXP67" s="498" t="n"/>
      <c r="QXQ67" s="498" t="n"/>
      <c r="QXR67" s="498" t="n"/>
      <c r="QXS67" s="498" t="n"/>
      <c r="QXT67" s="498" t="n"/>
      <c r="QXU67" s="498" t="n"/>
      <c r="QXV67" s="498" t="n"/>
      <c r="QXW67" s="498" t="n"/>
      <c r="QXX67" s="498" t="n"/>
      <c r="QXY67" s="498" t="n"/>
      <c r="QXZ67" s="498" t="n"/>
      <c r="QYA67" s="498" t="n"/>
      <c r="QYB67" s="498" t="n"/>
      <c r="QYC67" s="498" t="n"/>
      <c r="QYD67" s="498" t="n"/>
      <c r="QYE67" s="498" t="n"/>
      <c r="QYF67" s="498" t="n"/>
      <c r="QYG67" s="498" t="n"/>
      <c r="QYH67" s="498" t="n"/>
      <c r="QYI67" s="498" t="n"/>
      <c r="QYJ67" s="498" t="n"/>
      <c r="QYK67" s="498" t="n"/>
      <c r="QYL67" s="498" t="n"/>
      <c r="QYM67" s="498" t="n"/>
      <c r="QYN67" s="498" t="n"/>
      <c r="QYO67" s="498" t="n"/>
      <c r="QYP67" s="498" t="n"/>
      <c r="QYQ67" s="498" t="n"/>
      <c r="QYR67" s="498" t="n"/>
      <c r="QYS67" s="498" t="n"/>
      <c r="QYT67" s="498" t="n"/>
      <c r="QYU67" s="498" t="n"/>
      <c r="QYV67" s="498" t="n"/>
      <c r="QYW67" s="498" t="n"/>
      <c r="QYX67" s="498" t="n"/>
      <c r="QYY67" s="498" t="n"/>
      <c r="QYZ67" s="498" t="n"/>
      <c r="QZA67" s="498" t="n"/>
      <c r="QZB67" s="498" t="n"/>
      <c r="QZC67" s="498" t="n"/>
      <c r="QZD67" s="498" t="n"/>
      <c r="QZE67" s="498" t="n"/>
      <c r="QZF67" s="498" t="n"/>
      <c r="QZG67" s="498" t="n"/>
      <c r="QZH67" s="498" t="n"/>
      <c r="QZI67" s="498" t="n"/>
      <c r="QZJ67" s="498" t="n"/>
      <c r="QZK67" s="498" t="n"/>
      <c r="QZL67" s="498" t="n"/>
      <c r="QZM67" s="498" t="n"/>
      <c r="QZN67" s="498" t="n"/>
      <c r="QZO67" s="498" t="n"/>
      <c r="QZP67" s="498" t="n"/>
      <c r="QZQ67" s="498" t="n"/>
      <c r="QZR67" s="498" t="n"/>
      <c r="QZS67" s="498" t="n"/>
      <c r="QZT67" s="498" t="n"/>
      <c r="QZU67" s="498" t="n"/>
      <c r="QZV67" s="498" t="n"/>
      <c r="QZW67" s="498" t="n"/>
      <c r="QZX67" s="498" t="n"/>
      <c r="QZY67" s="498" t="n"/>
      <c r="QZZ67" s="498" t="n"/>
      <c r="RAA67" s="498" t="n"/>
      <c r="RAB67" s="498" t="n"/>
      <c r="RAC67" s="498" t="n"/>
      <c r="RAD67" s="498" t="n"/>
      <c r="RAE67" s="498" t="n"/>
      <c r="RAF67" s="498" t="n"/>
      <c r="RAG67" s="498" t="n"/>
      <c r="RAH67" s="498" t="n"/>
      <c r="RAI67" s="498" t="n"/>
      <c r="RAJ67" s="498" t="n"/>
      <c r="RAK67" s="498" t="n"/>
      <c r="RAL67" s="498" t="n"/>
      <c r="RAM67" s="498" t="n"/>
      <c r="RAN67" s="498" t="n"/>
      <c r="RAO67" s="498" t="n"/>
      <c r="RAP67" s="498" t="n"/>
      <c r="RAQ67" s="498" t="n"/>
      <c r="RAR67" s="498" t="n"/>
      <c r="RAS67" s="498" t="n"/>
      <c r="RAT67" s="498" t="n"/>
      <c r="RAU67" s="498" t="n"/>
      <c r="RAV67" s="498" t="n"/>
      <c r="RAW67" s="498" t="n"/>
      <c r="RAX67" s="498" t="n"/>
      <c r="RAY67" s="498" t="n"/>
      <c r="RAZ67" s="498" t="n"/>
      <c r="RBA67" s="498" t="n"/>
      <c r="RBB67" s="498" t="n"/>
      <c r="RBC67" s="498" t="n"/>
      <c r="RBD67" s="498" t="n"/>
      <c r="RBE67" s="498" t="n"/>
      <c r="RBF67" s="498" t="n"/>
      <c r="RBG67" s="498" t="n"/>
      <c r="RBH67" s="498" t="n"/>
      <c r="RBI67" s="498" t="n"/>
      <c r="RBJ67" s="498" t="n"/>
      <c r="RBK67" s="498" t="n"/>
      <c r="RBL67" s="498" t="n"/>
      <c r="RBM67" s="498" t="n"/>
      <c r="RBN67" s="498" t="n"/>
      <c r="RBO67" s="498" t="n"/>
      <c r="RBP67" s="498" t="n"/>
      <c r="RBQ67" s="498" t="n"/>
      <c r="RBR67" s="498" t="n"/>
      <c r="RBS67" s="498" t="n"/>
      <c r="RBT67" s="498" t="n"/>
      <c r="RBU67" s="498" t="n"/>
      <c r="RBV67" s="498" t="n"/>
      <c r="RBW67" s="498" t="n"/>
      <c r="RBX67" s="498" t="n"/>
      <c r="RBY67" s="498" t="n"/>
      <c r="RBZ67" s="498" t="n"/>
      <c r="RCA67" s="498" t="n"/>
      <c r="RCB67" s="498" t="n"/>
      <c r="RCC67" s="498" t="n"/>
      <c r="RCD67" s="498" t="n"/>
      <c r="RCE67" s="498" t="n"/>
      <c r="RCF67" s="498" t="n"/>
      <c r="RCG67" s="498" t="n"/>
      <c r="RCH67" s="498" t="n"/>
      <c r="RCI67" s="498" t="n"/>
      <c r="RCJ67" s="498" t="n"/>
      <c r="RCK67" s="498" t="n"/>
      <c r="RCL67" s="498" t="n"/>
      <c r="RCM67" s="498" t="n"/>
      <c r="RCN67" s="498" t="n"/>
      <c r="RCO67" s="498" t="n"/>
      <c r="RCP67" s="498" t="n"/>
      <c r="RCQ67" s="498" t="n"/>
      <c r="RCR67" s="498" t="n"/>
      <c r="RCS67" s="498" t="n"/>
      <c r="RCT67" s="498" t="n"/>
      <c r="RCU67" s="498" t="n"/>
      <c r="RCV67" s="498" t="n"/>
      <c r="RCW67" s="498" t="n"/>
      <c r="RCX67" s="498" t="n"/>
      <c r="RCY67" s="498" t="n"/>
      <c r="RCZ67" s="498" t="n"/>
      <c r="RDA67" s="498" t="n"/>
      <c r="RDB67" s="498" t="n"/>
      <c r="RDC67" s="498" t="n"/>
      <c r="RDD67" s="498" t="n"/>
      <c r="RDE67" s="498" t="n"/>
      <c r="RDF67" s="498" t="n"/>
      <c r="RDG67" s="498" t="n"/>
      <c r="RDH67" s="498" t="n"/>
      <c r="RDI67" s="498" t="n"/>
      <c r="RDJ67" s="498" t="n"/>
      <c r="RDK67" s="498" t="n"/>
      <c r="RDL67" s="498" t="n"/>
      <c r="RDM67" s="498" t="n"/>
      <c r="RDN67" s="498" t="n"/>
      <c r="RDO67" s="498" t="n"/>
      <c r="RDP67" s="498" t="n"/>
      <c r="RDQ67" s="498" t="n"/>
      <c r="RDR67" s="498" t="n"/>
      <c r="RDS67" s="498" t="n"/>
      <c r="RDT67" s="498" t="n"/>
      <c r="RDU67" s="498" t="n"/>
      <c r="RDV67" s="498" t="n"/>
      <c r="RDW67" s="498" t="n"/>
      <c r="RDX67" s="498" t="n"/>
      <c r="RDY67" s="498" t="n"/>
      <c r="RDZ67" s="498" t="n"/>
      <c r="REA67" s="498" t="n"/>
      <c r="REB67" s="498" t="n"/>
      <c r="REC67" s="498" t="n"/>
      <c r="RED67" s="498" t="n"/>
      <c r="REE67" s="498" t="n"/>
      <c r="REF67" s="498" t="n"/>
      <c r="REG67" s="498" t="n"/>
      <c r="REH67" s="498" t="n"/>
      <c r="REI67" s="498" t="n"/>
      <c r="REJ67" s="498" t="n"/>
      <c r="REK67" s="498" t="n"/>
      <c r="REL67" s="498" t="n"/>
      <c r="REM67" s="498" t="n"/>
      <c r="REN67" s="498" t="n"/>
      <c r="REO67" s="498" t="n"/>
      <c r="REP67" s="498" t="n"/>
      <c r="REQ67" s="498" t="n"/>
      <c r="RER67" s="498" t="n"/>
      <c r="RES67" s="498" t="n"/>
      <c r="RET67" s="498" t="n"/>
      <c r="REU67" s="498" t="n"/>
      <c r="REV67" s="498" t="n"/>
      <c r="REW67" s="498" t="n"/>
      <c r="REX67" s="498" t="n"/>
      <c r="REY67" s="498" t="n"/>
      <c r="REZ67" s="498" t="n"/>
      <c r="RFA67" s="498" t="n"/>
      <c r="RFB67" s="498" t="n"/>
      <c r="RFC67" s="498" t="n"/>
      <c r="RFD67" s="498" t="n"/>
      <c r="RFE67" s="498" t="n"/>
      <c r="RFF67" s="498" t="n"/>
      <c r="RFG67" s="498" t="n"/>
      <c r="RFH67" s="498" t="n"/>
      <c r="RFI67" s="498" t="n"/>
      <c r="RFJ67" s="498" t="n"/>
      <c r="RFK67" s="498" t="n"/>
      <c r="RFL67" s="498" t="n"/>
      <c r="RFM67" s="498" t="n"/>
      <c r="RFN67" s="498" t="n"/>
      <c r="RFO67" s="498" t="n"/>
      <c r="RFP67" s="498" t="n"/>
      <c r="RFQ67" s="498" t="n"/>
      <c r="RFR67" s="498" t="n"/>
      <c r="RFS67" s="498" t="n"/>
      <c r="RFT67" s="498" t="n"/>
      <c r="RFU67" s="498" t="n"/>
      <c r="RFV67" s="498" t="n"/>
      <c r="RFW67" s="498" t="n"/>
      <c r="RFX67" s="498" t="n"/>
      <c r="RFY67" s="498" t="n"/>
      <c r="RFZ67" s="498" t="n"/>
      <c r="RGA67" s="498" t="n"/>
      <c r="RGB67" s="498" t="n"/>
      <c r="RGC67" s="498" t="n"/>
      <c r="RGD67" s="498" t="n"/>
      <c r="RGE67" s="498" t="n"/>
      <c r="RGF67" s="498" t="n"/>
      <c r="RGG67" s="498" t="n"/>
      <c r="RGH67" s="498" t="n"/>
      <c r="RGI67" s="498" t="n"/>
      <c r="RGJ67" s="498" t="n"/>
      <c r="RGK67" s="498" t="n"/>
      <c r="RGL67" s="498" t="n"/>
      <c r="RGM67" s="498" t="n"/>
      <c r="RGN67" s="498" t="n"/>
      <c r="RGO67" s="498" t="n"/>
      <c r="RGP67" s="498" t="n"/>
      <c r="RGQ67" s="498" t="n"/>
      <c r="RGR67" s="498" t="n"/>
      <c r="RGS67" s="498" t="n"/>
      <c r="RGT67" s="498" t="n"/>
      <c r="RGU67" s="498" t="n"/>
      <c r="RGV67" s="498" t="n"/>
      <c r="RGW67" s="498" t="n"/>
      <c r="RGX67" s="498" t="n"/>
      <c r="RGY67" s="498" t="n"/>
      <c r="RGZ67" s="498" t="n"/>
      <c r="RHA67" s="498" t="n"/>
      <c r="RHB67" s="498" t="n"/>
      <c r="RHC67" s="498" t="n"/>
      <c r="RHD67" s="498" t="n"/>
      <c r="RHE67" s="498" t="n"/>
      <c r="RHF67" s="498" t="n"/>
      <c r="RHG67" s="498" t="n"/>
      <c r="RHH67" s="498" t="n"/>
      <c r="RHI67" s="498" t="n"/>
      <c r="RHJ67" s="498" t="n"/>
      <c r="RHK67" s="498" t="n"/>
      <c r="RHL67" s="498" t="n"/>
      <c r="RHM67" s="498" t="n"/>
      <c r="RHN67" s="498" t="n"/>
      <c r="RHO67" s="498" t="n"/>
      <c r="RHP67" s="498" t="n"/>
      <c r="RHQ67" s="498" t="n"/>
      <c r="RHR67" s="498" t="n"/>
      <c r="RHS67" s="498" t="n"/>
      <c r="RHT67" s="498" t="n"/>
      <c r="RHU67" s="498" t="n"/>
      <c r="RHV67" s="498" t="n"/>
      <c r="RHW67" s="498" t="n"/>
      <c r="RHX67" s="498" t="n"/>
      <c r="RHY67" s="498" t="n"/>
      <c r="RHZ67" s="498" t="n"/>
      <c r="RIA67" s="498" t="n"/>
      <c r="RIB67" s="498" t="n"/>
      <c r="RIC67" s="498" t="n"/>
      <c r="RID67" s="498" t="n"/>
      <c r="RIE67" s="498" t="n"/>
      <c r="RIF67" s="498" t="n"/>
      <c r="RIG67" s="498" t="n"/>
      <c r="RIH67" s="498" t="n"/>
      <c r="RII67" s="498" t="n"/>
      <c r="RIJ67" s="498" t="n"/>
      <c r="RIK67" s="498" t="n"/>
      <c r="RIL67" s="498" t="n"/>
      <c r="RIM67" s="498" t="n"/>
      <c r="RIN67" s="498" t="n"/>
      <c r="RIO67" s="498" t="n"/>
      <c r="RIP67" s="498" t="n"/>
      <c r="RIQ67" s="498" t="n"/>
      <c r="RIR67" s="498" t="n"/>
      <c r="RIS67" s="498" t="n"/>
      <c r="RIT67" s="498" t="n"/>
      <c r="RIU67" s="498" t="n"/>
      <c r="RIV67" s="498" t="n"/>
      <c r="RIW67" s="498" t="n"/>
      <c r="RIX67" s="498" t="n"/>
      <c r="RIY67" s="498" t="n"/>
      <c r="RIZ67" s="498" t="n"/>
      <c r="RJA67" s="498" t="n"/>
      <c r="RJB67" s="498" t="n"/>
      <c r="RJC67" s="498" t="n"/>
      <c r="RJD67" s="498" t="n"/>
      <c r="RJE67" s="498" t="n"/>
      <c r="RJF67" s="498" t="n"/>
      <c r="RJG67" s="498" t="n"/>
      <c r="RJH67" s="498" t="n"/>
      <c r="RJI67" s="498" t="n"/>
      <c r="RJJ67" s="498" t="n"/>
      <c r="RJK67" s="498" t="n"/>
      <c r="RJL67" s="498" t="n"/>
      <c r="RJM67" s="498" t="n"/>
      <c r="RJN67" s="498" t="n"/>
      <c r="RJO67" s="498" t="n"/>
      <c r="RJP67" s="498" t="n"/>
      <c r="RJQ67" s="498" t="n"/>
      <c r="RJR67" s="498" t="n"/>
      <c r="RJS67" s="498" t="n"/>
      <c r="RJT67" s="498" t="n"/>
      <c r="RJU67" s="498" t="n"/>
      <c r="RJV67" s="498" t="n"/>
      <c r="RJW67" s="498" t="n"/>
      <c r="RJX67" s="498" t="n"/>
      <c r="RJY67" s="498" t="n"/>
      <c r="RJZ67" s="498" t="n"/>
      <c r="RKA67" s="498" t="n"/>
      <c r="RKB67" s="498" t="n"/>
      <c r="RKC67" s="498" t="n"/>
      <c r="RKD67" s="498" t="n"/>
      <c r="RKE67" s="498" t="n"/>
      <c r="RKF67" s="498" t="n"/>
      <c r="RKG67" s="498" t="n"/>
      <c r="RKH67" s="498" t="n"/>
      <c r="RKI67" s="498" t="n"/>
      <c r="RKJ67" s="498" t="n"/>
      <c r="RKK67" s="498" t="n"/>
      <c r="RKL67" s="498" t="n"/>
      <c r="RKM67" s="498" t="n"/>
      <c r="RKN67" s="498" t="n"/>
      <c r="RKO67" s="498" t="n"/>
      <c r="RKP67" s="498" t="n"/>
      <c r="RKQ67" s="498" t="n"/>
      <c r="RKR67" s="498" t="n"/>
      <c r="RKS67" s="498" t="n"/>
      <c r="RKT67" s="498" t="n"/>
      <c r="RKU67" s="498" t="n"/>
      <c r="RKV67" s="498" t="n"/>
      <c r="RKW67" s="498" t="n"/>
      <c r="RKX67" s="498" t="n"/>
      <c r="RKY67" s="498" t="n"/>
      <c r="RKZ67" s="498" t="n"/>
      <c r="RLA67" s="498" t="n"/>
      <c r="RLB67" s="498" t="n"/>
      <c r="RLC67" s="498" t="n"/>
      <c r="RLD67" s="498" t="n"/>
      <c r="RLE67" s="498" t="n"/>
      <c r="RLF67" s="498" t="n"/>
      <c r="RLG67" s="498" t="n"/>
      <c r="RLH67" s="498" t="n"/>
      <c r="RLI67" s="498" t="n"/>
      <c r="RLJ67" s="498" t="n"/>
      <c r="RLK67" s="498" t="n"/>
      <c r="RLL67" s="498" t="n"/>
      <c r="RLM67" s="498" t="n"/>
      <c r="RLN67" s="498" t="n"/>
      <c r="RLO67" s="498" t="n"/>
      <c r="RLP67" s="498" t="n"/>
      <c r="RLQ67" s="498" t="n"/>
      <c r="RLR67" s="498" t="n"/>
      <c r="RLS67" s="498" t="n"/>
      <c r="RLT67" s="498" t="n"/>
      <c r="RLU67" s="498" t="n"/>
      <c r="RLV67" s="498" t="n"/>
      <c r="RLW67" s="498" t="n"/>
      <c r="RLX67" s="498" t="n"/>
      <c r="RLY67" s="498" t="n"/>
      <c r="RLZ67" s="498" t="n"/>
      <c r="RMA67" s="498" t="n"/>
      <c r="RMB67" s="498" t="n"/>
      <c r="RMC67" s="498" t="n"/>
      <c r="RMD67" s="498" t="n"/>
      <c r="RME67" s="498" t="n"/>
      <c r="RMF67" s="498" t="n"/>
      <c r="RMG67" s="498" t="n"/>
      <c r="RMH67" s="498" t="n"/>
      <c r="RMI67" s="498" t="n"/>
      <c r="RMJ67" s="498" t="n"/>
      <c r="RMK67" s="498" t="n"/>
      <c r="RML67" s="498" t="n"/>
      <c r="RMM67" s="498" t="n"/>
      <c r="RMN67" s="498" t="n"/>
      <c r="RMO67" s="498" t="n"/>
      <c r="RMP67" s="498" t="n"/>
      <c r="RMQ67" s="498" t="n"/>
      <c r="RMR67" s="498" t="n"/>
      <c r="RMS67" s="498" t="n"/>
      <c r="RMT67" s="498" t="n"/>
      <c r="RMU67" s="498" t="n"/>
      <c r="RMV67" s="498" t="n"/>
      <c r="RMW67" s="498" t="n"/>
      <c r="RMX67" s="498" t="n"/>
      <c r="RMY67" s="498" t="n"/>
      <c r="RMZ67" s="498" t="n"/>
      <c r="RNA67" s="498" t="n"/>
      <c r="RNB67" s="498" t="n"/>
      <c r="RNC67" s="498" t="n"/>
      <c r="RND67" s="498" t="n"/>
      <c r="RNE67" s="498" t="n"/>
      <c r="RNF67" s="498" t="n"/>
      <c r="RNG67" s="498" t="n"/>
      <c r="RNH67" s="498" t="n"/>
      <c r="RNI67" s="498" t="n"/>
      <c r="RNJ67" s="498" t="n"/>
      <c r="RNK67" s="498" t="n"/>
      <c r="RNL67" s="498" t="n"/>
      <c r="RNM67" s="498" t="n"/>
      <c r="RNN67" s="498" t="n"/>
      <c r="RNO67" s="498" t="n"/>
      <c r="RNP67" s="498" t="n"/>
      <c r="RNQ67" s="498" t="n"/>
      <c r="RNR67" s="498" t="n"/>
      <c r="RNS67" s="498" t="n"/>
      <c r="RNT67" s="498" t="n"/>
      <c r="RNU67" s="498" t="n"/>
      <c r="RNV67" s="498" t="n"/>
      <c r="RNW67" s="498" t="n"/>
      <c r="RNX67" s="498" t="n"/>
      <c r="RNY67" s="498" t="n"/>
      <c r="RNZ67" s="498" t="n"/>
      <c r="ROA67" s="498" t="n"/>
      <c r="ROB67" s="498" t="n"/>
      <c r="ROC67" s="498" t="n"/>
      <c r="ROD67" s="498" t="n"/>
      <c r="ROE67" s="498" t="n"/>
      <c r="ROF67" s="498" t="n"/>
      <c r="ROG67" s="498" t="n"/>
      <c r="ROH67" s="498" t="n"/>
      <c r="ROI67" s="498" t="n"/>
      <c r="ROJ67" s="498" t="n"/>
      <c r="ROK67" s="498" t="n"/>
      <c r="ROL67" s="498" t="n"/>
      <c r="ROM67" s="498" t="n"/>
      <c r="RON67" s="498" t="n"/>
      <c r="ROO67" s="498" t="n"/>
      <c r="ROP67" s="498" t="n"/>
      <c r="ROQ67" s="498" t="n"/>
      <c r="ROR67" s="498" t="n"/>
      <c r="ROS67" s="498" t="n"/>
      <c r="ROT67" s="498" t="n"/>
      <c r="ROU67" s="498" t="n"/>
      <c r="ROV67" s="498" t="n"/>
      <c r="ROW67" s="498" t="n"/>
      <c r="ROX67" s="498" t="n"/>
      <c r="ROY67" s="498" t="n"/>
      <c r="ROZ67" s="498" t="n"/>
      <c r="RPA67" s="498" t="n"/>
      <c r="RPB67" s="498" t="n"/>
      <c r="RPC67" s="498" t="n"/>
      <c r="RPD67" s="498" t="n"/>
      <c r="RPE67" s="498" t="n"/>
      <c r="RPF67" s="498" t="n"/>
      <c r="RPG67" s="498" t="n"/>
      <c r="RPH67" s="498" t="n"/>
      <c r="RPI67" s="498" t="n"/>
      <c r="RPJ67" s="498" t="n"/>
      <c r="RPK67" s="498" t="n"/>
      <c r="RPL67" s="498" t="n"/>
      <c r="RPM67" s="498" t="n"/>
      <c r="RPN67" s="498" t="n"/>
      <c r="RPO67" s="498" t="n"/>
      <c r="RPP67" s="498" t="n"/>
      <c r="RPQ67" s="498" t="n"/>
      <c r="RPR67" s="498" t="n"/>
      <c r="RPS67" s="498" t="n"/>
      <c r="RPT67" s="498" t="n"/>
      <c r="RPU67" s="498" t="n"/>
      <c r="RPV67" s="498" t="n"/>
      <c r="RPW67" s="498" t="n"/>
      <c r="RPX67" s="498" t="n"/>
      <c r="RPY67" s="498" t="n"/>
      <c r="RPZ67" s="498" t="n"/>
      <c r="RQA67" s="498" t="n"/>
      <c r="RQB67" s="498" t="n"/>
      <c r="RQC67" s="498" t="n"/>
      <c r="RQD67" s="498" t="n"/>
      <c r="RQE67" s="498" t="n"/>
      <c r="RQF67" s="498" t="n"/>
      <c r="RQG67" s="498" t="n"/>
      <c r="RQH67" s="498" t="n"/>
      <c r="RQI67" s="498" t="n"/>
      <c r="RQJ67" s="498" t="n"/>
      <c r="RQK67" s="498" t="n"/>
      <c r="RQL67" s="498" t="n"/>
      <c r="RQM67" s="498" t="n"/>
      <c r="RQN67" s="498" t="n"/>
      <c r="RQO67" s="498" t="n"/>
      <c r="RQP67" s="498" t="n"/>
      <c r="RQQ67" s="498" t="n"/>
      <c r="RQR67" s="498" t="n"/>
      <c r="RQS67" s="498" t="n"/>
      <c r="RQT67" s="498" t="n"/>
      <c r="RQU67" s="498" t="n"/>
      <c r="RQV67" s="498" t="n"/>
      <c r="RQW67" s="498" t="n"/>
      <c r="RQX67" s="498" t="n"/>
      <c r="RQY67" s="498" t="n"/>
      <c r="RQZ67" s="498" t="n"/>
      <c r="RRA67" s="498" t="n"/>
      <c r="RRB67" s="498" t="n"/>
      <c r="RRC67" s="498" t="n"/>
      <c r="RRD67" s="498" t="n"/>
      <c r="RRE67" s="498" t="n"/>
      <c r="RRF67" s="498" t="n"/>
      <c r="RRG67" s="498" t="n"/>
      <c r="RRH67" s="498" t="n"/>
      <c r="RRI67" s="498" t="n"/>
      <c r="RRJ67" s="498" t="n"/>
      <c r="RRK67" s="498" t="n"/>
      <c r="RRL67" s="498" t="n"/>
      <c r="RRM67" s="498" t="n"/>
      <c r="RRN67" s="498" t="n"/>
      <c r="RRO67" s="498" t="n"/>
      <c r="RRP67" s="498" t="n"/>
      <c r="RRQ67" s="498" t="n"/>
      <c r="RRR67" s="498" t="n"/>
      <c r="RRS67" s="498" t="n"/>
      <c r="RRT67" s="498" t="n"/>
      <c r="RRU67" s="498" t="n"/>
      <c r="RRV67" s="498" t="n"/>
      <c r="RRW67" s="498" t="n"/>
      <c r="RRX67" s="498" t="n"/>
      <c r="RRY67" s="498" t="n"/>
      <c r="RRZ67" s="498" t="n"/>
      <c r="RSA67" s="498" t="n"/>
      <c r="RSB67" s="498" t="n"/>
      <c r="RSC67" s="498" t="n"/>
      <c r="RSD67" s="498" t="n"/>
      <c r="RSE67" s="498" t="n"/>
      <c r="RSF67" s="498" t="n"/>
      <c r="RSG67" s="498" t="n"/>
      <c r="RSH67" s="498" t="n"/>
      <c r="RSI67" s="498" t="n"/>
      <c r="RSJ67" s="498" t="n"/>
      <c r="RSK67" s="498" t="n"/>
      <c r="RSL67" s="498" t="n"/>
      <c r="RSM67" s="498" t="n"/>
      <c r="RSN67" s="498" t="n"/>
      <c r="RSO67" s="498" t="n"/>
      <c r="RSP67" s="498" t="n"/>
      <c r="RSQ67" s="498" t="n"/>
      <c r="RSR67" s="498" t="n"/>
      <c r="RSS67" s="498" t="n"/>
      <c r="RST67" s="498" t="n"/>
      <c r="RSU67" s="498" t="n"/>
      <c r="RSV67" s="498" t="n"/>
      <c r="RSW67" s="498" t="n"/>
      <c r="RSX67" s="498" t="n"/>
      <c r="RSY67" s="498" t="n"/>
      <c r="RSZ67" s="498" t="n"/>
      <c r="RTA67" s="498" t="n"/>
      <c r="RTB67" s="498" t="n"/>
      <c r="RTC67" s="498" t="n"/>
      <c r="RTD67" s="498" t="n"/>
      <c r="RTE67" s="498" t="n"/>
      <c r="RTF67" s="498" t="n"/>
      <c r="RTG67" s="498" t="n"/>
      <c r="RTH67" s="498" t="n"/>
      <c r="RTI67" s="498" t="n"/>
      <c r="RTJ67" s="498" t="n"/>
      <c r="RTK67" s="498" t="n"/>
      <c r="RTL67" s="498" t="n"/>
      <c r="RTM67" s="498" t="n"/>
      <c r="RTN67" s="498" t="n"/>
      <c r="RTO67" s="498" t="n"/>
      <c r="RTP67" s="498" t="n"/>
      <c r="RTQ67" s="498" t="n"/>
      <c r="RTR67" s="498" t="n"/>
      <c r="RTS67" s="498" t="n"/>
      <c r="RTT67" s="498" t="n"/>
      <c r="RTU67" s="498" t="n"/>
      <c r="RTV67" s="498" t="n"/>
      <c r="RTW67" s="498" t="n"/>
      <c r="RTX67" s="498" t="n"/>
      <c r="RTY67" s="498" t="n"/>
      <c r="RTZ67" s="498" t="n"/>
      <c r="RUA67" s="498" t="n"/>
      <c r="RUB67" s="498" t="n"/>
      <c r="RUC67" s="498" t="n"/>
      <c r="RUD67" s="498" t="n"/>
      <c r="RUE67" s="498" t="n"/>
      <c r="RUF67" s="498" t="n"/>
      <c r="RUG67" s="498" t="n"/>
      <c r="RUH67" s="498" t="n"/>
      <c r="RUI67" s="498" t="n"/>
      <c r="RUJ67" s="498" t="n"/>
      <c r="RUK67" s="498" t="n"/>
      <c r="RUL67" s="498" t="n"/>
      <c r="RUM67" s="498" t="n"/>
      <c r="RUN67" s="498" t="n"/>
      <c r="RUO67" s="498" t="n"/>
      <c r="RUP67" s="498" t="n"/>
      <c r="RUQ67" s="498" t="n"/>
      <c r="RUR67" s="498" t="n"/>
      <c r="RUS67" s="498" t="n"/>
      <c r="RUT67" s="498" t="n"/>
      <c r="RUU67" s="498" t="n"/>
      <c r="RUV67" s="498" t="n"/>
      <c r="RUW67" s="498" t="n"/>
      <c r="RUX67" s="498" t="n"/>
      <c r="RUY67" s="498" t="n"/>
      <c r="RUZ67" s="498" t="n"/>
      <c r="RVA67" s="498" t="n"/>
      <c r="RVB67" s="498" t="n"/>
      <c r="RVC67" s="498" t="n"/>
      <c r="RVD67" s="498" t="n"/>
      <c r="RVE67" s="498" t="n"/>
      <c r="RVF67" s="498" t="n"/>
      <c r="RVG67" s="498" t="n"/>
      <c r="RVH67" s="498" t="n"/>
      <c r="RVI67" s="498" t="n"/>
      <c r="RVJ67" s="498" t="n"/>
      <c r="RVK67" s="498" t="n"/>
      <c r="RVL67" s="498" t="n"/>
      <c r="RVM67" s="498" t="n"/>
      <c r="RVN67" s="498" t="n"/>
      <c r="RVO67" s="498" t="n"/>
      <c r="RVP67" s="498" t="n"/>
      <c r="RVQ67" s="498" t="n"/>
      <c r="RVR67" s="498" t="n"/>
      <c r="RVS67" s="498" t="n"/>
      <c r="RVT67" s="498" t="n"/>
      <c r="RVU67" s="498" t="n"/>
      <c r="RVV67" s="498" t="n"/>
      <c r="RVW67" s="498" t="n"/>
      <c r="RVX67" s="498" t="n"/>
      <c r="RVY67" s="498" t="n"/>
      <c r="RVZ67" s="498" t="n"/>
      <c r="RWA67" s="498" t="n"/>
      <c r="RWB67" s="498" t="n"/>
      <c r="RWC67" s="498" t="n"/>
      <c r="RWD67" s="498" t="n"/>
      <c r="RWE67" s="498" t="n"/>
      <c r="RWF67" s="498" t="n"/>
      <c r="RWG67" s="498" t="n"/>
      <c r="RWH67" s="498" t="n"/>
      <c r="RWI67" s="498" t="n"/>
      <c r="RWJ67" s="498" t="n"/>
      <c r="RWK67" s="498" t="n"/>
      <c r="RWL67" s="498" t="n"/>
      <c r="RWM67" s="498" t="n"/>
      <c r="RWN67" s="498" t="n"/>
      <c r="RWO67" s="498" t="n"/>
      <c r="RWP67" s="498" t="n"/>
      <c r="RWQ67" s="498" t="n"/>
      <c r="RWR67" s="498" t="n"/>
      <c r="RWS67" s="498" t="n"/>
      <c r="RWT67" s="498" t="n"/>
      <c r="RWU67" s="498" t="n"/>
      <c r="RWV67" s="498" t="n"/>
      <c r="RWW67" s="498" t="n"/>
      <c r="RWX67" s="498" t="n"/>
      <c r="RWY67" s="498" t="n"/>
      <c r="RWZ67" s="498" t="n"/>
      <c r="RXA67" s="498" t="n"/>
      <c r="RXB67" s="498" t="n"/>
      <c r="RXC67" s="498" t="n"/>
      <c r="RXD67" s="498" t="n"/>
      <c r="RXE67" s="498" t="n"/>
      <c r="RXF67" s="498" t="n"/>
      <c r="RXG67" s="498" t="n"/>
      <c r="RXH67" s="498" t="n"/>
      <c r="RXI67" s="498" t="n"/>
      <c r="RXJ67" s="498" t="n"/>
      <c r="RXK67" s="498" t="n"/>
      <c r="RXL67" s="498" t="n"/>
      <c r="RXM67" s="498" t="n"/>
      <c r="RXN67" s="498" t="n"/>
      <c r="RXO67" s="498" t="n"/>
      <c r="RXP67" s="498" t="n"/>
      <c r="RXQ67" s="498" t="n"/>
      <c r="RXR67" s="498" t="n"/>
      <c r="RXS67" s="498" t="n"/>
      <c r="RXT67" s="498" t="n"/>
      <c r="RXU67" s="498" t="n"/>
      <c r="RXV67" s="498" t="n"/>
      <c r="RXW67" s="498" t="n"/>
      <c r="RXX67" s="498" t="n"/>
      <c r="RXY67" s="498" t="n"/>
      <c r="RXZ67" s="498" t="n"/>
      <c r="RYA67" s="498" t="n"/>
      <c r="RYB67" s="498" t="n"/>
      <c r="RYC67" s="498" t="n"/>
      <c r="RYD67" s="498" t="n"/>
      <c r="RYE67" s="498" t="n"/>
      <c r="RYF67" s="498" t="n"/>
      <c r="RYG67" s="498" t="n"/>
      <c r="RYH67" s="498" t="n"/>
      <c r="RYI67" s="498" t="n"/>
      <c r="RYJ67" s="498" t="n"/>
      <c r="RYK67" s="498" t="n"/>
      <c r="RYL67" s="498" t="n"/>
      <c r="RYM67" s="498" t="n"/>
      <c r="RYN67" s="498" t="n"/>
      <c r="RYO67" s="498" t="n"/>
      <c r="RYP67" s="498" t="n"/>
      <c r="RYQ67" s="498" t="n"/>
      <c r="RYR67" s="498" t="n"/>
      <c r="RYS67" s="498" t="n"/>
      <c r="RYT67" s="498" t="n"/>
      <c r="RYU67" s="498" t="n"/>
      <c r="RYV67" s="498" t="n"/>
      <c r="RYW67" s="498" t="n"/>
      <c r="RYX67" s="498" t="n"/>
      <c r="RYY67" s="498" t="n"/>
      <c r="RYZ67" s="498" t="n"/>
      <c r="RZA67" s="498" t="n"/>
      <c r="RZB67" s="498" t="n"/>
      <c r="RZC67" s="498" t="n"/>
      <c r="RZD67" s="498" t="n"/>
      <c r="RZE67" s="498" t="n"/>
      <c r="RZF67" s="498" t="n"/>
      <c r="RZG67" s="498" t="n"/>
      <c r="RZH67" s="498" t="n"/>
      <c r="RZI67" s="498" t="n"/>
      <c r="RZJ67" s="498" t="n"/>
      <c r="RZK67" s="498" t="n"/>
      <c r="RZL67" s="498" t="n"/>
      <c r="RZM67" s="498" t="n"/>
      <c r="RZN67" s="498" t="n"/>
      <c r="RZO67" s="498" t="n"/>
      <c r="RZP67" s="498" t="n"/>
      <c r="RZQ67" s="498" t="n"/>
      <c r="RZR67" s="498" t="n"/>
      <c r="RZS67" s="498" t="n"/>
      <c r="RZT67" s="498" t="n"/>
      <c r="RZU67" s="498" t="n"/>
      <c r="RZV67" s="498" t="n"/>
      <c r="RZW67" s="498" t="n"/>
      <c r="RZX67" s="498" t="n"/>
      <c r="RZY67" s="498" t="n"/>
      <c r="RZZ67" s="498" t="n"/>
      <c r="SAA67" s="498" t="n"/>
      <c r="SAB67" s="498" t="n"/>
      <c r="SAC67" s="498" t="n"/>
      <c r="SAD67" s="498" t="n"/>
      <c r="SAE67" s="498" t="n"/>
      <c r="SAF67" s="498" t="n"/>
      <c r="SAG67" s="498" t="n"/>
      <c r="SAH67" s="498" t="n"/>
      <c r="SAI67" s="498" t="n"/>
      <c r="SAJ67" s="498" t="n"/>
      <c r="SAK67" s="498" t="n"/>
      <c r="SAL67" s="498" t="n"/>
      <c r="SAM67" s="498" t="n"/>
      <c r="SAN67" s="498" t="n"/>
      <c r="SAO67" s="498" t="n"/>
      <c r="SAP67" s="498" t="n"/>
      <c r="SAQ67" s="498" t="n"/>
      <c r="SAR67" s="498" t="n"/>
      <c r="SAS67" s="498" t="n"/>
      <c r="SAT67" s="498" t="n"/>
      <c r="SAU67" s="498" t="n"/>
      <c r="SAV67" s="498" t="n"/>
      <c r="SAW67" s="498" t="n"/>
      <c r="SAX67" s="498" t="n"/>
      <c r="SAY67" s="498" t="n"/>
      <c r="SAZ67" s="498" t="n"/>
      <c r="SBA67" s="498" t="n"/>
      <c r="SBB67" s="498" t="n"/>
      <c r="SBC67" s="498" t="n"/>
      <c r="SBD67" s="498" t="n"/>
      <c r="SBE67" s="498" t="n"/>
      <c r="SBF67" s="498" t="n"/>
      <c r="SBG67" s="498" t="n"/>
      <c r="SBH67" s="498" t="n"/>
      <c r="SBI67" s="498" t="n"/>
      <c r="SBJ67" s="498" t="n"/>
      <c r="SBK67" s="498" t="n"/>
      <c r="SBL67" s="498" t="n"/>
      <c r="SBM67" s="498" t="n"/>
      <c r="SBN67" s="498" t="n"/>
      <c r="SBO67" s="498" t="n"/>
      <c r="SBP67" s="498" t="n"/>
      <c r="SBQ67" s="498" t="n"/>
      <c r="SBR67" s="498" t="n"/>
      <c r="SBS67" s="498" t="n"/>
      <c r="SBT67" s="498" t="n"/>
      <c r="SBU67" s="498" t="n"/>
      <c r="SBV67" s="498" t="n"/>
      <c r="SBW67" s="498" t="n"/>
      <c r="SBX67" s="498" t="n"/>
      <c r="SBY67" s="498" t="n"/>
      <c r="SBZ67" s="498" t="n"/>
      <c r="SCA67" s="498" t="n"/>
      <c r="SCB67" s="498" t="n"/>
      <c r="SCC67" s="498" t="n"/>
      <c r="SCD67" s="498" t="n"/>
      <c r="SCE67" s="498" t="n"/>
      <c r="SCF67" s="498" t="n"/>
      <c r="SCG67" s="498" t="n"/>
      <c r="SCH67" s="498" t="n"/>
      <c r="SCI67" s="498" t="n"/>
      <c r="SCJ67" s="498" t="n"/>
      <c r="SCK67" s="498" t="n"/>
      <c r="SCL67" s="498" t="n"/>
      <c r="SCM67" s="498" t="n"/>
      <c r="SCN67" s="498" t="n"/>
      <c r="SCO67" s="498" t="n"/>
      <c r="SCP67" s="498" t="n"/>
      <c r="SCQ67" s="498" t="n"/>
      <c r="SCR67" s="498" t="n"/>
      <c r="SCS67" s="498" t="n"/>
      <c r="SCT67" s="498" t="n"/>
      <c r="SCU67" s="498" t="n"/>
      <c r="SCV67" s="498" t="n"/>
      <c r="SCW67" s="498" t="n"/>
      <c r="SCX67" s="498" t="n"/>
      <c r="SCY67" s="498" t="n"/>
      <c r="SCZ67" s="498" t="n"/>
      <c r="SDA67" s="498" t="n"/>
      <c r="SDB67" s="498" t="n"/>
      <c r="SDC67" s="498" t="n"/>
      <c r="SDD67" s="498" t="n"/>
      <c r="SDE67" s="498" t="n"/>
      <c r="SDF67" s="498" t="n"/>
      <c r="SDG67" s="498" t="n"/>
      <c r="SDH67" s="498" t="n"/>
      <c r="SDI67" s="498" t="n"/>
      <c r="SDJ67" s="498" t="n"/>
      <c r="SDK67" s="498" t="n"/>
      <c r="SDL67" s="498" t="n"/>
      <c r="SDM67" s="498" t="n"/>
      <c r="SDN67" s="498" t="n"/>
      <c r="SDO67" s="498" t="n"/>
      <c r="SDP67" s="498" t="n"/>
      <c r="SDQ67" s="498" t="n"/>
      <c r="SDR67" s="498" t="n"/>
      <c r="SDS67" s="498" t="n"/>
      <c r="SDT67" s="498" t="n"/>
      <c r="SDU67" s="498" t="n"/>
      <c r="SDV67" s="498" t="n"/>
      <c r="SDW67" s="498" t="n"/>
      <c r="SDX67" s="498" t="n"/>
      <c r="SDY67" s="498" t="n"/>
      <c r="SDZ67" s="498" t="n"/>
      <c r="SEA67" s="498" t="n"/>
      <c r="SEB67" s="498" t="n"/>
      <c r="SEC67" s="498" t="n"/>
      <c r="SED67" s="498" t="n"/>
      <c r="SEE67" s="498" t="n"/>
      <c r="SEF67" s="498" t="n"/>
      <c r="SEG67" s="498" t="n"/>
      <c r="SEH67" s="498" t="n"/>
      <c r="SEI67" s="498" t="n"/>
      <c r="SEJ67" s="498" t="n"/>
      <c r="SEK67" s="498" t="n"/>
      <c r="SEL67" s="498" t="n"/>
      <c r="SEM67" s="498" t="n"/>
      <c r="SEN67" s="498" t="n"/>
      <c r="SEO67" s="498" t="n"/>
      <c r="SEP67" s="498" t="n"/>
      <c r="SEQ67" s="498" t="n"/>
      <c r="SER67" s="498" t="n"/>
      <c r="SES67" s="498" t="n"/>
      <c r="SET67" s="498" t="n"/>
      <c r="SEU67" s="498" t="n"/>
      <c r="SEV67" s="498" t="n"/>
      <c r="SEW67" s="498" t="n"/>
      <c r="SEX67" s="498" t="n"/>
      <c r="SEY67" s="498" t="n"/>
      <c r="SEZ67" s="498" t="n"/>
      <c r="SFA67" s="498" t="n"/>
      <c r="SFB67" s="498" t="n"/>
      <c r="SFC67" s="498" t="n"/>
      <c r="SFD67" s="498" t="n"/>
      <c r="SFE67" s="498" t="n"/>
      <c r="SFF67" s="498" t="n"/>
      <c r="SFG67" s="498" t="n"/>
      <c r="SFH67" s="498" t="n"/>
      <c r="SFI67" s="498" t="n"/>
      <c r="SFJ67" s="498" t="n"/>
      <c r="SFK67" s="498" t="n"/>
      <c r="SFL67" s="498" t="n"/>
      <c r="SFM67" s="498" t="n"/>
      <c r="SFN67" s="498" t="n"/>
      <c r="SFO67" s="498" t="n"/>
      <c r="SFP67" s="498" t="n"/>
      <c r="SFQ67" s="498" t="n"/>
      <c r="SFR67" s="498" t="n"/>
      <c r="SFS67" s="498" t="n"/>
      <c r="SFT67" s="498" t="n"/>
      <c r="SFU67" s="498" t="n"/>
      <c r="SFV67" s="498" t="n"/>
      <c r="SFW67" s="498" t="n"/>
      <c r="SFX67" s="498" t="n"/>
      <c r="SFY67" s="498" t="n"/>
      <c r="SFZ67" s="498" t="n"/>
      <c r="SGA67" s="498" t="n"/>
      <c r="SGB67" s="498" t="n"/>
      <c r="SGC67" s="498" t="n"/>
      <c r="SGD67" s="498" t="n"/>
      <c r="SGE67" s="498" t="n"/>
      <c r="SGF67" s="498" t="n"/>
      <c r="SGG67" s="498" t="n"/>
      <c r="SGH67" s="498" t="n"/>
      <c r="SGI67" s="498" t="n"/>
      <c r="SGJ67" s="498" t="n"/>
      <c r="SGK67" s="498" t="n"/>
      <c r="SGL67" s="498" t="n"/>
      <c r="SGM67" s="498" t="n"/>
      <c r="SGN67" s="498" t="n"/>
      <c r="SGO67" s="498" t="n"/>
      <c r="SGP67" s="498" t="n"/>
      <c r="SGQ67" s="498" t="n"/>
      <c r="SGR67" s="498" t="n"/>
      <c r="SGS67" s="498" t="n"/>
      <c r="SGT67" s="498" t="n"/>
      <c r="SGU67" s="498" t="n"/>
      <c r="SGV67" s="498" t="n"/>
      <c r="SGW67" s="498" t="n"/>
      <c r="SGX67" s="498" t="n"/>
      <c r="SGY67" s="498" t="n"/>
      <c r="SGZ67" s="498" t="n"/>
      <c r="SHA67" s="498" t="n"/>
      <c r="SHB67" s="498" t="n"/>
      <c r="SHC67" s="498" t="n"/>
      <c r="SHD67" s="498" t="n"/>
      <c r="SHE67" s="498" t="n"/>
      <c r="SHF67" s="498" t="n"/>
      <c r="SHG67" s="498" t="n"/>
      <c r="SHH67" s="498" t="n"/>
      <c r="SHI67" s="498" t="n"/>
      <c r="SHJ67" s="498" t="n"/>
      <c r="SHK67" s="498" t="n"/>
      <c r="SHL67" s="498" t="n"/>
      <c r="SHM67" s="498" t="n"/>
      <c r="SHN67" s="498" t="n"/>
      <c r="SHO67" s="498" t="n"/>
      <c r="SHP67" s="498" t="n"/>
      <c r="SHQ67" s="498" t="n"/>
      <c r="SHR67" s="498" t="n"/>
      <c r="SHS67" s="498" t="n"/>
      <c r="SHT67" s="498" t="n"/>
      <c r="SHU67" s="498" t="n"/>
      <c r="SHV67" s="498" t="n"/>
      <c r="SHW67" s="498" t="n"/>
      <c r="SHX67" s="498" t="n"/>
      <c r="SHY67" s="498" t="n"/>
      <c r="SHZ67" s="498" t="n"/>
      <c r="SIA67" s="498" t="n"/>
      <c r="SIB67" s="498" t="n"/>
      <c r="SIC67" s="498" t="n"/>
      <c r="SID67" s="498" t="n"/>
      <c r="SIE67" s="498" t="n"/>
      <c r="SIF67" s="498" t="n"/>
      <c r="SIG67" s="498" t="n"/>
      <c r="SIH67" s="498" t="n"/>
      <c r="SII67" s="498" t="n"/>
      <c r="SIJ67" s="498" t="n"/>
      <c r="SIK67" s="498" t="n"/>
      <c r="SIL67" s="498" t="n"/>
      <c r="SIM67" s="498" t="n"/>
      <c r="SIN67" s="498" t="n"/>
      <c r="SIO67" s="498" t="n"/>
      <c r="SIP67" s="498" t="n"/>
      <c r="SIQ67" s="498" t="n"/>
      <c r="SIR67" s="498" t="n"/>
      <c r="SIS67" s="498" t="n"/>
      <c r="SIT67" s="498" t="n"/>
      <c r="SIU67" s="498" t="n"/>
      <c r="SIV67" s="498" t="n"/>
      <c r="SIW67" s="498" t="n"/>
      <c r="SIX67" s="498" t="n"/>
      <c r="SIY67" s="498" t="n"/>
      <c r="SIZ67" s="498" t="n"/>
      <c r="SJA67" s="498" t="n"/>
      <c r="SJB67" s="498" t="n"/>
      <c r="SJC67" s="498" t="n"/>
      <c r="SJD67" s="498" t="n"/>
      <c r="SJE67" s="498" t="n"/>
      <c r="SJF67" s="498" t="n"/>
      <c r="SJG67" s="498" t="n"/>
      <c r="SJH67" s="498" t="n"/>
      <c r="SJI67" s="498" t="n"/>
      <c r="SJJ67" s="498" t="n"/>
      <c r="SJK67" s="498" t="n"/>
      <c r="SJL67" s="498" t="n"/>
      <c r="SJM67" s="498" t="n"/>
      <c r="SJN67" s="498" t="n"/>
      <c r="SJO67" s="498" t="n"/>
      <c r="SJP67" s="498" t="n"/>
      <c r="SJQ67" s="498" t="n"/>
      <c r="SJR67" s="498" t="n"/>
      <c r="SJS67" s="498" t="n"/>
      <c r="SJT67" s="498" t="n"/>
      <c r="SJU67" s="498" t="n"/>
      <c r="SJV67" s="498" t="n"/>
      <c r="SJW67" s="498" t="n"/>
      <c r="SJX67" s="498" t="n"/>
      <c r="SJY67" s="498" t="n"/>
      <c r="SJZ67" s="498" t="n"/>
      <c r="SKA67" s="498" t="n"/>
      <c r="SKB67" s="498" t="n"/>
      <c r="SKC67" s="498" t="n"/>
      <c r="SKD67" s="498" t="n"/>
      <c r="SKE67" s="498" t="n"/>
      <c r="SKF67" s="498" t="n"/>
      <c r="SKG67" s="498" t="n"/>
      <c r="SKH67" s="498" t="n"/>
      <c r="SKI67" s="498" t="n"/>
      <c r="SKJ67" s="498" t="n"/>
      <c r="SKK67" s="498" t="n"/>
      <c r="SKL67" s="498" t="n"/>
      <c r="SKM67" s="498" t="n"/>
      <c r="SKN67" s="498" t="n"/>
      <c r="SKO67" s="498" t="n"/>
      <c r="SKP67" s="498" t="n"/>
      <c r="SKQ67" s="498" t="n"/>
      <c r="SKR67" s="498" t="n"/>
      <c r="SKS67" s="498" t="n"/>
      <c r="SKT67" s="498" t="n"/>
      <c r="SKU67" s="498" t="n"/>
      <c r="SKV67" s="498" t="n"/>
      <c r="SKW67" s="498" t="n"/>
      <c r="SKX67" s="498" t="n"/>
      <c r="SKY67" s="498" t="n"/>
      <c r="SKZ67" s="498" t="n"/>
      <c r="SLA67" s="498" t="n"/>
      <c r="SLB67" s="498" t="n"/>
      <c r="SLC67" s="498" t="n"/>
      <c r="SLD67" s="498" t="n"/>
      <c r="SLE67" s="498" t="n"/>
      <c r="SLF67" s="498" t="n"/>
      <c r="SLG67" s="498" t="n"/>
      <c r="SLH67" s="498" t="n"/>
      <c r="SLI67" s="498" t="n"/>
      <c r="SLJ67" s="498" t="n"/>
      <c r="SLK67" s="498" t="n"/>
      <c r="SLL67" s="498" t="n"/>
      <c r="SLM67" s="498" t="n"/>
      <c r="SLN67" s="498" t="n"/>
      <c r="SLO67" s="498" t="n"/>
      <c r="SLP67" s="498" t="n"/>
      <c r="SLQ67" s="498" t="n"/>
      <c r="SLR67" s="498" t="n"/>
      <c r="SLS67" s="498" t="n"/>
      <c r="SLT67" s="498" t="n"/>
      <c r="SLU67" s="498" t="n"/>
      <c r="SLV67" s="498" t="n"/>
      <c r="SLW67" s="498" t="n"/>
      <c r="SLX67" s="498" t="n"/>
      <c r="SLY67" s="498" t="n"/>
      <c r="SLZ67" s="498" t="n"/>
      <c r="SMA67" s="498" t="n"/>
      <c r="SMB67" s="498" t="n"/>
      <c r="SMC67" s="498" t="n"/>
      <c r="SMD67" s="498" t="n"/>
      <c r="SME67" s="498" t="n"/>
      <c r="SMF67" s="498" t="n"/>
      <c r="SMG67" s="498" t="n"/>
      <c r="SMH67" s="498" t="n"/>
      <c r="SMI67" s="498" t="n"/>
      <c r="SMJ67" s="498" t="n"/>
      <c r="SMK67" s="498" t="n"/>
      <c r="SML67" s="498" t="n"/>
      <c r="SMM67" s="498" t="n"/>
      <c r="SMN67" s="498" t="n"/>
      <c r="SMO67" s="498" t="n"/>
      <c r="SMP67" s="498" t="n"/>
      <c r="SMQ67" s="498" t="n"/>
      <c r="SMR67" s="498" t="n"/>
      <c r="SMS67" s="498" t="n"/>
      <c r="SMT67" s="498" t="n"/>
      <c r="SMU67" s="498" t="n"/>
      <c r="SMV67" s="498" t="n"/>
      <c r="SMW67" s="498" t="n"/>
      <c r="SMX67" s="498" t="n"/>
      <c r="SMY67" s="498" t="n"/>
      <c r="SMZ67" s="498" t="n"/>
      <c r="SNA67" s="498" t="n"/>
      <c r="SNB67" s="498" t="n"/>
      <c r="SNC67" s="498" t="n"/>
      <c r="SND67" s="498" t="n"/>
      <c r="SNE67" s="498" t="n"/>
      <c r="SNF67" s="498" t="n"/>
      <c r="SNG67" s="498" t="n"/>
      <c r="SNH67" s="498" t="n"/>
      <c r="SNI67" s="498" t="n"/>
      <c r="SNJ67" s="498" t="n"/>
      <c r="SNK67" s="498" t="n"/>
      <c r="SNL67" s="498" t="n"/>
      <c r="SNM67" s="498" t="n"/>
      <c r="SNN67" s="498" t="n"/>
      <c r="SNO67" s="498" t="n"/>
      <c r="SNP67" s="498" t="n"/>
      <c r="SNQ67" s="498" t="n"/>
      <c r="SNR67" s="498" t="n"/>
      <c r="SNS67" s="498" t="n"/>
      <c r="SNT67" s="498" t="n"/>
      <c r="SNU67" s="498" t="n"/>
      <c r="SNV67" s="498" t="n"/>
      <c r="SNW67" s="498" t="n"/>
      <c r="SNX67" s="498" t="n"/>
      <c r="SNY67" s="498" t="n"/>
      <c r="SNZ67" s="498" t="n"/>
      <c r="SOA67" s="498" t="n"/>
      <c r="SOB67" s="498" t="n"/>
      <c r="SOC67" s="498" t="n"/>
      <c r="SOD67" s="498" t="n"/>
      <c r="SOE67" s="498" t="n"/>
      <c r="SOF67" s="498" t="n"/>
      <c r="SOG67" s="498" t="n"/>
      <c r="SOH67" s="498" t="n"/>
      <c r="SOI67" s="498" t="n"/>
      <c r="SOJ67" s="498" t="n"/>
      <c r="SOK67" s="498" t="n"/>
      <c r="SOL67" s="498" t="n"/>
      <c r="SOM67" s="498" t="n"/>
      <c r="SON67" s="498" t="n"/>
      <c r="SOO67" s="498" t="n"/>
      <c r="SOP67" s="498" t="n"/>
      <c r="SOQ67" s="498" t="n"/>
      <c r="SOR67" s="498" t="n"/>
      <c r="SOS67" s="498" t="n"/>
      <c r="SOT67" s="498" t="n"/>
      <c r="SOU67" s="498" t="n"/>
      <c r="SOV67" s="498" t="n"/>
      <c r="SOW67" s="498" t="n"/>
      <c r="SOX67" s="498" t="n"/>
      <c r="SOY67" s="498" t="n"/>
      <c r="SOZ67" s="498" t="n"/>
      <c r="SPA67" s="498" t="n"/>
      <c r="SPB67" s="498" t="n"/>
      <c r="SPC67" s="498" t="n"/>
      <c r="SPD67" s="498" t="n"/>
      <c r="SPE67" s="498" t="n"/>
      <c r="SPF67" s="498" t="n"/>
      <c r="SPG67" s="498" t="n"/>
      <c r="SPH67" s="498" t="n"/>
      <c r="SPI67" s="498" t="n"/>
      <c r="SPJ67" s="498" t="n"/>
      <c r="SPK67" s="498" t="n"/>
      <c r="SPL67" s="498" t="n"/>
      <c r="SPM67" s="498" t="n"/>
      <c r="SPN67" s="498" t="n"/>
      <c r="SPO67" s="498" t="n"/>
      <c r="SPP67" s="498" t="n"/>
      <c r="SPQ67" s="498" t="n"/>
      <c r="SPR67" s="498" t="n"/>
      <c r="SPS67" s="498" t="n"/>
      <c r="SPT67" s="498" t="n"/>
      <c r="SPU67" s="498" t="n"/>
      <c r="SPV67" s="498" t="n"/>
      <c r="SPW67" s="498" t="n"/>
      <c r="SPX67" s="498" t="n"/>
      <c r="SPY67" s="498" t="n"/>
      <c r="SPZ67" s="498" t="n"/>
      <c r="SQA67" s="498" t="n"/>
      <c r="SQB67" s="498" t="n"/>
      <c r="SQC67" s="498" t="n"/>
      <c r="SQD67" s="498" t="n"/>
      <c r="SQE67" s="498" t="n"/>
      <c r="SQF67" s="498" t="n"/>
      <c r="SQG67" s="498" t="n"/>
      <c r="SQH67" s="498" t="n"/>
      <c r="SQI67" s="498" t="n"/>
      <c r="SQJ67" s="498" t="n"/>
      <c r="SQK67" s="498" t="n"/>
      <c r="SQL67" s="498" t="n"/>
      <c r="SQM67" s="498" t="n"/>
      <c r="SQN67" s="498" t="n"/>
      <c r="SQO67" s="498" t="n"/>
      <c r="SQP67" s="498" t="n"/>
      <c r="SQQ67" s="498" t="n"/>
      <c r="SQR67" s="498" t="n"/>
      <c r="SQS67" s="498" t="n"/>
      <c r="SQT67" s="498" t="n"/>
      <c r="SQU67" s="498" t="n"/>
      <c r="SQV67" s="498" t="n"/>
      <c r="SQW67" s="498" t="n"/>
      <c r="SQX67" s="498" t="n"/>
      <c r="SQY67" s="498" t="n"/>
      <c r="SQZ67" s="498" t="n"/>
      <c r="SRA67" s="498" t="n"/>
      <c r="SRB67" s="498" t="n"/>
      <c r="SRC67" s="498" t="n"/>
      <c r="SRD67" s="498" t="n"/>
      <c r="SRE67" s="498" t="n"/>
      <c r="SRF67" s="498" t="n"/>
      <c r="SRG67" s="498" t="n"/>
      <c r="SRH67" s="498" t="n"/>
      <c r="SRI67" s="498" t="n"/>
      <c r="SRJ67" s="498" t="n"/>
      <c r="SRK67" s="498" t="n"/>
      <c r="SRL67" s="498" t="n"/>
      <c r="SRM67" s="498" t="n"/>
      <c r="SRN67" s="498" t="n"/>
      <c r="SRO67" s="498" t="n"/>
      <c r="SRP67" s="498" t="n"/>
      <c r="SRQ67" s="498" t="n"/>
      <c r="SRR67" s="498" t="n"/>
      <c r="SRS67" s="498" t="n"/>
      <c r="SRT67" s="498" t="n"/>
      <c r="SRU67" s="498" t="n"/>
      <c r="SRV67" s="498" t="n"/>
      <c r="SRW67" s="498" t="n"/>
      <c r="SRX67" s="498" t="n"/>
      <c r="SRY67" s="498" t="n"/>
      <c r="SRZ67" s="498" t="n"/>
      <c r="SSA67" s="498" t="n"/>
      <c r="SSB67" s="498" t="n"/>
      <c r="SSC67" s="498" t="n"/>
      <c r="SSD67" s="498" t="n"/>
      <c r="SSE67" s="498" t="n"/>
      <c r="SSF67" s="498" t="n"/>
      <c r="SSG67" s="498" t="n"/>
      <c r="SSH67" s="498" t="n"/>
      <c r="SSI67" s="498" t="n"/>
      <c r="SSJ67" s="498" t="n"/>
      <c r="SSK67" s="498" t="n"/>
      <c r="SSL67" s="498" t="n"/>
      <c r="SSM67" s="498" t="n"/>
      <c r="SSN67" s="498" t="n"/>
      <c r="SSO67" s="498" t="n"/>
      <c r="SSP67" s="498" t="n"/>
      <c r="SSQ67" s="498" t="n"/>
      <c r="SSR67" s="498" t="n"/>
      <c r="SSS67" s="498" t="n"/>
      <c r="SST67" s="498" t="n"/>
      <c r="SSU67" s="498" t="n"/>
      <c r="SSV67" s="498" t="n"/>
      <c r="SSW67" s="498" t="n"/>
      <c r="SSX67" s="498" t="n"/>
      <c r="SSY67" s="498" t="n"/>
      <c r="SSZ67" s="498" t="n"/>
      <c r="STA67" s="498" t="n"/>
      <c r="STB67" s="498" t="n"/>
      <c r="STC67" s="498" t="n"/>
      <c r="STD67" s="498" t="n"/>
      <c r="STE67" s="498" t="n"/>
      <c r="STF67" s="498" t="n"/>
      <c r="STG67" s="498" t="n"/>
      <c r="STH67" s="498" t="n"/>
      <c r="STI67" s="498" t="n"/>
      <c r="STJ67" s="498" t="n"/>
      <c r="STK67" s="498" t="n"/>
      <c r="STL67" s="498" t="n"/>
      <c r="STM67" s="498" t="n"/>
      <c r="STN67" s="498" t="n"/>
      <c r="STO67" s="498" t="n"/>
      <c r="STP67" s="498" t="n"/>
      <c r="STQ67" s="498" t="n"/>
      <c r="STR67" s="498" t="n"/>
      <c r="STS67" s="498" t="n"/>
      <c r="STT67" s="498" t="n"/>
      <c r="STU67" s="498" t="n"/>
      <c r="STV67" s="498" t="n"/>
      <c r="STW67" s="498" t="n"/>
      <c r="STX67" s="498" t="n"/>
      <c r="STY67" s="498" t="n"/>
      <c r="STZ67" s="498" t="n"/>
      <c r="SUA67" s="498" t="n"/>
      <c r="SUB67" s="498" t="n"/>
      <c r="SUC67" s="498" t="n"/>
      <c r="SUD67" s="498" t="n"/>
      <c r="SUE67" s="498" t="n"/>
      <c r="SUF67" s="498" t="n"/>
      <c r="SUG67" s="498" t="n"/>
      <c r="SUH67" s="498" t="n"/>
      <c r="SUI67" s="498" t="n"/>
      <c r="SUJ67" s="498" t="n"/>
      <c r="SUK67" s="498" t="n"/>
      <c r="SUL67" s="498" t="n"/>
      <c r="SUM67" s="498" t="n"/>
      <c r="SUN67" s="498" t="n"/>
      <c r="SUO67" s="498" t="n"/>
      <c r="SUP67" s="498" t="n"/>
      <c r="SUQ67" s="498" t="n"/>
      <c r="SUR67" s="498" t="n"/>
      <c r="SUS67" s="498" t="n"/>
      <c r="SUT67" s="498" t="n"/>
      <c r="SUU67" s="498" t="n"/>
      <c r="SUV67" s="498" t="n"/>
      <c r="SUW67" s="498" t="n"/>
      <c r="SUX67" s="498" t="n"/>
      <c r="SUY67" s="498" t="n"/>
      <c r="SUZ67" s="498" t="n"/>
      <c r="SVA67" s="498" t="n"/>
      <c r="SVB67" s="498" t="n"/>
      <c r="SVC67" s="498" t="n"/>
      <c r="SVD67" s="498" t="n"/>
      <c r="SVE67" s="498" t="n"/>
      <c r="SVF67" s="498" t="n"/>
      <c r="SVG67" s="498" t="n"/>
      <c r="SVH67" s="498" t="n"/>
      <c r="SVI67" s="498" t="n"/>
      <c r="SVJ67" s="498" t="n"/>
      <c r="SVK67" s="498" t="n"/>
      <c r="SVL67" s="498" t="n"/>
      <c r="SVM67" s="498" t="n"/>
      <c r="SVN67" s="498" t="n"/>
      <c r="SVO67" s="498" t="n"/>
      <c r="SVP67" s="498" t="n"/>
      <c r="SVQ67" s="498" t="n"/>
      <c r="SVR67" s="498" t="n"/>
      <c r="SVS67" s="498" t="n"/>
      <c r="SVT67" s="498" t="n"/>
      <c r="SVU67" s="498" t="n"/>
      <c r="SVV67" s="498" t="n"/>
      <c r="SVW67" s="498" t="n"/>
      <c r="SVX67" s="498" t="n"/>
      <c r="SVY67" s="498" t="n"/>
      <c r="SVZ67" s="498" t="n"/>
      <c r="SWA67" s="498" t="n"/>
      <c r="SWB67" s="498" t="n"/>
      <c r="SWC67" s="498" t="n"/>
      <c r="SWD67" s="498" t="n"/>
      <c r="SWE67" s="498" t="n"/>
      <c r="SWF67" s="498" t="n"/>
      <c r="SWG67" s="498" t="n"/>
      <c r="SWH67" s="498" t="n"/>
      <c r="SWI67" s="498" t="n"/>
      <c r="SWJ67" s="498" t="n"/>
      <c r="SWK67" s="498" t="n"/>
      <c r="SWL67" s="498" t="n"/>
      <c r="SWM67" s="498" t="n"/>
      <c r="SWN67" s="498" t="n"/>
      <c r="SWO67" s="498" t="n"/>
      <c r="SWP67" s="498" t="n"/>
      <c r="SWQ67" s="498" t="n"/>
      <c r="SWR67" s="498" t="n"/>
      <c r="SWS67" s="498" t="n"/>
      <c r="SWT67" s="498" t="n"/>
      <c r="SWU67" s="498" t="n"/>
      <c r="SWV67" s="498" t="n"/>
      <c r="SWW67" s="498" t="n"/>
      <c r="SWX67" s="498" t="n"/>
      <c r="SWY67" s="498" t="n"/>
      <c r="SWZ67" s="498" t="n"/>
      <c r="SXA67" s="498" t="n"/>
      <c r="SXB67" s="498" t="n"/>
      <c r="SXC67" s="498" t="n"/>
      <c r="SXD67" s="498" t="n"/>
      <c r="SXE67" s="498" t="n"/>
      <c r="SXF67" s="498" t="n"/>
      <c r="SXG67" s="498" t="n"/>
      <c r="SXH67" s="498" t="n"/>
      <c r="SXI67" s="498" t="n"/>
      <c r="SXJ67" s="498" t="n"/>
      <c r="SXK67" s="498" t="n"/>
      <c r="SXL67" s="498" t="n"/>
      <c r="SXM67" s="498" t="n"/>
      <c r="SXN67" s="498" t="n"/>
      <c r="SXO67" s="498" t="n"/>
      <c r="SXP67" s="498" t="n"/>
      <c r="SXQ67" s="498" t="n"/>
      <c r="SXR67" s="498" t="n"/>
      <c r="SXS67" s="498" t="n"/>
      <c r="SXT67" s="498" t="n"/>
      <c r="SXU67" s="498" t="n"/>
      <c r="SXV67" s="498" t="n"/>
      <c r="SXW67" s="498" t="n"/>
      <c r="SXX67" s="498" t="n"/>
      <c r="SXY67" s="498" t="n"/>
      <c r="SXZ67" s="498" t="n"/>
      <c r="SYA67" s="498" t="n"/>
      <c r="SYB67" s="498" t="n"/>
      <c r="SYC67" s="498" t="n"/>
      <c r="SYD67" s="498" t="n"/>
      <c r="SYE67" s="498" t="n"/>
      <c r="SYF67" s="498" t="n"/>
      <c r="SYG67" s="498" t="n"/>
      <c r="SYH67" s="498" t="n"/>
      <c r="SYI67" s="498" t="n"/>
      <c r="SYJ67" s="498" t="n"/>
      <c r="SYK67" s="498" t="n"/>
      <c r="SYL67" s="498" t="n"/>
      <c r="SYM67" s="498" t="n"/>
      <c r="SYN67" s="498" t="n"/>
      <c r="SYO67" s="498" t="n"/>
      <c r="SYP67" s="498" t="n"/>
      <c r="SYQ67" s="498" t="n"/>
      <c r="SYR67" s="498" t="n"/>
      <c r="SYS67" s="498" t="n"/>
      <c r="SYT67" s="498" t="n"/>
      <c r="SYU67" s="498" t="n"/>
      <c r="SYV67" s="498" t="n"/>
      <c r="SYW67" s="498" t="n"/>
      <c r="SYX67" s="498" t="n"/>
      <c r="SYY67" s="498" t="n"/>
      <c r="SYZ67" s="498" t="n"/>
      <c r="SZA67" s="498" t="n"/>
      <c r="SZB67" s="498" t="n"/>
      <c r="SZC67" s="498" t="n"/>
      <c r="SZD67" s="498" t="n"/>
      <c r="SZE67" s="498" t="n"/>
      <c r="SZF67" s="498" t="n"/>
      <c r="SZG67" s="498" t="n"/>
      <c r="SZH67" s="498" t="n"/>
      <c r="SZI67" s="498" t="n"/>
      <c r="SZJ67" s="498" t="n"/>
      <c r="SZK67" s="498" t="n"/>
      <c r="SZL67" s="498" t="n"/>
      <c r="SZM67" s="498" t="n"/>
      <c r="SZN67" s="498" t="n"/>
      <c r="SZO67" s="498" t="n"/>
      <c r="SZP67" s="498" t="n"/>
      <c r="SZQ67" s="498" t="n"/>
      <c r="SZR67" s="498" t="n"/>
      <c r="SZS67" s="498" t="n"/>
      <c r="SZT67" s="498" t="n"/>
      <c r="SZU67" s="498" t="n"/>
      <c r="SZV67" s="498" t="n"/>
      <c r="SZW67" s="498" t="n"/>
      <c r="SZX67" s="498" t="n"/>
      <c r="SZY67" s="498" t="n"/>
      <c r="SZZ67" s="498" t="n"/>
      <c r="TAA67" s="498" t="n"/>
      <c r="TAB67" s="498" t="n"/>
      <c r="TAC67" s="498" t="n"/>
      <c r="TAD67" s="498" t="n"/>
      <c r="TAE67" s="498" t="n"/>
      <c r="TAF67" s="498" t="n"/>
      <c r="TAG67" s="498" t="n"/>
      <c r="TAH67" s="498" t="n"/>
      <c r="TAI67" s="498" t="n"/>
      <c r="TAJ67" s="498" t="n"/>
      <c r="TAK67" s="498" t="n"/>
      <c r="TAL67" s="498" t="n"/>
      <c r="TAM67" s="498" t="n"/>
      <c r="TAN67" s="498" t="n"/>
      <c r="TAO67" s="498" t="n"/>
      <c r="TAP67" s="498" t="n"/>
      <c r="TAQ67" s="498" t="n"/>
      <c r="TAR67" s="498" t="n"/>
      <c r="TAS67" s="498" t="n"/>
      <c r="TAT67" s="498" t="n"/>
      <c r="TAU67" s="498" t="n"/>
      <c r="TAV67" s="498" t="n"/>
      <c r="TAW67" s="498" t="n"/>
      <c r="TAX67" s="498" t="n"/>
      <c r="TAY67" s="498" t="n"/>
      <c r="TAZ67" s="498" t="n"/>
      <c r="TBA67" s="498" t="n"/>
      <c r="TBB67" s="498" t="n"/>
      <c r="TBC67" s="498" t="n"/>
      <c r="TBD67" s="498" t="n"/>
      <c r="TBE67" s="498" t="n"/>
      <c r="TBF67" s="498" t="n"/>
      <c r="TBG67" s="498" t="n"/>
      <c r="TBH67" s="498" t="n"/>
      <c r="TBI67" s="498" t="n"/>
      <c r="TBJ67" s="498" t="n"/>
      <c r="TBK67" s="498" t="n"/>
      <c r="TBL67" s="498" t="n"/>
      <c r="TBM67" s="498" t="n"/>
      <c r="TBN67" s="498" t="n"/>
      <c r="TBO67" s="498" t="n"/>
      <c r="TBP67" s="498" t="n"/>
      <c r="TBQ67" s="498" t="n"/>
      <c r="TBR67" s="498" t="n"/>
      <c r="TBS67" s="498" t="n"/>
      <c r="TBT67" s="498" t="n"/>
      <c r="TBU67" s="498" t="n"/>
      <c r="TBV67" s="498" t="n"/>
      <c r="TBW67" s="498" t="n"/>
      <c r="TBX67" s="498" t="n"/>
      <c r="TBY67" s="498" t="n"/>
      <c r="TBZ67" s="498" t="n"/>
      <c r="TCA67" s="498" t="n"/>
      <c r="TCB67" s="498" t="n"/>
      <c r="TCC67" s="498" t="n"/>
      <c r="TCD67" s="498" t="n"/>
      <c r="TCE67" s="498" t="n"/>
      <c r="TCF67" s="498" t="n"/>
      <c r="TCG67" s="498" t="n"/>
      <c r="TCH67" s="498" t="n"/>
      <c r="TCI67" s="498" t="n"/>
      <c r="TCJ67" s="498" t="n"/>
      <c r="TCK67" s="498" t="n"/>
      <c r="TCL67" s="498" t="n"/>
      <c r="TCM67" s="498" t="n"/>
      <c r="TCN67" s="498" t="n"/>
      <c r="TCO67" s="498" t="n"/>
      <c r="TCP67" s="498" t="n"/>
      <c r="TCQ67" s="498" t="n"/>
      <c r="TCR67" s="498" t="n"/>
      <c r="TCS67" s="498" t="n"/>
      <c r="TCT67" s="498" t="n"/>
      <c r="TCU67" s="498" t="n"/>
      <c r="TCV67" s="498" t="n"/>
      <c r="TCW67" s="498" t="n"/>
      <c r="TCX67" s="498" t="n"/>
      <c r="TCY67" s="498" t="n"/>
      <c r="TCZ67" s="498" t="n"/>
      <c r="TDA67" s="498" t="n"/>
      <c r="TDB67" s="498" t="n"/>
      <c r="TDC67" s="498" t="n"/>
      <c r="TDD67" s="498" t="n"/>
      <c r="TDE67" s="498" t="n"/>
      <c r="TDF67" s="498" t="n"/>
      <c r="TDG67" s="498" t="n"/>
      <c r="TDH67" s="498" t="n"/>
      <c r="TDI67" s="498" t="n"/>
      <c r="TDJ67" s="498" t="n"/>
      <c r="TDK67" s="498" t="n"/>
      <c r="TDL67" s="498" t="n"/>
      <c r="TDM67" s="498" t="n"/>
      <c r="TDN67" s="498" t="n"/>
      <c r="TDO67" s="498" t="n"/>
      <c r="TDP67" s="498" t="n"/>
      <c r="TDQ67" s="498" t="n"/>
      <c r="TDR67" s="498" t="n"/>
      <c r="TDS67" s="498" t="n"/>
      <c r="TDT67" s="498" t="n"/>
      <c r="TDU67" s="498" t="n"/>
      <c r="TDV67" s="498" t="n"/>
      <c r="TDW67" s="498" t="n"/>
      <c r="TDX67" s="498" t="n"/>
      <c r="TDY67" s="498" t="n"/>
      <c r="TDZ67" s="498" t="n"/>
      <c r="TEA67" s="498" t="n"/>
      <c r="TEB67" s="498" t="n"/>
      <c r="TEC67" s="498" t="n"/>
      <c r="TED67" s="498" t="n"/>
      <c r="TEE67" s="498" t="n"/>
      <c r="TEF67" s="498" t="n"/>
      <c r="TEG67" s="498" t="n"/>
      <c r="TEH67" s="498" t="n"/>
      <c r="TEI67" s="498" t="n"/>
      <c r="TEJ67" s="498" t="n"/>
      <c r="TEK67" s="498" t="n"/>
      <c r="TEL67" s="498" t="n"/>
      <c r="TEM67" s="498" t="n"/>
      <c r="TEN67" s="498" t="n"/>
      <c r="TEO67" s="498" t="n"/>
      <c r="TEP67" s="498" t="n"/>
      <c r="TEQ67" s="498" t="n"/>
      <c r="TER67" s="498" t="n"/>
      <c r="TES67" s="498" t="n"/>
      <c r="TET67" s="498" t="n"/>
      <c r="TEU67" s="498" t="n"/>
      <c r="TEV67" s="498" t="n"/>
      <c r="TEW67" s="498" t="n"/>
      <c r="TEX67" s="498" t="n"/>
      <c r="TEY67" s="498" t="n"/>
      <c r="TEZ67" s="498" t="n"/>
      <c r="TFA67" s="498" t="n"/>
      <c r="TFB67" s="498" t="n"/>
      <c r="TFC67" s="498" t="n"/>
      <c r="TFD67" s="498" t="n"/>
      <c r="TFE67" s="498" t="n"/>
      <c r="TFF67" s="498" t="n"/>
      <c r="TFG67" s="498" t="n"/>
      <c r="TFH67" s="498" t="n"/>
      <c r="TFI67" s="498" t="n"/>
      <c r="TFJ67" s="498" t="n"/>
      <c r="TFK67" s="498" t="n"/>
      <c r="TFL67" s="498" t="n"/>
      <c r="TFM67" s="498" t="n"/>
      <c r="TFN67" s="498" t="n"/>
      <c r="TFO67" s="498" t="n"/>
      <c r="TFP67" s="498" t="n"/>
      <c r="TFQ67" s="498" t="n"/>
      <c r="TFR67" s="498" t="n"/>
      <c r="TFS67" s="498" t="n"/>
      <c r="TFT67" s="498" t="n"/>
      <c r="TFU67" s="498" t="n"/>
      <c r="TFV67" s="498" t="n"/>
      <c r="TFW67" s="498" t="n"/>
      <c r="TFX67" s="498" t="n"/>
      <c r="TFY67" s="498" t="n"/>
      <c r="TFZ67" s="498" t="n"/>
      <c r="TGA67" s="498" t="n"/>
      <c r="TGB67" s="498" t="n"/>
      <c r="TGC67" s="498" t="n"/>
      <c r="TGD67" s="498" t="n"/>
      <c r="TGE67" s="498" t="n"/>
      <c r="TGF67" s="498" t="n"/>
      <c r="TGG67" s="498" t="n"/>
      <c r="TGH67" s="498" t="n"/>
      <c r="TGI67" s="498" t="n"/>
      <c r="TGJ67" s="498" t="n"/>
      <c r="TGK67" s="498" t="n"/>
      <c r="TGL67" s="498" t="n"/>
      <c r="TGM67" s="498" t="n"/>
      <c r="TGN67" s="498" t="n"/>
      <c r="TGO67" s="498" t="n"/>
      <c r="TGP67" s="498" t="n"/>
      <c r="TGQ67" s="498" t="n"/>
      <c r="TGR67" s="498" t="n"/>
      <c r="TGS67" s="498" t="n"/>
      <c r="TGT67" s="498" t="n"/>
      <c r="TGU67" s="498" t="n"/>
      <c r="TGV67" s="498" t="n"/>
      <c r="TGW67" s="498" t="n"/>
      <c r="TGX67" s="498" t="n"/>
      <c r="TGY67" s="498" t="n"/>
      <c r="TGZ67" s="498" t="n"/>
      <c r="THA67" s="498" t="n"/>
      <c r="THB67" s="498" t="n"/>
      <c r="THC67" s="498" t="n"/>
      <c r="THD67" s="498" t="n"/>
      <c r="THE67" s="498" t="n"/>
      <c r="THF67" s="498" t="n"/>
      <c r="THG67" s="498" t="n"/>
      <c r="THH67" s="498" t="n"/>
      <c r="THI67" s="498" t="n"/>
      <c r="THJ67" s="498" t="n"/>
      <c r="THK67" s="498" t="n"/>
      <c r="THL67" s="498" t="n"/>
      <c r="THM67" s="498" t="n"/>
      <c r="THN67" s="498" t="n"/>
      <c r="THO67" s="498" t="n"/>
      <c r="THP67" s="498" t="n"/>
      <c r="THQ67" s="498" t="n"/>
      <c r="THR67" s="498" t="n"/>
      <c r="THS67" s="498" t="n"/>
      <c r="THT67" s="498" t="n"/>
      <c r="THU67" s="498" t="n"/>
      <c r="THV67" s="498" t="n"/>
      <c r="THW67" s="498" t="n"/>
      <c r="THX67" s="498" t="n"/>
      <c r="THY67" s="498" t="n"/>
      <c r="THZ67" s="498" t="n"/>
      <c r="TIA67" s="498" t="n"/>
      <c r="TIB67" s="498" t="n"/>
      <c r="TIC67" s="498" t="n"/>
      <c r="TID67" s="498" t="n"/>
      <c r="TIE67" s="498" t="n"/>
      <c r="TIF67" s="498" t="n"/>
      <c r="TIG67" s="498" t="n"/>
      <c r="TIH67" s="498" t="n"/>
      <c r="TII67" s="498" t="n"/>
      <c r="TIJ67" s="498" t="n"/>
      <c r="TIK67" s="498" t="n"/>
      <c r="TIL67" s="498" t="n"/>
      <c r="TIM67" s="498" t="n"/>
      <c r="TIN67" s="498" t="n"/>
      <c r="TIO67" s="498" t="n"/>
      <c r="TIP67" s="498" t="n"/>
      <c r="TIQ67" s="498" t="n"/>
      <c r="TIR67" s="498" t="n"/>
      <c r="TIS67" s="498" t="n"/>
      <c r="TIT67" s="498" t="n"/>
      <c r="TIU67" s="498" t="n"/>
      <c r="TIV67" s="498" t="n"/>
      <c r="TIW67" s="498" t="n"/>
      <c r="TIX67" s="498" t="n"/>
      <c r="TIY67" s="498" t="n"/>
      <c r="TIZ67" s="498" t="n"/>
      <c r="TJA67" s="498" t="n"/>
      <c r="TJB67" s="498" t="n"/>
      <c r="TJC67" s="498" t="n"/>
      <c r="TJD67" s="498" t="n"/>
      <c r="TJE67" s="498" t="n"/>
      <c r="TJF67" s="498" t="n"/>
      <c r="TJG67" s="498" t="n"/>
      <c r="TJH67" s="498" t="n"/>
      <c r="TJI67" s="498" t="n"/>
      <c r="TJJ67" s="498" t="n"/>
      <c r="TJK67" s="498" t="n"/>
      <c r="TJL67" s="498" t="n"/>
      <c r="TJM67" s="498" t="n"/>
      <c r="TJN67" s="498" t="n"/>
      <c r="TJO67" s="498" t="n"/>
      <c r="TJP67" s="498" t="n"/>
      <c r="TJQ67" s="498" t="n"/>
      <c r="TJR67" s="498" t="n"/>
      <c r="TJS67" s="498" t="n"/>
      <c r="TJT67" s="498" t="n"/>
      <c r="TJU67" s="498" t="n"/>
      <c r="TJV67" s="498" t="n"/>
      <c r="TJW67" s="498" t="n"/>
      <c r="TJX67" s="498" t="n"/>
      <c r="TJY67" s="498" t="n"/>
      <c r="TJZ67" s="498" t="n"/>
      <c r="TKA67" s="498" t="n"/>
      <c r="TKB67" s="498" t="n"/>
      <c r="TKC67" s="498" t="n"/>
      <c r="TKD67" s="498" t="n"/>
      <c r="TKE67" s="498" t="n"/>
      <c r="TKF67" s="498" t="n"/>
      <c r="TKG67" s="498" t="n"/>
      <c r="TKH67" s="498" t="n"/>
      <c r="TKI67" s="498" t="n"/>
      <c r="TKJ67" s="498" t="n"/>
      <c r="TKK67" s="498" t="n"/>
      <c r="TKL67" s="498" t="n"/>
      <c r="TKM67" s="498" t="n"/>
      <c r="TKN67" s="498" t="n"/>
      <c r="TKO67" s="498" t="n"/>
      <c r="TKP67" s="498" t="n"/>
      <c r="TKQ67" s="498" t="n"/>
      <c r="TKR67" s="498" t="n"/>
      <c r="TKS67" s="498" t="n"/>
      <c r="TKT67" s="498" t="n"/>
      <c r="TKU67" s="498" t="n"/>
      <c r="TKV67" s="498" t="n"/>
      <c r="TKW67" s="498" t="n"/>
      <c r="TKX67" s="498" t="n"/>
      <c r="TKY67" s="498" t="n"/>
      <c r="TKZ67" s="498" t="n"/>
      <c r="TLA67" s="498" t="n"/>
      <c r="TLB67" s="498" t="n"/>
      <c r="TLC67" s="498" t="n"/>
      <c r="TLD67" s="498" t="n"/>
      <c r="TLE67" s="498" t="n"/>
      <c r="TLF67" s="498" t="n"/>
      <c r="TLG67" s="498" t="n"/>
      <c r="TLH67" s="498" t="n"/>
      <c r="TLI67" s="498" t="n"/>
      <c r="TLJ67" s="498" t="n"/>
      <c r="TLK67" s="498" t="n"/>
      <c r="TLL67" s="498" t="n"/>
      <c r="TLM67" s="498" t="n"/>
      <c r="TLN67" s="498" t="n"/>
      <c r="TLO67" s="498" t="n"/>
      <c r="TLP67" s="498" t="n"/>
      <c r="TLQ67" s="498" t="n"/>
      <c r="TLR67" s="498" t="n"/>
      <c r="TLS67" s="498" t="n"/>
      <c r="TLT67" s="498" t="n"/>
      <c r="TLU67" s="498" t="n"/>
      <c r="TLV67" s="498" t="n"/>
      <c r="TLW67" s="498" t="n"/>
      <c r="TLX67" s="498" t="n"/>
      <c r="TLY67" s="498" t="n"/>
      <c r="TLZ67" s="498" t="n"/>
      <c r="TMA67" s="498" t="n"/>
      <c r="TMB67" s="498" t="n"/>
      <c r="TMC67" s="498" t="n"/>
      <c r="TMD67" s="498" t="n"/>
      <c r="TME67" s="498" t="n"/>
      <c r="TMF67" s="498" t="n"/>
      <c r="TMG67" s="498" t="n"/>
      <c r="TMH67" s="498" t="n"/>
      <c r="TMI67" s="498" t="n"/>
      <c r="TMJ67" s="498" t="n"/>
      <c r="TMK67" s="498" t="n"/>
      <c r="TML67" s="498" t="n"/>
      <c r="TMM67" s="498" t="n"/>
      <c r="TMN67" s="498" t="n"/>
      <c r="TMO67" s="498" t="n"/>
      <c r="TMP67" s="498" t="n"/>
      <c r="TMQ67" s="498" t="n"/>
      <c r="TMR67" s="498" t="n"/>
      <c r="TMS67" s="498" t="n"/>
      <c r="TMT67" s="498" t="n"/>
      <c r="TMU67" s="498" t="n"/>
      <c r="TMV67" s="498" t="n"/>
      <c r="TMW67" s="498" t="n"/>
      <c r="TMX67" s="498" t="n"/>
      <c r="TMY67" s="498" t="n"/>
      <c r="TMZ67" s="498" t="n"/>
      <c r="TNA67" s="498" t="n"/>
      <c r="TNB67" s="498" t="n"/>
      <c r="TNC67" s="498" t="n"/>
      <c r="TND67" s="498" t="n"/>
      <c r="TNE67" s="498" t="n"/>
      <c r="TNF67" s="498" t="n"/>
      <c r="TNG67" s="498" t="n"/>
      <c r="TNH67" s="498" t="n"/>
      <c r="TNI67" s="498" t="n"/>
      <c r="TNJ67" s="498" t="n"/>
      <c r="TNK67" s="498" t="n"/>
      <c r="TNL67" s="498" t="n"/>
      <c r="TNM67" s="498" t="n"/>
      <c r="TNN67" s="498" t="n"/>
      <c r="TNO67" s="498" t="n"/>
      <c r="TNP67" s="498" t="n"/>
      <c r="TNQ67" s="498" t="n"/>
      <c r="TNR67" s="498" t="n"/>
      <c r="TNS67" s="498" t="n"/>
      <c r="TNT67" s="498" t="n"/>
      <c r="TNU67" s="498" t="n"/>
      <c r="TNV67" s="498" t="n"/>
      <c r="TNW67" s="498" t="n"/>
      <c r="TNX67" s="498" t="n"/>
      <c r="TNY67" s="498" t="n"/>
      <c r="TNZ67" s="498" t="n"/>
      <c r="TOA67" s="498" t="n"/>
      <c r="TOB67" s="498" t="n"/>
      <c r="TOC67" s="498" t="n"/>
      <c r="TOD67" s="498" t="n"/>
      <c r="TOE67" s="498" t="n"/>
      <c r="TOF67" s="498" t="n"/>
      <c r="TOG67" s="498" t="n"/>
      <c r="TOH67" s="498" t="n"/>
      <c r="TOI67" s="498" t="n"/>
      <c r="TOJ67" s="498" t="n"/>
      <c r="TOK67" s="498" t="n"/>
      <c r="TOL67" s="498" t="n"/>
      <c r="TOM67" s="498" t="n"/>
      <c r="TON67" s="498" t="n"/>
      <c r="TOO67" s="498" t="n"/>
      <c r="TOP67" s="498" t="n"/>
      <c r="TOQ67" s="498" t="n"/>
      <c r="TOR67" s="498" t="n"/>
      <c r="TOS67" s="498" t="n"/>
      <c r="TOT67" s="498" t="n"/>
      <c r="TOU67" s="498" t="n"/>
      <c r="TOV67" s="498" t="n"/>
      <c r="TOW67" s="498" t="n"/>
      <c r="TOX67" s="498" t="n"/>
      <c r="TOY67" s="498" t="n"/>
      <c r="TOZ67" s="498" t="n"/>
      <c r="TPA67" s="498" t="n"/>
      <c r="TPB67" s="498" t="n"/>
      <c r="TPC67" s="498" t="n"/>
      <c r="TPD67" s="498" t="n"/>
      <c r="TPE67" s="498" t="n"/>
      <c r="TPF67" s="498" t="n"/>
      <c r="TPG67" s="498" t="n"/>
      <c r="TPH67" s="498" t="n"/>
      <c r="TPI67" s="498" t="n"/>
      <c r="TPJ67" s="498" t="n"/>
      <c r="TPK67" s="498" t="n"/>
      <c r="TPL67" s="498" t="n"/>
      <c r="TPM67" s="498" t="n"/>
      <c r="TPN67" s="498" t="n"/>
      <c r="TPO67" s="498" t="n"/>
      <c r="TPP67" s="498" t="n"/>
      <c r="TPQ67" s="498" t="n"/>
      <c r="TPR67" s="498" t="n"/>
      <c r="TPS67" s="498" t="n"/>
      <c r="TPT67" s="498" t="n"/>
      <c r="TPU67" s="498" t="n"/>
      <c r="TPV67" s="498" t="n"/>
      <c r="TPW67" s="498" t="n"/>
      <c r="TPX67" s="498" t="n"/>
      <c r="TPY67" s="498" t="n"/>
      <c r="TPZ67" s="498" t="n"/>
      <c r="TQA67" s="498" t="n"/>
      <c r="TQB67" s="498" t="n"/>
      <c r="TQC67" s="498" t="n"/>
      <c r="TQD67" s="498" t="n"/>
      <c r="TQE67" s="498" t="n"/>
      <c r="TQF67" s="498" t="n"/>
      <c r="TQG67" s="498" t="n"/>
      <c r="TQH67" s="498" t="n"/>
      <c r="TQI67" s="498" t="n"/>
      <c r="TQJ67" s="498" t="n"/>
      <c r="TQK67" s="498" t="n"/>
      <c r="TQL67" s="498" t="n"/>
      <c r="TQM67" s="498" t="n"/>
      <c r="TQN67" s="498" t="n"/>
      <c r="TQO67" s="498" t="n"/>
      <c r="TQP67" s="498" t="n"/>
      <c r="TQQ67" s="498" t="n"/>
      <c r="TQR67" s="498" t="n"/>
      <c r="TQS67" s="498" t="n"/>
      <c r="TQT67" s="498" t="n"/>
      <c r="TQU67" s="498" t="n"/>
      <c r="TQV67" s="498" t="n"/>
      <c r="TQW67" s="498" t="n"/>
      <c r="TQX67" s="498" t="n"/>
      <c r="TQY67" s="498" t="n"/>
      <c r="TQZ67" s="498" t="n"/>
      <c r="TRA67" s="498" t="n"/>
      <c r="TRB67" s="498" t="n"/>
      <c r="TRC67" s="498" t="n"/>
      <c r="TRD67" s="498" t="n"/>
      <c r="TRE67" s="498" t="n"/>
      <c r="TRF67" s="498" t="n"/>
      <c r="TRG67" s="498" t="n"/>
      <c r="TRH67" s="498" t="n"/>
      <c r="TRI67" s="498" t="n"/>
      <c r="TRJ67" s="498" t="n"/>
      <c r="TRK67" s="498" t="n"/>
      <c r="TRL67" s="498" t="n"/>
      <c r="TRM67" s="498" t="n"/>
      <c r="TRN67" s="498" t="n"/>
      <c r="TRO67" s="498" t="n"/>
      <c r="TRP67" s="498" t="n"/>
      <c r="TRQ67" s="498" t="n"/>
      <c r="TRR67" s="498" t="n"/>
      <c r="TRS67" s="498" t="n"/>
      <c r="TRT67" s="498" t="n"/>
      <c r="TRU67" s="498" t="n"/>
      <c r="TRV67" s="498" t="n"/>
      <c r="TRW67" s="498" t="n"/>
      <c r="TRX67" s="498" t="n"/>
      <c r="TRY67" s="498" t="n"/>
      <c r="TRZ67" s="498" t="n"/>
      <c r="TSA67" s="498" t="n"/>
      <c r="TSB67" s="498" t="n"/>
      <c r="TSC67" s="498" t="n"/>
      <c r="TSD67" s="498" t="n"/>
      <c r="TSE67" s="498" t="n"/>
      <c r="TSF67" s="498" t="n"/>
      <c r="TSG67" s="498" t="n"/>
      <c r="TSH67" s="498" t="n"/>
      <c r="TSI67" s="498" t="n"/>
      <c r="TSJ67" s="498" t="n"/>
      <c r="TSK67" s="498" t="n"/>
      <c r="TSL67" s="498" t="n"/>
      <c r="TSM67" s="498" t="n"/>
      <c r="TSN67" s="498" t="n"/>
      <c r="TSO67" s="498" t="n"/>
      <c r="TSP67" s="498" t="n"/>
      <c r="TSQ67" s="498" t="n"/>
      <c r="TSR67" s="498" t="n"/>
      <c r="TSS67" s="498" t="n"/>
      <c r="TST67" s="498" t="n"/>
      <c r="TSU67" s="498" t="n"/>
      <c r="TSV67" s="498" t="n"/>
      <c r="TSW67" s="498" t="n"/>
      <c r="TSX67" s="498" t="n"/>
      <c r="TSY67" s="498" t="n"/>
      <c r="TSZ67" s="498" t="n"/>
      <c r="TTA67" s="498" t="n"/>
      <c r="TTB67" s="498" t="n"/>
      <c r="TTC67" s="498" t="n"/>
      <c r="TTD67" s="498" t="n"/>
      <c r="TTE67" s="498" t="n"/>
      <c r="TTF67" s="498" t="n"/>
      <c r="TTG67" s="498" t="n"/>
      <c r="TTH67" s="498" t="n"/>
      <c r="TTI67" s="498" t="n"/>
      <c r="TTJ67" s="498" t="n"/>
      <c r="TTK67" s="498" t="n"/>
      <c r="TTL67" s="498" t="n"/>
      <c r="TTM67" s="498" t="n"/>
      <c r="TTN67" s="498" t="n"/>
      <c r="TTO67" s="498" t="n"/>
      <c r="TTP67" s="498" t="n"/>
      <c r="TTQ67" s="498" t="n"/>
      <c r="TTR67" s="498" t="n"/>
      <c r="TTS67" s="498" t="n"/>
      <c r="TTT67" s="498" t="n"/>
      <c r="TTU67" s="498" t="n"/>
      <c r="TTV67" s="498" t="n"/>
      <c r="TTW67" s="498" t="n"/>
      <c r="TTX67" s="498" t="n"/>
      <c r="TTY67" s="498" t="n"/>
      <c r="TTZ67" s="498" t="n"/>
      <c r="TUA67" s="498" t="n"/>
      <c r="TUB67" s="498" t="n"/>
      <c r="TUC67" s="498" t="n"/>
      <c r="TUD67" s="498" t="n"/>
      <c r="TUE67" s="498" t="n"/>
      <c r="TUF67" s="498" t="n"/>
      <c r="TUG67" s="498" t="n"/>
      <c r="TUH67" s="498" t="n"/>
      <c r="TUI67" s="498" t="n"/>
      <c r="TUJ67" s="498" t="n"/>
      <c r="TUK67" s="498" t="n"/>
      <c r="TUL67" s="498" t="n"/>
      <c r="TUM67" s="498" t="n"/>
      <c r="TUN67" s="498" t="n"/>
      <c r="TUO67" s="498" t="n"/>
      <c r="TUP67" s="498" t="n"/>
      <c r="TUQ67" s="498" t="n"/>
      <c r="TUR67" s="498" t="n"/>
      <c r="TUS67" s="498" t="n"/>
      <c r="TUT67" s="498" t="n"/>
      <c r="TUU67" s="498" t="n"/>
      <c r="TUV67" s="498" t="n"/>
      <c r="TUW67" s="498" t="n"/>
      <c r="TUX67" s="498" t="n"/>
      <c r="TUY67" s="498" t="n"/>
      <c r="TUZ67" s="498" t="n"/>
      <c r="TVA67" s="498" t="n"/>
      <c r="TVB67" s="498" t="n"/>
      <c r="TVC67" s="498" t="n"/>
      <c r="TVD67" s="498" t="n"/>
      <c r="TVE67" s="498" t="n"/>
      <c r="TVF67" s="498" t="n"/>
      <c r="TVG67" s="498" t="n"/>
      <c r="TVH67" s="498" t="n"/>
      <c r="TVI67" s="498" t="n"/>
      <c r="TVJ67" s="498" t="n"/>
      <c r="TVK67" s="498" t="n"/>
      <c r="TVL67" s="498" t="n"/>
      <c r="TVM67" s="498" t="n"/>
      <c r="TVN67" s="498" t="n"/>
      <c r="TVO67" s="498" t="n"/>
      <c r="TVP67" s="498" t="n"/>
      <c r="TVQ67" s="498" t="n"/>
      <c r="TVR67" s="498" t="n"/>
      <c r="TVS67" s="498" t="n"/>
      <c r="TVT67" s="498" t="n"/>
      <c r="TVU67" s="498" t="n"/>
      <c r="TVV67" s="498" t="n"/>
      <c r="TVW67" s="498" t="n"/>
      <c r="TVX67" s="498" t="n"/>
      <c r="TVY67" s="498" t="n"/>
      <c r="TVZ67" s="498" t="n"/>
      <c r="TWA67" s="498" t="n"/>
      <c r="TWB67" s="498" t="n"/>
      <c r="TWC67" s="498" t="n"/>
      <c r="TWD67" s="498" t="n"/>
      <c r="TWE67" s="498" t="n"/>
      <c r="TWF67" s="498" t="n"/>
      <c r="TWG67" s="498" t="n"/>
      <c r="TWH67" s="498" t="n"/>
      <c r="TWI67" s="498" t="n"/>
      <c r="TWJ67" s="498" t="n"/>
      <c r="TWK67" s="498" t="n"/>
      <c r="TWL67" s="498" t="n"/>
      <c r="TWM67" s="498" t="n"/>
      <c r="TWN67" s="498" t="n"/>
      <c r="TWO67" s="498" t="n"/>
      <c r="TWP67" s="498" t="n"/>
      <c r="TWQ67" s="498" t="n"/>
      <c r="TWR67" s="498" t="n"/>
      <c r="TWS67" s="498" t="n"/>
      <c r="TWT67" s="498" t="n"/>
      <c r="TWU67" s="498" t="n"/>
      <c r="TWV67" s="498" t="n"/>
      <c r="TWW67" s="498" t="n"/>
      <c r="TWX67" s="498" t="n"/>
      <c r="TWY67" s="498" t="n"/>
      <c r="TWZ67" s="498" t="n"/>
      <c r="TXA67" s="498" t="n"/>
      <c r="TXB67" s="498" t="n"/>
      <c r="TXC67" s="498" t="n"/>
      <c r="TXD67" s="498" t="n"/>
      <c r="TXE67" s="498" t="n"/>
      <c r="TXF67" s="498" t="n"/>
      <c r="TXG67" s="498" t="n"/>
      <c r="TXH67" s="498" t="n"/>
      <c r="TXI67" s="498" t="n"/>
      <c r="TXJ67" s="498" t="n"/>
      <c r="TXK67" s="498" t="n"/>
      <c r="TXL67" s="498" t="n"/>
      <c r="TXM67" s="498" t="n"/>
      <c r="TXN67" s="498" t="n"/>
      <c r="TXO67" s="498" t="n"/>
      <c r="TXP67" s="498" t="n"/>
      <c r="TXQ67" s="498" t="n"/>
      <c r="TXR67" s="498" t="n"/>
      <c r="TXS67" s="498" t="n"/>
      <c r="TXT67" s="498" t="n"/>
      <c r="TXU67" s="498" t="n"/>
      <c r="TXV67" s="498" t="n"/>
      <c r="TXW67" s="498" t="n"/>
      <c r="TXX67" s="498" t="n"/>
      <c r="TXY67" s="498" t="n"/>
      <c r="TXZ67" s="498" t="n"/>
      <c r="TYA67" s="498" t="n"/>
      <c r="TYB67" s="498" t="n"/>
      <c r="TYC67" s="498" t="n"/>
      <c r="TYD67" s="498" t="n"/>
      <c r="TYE67" s="498" t="n"/>
      <c r="TYF67" s="498" t="n"/>
      <c r="TYG67" s="498" t="n"/>
      <c r="TYH67" s="498" t="n"/>
      <c r="TYI67" s="498" t="n"/>
      <c r="TYJ67" s="498" t="n"/>
      <c r="TYK67" s="498" t="n"/>
      <c r="TYL67" s="498" t="n"/>
      <c r="TYM67" s="498" t="n"/>
      <c r="TYN67" s="498" t="n"/>
      <c r="TYO67" s="498" t="n"/>
      <c r="TYP67" s="498" t="n"/>
      <c r="TYQ67" s="498" t="n"/>
      <c r="TYR67" s="498" t="n"/>
      <c r="TYS67" s="498" t="n"/>
      <c r="TYT67" s="498" t="n"/>
      <c r="TYU67" s="498" t="n"/>
      <c r="TYV67" s="498" t="n"/>
      <c r="TYW67" s="498" t="n"/>
      <c r="TYX67" s="498" t="n"/>
      <c r="TYY67" s="498" t="n"/>
      <c r="TYZ67" s="498" t="n"/>
      <c r="TZA67" s="498" t="n"/>
      <c r="TZB67" s="498" t="n"/>
      <c r="TZC67" s="498" t="n"/>
      <c r="TZD67" s="498" t="n"/>
      <c r="TZE67" s="498" t="n"/>
      <c r="TZF67" s="498" t="n"/>
      <c r="TZG67" s="498" t="n"/>
      <c r="TZH67" s="498" t="n"/>
      <c r="TZI67" s="498" t="n"/>
      <c r="TZJ67" s="498" t="n"/>
      <c r="TZK67" s="498" t="n"/>
      <c r="TZL67" s="498" t="n"/>
      <c r="TZM67" s="498" t="n"/>
      <c r="TZN67" s="498" t="n"/>
      <c r="TZO67" s="498" t="n"/>
      <c r="TZP67" s="498" t="n"/>
      <c r="TZQ67" s="498" t="n"/>
      <c r="TZR67" s="498" t="n"/>
      <c r="TZS67" s="498" t="n"/>
      <c r="TZT67" s="498" t="n"/>
      <c r="TZU67" s="498" t="n"/>
      <c r="TZV67" s="498" t="n"/>
      <c r="TZW67" s="498" t="n"/>
      <c r="TZX67" s="498" t="n"/>
      <c r="TZY67" s="498" t="n"/>
      <c r="TZZ67" s="498" t="n"/>
      <c r="UAA67" s="498" t="n"/>
      <c r="UAB67" s="498" t="n"/>
      <c r="UAC67" s="498" t="n"/>
      <c r="UAD67" s="498" t="n"/>
      <c r="UAE67" s="498" t="n"/>
      <c r="UAF67" s="498" t="n"/>
      <c r="UAG67" s="498" t="n"/>
      <c r="UAH67" s="498" t="n"/>
      <c r="UAI67" s="498" t="n"/>
      <c r="UAJ67" s="498" t="n"/>
      <c r="UAK67" s="498" t="n"/>
      <c r="UAL67" s="498" t="n"/>
      <c r="UAM67" s="498" t="n"/>
      <c r="UAN67" s="498" t="n"/>
      <c r="UAO67" s="498" t="n"/>
      <c r="UAP67" s="498" t="n"/>
      <c r="UAQ67" s="498" t="n"/>
      <c r="UAR67" s="498" t="n"/>
      <c r="UAS67" s="498" t="n"/>
      <c r="UAT67" s="498" t="n"/>
      <c r="UAU67" s="498" t="n"/>
      <c r="UAV67" s="498" t="n"/>
      <c r="UAW67" s="498" t="n"/>
      <c r="UAX67" s="498" t="n"/>
      <c r="UAY67" s="498" t="n"/>
      <c r="UAZ67" s="498" t="n"/>
      <c r="UBA67" s="498" t="n"/>
      <c r="UBB67" s="498" t="n"/>
      <c r="UBC67" s="498" t="n"/>
      <c r="UBD67" s="498" t="n"/>
      <c r="UBE67" s="498" t="n"/>
      <c r="UBF67" s="498" t="n"/>
      <c r="UBG67" s="498" t="n"/>
      <c r="UBH67" s="498" t="n"/>
      <c r="UBI67" s="498" t="n"/>
      <c r="UBJ67" s="498" t="n"/>
      <c r="UBK67" s="498" t="n"/>
      <c r="UBL67" s="498" t="n"/>
      <c r="UBM67" s="498" t="n"/>
      <c r="UBN67" s="498" t="n"/>
      <c r="UBO67" s="498" t="n"/>
      <c r="UBP67" s="498" t="n"/>
      <c r="UBQ67" s="498" t="n"/>
      <c r="UBR67" s="498" t="n"/>
      <c r="UBS67" s="498" t="n"/>
      <c r="UBT67" s="498" t="n"/>
      <c r="UBU67" s="498" t="n"/>
      <c r="UBV67" s="498" t="n"/>
      <c r="UBW67" s="498" t="n"/>
      <c r="UBX67" s="498" t="n"/>
      <c r="UBY67" s="498" t="n"/>
      <c r="UBZ67" s="498" t="n"/>
      <c r="UCA67" s="498" t="n"/>
      <c r="UCB67" s="498" t="n"/>
      <c r="UCC67" s="498" t="n"/>
      <c r="UCD67" s="498" t="n"/>
      <c r="UCE67" s="498" t="n"/>
      <c r="UCF67" s="498" t="n"/>
      <c r="UCG67" s="498" t="n"/>
      <c r="UCH67" s="498" t="n"/>
      <c r="UCI67" s="498" t="n"/>
      <c r="UCJ67" s="498" t="n"/>
      <c r="UCK67" s="498" t="n"/>
      <c r="UCL67" s="498" t="n"/>
      <c r="UCM67" s="498" t="n"/>
      <c r="UCN67" s="498" t="n"/>
      <c r="UCO67" s="498" t="n"/>
      <c r="UCP67" s="498" t="n"/>
      <c r="UCQ67" s="498" t="n"/>
      <c r="UCR67" s="498" t="n"/>
      <c r="UCS67" s="498" t="n"/>
      <c r="UCT67" s="498" t="n"/>
      <c r="UCU67" s="498" t="n"/>
      <c r="UCV67" s="498" t="n"/>
      <c r="UCW67" s="498" t="n"/>
      <c r="UCX67" s="498" t="n"/>
      <c r="UCY67" s="498" t="n"/>
      <c r="UCZ67" s="498" t="n"/>
      <c r="UDA67" s="498" t="n"/>
      <c r="UDB67" s="498" t="n"/>
      <c r="UDC67" s="498" t="n"/>
      <c r="UDD67" s="498" t="n"/>
      <c r="UDE67" s="498" t="n"/>
      <c r="UDF67" s="498" t="n"/>
      <c r="UDG67" s="498" t="n"/>
      <c r="UDH67" s="498" t="n"/>
      <c r="UDI67" s="498" t="n"/>
      <c r="UDJ67" s="498" t="n"/>
      <c r="UDK67" s="498" t="n"/>
      <c r="UDL67" s="498" t="n"/>
      <c r="UDM67" s="498" t="n"/>
      <c r="UDN67" s="498" t="n"/>
      <c r="UDO67" s="498" t="n"/>
      <c r="UDP67" s="498" t="n"/>
      <c r="UDQ67" s="498" t="n"/>
      <c r="UDR67" s="498" t="n"/>
      <c r="UDS67" s="498" t="n"/>
      <c r="UDT67" s="498" t="n"/>
      <c r="UDU67" s="498" t="n"/>
      <c r="UDV67" s="498" t="n"/>
      <c r="UDW67" s="498" t="n"/>
      <c r="UDX67" s="498" t="n"/>
      <c r="UDY67" s="498" t="n"/>
      <c r="UDZ67" s="498" t="n"/>
      <c r="UEA67" s="498" t="n"/>
      <c r="UEB67" s="498" t="n"/>
      <c r="UEC67" s="498" t="n"/>
      <c r="UED67" s="498" t="n"/>
      <c r="UEE67" s="498" t="n"/>
      <c r="UEF67" s="498" t="n"/>
      <c r="UEG67" s="498" t="n"/>
      <c r="UEH67" s="498" t="n"/>
      <c r="UEI67" s="498" t="n"/>
      <c r="UEJ67" s="498" t="n"/>
      <c r="UEK67" s="498" t="n"/>
      <c r="UEL67" s="498" t="n"/>
      <c r="UEM67" s="498" t="n"/>
      <c r="UEN67" s="498" t="n"/>
      <c r="UEO67" s="498" t="n"/>
      <c r="UEP67" s="498" t="n"/>
      <c r="UEQ67" s="498" t="n"/>
      <c r="UER67" s="498" t="n"/>
      <c r="UES67" s="498" t="n"/>
      <c r="UET67" s="498" t="n"/>
      <c r="UEU67" s="498" t="n"/>
      <c r="UEV67" s="498" t="n"/>
      <c r="UEW67" s="498" t="n"/>
      <c r="UEX67" s="498" t="n"/>
      <c r="UEY67" s="498" t="n"/>
      <c r="UEZ67" s="498" t="n"/>
      <c r="UFA67" s="498" t="n"/>
      <c r="UFB67" s="498" t="n"/>
      <c r="UFC67" s="498" t="n"/>
      <c r="UFD67" s="498" t="n"/>
      <c r="UFE67" s="498" t="n"/>
      <c r="UFF67" s="498" t="n"/>
      <c r="UFG67" s="498" t="n"/>
      <c r="UFH67" s="498" t="n"/>
      <c r="UFI67" s="498" t="n"/>
      <c r="UFJ67" s="498" t="n"/>
      <c r="UFK67" s="498" t="n"/>
      <c r="UFL67" s="498" t="n"/>
      <c r="UFM67" s="498" t="n"/>
      <c r="UFN67" s="498" t="n"/>
      <c r="UFO67" s="498" t="n"/>
      <c r="UFP67" s="498" t="n"/>
      <c r="UFQ67" s="498" t="n"/>
      <c r="UFR67" s="498" t="n"/>
      <c r="UFS67" s="498" t="n"/>
      <c r="UFT67" s="498" t="n"/>
      <c r="UFU67" s="498" t="n"/>
      <c r="UFV67" s="498" t="n"/>
      <c r="UFW67" s="498" t="n"/>
      <c r="UFX67" s="498" t="n"/>
      <c r="UFY67" s="498" t="n"/>
      <c r="UFZ67" s="498" t="n"/>
      <c r="UGA67" s="498" t="n"/>
      <c r="UGB67" s="498" t="n"/>
      <c r="UGC67" s="498" t="n"/>
      <c r="UGD67" s="498" t="n"/>
      <c r="UGE67" s="498" t="n"/>
      <c r="UGF67" s="498" t="n"/>
      <c r="UGG67" s="498" t="n"/>
      <c r="UGH67" s="498" t="n"/>
      <c r="UGI67" s="498" t="n"/>
      <c r="UGJ67" s="498" t="n"/>
      <c r="UGK67" s="498" t="n"/>
      <c r="UGL67" s="498" t="n"/>
      <c r="UGM67" s="498" t="n"/>
      <c r="UGN67" s="498" t="n"/>
      <c r="UGO67" s="498" t="n"/>
      <c r="UGP67" s="498" t="n"/>
      <c r="UGQ67" s="498" t="n"/>
      <c r="UGR67" s="498" t="n"/>
      <c r="UGS67" s="498" t="n"/>
      <c r="UGT67" s="498" t="n"/>
      <c r="UGU67" s="498" t="n"/>
      <c r="UGV67" s="498" t="n"/>
      <c r="UGW67" s="498" t="n"/>
      <c r="UGX67" s="498" t="n"/>
      <c r="UGY67" s="498" t="n"/>
      <c r="UGZ67" s="498" t="n"/>
      <c r="UHA67" s="498" t="n"/>
      <c r="UHB67" s="498" t="n"/>
      <c r="UHC67" s="498" t="n"/>
      <c r="UHD67" s="498" t="n"/>
      <c r="UHE67" s="498" t="n"/>
      <c r="UHF67" s="498" t="n"/>
      <c r="UHG67" s="498" t="n"/>
      <c r="UHH67" s="498" t="n"/>
      <c r="UHI67" s="498" t="n"/>
      <c r="UHJ67" s="498" t="n"/>
      <c r="UHK67" s="498" t="n"/>
      <c r="UHL67" s="498" t="n"/>
      <c r="UHM67" s="498" t="n"/>
      <c r="UHN67" s="498" t="n"/>
      <c r="UHO67" s="498" t="n"/>
      <c r="UHP67" s="498" t="n"/>
      <c r="UHQ67" s="498" t="n"/>
      <c r="UHR67" s="498" t="n"/>
      <c r="UHS67" s="498" t="n"/>
      <c r="UHT67" s="498" t="n"/>
      <c r="UHU67" s="498" t="n"/>
      <c r="UHV67" s="498" t="n"/>
      <c r="UHW67" s="498" t="n"/>
      <c r="UHX67" s="498" t="n"/>
      <c r="UHY67" s="498" t="n"/>
      <c r="UHZ67" s="498" t="n"/>
      <c r="UIA67" s="498" t="n"/>
      <c r="UIB67" s="498" t="n"/>
      <c r="UIC67" s="498" t="n"/>
      <c r="UID67" s="498" t="n"/>
      <c r="UIE67" s="498" t="n"/>
      <c r="UIF67" s="498" t="n"/>
      <c r="UIG67" s="498" t="n"/>
      <c r="UIH67" s="498" t="n"/>
      <c r="UII67" s="498" t="n"/>
      <c r="UIJ67" s="498" t="n"/>
      <c r="UIK67" s="498" t="n"/>
      <c r="UIL67" s="498" t="n"/>
      <c r="UIM67" s="498" t="n"/>
      <c r="UIN67" s="498" t="n"/>
      <c r="UIO67" s="498" t="n"/>
      <c r="UIP67" s="498" t="n"/>
      <c r="UIQ67" s="498" t="n"/>
      <c r="UIR67" s="498" t="n"/>
      <c r="UIS67" s="498" t="n"/>
      <c r="UIT67" s="498" t="n"/>
      <c r="UIU67" s="498" t="n"/>
      <c r="UIV67" s="498" t="n"/>
      <c r="UIW67" s="498" t="n"/>
      <c r="UIX67" s="498" t="n"/>
      <c r="UIY67" s="498" t="n"/>
      <c r="UIZ67" s="498" t="n"/>
      <c r="UJA67" s="498" t="n"/>
      <c r="UJB67" s="498" t="n"/>
      <c r="UJC67" s="498" t="n"/>
      <c r="UJD67" s="498" t="n"/>
      <c r="UJE67" s="498" t="n"/>
      <c r="UJF67" s="498" t="n"/>
      <c r="UJG67" s="498" t="n"/>
      <c r="UJH67" s="498" t="n"/>
      <c r="UJI67" s="498" t="n"/>
      <c r="UJJ67" s="498" t="n"/>
      <c r="UJK67" s="498" t="n"/>
      <c r="UJL67" s="498" t="n"/>
      <c r="UJM67" s="498" t="n"/>
      <c r="UJN67" s="498" t="n"/>
      <c r="UJO67" s="498" t="n"/>
      <c r="UJP67" s="498" t="n"/>
      <c r="UJQ67" s="498" t="n"/>
      <c r="UJR67" s="498" t="n"/>
      <c r="UJS67" s="498" t="n"/>
      <c r="UJT67" s="498" t="n"/>
      <c r="UJU67" s="498" t="n"/>
      <c r="UJV67" s="498" t="n"/>
      <c r="UJW67" s="498" t="n"/>
      <c r="UJX67" s="498" t="n"/>
      <c r="UJY67" s="498" t="n"/>
      <c r="UJZ67" s="498" t="n"/>
      <c r="UKA67" s="498" t="n"/>
      <c r="UKB67" s="498" t="n"/>
      <c r="UKC67" s="498" t="n"/>
      <c r="UKD67" s="498" t="n"/>
      <c r="UKE67" s="498" t="n"/>
      <c r="UKF67" s="498" t="n"/>
      <c r="UKG67" s="498" t="n"/>
      <c r="UKH67" s="498" t="n"/>
      <c r="UKI67" s="498" t="n"/>
      <c r="UKJ67" s="498" t="n"/>
      <c r="UKK67" s="498" t="n"/>
      <c r="UKL67" s="498" t="n"/>
      <c r="UKM67" s="498" t="n"/>
      <c r="UKN67" s="498" t="n"/>
      <c r="UKO67" s="498" t="n"/>
      <c r="UKP67" s="498" t="n"/>
      <c r="UKQ67" s="498" t="n"/>
      <c r="UKR67" s="498" t="n"/>
      <c r="UKS67" s="498" t="n"/>
      <c r="UKT67" s="498" t="n"/>
      <c r="UKU67" s="498" t="n"/>
      <c r="UKV67" s="498" t="n"/>
      <c r="UKW67" s="498" t="n"/>
      <c r="UKX67" s="498" t="n"/>
      <c r="UKY67" s="498" t="n"/>
      <c r="UKZ67" s="498" t="n"/>
      <c r="ULA67" s="498" t="n"/>
      <c r="ULB67" s="498" t="n"/>
      <c r="ULC67" s="498" t="n"/>
      <c r="ULD67" s="498" t="n"/>
      <c r="ULE67" s="498" t="n"/>
      <c r="ULF67" s="498" t="n"/>
      <c r="ULG67" s="498" t="n"/>
      <c r="ULH67" s="498" t="n"/>
      <c r="ULI67" s="498" t="n"/>
      <c r="ULJ67" s="498" t="n"/>
      <c r="ULK67" s="498" t="n"/>
      <c r="ULL67" s="498" t="n"/>
      <c r="ULM67" s="498" t="n"/>
      <c r="ULN67" s="498" t="n"/>
      <c r="ULO67" s="498" t="n"/>
      <c r="ULP67" s="498" t="n"/>
      <c r="ULQ67" s="498" t="n"/>
      <c r="ULR67" s="498" t="n"/>
      <c r="ULS67" s="498" t="n"/>
      <c r="ULT67" s="498" t="n"/>
      <c r="ULU67" s="498" t="n"/>
      <c r="ULV67" s="498" t="n"/>
      <c r="ULW67" s="498" t="n"/>
      <c r="ULX67" s="498" t="n"/>
      <c r="ULY67" s="498" t="n"/>
      <c r="ULZ67" s="498" t="n"/>
      <c r="UMA67" s="498" t="n"/>
      <c r="UMB67" s="498" t="n"/>
      <c r="UMC67" s="498" t="n"/>
      <c r="UMD67" s="498" t="n"/>
      <c r="UME67" s="498" t="n"/>
      <c r="UMF67" s="498" t="n"/>
      <c r="UMG67" s="498" t="n"/>
      <c r="UMH67" s="498" t="n"/>
      <c r="UMI67" s="498" t="n"/>
      <c r="UMJ67" s="498" t="n"/>
      <c r="UMK67" s="498" t="n"/>
      <c r="UML67" s="498" t="n"/>
      <c r="UMM67" s="498" t="n"/>
      <c r="UMN67" s="498" t="n"/>
      <c r="UMO67" s="498" t="n"/>
      <c r="UMP67" s="498" t="n"/>
      <c r="UMQ67" s="498" t="n"/>
      <c r="UMR67" s="498" t="n"/>
      <c r="UMS67" s="498" t="n"/>
      <c r="UMT67" s="498" t="n"/>
      <c r="UMU67" s="498" t="n"/>
      <c r="UMV67" s="498" t="n"/>
      <c r="UMW67" s="498" t="n"/>
      <c r="UMX67" s="498" t="n"/>
      <c r="UMY67" s="498" t="n"/>
      <c r="UMZ67" s="498" t="n"/>
      <c r="UNA67" s="498" t="n"/>
      <c r="UNB67" s="498" t="n"/>
      <c r="UNC67" s="498" t="n"/>
      <c r="UND67" s="498" t="n"/>
      <c r="UNE67" s="498" t="n"/>
      <c r="UNF67" s="498" t="n"/>
      <c r="UNG67" s="498" t="n"/>
      <c r="UNH67" s="498" t="n"/>
      <c r="UNI67" s="498" t="n"/>
      <c r="UNJ67" s="498" t="n"/>
      <c r="UNK67" s="498" t="n"/>
      <c r="UNL67" s="498" t="n"/>
      <c r="UNM67" s="498" t="n"/>
      <c r="UNN67" s="498" t="n"/>
      <c r="UNO67" s="498" t="n"/>
      <c r="UNP67" s="498" t="n"/>
      <c r="UNQ67" s="498" t="n"/>
      <c r="UNR67" s="498" t="n"/>
      <c r="UNS67" s="498" t="n"/>
      <c r="UNT67" s="498" t="n"/>
      <c r="UNU67" s="498" t="n"/>
      <c r="UNV67" s="498" t="n"/>
      <c r="UNW67" s="498" t="n"/>
      <c r="UNX67" s="498" t="n"/>
      <c r="UNY67" s="498" t="n"/>
      <c r="UNZ67" s="498" t="n"/>
      <c r="UOA67" s="498" t="n"/>
      <c r="UOB67" s="498" t="n"/>
      <c r="UOC67" s="498" t="n"/>
      <c r="UOD67" s="498" t="n"/>
      <c r="UOE67" s="498" t="n"/>
      <c r="UOF67" s="498" t="n"/>
      <c r="UOG67" s="498" t="n"/>
      <c r="UOH67" s="498" t="n"/>
      <c r="UOI67" s="498" t="n"/>
      <c r="UOJ67" s="498" t="n"/>
      <c r="UOK67" s="498" t="n"/>
      <c r="UOL67" s="498" t="n"/>
      <c r="UOM67" s="498" t="n"/>
      <c r="UON67" s="498" t="n"/>
      <c r="UOO67" s="498" t="n"/>
      <c r="UOP67" s="498" t="n"/>
      <c r="UOQ67" s="498" t="n"/>
      <c r="UOR67" s="498" t="n"/>
      <c r="UOS67" s="498" t="n"/>
      <c r="UOT67" s="498" t="n"/>
      <c r="UOU67" s="498" t="n"/>
      <c r="UOV67" s="498" t="n"/>
      <c r="UOW67" s="498" t="n"/>
      <c r="UOX67" s="498" t="n"/>
      <c r="UOY67" s="498" t="n"/>
      <c r="UOZ67" s="498" t="n"/>
      <c r="UPA67" s="498" t="n"/>
      <c r="UPB67" s="498" t="n"/>
      <c r="UPC67" s="498" t="n"/>
      <c r="UPD67" s="498" t="n"/>
      <c r="UPE67" s="498" t="n"/>
      <c r="UPF67" s="498" t="n"/>
      <c r="UPG67" s="498" t="n"/>
      <c r="UPH67" s="498" t="n"/>
      <c r="UPI67" s="498" t="n"/>
      <c r="UPJ67" s="498" t="n"/>
      <c r="UPK67" s="498" t="n"/>
      <c r="UPL67" s="498" t="n"/>
      <c r="UPM67" s="498" t="n"/>
      <c r="UPN67" s="498" t="n"/>
      <c r="UPO67" s="498" t="n"/>
      <c r="UPP67" s="498" t="n"/>
      <c r="UPQ67" s="498" t="n"/>
      <c r="UPR67" s="498" t="n"/>
      <c r="UPS67" s="498" t="n"/>
      <c r="UPT67" s="498" t="n"/>
      <c r="UPU67" s="498" t="n"/>
      <c r="UPV67" s="498" t="n"/>
      <c r="UPW67" s="498" t="n"/>
      <c r="UPX67" s="498" t="n"/>
      <c r="UPY67" s="498" t="n"/>
      <c r="UPZ67" s="498" t="n"/>
      <c r="UQA67" s="498" t="n"/>
      <c r="UQB67" s="498" t="n"/>
      <c r="UQC67" s="498" t="n"/>
      <c r="UQD67" s="498" t="n"/>
      <c r="UQE67" s="498" t="n"/>
      <c r="UQF67" s="498" t="n"/>
      <c r="UQG67" s="498" t="n"/>
      <c r="UQH67" s="498" t="n"/>
      <c r="UQI67" s="498" t="n"/>
      <c r="UQJ67" s="498" t="n"/>
      <c r="UQK67" s="498" t="n"/>
      <c r="UQL67" s="498" t="n"/>
      <c r="UQM67" s="498" t="n"/>
      <c r="UQN67" s="498" t="n"/>
      <c r="UQO67" s="498" t="n"/>
      <c r="UQP67" s="498" t="n"/>
      <c r="UQQ67" s="498" t="n"/>
      <c r="UQR67" s="498" t="n"/>
      <c r="UQS67" s="498" t="n"/>
      <c r="UQT67" s="498" t="n"/>
      <c r="UQU67" s="498" t="n"/>
      <c r="UQV67" s="498" t="n"/>
      <c r="UQW67" s="498" t="n"/>
      <c r="UQX67" s="498" t="n"/>
      <c r="UQY67" s="498" t="n"/>
      <c r="UQZ67" s="498" t="n"/>
      <c r="URA67" s="498" t="n"/>
      <c r="URB67" s="498" t="n"/>
      <c r="URC67" s="498" t="n"/>
      <c r="URD67" s="498" t="n"/>
      <c r="URE67" s="498" t="n"/>
      <c r="URF67" s="498" t="n"/>
      <c r="URG67" s="498" t="n"/>
      <c r="URH67" s="498" t="n"/>
      <c r="URI67" s="498" t="n"/>
      <c r="URJ67" s="498" t="n"/>
      <c r="URK67" s="498" t="n"/>
      <c r="URL67" s="498" t="n"/>
      <c r="URM67" s="498" t="n"/>
      <c r="URN67" s="498" t="n"/>
      <c r="URO67" s="498" t="n"/>
      <c r="URP67" s="498" t="n"/>
      <c r="URQ67" s="498" t="n"/>
      <c r="URR67" s="498" t="n"/>
      <c r="URS67" s="498" t="n"/>
      <c r="URT67" s="498" t="n"/>
      <c r="URU67" s="498" t="n"/>
      <c r="URV67" s="498" t="n"/>
      <c r="URW67" s="498" t="n"/>
      <c r="URX67" s="498" t="n"/>
      <c r="URY67" s="498" t="n"/>
      <c r="URZ67" s="498" t="n"/>
      <c r="USA67" s="498" t="n"/>
      <c r="USB67" s="498" t="n"/>
      <c r="USC67" s="498" t="n"/>
      <c r="USD67" s="498" t="n"/>
      <c r="USE67" s="498" t="n"/>
      <c r="USF67" s="498" t="n"/>
      <c r="USG67" s="498" t="n"/>
      <c r="USH67" s="498" t="n"/>
      <c r="USI67" s="498" t="n"/>
      <c r="USJ67" s="498" t="n"/>
      <c r="USK67" s="498" t="n"/>
      <c r="USL67" s="498" t="n"/>
      <c r="USM67" s="498" t="n"/>
      <c r="USN67" s="498" t="n"/>
      <c r="USO67" s="498" t="n"/>
      <c r="USP67" s="498" t="n"/>
      <c r="USQ67" s="498" t="n"/>
      <c r="USR67" s="498" t="n"/>
      <c r="USS67" s="498" t="n"/>
      <c r="UST67" s="498" t="n"/>
      <c r="USU67" s="498" t="n"/>
      <c r="USV67" s="498" t="n"/>
      <c r="USW67" s="498" t="n"/>
      <c r="USX67" s="498" t="n"/>
      <c r="USY67" s="498" t="n"/>
      <c r="USZ67" s="498" t="n"/>
      <c r="UTA67" s="498" t="n"/>
      <c r="UTB67" s="498" t="n"/>
      <c r="UTC67" s="498" t="n"/>
      <c r="UTD67" s="498" t="n"/>
      <c r="UTE67" s="498" t="n"/>
      <c r="UTF67" s="498" t="n"/>
      <c r="UTG67" s="498" t="n"/>
      <c r="UTH67" s="498" t="n"/>
      <c r="UTI67" s="498" t="n"/>
      <c r="UTJ67" s="498" t="n"/>
      <c r="UTK67" s="498" t="n"/>
      <c r="UTL67" s="498" t="n"/>
      <c r="UTM67" s="498" t="n"/>
      <c r="UTN67" s="498" t="n"/>
      <c r="UTO67" s="498" t="n"/>
      <c r="UTP67" s="498" t="n"/>
      <c r="UTQ67" s="498" t="n"/>
      <c r="UTR67" s="498" t="n"/>
      <c r="UTS67" s="498" t="n"/>
      <c r="UTT67" s="498" t="n"/>
      <c r="UTU67" s="498" t="n"/>
      <c r="UTV67" s="498" t="n"/>
      <c r="UTW67" s="498" t="n"/>
      <c r="UTX67" s="498" t="n"/>
      <c r="UTY67" s="498" t="n"/>
      <c r="UTZ67" s="498" t="n"/>
      <c r="UUA67" s="498" t="n"/>
      <c r="UUB67" s="498" t="n"/>
      <c r="UUC67" s="498" t="n"/>
      <c r="UUD67" s="498" t="n"/>
      <c r="UUE67" s="498" t="n"/>
      <c r="UUF67" s="498" t="n"/>
      <c r="UUG67" s="498" t="n"/>
      <c r="UUH67" s="498" t="n"/>
      <c r="UUI67" s="498" t="n"/>
      <c r="UUJ67" s="498" t="n"/>
      <c r="UUK67" s="498" t="n"/>
      <c r="UUL67" s="498" t="n"/>
      <c r="UUM67" s="498" t="n"/>
      <c r="UUN67" s="498" t="n"/>
      <c r="UUO67" s="498" t="n"/>
      <c r="UUP67" s="498" t="n"/>
      <c r="UUQ67" s="498" t="n"/>
      <c r="UUR67" s="498" t="n"/>
      <c r="UUS67" s="498" t="n"/>
      <c r="UUT67" s="498" t="n"/>
      <c r="UUU67" s="498" t="n"/>
      <c r="UUV67" s="498" t="n"/>
      <c r="UUW67" s="498" t="n"/>
      <c r="UUX67" s="498" t="n"/>
      <c r="UUY67" s="498" t="n"/>
      <c r="UUZ67" s="498" t="n"/>
      <c r="UVA67" s="498" t="n"/>
      <c r="UVB67" s="498" t="n"/>
      <c r="UVC67" s="498" t="n"/>
      <c r="UVD67" s="498" t="n"/>
      <c r="UVE67" s="498" t="n"/>
      <c r="UVF67" s="498" t="n"/>
      <c r="UVG67" s="498" t="n"/>
      <c r="UVH67" s="498" t="n"/>
      <c r="UVI67" s="498" t="n"/>
      <c r="UVJ67" s="498" t="n"/>
      <c r="UVK67" s="498" t="n"/>
      <c r="UVL67" s="498" t="n"/>
      <c r="UVM67" s="498" t="n"/>
      <c r="UVN67" s="498" t="n"/>
      <c r="UVO67" s="498" t="n"/>
      <c r="UVP67" s="498" t="n"/>
      <c r="UVQ67" s="498" t="n"/>
      <c r="UVR67" s="498" t="n"/>
      <c r="UVS67" s="498" t="n"/>
      <c r="UVT67" s="498" t="n"/>
      <c r="UVU67" s="498" t="n"/>
      <c r="UVV67" s="498" t="n"/>
      <c r="UVW67" s="498" t="n"/>
      <c r="UVX67" s="498" t="n"/>
      <c r="UVY67" s="498" t="n"/>
      <c r="UVZ67" s="498" t="n"/>
      <c r="UWA67" s="498" t="n"/>
      <c r="UWB67" s="498" t="n"/>
      <c r="UWC67" s="498" t="n"/>
      <c r="UWD67" s="498" t="n"/>
      <c r="UWE67" s="498" t="n"/>
      <c r="UWF67" s="498" t="n"/>
      <c r="UWG67" s="498" t="n"/>
      <c r="UWH67" s="498" t="n"/>
      <c r="UWI67" s="498" t="n"/>
      <c r="UWJ67" s="498" t="n"/>
      <c r="UWK67" s="498" t="n"/>
      <c r="UWL67" s="498" t="n"/>
      <c r="UWM67" s="498" t="n"/>
      <c r="UWN67" s="498" t="n"/>
      <c r="UWO67" s="498" t="n"/>
      <c r="UWP67" s="498" t="n"/>
      <c r="UWQ67" s="498" t="n"/>
      <c r="UWR67" s="498" t="n"/>
      <c r="UWS67" s="498" t="n"/>
      <c r="UWT67" s="498" t="n"/>
      <c r="UWU67" s="498" t="n"/>
      <c r="UWV67" s="498" t="n"/>
      <c r="UWW67" s="498" t="n"/>
      <c r="UWX67" s="498" t="n"/>
      <c r="UWY67" s="498" t="n"/>
      <c r="UWZ67" s="498" t="n"/>
      <c r="UXA67" s="498" t="n"/>
      <c r="UXB67" s="498" t="n"/>
      <c r="UXC67" s="498" t="n"/>
      <c r="UXD67" s="498" t="n"/>
      <c r="UXE67" s="498" t="n"/>
      <c r="UXF67" s="498" t="n"/>
      <c r="UXG67" s="498" t="n"/>
      <c r="UXH67" s="498" t="n"/>
      <c r="UXI67" s="498" t="n"/>
      <c r="UXJ67" s="498" t="n"/>
      <c r="UXK67" s="498" t="n"/>
      <c r="UXL67" s="498" t="n"/>
      <c r="UXM67" s="498" t="n"/>
      <c r="UXN67" s="498" t="n"/>
      <c r="UXO67" s="498" t="n"/>
      <c r="UXP67" s="498" t="n"/>
      <c r="UXQ67" s="498" t="n"/>
      <c r="UXR67" s="498" t="n"/>
      <c r="UXS67" s="498" t="n"/>
      <c r="UXT67" s="498" t="n"/>
      <c r="UXU67" s="498" t="n"/>
      <c r="UXV67" s="498" t="n"/>
      <c r="UXW67" s="498" t="n"/>
      <c r="UXX67" s="498" t="n"/>
      <c r="UXY67" s="498" t="n"/>
      <c r="UXZ67" s="498" t="n"/>
      <c r="UYA67" s="498" t="n"/>
      <c r="UYB67" s="498" t="n"/>
      <c r="UYC67" s="498" t="n"/>
      <c r="UYD67" s="498" t="n"/>
      <c r="UYE67" s="498" t="n"/>
      <c r="UYF67" s="498" t="n"/>
      <c r="UYG67" s="498" t="n"/>
      <c r="UYH67" s="498" t="n"/>
      <c r="UYI67" s="498" t="n"/>
      <c r="UYJ67" s="498" t="n"/>
      <c r="UYK67" s="498" t="n"/>
      <c r="UYL67" s="498" t="n"/>
      <c r="UYM67" s="498" t="n"/>
      <c r="UYN67" s="498" t="n"/>
      <c r="UYO67" s="498" t="n"/>
      <c r="UYP67" s="498" t="n"/>
      <c r="UYQ67" s="498" t="n"/>
      <c r="UYR67" s="498" t="n"/>
      <c r="UYS67" s="498" t="n"/>
      <c r="UYT67" s="498" t="n"/>
      <c r="UYU67" s="498" t="n"/>
      <c r="UYV67" s="498" t="n"/>
      <c r="UYW67" s="498" t="n"/>
      <c r="UYX67" s="498" t="n"/>
      <c r="UYY67" s="498" t="n"/>
      <c r="UYZ67" s="498" t="n"/>
      <c r="UZA67" s="498" t="n"/>
      <c r="UZB67" s="498" t="n"/>
      <c r="UZC67" s="498" t="n"/>
      <c r="UZD67" s="498" t="n"/>
      <c r="UZE67" s="498" t="n"/>
      <c r="UZF67" s="498" t="n"/>
      <c r="UZG67" s="498" t="n"/>
      <c r="UZH67" s="498" t="n"/>
      <c r="UZI67" s="498" t="n"/>
      <c r="UZJ67" s="498" t="n"/>
      <c r="UZK67" s="498" t="n"/>
      <c r="UZL67" s="498" t="n"/>
      <c r="UZM67" s="498" t="n"/>
      <c r="UZN67" s="498" t="n"/>
      <c r="UZO67" s="498" t="n"/>
      <c r="UZP67" s="498" t="n"/>
      <c r="UZQ67" s="498" t="n"/>
      <c r="UZR67" s="498" t="n"/>
      <c r="UZS67" s="498" t="n"/>
      <c r="UZT67" s="498" t="n"/>
      <c r="UZU67" s="498" t="n"/>
      <c r="UZV67" s="498" t="n"/>
      <c r="UZW67" s="498" t="n"/>
      <c r="UZX67" s="498" t="n"/>
      <c r="UZY67" s="498" t="n"/>
      <c r="UZZ67" s="498" t="n"/>
      <c r="VAA67" s="498" t="n"/>
      <c r="VAB67" s="498" t="n"/>
      <c r="VAC67" s="498" t="n"/>
      <c r="VAD67" s="498" t="n"/>
      <c r="VAE67" s="498" t="n"/>
      <c r="VAF67" s="498" t="n"/>
      <c r="VAG67" s="498" t="n"/>
      <c r="VAH67" s="498" t="n"/>
      <c r="VAI67" s="498" t="n"/>
      <c r="VAJ67" s="498" t="n"/>
      <c r="VAK67" s="498" t="n"/>
      <c r="VAL67" s="498" t="n"/>
      <c r="VAM67" s="498" t="n"/>
      <c r="VAN67" s="498" t="n"/>
      <c r="VAO67" s="498" t="n"/>
      <c r="VAP67" s="498" t="n"/>
      <c r="VAQ67" s="498" t="n"/>
      <c r="VAR67" s="498" t="n"/>
      <c r="VAS67" s="498" t="n"/>
      <c r="VAT67" s="498" t="n"/>
      <c r="VAU67" s="498" t="n"/>
      <c r="VAV67" s="498" t="n"/>
      <c r="VAW67" s="498" t="n"/>
      <c r="VAX67" s="498" t="n"/>
      <c r="VAY67" s="498" t="n"/>
      <c r="VAZ67" s="498" t="n"/>
      <c r="VBA67" s="498" t="n"/>
      <c r="VBB67" s="498" t="n"/>
      <c r="VBC67" s="498" t="n"/>
      <c r="VBD67" s="498" t="n"/>
      <c r="VBE67" s="498" t="n"/>
      <c r="VBF67" s="498" t="n"/>
      <c r="VBG67" s="498" t="n"/>
      <c r="VBH67" s="498" t="n"/>
      <c r="VBI67" s="498" t="n"/>
      <c r="VBJ67" s="498" t="n"/>
      <c r="VBK67" s="498" t="n"/>
      <c r="VBL67" s="498" t="n"/>
      <c r="VBM67" s="498" t="n"/>
      <c r="VBN67" s="498" t="n"/>
      <c r="VBO67" s="498" t="n"/>
      <c r="VBP67" s="498" t="n"/>
      <c r="VBQ67" s="498" t="n"/>
      <c r="VBR67" s="498" t="n"/>
      <c r="VBS67" s="498" t="n"/>
      <c r="VBT67" s="498" t="n"/>
      <c r="VBU67" s="498" t="n"/>
      <c r="VBV67" s="498" t="n"/>
      <c r="VBW67" s="498" t="n"/>
      <c r="VBX67" s="498" t="n"/>
      <c r="VBY67" s="498" t="n"/>
      <c r="VBZ67" s="498" t="n"/>
      <c r="VCA67" s="498" t="n"/>
      <c r="VCB67" s="498" t="n"/>
      <c r="VCC67" s="498" t="n"/>
      <c r="VCD67" s="498" t="n"/>
      <c r="VCE67" s="498" t="n"/>
      <c r="VCF67" s="498" t="n"/>
      <c r="VCG67" s="498" t="n"/>
      <c r="VCH67" s="498" t="n"/>
      <c r="VCI67" s="498" t="n"/>
      <c r="VCJ67" s="498" t="n"/>
      <c r="VCK67" s="498" t="n"/>
      <c r="VCL67" s="498" t="n"/>
      <c r="VCM67" s="498" t="n"/>
      <c r="VCN67" s="498" t="n"/>
      <c r="VCO67" s="498" t="n"/>
      <c r="VCP67" s="498" t="n"/>
      <c r="VCQ67" s="498" t="n"/>
      <c r="VCR67" s="498" t="n"/>
      <c r="VCS67" s="498" t="n"/>
      <c r="VCT67" s="498" t="n"/>
      <c r="VCU67" s="498" t="n"/>
      <c r="VCV67" s="498" t="n"/>
      <c r="VCW67" s="498" t="n"/>
      <c r="VCX67" s="498" t="n"/>
      <c r="VCY67" s="498" t="n"/>
      <c r="VCZ67" s="498" t="n"/>
      <c r="VDA67" s="498" t="n"/>
      <c r="VDB67" s="498" t="n"/>
      <c r="VDC67" s="498" t="n"/>
      <c r="VDD67" s="498" t="n"/>
      <c r="VDE67" s="498" t="n"/>
      <c r="VDF67" s="498" t="n"/>
      <c r="VDG67" s="498" t="n"/>
      <c r="VDH67" s="498" t="n"/>
      <c r="VDI67" s="498" t="n"/>
      <c r="VDJ67" s="498" t="n"/>
      <c r="VDK67" s="498" t="n"/>
      <c r="VDL67" s="498" t="n"/>
      <c r="VDM67" s="498" t="n"/>
      <c r="VDN67" s="498" t="n"/>
      <c r="VDO67" s="498" t="n"/>
      <c r="VDP67" s="498" t="n"/>
      <c r="VDQ67" s="498" t="n"/>
      <c r="VDR67" s="498" t="n"/>
      <c r="VDS67" s="498" t="n"/>
      <c r="VDT67" s="498" t="n"/>
      <c r="VDU67" s="498" t="n"/>
      <c r="VDV67" s="498" t="n"/>
      <c r="VDW67" s="498" t="n"/>
      <c r="VDX67" s="498" t="n"/>
      <c r="VDY67" s="498" t="n"/>
      <c r="VDZ67" s="498" t="n"/>
      <c r="VEA67" s="498" t="n"/>
      <c r="VEB67" s="498" t="n"/>
      <c r="VEC67" s="498" t="n"/>
      <c r="VED67" s="498" t="n"/>
      <c r="VEE67" s="498" t="n"/>
      <c r="VEF67" s="498" t="n"/>
      <c r="VEG67" s="498" t="n"/>
      <c r="VEH67" s="498" t="n"/>
      <c r="VEI67" s="498" t="n"/>
      <c r="VEJ67" s="498" t="n"/>
      <c r="VEK67" s="498" t="n"/>
      <c r="VEL67" s="498" t="n"/>
      <c r="VEM67" s="498" t="n"/>
      <c r="VEN67" s="498" t="n"/>
      <c r="VEO67" s="498" t="n"/>
      <c r="VEP67" s="498" t="n"/>
      <c r="VEQ67" s="498" t="n"/>
      <c r="VER67" s="498" t="n"/>
      <c r="VES67" s="498" t="n"/>
      <c r="VET67" s="498" t="n"/>
      <c r="VEU67" s="498" t="n"/>
      <c r="VEV67" s="498" t="n"/>
      <c r="VEW67" s="498" t="n"/>
      <c r="VEX67" s="498" t="n"/>
      <c r="VEY67" s="498" t="n"/>
      <c r="VEZ67" s="498" t="n"/>
      <c r="VFA67" s="498" t="n"/>
      <c r="VFB67" s="498" t="n"/>
      <c r="VFC67" s="498" t="n"/>
      <c r="VFD67" s="498" t="n"/>
      <c r="VFE67" s="498" t="n"/>
      <c r="VFF67" s="498" t="n"/>
      <c r="VFG67" s="498" t="n"/>
      <c r="VFH67" s="498" t="n"/>
      <c r="VFI67" s="498" t="n"/>
      <c r="VFJ67" s="498" t="n"/>
      <c r="VFK67" s="498" t="n"/>
      <c r="VFL67" s="498" t="n"/>
      <c r="VFM67" s="498" t="n"/>
      <c r="VFN67" s="498" t="n"/>
      <c r="VFO67" s="498" t="n"/>
      <c r="VFP67" s="498" t="n"/>
      <c r="VFQ67" s="498" t="n"/>
      <c r="VFR67" s="498" t="n"/>
      <c r="VFS67" s="498" t="n"/>
      <c r="VFT67" s="498" t="n"/>
      <c r="VFU67" s="498" t="n"/>
      <c r="VFV67" s="498" t="n"/>
      <c r="VFW67" s="498" t="n"/>
      <c r="VFX67" s="498" t="n"/>
      <c r="VFY67" s="498" t="n"/>
      <c r="VFZ67" s="498" t="n"/>
      <c r="VGA67" s="498" t="n"/>
      <c r="VGB67" s="498" t="n"/>
      <c r="VGC67" s="498" t="n"/>
      <c r="VGD67" s="498" t="n"/>
      <c r="VGE67" s="498" t="n"/>
      <c r="VGF67" s="498" t="n"/>
      <c r="VGG67" s="498" t="n"/>
      <c r="VGH67" s="498" t="n"/>
      <c r="VGI67" s="498" t="n"/>
      <c r="VGJ67" s="498" t="n"/>
      <c r="VGK67" s="498" t="n"/>
      <c r="VGL67" s="498" t="n"/>
      <c r="VGM67" s="498" t="n"/>
      <c r="VGN67" s="498" t="n"/>
      <c r="VGO67" s="498" t="n"/>
      <c r="VGP67" s="498" t="n"/>
      <c r="VGQ67" s="498" t="n"/>
      <c r="VGR67" s="498" t="n"/>
      <c r="VGS67" s="498" t="n"/>
      <c r="VGT67" s="498" t="n"/>
      <c r="VGU67" s="498" t="n"/>
      <c r="VGV67" s="498" t="n"/>
      <c r="VGW67" s="498" t="n"/>
      <c r="VGX67" s="498" t="n"/>
      <c r="VGY67" s="498" t="n"/>
      <c r="VGZ67" s="498" t="n"/>
      <c r="VHA67" s="498" t="n"/>
      <c r="VHB67" s="498" t="n"/>
      <c r="VHC67" s="498" t="n"/>
      <c r="VHD67" s="498" t="n"/>
      <c r="VHE67" s="498" t="n"/>
      <c r="VHF67" s="498" t="n"/>
      <c r="VHG67" s="498" t="n"/>
      <c r="VHH67" s="498" t="n"/>
      <c r="VHI67" s="498" t="n"/>
      <c r="VHJ67" s="498" t="n"/>
      <c r="VHK67" s="498" t="n"/>
      <c r="VHL67" s="498" t="n"/>
      <c r="VHM67" s="498" t="n"/>
      <c r="VHN67" s="498" t="n"/>
      <c r="VHO67" s="498" t="n"/>
      <c r="VHP67" s="498" t="n"/>
      <c r="VHQ67" s="498" t="n"/>
      <c r="VHR67" s="498" t="n"/>
      <c r="VHS67" s="498" t="n"/>
      <c r="VHT67" s="498" t="n"/>
      <c r="VHU67" s="498" t="n"/>
      <c r="VHV67" s="498" t="n"/>
      <c r="VHW67" s="498" t="n"/>
      <c r="VHX67" s="498" t="n"/>
      <c r="VHY67" s="498" t="n"/>
      <c r="VHZ67" s="498" t="n"/>
      <c r="VIA67" s="498" t="n"/>
      <c r="VIB67" s="498" t="n"/>
      <c r="VIC67" s="498" t="n"/>
      <c r="VID67" s="498" t="n"/>
      <c r="VIE67" s="498" t="n"/>
      <c r="VIF67" s="498" t="n"/>
      <c r="VIG67" s="498" t="n"/>
      <c r="VIH67" s="498" t="n"/>
      <c r="VII67" s="498" t="n"/>
      <c r="VIJ67" s="498" t="n"/>
      <c r="VIK67" s="498" t="n"/>
      <c r="VIL67" s="498" t="n"/>
      <c r="VIM67" s="498" t="n"/>
      <c r="VIN67" s="498" t="n"/>
      <c r="VIO67" s="498" t="n"/>
      <c r="VIP67" s="498" t="n"/>
      <c r="VIQ67" s="498" t="n"/>
      <c r="VIR67" s="498" t="n"/>
      <c r="VIS67" s="498" t="n"/>
      <c r="VIT67" s="498" t="n"/>
      <c r="VIU67" s="498" t="n"/>
      <c r="VIV67" s="498" t="n"/>
      <c r="VIW67" s="498" t="n"/>
      <c r="VIX67" s="498" t="n"/>
      <c r="VIY67" s="498" t="n"/>
      <c r="VIZ67" s="498" t="n"/>
      <c r="VJA67" s="498" t="n"/>
      <c r="VJB67" s="498" t="n"/>
      <c r="VJC67" s="498" t="n"/>
      <c r="VJD67" s="498" t="n"/>
      <c r="VJE67" s="498" t="n"/>
      <c r="VJF67" s="498" t="n"/>
      <c r="VJG67" s="498" t="n"/>
      <c r="VJH67" s="498" t="n"/>
      <c r="VJI67" s="498" t="n"/>
      <c r="VJJ67" s="498" t="n"/>
      <c r="VJK67" s="498" t="n"/>
      <c r="VJL67" s="498" t="n"/>
      <c r="VJM67" s="498" t="n"/>
      <c r="VJN67" s="498" t="n"/>
      <c r="VJO67" s="498" t="n"/>
      <c r="VJP67" s="498" t="n"/>
      <c r="VJQ67" s="498" t="n"/>
      <c r="VJR67" s="498" t="n"/>
      <c r="VJS67" s="498" t="n"/>
      <c r="VJT67" s="498" t="n"/>
      <c r="VJU67" s="498" t="n"/>
      <c r="VJV67" s="498" t="n"/>
      <c r="VJW67" s="498" t="n"/>
      <c r="VJX67" s="498" t="n"/>
      <c r="VJY67" s="498" t="n"/>
      <c r="VJZ67" s="498" t="n"/>
      <c r="VKA67" s="498" t="n"/>
      <c r="VKB67" s="498" t="n"/>
      <c r="VKC67" s="498" t="n"/>
      <c r="VKD67" s="498" t="n"/>
      <c r="VKE67" s="498" t="n"/>
      <c r="VKF67" s="498" t="n"/>
      <c r="VKG67" s="498" t="n"/>
      <c r="VKH67" s="498" t="n"/>
      <c r="VKI67" s="498" t="n"/>
      <c r="VKJ67" s="498" t="n"/>
      <c r="VKK67" s="498" t="n"/>
      <c r="VKL67" s="498" t="n"/>
      <c r="VKM67" s="498" t="n"/>
      <c r="VKN67" s="498" t="n"/>
      <c r="VKO67" s="498" t="n"/>
      <c r="VKP67" s="498" t="n"/>
      <c r="VKQ67" s="498" t="n"/>
      <c r="VKR67" s="498" t="n"/>
      <c r="VKS67" s="498" t="n"/>
      <c r="VKT67" s="498" t="n"/>
      <c r="VKU67" s="498" t="n"/>
      <c r="VKV67" s="498" t="n"/>
      <c r="VKW67" s="498" t="n"/>
      <c r="VKX67" s="498" t="n"/>
      <c r="VKY67" s="498" t="n"/>
      <c r="VKZ67" s="498" t="n"/>
      <c r="VLA67" s="498" t="n"/>
      <c r="VLB67" s="498" t="n"/>
      <c r="VLC67" s="498" t="n"/>
      <c r="VLD67" s="498" t="n"/>
      <c r="VLE67" s="498" t="n"/>
      <c r="VLF67" s="498" t="n"/>
      <c r="VLG67" s="498" t="n"/>
      <c r="VLH67" s="498" t="n"/>
      <c r="VLI67" s="498" t="n"/>
      <c r="VLJ67" s="498" t="n"/>
      <c r="VLK67" s="498" t="n"/>
      <c r="VLL67" s="498" t="n"/>
      <c r="VLM67" s="498" t="n"/>
      <c r="VLN67" s="498" t="n"/>
      <c r="VLO67" s="498" t="n"/>
      <c r="VLP67" s="498" t="n"/>
      <c r="VLQ67" s="498" t="n"/>
      <c r="VLR67" s="498" t="n"/>
      <c r="VLS67" s="498" t="n"/>
      <c r="VLT67" s="498" t="n"/>
      <c r="VLU67" s="498" t="n"/>
      <c r="VLV67" s="498" t="n"/>
      <c r="VLW67" s="498" t="n"/>
      <c r="VLX67" s="498" t="n"/>
      <c r="VLY67" s="498" t="n"/>
      <c r="VLZ67" s="498" t="n"/>
      <c r="VMA67" s="498" t="n"/>
      <c r="VMB67" s="498" t="n"/>
      <c r="VMC67" s="498" t="n"/>
      <c r="VMD67" s="498" t="n"/>
      <c r="VME67" s="498" t="n"/>
      <c r="VMF67" s="498" t="n"/>
      <c r="VMG67" s="498" t="n"/>
      <c r="VMH67" s="498" t="n"/>
      <c r="VMI67" s="498" t="n"/>
      <c r="VMJ67" s="498" t="n"/>
      <c r="VMK67" s="498" t="n"/>
      <c r="VML67" s="498" t="n"/>
      <c r="VMM67" s="498" t="n"/>
      <c r="VMN67" s="498" t="n"/>
      <c r="VMO67" s="498" t="n"/>
      <c r="VMP67" s="498" t="n"/>
      <c r="VMQ67" s="498" t="n"/>
      <c r="VMR67" s="498" t="n"/>
      <c r="VMS67" s="498" t="n"/>
      <c r="VMT67" s="498" t="n"/>
      <c r="VMU67" s="498" t="n"/>
      <c r="VMV67" s="498" t="n"/>
      <c r="VMW67" s="498" t="n"/>
      <c r="VMX67" s="498" t="n"/>
      <c r="VMY67" s="498" t="n"/>
      <c r="VMZ67" s="498" t="n"/>
      <c r="VNA67" s="498" t="n"/>
      <c r="VNB67" s="498" t="n"/>
      <c r="VNC67" s="498" t="n"/>
      <c r="VND67" s="498" t="n"/>
      <c r="VNE67" s="498" t="n"/>
      <c r="VNF67" s="498" t="n"/>
      <c r="VNG67" s="498" t="n"/>
      <c r="VNH67" s="498" t="n"/>
      <c r="VNI67" s="498" t="n"/>
      <c r="VNJ67" s="498" t="n"/>
      <c r="VNK67" s="498" t="n"/>
      <c r="VNL67" s="498" t="n"/>
      <c r="VNM67" s="498" t="n"/>
      <c r="VNN67" s="498" t="n"/>
      <c r="VNO67" s="498" t="n"/>
      <c r="VNP67" s="498" t="n"/>
      <c r="VNQ67" s="498" t="n"/>
      <c r="VNR67" s="498" t="n"/>
      <c r="VNS67" s="498" t="n"/>
      <c r="VNT67" s="498" t="n"/>
      <c r="VNU67" s="498" t="n"/>
      <c r="VNV67" s="498" t="n"/>
      <c r="VNW67" s="498" t="n"/>
      <c r="VNX67" s="498" t="n"/>
      <c r="VNY67" s="498" t="n"/>
      <c r="VNZ67" s="498" t="n"/>
      <c r="VOA67" s="498" t="n"/>
      <c r="VOB67" s="498" t="n"/>
      <c r="VOC67" s="498" t="n"/>
      <c r="VOD67" s="498" t="n"/>
      <c r="VOE67" s="498" t="n"/>
      <c r="VOF67" s="498" t="n"/>
      <c r="VOG67" s="498" t="n"/>
      <c r="VOH67" s="498" t="n"/>
      <c r="VOI67" s="498" t="n"/>
      <c r="VOJ67" s="498" t="n"/>
      <c r="VOK67" s="498" t="n"/>
      <c r="VOL67" s="498" t="n"/>
      <c r="VOM67" s="498" t="n"/>
      <c r="VON67" s="498" t="n"/>
      <c r="VOO67" s="498" t="n"/>
      <c r="VOP67" s="498" t="n"/>
      <c r="VOQ67" s="498" t="n"/>
      <c r="VOR67" s="498" t="n"/>
      <c r="VOS67" s="498" t="n"/>
      <c r="VOT67" s="498" t="n"/>
      <c r="VOU67" s="498" t="n"/>
      <c r="VOV67" s="498" t="n"/>
      <c r="VOW67" s="498" t="n"/>
      <c r="VOX67" s="498" t="n"/>
      <c r="VOY67" s="498" t="n"/>
      <c r="VOZ67" s="498" t="n"/>
      <c r="VPA67" s="498" t="n"/>
      <c r="VPB67" s="498" t="n"/>
      <c r="VPC67" s="498" t="n"/>
      <c r="VPD67" s="498" t="n"/>
      <c r="VPE67" s="498" t="n"/>
      <c r="VPF67" s="498" t="n"/>
      <c r="VPG67" s="498" t="n"/>
      <c r="VPH67" s="498" t="n"/>
      <c r="VPI67" s="498" t="n"/>
      <c r="VPJ67" s="498" t="n"/>
      <c r="VPK67" s="498" t="n"/>
      <c r="VPL67" s="498" t="n"/>
      <c r="VPM67" s="498" t="n"/>
      <c r="VPN67" s="498" t="n"/>
      <c r="VPO67" s="498" t="n"/>
      <c r="VPP67" s="498" t="n"/>
      <c r="VPQ67" s="498" t="n"/>
      <c r="VPR67" s="498" t="n"/>
      <c r="VPS67" s="498" t="n"/>
      <c r="VPT67" s="498" t="n"/>
      <c r="VPU67" s="498" t="n"/>
      <c r="VPV67" s="498" t="n"/>
      <c r="VPW67" s="498" t="n"/>
      <c r="VPX67" s="498" t="n"/>
      <c r="VPY67" s="498" t="n"/>
      <c r="VPZ67" s="498" t="n"/>
      <c r="VQA67" s="498" t="n"/>
      <c r="VQB67" s="498" t="n"/>
      <c r="VQC67" s="498" t="n"/>
      <c r="VQD67" s="498" t="n"/>
      <c r="VQE67" s="498" t="n"/>
      <c r="VQF67" s="498" t="n"/>
      <c r="VQG67" s="498" t="n"/>
      <c r="VQH67" s="498" t="n"/>
      <c r="VQI67" s="498" t="n"/>
      <c r="VQJ67" s="498" t="n"/>
      <c r="VQK67" s="498" t="n"/>
      <c r="VQL67" s="498" t="n"/>
      <c r="VQM67" s="498" t="n"/>
      <c r="VQN67" s="498" t="n"/>
      <c r="VQO67" s="498" t="n"/>
      <c r="VQP67" s="498" t="n"/>
      <c r="VQQ67" s="498" t="n"/>
      <c r="VQR67" s="498" t="n"/>
      <c r="VQS67" s="498" t="n"/>
      <c r="VQT67" s="498" t="n"/>
      <c r="VQU67" s="498" t="n"/>
      <c r="VQV67" s="498" t="n"/>
      <c r="VQW67" s="498" t="n"/>
      <c r="VQX67" s="498" t="n"/>
      <c r="VQY67" s="498" t="n"/>
      <c r="VQZ67" s="498" t="n"/>
      <c r="VRA67" s="498" t="n"/>
      <c r="VRB67" s="498" t="n"/>
      <c r="VRC67" s="498" t="n"/>
      <c r="VRD67" s="498" t="n"/>
      <c r="VRE67" s="498" t="n"/>
      <c r="VRF67" s="498" t="n"/>
      <c r="VRG67" s="498" t="n"/>
      <c r="VRH67" s="498" t="n"/>
      <c r="VRI67" s="498" t="n"/>
      <c r="VRJ67" s="498" t="n"/>
      <c r="VRK67" s="498" t="n"/>
      <c r="VRL67" s="498" t="n"/>
      <c r="VRM67" s="498" t="n"/>
      <c r="VRN67" s="498" t="n"/>
      <c r="VRO67" s="498" t="n"/>
      <c r="VRP67" s="498" t="n"/>
      <c r="VRQ67" s="498" t="n"/>
      <c r="VRR67" s="498" t="n"/>
      <c r="VRS67" s="498" t="n"/>
      <c r="VRT67" s="498" t="n"/>
      <c r="VRU67" s="498" t="n"/>
      <c r="VRV67" s="498" t="n"/>
      <c r="VRW67" s="498" t="n"/>
      <c r="VRX67" s="498" t="n"/>
      <c r="VRY67" s="498" t="n"/>
      <c r="VRZ67" s="498" t="n"/>
      <c r="VSA67" s="498" t="n"/>
      <c r="VSB67" s="498" t="n"/>
      <c r="VSC67" s="498" t="n"/>
      <c r="VSD67" s="498" t="n"/>
      <c r="VSE67" s="498" t="n"/>
      <c r="VSF67" s="498" t="n"/>
      <c r="VSG67" s="498" t="n"/>
      <c r="VSH67" s="498" t="n"/>
      <c r="VSI67" s="498" t="n"/>
      <c r="VSJ67" s="498" t="n"/>
      <c r="VSK67" s="498" t="n"/>
      <c r="VSL67" s="498" t="n"/>
      <c r="VSM67" s="498" t="n"/>
      <c r="VSN67" s="498" t="n"/>
      <c r="VSO67" s="498" t="n"/>
      <c r="VSP67" s="498" t="n"/>
      <c r="VSQ67" s="498" t="n"/>
      <c r="VSR67" s="498" t="n"/>
      <c r="VSS67" s="498" t="n"/>
      <c r="VST67" s="498" t="n"/>
      <c r="VSU67" s="498" t="n"/>
      <c r="VSV67" s="498" t="n"/>
      <c r="VSW67" s="498" t="n"/>
      <c r="VSX67" s="498" t="n"/>
      <c r="VSY67" s="498" t="n"/>
      <c r="VSZ67" s="498" t="n"/>
      <c r="VTA67" s="498" t="n"/>
      <c r="VTB67" s="498" t="n"/>
      <c r="VTC67" s="498" t="n"/>
      <c r="VTD67" s="498" t="n"/>
      <c r="VTE67" s="498" t="n"/>
      <c r="VTF67" s="498" t="n"/>
      <c r="VTG67" s="498" t="n"/>
      <c r="VTH67" s="498" t="n"/>
      <c r="VTI67" s="498" t="n"/>
      <c r="VTJ67" s="498" t="n"/>
      <c r="VTK67" s="498" t="n"/>
      <c r="VTL67" s="498" t="n"/>
      <c r="VTM67" s="498" t="n"/>
      <c r="VTN67" s="498" t="n"/>
      <c r="VTO67" s="498" t="n"/>
      <c r="VTP67" s="498" t="n"/>
      <c r="VTQ67" s="498" t="n"/>
      <c r="VTR67" s="498" t="n"/>
      <c r="VTS67" s="498" t="n"/>
      <c r="VTT67" s="498" t="n"/>
      <c r="VTU67" s="498" t="n"/>
      <c r="VTV67" s="498" t="n"/>
      <c r="VTW67" s="498" t="n"/>
      <c r="VTX67" s="498" t="n"/>
      <c r="VTY67" s="498" t="n"/>
      <c r="VTZ67" s="498" t="n"/>
      <c r="VUA67" s="498" t="n"/>
      <c r="VUB67" s="498" t="n"/>
      <c r="VUC67" s="498" t="n"/>
      <c r="VUD67" s="498" t="n"/>
      <c r="VUE67" s="498" t="n"/>
      <c r="VUF67" s="498" t="n"/>
      <c r="VUG67" s="498" t="n"/>
      <c r="VUH67" s="498" t="n"/>
      <c r="VUI67" s="498" t="n"/>
      <c r="VUJ67" s="498" t="n"/>
      <c r="VUK67" s="498" t="n"/>
      <c r="VUL67" s="498" t="n"/>
      <c r="VUM67" s="498" t="n"/>
      <c r="VUN67" s="498" t="n"/>
      <c r="VUO67" s="498" t="n"/>
      <c r="VUP67" s="498" t="n"/>
      <c r="VUQ67" s="498" t="n"/>
      <c r="VUR67" s="498" t="n"/>
      <c r="VUS67" s="498" t="n"/>
      <c r="VUT67" s="498" t="n"/>
      <c r="VUU67" s="498" t="n"/>
      <c r="VUV67" s="498" t="n"/>
      <c r="VUW67" s="498" t="n"/>
      <c r="VUX67" s="498" t="n"/>
      <c r="VUY67" s="498" t="n"/>
      <c r="VUZ67" s="498" t="n"/>
      <c r="VVA67" s="498" t="n"/>
      <c r="VVB67" s="498" t="n"/>
      <c r="VVC67" s="498" t="n"/>
      <c r="VVD67" s="498" t="n"/>
      <c r="VVE67" s="498" t="n"/>
      <c r="VVF67" s="498" t="n"/>
      <c r="VVG67" s="498" t="n"/>
      <c r="VVH67" s="498" t="n"/>
      <c r="VVI67" s="498" t="n"/>
      <c r="VVJ67" s="498" t="n"/>
      <c r="VVK67" s="498" t="n"/>
      <c r="VVL67" s="498" t="n"/>
      <c r="VVM67" s="498" t="n"/>
      <c r="VVN67" s="498" t="n"/>
      <c r="VVO67" s="498" t="n"/>
      <c r="VVP67" s="498" t="n"/>
      <c r="VVQ67" s="498" t="n"/>
      <c r="VVR67" s="498" t="n"/>
      <c r="VVS67" s="498" t="n"/>
      <c r="VVT67" s="498" t="n"/>
      <c r="VVU67" s="498" t="n"/>
      <c r="VVV67" s="498" t="n"/>
      <c r="VVW67" s="498" t="n"/>
      <c r="VVX67" s="498" t="n"/>
      <c r="VVY67" s="498" t="n"/>
      <c r="VVZ67" s="498" t="n"/>
      <c r="VWA67" s="498" t="n"/>
      <c r="VWB67" s="498" t="n"/>
      <c r="VWC67" s="498" t="n"/>
      <c r="VWD67" s="498" t="n"/>
      <c r="VWE67" s="498" t="n"/>
      <c r="VWF67" s="498" t="n"/>
      <c r="VWG67" s="498" t="n"/>
      <c r="VWH67" s="498" t="n"/>
      <c r="VWI67" s="498" t="n"/>
      <c r="VWJ67" s="498" t="n"/>
      <c r="VWK67" s="498" t="n"/>
      <c r="VWL67" s="498" t="n"/>
      <c r="VWM67" s="498" t="n"/>
      <c r="VWN67" s="498" t="n"/>
      <c r="VWO67" s="498" t="n"/>
      <c r="VWP67" s="498" t="n"/>
      <c r="VWQ67" s="498" t="n"/>
      <c r="VWR67" s="498" t="n"/>
      <c r="VWS67" s="498" t="n"/>
      <c r="VWT67" s="498" t="n"/>
      <c r="VWU67" s="498" t="n"/>
      <c r="VWV67" s="498" t="n"/>
      <c r="VWW67" s="498" t="n"/>
      <c r="VWX67" s="498" t="n"/>
      <c r="VWY67" s="498" t="n"/>
      <c r="VWZ67" s="498" t="n"/>
      <c r="VXA67" s="498" t="n"/>
      <c r="VXB67" s="498" t="n"/>
      <c r="VXC67" s="498" t="n"/>
      <c r="VXD67" s="498" t="n"/>
      <c r="VXE67" s="498" t="n"/>
      <c r="VXF67" s="498" t="n"/>
      <c r="VXG67" s="498" t="n"/>
      <c r="VXH67" s="498" t="n"/>
      <c r="VXI67" s="498" t="n"/>
      <c r="VXJ67" s="498" t="n"/>
      <c r="VXK67" s="498" t="n"/>
      <c r="VXL67" s="498" t="n"/>
      <c r="VXM67" s="498" t="n"/>
      <c r="VXN67" s="498" t="n"/>
      <c r="VXO67" s="498" t="n"/>
      <c r="VXP67" s="498" t="n"/>
      <c r="VXQ67" s="498" t="n"/>
      <c r="VXR67" s="498" t="n"/>
      <c r="VXS67" s="498" t="n"/>
      <c r="VXT67" s="498" t="n"/>
      <c r="VXU67" s="498" t="n"/>
      <c r="VXV67" s="498" t="n"/>
      <c r="VXW67" s="498" t="n"/>
      <c r="VXX67" s="498" t="n"/>
      <c r="VXY67" s="498" t="n"/>
      <c r="VXZ67" s="498" t="n"/>
      <c r="VYA67" s="498" t="n"/>
      <c r="VYB67" s="498" t="n"/>
      <c r="VYC67" s="498" t="n"/>
      <c r="VYD67" s="498" t="n"/>
      <c r="VYE67" s="498" t="n"/>
      <c r="VYF67" s="498" t="n"/>
      <c r="VYG67" s="498" t="n"/>
      <c r="VYH67" s="498" t="n"/>
      <c r="VYI67" s="498" t="n"/>
      <c r="VYJ67" s="498" t="n"/>
      <c r="VYK67" s="498" t="n"/>
      <c r="VYL67" s="498" t="n"/>
      <c r="VYM67" s="498" t="n"/>
      <c r="VYN67" s="498" t="n"/>
      <c r="VYO67" s="498" t="n"/>
      <c r="VYP67" s="498" t="n"/>
      <c r="VYQ67" s="498" t="n"/>
      <c r="VYR67" s="498" t="n"/>
      <c r="VYS67" s="498" t="n"/>
      <c r="VYT67" s="498" t="n"/>
      <c r="VYU67" s="498" t="n"/>
      <c r="VYV67" s="498" t="n"/>
      <c r="VYW67" s="498" t="n"/>
      <c r="VYX67" s="498" t="n"/>
      <c r="VYY67" s="498" t="n"/>
      <c r="VYZ67" s="498" t="n"/>
      <c r="VZA67" s="498" t="n"/>
      <c r="VZB67" s="498" t="n"/>
      <c r="VZC67" s="498" t="n"/>
      <c r="VZD67" s="498" t="n"/>
      <c r="VZE67" s="498" t="n"/>
      <c r="VZF67" s="498" t="n"/>
      <c r="VZG67" s="498" t="n"/>
      <c r="VZH67" s="498" t="n"/>
      <c r="VZI67" s="498" t="n"/>
      <c r="VZJ67" s="498" t="n"/>
      <c r="VZK67" s="498" t="n"/>
      <c r="VZL67" s="498" t="n"/>
      <c r="VZM67" s="498" t="n"/>
      <c r="VZN67" s="498" t="n"/>
      <c r="VZO67" s="498" t="n"/>
      <c r="VZP67" s="498" t="n"/>
      <c r="VZQ67" s="498" t="n"/>
      <c r="VZR67" s="498" t="n"/>
      <c r="VZS67" s="498" t="n"/>
      <c r="VZT67" s="498" t="n"/>
      <c r="VZU67" s="498" t="n"/>
      <c r="VZV67" s="498" t="n"/>
      <c r="VZW67" s="498" t="n"/>
      <c r="VZX67" s="498" t="n"/>
      <c r="VZY67" s="498" t="n"/>
      <c r="VZZ67" s="498" t="n"/>
      <c r="WAA67" s="498" t="n"/>
      <c r="WAB67" s="498" t="n"/>
      <c r="WAC67" s="498" t="n"/>
      <c r="WAD67" s="498" t="n"/>
      <c r="WAE67" s="498" t="n"/>
      <c r="WAF67" s="498" t="n"/>
      <c r="WAG67" s="498" t="n"/>
      <c r="WAH67" s="498" t="n"/>
      <c r="WAI67" s="498" t="n"/>
      <c r="WAJ67" s="498" t="n"/>
      <c r="WAK67" s="498" t="n"/>
      <c r="WAL67" s="498" t="n"/>
      <c r="WAM67" s="498" t="n"/>
      <c r="WAN67" s="498" t="n"/>
      <c r="WAO67" s="498" t="n"/>
      <c r="WAP67" s="498" t="n"/>
      <c r="WAQ67" s="498" t="n"/>
      <c r="WAR67" s="498" t="n"/>
      <c r="WAS67" s="498" t="n"/>
      <c r="WAT67" s="498" t="n"/>
      <c r="WAU67" s="498" t="n"/>
      <c r="WAV67" s="498" t="n"/>
      <c r="WAW67" s="498" t="n"/>
      <c r="WAX67" s="498" t="n"/>
      <c r="WAY67" s="498" t="n"/>
      <c r="WAZ67" s="498" t="n"/>
      <c r="WBA67" s="498" t="n"/>
      <c r="WBB67" s="498" t="n"/>
      <c r="WBC67" s="498" t="n"/>
      <c r="WBD67" s="498" t="n"/>
      <c r="WBE67" s="498" t="n"/>
      <c r="WBF67" s="498" t="n"/>
      <c r="WBG67" s="498" t="n"/>
      <c r="WBH67" s="498" t="n"/>
      <c r="WBI67" s="498" t="n"/>
      <c r="WBJ67" s="498" t="n"/>
      <c r="WBK67" s="498" t="n"/>
      <c r="WBL67" s="498" t="n"/>
      <c r="WBM67" s="498" t="n"/>
      <c r="WBN67" s="498" t="n"/>
      <c r="WBO67" s="498" t="n"/>
      <c r="WBP67" s="498" t="n"/>
      <c r="WBQ67" s="498" t="n"/>
      <c r="WBR67" s="498" t="n"/>
      <c r="WBS67" s="498" t="n"/>
      <c r="WBT67" s="498" t="n"/>
      <c r="WBU67" s="498" t="n"/>
      <c r="WBV67" s="498" t="n"/>
      <c r="WBW67" s="498" t="n"/>
      <c r="WBX67" s="498" t="n"/>
      <c r="WBY67" s="498" t="n"/>
      <c r="WBZ67" s="498" t="n"/>
      <c r="WCA67" s="498" t="n"/>
      <c r="WCB67" s="498" t="n"/>
      <c r="WCC67" s="498" t="n"/>
      <c r="WCD67" s="498" t="n"/>
      <c r="WCE67" s="498" t="n"/>
      <c r="WCF67" s="498" t="n"/>
      <c r="WCG67" s="498" t="n"/>
      <c r="WCH67" s="498" t="n"/>
      <c r="WCI67" s="498" t="n"/>
      <c r="WCJ67" s="498" t="n"/>
      <c r="WCK67" s="498" t="n"/>
      <c r="WCL67" s="498" t="n"/>
      <c r="WCM67" s="498" t="n"/>
      <c r="WCN67" s="498" t="n"/>
      <c r="WCO67" s="498" t="n"/>
      <c r="WCP67" s="498" t="n"/>
      <c r="WCQ67" s="498" t="n"/>
      <c r="WCR67" s="498" t="n"/>
      <c r="WCS67" s="498" t="n"/>
      <c r="WCT67" s="498" t="n"/>
      <c r="WCU67" s="498" t="n"/>
      <c r="WCV67" s="498" t="n"/>
      <c r="WCW67" s="498" t="n"/>
      <c r="WCX67" s="498" t="n"/>
      <c r="WCY67" s="498" t="n"/>
      <c r="WCZ67" s="498" t="n"/>
      <c r="WDA67" s="498" t="n"/>
      <c r="WDB67" s="498" t="n"/>
      <c r="WDC67" s="498" t="n"/>
      <c r="WDD67" s="498" t="n"/>
      <c r="WDE67" s="498" t="n"/>
      <c r="WDF67" s="498" t="n"/>
      <c r="WDG67" s="498" t="n"/>
      <c r="WDH67" s="498" t="n"/>
      <c r="WDI67" s="498" t="n"/>
      <c r="WDJ67" s="498" t="n"/>
      <c r="WDK67" s="498" t="n"/>
      <c r="WDL67" s="498" t="n"/>
      <c r="WDM67" s="498" t="n"/>
      <c r="WDN67" s="498" t="n"/>
      <c r="WDO67" s="498" t="n"/>
      <c r="WDP67" s="498" t="n"/>
      <c r="WDQ67" s="498" t="n"/>
      <c r="WDR67" s="498" t="n"/>
      <c r="WDS67" s="498" t="n"/>
      <c r="WDT67" s="498" t="n"/>
      <c r="WDU67" s="498" t="n"/>
      <c r="WDV67" s="498" t="n"/>
      <c r="WDW67" s="498" t="n"/>
      <c r="WDX67" s="498" t="n"/>
      <c r="WDY67" s="498" t="n"/>
      <c r="WDZ67" s="498" t="n"/>
      <c r="WEA67" s="498" t="n"/>
      <c r="WEB67" s="498" t="n"/>
      <c r="WEC67" s="498" t="n"/>
      <c r="WED67" s="498" t="n"/>
      <c r="WEE67" s="498" t="n"/>
      <c r="WEF67" s="498" t="n"/>
      <c r="WEG67" s="498" t="n"/>
      <c r="WEH67" s="498" t="n"/>
      <c r="WEI67" s="498" t="n"/>
      <c r="WEJ67" s="498" t="n"/>
      <c r="WEK67" s="498" t="n"/>
      <c r="WEL67" s="498" t="n"/>
      <c r="WEM67" s="498" t="n"/>
      <c r="WEN67" s="498" t="n"/>
      <c r="WEO67" s="498" t="n"/>
      <c r="WEP67" s="498" t="n"/>
      <c r="WEQ67" s="498" t="n"/>
      <c r="WER67" s="498" t="n"/>
      <c r="WES67" s="498" t="n"/>
      <c r="WET67" s="498" t="n"/>
      <c r="WEU67" s="498" t="n"/>
      <c r="WEV67" s="498" t="n"/>
      <c r="WEW67" s="498" t="n"/>
      <c r="WEX67" s="498" t="n"/>
      <c r="WEY67" s="498" t="n"/>
      <c r="WEZ67" s="498" t="n"/>
      <c r="WFA67" s="498" t="n"/>
      <c r="WFB67" s="498" t="n"/>
      <c r="WFC67" s="498" t="n"/>
      <c r="WFD67" s="498" t="n"/>
      <c r="WFE67" s="498" t="n"/>
      <c r="WFF67" s="498" t="n"/>
      <c r="WFG67" s="498" t="n"/>
      <c r="WFH67" s="498" t="n"/>
      <c r="WFI67" s="498" t="n"/>
      <c r="WFJ67" s="498" t="n"/>
      <c r="WFK67" s="498" t="n"/>
      <c r="WFL67" s="498" t="n"/>
      <c r="WFM67" s="498" t="n"/>
      <c r="WFN67" s="498" t="n"/>
      <c r="WFO67" s="498" t="n"/>
      <c r="WFP67" s="498" t="n"/>
      <c r="WFQ67" s="498" t="n"/>
      <c r="WFR67" s="498" t="n"/>
      <c r="WFS67" s="498" t="n"/>
      <c r="WFT67" s="498" t="n"/>
      <c r="WFU67" s="498" t="n"/>
      <c r="WFV67" s="498" t="n"/>
      <c r="WFW67" s="498" t="n"/>
      <c r="WFX67" s="498" t="n"/>
      <c r="WFY67" s="498" t="n"/>
      <c r="WFZ67" s="498" t="n"/>
      <c r="WGA67" s="498" t="n"/>
      <c r="WGB67" s="498" t="n"/>
      <c r="WGC67" s="498" t="n"/>
      <c r="WGD67" s="498" t="n"/>
      <c r="WGE67" s="498" t="n"/>
      <c r="WGF67" s="498" t="n"/>
      <c r="WGG67" s="498" t="n"/>
      <c r="WGH67" s="498" t="n"/>
      <c r="WGI67" s="498" t="n"/>
      <c r="WGJ67" s="498" t="n"/>
      <c r="WGK67" s="498" t="n"/>
      <c r="WGL67" s="498" t="n"/>
      <c r="WGM67" s="498" t="n"/>
      <c r="WGN67" s="498" t="n"/>
      <c r="WGO67" s="498" t="n"/>
      <c r="WGP67" s="498" t="n"/>
      <c r="WGQ67" s="498" t="n"/>
      <c r="WGR67" s="498" t="n"/>
      <c r="WGS67" s="498" t="n"/>
      <c r="WGT67" s="498" t="n"/>
      <c r="WGU67" s="498" t="n"/>
      <c r="WGV67" s="498" t="n"/>
      <c r="WGW67" s="498" t="n"/>
      <c r="WGX67" s="498" t="n"/>
      <c r="WGY67" s="498" t="n"/>
      <c r="WGZ67" s="498" t="n"/>
      <c r="WHA67" s="498" t="n"/>
      <c r="WHB67" s="498" t="n"/>
      <c r="WHC67" s="498" t="n"/>
      <c r="WHD67" s="498" t="n"/>
      <c r="WHE67" s="498" t="n"/>
      <c r="WHF67" s="498" t="n"/>
      <c r="WHG67" s="498" t="n"/>
      <c r="WHH67" s="498" t="n"/>
      <c r="WHI67" s="498" t="n"/>
      <c r="WHJ67" s="498" t="n"/>
      <c r="WHK67" s="498" t="n"/>
      <c r="WHL67" s="498" t="n"/>
      <c r="WHM67" s="498" t="n"/>
      <c r="WHN67" s="498" t="n"/>
      <c r="WHO67" s="498" t="n"/>
      <c r="WHP67" s="498" t="n"/>
      <c r="WHQ67" s="498" t="n"/>
      <c r="WHR67" s="498" t="n"/>
      <c r="WHS67" s="498" t="n"/>
      <c r="WHT67" s="498" t="n"/>
      <c r="WHU67" s="498" t="n"/>
      <c r="WHV67" s="498" t="n"/>
      <c r="WHW67" s="498" t="n"/>
      <c r="WHX67" s="498" t="n"/>
      <c r="WHY67" s="498" t="n"/>
      <c r="WHZ67" s="498" t="n"/>
      <c r="WIA67" s="498" t="n"/>
      <c r="WIB67" s="498" t="n"/>
      <c r="WIC67" s="498" t="n"/>
      <c r="WID67" s="498" t="n"/>
      <c r="WIE67" s="498" t="n"/>
      <c r="WIF67" s="498" t="n"/>
      <c r="WIG67" s="498" t="n"/>
      <c r="WIH67" s="498" t="n"/>
      <c r="WII67" s="498" t="n"/>
      <c r="WIJ67" s="498" t="n"/>
      <c r="WIK67" s="498" t="n"/>
      <c r="WIL67" s="498" t="n"/>
      <c r="WIM67" s="498" t="n"/>
      <c r="WIN67" s="498" t="n"/>
      <c r="WIO67" s="498" t="n"/>
      <c r="WIP67" s="498" t="n"/>
      <c r="WIQ67" s="498" t="n"/>
      <c r="WIR67" s="498" t="n"/>
      <c r="WIS67" s="498" t="n"/>
      <c r="WIT67" s="498" t="n"/>
      <c r="WIU67" s="498" t="n"/>
      <c r="WIV67" s="498" t="n"/>
      <c r="WIW67" s="498" t="n"/>
      <c r="WIX67" s="498" t="n"/>
      <c r="WIY67" s="498" t="n"/>
      <c r="WIZ67" s="498" t="n"/>
      <c r="WJA67" s="498" t="n"/>
      <c r="WJB67" s="498" t="n"/>
      <c r="WJC67" s="498" t="n"/>
      <c r="WJD67" s="498" t="n"/>
      <c r="WJE67" s="498" t="n"/>
      <c r="WJF67" s="498" t="n"/>
      <c r="WJG67" s="498" t="n"/>
      <c r="WJH67" s="498" t="n"/>
      <c r="WJI67" s="498" t="n"/>
      <c r="WJJ67" s="498" t="n"/>
      <c r="WJK67" s="498" t="n"/>
      <c r="WJL67" s="498" t="n"/>
      <c r="WJM67" s="498" t="n"/>
      <c r="WJN67" s="498" t="n"/>
      <c r="WJO67" s="498" t="n"/>
      <c r="WJP67" s="498" t="n"/>
      <c r="WJQ67" s="498" t="n"/>
      <c r="WJR67" s="498" t="n"/>
      <c r="WJS67" s="498" t="n"/>
      <c r="WJT67" s="498" t="n"/>
      <c r="WJU67" s="498" t="n"/>
      <c r="WJV67" s="498" t="n"/>
      <c r="WJW67" s="498" t="n"/>
      <c r="WJX67" s="498" t="n"/>
      <c r="WJY67" s="498" t="n"/>
      <c r="WJZ67" s="498" t="n"/>
      <c r="WKA67" s="498" t="n"/>
      <c r="WKB67" s="498" t="n"/>
      <c r="WKC67" s="498" t="n"/>
      <c r="WKD67" s="498" t="n"/>
      <c r="WKE67" s="498" t="n"/>
      <c r="WKF67" s="498" t="n"/>
      <c r="WKG67" s="498" t="n"/>
      <c r="WKH67" s="498" t="n"/>
      <c r="WKI67" s="498" t="n"/>
      <c r="WKJ67" s="498" t="n"/>
      <c r="WKK67" s="498" t="n"/>
      <c r="WKL67" s="498" t="n"/>
      <c r="WKM67" s="498" t="n"/>
      <c r="WKN67" s="498" t="n"/>
      <c r="WKO67" s="498" t="n"/>
      <c r="WKP67" s="498" t="n"/>
      <c r="WKQ67" s="498" t="n"/>
      <c r="WKR67" s="498" t="n"/>
      <c r="WKS67" s="498" t="n"/>
      <c r="WKT67" s="498" t="n"/>
      <c r="WKU67" s="498" t="n"/>
      <c r="WKV67" s="498" t="n"/>
      <c r="WKW67" s="498" t="n"/>
      <c r="WKX67" s="498" t="n"/>
      <c r="WKY67" s="498" t="n"/>
      <c r="WKZ67" s="498" t="n"/>
      <c r="WLA67" s="498" t="n"/>
      <c r="WLB67" s="498" t="n"/>
      <c r="WLC67" s="498" t="n"/>
      <c r="WLD67" s="498" t="n"/>
      <c r="WLE67" s="498" t="n"/>
      <c r="WLF67" s="498" t="n"/>
      <c r="WLG67" s="498" t="n"/>
      <c r="WLH67" s="498" t="n"/>
      <c r="WLI67" s="498" t="n"/>
      <c r="WLJ67" s="498" t="n"/>
      <c r="WLK67" s="498" t="n"/>
      <c r="WLL67" s="498" t="n"/>
      <c r="WLM67" s="498" t="n"/>
      <c r="WLN67" s="498" t="n"/>
      <c r="WLO67" s="498" t="n"/>
      <c r="WLP67" s="498" t="n"/>
      <c r="WLQ67" s="498" t="n"/>
      <c r="WLR67" s="498" t="n"/>
      <c r="WLS67" s="498" t="n"/>
      <c r="WLT67" s="498" t="n"/>
      <c r="WLU67" s="498" t="n"/>
      <c r="WLV67" s="498" t="n"/>
      <c r="WLW67" s="498" t="n"/>
      <c r="WLX67" s="498" t="n"/>
      <c r="WLY67" s="498" t="n"/>
      <c r="WLZ67" s="498" t="n"/>
      <c r="WMA67" s="498" t="n"/>
      <c r="WMB67" s="498" t="n"/>
      <c r="WMC67" s="498" t="n"/>
      <c r="WMD67" s="498" t="n"/>
      <c r="WME67" s="498" t="n"/>
      <c r="WMF67" s="498" t="n"/>
      <c r="WMG67" s="498" t="n"/>
      <c r="WMH67" s="498" t="n"/>
      <c r="WMI67" s="498" t="n"/>
      <c r="WMJ67" s="498" t="n"/>
      <c r="WMK67" s="498" t="n"/>
      <c r="WML67" s="498" t="n"/>
      <c r="WMM67" s="498" t="n"/>
      <c r="WMN67" s="498" t="n"/>
      <c r="WMO67" s="498" t="n"/>
      <c r="WMP67" s="498" t="n"/>
      <c r="WMQ67" s="498" t="n"/>
      <c r="WMR67" s="498" t="n"/>
      <c r="WMS67" s="498" t="n"/>
      <c r="WMT67" s="498" t="n"/>
      <c r="WMU67" s="498" t="n"/>
      <c r="WMV67" s="498" t="n"/>
      <c r="WMW67" s="498" t="n"/>
      <c r="WMX67" s="498" t="n"/>
      <c r="WMY67" s="498" t="n"/>
      <c r="WMZ67" s="498" t="n"/>
      <c r="WNA67" s="498" t="n"/>
      <c r="WNB67" s="498" t="n"/>
      <c r="WNC67" s="498" t="n"/>
      <c r="WND67" s="498" t="n"/>
      <c r="WNE67" s="498" t="n"/>
      <c r="WNF67" s="498" t="n"/>
      <c r="WNG67" s="498" t="n"/>
      <c r="WNH67" s="498" t="n"/>
      <c r="WNI67" s="498" t="n"/>
      <c r="WNJ67" s="498" t="n"/>
      <c r="WNK67" s="498" t="n"/>
      <c r="WNL67" s="498" t="n"/>
      <c r="WNM67" s="498" t="n"/>
      <c r="WNN67" s="498" t="n"/>
      <c r="WNO67" s="498" t="n"/>
      <c r="WNP67" s="498" t="n"/>
      <c r="WNQ67" s="498" t="n"/>
      <c r="WNR67" s="498" t="n"/>
      <c r="WNS67" s="498" t="n"/>
      <c r="WNT67" s="498" t="n"/>
      <c r="WNU67" s="498" t="n"/>
      <c r="WNV67" s="498" t="n"/>
      <c r="WNW67" s="498" t="n"/>
      <c r="WNX67" s="498" t="n"/>
      <c r="WNY67" s="498" t="n"/>
      <c r="WNZ67" s="498" t="n"/>
      <c r="WOA67" s="498" t="n"/>
      <c r="WOB67" s="498" t="n"/>
      <c r="WOC67" s="498" t="n"/>
      <c r="WOD67" s="498" t="n"/>
      <c r="WOE67" s="498" t="n"/>
      <c r="WOF67" s="498" t="n"/>
      <c r="WOG67" s="498" t="n"/>
      <c r="WOH67" s="498" t="n"/>
      <c r="WOI67" s="498" t="n"/>
      <c r="WOJ67" s="498" t="n"/>
      <c r="WOK67" s="498" t="n"/>
      <c r="WOL67" s="498" t="n"/>
      <c r="WOM67" s="498" t="n"/>
      <c r="WON67" s="498" t="n"/>
      <c r="WOO67" s="498" t="n"/>
      <c r="WOP67" s="498" t="n"/>
      <c r="WOQ67" s="498" t="n"/>
      <c r="WOR67" s="498" t="n"/>
      <c r="WOS67" s="498" t="n"/>
      <c r="WOT67" s="498" t="n"/>
      <c r="WOU67" s="498" t="n"/>
      <c r="WOV67" s="498" t="n"/>
      <c r="WOW67" s="498" t="n"/>
      <c r="WOX67" s="498" t="n"/>
      <c r="WOY67" s="498" t="n"/>
      <c r="WOZ67" s="498" t="n"/>
      <c r="WPA67" s="498" t="n"/>
      <c r="WPB67" s="498" t="n"/>
      <c r="WPC67" s="498" t="n"/>
      <c r="WPD67" s="498" t="n"/>
      <c r="WPE67" s="498" t="n"/>
      <c r="WPF67" s="498" t="n"/>
      <c r="WPG67" s="498" t="n"/>
      <c r="WPH67" s="498" t="n"/>
      <c r="WPI67" s="498" t="n"/>
      <c r="WPJ67" s="498" t="n"/>
      <c r="WPK67" s="498" t="n"/>
      <c r="WPL67" s="498" t="n"/>
      <c r="WPM67" s="498" t="n"/>
      <c r="WPN67" s="498" t="n"/>
      <c r="WPO67" s="498" t="n"/>
      <c r="WPP67" s="498" t="n"/>
      <c r="WPQ67" s="498" t="n"/>
      <c r="WPR67" s="498" t="n"/>
      <c r="WPS67" s="498" t="n"/>
      <c r="WPT67" s="498" t="n"/>
      <c r="WPU67" s="498" t="n"/>
      <c r="WPV67" s="498" t="n"/>
      <c r="WPW67" s="498" t="n"/>
      <c r="WPX67" s="498" t="n"/>
      <c r="WPY67" s="498" t="n"/>
      <c r="WPZ67" s="498" t="n"/>
      <c r="WQA67" s="498" t="n"/>
      <c r="WQB67" s="498" t="n"/>
      <c r="WQC67" s="498" t="n"/>
      <c r="WQD67" s="498" t="n"/>
      <c r="WQE67" s="498" t="n"/>
      <c r="WQF67" s="498" t="n"/>
      <c r="WQG67" s="498" t="n"/>
      <c r="WQH67" s="498" t="n"/>
      <c r="WQI67" s="498" t="n"/>
      <c r="WQJ67" s="498" t="n"/>
      <c r="WQK67" s="498" t="n"/>
      <c r="WQL67" s="498" t="n"/>
      <c r="WQM67" s="498" t="n"/>
      <c r="WQN67" s="498" t="n"/>
      <c r="WQO67" s="498" t="n"/>
      <c r="WQP67" s="498" t="n"/>
      <c r="WQQ67" s="498" t="n"/>
      <c r="WQR67" s="498" t="n"/>
      <c r="WQS67" s="498" t="n"/>
      <c r="WQT67" s="498" t="n"/>
      <c r="WQU67" s="498" t="n"/>
      <c r="WQV67" s="498" t="n"/>
      <c r="WQW67" s="498" t="n"/>
      <c r="WQX67" s="498" t="n"/>
      <c r="WQY67" s="498" t="n"/>
      <c r="WQZ67" s="498" t="n"/>
      <c r="WRA67" s="498" t="n"/>
      <c r="WRB67" s="498" t="n"/>
      <c r="WRC67" s="498" t="n"/>
      <c r="WRD67" s="498" t="n"/>
      <c r="WRE67" s="498" t="n"/>
      <c r="WRF67" s="498" t="n"/>
      <c r="WRG67" s="498" t="n"/>
      <c r="WRH67" s="498" t="n"/>
      <c r="WRI67" s="498" t="n"/>
      <c r="WRJ67" s="498" t="n"/>
      <c r="WRK67" s="498" t="n"/>
      <c r="WRL67" s="498" t="n"/>
      <c r="WRM67" s="498" t="n"/>
      <c r="WRN67" s="498" t="n"/>
      <c r="WRO67" s="498" t="n"/>
      <c r="WRP67" s="498" t="n"/>
      <c r="WRQ67" s="498" t="n"/>
      <c r="WRR67" s="498" t="n"/>
      <c r="WRS67" s="498" t="n"/>
      <c r="WRT67" s="498" t="n"/>
      <c r="WRU67" s="498" t="n"/>
      <c r="WRV67" s="498" t="n"/>
      <c r="WRW67" s="498" t="n"/>
      <c r="WRX67" s="498" t="n"/>
      <c r="WRY67" s="498" t="n"/>
      <c r="WRZ67" s="498" t="n"/>
      <c r="WSA67" s="498" t="n"/>
      <c r="WSB67" s="498" t="n"/>
      <c r="WSC67" s="498" t="n"/>
      <c r="WSD67" s="498" t="n"/>
      <c r="WSE67" s="498" t="n"/>
      <c r="WSF67" s="498" t="n"/>
      <c r="WSG67" s="498" t="n"/>
      <c r="WSH67" s="498" t="n"/>
      <c r="WSI67" s="498" t="n"/>
      <c r="WSJ67" s="498" t="n"/>
      <c r="WSK67" s="498" t="n"/>
      <c r="WSL67" s="498" t="n"/>
      <c r="WSM67" s="498" t="n"/>
      <c r="WSN67" s="498" t="n"/>
      <c r="WSO67" s="498" t="n"/>
      <c r="WSP67" s="498" t="n"/>
      <c r="WSQ67" s="498" t="n"/>
      <c r="WSR67" s="498" t="n"/>
      <c r="WSS67" s="498" t="n"/>
      <c r="WST67" s="498" t="n"/>
      <c r="WSU67" s="498" t="n"/>
      <c r="WSV67" s="498" t="n"/>
      <c r="WSW67" s="498" t="n"/>
      <c r="WSX67" s="498" t="n"/>
      <c r="WSY67" s="498" t="n"/>
      <c r="WSZ67" s="498" t="n"/>
      <c r="WTA67" s="498" t="n"/>
      <c r="WTB67" s="498" t="n"/>
      <c r="WTC67" s="498" t="n"/>
      <c r="WTD67" s="498" t="n"/>
      <c r="WTE67" s="498" t="n"/>
      <c r="WTF67" s="498" t="n"/>
      <c r="WTG67" s="498" t="n"/>
      <c r="WTH67" s="498" t="n"/>
      <c r="WTI67" s="498" t="n"/>
      <c r="WTJ67" s="498" t="n"/>
      <c r="WTK67" s="498" t="n"/>
      <c r="WTL67" s="498" t="n"/>
      <c r="WTM67" s="498" t="n"/>
      <c r="WTN67" s="498" t="n"/>
      <c r="WTO67" s="498" t="n"/>
      <c r="WTP67" s="498" t="n"/>
      <c r="WTQ67" s="498" t="n"/>
      <c r="WTR67" s="498" t="n"/>
      <c r="WTS67" s="498" t="n"/>
      <c r="WTT67" s="498" t="n"/>
      <c r="WTU67" s="498" t="n"/>
      <c r="WTV67" s="498" t="n"/>
      <c r="WTW67" s="498" t="n"/>
      <c r="WTX67" s="498" t="n"/>
      <c r="WTY67" s="498" t="n"/>
      <c r="WTZ67" s="498" t="n"/>
      <c r="WUA67" s="498" t="n"/>
      <c r="WUB67" s="498" t="n"/>
      <c r="WUC67" s="498" t="n"/>
      <c r="WUD67" s="498" t="n"/>
      <c r="WUE67" s="498" t="n"/>
      <c r="WUF67" s="498" t="n"/>
      <c r="WUG67" s="498" t="n"/>
      <c r="WUH67" s="498" t="n"/>
      <c r="WUI67" s="498" t="n"/>
      <c r="WUJ67" s="498" t="n"/>
      <c r="WUK67" s="498" t="n"/>
      <c r="WUL67" s="498" t="n"/>
      <c r="WUM67" s="498" t="n"/>
      <c r="WUN67" s="498" t="n"/>
      <c r="WUO67" s="498" t="n"/>
      <c r="WUP67" s="498" t="n"/>
      <c r="WUQ67" s="498" t="n"/>
      <c r="WUR67" s="498" t="n"/>
      <c r="WUS67" s="498" t="n"/>
      <c r="WUT67" s="498" t="n"/>
      <c r="WUU67" s="498" t="n"/>
      <c r="WUV67" s="498" t="n"/>
      <c r="WUW67" s="498" t="n"/>
      <c r="WUX67" s="498" t="n"/>
      <c r="WUY67" s="498" t="n"/>
      <c r="WUZ67" s="498" t="n"/>
      <c r="WVA67" s="498" t="n"/>
      <c r="WVB67" s="498" t="n"/>
      <c r="WVC67" s="498" t="n"/>
      <c r="WVD67" s="498" t="n"/>
      <c r="WVE67" s="498" t="n"/>
      <c r="WVF67" s="498" t="n"/>
      <c r="WVG67" s="498" t="n"/>
      <c r="WVH67" s="498" t="n"/>
      <c r="WVI67" s="498" t="n"/>
      <c r="WVJ67" s="498" t="n"/>
      <c r="WVK67" s="498" t="n"/>
      <c r="WVL67" s="498" t="n"/>
      <c r="WVM67" s="498" t="n"/>
      <c r="WVN67" s="498" t="n"/>
      <c r="WVO67" s="498" t="n"/>
      <c r="WVP67" s="498" t="n"/>
      <c r="WVQ67" s="498" t="n"/>
      <c r="WVR67" s="498" t="n"/>
      <c r="WVS67" s="498" t="n"/>
      <c r="WVT67" s="498" t="n"/>
      <c r="WVU67" s="498" t="n"/>
      <c r="WVV67" s="498" t="n"/>
      <c r="WVW67" s="498" t="n"/>
      <c r="WVX67" s="498" t="n"/>
      <c r="WVY67" s="498" t="n"/>
      <c r="WVZ67" s="498" t="n"/>
      <c r="WWA67" s="498" t="n"/>
      <c r="WWB67" s="498" t="n"/>
      <c r="WWC67" s="498" t="n"/>
      <c r="WWD67" s="498" t="n"/>
      <c r="WWE67" s="498" t="n"/>
      <c r="WWF67" s="498" t="n"/>
      <c r="WWG67" s="498" t="n"/>
      <c r="WWH67" s="498" t="n"/>
      <c r="WWI67" s="498" t="n"/>
      <c r="WWJ67" s="498" t="n"/>
      <c r="WWK67" s="498" t="n"/>
      <c r="WWL67" s="498" t="n"/>
      <c r="WWM67" s="498" t="n"/>
      <c r="WWN67" s="498" t="n"/>
      <c r="WWO67" s="498" t="n"/>
      <c r="WWP67" s="498" t="n"/>
      <c r="WWQ67" s="498" t="n"/>
      <c r="WWR67" s="498" t="n"/>
      <c r="WWS67" s="498" t="n"/>
      <c r="WWT67" s="498" t="n"/>
      <c r="WWU67" s="498" t="n"/>
      <c r="WWV67" s="498" t="n"/>
      <c r="WWW67" s="498" t="n"/>
      <c r="WWX67" s="498" t="n"/>
      <c r="WWY67" s="498" t="n"/>
      <c r="WWZ67" s="498" t="n"/>
      <c r="WXA67" s="498" t="n"/>
      <c r="WXB67" s="498" t="n"/>
      <c r="WXC67" s="498" t="n"/>
      <c r="WXD67" s="498" t="n"/>
      <c r="WXE67" s="498" t="n"/>
      <c r="WXF67" s="498" t="n"/>
      <c r="WXG67" s="498" t="n"/>
      <c r="WXH67" s="498" t="n"/>
      <c r="WXI67" s="498" t="n"/>
      <c r="WXJ67" s="498" t="n"/>
      <c r="WXK67" s="498" t="n"/>
      <c r="WXL67" s="498" t="n"/>
      <c r="WXM67" s="498" t="n"/>
      <c r="WXN67" s="498" t="n"/>
      <c r="WXO67" s="498" t="n"/>
      <c r="WXP67" s="498" t="n"/>
      <c r="WXQ67" s="498" t="n"/>
      <c r="WXR67" s="498" t="n"/>
      <c r="WXS67" s="498" t="n"/>
      <c r="WXT67" s="498" t="n"/>
      <c r="WXU67" s="498" t="n"/>
      <c r="WXV67" s="498" t="n"/>
      <c r="WXW67" s="498" t="n"/>
      <c r="WXX67" s="498" t="n"/>
      <c r="WXY67" s="498" t="n"/>
      <c r="WXZ67" s="498" t="n"/>
      <c r="WYA67" s="498" t="n"/>
      <c r="WYB67" s="498" t="n"/>
      <c r="WYC67" s="498" t="n"/>
      <c r="WYD67" s="498" t="n"/>
      <c r="WYE67" s="498" t="n"/>
      <c r="WYF67" s="498" t="n"/>
      <c r="WYG67" s="498" t="n"/>
      <c r="WYH67" s="498" t="n"/>
      <c r="WYI67" s="498" t="n"/>
      <c r="WYJ67" s="498" t="n"/>
      <c r="WYK67" s="498" t="n"/>
      <c r="WYL67" s="498" t="n"/>
      <c r="WYM67" s="498" t="n"/>
      <c r="WYN67" s="498" t="n"/>
      <c r="WYO67" s="498" t="n"/>
      <c r="WYP67" s="498" t="n"/>
      <c r="WYQ67" s="498" t="n"/>
      <c r="WYR67" s="498" t="n"/>
      <c r="WYS67" s="498" t="n"/>
      <c r="WYT67" s="498" t="n"/>
      <c r="WYU67" s="498" t="n"/>
      <c r="WYV67" s="498" t="n"/>
      <c r="WYW67" s="498" t="n"/>
      <c r="WYX67" s="498" t="n"/>
      <c r="WYY67" s="498" t="n"/>
      <c r="WYZ67" s="498" t="n"/>
      <c r="WZA67" s="498" t="n"/>
      <c r="WZB67" s="498" t="n"/>
      <c r="WZC67" s="498" t="n"/>
      <c r="WZD67" s="498" t="n"/>
      <c r="WZE67" s="498" t="n"/>
      <c r="WZF67" s="498" t="n"/>
      <c r="WZG67" s="498" t="n"/>
      <c r="WZH67" s="498" t="n"/>
      <c r="WZI67" s="498" t="n"/>
      <c r="WZJ67" s="498" t="n"/>
      <c r="WZK67" s="498" t="n"/>
      <c r="WZL67" s="498" t="n"/>
      <c r="WZM67" s="498" t="n"/>
      <c r="WZN67" s="498" t="n"/>
      <c r="WZO67" s="498" t="n"/>
      <c r="WZP67" s="498" t="n"/>
      <c r="WZQ67" s="498" t="n"/>
      <c r="WZR67" s="498" t="n"/>
      <c r="WZS67" s="498" t="n"/>
      <c r="WZT67" s="498" t="n"/>
      <c r="WZU67" s="498" t="n"/>
      <c r="WZV67" s="498" t="n"/>
      <c r="WZW67" s="498" t="n"/>
      <c r="WZX67" s="498" t="n"/>
      <c r="WZY67" s="498" t="n"/>
      <c r="WZZ67" s="498" t="n"/>
      <c r="XAA67" s="498" t="n"/>
      <c r="XAB67" s="498" t="n"/>
      <c r="XAC67" s="498" t="n"/>
      <c r="XAD67" s="498" t="n"/>
      <c r="XAE67" s="498" t="n"/>
      <c r="XAF67" s="498" t="n"/>
      <c r="XAG67" s="498" t="n"/>
      <c r="XAH67" s="498" t="n"/>
      <c r="XAI67" s="498" t="n"/>
      <c r="XAJ67" s="498" t="n"/>
      <c r="XAK67" s="498" t="n"/>
      <c r="XAL67" s="498" t="n"/>
      <c r="XAM67" s="498" t="n"/>
      <c r="XAN67" s="498" t="n"/>
      <c r="XAO67" s="498" t="n"/>
      <c r="XAP67" s="498" t="n"/>
      <c r="XAQ67" s="498" t="n"/>
      <c r="XAR67" s="498" t="n"/>
      <c r="XAS67" s="498" t="n"/>
      <c r="XAT67" s="498" t="n"/>
      <c r="XAU67" s="498" t="n"/>
      <c r="XAV67" s="498" t="n"/>
      <c r="XAW67" s="498" t="n"/>
      <c r="XAX67" s="498" t="n"/>
      <c r="XAY67" s="498" t="n"/>
      <c r="XAZ67" s="498" t="n"/>
      <c r="XBA67" s="498" t="n"/>
      <c r="XBB67" s="498" t="n"/>
      <c r="XBC67" s="498" t="n"/>
      <c r="XBD67" s="498" t="n"/>
      <c r="XBE67" s="498" t="n"/>
      <c r="XBF67" s="498" t="n"/>
      <c r="XBG67" s="498" t="n"/>
      <c r="XBH67" s="498" t="n"/>
      <c r="XBI67" s="498" t="n"/>
      <c r="XBJ67" s="498" t="n"/>
      <c r="XBK67" s="498" t="n"/>
      <c r="XBL67" s="498" t="n"/>
      <c r="XBM67" s="498" t="n"/>
      <c r="XBN67" s="498" t="n"/>
      <c r="XBO67" s="498" t="n"/>
      <c r="XBP67" s="498" t="n"/>
      <c r="XBQ67" s="498" t="n"/>
      <c r="XBR67" s="498" t="n"/>
      <c r="XBS67" s="498" t="n"/>
      <c r="XBT67" s="498" t="n"/>
      <c r="XBU67" s="498" t="n"/>
      <c r="XBV67" s="498" t="n"/>
      <c r="XBW67" s="498" t="n"/>
      <c r="XBX67" s="498" t="n"/>
      <c r="XBY67" s="498" t="n"/>
      <c r="XBZ67" s="498" t="n"/>
      <c r="XCA67" s="498" t="n"/>
      <c r="XCB67" s="498" t="n"/>
      <c r="XCC67" s="498" t="n"/>
      <c r="XCD67" s="498" t="n"/>
      <c r="XCE67" s="498" t="n"/>
      <c r="XCF67" s="498" t="n"/>
      <c r="XCG67" s="498" t="n"/>
      <c r="XCH67" s="498" t="n"/>
      <c r="XCI67" s="498" t="n"/>
      <c r="XCJ67" s="498" t="n"/>
      <c r="XCK67" s="498" t="n"/>
      <c r="XCL67" s="498" t="n"/>
      <c r="XCM67" s="498" t="n"/>
      <c r="XCN67" s="498" t="n"/>
      <c r="XCO67" s="498" t="n"/>
      <c r="XCP67" s="498" t="n"/>
      <c r="XCQ67" s="498" t="n"/>
      <c r="XCR67" s="498" t="n"/>
      <c r="XCS67" s="498" t="n"/>
      <c r="XCT67" s="498" t="n"/>
      <c r="XCU67" s="498" t="n"/>
      <c r="XCV67" s="498" t="n"/>
      <c r="XCW67" s="498" t="n"/>
      <c r="XCX67" s="498" t="n"/>
      <c r="XCY67" s="498" t="n"/>
      <c r="XCZ67" s="498" t="n"/>
      <c r="XDA67" s="498" t="n"/>
      <c r="XDB67" s="498" t="n"/>
      <c r="XDC67" s="498" t="n"/>
      <c r="XDD67" s="498" t="n"/>
      <c r="XDE67" s="498" t="n"/>
      <c r="XDF67" s="498" t="n"/>
      <c r="XDG67" s="498" t="n"/>
      <c r="XDH67" s="498" t="n"/>
      <c r="XDI67" s="498" t="n"/>
      <c r="XDJ67" s="498" t="n"/>
      <c r="XDK67" s="498" t="n"/>
      <c r="XDL67" s="498" t="n"/>
      <c r="XDM67" s="498" t="n"/>
      <c r="XDN67" s="498" t="n"/>
      <c r="XDO67" s="498" t="n"/>
      <c r="XDP67" s="498" t="n"/>
      <c r="XDQ67" s="498" t="n"/>
      <c r="XDR67" s="498" t="n"/>
      <c r="XDS67" s="498" t="n"/>
      <c r="XDT67" s="498" t="n"/>
      <c r="XDU67" s="498" t="n"/>
      <c r="XDV67" s="498" t="n"/>
      <c r="XDW67" s="498" t="n"/>
      <c r="XDX67" s="498" t="n"/>
      <c r="XDY67" s="498" t="n"/>
      <c r="XDZ67" s="498" t="n"/>
      <c r="XEA67" s="498" t="n"/>
      <c r="XEB67" s="498" t="n"/>
      <c r="XEC67" s="498" t="n"/>
      <c r="XED67" s="498" t="n"/>
      <c r="XEE67" s="498" t="n"/>
      <c r="XEF67" s="498" t="n"/>
      <c r="XEG67" s="498" t="n"/>
      <c r="XEH67" s="498" t="n"/>
      <c r="XEI67" s="498" t="n"/>
      <c r="XEJ67" s="498" t="n"/>
      <c r="XEK67" s="498" t="n"/>
      <c r="XEL67" s="498" t="n"/>
      <c r="XEM67" s="498" t="n"/>
      <c r="XEN67" s="498" t="n"/>
    </row>
    <row r="68" customFormat="1" s="192">
      <c r="A68" s="46" t="n"/>
      <c r="B68" s="229" t="n"/>
      <c r="C68" s="314" t="n"/>
      <c r="D68" s="83" t="n"/>
      <c r="E68" s="48" t="n"/>
      <c r="F68" s="112" t="n"/>
      <c r="G68" s="109" t="n"/>
      <c r="H68" s="109" t="n"/>
      <c r="I68" s="109" t="n"/>
      <c r="J68" s="90" t="n"/>
      <c r="K68" s="61" t="n"/>
      <c r="L68" s="220" t="n"/>
      <c r="M68" s="220" t="n"/>
      <c r="N68" s="530" t="n"/>
      <c r="O68" s="392">
        <f>1</f>
        <v/>
      </c>
      <c r="P68" s="186" t="n"/>
      <c r="R68" s="194" t="n"/>
      <c r="S68" s="193" t="n"/>
      <c r="V68" s="552" t="n"/>
      <c r="W68" s="552">
        <f>IF(V68="","",V68*O68)</f>
        <v/>
      </c>
      <c r="X68" s="186">
        <f>IF(R68="yes",W68,"")</f>
        <v/>
      </c>
    </row>
    <row r="69" ht="204" customFormat="1" customHeight="1" s="192">
      <c r="A69" s="46">
        <f>A65+1</f>
        <v/>
      </c>
      <c r="B69" s="231" t="inlineStr">
        <is>
          <t>income_main_comp</t>
        </is>
      </c>
      <c r="C69" s="191" t="inlineStr">
        <is>
          <t>income_main_comp</t>
        </is>
      </c>
      <c r="D69" s="211" t="inlineStr">
        <is>
          <t>Has your household's income from {income_main} changed in the last 3 months compared to the same period of a normal year?
[OPERATOR: SINGLE RESPONSE.]
1)A lot more [increased by more than 50%]
2)Slightly more
3)Same
4)Slightly less
5)A lot less [less than half as much]
6)DON'T KNOW
7)REFUSED</t>
        </is>
      </c>
      <c r="E69" s="197">
        <f>LEN(D69)</f>
        <v/>
      </c>
      <c r="F69" s="206" t="inlineStr">
        <is>
          <t>Single Choice</t>
        </is>
      </c>
      <c r="G69" s="197" t="inlineStr">
        <is>
          <t>NA</t>
        </is>
      </c>
      <c r="H69" s="197" t="inlineStr">
        <is>
          <t>NA</t>
        </is>
      </c>
      <c r="I69" s="197" t="inlineStr">
        <is>
          <t>Form Type - Buttons</t>
        </is>
      </c>
      <c r="J69" s="221" t="inlineStr">
        <is>
          <t>1-7= income_sec</t>
        </is>
      </c>
      <c r="K69" s="266" t="inlineStr">
        <is>
          <t>NA</t>
        </is>
      </c>
      <c r="L69" s="221" t="inlineStr">
        <is>
          <t>if income_main_comp = 1-7, go to income_sec</t>
        </is>
      </c>
      <c r="M69" s="61" t="n"/>
      <c r="N69" s="10" t="n"/>
      <c r="O69" s="318">
        <f>1</f>
        <v/>
      </c>
      <c r="P69" s="186" t="n"/>
      <c r="R69" s="467" t="inlineStr">
        <is>
          <t>yes</t>
        </is>
      </c>
      <c r="S69" s="193" t="n"/>
      <c r="V69" s="551" t="n">
        <v>22.1262149810791</v>
      </c>
      <c r="W69" s="551">
        <f>IF(V69="","",V69*O69)</f>
        <v/>
      </c>
      <c r="X69" s="186">
        <f>IF(R69="yes",W69,"")</f>
        <v/>
      </c>
    </row>
    <row r="70" customFormat="1" s="192">
      <c r="A70" s="46" t="n"/>
      <c r="B70" s="229" t="n"/>
      <c r="C70" s="103" t="n"/>
      <c r="D70" s="227" t="n"/>
      <c r="E70" s="48" t="n"/>
      <c r="F70" s="104" t="n"/>
      <c r="G70" s="48" t="n"/>
      <c r="H70" s="48" t="n"/>
      <c r="I70" s="48" t="n"/>
      <c r="J70" s="94" t="n"/>
      <c r="K70" s="61" t="n"/>
      <c r="L70" s="94" t="n"/>
      <c r="M70" s="94" t="n"/>
      <c r="N70" s="10" t="n"/>
      <c r="O70" s="392">
        <f>1</f>
        <v/>
      </c>
      <c r="P70" s="186" t="n"/>
      <c r="R70" s="194" t="n"/>
      <c r="S70" s="193" t="n"/>
      <c r="V70" s="552" t="n"/>
      <c r="W70" s="552">
        <f>IF(V70="","",V70*O70)</f>
        <v/>
      </c>
      <c r="X70" s="186">
        <f>IF(R70="yes",W70,"")</f>
        <v/>
      </c>
    </row>
    <row r="71" ht="408" customFormat="1" customHeight="1" s="192">
      <c r="A71" s="46">
        <f>A69+1</f>
        <v/>
      </c>
      <c r="B71" s="231" t="inlineStr">
        <is>
          <t>income_sec</t>
        </is>
      </c>
      <c r="C71" s="191" t="inlineStr">
        <is>
          <t>income_sec</t>
        </is>
      </c>
      <c r="D71" s="211"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1" s="197">
        <f>LEN(D71)</f>
        <v/>
      </c>
      <c r="F71" s="206" t="inlineStr">
        <is>
          <t>Single Choice</t>
        </is>
      </c>
      <c r="G71" s="197" t="inlineStr">
        <is>
          <t>NA</t>
        </is>
      </c>
      <c r="H71" s="197" t="inlineStr">
        <is>
          <t>NA</t>
        </is>
      </c>
      <c r="I71" s="197" t="inlineStr">
        <is>
          <t>Form Type - Buttons
exclude selected "income_main"
IsDemographic</t>
        </is>
      </c>
      <c r="J71" s="188" t="inlineStr">
        <is>
          <t>1-3 = income_sec_crop_check
4 = income_sec_ls_check
5 = income_sec_comp OR optional question
6 = income_sec_fish_check
7-18 = income_sec_comp OR optional question
19-21 = shock</t>
        </is>
      </c>
      <c r="K71" s="266" t="inlineStr">
        <is>
          <t>NA</t>
        </is>
      </c>
      <c r="L71" s="195"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M71" s="53" t="n"/>
      <c r="N71" s="10" t="n"/>
      <c r="O71" s="318">
        <f>1</f>
        <v/>
      </c>
      <c r="P71" s="186" t="n"/>
      <c r="R71" s="467" t="inlineStr">
        <is>
          <t>yes</t>
        </is>
      </c>
      <c r="S71" s="193" t="n"/>
      <c r="V71" s="551" t="n">
        <v>18.71065330505371</v>
      </c>
      <c r="W71" s="551">
        <f>IF(V71="","",V71*O71)</f>
        <v/>
      </c>
      <c r="X71" s="186">
        <f>IF(R71="yes",W71,"")</f>
        <v/>
      </c>
    </row>
    <row r="72" ht="182.25" customFormat="1" customHeight="1" s="279">
      <c r="A72" s="46" t="n"/>
      <c r="B72" s="281" t="inlineStr">
        <is>
          <t>income_sec_crop_check</t>
        </is>
      </c>
      <c r="C72" s="292" t="inlineStr">
        <is>
          <t>income_sec_crop_check</t>
        </is>
      </c>
      <c r="D72" s="196" t="inlineStr">
        <is>
          <t xml:space="preserve">Are the crops sold also produced by you or anyone in your household?
[OPERATOR: SINGLE RESPONSE.]
1)YES
2)NO
3)DON'T KNOW
4)REFUSED </t>
        </is>
      </c>
      <c r="E72" s="189">
        <f>LEN(D72)</f>
        <v/>
      </c>
      <c r="F72" s="191" t="inlineStr">
        <is>
          <t>Single Choice</t>
        </is>
      </c>
      <c r="G72" s="189" t="inlineStr">
        <is>
          <t>NA</t>
        </is>
      </c>
      <c r="H72" s="189" t="inlineStr">
        <is>
          <t>NA</t>
        </is>
      </c>
      <c r="I72" s="189" t="inlineStr">
        <is>
          <t>Form Type - Buttons</t>
        </is>
      </c>
      <c r="J72" s="188" t="inlineStr">
        <is>
          <t>1-4 = income_sec_comp OR optional question</t>
        </is>
      </c>
      <c r="K72" s="266" t="inlineStr">
        <is>
          <t>NA</t>
        </is>
      </c>
      <c r="L72" s="195" t="inlineStr">
        <is>
          <t>if income_sec_crop_check = 1-4, go to [income_sec_comp OR optional question]</t>
        </is>
      </c>
      <c r="M72" s="53" t="n"/>
      <c r="N72" s="52" t="n"/>
      <c r="O72" s="434">
        <f>1</f>
        <v/>
      </c>
      <c r="P72" s="187" t="n"/>
      <c r="R72" s="471" t="inlineStr">
        <is>
          <t>yes</t>
        </is>
      </c>
      <c r="S72" s="273" t="n"/>
      <c r="V72" s="559" t="n">
        <v>8</v>
      </c>
      <c r="W72" s="559">
        <f>IF(V72="","",V72*O72)</f>
        <v/>
      </c>
      <c r="X72" s="187">
        <f>IF(R72="yes",W72,"")</f>
        <v/>
      </c>
    </row>
    <row r="73" ht="182.25" customFormat="1" customHeight="1" s="279">
      <c r="A73" s="46" t="n"/>
      <c r="B73" s="281" t="inlineStr">
        <is>
          <t>income_sec_ls_check</t>
        </is>
      </c>
      <c r="C73" s="292" t="inlineStr">
        <is>
          <t>income_sec_ls_check</t>
        </is>
      </c>
      <c r="D73" s="196" t="inlineStr">
        <is>
          <t xml:space="preserve">Are the livestock or livestock products sold also produced by you or anyone in your household?
[OPERATOR: SINGLE RESPONSE.]
1)YES
2)NO
3)DON'T KNOW
4)REFUSED </t>
        </is>
      </c>
      <c r="E73" s="189">
        <f>LEN(D73)</f>
        <v/>
      </c>
      <c r="F73" s="191" t="inlineStr">
        <is>
          <t>Single Choice</t>
        </is>
      </c>
      <c r="G73" s="189" t="inlineStr">
        <is>
          <t>NA</t>
        </is>
      </c>
      <c r="H73" s="189" t="inlineStr">
        <is>
          <t>NA</t>
        </is>
      </c>
      <c r="I73" s="189" t="inlineStr">
        <is>
          <t>Form Type - Buttons</t>
        </is>
      </c>
      <c r="J73" s="188" t="inlineStr">
        <is>
          <t>1-4 = income_sec_comp OR optional question</t>
        </is>
      </c>
      <c r="K73" s="266" t="inlineStr">
        <is>
          <t>NA</t>
        </is>
      </c>
      <c r="L73" s="195" t="inlineStr">
        <is>
          <t>if income_sec_ls_check = 1-4, go to [income_sec_comp OR optional question]</t>
        </is>
      </c>
      <c r="M73" s="53" t="n"/>
      <c r="N73" s="52" t="n"/>
      <c r="O73" s="434">
        <f>1</f>
        <v/>
      </c>
      <c r="P73" s="187" t="n"/>
      <c r="R73" s="471" t="inlineStr">
        <is>
          <t>yes</t>
        </is>
      </c>
      <c r="S73" s="273" t="n"/>
      <c r="V73" s="559" t="n">
        <v>8</v>
      </c>
      <c r="W73" s="559">
        <f>IF(V73="","",V73*O73)</f>
        <v/>
      </c>
      <c r="X73" s="187">
        <f>IF(R73="yes",W73,"")</f>
        <v/>
      </c>
    </row>
    <row r="74" ht="182.25" customFormat="1" customHeight="1" s="192">
      <c r="A74" s="46" t="n"/>
      <c r="B74" s="281" t="inlineStr">
        <is>
          <t>income_sec_fish_check</t>
        </is>
      </c>
      <c r="C74" s="292" t="inlineStr">
        <is>
          <t>income_sec_fish_check</t>
        </is>
      </c>
      <c r="D74" s="196" t="inlineStr">
        <is>
          <t xml:space="preserve">Are the fish or aquatic products sold also captured/harvested by you or anyone in your household?
[OPERATOR: SINGLE RESPONSE.]
1)YES
2)NO
3)DON'T KNOW
4)REFUSED </t>
        </is>
      </c>
      <c r="E74" s="189">
        <f>LEN(D74)</f>
        <v/>
      </c>
      <c r="F74" s="191" t="inlineStr">
        <is>
          <t>Single Choice</t>
        </is>
      </c>
      <c r="G74" s="189" t="inlineStr">
        <is>
          <t>NA</t>
        </is>
      </c>
      <c r="H74" s="189" t="inlineStr">
        <is>
          <t>NA</t>
        </is>
      </c>
      <c r="I74" s="189" t="inlineStr">
        <is>
          <t>Form Type - Buttons</t>
        </is>
      </c>
      <c r="J74" s="188" t="inlineStr">
        <is>
          <t>1-4 = income_sec_comp OR optional question</t>
        </is>
      </c>
      <c r="K74" s="266" t="inlineStr">
        <is>
          <t>NA</t>
        </is>
      </c>
      <c r="L74" s="195" t="inlineStr">
        <is>
          <t>if income_sec_fish_check = 1-4, go to [income_sec_comp OR optional question]</t>
        </is>
      </c>
      <c r="M74" s="53" t="n"/>
      <c r="N74" s="52" t="n"/>
      <c r="O74" s="318">
        <f>1</f>
        <v/>
      </c>
      <c r="P74" s="186" t="n"/>
      <c r="R74" s="467" t="inlineStr">
        <is>
          <t>yes</t>
        </is>
      </c>
      <c r="S74" s="193" t="n"/>
      <c r="V74" s="551" t="n">
        <v>8</v>
      </c>
      <c r="W74" s="551">
        <f>IF(V74="","",V74*O74)</f>
        <v/>
      </c>
      <c r="X74" s="186">
        <f>IF(R74="yes",W74,"")</f>
        <v/>
      </c>
    </row>
    <row r="75" customFormat="1" s="192">
      <c r="A75" s="102" t="n"/>
      <c r="B75" s="309" t="n"/>
      <c r="C75" s="314" t="n"/>
      <c r="D75" s="315" t="n"/>
      <c r="E75" s="109" t="n"/>
      <c r="F75" s="103" t="n"/>
      <c r="G75" s="109" t="n"/>
      <c r="H75" s="109" t="n"/>
      <c r="I75" s="109" t="n"/>
      <c r="J75" s="90" t="n"/>
      <c r="K75" s="61" t="n"/>
      <c r="L75" s="220" t="n"/>
      <c r="M75" s="220" t="n"/>
      <c r="N75" s="52" t="n"/>
      <c r="O75" s="392">
        <f>1</f>
        <v/>
      </c>
      <c r="P75" s="186" t="n"/>
      <c r="R75" s="194" t="n"/>
      <c r="S75" s="193" t="n"/>
      <c r="V75" s="552" t="n"/>
      <c r="W75" s="552">
        <f>IF(V75="","",V75*O75)</f>
        <v/>
      </c>
      <c r="X75" s="186">
        <f>IF(R75="yes",W75,"")</f>
        <v/>
      </c>
    </row>
    <row r="76" ht="136" customFormat="1" customHeight="1" s="192">
      <c r="A76" s="14" t="n">
        <v>19</v>
      </c>
      <c r="B76" s="282" t="inlineStr">
        <is>
          <t>income_sec_amount</t>
        </is>
      </c>
      <c r="C76" s="17" t="inlineStr">
        <is>
          <t>income_sec_amount</t>
        </is>
      </c>
      <c r="D76" s="22" t="inlineStr">
        <is>
          <t>How much was earned [in nan] from your second main income source, {income_sec}, in the past 3 months ?
[OPERATOR: MAKE SURE THE INFORMATION IS RECORDED IN THE CORRECT CURRENCY. ENTER 8888888 FOR DON'T KNOW AND 9999999 FOR REFUSED.]</t>
        </is>
      </c>
      <c r="E76" s="20">
        <f>LEN(D76)</f>
        <v/>
      </c>
      <c r="F76" s="20" t="inlineStr">
        <is>
          <t>Range</t>
        </is>
      </c>
      <c r="G76" s="20" t="inlineStr">
        <is>
          <t>NA</t>
        </is>
      </c>
      <c r="H76" s="20" t="inlineStr">
        <is>
          <t>NA</t>
        </is>
      </c>
      <c r="I76" s="20" t="inlineStr">
        <is>
          <t>Form Type - TextBox</t>
        </is>
      </c>
      <c r="J76" s="31" t="inlineStr">
        <is>
          <t>500 - 50000 = income_sec_comp or optional question
50000 - 100000 = income_sec_amount_conf
8888888-8888888 = income_sec_comp or optional question
9999999-9999999 = income_sec_comp or optional question</t>
        </is>
      </c>
      <c r="K76" s="84" t="inlineStr">
        <is>
          <t>NA</t>
        </is>
      </c>
      <c r="L76" s="32" t="inlineStr">
        <is>
          <t>If the income amount is over the threshold set in "Additional information", the respondent will be asked to confirm with income_sec_amount_conf. Otherwise, go to income_sec_comp.</t>
        </is>
      </c>
      <c r="M76" s="32" t="n"/>
      <c r="N76" s="557" t="inlineStr">
        <is>
          <t>We recommend using this pair of questions together.</t>
        </is>
      </c>
      <c r="O76" s="392">
        <f>1</f>
        <v/>
      </c>
      <c r="P76" s="186" t="n"/>
      <c r="R76" s="194" t="inlineStr">
        <is>
          <t>no</t>
        </is>
      </c>
      <c r="S76" s="193" t="n"/>
      <c r="V76" s="552" t="n">
        <v>23.20038032531738</v>
      </c>
      <c r="W76" s="552">
        <f>IF(V76="","",V76*O76)</f>
        <v/>
      </c>
      <c r="X76" s="186">
        <f>IF(R76="yes",W76,"")</f>
        <v/>
      </c>
    </row>
    <row r="77" ht="119" customFormat="1" customHeight="1" s="192">
      <c r="A77" s="14">
        <f>#REF!+1</f>
        <v/>
      </c>
      <c r="B77" s="282" t="inlineStr">
        <is>
          <t>income_sec_amount_conf</t>
        </is>
      </c>
      <c r="C77" s="291" t="inlineStr">
        <is>
          <t>income_sec_amount_conf</t>
        </is>
      </c>
      <c r="D77" s="22" t="inlineStr">
        <is>
          <t>Can you confirm the amount of income you just stated is correct?
[OPERATOR: IF THE AMOUNT EARNED FROM THIS INCOME SOURCE OVER THE PAST 3 MONTH IS INDEED OVER 50000, CLICK ON CONTINUE. OTHERWISE, GO BACK AND CHANGE THE AMOUNT ENTERED.]
1)CONTINUE</t>
        </is>
      </c>
      <c r="E77" s="20">
        <f>LEN(D77)</f>
        <v/>
      </c>
      <c r="F77" s="33" t="inlineStr">
        <is>
          <t>Single Choice</t>
        </is>
      </c>
      <c r="G77" s="16" t="inlineStr">
        <is>
          <t>NA</t>
        </is>
      </c>
      <c r="H77" s="16" t="inlineStr">
        <is>
          <t>NA</t>
        </is>
      </c>
      <c r="I77" s="16" t="inlineStr">
        <is>
          <t>Form Type - Buttons</t>
        </is>
      </c>
      <c r="J77" s="34" t="inlineStr">
        <is>
          <t>1 = income_sec_comp or optional question</t>
        </is>
      </c>
      <c r="K77" s="84" t="inlineStr">
        <is>
          <t>NA</t>
        </is>
      </c>
      <c r="L77" s="34" t="inlineStr">
        <is>
          <t>if income_sec_amount_conf = 1, go to income_sec_comp</t>
        </is>
      </c>
      <c r="M77" s="34" t="n"/>
      <c r="N77" s="558" t="n"/>
      <c r="O77" s="392">
        <f>1</f>
        <v/>
      </c>
      <c r="P77" s="186" t="n"/>
      <c r="R77" s="194" t="inlineStr">
        <is>
          <t>no</t>
        </is>
      </c>
      <c r="S77" s="193" t="n"/>
      <c r="V77" s="552" t="n">
        <v>1.927738904953003</v>
      </c>
      <c r="W77" s="552">
        <f>IF(V77="","",V77*O77)</f>
        <v/>
      </c>
      <c r="X77" s="186">
        <f>IF(R77="yes",W77,"")</f>
        <v/>
      </c>
    </row>
    <row r="78" ht="170" customFormat="1" customHeight="1" s="192">
      <c r="A78" s="59" t="n">
        <v>18</v>
      </c>
      <c r="B78" s="422" t="inlineStr">
        <is>
          <t>income_sec_gender</t>
        </is>
      </c>
      <c r="C78" s="423" t="inlineStr">
        <is>
          <t>income_sec_gender</t>
        </is>
      </c>
      <c r="D78" s="58" t="inlineStr">
        <is>
          <t>What is the gender of the household member[s] generating income from this source? 
[OPERATOR: SINGLE RESPONSE.]
1)Male
2)Female
3)Joint [both male &amp; female]
4)DON'T KNOW
5)REFUSED</t>
        </is>
      </c>
      <c r="E78" s="16">
        <f>LEN(D78)</f>
        <v/>
      </c>
      <c r="F78" s="17" t="inlineStr">
        <is>
          <t>Single Choice</t>
        </is>
      </c>
      <c r="G78" s="16" t="inlineStr">
        <is>
          <t>NA</t>
        </is>
      </c>
      <c r="H78" s="16" t="inlineStr">
        <is>
          <t>NA</t>
        </is>
      </c>
      <c r="I78" s="16" t="inlineStr">
        <is>
          <t>Form Type - Buttons</t>
        </is>
      </c>
      <c r="J78" s="34" t="inlineStr">
        <is>
          <t>1-5 = [income_sec_comp OR optional question]</t>
        </is>
      </c>
      <c r="K78" s="84" t="inlineStr">
        <is>
          <t>NA</t>
        </is>
      </c>
      <c r="L78" s="409" t="inlineStr">
        <is>
          <t>if income_sec_gender = 1-5, go to income_sec_comp or optional question</t>
        </is>
      </c>
      <c r="M78" s="410" t="n"/>
      <c r="N78" s="52" t="n"/>
      <c r="O78" s="392">
        <f>1</f>
        <v/>
      </c>
      <c r="P78" s="186" t="n"/>
      <c r="R78" s="194" t="inlineStr">
        <is>
          <t>no</t>
        </is>
      </c>
      <c r="S78" s="193" t="n"/>
      <c r="V78" s="552" t="n">
        <v>4.787401676177979</v>
      </c>
      <c r="W78" s="552">
        <f>IF(V78="","",V78*O78)</f>
        <v/>
      </c>
      <c r="X78" s="186">
        <f>IF(R78="yes",W78,"")</f>
        <v/>
      </c>
    </row>
    <row r="79" ht="153" customFormat="1" customHeight="1" s="192">
      <c r="A79" s="408" t="n"/>
      <c r="B79" s="282" t="inlineStr">
        <is>
          <t>income_sec_control</t>
        </is>
      </c>
      <c r="C79" s="291" t="inlineStr">
        <is>
          <t>income_sec_control</t>
        </is>
      </c>
      <c r="D79" s="37" t="inlineStr">
        <is>
          <t>Who controls the revenue that is earned from this source? 
[OPERATOR: SINGLE RESPONSE.]
1)Male household member[s]
2)Female household member[s]
3)Joint household members [both female &amp; male]
4)DON'T KNOW
5)REFUSED</t>
        </is>
      </c>
      <c r="E79" s="24">
        <f>LEN(D79)</f>
        <v/>
      </c>
      <c r="F79" s="36" t="inlineStr">
        <is>
          <t>Single Choice</t>
        </is>
      </c>
      <c r="G79" s="20" t="inlineStr">
        <is>
          <t>NA</t>
        </is>
      </c>
      <c r="H79" s="20" t="inlineStr">
        <is>
          <t>NA</t>
        </is>
      </c>
      <c r="I79" s="20" t="inlineStr">
        <is>
          <t>Form Type - Buttons</t>
        </is>
      </c>
      <c r="J79" s="424" t="inlineStr">
        <is>
          <t>1-5 = income_sec_comp</t>
        </is>
      </c>
      <c r="K79" s="84" t="inlineStr">
        <is>
          <t>NA</t>
        </is>
      </c>
      <c r="L79" s="421" t="inlineStr">
        <is>
          <t>if income_sec_control =  1-5, go to income_sec_comp or optional question</t>
        </is>
      </c>
      <c r="M79" s="411" t="n"/>
      <c r="N79" s="10" t="n"/>
      <c r="O79" s="392">
        <f>1</f>
        <v/>
      </c>
      <c r="P79" s="186" t="n"/>
      <c r="Q79" s="498" t="n"/>
      <c r="R79" s="194" t="inlineStr">
        <is>
          <t>no</t>
        </is>
      </c>
      <c r="S79" s="193" t="n"/>
      <c r="T79" s="498" t="n"/>
      <c r="U79" s="498" t="n"/>
      <c r="V79" s="552" t="n">
        <v>20.91836738586426</v>
      </c>
      <c r="W79" s="552">
        <f>IF(V79="","",V79*O79)</f>
        <v/>
      </c>
      <c r="X79" s="186">
        <f>IF(R79="yes",W79,"")</f>
        <v/>
      </c>
      <c r="Y79" s="498" t="n"/>
      <c r="Z79" s="498" t="n"/>
      <c r="AA79" s="498" t="n"/>
      <c r="AB79" s="498" t="n"/>
      <c r="AC79" s="498" t="n"/>
      <c r="AD79" s="498" t="n"/>
      <c r="AE79" s="498" t="n"/>
      <c r="AF79" s="498" t="n"/>
      <c r="AG79" s="498" t="n"/>
      <c r="AH79" s="498" t="n"/>
      <c r="AI79" s="498" t="n"/>
      <c r="AJ79" s="498" t="n"/>
      <c r="AK79" s="498" t="n"/>
      <c r="AL79" s="498" t="n"/>
      <c r="AM79" s="498" t="n"/>
      <c r="AN79" s="498" t="n"/>
      <c r="AO79" s="498" t="n"/>
      <c r="AP79" s="498" t="n"/>
      <c r="AQ79" s="498" t="n"/>
      <c r="AR79" s="498" t="n"/>
      <c r="AS79" s="498" t="n"/>
      <c r="AT79" s="498" t="n"/>
      <c r="AU79" s="498" t="n"/>
      <c r="AV79" s="498" t="n"/>
      <c r="AW79" s="498" t="n"/>
      <c r="AX79" s="498" t="n"/>
      <c r="AY79" s="498" t="n"/>
      <c r="AZ79" s="498" t="n"/>
      <c r="BA79" s="498" t="n"/>
      <c r="BB79" s="498" t="n"/>
      <c r="BC79" s="498" t="n"/>
      <c r="BD79" s="498" t="n"/>
      <c r="BE79" s="498" t="n"/>
      <c r="BF79" s="498" t="n"/>
      <c r="BG79" s="498" t="n"/>
      <c r="BH79" s="498" t="n"/>
      <c r="BI79" s="498" t="n"/>
      <c r="BJ79" s="498" t="n"/>
      <c r="BK79" s="498" t="n"/>
      <c r="BL79" s="498" t="n"/>
      <c r="BM79" s="498" t="n"/>
      <c r="BN79" s="498" t="n"/>
      <c r="BO79" s="498" t="n"/>
      <c r="BP79" s="498" t="n"/>
      <c r="BQ79" s="498" t="n"/>
      <c r="BR79" s="498" t="n"/>
      <c r="BS79" s="498" t="n"/>
      <c r="BT79" s="498" t="n"/>
      <c r="BU79" s="498" t="n"/>
      <c r="BV79" s="498" t="n"/>
      <c r="BW79" s="498" t="n"/>
      <c r="BX79" s="498" t="n"/>
      <c r="BY79" s="498" t="n"/>
      <c r="BZ79" s="498" t="n"/>
      <c r="CA79" s="498" t="n"/>
      <c r="CB79" s="498" t="n"/>
      <c r="CC79" s="498" t="n"/>
      <c r="CD79" s="498" t="n"/>
      <c r="CE79" s="498" t="n"/>
      <c r="CF79" s="498" t="n"/>
      <c r="CG79" s="498" t="n"/>
      <c r="CH79" s="498" t="n"/>
      <c r="CI79" s="498" t="n"/>
      <c r="CJ79" s="498" t="n"/>
      <c r="CK79" s="498" t="n"/>
      <c r="CL79" s="498" t="n"/>
      <c r="CM79" s="498" t="n"/>
      <c r="CN79" s="498" t="n"/>
      <c r="CO79" s="498" t="n"/>
      <c r="CP79" s="498" t="n"/>
      <c r="CQ79" s="498" t="n"/>
      <c r="CR79" s="498" t="n"/>
      <c r="CS79" s="498" t="n"/>
      <c r="CT79" s="498" t="n"/>
      <c r="CU79" s="498" t="n"/>
      <c r="CV79" s="498" t="n"/>
      <c r="CW79" s="498" t="n"/>
      <c r="CX79" s="498" t="n"/>
      <c r="CY79" s="498" t="n"/>
      <c r="CZ79" s="498" t="n"/>
      <c r="DA79" s="498" t="n"/>
      <c r="DB79" s="498" t="n"/>
      <c r="DC79" s="498" t="n"/>
      <c r="DD79" s="498" t="n"/>
      <c r="DE79" s="498" t="n"/>
      <c r="DF79" s="498" t="n"/>
      <c r="DG79" s="498" t="n"/>
      <c r="DH79" s="498" t="n"/>
      <c r="DI79" s="498" t="n"/>
      <c r="DJ79" s="498" t="n"/>
      <c r="DK79" s="498" t="n"/>
      <c r="DL79" s="498" t="n"/>
      <c r="DM79" s="498" t="n"/>
      <c r="DN79" s="498" t="n"/>
      <c r="DO79" s="498" t="n"/>
      <c r="DP79" s="498" t="n"/>
      <c r="DQ79" s="498" t="n"/>
      <c r="DR79" s="498" t="n"/>
      <c r="DS79" s="498" t="n"/>
      <c r="DT79" s="498" t="n"/>
      <c r="DU79" s="498" t="n"/>
      <c r="DV79" s="498" t="n"/>
      <c r="DW79" s="498" t="n"/>
      <c r="DX79" s="498" t="n"/>
      <c r="DY79" s="498" t="n"/>
      <c r="DZ79" s="498" t="n"/>
      <c r="EA79" s="498" t="n"/>
      <c r="EB79" s="498" t="n"/>
      <c r="EC79" s="498" t="n"/>
      <c r="ED79" s="498" t="n"/>
      <c r="EE79" s="498" t="n"/>
      <c r="EF79" s="498" t="n"/>
      <c r="EG79" s="498" t="n"/>
      <c r="EH79" s="498" t="n"/>
      <c r="EI79" s="498" t="n"/>
      <c r="EJ79" s="498" t="n"/>
      <c r="EK79" s="498" t="n"/>
      <c r="EL79" s="498" t="n"/>
      <c r="EM79" s="498" t="n"/>
      <c r="EN79" s="498" t="n"/>
      <c r="EO79" s="498" t="n"/>
      <c r="EP79" s="498" t="n"/>
      <c r="EQ79" s="498" t="n"/>
      <c r="ER79" s="498" t="n"/>
      <c r="ES79" s="498" t="n"/>
      <c r="ET79" s="498" t="n"/>
      <c r="EU79" s="498" t="n"/>
      <c r="EV79" s="498" t="n"/>
      <c r="EW79" s="498" t="n"/>
      <c r="EX79" s="498" t="n"/>
      <c r="EY79" s="498" t="n"/>
      <c r="EZ79" s="498" t="n"/>
      <c r="FA79" s="498" t="n"/>
      <c r="FB79" s="498" t="n"/>
      <c r="FC79" s="498" t="n"/>
      <c r="FD79" s="498" t="n"/>
      <c r="FE79" s="498" t="n"/>
      <c r="FF79" s="498" t="n"/>
      <c r="FG79" s="498" t="n"/>
      <c r="FH79" s="498" t="n"/>
      <c r="FI79" s="498" t="n"/>
      <c r="FJ79" s="498" t="n"/>
      <c r="FK79" s="498" t="n"/>
      <c r="FL79" s="498" t="n"/>
      <c r="FM79" s="498" t="n"/>
      <c r="FN79" s="498" t="n"/>
      <c r="FO79" s="498" t="n"/>
      <c r="FP79" s="498" t="n"/>
      <c r="FQ79" s="498" t="n"/>
      <c r="FR79" s="498" t="n"/>
      <c r="FS79" s="498" t="n"/>
      <c r="FT79" s="498" t="n"/>
      <c r="FU79" s="498" t="n"/>
      <c r="FV79" s="498" t="n"/>
      <c r="FW79" s="498" t="n"/>
      <c r="FX79" s="498" t="n"/>
      <c r="FY79" s="498" t="n"/>
      <c r="FZ79" s="498" t="n"/>
      <c r="GA79" s="498" t="n"/>
      <c r="GB79" s="498" t="n"/>
      <c r="GC79" s="498" t="n"/>
      <c r="GD79" s="498" t="n"/>
      <c r="GE79" s="498" t="n"/>
      <c r="GF79" s="498" t="n"/>
      <c r="GG79" s="498" t="n"/>
      <c r="GH79" s="498" t="n"/>
      <c r="GI79" s="498" t="n"/>
      <c r="GJ79" s="498" t="n"/>
      <c r="GK79" s="498" t="n"/>
      <c r="GL79" s="498" t="n"/>
      <c r="GM79" s="498" t="n"/>
      <c r="GN79" s="498" t="n"/>
      <c r="GO79" s="498" t="n"/>
      <c r="GP79" s="498" t="n"/>
      <c r="GQ79" s="498" t="n"/>
      <c r="GR79" s="498" t="n"/>
      <c r="GS79" s="498" t="n"/>
      <c r="GT79" s="498" t="n"/>
      <c r="GU79" s="498" t="n"/>
      <c r="GV79" s="498" t="n"/>
      <c r="GW79" s="498" t="n"/>
      <c r="GX79" s="498" t="n"/>
      <c r="GY79" s="498" t="n"/>
      <c r="GZ79" s="498" t="n"/>
      <c r="HA79" s="498" t="n"/>
      <c r="HB79" s="498" t="n"/>
      <c r="HC79" s="498" t="n"/>
      <c r="HD79" s="498" t="n"/>
      <c r="HE79" s="498" t="n"/>
      <c r="HF79" s="498" t="n"/>
      <c r="HG79" s="498" t="n"/>
      <c r="HH79" s="498" t="n"/>
      <c r="HI79" s="498" t="n"/>
      <c r="HJ79" s="498" t="n"/>
      <c r="HK79" s="498" t="n"/>
      <c r="HL79" s="498" t="n"/>
      <c r="HM79" s="498" t="n"/>
      <c r="HN79" s="498" t="n"/>
      <c r="HO79" s="498" t="n"/>
      <c r="HP79" s="498" t="n"/>
      <c r="HQ79" s="498" t="n"/>
      <c r="HR79" s="498" t="n"/>
      <c r="HS79" s="498" t="n"/>
      <c r="HT79" s="498" t="n"/>
      <c r="HU79" s="498" t="n"/>
      <c r="HV79" s="498" t="n"/>
      <c r="HW79" s="498" t="n"/>
      <c r="HX79" s="498" t="n"/>
      <c r="HY79" s="498" t="n"/>
      <c r="HZ79" s="498" t="n"/>
      <c r="IA79" s="498" t="n"/>
      <c r="IB79" s="498" t="n"/>
      <c r="IC79" s="498" t="n"/>
      <c r="ID79" s="498" t="n"/>
      <c r="IE79" s="498" t="n"/>
      <c r="IF79" s="498" t="n"/>
      <c r="IG79" s="498" t="n"/>
      <c r="IH79" s="498" t="n"/>
      <c r="II79" s="498" t="n"/>
      <c r="IJ79" s="498" t="n"/>
      <c r="IK79" s="498" t="n"/>
      <c r="IL79" s="498" t="n"/>
      <c r="IM79" s="498" t="n"/>
      <c r="IN79" s="498" t="n"/>
      <c r="IO79" s="498" t="n"/>
      <c r="IP79" s="498" t="n"/>
      <c r="IQ79" s="498" t="n"/>
      <c r="IR79" s="498" t="n"/>
      <c r="IS79" s="498" t="n"/>
      <c r="IT79" s="498" t="n"/>
      <c r="IU79" s="498" t="n"/>
      <c r="IV79" s="498" t="n"/>
      <c r="IW79" s="498" t="n"/>
      <c r="IX79" s="498" t="n"/>
      <c r="IY79" s="498" t="n"/>
      <c r="IZ79" s="498" t="n"/>
      <c r="JA79" s="498" t="n"/>
      <c r="JB79" s="498" t="n"/>
      <c r="JC79" s="498" t="n"/>
      <c r="JD79" s="498" t="n"/>
      <c r="JE79" s="498" t="n"/>
      <c r="JF79" s="498" t="n"/>
      <c r="JG79" s="498" t="n"/>
      <c r="JH79" s="498" t="n"/>
      <c r="JI79" s="498" t="n"/>
      <c r="JJ79" s="498" t="n"/>
      <c r="JK79" s="498" t="n"/>
      <c r="JL79" s="498" t="n"/>
      <c r="JM79" s="498" t="n"/>
      <c r="JN79" s="498" t="n"/>
      <c r="JO79" s="498" t="n"/>
      <c r="JP79" s="498" t="n"/>
      <c r="JQ79" s="498" t="n"/>
      <c r="JR79" s="498" t="n"/>
      <c r="JS79" s="498" t="n"/>
      <c r="JT79" s="498" t="n"/>
      <c r="JU79" s="498" t="n"/>
      <c r="JV79" s="498" t="n"/>
      <c r="JW79" s="498" t="n"/>
      <c r="JX79" s="498" t="n"/>
      <c r="JY79" s="498" t="n"/>
      <c r="JZ79" s="498" t="n"/>
      <c r="KA79" s="498" t="n"/>
      <c r="KB79" s="498" t="n"/>
      <c r="KC79" s="498" t="n"/>
      <c r="KD79" s="498" t="n"/>
      <c r="KE79" s="498" t="n"/>
      <c r="KF79" s="498" t="n"/>
      <c r="KG79" s="498" t="n"/>
      <c r="KH79" s="498" t="n"/>
      <c r="KI79" s="498" t="n"/>
      <c r="KJ79" s="498" t="n"/>
      <c r="KK79" s="498" t="n"/>
      <c r="KL79" s="498" t="n"/>
      <c r="KM79" s="498" t="n"/>
      <c r="KN79" s="498" t="n"/>
      <c r="KO79" s="498" t="n"/>
      <c r="KP79" s="498" t="n"/>
      <c r="KQ79" s="498" t="n"/>
      <c r="KR79" s="498" t="n"/>
      <c r="KS79" s="498" t="n"/>
      <c r="KT79" s="498" t="n"/>
      <c r="KU79" s="498" t="n"/>
      <c r="KV79" s="498" t="n"/>
      <c r="KW79" s="498" t="n"/>
      <c r="KX79" s="498" t="n"/>
      <c r="KY79" s="498" t="n"/>
      <c r="KZ79" s="498" t="n"/>
      <c r="LA79" s="498" t="n"/>
      <c r="LB79" s="498" t="n"/>
      <c r="LC79" s="498" t="n"/>
      <c r="LD79" s="498" t="n"/>
      <c r="LE79" s="498" t="n"/>
      <c r="LF79" s="498" t="n"/>
      <c r="LG79" s="498" t="n"/>
      <c r="LH79" s="498" t="n"/>
      <c r="LI79" s="498" t="n"/>
      <c r="LJ79" s="498" t="n"/>
      <c r="LK79" s="498" t="n"/>
      <c r="LL79" s="498" t="n"/>
      <c r="LM79" s="498" t="n"/>
      <c r="LN79" s="498" t="n"/>
      <c r="LO79" s="498" t="n"/>
      <c r="LP79" s="498" t="n"/>
      <c r="LQ79" s="498" t="n"/>
      <c r="LR79" s="498" t="n"/>
      <c r="LS79" s="498" t="n"/>
      <c r="LT79" s="498" t="n"/>
      <c r="LU79" s="498" t="n"/>
      <c r="LV79" s="498" t="n"/>
      <c r="LW79" s="498" t="n"/>
      <c r="LX79" s="498" t="n"/>
      <c r="LY79" s="498" t="n"/>
      <c r="LZ79" s="498" t="n"/>
      <c r="MA79" s="498" t="n"/>
      <c r="MB79" s="498" t="n"/>
      <c r="MC79" s="498" t="n"/>
      <c r="MD79" s="498" t="n"/>
      <c r="ME79" s="498" t="n"/>
      <c r="MF79" s="498" t="n"/>
      <c r="MG79" s="498" t="n"/>
      <c r="MH79" s="498" t="n"/>
      <c r="MI79" s="498" t="n"/>
      <c r="MJ79" s="498" t="n"/>
      <c r="MK79" s="498" t="n"/>
      <c r="ML79" s="498" t="n"/>
      <c r="MM79" s="498" t="n"/>
      <c r="MN79" s="498" t="n"/>
      <c r="MO79" s="498" t="n"/>
      <c r="MP79" s="498" t="n"/>
      <c r="MQ79" s="498" t="n"/>
      <c r="MR79" s="498" t="n"/>
      <c r="MS79" s="498" t="n"/>
      <c r="MT79" s="498" t="n"/>
      <c r="MU79" s="498" t="n"/>
      <c r="MV79" s="498" t="n"/>
      <c r="MW79" s="498" t="n"/>
      <c r="MX79" s="498" t="n"/>
      <c r="MY79" s="498" t="n"/>
      <c r="MZ79" s="498" t="n"/>
      <c r="NA79" s="498" t="n"/>
      <c r="NB79" s="498" t="n"/>
      <c r="NC79" s="498" t="n"/>
      <c r="ND79" s="498" t="n"/>
      <c r="NE79" s="498" t="n"/>
      <c r="NF79" s="498" t="n"/>
      <c r="NG79" s="498" t="n"/>
      <c r="NH79" s="498" t="n"/>
      <c r="NI79" s="498" t="n"/>
      <c r="NJ79" s="498" t="n"/>
      <c r="NK79" s="498" t="n"/>
      <c r="NL79" s="498" t="n"/>
      <c r="NM79" s="498" t="n"/>
      <c r="NN79" s="498" t="n"/>
      <c r="NO79" s="498" t="n"/>
      <c r="NP79" s="498" t="n"/>
      <c r="NQ79" s="498" t="n"/>
      <c r="NR79" s="498" t="n"/>
      <c r="NS79" s="498" t="n"/>
      <c r="NT79" s="498" t="n"/>
      <c r="NU79" s="498" t="n"/>
      <c r="NV79" s="498" t="n"/>
      <c r="NW79" s="498" t="n"/>
      <c r="NX79" s="498" t="n"/>
      <c r="NY79" s="498" t="n"/>
      <c r="NZ79" s="498" t="n"/>
      <c r="OA79" s="498" t="n"/>
      <c r="OB79" s="498" t="n"/>
      <c r="OC79" s="498" t="n"/>
      <c r="OD79" s="498" t="n"/>
      <c r="OE79" s="498" t="n"/>
      <c r="OF79" s="498" t="n"/>
      <c r="OG79" s="498" t="n"/>
      <c r="OH79" s="498" t="n"/>
      <c r="OI79" s="498" t="n"/>
      <c r="OJ79" s="498" t="n"/>
      <c r="OK79" s="498" t="n"/>
      <c r="OL79" s="498" t="n"/>
      <c r="OM79" s="498" t="n"/>
      <c r="ON79" s="498" t="n"/>
      <c r="OO79" s="498" t="n"/>
      <c r="OP79" s="498" t="n"/>
      <c r="OQ79" s="498" t="n"/>
      <c r="OR79" s="498" t="n"/>
      <c r="OS79" s="498" t="n"/>
      <c r="OT79" s="498" t="n"/>
      <c r="OU79" s="498" t="n"/>
      <c r="OV79" s="498" t="n"/>
      <c r="OW79" s="498" t="n"/>
      <c r="OX79" s="498" t="n"/>
      <c r="OY79" s="498" t="n"/>
      <c r="OZ79" s="498" t="n"/>
      <c r="PA79" s="498" t="n"/>
      <c r="PB79" s="498" t="n"/>
      <c r="PC79" s="498" t="n"/>
      <c r="PD79" s="498" t="n"/>
      <c r="PE79" s="498" t="n"/>
      <c r="PF79" s="498" t="n"/>
      <c r="PG79" s="498" t="n"/>
      <c r="PH79" s="498" t="n"/>
      <c r="PI79" s="498" t="n"/>
      <c r="PJ79" s="498" t="n"/>
      <c r="PK79" s="498" t="n"/>
      <c r="PL79" s="498" t="n"/>
      <c r="PM79" s="498" t="n"/>
      <c r="PN79" s="498" t="n"/>
      <c r="PO79" s="498" t="n"/>
      <c r="PP79" s="498" t="n"/>
      <c r="PQ79" s="498" t="n"/>
      <c r="PR79" s="498" t="n"/>
      <c r="PS79" s="498" t="n"/>
      <c r="PT79" s="498" t="n"/>
      <c r="PU79" s="498" t="n"/>
      <c r="PV79" s="498" t="n"/>
      <c r="PW79" s="498" t="n"/>
      <c r="PX79" s="498" t="n"/>
      <c r="PY79" s="498" t="n"/>
      <c r="PZ79" s="498" t="n"/>
      <c r="QA79" s="498" t="n"/>
      <c r="QB79" s="498" t="n"/>
      <c r="QC79" s="498" t="n"/>
      <c r="QD79" s="498" t="n"/>
      <c r="QE79" s="498" t="n"/>
      <c r="QF79" s="498" t="n"/>
      <c r="QG79" s="498" t="n"/>
      <c r="QH79" s="498" t="n"/>
      <c r="QI79" s="498" t="n"/>
      <c r="QJ79" s="498" t="n"/>
      <c r="QK79" s="498" t="n"/>
      <c r="QL79" s="498" t="n"/>
      <c r="QM79" s="498" t="n"/>
      <c r="QN79" s="498" t="n"/>
      <c r="QO79" s="498" t="n"/>
      <c r="QP79" s="498" t="n"/>
      <c r="QQ79" s="498" t="n"/>
      <c r="QR79" s="498" t="n"/>
      <c r="QS79" s="498" t="n"/>
      <c r="QT79" s="498" t="n"/>
      <c r="QU79" s="498" t="n"/>
      <c r="QV79" s="498" t="n"/>
      <c r="QW79" s="498" t="n"/>
      <c r="QX79" s="498" t="n"/>
      <c r="QY79" s="498" t="n"/>
      <c r="QZ79" s="498" t="n"/>
      <c r="RA79" s="498" t="n"/>
      <c r="RB79" s="498" t="n"/>
      <c r="RC79" s="498" t="n"/>
      <c r="RD79" s="498" t="n"/>
      <c r="RE79" s="498" t="n"/>
      <c r="RF79" s="498" t="n"/>
      <c r="RG79" s="498" t="n"/>
      <c r="RH79" s="498" t="n"/>
      <c r="RI79" s="498" t="n"/>
      <c r="RJ79" s="498" t="n"/>
      <c r="RK79" s="498" t="n"/>
      <c r="RL79" s="498" t="n"/>
      <c r="RM79" s="498" t="n"/>
      <c r="RN79" s="498" t="n"/>
      <c r="RO79" s="498" t="n"/>
      <c r="RP79" s="498" t="n"/>
      <c r="RQ79" s="498" t="n"/>
      <c r="RR79" s="498" t="n"/>
      <c r="RS79" s="498" t="n"/>
      <c r="RT79" s="498" t="n"/>
      <c r="RU79" s="498" t="n"/>
      <c r="RV79" s="498" t="n"/>
      <c r="RW79" s="498" t="n"/>
      <c r="RX79" s="498" t="n"/>
      <c r="RY79" s="498" t="n"/>
      <c r="RZ79" s="498" t="n"/>
      <c r="SA79" s="498" t="n"/>
      <c r="SB79" s="498" t="n"/>
      <c r="SC79" s="498" t="n"/>
      <c r="SD79" s="498" t="n"/>
      <c r="SE79" s="498" t="n"/>
      <c r="SF79" s="498" t="n"/>
      <c r="SG79" s="498" t="n"/>
      <c r="SH79" s="498" t="n"/>
      <c r="SI79" s="498" t="n"/>
      <c r="SJ79" s="498" t="n"/>
      <c r="SK79" s="498" t="n"/>
      <c r="SL79" s="498" t="n"/>
      <c r="SM79" s="498" t="n"/>
      <c r="SN79" s="498" t="n"/>
      <c r="SO79" s="498" t="n"/>
      <c r="SP79" s="498" t="n"/>
      <c r="SQ79" s="498" t="n"/>
      <c r="SR79" s="498" t="n"/>
      <c r="SS79" s="498" t="n"/>
      <c r="ST79" s="498" t="n"/>
      <c r="SU79" s="498" t="n"/>
      <c r="SV79" s="498" t="n"/>
      <c r="SW79" s="498" t="n"/>
      <c r="SX79" s="498" t="n"/>
      <c r="SY79" s="498" t="n"/>
      <c r="SZ79" s="498" t="n"/>
      <c r="TA79" s="498" t="n"/>
      <c r="TB79" s="498" t="n"/>
      <c r="TC79" s="498" t="n"/>
      <c r="TD79" s="498" t="n"/>
      <c r="TE79" s="498" t="n"/>
      <c r="TF79" s="498" t="n"/>
      <c r="TG79" s="498" t="n"/>
      <c r="TH79" s="498" t="n"/>
      <c r="TI79" s="498" t="n"/>
      <c r="TJ79" s="498" t="n"/>
      <c r="TK79" s="498" t="n"/>
      <c r="TL79" s="498" t="n"/>
      <c r="TM79" s="498" t="n"/>
      <c r="TN79" s="498" t="n"/>
      <c r="TO79" s="498" t="n"/>
      <c r="TP79" s="498" t="n"/>
      <c r="TQ79" s="498" t="n"/>
      <c r="TR79" s="498" t="n"/>
      <c r="TS79" s="498" t="n"/>
      <c r="TT79" s="498" t="n"/>
      <c r="TU79" s="498" t="n"/>
      <c r="TV79" s="498" t="n"/>
      <c r="TW79" s="498" t="n"/>
      <c r="TX79" s="498" t="n"/>
      <c r="TY79" s="498" t="n"/>
      <c r="TZ79" s="498" t="n"/>
      <c r="UA79" s="498" t="n"/>
      <c r="UB79" s="498" t="n"/>
      <c r="UC79" s="498" t="n"/>
      <c r="UD79" s="498" t="n"/>
      <c r="UE79" s="498" t="n"/>
      <c r="UF79" s="498" t="n"/>
      <c r="UG79" s="498" t="n"/>
      <c r="UH79" s="498" t="n"/>
      <c r="UI79" s="498" t="n"/>
      <c r="UJ79" s="498" t="n"/>
      <c r="UK79" s="498" t="n"/>
      <c r="UL79" s="498" t="n"/>
      <c r="UM79" s="498" t="n"/>
      <c r="UN79" s="498" t="n"/>
      <c r="UO79" s="498" t="n"/>
      <c r="UP79" s="498" t="n"/>
      <c r="UQ79" s="498" t="n"/>
      <c r="UR79" s="498" t="n"/>
      <c r="US79" s="498" t="n"/>
      <c r="UT79" s="498" t="n"/>
      <c r="UU79" s="498" t="n"/>
      <c r="UV79" s="498" t="n"/>
      <c r="UW79" s="498" t="n"/>
      <c r="UX79" s="498" t="n"/>
      <c r="UY79" s="498" t="n"/>
      <c r="UZ79" s="498" t="n"/>
      <c r="VA79" s="498" t="n"/>
      <c r="VB79" s="498" t="n"/>
      <c r="VC79" s="498" t="n"/>
      <c r="VD79" s="498" t="n"/>
      <c r="VE79" s="498" t="n"/>
      <c r="VF79" s="498" t="n"/>
      <c r="VG79" s="498" t="n"/>
      <c r="VH79" s="498" t="n"/>
      <c r="VI79" s="498" t="n"/>
      <c r="VJ79" s="498" t="n"/>
      <c r="VK79" s="498" t="n"/>
      <c r="VL79" s="498" t="n"/>
      <c r="VM79" s="498" t="n"/>
      <c r="VN79" s="498" t="n"/>
      <c r="VO79" s="498" t="n"/>
      <c r="VP79" s="498" t="n"/>
      <c r="VQ79" s="498" t="n"/>
      <c r="VR79" s="498" t="n"/>
      <c r="VS79" s="498" t="n"/>
      <c r="VT79" s="498" t="n"/>
      <c r="VU79" s="498" t="n"/>
      <c r="VV79" s="498" t="n"/>
      <c r="VW79" s="498" t="n"/>
      <c r="VX79" s="498" t="n"/>
      <c r="VY79" s="498" t="n"/>
      <c r="VZ79" s="498" t="n"/>
      <c r="WA79" s="498" t="n"/>
      <c r="WB79" s="498" t="n"/>
      <c r="WC79" s="498" t="n"/>
      <c r="WD79" s="498" t="n"/>
      <c r="WE79" s="498" t="n"/>
      <c r="WF79" s="498" t="n"/>
      <c r="WG79" s="498" t="n"/>
      <c r="WH79" s="498" t="n"/>
      <c r="WI79" s="498" t="n"/>
      <c r="WJ79" s="498" t="n"/>
      <c r="WK79" s="498" t="n"/>
      <c r="WL79" s="498" t="n"/>
      <c r="WM79" s="498" t="n"/>
      <c r="WN79" s="498" t="n"/>
      <c r="WO79" s="498" t="n"/>
      <c r="WP79" s="498" t="n"/>
      <c r="WQ79" s="498" t="n"/>
      <c r="WR79" s="498" t="n"/>
      <c r="WS79" s="498" t="n"/>
      <c r="WT79" s="498" t="n"/>
      <c r="WU79" s="498" t="n"/>
      <c r="WV79" s="498" t="n"/>
      <c r="WW79" s="498" t="n"/>
      <c r="WX79" s="498" t="n"/>
      <c r="WY79" s="498" t="n"/>
      <c r="WZ79" s="498" t="n"/>
      <c r="XA79" s="498" t="n"/>
      <c r="XB79" s="498" t="n"/>
      <c r="XC79" s="498" t="n"/>
      <c r="XD79" s="498" t="n"/>
      <c r="XE79" s="498" t="n"/>
      <c r="XF79" s="498" t="n"/>
      <c r="XG79" s="498" t="n"/>
      <c r="XH79" s="498" t="n"/>
      <c r="XI79" s="498" t="n"/>
      <c r="XJ79" s="498" t="n"/>
      <c r="XK79" s="498" t="n"/>
      <c r="XL79" s="498" t="n"/>
      <c r="XM79" s="498" t="n"/>
      <c r="XN79" s="498" t="n"/>
      <c r="XO79" s="498" t="n"/>
      <c r="XP79" s="498" t="n"/>
      <c r="XQ79" s="498" t="n"/>
      <c r="XR79" s="498" t="n"/>
      <c r="XS79" s="498" t="n"/>
      <c r="XT79" s="498" t="n"/>
      <c r="XU79" s="498" t="n"/>
      <c r="XV79" s="498" t="n"/>
      <c r="XW79" s="498" t="n"/>
      <c r="XX79" s="498" t="n"/>
      <c r="XY79" s="498" t="n"/>
      <c r="XZ79" s="498" t="n"/>
      <c r="YA79" s="498" t="n"/>
      <c r="YB79" s="498" t="n"/>
      <c r="YC79" s="498" t="n"/>
      <c r="YD79" s="498" t="n"/>
      <c r="YE79" s="498" t="n"/>
      <c r="YF79" s="498" t="n"/>
      <c r="YG79" s="498" t="n"/>
      <c r="YH79" s="498" t="n"/>
      <c r="YI79" s="498" t="n"/>
      <c r="YJ79" s="498" t="n"/>
      <c r="YK79" s="498" t="n"/>
      <c r="YL79" s="498" t="n"/>
      <c r="YM79" s="498" t="n"/>
      <c r="YN79" s="498" t="n"/>
      <c r="YO79" s="498" t="n"/>
      <c r="YP79" s="498" t="n"/>
      <c r="YQ79" s="498" t="n"/>
      <c r="YR79" s="498" t="n"/>
      <c r="YS79" s="498" t="n"/>
      <c r="YT79" s="498" t="n"/>
      <c r="YU79" s="498" t="n"/>
      <c r="YV79" s="498" t="n"/>
      <c r="YW79" s="498" t="n"/>
      <c r="YX79" s="498" t="n"/>
      <c r="YY79" s="498" t="n"/>
      <c r="YZ79" s="498" t="n"/>
      <c r="ZA79" s="498" t="n"/>
      <c r="ZB79" s="498" t="n"/>
      <c r="ZC79" s="498" t="n"/>
      <c r="ZD79" s="498" t="n"/>
      <c r="ZE79" s="498" t="n"/>
      <c r="ZF79" s="498" t="n"/>
      <c r="ZG79" s="498" t="n"/>
      <c r="ZH79" s="498" t="n"/>
      <c r="ZI79" s="498" t="n"/>
      <c r="ZJ79" s="498" t="n"/>
      <c r="ZK79" s="498" t="n"/>
      <c r="ZL79" s="498" t="n"/>
      <c r="ZM79" s="498" t="n"/>
      <c r="ZN79" s="498" t="n"/>
      <c r="ZO79" s="498" t="n"/>
      <c r="ZP79" s="498" t="n"/>
      <c r="ZQ79" s="498" t="n"/>
      <c r="ZR79" s="498" t="n"/>
      <c r="ZS79" s="498" t="n"/>
      <c r="ZT79" s="498" t="n"/>
      <c r="ZU79" s="498" t="n"/>
      <c r="ZV79" s="498" t="n"/>
      <c r="ZW79" s="498" t="n"/>
      <c r="ZX79" s="498" t="n"/>
      <c r="ZY79" s="498" t="n"/>
      <c r="ZZ79" s="498" t="n"/>
      <c r="AAA79" s="498" t="n"/>
      <c r="AAB79" s="498" t="n"/>
      <c r="AAC79" s="498" t="n"/>
      <c r="AAD79" s="498" t="n"/>
      <c r="AAE79" s="498" t="n"/>
      <c r="AAF79" s="498" t="n"/>
      <c r="AAG79" s="498" t="n"/>
      <c r="AAH79" s="498" t="n"/>
      <c r="AAI79" s="498" t="n"/>
      <c r="AAJ79" s="498" t="n"/>
      <c r="AAK79" s="498" t="n"/>
      <c r="AAL79" s="498" t="n"/>
      <c r="AAM79" s="498" t="n"/>
      <c r="AAN79" s="498" t="n"/>
      <c r="AAO79" s="498" t="n"/>
      <c r="AAP79" s="498" t="n"/>
      <c r="AAQ79" s="498" t="n"/>
      <c r="AAR79" s="498" t="n"/>
      <c r="AAS79" s="498" t="n"/>
      <c r="AAT79" s="498" t="n"/>
      <c r="AAU79" s="498" t="n"/>
      <c r="AAV79" s="498" t="n"/>
      <c r="AAW79" s="498" t="n"/>
      <c r="AAX79" s="498" t="n"/>
      <c r="AAY79" s="498" t="n"/>
      <c r="AAZ79" s="498" t="n"/>
      <c r="ABA79" s="498" t="n"/>
      <c r="ABB79" s="498" t="n"/>
      <c r="ABC79" s="498" t="n"/>
      <c r="ABD79" s="498" t="n"/>
      <c r="ABE79" s="498" t="n"/>
      <c r="ABF79" s="498" t="n"/>
      <c r="ABG79" s="498" t="n"/>
      <c r="ABH79" s="498" t="n"/>
      <c r="ABI79" s="498" t="n"/>
      <c r="ABJ79" s="498" t="n"/>
      <c r="ABK79" s="498" t="n"/>
      <c r="ABL79" s="498" t="n"/>
      <c r="ABM79" s="498" t="n"/>
      <c r="ABN79" s="498" t="n"/>
      <c r="ABO79" s="498" t="n"/>
      <c r="ABP79" s="498" t="n"/>
      <c r="ABQ79" s="498" t="n"/>
      <c r="ABR79" s="498" t="n"/>
      <c r="ABS79" s="498" t="n"/>
      <c r="ABT79" s="498" t="n"/>
      <c r="ABU79" s="498" t="n"/>
      <c r="ABV79" s="498" t="n"/>
      <c r="ABW79" s="498" t="n"/>
      <c r="ABX79" s="498" t="n"/>
      <c r="ABY79" s="498" t="n"/>
      <c r="ABZ79" s="498" t="n"/>
      <c r="ACA79" s="498" t="n"/>
      <c r="ACB79" s="498" t="n"/>
      <c r="ACC79" s="498" t="n"/>
      <c r="ACD79" s="498" t="n"/>
      <c r="ACE79" s="498" t="n"/>
      <c r="ACF79" s="498" t="n"/>
      <c r="ACG79" s="498" t="n"/>
      <c r="ACH79" s="498" t="n"/>
      <c r="ACI79" s="498" t="n"/>
      <c r="ACJ79" s="498" t="n"/>
      <c r="ACK79" s="498" t="n"/>
      <c r="ACL79" s="498" t="n"/>
      <c r="ACM79" s="498" t="n"/>
      <c r="ACN79" s="498" t="n"/>
      <c r="ACO79" s="498" t="n"/>
      <c r="ACP79" s="498" t="n"/>
      <c r="ACQ79" s="498" t="n"/>
      <c r="ACR79" s="498" t="n"/>
      <c r="ACS79" s="498" t="n"/>
      <c r="ACT79" s="498" t="n"/>
      <c r="ACU79" s="498" t="n"/>
      <c r="ACV79" s="498" t="n"/>
      <c r="ACW79" s="498" t="n"/>
      <c r="ACX79" s="498" t="n"/>
      <c r="ACY79" s="498" t="n"/>
      <c r="ACZ79" s="498" t="n"/>
      <c r="ADA79" s="498" t="n"/>
      <c r="ADB79" s="498" t="n"/>
      <c r="ADC79" s="498" t="n"/>
      <c r="ADD79" s="498" t="n"/>
      <c r="ADE79" s="498" t="n"/>
      <c r="ADF79" s="498" t="n"/>
      <c r="ADG79" s="498" t="n"/>
      <c r="ADH79" s="498" t="n"/>
      <c r="ADI79" s="498" t="n"/>
      <c r="ADJ79" s="498" t="n"/>
      <c r="ADK79" s="498" t="n"/>
      <c r="ADL79" s="498" t="n"/>
      <c r="ADM79" s="498" t="n"/>
      <c r="ADN79" s="498" t="n"/>
      <c r="ADO79" s="498" t="n"/>
      <c r="ADP79" s="498" t="n"/>
      <c r="ADQ79" s="498" t="n"/>
      <c r="ADR79" s="498" t="n"/>
      <c r="ADS79" s="498" t="n"/>
      <c r="ADT79" s="498" t="n"/>
      <c r="ADU79" s="498" t="n"/>
      <c r="ADV79" s="498" t="n"/>
      <c r="ADW79" s="498" t="n"/>
      <c r="ADX79" s="498" t="n"/>
      <c r="ADY79" s="498" t="n"/>
      <c r="ADZ79" s="498" t="n"/>
      <c r="AEA79" s="498" t="n"/>
      <c r="AEB79" s="498" t="n"/>
      <c r="AEC79" s="498" t="n"/>
      <c r="AED79" s="498" t="n"/>
      <c r="AEE79" s="498" t="n"/>
      <c r="AEF79" s="498" t="n"/>
      <c r="AEG79" s="498" t="n"/>
      <c r="AEH79" s="498" t="n"/>
      <c r="AEI79" s="498" t="n"/>
      <c r="AEJ79" s="498" t="n"/>
      <c r="AEK79" s="498" t="n"/>
      <c r="AEL79" s="498" t="n"/>
      <c r="AEM79" s="498" t="n"/>
      <c r="AEN79" s="498" t="n"/>
      <c r="AEO79" s="498" t="n"/>
      <c r="AEP79" s="498" t="n"/>
      <c r="AEQ79" s="498" t="n"/>
      <c r="AER79" s="498" t="n"/>
      <c r="AES79" s="498" t="n"/>
      <c r="AET79" s="498" t="n"/>
      <c r="AEU79" s="498" t="n"/>
      <c r="AEV79" s="498" t="n"/>
      <c r="AEW79" s="498" t="n"/>
      <c r="AEX79" s="498" t="n"/>
      <c r="AEY79" s="498" t="n"/>
      <c r="AEZ79" s="498" t="n"/>
      <c r="AFA79" s="498" t="n"/>
      <c r="AFB79" s="498" t="n"/>
      <c r="AFC79" s="498" t="n"/>
      <c r="AFD79" s="498" t="n"/>
      <c r="AFE79" s="498" t="n"/>
      <c r="AFF79" s="498" t="n"/>
      <c r="AFG79" s="498" t="n"/>
      <c r="AFH79" s="498" t="n"/>
      <c r="AFI79" s="498" t="n"/>
      <c r="AFJ79" s="498" t="n"/>
      <c r="AFK79" s="498" t="n"/>
      <c r="AFL79" s="498" t="n"/>
      <c r="AFM79" s="498" t="n"/>
      <c r="AFN79" s="498" t="n"/>
      <c r="AFO79" s="498" t="n"/>
      <c r="AFP79" s="498" t="n"/>
      <c r="AFQ79" s="498" t="n"/>
      <c r="AFR79" s="498" t="n"/>
      <c r="AFS79" s="498" t="n"/>
      <c r="AFT79" s="498" t="n"/>
      <c r="AFU79" s="498" t="n"/>
      <c r="AFV79" s="498" t="n"/>
      <c r="AFW79" s="498" t="n"/>
      <c r="AFX79" s="498" t="n"/>
      <c r="AFY79" s="498" t="n"/>
      <c r="AFZ79" s="498" t="n"/>
      <c r="AGA79" s="498" t="n"/>
      <c r="AGB79" s="498" t="n"/>
      <c r="AGC79" s="498" t="n"/>
      <c r="AGD79" s="498" t="n"/>
      <c r="AGE79" s="498" t="n"/>
      <c r="AGF79" s="498" t="n"/>
      <c r="AGG79" s="498" t="n"/>
      <c r="AGH79" s="498" t="n"/>
      <c r="AGI79" s="498" t="n"/>
      <c r="AGJ79" s="498" t="n"/>
      <c r="AGK79" s="498" t="n"/>
      <c r="AGL79" s="498" t="n"/>
      <c r="AGM79" s="498" t="n"/>
      <c r="AGN79" s="498" t="n"/>
      <c r="AGO79" s="498" t="n"/>
      <c r="AGP79" s="498" t="n"/>
      <c r="AGQ79" s="498" t="n"/>
      <c r="AGR79" s="498" t="n"/>
      <c r="AGS79" s="498" t="n"/>
      <c r="AGT79" s="498" t="n"/>
      <c r="AGU79" s="498" t="n"/>
      <c r="AGV79" s="498" t="n"/>
      <c r="AGW79" s="498" t="n"/>
      <c r="AGX79" s="498" t="n"/>
      <c r="AGY79" s="498" t="n"/>
      <c r="AGZ79" s="498" t="n"/>
      <c r="AHA79" s="498" t="n"/>
      <c r="AHB79" s="498" t="n"/>
      <c r="AHC79" s="498" t="n"/>
      <c r="AHD79" s="498" t="n"/>
      <c r="AHE79" s="498" t="n"/>
      <c r="AHF79" s="498" t="n"/>
      <c r="AHG79" s="498" t="n"/>
      <c r="AHH79" s="498" t="n"/>
      <c r="AHI79" s="498" t="n"/>
      <c r="AHJ79" s="498" t="n"/>
      <c r="AHK79" s="498" t="n"/>
      <c r="AHL79" s="498" t="n"/>
      <c r="AHM79" s="498" t="n"/>
      <c r="AHN79" s="498" t="n"/>
      <c r="AHO79" s="498" t="n"/>
      <c r="AHP79" s="498" t="n"/>
      <c r="AHQ79" s="498" t="n"/>
      <c r="AHR79" s="498" t="n"/>
      <c r="AHS79" s="498" t="n"/>
      <c r="AHT79" s="498" t="n"/>
      <c r="AHU79" s="498" t="n"/>
      <c r="AHV79" s="498" t="n"/>
      <c r="AHW79" s="498" t="n"/>
      <c r="AHX79" s="498" t="n"/>
      <c r="AHY79" s="498" t="n"/>
      <c r="AHZ79" s="498" t="n"/>
      <c r="AIA79" s="498" t="n"/>
      <c r="AIB79" s="498" t="n"/>
      <c r="AIC79" s="498" t="n"/>
      <c r="AID79" s="498" t="n"/>
      <c r="AIE79" s="498" t="n"/>
      <c r="AIF79" s="498" t="n"/>
      <c r="AIG79" s="498" t="n"/>
      <c r="AIH79" s="498" t="n"/>
      <c r="AII79" s="498" t="n"/>
      <c r="AIJ79" s="498" t="n"/>
      <c r="AIK79" s="498" t="n"/>
      <c r="AIL79" s="498" t="n"/>
      <c r="AIM79" s="498" t="n"/>
      <c r="AIN79" s="498" t="n"/>
      <c r="AIO79" s="498" t="n"/>
      <c r="AIP79" s="498" t="n"/>
      <c r="AIQ79" s="498" t="n"/>
      <c r="AIR79" s="498" t="n"/>
      <c r="AIS79" s="498" t="n"/>
      <c r="AIT79" s="498" t="n"/>
      <c r="AIU79" s="498" t="n"/>
      <c r="AIV79" s="498" t="n"/>
      <c r="AIW79" s="498" t="n"/>
      <c r="AIX79" s="498" t="n"/>
      <c r="AIY79" s="498" t="n"/>
      <c r="AIZ79" s="498" t="n"/>
      <c r="AJA79" s="498" t="n"/>
      <c r="AJB79" s="498" t="n"/>
      <c r="AJC79" s="498" t="n"/>
      <c r="AJD79" s="498" t="n"/>
      <c r="AJE79" s="498" t="n"/>
      <c r="AJF79" s="498" t="n"/>
      <c r="AJG79" s="498" t="n"/>
      <c r="AJH79" s="498" t="n"/>
      <c r="AJI79" s="498" t="n"/>
      <c r="AJJ79" s="498" t="n"/>
      <c r="AJK79" s="498" t="n"/>
      <c r="AJL79" s="498" t="n"/>
      <c r="AJM79" s="498" t="n"/>
      <c r="AJN79" s="498" t="n"/>
      <c r="AJO79" s="498" t="n"/>
      <c r="AJP79" s="498" t="n"/>
      <c r="AJQ79" s="498" t="n"/>
      <c r="AJR79" s="498" t="n"/>
      <c r="AJS79" s="498" t="n"/>
      <c r="AJT79" s="498" t="n"/>
      <c r="AJU79" s="498" t="n"/>
      <c r="AJV79" s="498" t="n"/>
      <c r="AJW79" s="498" t="n"/>
      <c r="AJX79" s="498" t="n"/>
      <c r="AJY79" s="498" t="n"/>
      <c r="AJZ79" s="498" t="n"/>
      <c r="AKA79" s="498" t="n"/>
      <c r="AKB79" s="498" t="n"/>
      <c r="AKC79" s="498" t="n"/>
      <c r="AKD79" s="498" t="n"/>
      <c r="AKE79" s="498" t="n"/>
      <c r="AKF79" s="498" t="n"/>
      <c r="AKG79" s="498" t="n"/>
      <c r="AKH79" s="498" t="n"/>
      <c r="AKI79" s="498" t="n"/>
      <c r="AKJ79" s="498" t="n"/>
      <c r="AKK79" s="498" t="n"/>
      <c r="AKL79" s="498" t="n"/>
      <c r="AKM79" s="498" t="n"/>
      <c r="AKN79" s="498" t="n"/>
      <c r="AKO79" s="498" t="n"/>
      <c r="AKP79" s="498" t="n"/>
      <c r="AKQ79" s="498" t="n"/>
      <c r="AKR79" s="498" t="n"/>
      <c r="AKS79" s="498" t="n"/>
      <c r="AKT79" s="498" t="n"/>
      <c r="AKU79" s="498" t="n"/>
      <c r="AKV79" s="498" t="n"/>
      <c r="AKW79" s="498" t="n"/>
      <c r="AKX79" s="498" t="n"/>
      <c r="AKY79" s="498" t="n"/>
      <c r="AKZ79" s="498" t="n"/>
      <c r="ALA79" s="498" t="n"/>
      <c r="ALB79" s="498" t="n"/>
      <c r="ALC79" s="498" t="n"/>
      <c r="ALD79" s="498" t="n"/>
      <c r="ALE79" s="498" t="n"/>
      <c r="ALF79" s="498" t="n"/>
      <c r="ALG79" s="498" t="n"/>
      <c r="ALH79" s="498" t="n"/>
      <c r="ALI79" s="498" t="n"/>
      <c r="ALJ79" s="498" t="n"/>
      <c r="ALK79" s="498" t="n"/>
      <c r="ALL79" s="498" t="n"/>
      <c r="ALM79" s="498" t="n"/>
      <c r="ALN79" s="498" t="n"/>
      <c r="ALO79" s="498" t="n"/>
      <c r="ALP79" s="498" t="n"/>
      <c r="ALQ79" s="498" t="n"/>
      <c r="ALR79" s="498" t="n"/>
      <c r="ALS79" s="498" t="n"/>
      <c r="ALT79" s="498" t="n"/>
      <c r="ALU79" s="498" t="n"/>
      <c r="ALV79" s="498" t="n"/>
      <c r="ALW79" s="498" t="n"/>
      <c r="ALX79" s="498" t="n"/>
      <c r="ALY79" s="498" t="n"/>
      <c r="ALZ79" s="498" t="n"/>
      <c r="AMA79" s="498" t="n"/>
      <c r="AMB79" s="498" t="n"/>
      <c r="AMC79" s="498" t="n"/>
      <c r="AMD79" s="498" t="n"/>
      <c r="AME79" s="498" t="n"/>
      <c r="AMF79" s="498" t="n"/>
      <c r="AMG79" s="498" t="n"/>
      <c r="AMH79" s="498" t="n"/>
      <c r="AMI79" s="498" t="n"/>
      <c r="AMJ79" s="498" t="n"/>
      <c r="AMK79" s="498" t="n"/>
      <c r="AML79" s="498" t="n"/>
      <c r="AMM79" s="498" t="n"/>
      <c r="AMN79" s="498" t="n"/>
      <c r="AMO79" s="498" t="n"/>
      <c r="AMP79" s="498" t="n"/>
      <c r="AMQ79" s="498" t="n"/>
      <c r="AMR79" s="498" t="n"/>
      <c r="AMS79" s="498" t="n"/>
      <c r="AMT79" s="498" t="n"/>
      <c r="AMU79" s="498" t="n"/>
      <c r="AMV79" s="498" t="n"/>
      <c r="AMW79" s="498" t="n"/>
      <c r="AMX79" s="498" t="n"/>
      <c r="AMY79" s="498" t="n"/>
      <c r="AMZ79" s="498" t="n"/>
      <c r="ANA79" s="498" t="n"/>
      <c r="ANB79" s="498" t="n"/>
      <c r="ANC79" s="498" t="n"/>
      <c r="AND79" s="498" t="n"/>
      <c r="ANE79" s="498" t="n"/>
      <c r="ANF79" s="498" t="n"/>
      <c r="ANG79" s="498" t="n"/>
      <c r="ANH79" s="498" t="n"/>
      <c r="ANI79" s="498" t="n"/>
      <c r="ANJ79" s="498" t="n"/>
      <c r="ANK79" s="498" t="n"/>
      <c r="ANL79" s="498" t="n"/>
      <c r="ANM79" s="498" t="n"/>
      <c r="ANN79" s="498" t="n"/>
      <c r="ANO79" s="498" t="n"/>
      <c r="ANP79" s="498" t="n"/>
      <c r="ANQ79" s="498" t="n"/>
      <c r="ANR79" s="498" t="n"/>
      <c r="ANS79" s="498" t="n"/>
      <c r="ANT79" s="498" t="n"/>
      <c r="ANU79" s="498" t="n"/>
      <c r="ANV79" s="498" t="n"/>
      <c r="ANW79" s="498" t="n"/>
      <c r="ANX79" s="498" t="n"/>
      <c r="ANY79" s="498" t="n"/>
      <c r="ANZ79" s="498" t="n"/>
      <c r="AOA79" s="498" t="n"/>
      <c r="AOB79" s="498" t="n"/>
      <c r="AOC79" s="498" t="n"/>
      <c r="AOD79" s="498" t="n"/>
      <c r="AOE79" s="498" t="n"/>
      <c r="AOF79" s="498" t="n"/>
      <c r="AOG79" s="498" t="n"/>
      <c r="AOH79" s="498" t="n"/>
      <c r="AOI79" s="498" t="n"/>
      <c r="AOJ79" s="498" t="n"/>
      <c r="AOK79" s="498" t="n"/>
      <c r="AOL79" s="498" t="n"/>
      <c r="AOM79" s="498" t="n"/>
      <c r="AON79" s="498" t="n"/>
      <c r="AOO79" s="498" t="n"/>
      <c r="AOP79" s="498" t="n"/>
      <c r="AOQ79" s="498" t="n"/>
      <c r="AOR79" s="498" t="n"/>
      <c r="AOS79" s="498" t="n"/>
      <c r="AOT79" s="498" t="n"/>
      <c r="AOU79" s="498" t="n"/>
      <c r="AOV79" s="498" t="n"/>
      <c r="AOW79" s="498" t="n"/>
      <c r="AOX79" s="498" t="n"/>
      <c r="AOY79" s="498" t="n"/>
      <c r="AOZ79" s="498" t="n"/>
      <c r="APA79" s="498" t="n"/>
      <c r="APB79" s="498" t="n"/>
      <c r="APC79" s="498" t="n"/>
      <c r="APD79" s="498" t="n"/>
      <c r="APE79" s="498" t="n"/>
      <c r="APF79" s="498" t="n"/>
      <c r="APG79" s="498" t="n"/>
      <c r="APH79" s="498" t="n"/>
      <c r="API79" s="498" t="n"/>
      <c r="APJ79" s="498" t="n"/>
      <c r="APK79" s="498" t="n"/>
      <c r="APL79" s="498" t="n"/>
      <c r="APM79" s="498" t="n"/>
      <c r="APN79" s="498" t="n"/>
      <c r="APO79" s="498" t="n"/>
      <c r="APP79" s="498" t="n"/>
      <c r="APQ79" s="498" t="n"/>
      <c r="APR79" s="498" t="n"/>
      <c r="APS79" s="498" t="n"/>
      <c r="APT79" s="498" t="n"/>
      <c r="APU79" s="498" t="n"/>
      <c r="APV79" s="498" t="n"/>
      <c r="APW79" s="498" t="n"/>
      <c r="APX79" s="498" t="n"/>
      <c r="APY79" s="498" t="n"/>
      <c r="APZ79" s="498" t="n"/>
      <c r="AQA79" s="498" t="n"/>
      <c r="AQB79" s="498" t="n"/>
      <c r="AQC79" s="498" t="n"/>
      <c r="AQD79" s="498" t="n"/>
      <c r="AQE79" s="498" t="n"/>
      <c r="AQF79" s="498" t="n"/>
      <c r="AQG79" s="498" t="n"/>
      <c r="AQH79" s="498" t="n"/>
      <c r="AQI79" s="498" t="n"/>
      <c r="AQJ79" s="498" t="n"/>
      <c r="AQK79" s="498" t="n"/>
      <c r="AQL79" s="498" t="n"/>
      <c r="AQM79" s="498" t="n"/>
      <c r="AQN79" s="498" t="n"/>
      <c r="AQO79" s="498" t="n"/>
      <c r="AQP79" s="498" t="n"/>
      <c r="AQQ79" s="498" t="n"/>
      <c r="AQR79" s="498" t="n"/>
      <c r="AQS79" s="498" t="n"/>
      <c r="AQT79" s="498" t="n"/>
      <c r="AQU79" s="498" t="n"/>
      <c r="AQV79" s="498" t="n"/>
      <c r="AQW79" s="498" t="n"/>
      <c r="AQX79" s="498" t="n"/>
      <c r="AQY79" s="498" t="n"/>
      <c r="AQZ79" s="498" t="n"/>
      <c r="ARA79" s="498" t="n"/>
      <c r="ARB79" s="498" t="n"/>
      <c r="ARC79" s="498" t="n"/>
      <c r="ARD79" s="498" t="n"/>
      <c r="ARE79" s="498" t="n"/>
      <c r="ARF79" s="498" t="n"/>
      <c r="ARG79" s="498" t="n"/>
      <c r="ARH79" s="498" t="n"/>
      <c r="ARI79" s="498" t="n"/>
      <c r="ARJ79" s="498" t="n"/>
      <c r="ARK79" s="498" t="n"/>
      <c r="ARL79" s="498" t="n"/>
      <c r="ARM79" s="498" t="n"/>
      <c r="ARN79" s="498" t="n"/>
      <c r="ARO79" s="498" t="n"/>
      <c r="ARP79" s="498" t="n"/>
      <c r="ARQ79" s="498" t="n"/>
      <c r="ARR79" s="498" t="n"/>
      <c r="ARS79" s="498" t="n"/>
      <c r="ART79" s="498" t="n"/>
      <c r="ARU79" s="498" t="n"/>
      <c r="ARV79" s="498" t="n"/>
      <c r="ARW79" s="498" t="n"/>
      <c r="ARX79" s="498" t="n"/>
      <c r="ARY79" s="498" t="n"/>
      <c r="ARZ79" s="498" t="n"/>
      <c r="ASA79" s="498" t="n"/>
      <c r="ASB79" s="498" t="n"/>
      <c r="ASC79" s="498" t="n"/>
      <c r="ASD79" s="498" t="n"/>
      <c r="ASE79" s="498" t="n"/>
      <c r="ASF79" s="498" t="n"/>
      <c r="ASG79" s="498" t="n"/>
      <c r="ASH79" s="498" t="n"/>
      <c r="ASI79" s="498" t="n"/>
      <c r="ASJ79" s="498" t="n"/>
      <c r="ASK79" s="498" t="n"/>
      <c r="ASL79" s="498" t="n"/>
      <c r="ASM79" s="498" t="n"/>
      <c r="ASN79" s="498" t="n"/>
      <c r="ASO79" s="498" t="n"/>
      <c r="ASP79" s="498" t="n"/>
      <c r="ASQ79" s="498" t="n"/>
      <c r="ASR79" s="498" t="n"/>
      <c r="ASS79" s="498" t="n"/>
      <c r="AST79" s="498" t="n"/>
      <c r="ASU79" s="498" t="n"/>
      <c r="ASV79" s="498" t="n"/>
      <c r="ASW79" s="498" t="n"/>
      <c r="ASX79" s="498" t="n"/>
      <c r="ASY79" s="498" t="n"/>
      <c r="ASZ79" s="498" t="n"/>
      <c r="ATA79" s="498" t="n"/>
      <c r="ATB79" s="498" t="n"/>
      <c r="ATC79" s="498" t="n"/>
      <c r="ATD79" s="498" t="n"/>
      <c r="ATE79" s="498" t="n"/>
      <c r="ATF79" s="498" t="n"/>
      <c r="ATG79" s="498" t="n"/>
      <c r="ATH79" s="498" t="n"/>
      <c r="ATI79" s="498" t="n"/>
      <c r="ATJ79" s="498" t="n"/>
      <c r="ATK79" s="498" t="n"/>
      <c r="ATL79" s="498" t="n"/>
      <c r="ATM79" s="498" t="n"/>
      <c r="ATN79" s="498" t="n"/>
      <c r="ATO79" s="498" t="n"/>
      <c r="ATP79" s="498" t="n"/>
      <c r="ATQ79" s="498" t="n"/>
      <c r="ATR79" s="498" t="n"/>
      <c r="ATS79" s="498" t="n"/>
      <c r="ATT79" s="498" t="n"/>
      <c r="ATU79" s="498" t="n"/>
      <c r="ATV79" s="498" t="n"/>
      <c r="ATW79" s="498" t="n"/>
      <c r="ATX79" s="498" t="n"/>
      <c r="ATY79" s="498" t="n"/>
      <c r="ATZ79" s="498" t="n"/>
      <c r="AUA79" s="498" t="n"/>
      <c r="AUB79" s="498" t="n"/>
      <c r="AUC79" s="498" t="n"/>
      <c r="AUD79" s="498" t="n"/>
      <c r="AUE79" s="498" t="n"/>
      <c r="AUF79" s="498" t="n"/>
      <c r="AUG79" s="498" t="n"/>
      <c r="AUH79" s="498" t="n"/>
      <c r="AUI79" s="498" t="n"/>
      <c r="AUJ79" s="498" t="n"/>
      <c r="AUK79" s="498" t="n"/>
      <c r="AUL79" s="498" t="n"/>
      <c r="AUM79" s="498" t="n"/>
      <c r="AUN79" s="498" t="n"/>
      <c r="AUO79" s="498" t="n"/>
      <c r="AUP79" s="498" t="n"/>
      <c r="AUQ79" s="498" t="n"/>
      <c r="AUR79" s="498" t="n"/>
      <c r="AUS79" s="498" t="n"/>
      <c r="AUT79" s="498" t="n"/>
      <c r="AUU79" s="498" t="n"/>
      <c r="AUV79" s="498" t="n"/>
      <c r="AUW79" s="498" t="n"/>
      <c r="AUX79" s="498" t="n"/>
      <c r="AUY79" s="498" t="n"/>
      <c r="AUZ79" s="498" t="n"/>
      <c r="AVA79" s="498" t="n"/>
      <c r="AVB79" s="498" t="n"/>
      <c r="AVC79" s="498" t="n"/>
      <c r="AVD79" s="498" t="n"/>
      <c r="AVE79" s="498" t="n"/>
      <c r="AVF79" s="498" t="n"/>
      <c r="AVG79" s="498" t="n"/>
      <c r="AVH79" s="498" t="n"/>
      <c r="AVI79" s="498" t="n"/>
      <c r="AVJ79" s="498" t="n"/>
      <c r="AVK79" s="498" t="n"/>
      <c r="AVL79" s="498" t="n"/>
      <c r="AVM79" s="498" t="n"/>
      <c r="AVN79" s="498" t="n"/>
      <c r="AVO79" s="498" t="n"/>
      <c r="AVP79" s="498" t="n"/>
      <c r="AVQ79" s="498" t="n"/>
      <c r="AVR79" s="498" t="n"/>
      <c r="AVS79" s="498" t="n"/>
      <c r="AVT79" s="498" t="n"/>
      <c r="AVU79" s="498" t="n"/>
      <c r="AVV79" s="498" t="n"/>
      <c r="AVW79" s="498" t="n"/>
      <c r="AVX79" s="498" t="n"/>
      <c r="AVY79" s="498" t="n"/>
      <c r="AVZ79" s="498" t="n"/>
      <c r="AWA79" s="498" t="n"/>
      <c r="AWB79" s="498" t="n"/>
      <c r="AWC79" s="498" t="n"/>
      <c r="AWD79" s="498" t="n"/>
      <c r="AWE79" s="498" t="n"/>
      <c r="AWF79" s="498" t="n"/>
      <c r="AWG79" s="498" t="n"/>
      <c r="AWH79" s="498" t="n"/>
      <c r="AWI79" s="498" t="n"/>
      <c r="AWJ79" s="498" t="n"/>
      <c r="AWK79" s="498" t="n"/>
      <c r="AWL79" s="498" t="n"/>
      <c r="AWM79" s="498" t="n"/>
      <c r="AWN79" s="498" t="n"/>
      <c r="AWO79" s="498" t="n"/>
      <c r="AWP79" s="498" t="n"/>
      <c r="AWQ79" s="498" t="n"/>
      <c r="AWR79" s="498" t="n"/>
      <c r="AWS79" s="498" t="n"/>
      <c r="AWT79" s="498" t="n"/>
      <c r="AWU79" s="498" t="n"/>
      <c r="AWV79" s="498" t="n"/>
      <c r="AWW79" s="498" t="n"/>
      <c r="AWX79" s="498" t="n"/>
      <c r="AWY79" s="498" t="n"/>
      <c r="AWZ79" s="498" t="n"/>
      <c r="AXA79" s="498" t="n"/>
      <c r="AXB79" s="498" t="n"/>
      <c r="AXC79" s="498" t="n"/>
      <c r="AXD79" s="498" t="n"/>
      <c r="AXE79" s="498" t="n"/>
      <c r="AXF79" s="498" t="n"/>
      <c r="AXG79" s="498" t="n"/>
      <c r="AXH79" s="498" t="n"/>
      <c r="AXI79" s="498" t="n"/>
      <c r="AXJ79" s="498" t="n"/>
      <c r="AXK79" s="498" t="n"/>
      <c r="AXL79" s="498" t="n"/>
      <c r="AXM79" s="498" t="n"/>
      <c r="AXN79" s="498" t="n"/>
      <c r="AXO79" s="498" t="n"/>
      <c r="AXP79" s="498" t="n"/>
      <c r="AXQ79" s="498" t="n"/>
      <c r="AXR79" s="498" t="n"/>
      <c r="AXS79" s="498" t="n"/>
      <c r="AXT79" s="498" t="n"/>
      <c r="AXU79" s="498" t="n"/>
      <c r="AXV79" s="498" t="n"/>
      <c r="AXW79" s="498" t="n"/>
      <c r="AXX79" s="498" t="n"/>
      <c r="AXY79" s="498" t="n"/>
      <c r="AXZ79" s="498" t="n"/>
      <c r="AYA79" s="498" t="n"/>
      <c r="AYB79" s="498" t="n"/>
      <c r="AYC79" s="498" t="n"/>
      <c r="AYD79" s="498" t="n"/>
      <c r="AYE79" s="498" t="n"/>
      <c r="AYF79" s="498" t="n"/>
      <c r="AYG79" s="498" t="n"/>
      <c r="AYH79" s="498" t="n"/>
      <c r="AYI79" s="498" t="n"/>
      <c r="AYJ79" s="498" t="n"/>
      <c r="AYK79" s="498" t="n"/>
      <c r="AYL79" s="498" t="n"/>
      <c r="AYM79" s="498" t="n"/>
      <c r="AYN79" s="498" t="n"/>
      <c r="AYO79" s="498" t="n"/>
      <c r="AYP79" s="498" t="n"/>
      <c r="AYQ79" s="498" t="n"/>
      <c r="AYR79" s="498" t="n"/>
      <c r="AYS79" s="498" t="n"/>
      <c r="AYT79" s="498" t="n"/>
      <c r="AYU79" s="498" t="n"/>
      <c r="AYV79" s="498" t="n"/>
      <c r="AYW79" s="498" t="n"/>
      <c r="AYX79" s="498" t="n"/>
      <c r="AYY79" s="498" t="n"/>
      <c r="AYZ79" s="498" t="n"/>
      <c r="AZA79" s="498" t="n"/>
      <c r="AZB79" s="498" t="n"/>
      <c r="AZC79" s="498" t="n"/>
      <c r="AZD79" s="498" t="n"/>
      <c r="AZE79" s="498" t="n"/>
      <c r="AZF79" s="498" t="n"/>
      <c r="AZG79" s="498" t="n"/>
      <c r="AZH79" s="498" t="n"/>
      <c r="AZI79" s="498" t="n"/>
      <c r="AZJ79" s="498" t="n"/>
      <c r="AZK79" s="498" t="n"/>
      <c r="AZL79" s="498" t="n"/>
      <c r="AZM79" s="498" t="n"/>
      <c r="AZN79" s="498" t="n"/>
      <c r="AZO79" s="498" t="n"/>
      <c r="AZP79" s="498" t="n"/>
      <c r="AZQ79" s="498" t="n"/>
      <c r="AZR79" s="498" t="n"/>
      <c r="AZS79" s="498" t="n"/>
      <c r="AZT79" s="498" t="n"/>
      <c r="AZU79" s="498" t="n"/>
      <c r="AZV79" s="498" t="n"/>
      <c r="AZW79" s="498" t="n"/>
      <c r="AZX79" s="498" t="n"/>
      <c r="AZY79" s="498" t="n"/>
      <c r="AZZ79" s="498" t="n"/>
      <c r="BAA79" s="498" t="n"/>
      <c r="BAB79" s="498" t="n"/>
      <c r="BAC79" s="498" t="n"/>
      <c r="BAD79" s="498" t="n"/>
      <c r="BAE79" s="498" t="n"/>
      <c r="BAF79" s="498" t="n"/>
      <c r="BAG79" s="498" t="n"/>
      <c r="BAH79" s="498" t="n"/>
      <c r="BAI79" s="498" t="n"/>
      <c r="BAJ79" s="498" t="n"/>
      <c r="BAK79" s="498" t="n"/>
      <c r="BAL79" s="498" t="n"/>
      <c r="BAM79" s="498" t="n"/>
      <c r="BAN79" s="498" t="n"/>
      <c r="BAO79" s="498" t="n"/>
      <c r="BAP79" s="498" t="n"/>
      <c r="BAQ79" s="498" t="n"/>
      <c r="BAR79" s="498" t="n"/>
      <c r="BAS79" s="498" t="n"/>
      <c r="BAT79" s="498" t="n"/>
      <c r="BAU79" s="498" t="n"/>
      <c r="BAV79" s="498" t="n"/>
      <c r="BAW79" s="498" t="n"/>
      <c r="BAX79" s="498" t="n"/>
      <c r="BAY79" s="498" t="n"/>
      <c r="BAZ79" s="498" t="n"/>
      <c r="BBA79" s="498" t="n"/>
      <c r="BBB79" s="498" t="n"/>
      <c r="BBC79" s="498" t="n"/>
      <c r="BBD79" s="498" t="n"/>
      <c r="BBE79" s="498" t="n"/>
      <c r="BBF79" s="498" t="n"/>
      <c r="BBG79" s="498" t="n"/>
      <c r="BBH79" s="498" t="n"/>
      <c r="BBI79" s="498" t="n"/>
      <c r="BBJ79" s="498" t="n"/>
      <c r="BBK79" s="498" t="n"/>
      <c r="BBL79" s="498" t="n"/>
      <c r="BBM79" s="498" t="n"/>
      <c r="BBN79" s="498" t="n"/>
      <c r="BBO79" s="498" t="n"/>
      <c r="BBP79" s="498" t="n"/>
      <c r="BBQ79" s="498" t="n"/>
      <c r="BBR79" s="498" t="n"/>
      <c r="BBS79" s="498" t="n"/>
      <c r="BBT79" s="498" t="n"/>
      <c r="BBU79" s="498" t="n"/>
      <c r="BBV79" s="498" t="n"/>
      <c r="BBW79" s="498" t="n"/>
      <c r="BBX79" s="498" t="n"/>
      <c r="BBY79" s="498" t="n"/>
      <c r="BBZ79" s="498" t="n"/>
      <c r="BCA79" s="498" t="n"/>
      <c r="BCB79" s="498" t="n"/>
      <c r="BCC79" s="498" t="n"/>
      <c r="BCD79" s="498" t="n"/>
      <c r="BCE79" s="498" t="n"/>
      <c r="BCF79" s="498" t="n"/>
      <c r="BCG79" s="498" t="n"/>
      <c r="BCH79" s="498" t="n"/>
      <c r="BCI79" s="498" t="n"/>
      <c r="BCJ79" s="498" t="n"/>
      <c r="BCK79" s="498" t="n"/>
      <c r="BCL79" s="498" t="n"/>
      <c r="BCM79" s="498" t="n"/>
      <c r="BCN79" s="498" t="n"/>
      <c r="BCO79" s="498" t="n"/>
      <c r="BCP79" s="498" t="n"/>
      <c r="BCQ79" s="498" t="n"/>
      <c r="BCR79" s="498" t="n"/>
      <c r="BCS79" s="498" t="n"/>
      <c r="BCT79" s="498" t="n"/>
      <c r="BCU79" s="498" t="n"/>
      <c r="BCV79" s="498" t="n"/>
      <c r="BCW79" s="498" t="n"/>
      <c r="BCX79" s="498" t="n"/>
      <c r="BCY79" s="498" t="n"/>
      <c r="BCZ79" s="498" t="n"/>
      <c r="BDA79" s="498" t="n"/>
      <c r="BDB79" s="498" t="n"/>
      <c r="BDC79" s="498" t="n"/>
      <c r="BDD79" s="498" t="n"/>
      <c r="BDE79" s="498" t="n"/>
      <c r="BDF79" s="498" t="n"/>
      <c r="BDG79" s="498" t="n"/>
      <c r="BDH79" s="498" t="n"/>
      <c r="BDI79" s="498" t="n"/>
      <c r="BDJ79" s="498" t="n"/>
      <c r="BDK79" s="498" t="n"/>
      <c r="BDL79" s="498" t="n"/>
      <c r="BDM79" s="498" t="n"/>
      <c r="BDN79" s="498" t="n"/>
      <c r="BDO79" s="498" t="n"/>
      <c r="BDP79" s="498" t="n"/>
      <c r="BDQ79" s="498" t="n"/>
      <c r="BDR79" s="498" t="n"/>
      <c r="BDS79" s="498" t="n"/>
      <c r="BDT79" s="498" t="n"/>
      <c r="BDU79" s="498" t="n"/>
      <c r="BDV79" s="498" t="n"/>
      <c r="BDW79" s="498" t="n"/>
      <c r="BDX79" s="498" t="n"/>
      <c r="BDY79" s="498" t="n"/>
      <c r="BDZ79" s="498" t="n"/>
      <c r="BEA79" s="498" t="n"/>
      <c r="BEB79" s="498" t="n"/>
      <c r="BEC79" s="498" t="n"/>
      <c r="BED79" s="498" t="n"/>
      <c r="BEE79" s="498" t="n"/>
      <c r="BEF79" s="498" t="n"/>
      <c r="BEG79" s="498" t="n"/>
      <c r="BEH79" s="498" t="n"/>
      <c r="BEI79" s="498" t="n"/>
      <c r="BEJ79" s="498" t="n"/>
      <c r="BEK79" s="498" t="n"/>
      <c r="BEL79" s="498" t="n"/>
      <c r="BEM79" s="498" t="n"/>
      <c r="BEN79" s="498" t="n"/>
      <c r="BEO79" s="498" t="n"/>
      <c r="BEP79" s="498" t="n"/>
      <c r="BEQ79" s="498" t="n"/>
      <c r="BER79" s="498" t="n"/>
      <c r="BES79" s="498" t="n"/>
      <c r="BET79" s="498" t="n"/>
      <c r="BEU79" s="498" t="n"/>
      <c r="BEV79" s="498" t="n"/>
      <c r="BEW79" s="498" t="n"/>
      <c r="BEX79" s="498" t="n"/>
      <c r="BEY79" s="498" t="n"/>
      <c r="BEZ79" s="498" t="n"/>
      <c r="BFA79" s="498" t="n"/>
      <c r="BFB79" s="498" t="n"/>
      <c r="BFC79" s="498" t="n"/>
      <c r="BFD79" s="498" t="n"/>
      <c r="BFE79" s="498" t="n"/>
      <c r="BFF79" s="498" t="n"/>
      <c r="BFG79" s="498" t="n"/>
      <c r="BFH79" s="498" t="n"/>
      <c r="BFI79" s="498" t="n"/>
      <c r="BFJ79" s="498" t="n"/>
      <c r="BFK79" s="498" t="n"/>
      <c r="BFL79" s="498" t="n"/>
      <c r="BFM79" s="498" t="n"/>
      <c r="BFN79" s="498" t="n"/>
      <c r="BFO79" s="498" t="n"/>
      <c r="BFP79" s="498" t="n"/>
      <c r="BFQ79" s="498" t="n"/>
      <c r="BFR79" s="498" t="n"/>
      <c r="BFS79" s="498" t="n"/>
      <c r="BFT79" s="498" t="n"/>
      <c r="BFU79" s="498" t="n"/>
      <c r="BFV79" s="498" t="n"/>
      <c r="BFW79" s="498" t="n"/>
      <c r="BFX79" s="498" t="n"/>
      <c r="BFY79" s="498" t="n"/>
      <c r="BFZ79" s="498" t="n"/>
      <c r="BGA79" s="498" t="n"/>
      <c r="BGB79" s="498" t="n"/>
      <c r="BGC79" s="498" t="n"/>
      <c r="BGD79" s="498" t="n"/>
      <c r="BGE79" s="498" t="n"/>
      <c r="BGF79" s="498" t="n"/>
      <c r="BGG79" s="498" t="n"/>
      <c r="BGH79" s="498" t="n"/>
      <c r="BGI79" s="498" t="n"/>
      <c r="BGJ79" s="498" t="n"/>
      <c r="BGK79" s="498" t="n"/>
      <c r="BGL79" s="498" t="n"/>
      <c r="BGM79" s="498" t="n"/>
      <c r="BGN79" s="498" t="n"/>
      <c r="BGO79" s="498" t="n"/>
      <c r="BGP79" s="498" t="n"/>
      <c r="BGQ79" s="498" t="n"/>
      <c r="BGR79" s="498" t="n"/>
      <c r="BGS79" s="498" t="n"/>
      <c r="BGT79" s="498" t="n"/>
      <c r="BGU79" s="498" t="n"/>
      <c r="BGV79" s="498" t="n"/>
      <c r="BGW79" s="498" t="n"/>
      <c r="BGX79" s="498" t="n"/>
      <c r="BGY79" s="498" t="n"/>
      <c r="BGZ79" s="498" t="n"/>
      <c r="BHA79" s="498" t="n"/>
      <c r="BHB79" s="498" t="n"/>
      <c r="BHC79" s="498" t="n"/>
      <c r="BHD79" s="498" t="n"/>
      <c r="BHE79" s="498" t="n"/>
      <c r="BHF79" s="498" t="n"/>
      <c r="BHG79" s="498" t="n"/>
      <c r="BHH79" s="498" t="n"/>
      <c r="BHI79" s="498" t="n"/>
      <c r="BHJ79" s="498" t="n"/>
      <c r="BHK79" s="498" t="n"/>
      <c r="BHL79" s="498" t="n"/>
      <c r="BHM79" s="498" t="n"/>
      <c r="BHN79" s="498" t="n"/>
      <c r="BHO79" s="498" t="n"/>
      <c r="BHP79" s="498" t="n"/>
      <c r="BHQ79" s="498" t="n"/>
      <c r="BHR79" s="498" t="n"/>
      <c r="BHS79" s="498" t="n"/>
      <c r="BHT79" s="498" t="n"/>
      <c r="BHU79" s="498" t="n"/>
      <c r="BHV79" s="498" t="n"/>
      <c r="BHW79" s="498" t="n"/>
      <c r="BHX79" s="498" t="n"/>
      <c r="BHY79" s="498" t="n"/>
      <c r="BHZ79" s="498" t="n"/>
      <c r="BIA79" s="498" t="n"/>
      <c r="BIB79" s="498" t="n"/>
      <c r="BIC79" s="498" t="n"/>
      <c r="BID79" s="498" t="n"/>
      <c r="BIE79" s="498" t="n"/>
      <c r="BIF79" s="498" t="n"/>
      <c r="BIG79" s="498" t="n"/>
      <c r="BIH79" s="498" t="n"/>
      <c r="BII79" s="498" t="n"/>
      <c r="BIJ79" s="498" t="n"/>
      <c r="BIK79" s="498" t="n"/>
      <c r="BIL79" s="498" t="n"/>
      <c r="BIM79" s="498" t="n"/>
      <c r="BIN79" s="498" t="n"/>
      <c r="BIO79" s="498" t="n"/>
      <c r="BIP79" s="498" t="n"/>
      <c r="BIQ79" s="498" t="n"/>
      <c r="BIR79" s="498" t="n"/>
      <c r="BIS79" s="498" t="n"/>
      <c r="BIT79" s="498" t="n"/>
      <c r="BIU79" s="498" t="n"/>
      <c r="BIV79" s="498" t="n"/>
      <c r="BIW79" s="498" t="n"/>
      <c r="BIX79" s="498" t="n"/>
      <c r="BIY79" s="498" t="n"/>
      <c r="BIZ79" s="498" t="n"/>
      <c r="BJA79" s="498" t="n"/>
      <c r="BJB79" s="498" t="n"/>
      <c r="BJC79" s="498" t="n"/>
      <c r="BJD79" s="498" t="n"/>
      <c r="BJE79" s="498" t="n"/>
      <c r="BJF79" s="498" t="n"/>
      <c r="BJG79" s="498" t="n"/>
      <c r="BJH79" s="498" t="n"/>
      <c r="BJI79" s="498" t="n"/>
      <c r="BJJ79" s="498" t="n"/>
      <c r="BJK79" s="498" t="n"/>
      <c r="BJL79" s="498" t="n"/>
      <c r="BJM79" s="498" t="n"/>
      <c r="BJN79" s="498" t="n"/>
      <c r="BJO79" s="498" t="n"/>
      <c r="BJP79" s="498" t="n"/>
      <c r="BJQ79" s="498" t="n"/>
      <c r="BJR79" s="498" t="n"/>
      <c r="BJS79" s="498" t="n"/>
      <c r="BJT79" s="498" t="n"/>
      <c r="BJU79" s="498" t="n"/>
      <c r="BJV79" s="498" t="n"/>
      <c r="BJW79" s="498" t="n"/>
      <c r="BJX79" s="498" t="n"/>
      <c r="BJY79" s="498" t="n"/>
      <c r="BJZ79" s="498" t="n"/>
      <c r="BKA79" s="498" t="n"/>
      <c r="BKB79" s="498" t="n"/>
      <c r="BKC79" s="498" t="n"/>
      <c r="BKD79" s="498" t="n"/>
      <c r="BKE79" s="498" t="n"/>
      <c r="BKF79" s="498" t="n"/>
      <c r="BKG79" s="498" t="n"/>
      <c r="BKH79" s="498" t="n"/>
      <c r="BKI79" s="498" t="n"/>
      <c r="BKJ79" s="498" t="n"/>
      <c r="BKK79" s="498" t="n"/>
      <c r="BKL79" s="498" t="n"/>
      <c r="BKM79" s="498" t="n"/>
      <c r="BKN79" s="498" t="n"/>
      <c r="BKO79" s="498" t="n"/>
      <c r="BKP79" s="498" t="n"/>
      <c r="BKQ79" s="498" t="n"/>
      <c r="BKR79" s="498" t="n"/>
      <c r="BKS79" s="498" t="n"/>
      <c r="BKT79" s="498" t="n"/>
      <c r="BKU79" s="498" t="n"/>
      <c r="BKV79" s="498" t="n"/>
      <c r="BKW79" s="498" t="n"/>
      <c r="BKX79" s="498" t="n"/>
      <c r="BKY79" s="498" t="n"/>
      <c r="BKZ79" s="498" t="n"/>
      <c r="BLA79" s="498" t="n"/>
      <c r="BLB79" s="498" t="n"/>
      <c r="BLC79" s="498" t="n"/>
      <c r="BLD79" s="498" t="n"/>
      <c r="BLE79" s="498" t="n"/>
      <c r="BLF79" s="498" t="n"/>
      <c r="BLG79" s="498" t="n"/>
      <c r="BLH79" s="498" t="n"/>
      <c r="BLI79" s="498" t="n"/>
      <c r="BLJ79" s="498" t="n"/>
      <c r="BLK79" s="498" t="n"/>
      <c r="BLL79" s="498" t="n"/>
      <c r="BLM79" s="498" t="n"/>
      <c r="BLN79" s="498" t="n"/>
      <c r="BLO79" s="498" t="n"/>
      <c r="BLP79" s="498" t="n"/>
      <c r="BLQ79" s="498" t="n"/>
      <c r="BLR79" s="498" t="n"/>
      <c r="BLS79" s="498" t="n"/>
      <c r="BLT79" s="498" t="n"/>
      <c r="BLU79" s="498" t="n"/>
      <c r="BLV79" s="498" t="n"/>
      <c r="BLW79" s="498" t="n"/>
      <c r="BLX79" s="498" t="n"/>
      <c r="BLY79" s="498" t="n"/>
      <c r="BLZ79" s="498" t="n"/>
      <c r="BMA79" s="498" t="n"/>
      <c r="BMB79" s="498" t="n"/>
      <c r="BMC79" s="498" t="n"/>
      <c r="BMD79" s="498" t="n"/>
      <c r="BME79" s="498" t="n"/>
      <c r="BMF79" s="498" t="n"/>
      <c r="BMG79" s="498" t="n"/>
      <c r="BMH79" s="498" t="n"/>
      <c r="BMI79" s="498" t="n"/>
      <c r="BMJ79" s="498" t="n"/>
      <c r="BMK79" s="498" t="n"/>
      <c r="BML79" s="498" t="n"/>
      <c r="BMM79" s="498" t="n"/>
      <c r="BMN79" s="498" t="n"/>
      <c r="BMO79" s="498" t="n"/>
      <c r="BMP79" s="498" t="n"/>
      <c r="BMQ79" s="498" t="n"/>
      <c r="BMR79" s="498" t="n"/>
      <c r="BMS79" s="498" t="n"/>
      <c r="BMT79" s="498" t="n"/>
      <c r="BMU79" s="498" t="n"/>
      <c r="BMV79" s="498" t="n"/>
      <c r="BMW79" s="498" t="n"/>
      <c r="BMX79" s="498" t="n"/>
      <c r="BMY79" s="498" t="n"/>
      <c r="BMZ79" s="498" t="n"/>
      <c r="BNA79" s="498" t="n"/>
      <c r="BNB79" s="498" t="n"/>
      <c r="BNC79" s="498" t="n"/>
      <c r="BND79" s="498" t="n"/>
      <c r="BNE79" s="498" t="n"/>
      <c r="BNF79" s="498" t="n"/>
      <c r="BNG79" s="498" t="n"/>
      <c r="BNH79" s="498" t="n"/>
      <c r="BNI79" s="498" t="n"/>
      <c r="BNJ79" s="498" t="n"/>
      <c r="BNK79" s="498" t="n"/>
      <c r="BNL79" s="498" t="n"/>
      <c r="BNM79" s="498" t="n"/>
      <c r="BNN79" s="498" t="n"/>
      <c r="BNO79" s="498" t="n"/>
      <c r="BNP79" s="498" t="n"/>
      <c r="BNQ79" s="498" t="n"/>
      <c r="BNR79" s="498" t="n"/>
      <c r="BNS79" s="498" t="n"/>
      <c r="BNT79" s="498" t="n"/>
      <c r="BNU79" s="498" t="n"/>
      <c r="BNV79" s="498" t="n"/>
      <c r="BNW79" s="498" t="n"/>
      <c r="BNX79" s="498" t="n"/>
      <c r="BNY79" s="498" t="n"/>
      <c r="BNZ79" s="498" t="n"/>
      <c r="BOA79" s="498" t="n"/>
      <c r="BOB79" s="498" t="n"/>
      <c r="BOC79" s="498" t="n"/>
      <c r="BOD79" s="498" t="n"/>
      <c r="BOE79" s="498" t="n"/>
      <c r="BOF79" s="498" t="n"/>
      <c r="BOG79" s="498" t="n"/>
      <c r="BOH79" s="498" t="n"/>
      <c r="BOI79" s="498" t="n"/>
      <c r="BOJ79" s="498" t="n"/>
      <c r="BOK79" s="498" t="n"/>
      <c r="BOL79" s="498" t="n"/>
      <c r="BOM79" s="498" t="n"/>
      <c r="BON79" s="498" t="n"/>
      <c r="BOO79" s="498" t="n"/>
      <c r="BOP79" s="498" t="n"/>
      <c r="BOQ79" s="498" t="n"/>
      <c r="BOR79" s="498" t="n"/>
      <c r="BOS79" s="498" t="n"/>
      <c r="BOT79" s="498" t="n"/>
      <c r="BOU79" s="498" t="n"/>
      <c r="BOV79" s="498" t="n"/>
      <c r="BOW79" s="498" t="n"/>
      <c r="BOX79" s="498" t="n"/>
      <c r="BOY79" s="498" t="n"/>
      <c r="BOZ79" s="498" t="n"/>
      <c r="BPA79" s="498" t="n"/>
      <c r="BPB79" s="498" t="n"/>
      <c r="BPC79" s="498" t="n"/>
      <c r="BPD79" s="498" t="n"/>
      <c r="BPE79" s="498" t="n"/>
      <c r="BPF79" s="498" t="n"/>
      <c r="BPG79" s="498" t="n"/>
      <c r="BPH79" s="498" t="n"/>
      <c r="BPI79" s="498" t="n"/>
      <c r="BPJ79" s="498" t="n"/>
      <c r="BPK79" s="498" t="n"/>
      <c r="BPL79" s="498" t="n"/>
      <c r="BPM79" s="498" t="n"/>
      <c r="BPN79" s="498" t="n"/>
      <c r="BPO79" s="498" t="n"/>
      <c r="BPP79" s="498" t="n"/>
      <c r="BPQ79" s="498" t="n"/>
      <c r="BPR79" s="498" t="n"/>
      <c r="BPS79" s="498" t="n"/>
      <c r="BPT79" s="498" t="n"/>
      <c r="BPU79" s="498" t="n"/>
      <c r="BPV79" s="498" t="n"/>
      <c r="BPW79" s="498" t="n"/>
      <c r="BPX79" s="498" t="n"/>
      <c r="BPY79" s="498" t="n"/>
      <c r="BPZ79" s="498" t="n"/>
      <c r="BQA79" s="498" t="n"/>
      <c r="BQB79" s="498" t="n"/>
      <c r="BQC79" s="498" t="n"/>
      <c r="BQD79" s="498" t="n"/>
      <c r="BQE79" s="498" t="n"/>
      <c r="BQF79" s="498" t="n"/>
      <c r="BQG79" s="498" t="n"/>
      <c r="BQH79" s="498" t="n"/>
      <c r="BQI79" s="498" t="n"/>
      <c r="BQJ79" s="498" t="n"/>
      <c r="BQK79" s="498" t="n"/>
      <c r="BQL79" s="498" t="n"/>
      <c r="BQM79" s="498" t="n"/>
      <c r="BQN79" s="498" t="n"/>
      <c r="BQO79" s="498" t="n"/>
      <c r="BQP79" s="498" t="n"/>
      <c r="BQQ79" s="498" t="n"/>
      <c r="BQR79" s="498" t="n"/>
      <c r="BQS79" s="498" t="n"/>
      <c r="BQT79" s="498" t="n"/>
      <c r="BQU79" s="498" t="n"/>
      <c r="BQV79" s="498" t="n"/>
      <c r="BQW79" s="498" t="n"/>
      <c r="BQX79" s="498" t="n"/>
      <c r="BQY79" s="498" t="n"/>
      <c r="BQZ79" s="498" t="n"/>
      <c r="BRA79" s="498" t="n"/>
      <c r="BRB79" s="498" t="n"/>
      <c r="BRC79" s="498" t="n"/>
      <c r="BRD79" s="498" t="n"/>
      <c r="BRE79" s="498" t="n"/>
      <c r="BRF79" s="498" t="n"/>
      <c r="BRG79" s="498" t="n"/>
      <c r="BRH79" s="498" t="n"/>
      <c r="BRI79" s="498" t="n"/>
      <c r="BRJ79" s="498" t="n"/>
      <c r="BRK79" s="498" t="n"/>
      <c r="BRL79" s="498" t="n"/>
      <c r="BRM79" s="498" t="n"/>
      <c r="BRN79" s="498" t="n"/>
      <c r="BRO79" s="498" t="n"/>
      <c r="BRP79" s="498" t="n"/>
      <c r="BRQ79" s="498" t="n"/>
      <c r="BRR79" s="498" t="n"/>
      <c r="BRS79" s="498" t="n"/>
      <c r="BRT79" s="498" t="n"/>
      <c r="BRU79" s="498" t="n"/>
      <c r="BRV79" s="498" t="n"/>
      <c r="BRW79" s="498" t="n"/>
      <c r="BRX79" s="498" t="n"/>
      <c r="BRY79" s="498" t="n"/>
      <c r="BRZ79" s="498" t="n"/>
      <c r="BSA79" s="498" t="n"/>
      <c r="BSB79" s="498" t="n"/>
      <c r="BSC79" s="498" t="n"/>
      <c r="BSD79" s="498" t="n"/>
      <c r="BSE79" s="498" t="n"/>
      <c r="BSF79" s="498" t="n"/>
      <c r="BSG79" s="498" t="n"/>
      <c r="BSH79" s="498" t="n"/>
      <c r="BSI79" s="498" t="n"/>
      <c r="BSJ79" s="498" t="n"/>
      <c r="BSK79" s="498" t="n"/>
      <c r="BSL79" s="498" t="n"/>
      <c r="BSM79" s="498" t="n"/>
      <c r="BSN79" s="498" t="n"/>
      <c r="BSO79" s="498" t="n"/>
      <c r="BSP79" s="498" t="n"/>
      <c r="BSQ79" s="498" t="n"/>
      <c r="BSR79" s="498" t="n"/>
      <c r="BSS79" s="498" t="n"/>
      <c r="BST79" s="498" t="n"/>
      <c r="BSU79" s="498" t="n"/>
      <c r="BSV79" s="498" t="n"/>
      <c r="BSW79" s="498" t="n"/>
      <c r="BSX79" s="498" t="n"/>
      <c r="BSY79" s="498" t="n"/>
      <c r="BSZ79" s="498" t="n"/>
      <c r="BTA79" s="498" t="n"/>
      <c r="BTB79" s="498" t="n"/>
      <c r="BTC79" s="498" t="n"/>
      <c r="BTD79" s="498" t="n"/>
      <c r="BTE79" s="498" t="n"/>
      <c r="BTF79" s="498" t="n"/>
      <c r="BTG79" s="498" t="n"/>
      <c r="BTH79" s="498" t="n"/>
      <c r="BTI79" s="498" t="n"/>
      <c r="BTJ79" s="498" t="n"/>
      <c r="BTK79" s="498" t="n"/>
      <c r="BTL79" s="498" t="n"/>
      <c r="BTM79" s="498" t="n"/>
      <c r="BTN79" s="498" t="n"/>
      <c r="BTO79" s="498" t="n"/>
      <c r="BTP79" s="498" t="n"/>
      <c r="BTQ79" s="498" t="n"/>
      <c r="BTR79" s="498" t="n"/>
      <c r="BTS79" s="498" t="n"/>
      <c r="BTT79" s="498" t="n"/>
      <c r="BTU79" s="498" t="n"/>
      <c r="BTV79" s="498" t="n"/>
      <c r="BTW79" s="498" t="n"/>
      <c r="BTX79" s="498" t="n"/>
      <c r="BTY79" s="498" t="n"/>
      <c r="BTZ79" s="498" t="n"/>
      <c r="BUA79" s="498" t="n"/>
      <c r="BUB79" s="498" t="n"/>
      <c r="BUC79" s="498" t="n"/>
      <c r="BUD79" s="498" t="n"/>
      <c r="BUE79" s="498" t="n"/>
      <c r="BUF79" s="498" t="n"/>
      <c r="BUG79" s="498" t="n"/>
      <c r="BUH79" s="498" t="n"/>
      <c r="BUI79" s="498" t="n"/>
      <c r="BUJ79" s="498" t="n"/>
      <c r="BUK79" s="498" t="n"/>
      <c r="BUL79" s="498" t="n"/>
      <c r="BUM79" s="498" t="n"/>
      <c r="BUN79" s="498" t="n"/>
      <c r="BUO79" s="498" t="n"/>
      <c r="BUP79" s="498" t="n"/>
      <c r="BUQ79" s="498" t="n"/>
      <c r="BUR79" s="498" t="n"/>
      <c r="BUS79" s="498" t="n"/>
      <c r="BUT79" s="498" t="n"/>
      <c r="BUU79" s="498" t="n"/>
      <c r="BUV79" s="498" t="n"/>
      <c r="BUW79" s="498" t="n"/>
      <c r="BUX79" s="498" t="n"/>
      <c r="BUY79" s="498" t="n"/>
      <c r="BUZ79" s="498" t="n"/>
      <c r="BVA79" s="498" t="n"/>
      <c r="BVB79" s="498" t="n"/>
      <c r="BVC79" s="498" t="n"/>
      <c r="BVD79" s="498" t="n"/>
      <c r="BVE79" s="498" t="n"/>
      <c r="BVF79" s="498" t="n"/>
      <c r="BVG79" s="498" t="n"/>
      <c r="BVH79" s="498" t="n"/>
      <c r="BVI79" s="498" t="n"/>
      <c r="BVJ79" s="498" t="n"/>
      <c r="BVK79" s="498" t="n"/>
      <c r="BVL79" s="498" t="n"/>
      <c r="BVM79" s="498" t="n"/>
      <c r="BVN79" s="498" t="n"/>
      <c r="BVO79" s="498" t="n"/>
      <c r="BVP79" s="498" t="n"/>
      <c r="BVQ79" s="498" t="n"/>
      <c r="BVR79" s="498" t="n"/>
      <c r="BVS79" s="498" t="n"/>
      <c r="BVT79" s="498" t="n"/>
      <c r="BVU79" s="498" t="n"/>
      <c r="BVV79" s="498" t="n"/>
      <c r="BVW79" s="498" t="n"/>
      <c r="BVX79" s="498" t="n"/>
      <c r="BVY79" s="498" t="n"/>
      <c r="BVZ79" s="498" t="n"/>
      <c r="BWA79" s="498" t="n"/>
      <c r="BWB79" s="498" t="n"/>
      <c r="BWC79" s="498" t="n"/>
      <c r="BWD79" s="498" t="n"/>
      <c r="BWE79" s="498" t="n"/>
      <c r="BWF79" s="498" t="n"/>
      <c r="BWG79" s="498" t="n"/>
      <c r="BWH79" s="498" t="n"/>
      <c r="BWI79" s="498" t="n"/>
      <c r="BWJ79" s="498" t="n"/>
      <c r="BWK79" s="498" t="n"/>
      <c r="BWL79" s="498" t="n"/>
      <c r="BWM79" s="498" t="n"/>
      <c r="BWN79" s="498" t="n"/>
      <c r="BWO79" s="498" t="n"/>
      <c r="BWP79" s="498" t="n"/>
      <c r="BWQ79" s="498" t="n"/>
      <c r="BWR79" s="498" t="n"/>
      <c r="BWS79" s="498" t="n"/>
      <c r="BWT79" s="498" t="n"/>
      <c r="BWU79" s="498" t="n"/>
      <c r="BWV79" s="498" t="n"/>
      <c r="BWW79" s="498" t="n"/>
      <c r="BWX79" s="498" t="n"/>
      <c r="BWY79" s="498" t="n"/>
      <c r="BWZ79" s="498" t="n"/>
      <c r="BXA79" s="498" t="n"/>
      <c r="BXB79" s="498" t="n"/>
      <c r="BXC79" s="498" t="n"/>
      <c r="BXD79" s="498" t="n"/>
      <c r="BXE79" s="498" t="n"/>
      <c r="BXF79" s="498" t="n"/>
      <c r="BXG79" s="498" t="n"/>
      <c r="BXH79" s="498" t="n"/>
      <c r="BXI79" s="498" t="n"/>
      <c r="BXJ79" s="498" t="n"/>
      <c r="BXK79" s="498" t="n"/>
      <c r="BXL79" s="498" t="n"/>
      <c r="BXM79" s="498" t="n"/>
      <c r="BXN79" s="498" t="n"/>
      <c r="BXO79" s="498" t="n"/>
      <c r="BXP79" s="498" t="n"/>
      <c r="BXQ79" s="498" t="n"/>
      <c r="BXR79" s="498" t="n"/>
      <c r="BXS79" s="498" t="n"/>
      <c r="BXT79" s="498" t="n"/>
      <c r="BXU79" s="498" t="n"/>
      <c r="BXV79" s="498" t="n"/>
      <c r="BXW79" s="498" t="n"/>
      <c r="BXX79" s="498" t="n"/>
      <c r="BXY79" s="498" t="n"/>
      <c r="BXZ79" s="498" t="n"/>
      <c r="BYA79" s="498" t="n"/>
      <c r="BYB79" s="498" t="n"/>
      <c r="BYC79" s="498" t="n"/>
      <c r="BYD79" s="498" t="n"/>
      <c r="BYE79" s="498" t="n"/>
      <c r="BYF79" s="498" t="n"/>
      <c r="BYG79" s="498" t="n"/>
      <c r="BYH79" s="498" t="n"/>
      <c r="BYI79" s="498" t="n"/>
      <c r="BYJ79" s="498" t="n"/>
      <c r="BYK79" s="498" t="n"/>
      <c r="BYL79" s="498" t="n"/>
      <c r="BYM79" s="498" t="n"/>
      <c r="BYN79" s="498" t="n"/>
      <c r="BYO79" s="498" t="n"/>
      <c r="BYP79" s="498" t="n"/>
      <c r="BYQ79" s="498" t="n"/>
      <c r="BYR79" s="498" t="n"/>
      <c r="BYS79" s="498" t="n"/>
      <c r="BYT79" s="498" t="n"/>
      <c r="BYU79" s="498" t="n"/>
      <c r="BYV79" s="498" t="n"/>
      <c r="BYW79" s="498" t="n"/>
      <c r="BYX79" s="498" t="n"/>
      <c r="BYY79" s="498" t="n"/>
      <c r="BYZ79" s="498" t="n"/>
      <c r="BZA79" s="498" t="n"/>
      <c r="BZB79" s="498" t="n"/>
      <c r="BZC79" s="498" t="n"/>
      <c r="BZD79" s="498" t="n"/>
      <c r="BZE79" s="498" t="n"/>
      <c r="BZF79" s="498" t="n"/>
      <c r="BZG79" s="498" t="n"/>
      <c r="BZH79" s="498" t="n"/>
      <c r="BZI79" s="498" t="n"/>
      <c r="BZJ79" s="498" t="n"/>
      <c r="BZK79" s="498" t="n"/>
      <c r="BZL79" s="498" t="n"/>
      <c r="BZM79" s="498" t="n"/>
      <c r="BZN79" s="498" t="n"/>
      <c r="BZO79" s="498" t="n"/>
      <c r="BZP79" s="498" t="n"/>
      <c r="BZQ79" s="498" t="n"/>
      <c r="BZR79" s="498" t="n"/>
      <c r="BZS79" s="498" t="n"/>
      <c r="BZT79" s="498" t="n"/>
      <c r="BZU79" s="498" t="n"/>
      <c r="BZV79" s="498" t="n"/>
      <c r="BZW79" s="498" t="n"/>
      <c r="BZX79" s="498" t="n"/>
      <c r="BZY79" s="498" t="n"/>
      <c r="BZZ79" s="498" t="n"/>
      <c r="CAA79" s="498" t="n"/>
      <c r="CAB79" s="498" t="n"/>
      <c r="CAC79" s="498" t="n"/>
      <c r="CAD79" s="498" t="n"/>
      <c r="CAE79" s="498" t="n"/>
      <c r="CAF79" s="498" t="n"/>
      <c r="CAG79" s="498" t="n"/>
      <c r="CAH79" s="498" t="n"/>
      <c r="CAI79" s="498" t="n"/>
      <c r="CAJ79" s="498" t="n"/>
      <c r="CAK79" s="498" t="n"/>
      <c r="CAL79" s="498" t="n"/>
      <c r="CAM79" s="498" t="n"/>
      <c r="CAN79" s="498" t="n"/>
      <c r="CAO79" s="498" t="n"/>
      <c r="CAP79" s="498" t="n"/>
      <c r="CAQ79" s="498" t="n"/>
      <c r="CAR79" s="498" t="n"/>
      <c r="CAS79" s="498" t="n"/>
      <c r="CAT79" s="498" t="n"/>
      <c r="CAU79" s="498" t="n"/>
      <c r="CAV79" s="498" t="n"/>
      <c r="CAW79" s="498" t="n"/>
      <c r="CAX79" s="498" t="n"/>
      <c r="CAY79" s="498" t="n"/>
      <c r="CAZ79" s="498" t="n"/>
      <c r="CBA79" s="498" t="n"/>
      <c r="CBB79" s="498" t="n"/>
      <c r="CBC79" s="498" t="n"/>
      <c r="CBD79" s="498" t="n"/>
      <c r="CBE79" s="498" t="n"/>
      <c r="CBF79" s="498" t="n"/>
      <c r="CBG79" s="498" t="n"/>
      <c r="CBH79" s="498" t="n"/>
      <c r="CBI79" s="498" t="n"/>
      <c r="CBJ79" s="498" t="n"/>
      <c r="CBK79" s="498" t="n"/>
      <c r="CBL79" s="498" t="n"/>
      <c r="CBM79" s="498" t="n"/>
      <c r="CBN79" s="498" t="n"/>
      <c r="CBO79" s="498" t="n"/>
      <c r="CBP79" s="498" t="n"/>
      <c r="CBQ79" s="498" t="n"/>
      <c r="CBR79" s="498" t="n"/>
      <c r="CBS79" s="498" t="n"/>
      <c r="CBT79" s="498" t="n"/>
      <c r="CBU79" s="498" t="n"/>
      <c r="CBV79" s="498" t="n"/>
      <c r="CBW79" s="498" t="n"/>
      <c r="CBX79" s="498" t="n"/>
      <c r="CBY79" s="498" t="n"/>
      <c r="CBZ79" s="498" t="n"/>
      <c r="CCA79" s="498" t="n"/>
      <c r="CCB79" s="498" t="n"/>
      <c r="CCC79" s="498" t="n"/>
      <c r="CCD79" s="498" t="n"/>
      <c r="CCE79" s="498" t="n"/>
      <c r="CCF79" s="498" t="n"/>
      <c r="CCG79" s="498" t="n"/>
      <c r="CCH79" s="498" t="n"/>
      <c r="CCI79" s="498" t="n"/>
      <c r="CCJ79" s="498" t="n"/>
      <c r="CCK79" s="498" t="n"/>
      <c r="CCL79" s="498" t="n"/>
      <c r="CCM79" s="498" t="n"/>
      <c r="CCN79" s="498" t="n"/>
      <c r="CCO79" s="498" t="n"/>
      <c r="CCP79" s="498" t="n"/>
      <c r="CCQ79" s="498" t="n"/>
      <c r="CCR79" s="498" t="n"/>
      <c r="CCS79" s="498" t="n"/>
      <c r="CCT79" s="498" t="n"/>
      <c r="CCU79" s="498" t="n"/>
      <c r="CCV79" s="498" t="n"/>
      <c r="CCW79" s="498" t="n"/>
      <c r="CCX79" s="498" t="n"/>
      <c r="CCY79" s="498" t="n"/>
      <c r="CCZ79" s="498" t="n"/>
      <c r="CDA79" s="498" t="n"/>
      <c r="CDB79" s="498" t="n"/>
      <c r="CDC79" s="498" t="n"/>
      <c r="CDD79" s="498" t="n"/>
      <c r="CDE79" s="498" t="n"/>
      <c r="CDF79" s="498" t="n"/>
      <c r="CDG79" s="498" t="n"/>
      <c r="CDH79" s="498" t="n"/>
      <c r="CDI79" s="498" t="n"/>
      <c r="CDJ79" s="498" t="n"/>
      <c r="CDK79" s="498" t="n"/>
      <c r="CDL79" s="498" t="n"/>
      <c r="CDM79" s="498" t="n"/>
      <c r="CDN79" s="498" t="n"/>
      <c r="CDO79" s="498" t="n"/>
      <c r="CDP79" s="498" t="n"/>
      <c r="CDQ79" s="498" t="n"/>
      <c r="CDR79" s="498" t="n"/>
      <c r="CDS79" s="498" t="n"/>
      <c r="CDT79" s="498" t="n"/>
      <c r="CDU79" s="498" t="n"/>
      <c r="CDV79" s="498" t="n"/>
      <c r="CDW79" s="498" t="n"/>
      <c r="CDX79" s="498" t="n"/>
      <c r="CDY79" s="498" t="n"/>
      <c r="CDZ79" s="498" t="n"/>
      <c r="CEA79" s="498" t="n"/>
      <c r="CEB79" s="498" t="n"/>
      <c r="CEC79" s="498" t="n"/>
      <c r="CED79" s="498" t="n"/>
      <c r="CEE79" s="498" t="n"/>
      <c r="CEF79" s="498" t="n"/>
      <c r="CEG79" s="498" t="n"/>
      <c r="CEH79" s="498" t="n"/>
      <c r="CEI79" s="498" t="n"/>
      <c r="CEJ79" s="498" t="n"/>
      <c r="CEK79" s="498" t="n"/>
      <c r="CEL79" s="498" t="n"/>
      <c r="CEM79" s="498" t="n"/>
      <c r="CEN79" s="498" t="n"/>
      <c r="CEO79" s="498" t="n"/>
      <c r="CEP79" s="498" t="n"/>
      <c r="CEQ79" s="498" t="n"/>
      <c r="CER79" s="498" t="n"/>
      <c r="CES79" s="498" t="n"/>
      <c r="CET79" s="498" t="n"/>
      <c r="CEU79" s="498" t="n"/>
      <c r="CEV79" s="498" t="n"/>
      <c r="CEW79" s="498" t="n"/>
      <c r="CEX79" s="498" t="n"/>
      <c r="CEY79" s="498" t="n"/>
      <c r="CEZ79" s="498" t="n"/>
      <c r="CFA79" s="498" t="n"/>
      <c r="CFB79" s="498" t="n"/>
      <c r="CFC79" s="498" t="n"/>
      <c r="CFD79" s="498" t="n"/>
      <c r="CFE79" s="498" t="n"/>
      <c r="CFF79" s="498" t="n"/>
      <c r="CFG79" s="498" t="n"/>
      <c r="CFH79" s="498" t="n"/>
      <c r="CFI79" s="498" t="n"/>
      <c r="CFJ79" s="498" t="n"/>
      <c r="CFK79" s="498" t="n"/>
      <c r="CFL79" s="498" t="n"/>
      <c r="CFM79" s="498" t="n"/>
      <c r="CFN79" s="498" t="n"/>
      <c r="CFO79" s="498" t="n"/>
      <c r="CFP79" s="498" t="n"/>
      <c r="CFQ79" s="498" t="n"/>
      <c r="CFR79" s="498" t="n"/>
      <c r="CFS79" s="498" t="n"/>
      <c r="CFT79" s="498" t="n"/>
      <c r="CFU79" s="498" t="n"/>
      <c r="CFV79" s="498" t="n"/>
      <c r="CFW79" s="498" t="n"/>
      <c r="CFX79" s="498" t="n"/>
      <c r="CFY79" s="498" t="n"/>
      <c r="CFZ79" s="498" t="n"/>
      <c r="CGA79" s="498" t="n"/>
      <c r="CGB79" s="498" t="n"/>
      <c r="CGC79" s="498" t="n"/>
      <c r="CGD79" s="498" t="n"/>
      <c r="CGE79" s="498" t="n"/>
      <c r="CGF79" s="498" t="n"/>
      <c r="CGG79" s="498" t="n"/>
      <c r="CGH79" s="498" t="n"/>
      <c r="CGI79" s="498" t="n"/>
      <c r="CGJ79" s="498" t="n"/>
      <c r="CGK79" s="498" t="n"/>
      <c r="CGL79" s="498" t="n"/>
      <c r="CGM79" s="498" t="n"/>
      <c r="CGN79" s="498" t="n"/>
      <c r="CGO79" s="498" t="n"/>
      <c r="CGP79" s="498" t="n"/>
      <c r="CGQ79" s="498" t="n"/>
      <c r="CGR79" s="498" t="n"/>
      <c r="CGS79" s="498" t="n"/>
      <c r="CGT79" s="498" t="n"/>
      <c r="CGU79" s="498" t="n"/>
      <c r="CGV79" s="498" t="n"/>
      <c r="CGW79" s="498" t="n"/>
      <c r="CGX79" s="498" t="n"/>
      <c r="CGY79" s="498" t="n"/>
      <c r="CGZ79" s="498" t="n"/>
      <c r="CHA79" s="498" t="n"/>
      <c r="CHB79" s="498" t="n"/>
      <c r="CHC79" s="498" t="n"/>
      <c r="CHD79" s="498" t="n"/>
      <c r="CHE79" s="498" t="n"/>
      <c r="CHF79" s="498" t="n"/>
      <c r="CHG79" s="498" t="n"/>
      <c r="CHH79" s="498" t="n"/>
      <c r="CHI79" s="498" t="n"/>
      <c r="CHJ79" s="498" t="n"/>
      <c r="CHK79" s="498" t="n"/>
      <c r="CHL79" s="498" t="n"/>
      <c r="CHM79" s="498" t="n"/>
      <c r="CHN79" s="498" t="n"/>
      <c r="CHO79" s="498" t="n"/>
      <c r="CHP79" s="498" t="n"/>
      <c r="CHQ79" s="498" t="n"/>
      <c r="CHR79" s="498" t="n"/>
      <c r="CHS79" s="498" t="n"/>
      <c r="CHT79" s="498" t="n"/>
      <c r="CHU79" s="498" t="n"/>
      <c r="CHV79" s="498" t="n"/>
      <c r="CHW79" s="498" t="n"/>
      <c r="CHX79" s="498" t="n"/>
      <c r="CHY79" s="498" t="n"/>
      <c r="CHZ79" s="498" t="n"/>
      <c r="CIA79" s="498" t="n"/>
      <c r="CIB79" s="498" t="n"/>
      <c r="CIC79" s="498" t="n"/>
      <c r="CID79" s="498" t="n"/>
      <c r="CIE79" s="498" t="n"/>
      <c r="CIF79" s="498" t="n"/>
      <c r="CIG79" s="498" t="n"/>
      <c r="CIH79" s="498" t="n"/>
      <c r="CII79" s="498" t="n"/>
      <c r="CIJ79" s="498" t="n"/>
      <c r="CIK79" s="498" t="n"/>
      <c r="CIL79" s="498" t="n"/>
      <c r="CIM79" s="498" t="n"/>
      <c r="CIN79" s="498" t="n"/>
      <c r="CIO79" s="498" t="n"/>
      <c r="CIP79" s="498" t="n"/>
      <c r="CIQ79" s="498" t="n"/>
      <c r="CIR79" s="498" t="n"/>
      <c r="CIS79" s="498" t="n"/>
      <c r="CIT79" s="498" t="n"/>
      <c r="CIU79" s="498" t="n"/>
      <c r="CIV79" s="498" t="n"/>
      <c r="CIW79" s="498" t="n"/>
      <c r="CIX79" s="498" t="n"/>
      <c r="CIY79" s="498" t="n"/>
      <c r="CIZ79" s="498" t="n"/>
      <c r="CJA79" s="498" t="n"/>
      <c r="CJB79" s="498" t="n"/>
      <c r="CJC79" s="498" t="n"/>
      <c r="CJD79" s="498" t="n"/>
      <c r="CJE79" s="498" t="n"/>
      <c r="CJF79" s="498" t="n"/>
      <c r="CJG79" s="498" t="n"/>
      <c r="CJH79" s="498" t="n"/>
      <c r="CJI79" s="498" t="n"/>
      <c r="CJJ79" s="498" t="n"/>
      <c r="CJK79" s="498" t="n"/>
      <c r="CJL79" s="498" t="n"/>
      <c r="CJM79" s="498" t="n"/>
      <c r="CJN79" s="498" t="n"/>
      <c r="CJO79" s="498" t="n"/>
      <c r="CJP79" s="498" t="n"/>
      <c r="CJQ79" s="498" t="n"/>
      <c r="CJR79" s="498" t="n"/>
      <c r="CJS79" s="498" t="n"/>
      <c r="CJT79" s="498" t="n"/>
      <c r="CJU79" s="498" t="n"/>
      <c r="CJV79" s="498" t="n"/>
      <c r="CJW79" s="498" t="n"/>
      <c r="CJX79" s="498" t="n"/>
      <c r="CJY79" s="498" t="n"/>
      <c r="CJZ79" s="498" t="n"/>
      <c r="CKA79" s="498" t="n"/>
      <c r="CKB79" s="498" t="n"/>
      <c r="CKC79" s="498" t="n"/>
      <c r="CKD79" s="498" t="n"/>
      <c r="CKE79" s="498" t="n"/>
      <c r="CKF79" s="498" t="n"/>
      <c r="CKG79" s="498" t="n"/>
      <c r="CKH79" s="498" t="n"/>
      <c r="CKI79" s="498" t="n"/>
      <c r="CKJ79" s="498" t="n"/>
      <c r="CKK79" s="498" t="n"/>
      <c r="CKL79" s="498" t="n"/>
      <c r="CKM79" s="498" t="n"/>
      <c r="CKN79" s="498" t="n"/>
      <c r="CKO79" s="498" t="n"/>
      <c r="CKP79" s="498" t="n"/>
      <c r="CKQ79" s="498" t="n"/>
      <c r="CKR79" s="498" t="n"/>
      <c r="CKS79" s="498" t="n"/>
      <c r="CKT79" s="498" t="n"/>
      <c r="CKU79" s="498" t="n"/>
      <c r="CKV79" s="498" t="n"/>
      <c r="CKW79" s="498" t="n"/>
      <c r="CKX79" s="498" t="n"/>
      <c r="CKY79" s="498" t="n"/>
      <c r="CKZ79" s="498" t="n"/>
      <c r="CLA79" s="498" t="n"/>
      <c r="CLB79" s="498" t="n"/>
      <c r="CLC79" s="498" t="n"/>
      <c r="CLD79" s="498" t="n"/>
      <c r="CLE79" s="498" t="n"/>
      <c r="CLF79" s="498" t="n"/>
      <c r="CLG79" s="498" t="n"/>
      <c r="CLH79" s="498" t="n"/>
      <c r="CLI79" s="498" t="n"/>
      <c r="CLJ79" s="498" t="n"/>
      <c r="CLK79" s="498" t="n"/>
      <c r="CLL79" s="498" t="n"/>
      <c r="CLM79" s="498" t="n"/>
      <c r="CLN79" s="498" t="n"/>
      <c r="CLO79" s="498" t="n"/>
      <c r="CLP79" s="498" t="n"/>
      <c r="CLQ79" s="498" t="n"/>
      <c r="CLR79" s="498" t="n"/>
      <c r="CLS79" s="498" t="n"/>
      <c r="CLT79" s="498" t="n"/>
      <c r="CLU79" s="498" t="n"/>
      <c r="CLV79" s="498" t="n"/>
      <c r="CLW79" s="498" t="n"/>
      <c r="CLX79" s="498" t="n"/>
      <c r="CLY79" s="498" t="n"/>
      <c r="CLZ79" s="498" t="n"/>
      <c r="CMA79" s="498" t="n"/>
      <c r="CMB79" s="498" t="n"/>
      <c r="CMC79" s="498" t="n"/>
      <c r="CMD79" s="498" t="n"/>
      <c r="CME79" s="498" t="n"/>
      <c r="CMF79" s="498" t="n"/>
      <c r="CMG79" s="498" t="n"/>
      <c r="CMH79" s="498" t="n"/>
      <c r="CMI79" s="498" t="n"/>
      <c r="CMJ79" s="498" t="n"/>
      <c r="CMK79" s="498" t="n"/>
      <c r="CML79" s="498" t="n"/>
      <c r="CMM79" s="498" t="n"/>
      <c r="CMN79" s="498" t="n"/>
      <c r="CMO79" s="498" t="n"/>
      <c r="CMP79" s="498" t="n"/>
      <c r="CMQ79" s="498" t="n"/>
      <c r="CMR79" s="498" t="n"/>
      <c r="CMS79" s="498" t="n"/>
      <c r="CMT79" s="498" t="n"/>
      <c r="CMU79" s="498" t="n"/>
      <c r="CMV79" s="498" t="n"/>
      <c r="CMW79" s="498" t="n"/>
      <c r="CMX79" s="498" t="n"/>
      <c r="CMY79" s="498" t="n"/>
      <c r="CMZ79" s="498" t="n"/>
      <c r="CNA79" s="498" t="n"/>
      <c r="CNB79" s="498" t="n"/>
      <c r="CNC79" s="498" t="n"/>
      <c r="CND79" s="498" t="n"/>
      <c r="CNE79" s="498" t="n"/>
      <c r="CNF79" s="498" t="n"/>
      <c r="CNG79" s="498" t="n"/>
      <c r="CNH79" s="498" t="n"/>
      <c r="CNI79" s="498" t="n"/>
      <c r="CNJ79" s="498" t="n"/>
      <c r="CNK79" s="498" t="n"/>
      <c r="CNL79" s="498" t="n"/>
      <c r="CNM79" s="498" t="n"/>
      <c r="CNN79" s="498" t="n"/>
      <c r="CNO79" s="498" t="n"/>
      <c r="CNP79" s="498" t="n"/>
      <c r="CNQ79" s="498" t="n"/>
      <c r="CNR79" s="498" t="n"/>
      <c r="CNS79" s="498" t="n"/>
      <c r="CNT79" s="498" t="n"/>
      <c r="CNU79" s="498" t="n"/>
      <c r="CNV79" s="498" t="n"/>
      <c r="CNW79" s="498" t="n"/>
      <c r="CNX79" s="498" t="n"/>
      <c r="CNY79" s="498" t="n"/>
      <c r="CNZ79" s="498" t="n"/>
      <c r="COA79" s="498" t="n"/>
      <c r="COB79" s="498" t="n"/>
      <c r="COC79" s="498" t="n"/>
      <c r="COD79" s="498" t="n"/>
      <c r="COE79" s="498" t="n"/>
      <c r="COF79" s="498" t="n"/>
      <c r="COG79" s="498" t="n"/>
      <c r="COH79" s="498" t="n"/>
      <c r="COI79" s="498" t="n"/>
      <c r="COJ79" s="498" t="n"/>
      <c r="COK79" s="498" t="n"/>
      <c r="COL79" s="498" t="n"/>
      <c r="COM79" s="498" t="n"/>
      <c r="CON79" s="498" t="n"/>
      <c r="COO79" s="498" t="n"/>
      <c r="COP79" s="498" t="n"/>
      <c r="COQ79" s="498" t="n"/>
      <c r="COR79" s="498" t="n"/>
      <c r="COS79" s="498" t="n"/>
      <c r="COT79" s="498" t="n"/>
      <c r="COU79" s="498" t="n"/>
      <c r="COV79" s="498" t="n"/>
      <c r="COW79" s="498" t="n"/>
      <c r="COX79" s="498" t="n"/>
      <c r="COY79" s="498" t="n"/>
      <c r="COZ79" s="498" t="n"/>
      <c r="CPA79" s="498" t="n"/>
      <c r="CPB79" s="498" t="n"/>
      <c r="CPC79" s="498" t="n"/>
      <c r="CPD79" s="498" t="n"/>
      <c r="CPE79" s="498" t="n"/>
      <c r="CPF79" s="498" t="n"/>
      <c r="CPG79" s="498" t="n"/>
      <c r="CPH79" s="498" t="n"/>
      <c r="CPI79" s="498" t="n"/>
      <c r="CPJ79" s="498" t="n"/>
      <c r="CPK79" s="498" t="n"/>
      <c r="CPL79" s="498" t="n"/>
      <c r="CPM79" s="498" t="n"/>
      <c r="CPN79" s="498" t="n"/>
      <c r="CPO79" s="498" t="n"/>
      <c r="CPP79" s="498" t="n"/>
      <c r="CPQ79" s="498" t="n"/>
      <c r="CPR79" s="498" t="n"/>
      <c r="CPS79" s="498" t="n"/>
      <c r="CPT79" s="498" t="n"/>
      <c r="CPU79" s="498" t="n"/>
      <c r="CPV79" s="498" t="n"/>
      <c r="CPW79" s="498" t="n"/>
      <c r="CPX79" s="498" t="n"/>
      <c r="CPY79" s="498" t="n"/>
      <c r="CPZ79" s="498" t="n"/>
      <c r="CQA79" s="498" t="n"/>
      <c r="CQB79" s="498" t="n"/>
      <c r="CQC79" s="498" t="n"/>
      <c r="CQD79" s="498" t="n"/>
      <c r="CQE79" s="498" t="n"/>
      <c r="CQF79" s="498" t="n"/>
      <c r="CQG79" s="498" t="n"/>
      <c r="CQH79" s="498" t="n"/>
      <c r="CQI79" s="498" t="n"/>
      <c r="CQJ79" s="498" t="n"/>
      <c r="CQK79" s="498" t="n"/>
      <c r="CQL79" s="498" t="n"/>
      <c r="CQM79" s="498" t="n"/>
      <c r="CQN79" s="498" t="n"/>
      <c r="CQO79" s="498" t="n"/>
      <c r="CQP79" s="498" t="n"/>
      <c r="CQQ79" s="498" t="n"/>
      <c r="CQR79" s="498" t="n"/>
      <c r="CQS79" s="498" t="n"/>
      <c r="CQT79" s="498" t="n"/>
      <c r="CQU79" s="498" t="n"/>
      <c r="CQV79" s="498" t="n"/>
      <c r="CQW79" s="498" t="n"/>
      <c r="CQX79" s="498" t="n"/>
      <c r="CQY79" s="498" t="n"/>
      <c r="CQZ79" s="498" t="n"/>
      <c r="CRA79" s="498" t="n"/>
      <c r="CRB79" s="498" t="n"/>
      <c r="CRC79" s="498" t="n"/>
      <c r="CRD79" s="498" t="n"/>
      <c r="CRE79" s="498" t="n"/>
      <c r="CRF79" s="498" t="n"/>
      <c r="CRG79" s="498" t="n"/>
      <c r="CRH79" s="498" t="n"/>
      <c r="CRI79" s="498" t="n"/>
      <c r="CRJ79" s="498" t="n"/>
      <c r="CRK79" s="498" t="n"/>
      <c r="CRL79" s="498" t="n"/>
      <c r="CRM79" s="498" t="n"/>
      <c r="CRN79" s="498" t="n"/>
      <c r="CRO79" s="498" t="n"/>
      <c r="CRP79" s="498" t="n"/>
      <c r="CRQ79" s="498" t="n"/>
      <c r="CRR79" s="498" t="n"/>
      <c r="CRS79" s="498" t="n"/>
      <c r="CRT79" s="498" t="n"/>
      <c r="CRU79" s="498" t="n"/>
      <c r="CRV79" s="498" t="n"/>
      <c r="CRW79" s="498" t="n"/>
      <c r="CRX79" s="498" t="n"/>
      <c r="CRY79" s="498" t="n"/>
      <c r="CRZ79" s="498" t="n"/>
      <c r="CSA79" s="498" t="n"/>
      <c r="CSB79" s="498" t="n"/>
      <c r="CSC79" s="498" t="n"/>
      <c r="CSD79" s="498" t="n"/>
      <c r="CSE79" s="498" t="n"/>
      <c r="CSF79" s="498" t="n"/>
      <c r="CSG79" s="498" t="n"/>
      <c r="CSH79" s="498" t="n"/>
      <c r="CSI79" s="498" t="n"/>
      <c r="CSJ79" s="498" t="n"/>
      <c r="CSK79" s="498" t="n"/>
      <c r="CSL79" s="498" t="n"/>
      <c r="CSM79" s="498" t="n"/>
      <c r="CSN79" s="498" t="n"/>
      <c r="CSO79" s="498" t="n"/>
      <c r="CSP79" s="498" t="n"/>
      <c r="CSQ79" s="498" t="n"/>
      <c r="CSR79" s="498" t="n"/>
      <c r="CSS79" s="498" t="n"/>
      <c r="CST79" s="498" t="n"/>
      <c r="CSU79" s="498" t="n"/>
      <c r="CSV79" s="498" t="n"/>
      <c r="CSW79" s="498" t="n"/>
      <c r="CSX79" s="498" t="n"/>
      <c r="CSY79" s="498" t="n"/>
      <c r="CSZ79" s="498" t="n"/>
      <c r="CTA79" s="498" t="n"/>
      <c r="CTB79" s="498" t="n"/>
      <c r="CTC79" s="498" t="n"/>
      <c r="CTD79" s="498" t="n"/>
      <c r="CTE79" s="498" t="n"/>
      <c r="CTF79" s="498" t="n"/>
      <c r="CTG79" s="498" t="n"/>
      <c r="CTH79" s="498" t="n"/>
      <c r="CTI79" s="498" t="n"/>
      <c r="CTJ79" s="498" t="n"/>
      <c r="CTK79" s="498" t="n"/>
      <c r="CTL79" s="498" t="n"/>
      <c r="CTM79" s="498" t="n"/>
      <c r="CTN79" s="498" t="n"/>
      <c r="CTO79" s="498" t="n"/>
      <c r="CTP79" s="498" t="n"/>
      <c r="CTQ79" s="498" t="n"/>
      <c r="CTR79" s="498" t="n"/>
      <c r="CTS79" s="498" t="n"/>
      <c r="CTT79" s="498" t="n"/>
      <c r="CTU79" s="498" t="n"/>
      <c r="CTV79" s="498" t="n"/>
      <c r="CTW79" s="498" t="n"/>
      <c r="CTX79" s="498" t="n"/>
      <c r="CTY79" s="498" t="n"/>
      <c r="CTZ79" s="498" t="n"/>
      <c r="CUA79" s="498" t="n"/>
      <c r="CUB79" s="498" t="n"/>
      <c r="CUC79" s="498" t="n"/>
      <c r="CUD79" s="498" t="n"/>
      <c r="CUE79" s="498" t="n"/>
      <c r="CUF79" s="498" t="n"/>
      <c r="CUG79" s="498" t="n"/>
      <c r="CUH79" s="498" t="n"/>
      <c r="CUI79" s="498" t="n"/>
      <c r="CUJ79" s="498" t="n"/>
      <c r="CUK79" s="498" t="n"/>
      <c r="CUL79" s="498" t="n"/>
      <c r="CUM79" s="498" t="n"/>
      <c r="CUN79" s="498" t="n"/>
      <c r="CUO79" s="498" t="n"/>
      <c r="CUP79" s="498" t="n"/>
      <c r="CUQ79" s="498" t="n"/>
      <c r="CUR79" s="498" t="n"/>
      <c r="CUS79" s="498" t="n"/>
      <c r="CUT79" s="498" t="n"/>
      <c r="CUU79" s="498" t="n"/>
      <c r="CUV79" s="498" t="n"/>
      <c r="CUW79" s="498" t="n"/>
      <c r="CUX79" s="498" t="n"/>
      <c r="CUY79" s="498" t="n"/>
      <c r="CUZ79" s="498" t="n"/>
      <c r="CVA79" s="498" t="n"/>
      <c r="CVB79" s="498" t="n"/>
      <c r="CVC79" s="498" t="n"/>
      <c r="CVD79" s="498" t="n"/>
      <c r="CVE79" s="498" t="n"/>
      <c r="CVF79" s="498" t="n"/>
      <c r="CVG79" s="498" t="n"/>
      <c r="CVH79" s="498" t="n"/>
      <c r="CVI79" s="498" t="n"/>
      <c r="CVJ79" s="498" t="n"/>
      <c r="CVK79" s="498" t="n"/>
      <c r="CVL79" s="498" t="n"/>
      <c r="CVM79" s="498" t="n"/>
      <c r="CVN79" s="498" t="n"/>
      <c r="CVO79" s="498" t="n"/>
      <c r="CVP79" s="498" t="n"/>
      <c r="CVQ79" s="498" t="n"/>
      <c r="CVR79" s="498" t="n"/>
      <c r="CVS79" s="498" t="n"/>
      <c r="CVT79" s="498" t="n"/>
      <c r="CVU79" s="498" t="n"/>
      <c r="CVV79" s="498" t="n"/>
      <c r="CVW79" s="498" t="n"/>
      <c r="CVX79" s="498" t="n"/>
      <c r="CVY79" s="498" t="n"/>
      <c r="CVZ79" s="498" t="n"/>
      <c r="CWA79" s="498" t="n"/>
      <c r="CWB79" s="498" t="n"/>
      <c r="CWC79" s="498" t="n"/>
      <c r="CWD79" s="498" t="n"/>
      <c r="CWE79" s="498" t="n"/>
      <c r="CWF79" s="498" t="n"/>
      <c r="CWG79" s="498" t="n"/>
      <c r="CWH79" s="498" t="n"/>
      <c r="CWI79" s="498" t="n"/>
      <c r="CWJ79" s="498" t="n"/>
      <c r="CWK79" s="498" t="n"/>
      <c r="CWL79" s="498" t="n"/>
      <c r="CWM79" s="498" t="n"/>
      <c r="CWN79" s="498" t="n"/>
      <c r="CWO79" s="498" t="n"/>
      <c r="CWP79" s="498" t="n"/>
      <c r="CWQ79" s="498" t="n"/>
      <c r="CWR79" s="498" t="n"/>
      <c r="CWS79" s="498" t="n"/>
      <c r="CWT79" s="498" t="n"/>
      <c r="CWU79" s="498" t="n"/>
      <c r="CWV79" s="498" t="n"/>
      <c r="CWW79" s="498" t="n"/>
      <c r="CWX79" s="498" t="n"/>
      <c r="CWY79" s="498" t="n"/>
      <c r="CWZ79" s="498" t="n"/>
      <c r="CXA79" s="498" t="n"/>
      <c r="CXB79" s="498" t="n"/>
      <c r="CXC79" s="498" t="n"/>
      <c r="CXD79" s="498" t="n"/>
      <c r="CXE79" s="498" t="n"/>
      <c r="CXF79" s="498" t="n"/>
      <c r="CXG79" s="498" t="n"/>
      <c r="CXH79" s="498" t="n"/>
      <c r="CXI79" s="498" t="n"/>
      <c r="CXJ79" s="498" t="n"/>
      <c r="CXK79" s="498" t="n"/>
      <c r="CXL79" s="498" t="n"/>
      <c r="CXM79" s="498" t="n"/>
      <c r="CXN79" s="498" t="n"/>
      <c r="CXO79" s="498" t="n"/>
      <c r="CXP79" s="498" t="n"/>
      <c r="CXQ79" s="498" t="n"/>
      <c r="CXR79" s="498" t="n"/>
      <c r="CXS79" s="498" t="n"/>
      <c r="CXT79" s="498" t="n"/>
      <c r="CXU79" s="498" t="n"/>
      <c r="CXV79" s="498" t="n"/>
      <c r="CXW79" s="498" t="n"/>
      <c r="CXX79" s="498" t="n"/>
      <c r="CXY79" s="498" t="n"/>
      <c r="CXZ79" s="498" t="n"/>
      <c r="CYA79" s="498" t="n"/>
      <c r="CYB79" s="498" t="n"/>
      <c r="CYC79" s="498" t="n"/>
      <c r="CYD79" s="498" t="n"/>
      <c r="CYE79" s="498" t="n"/>
      <c r="CYF79" s="498" t="n"/>
      <c r="CYG79" s="498" t="n"/>
      <c r="CYH79" s="498" t="n"/>
      <c r="CYI79" s="498" t="n"/>
      <c r="CYJ79" s="498" t="n"/>
      <c r="CYK79" s="498" t="n"/>
      <c r="CYL79" s="498" t="n"/>
      <c r="CYM79" s="498" t="n"/>
      <c r="CYN79" s="498" t="n"/>
      <c r="CYO79" s="498" t="n"/>
      <c r="CYP79" s="498" t="n"/>
      <c r="CYQ79" s="498" t="n"/>
      <c r="CYR79" s="498" t="n"/>
      <c r="CYS79" s="498" t="n"/>
      <c r="CYT79" s="498" t="n"/>
      <c r="CYU79" s="498" t="n"/>
      <c r="CYV79" s="498" t="n"/>
      <c r="CYW79" s="498" t="n"/>
      <c r="CYX79" s="498" t="n"/>
      <c r="CYY79" s="498" t="n"/>
      <c r="CYZ79" s="498" t="n"/>
      <c r="CZA79" s="498" t="n"/>
      <c r="CZB79" s="498" t="n"/>
      <c r="CZC79" s="498" t="n"/>
      <c r="CZD79" s="498" t="n"/>
      <c r="CZE79" s="498" t="n"/>
      <c r="CZF79" s="498" t="n"/>
      <c r="CZG79" s="498" t="n"/>
      <c r="CZH79" s="498" t="n"/>
      <c r="CZI79" s="498" t="n"/>
      <c r="CZJ79" s="498" t="n"/>
      <c r="CZK79" s="498" t="n"/>
      <c r="CZL79" s="498" t="n"/>
      <c r="CZM79" s="498" t="n"/>
      <c r="CZN79" s="498" t="n"/>
      <c r="CZO79" s="498" t="n"/>
      <c r="CZP79" s="498" t="n"/>
      <c r="CZQ79" s="498" t="n"/>
      <c r="CZR79" s="498" t="n"/>
      <c r="CZS79" s="498" t="n"/>
      <c r="CZT79" s="498" t="n"/>
      <c r="CZU79" s="498" t="n"/>
      <c r="CZV79" s="498" t="n"/>
      <c r="CZW79" s="498" t="n"/>
      <c r="CZX79" s="498" t="n"/>
      <c r="CZY79" s="498" t="n"/>
      <c r="CZZ79" s="498" t="n"/>
      <c r="DAA79" s="498" t="n"/>
      <c r="DAB79" s="498" t="n"/>
      <c r="DAC79" s="498" t="n"/>
      <c r="DAD79" s="498" t="n"/>
      <c r="DAE79" s="498" t="n"/>
      <c r="DAF79" s="498" t="n"/>
      <c r="DAG79" s="498" t="n"/>
      <c r="DAH79" s="498" t="n"/>
      <c r="DAI79" s="498" t="n"/>
      <c r="DAJ79" s="498" t="n"/>
      <c r="DAK79" s="498" t="n"/>
      <c r="DAL79" s="498" t="n"/>
      <c r="DAM79" s="498" t="n"/>
      <c r="DAN79" s="498" t="n"/>
      <c r="DAO79" s="498" t="n"/>
      <c r="DAP79" s="498" t="n"/>
      <c r="DAQ79" s="498" t="n"/>
      <c r="DAR79" s="498" t="n"/>
      <c r="DAS79" s="498" t="n"/>
      <c r="DAT79" s="498" t="n"/>
      <c r="DAU79" s="498" t="n"/>
      <c r="DAV79" s="498" t="n"/>
      <c r="DAW79" s="498" t="n"/>
      <c r="DAX79" s="498" t="n"/>
      <c r="DAY79" s="498" t="n"/>
      <c r="DAZ79" s="498" t="n"/>
      <c r="DBA79" s="498" t="n"/>
      <c r="DBB79" s="498" t="n"/>
      <c r="DBC79" s="498" t="n"/>
      <c r="DBD79" s="498" t="n"/>
      <c r="DBE79" s="498" t="n"/>
      <c r="DBF79" s="498" t="n"/>
      <c r="DBG79" s="498" t="n"/>
      <c r="DBH79" s="498" t="n"/>
      <c r="DBI79" s="498" t="n"/>
      <c r="DBJ79" s="498" t="n"/>
      <c r="DBK79" s="498" t="n"/>
      <c r="DBL79" s="498" t="n"/>
      <c r="DBM79" s="498" t="n"/>
      <c r="DBN79" s="498" t="n"/>
      <c r="DBO79" s="498" t="n"/>
      <c r="DBP79" s="498" t="n"/>
      <c r="DBQ79" s="498" t="n"/>
      <c r="DBR79" s="498" t="n"/>
      <c r="DBS79" s="498" t="n"/>
      <c r="DBT79" s="498" t="n"/>
      <c r="DBU79" s="498" t="n"/>
      <c r="DBV79" s="498" t="n"/>
      <c r="DBW79" s="498" t="n"/>
      <c r="DBX79" s="498" t="n"/>
      <c r="DBY79" s="498" t="n"/>
      <c r="DBZ79" s="498" t="n"/>
      <c r="DCA79" s="498" t="n"/>
      <c r="DCB79" s="498" t="n"/>
      <c r="DCC79" s="498" t="n"/>
      <c r="DCD79" s="498" t="n"/>
      <c r="DCE79" s="498" t="n"/>
      <c r="DCF79" s="498" t="n"/>
      <c r="DCG79" s="498" t="n"/>
      <c r="DCH79" s="498" t="n"/>
      <c r="DCI79" s="498" t="n"/>
      <c r="DCJ79" s="498" t="n"/>
      <c r="DCK79" s="498" t="n"/>
      <c r="DCL79" s="498" t="n"/>
      <c r="DCM79" s="498" t="n"/>
      <c r="DCN79" s="498" t="n"/>
      <c r="DCO79" s="498" t="n"/>
      <c r="DCP79" s="498" t="n"/>
      <c r="DCQ79" s="498" t="n"/>
      <c r="DCR79" s="498" t="n"/>
      <c r="DCS79" s="498" t="n"/>
      <c r="DCT79" s="498" t="n"/>
      <c r="DCU79" s="498" t="n"/>
      <c r="DCV79" s="498" t="n"/>
      <c r="DCW79" s="498" t="n"/>
      <c r="DCX79" s="498" t="n"/>
      <c r="DCY79" s="498" t="n"/>
      <c r="DCZ79" s="498" t="n"/>
      <c r="DDA79" s="498" t="n"/>
      <c r="DDB79" s="498" t="n"/>
      <c r="DDC79" s="498" t="n"/>
      <c r="DDD79" s="498" t="n"/>
      <c r="DDE79" s="498" t="n"/>
      <c r="DDF79" s="498" t="n"/>
      <c r="DDG79" s="498" t="n"/>
      <c r="DDH79" s="498" t="n"/>
      <c r="DDI79" s="498" t="n"/>
      <c r="DDJ79" s="498" t="n"/>
      <c r="DDK79" s="498" t="n"/>
      <c r="DDL79" s="498" t="n"/>
      <c r="DDM79" s="498" t="n"/>
      <c r="DDN79" s="498" t="n"/>
      <c r="DDO79" s="498" t="n"/>
      <c r="DDP79" s="498" t="n"/>
      <c r="DDQ79" s="498" t="n"/>
      <c r="DDR79" s="498" t="n"/>
      <c r="DDS79" s="498" t="n"/>
      <c r="DDT79" s="498" t="n"/>
      <c r="DDU79" s="498" t="n"/>
      <c r="DDV79" s="498" t="n"/>
      <c r="DDW79" s="498" t="n"/>
      <c r="DDX79" s="498" t="n"/>
      <c r="DDY79" s="498" t="n"/>
      <c r="DDZ79" s="498" t="n"/>
      <c r="DEA79" s="498" t="n"/>
      <c r="DEB79" s="498" t="n"/>
      <c r="DEC79" s="498" t="n"/>
      <c r="DED79" s="498" t="n"/>
      <c r="DEE79" s="498" t="n"/>
      <c r="DEF79" s="498" t="n"/>
      <c r="DEG79" s="498" t="n"/>
      <c r="DEH79" s="498" t="n"/>
      <c r="DEI79" s="498" t="n"/>
      <c r="DEJ79" s="498" t="n"/>
      <c r="DEK79" s="498" t="n"/>
      <c r="DEL79" s="498" t="n"/>
      <c r="DEM79" s="498" t="n"/>
      <c r="DEN79" s="498" t="n"/>
      <c r="DEO79" s="498" t="n"/>
      <c r="DEP79" s="498" t="n"/>
      <c r="DEQ79" s="498" t="n"/>
      <c r="DER79" s="498" t="n"/>
      <c r="DES79" s="498" t="n"/>
      <c r="DET79" s="498" t="n"/>
      <c r="DEU79" s="498" t="n"/>
      <c r="DEV79" s="498" t="n"/>
      <c r="DEW79" s="498" t="n"/>
      <c r="DEX79" s="498" t="n"/>
      <c r="DEY79" s="498" t="n"/>
      <c r="DEZ79" s="498" t="n"/>
      <c r="DFA79" s="498" t="n"/>
      <c r="DFB79" s="498" t="n"/>
      <c r="DFC79" s="498" t="n"/>
      <c r="DFD79" s="498" t="n"/>
      <c r="DFE79" s="498" t="n"/>
      <c r="DFF79" s="498" t="n"/>
      <c r="DFG79" s="498" t="n"/>
      <c r="DFH79" s="498" t="n"/>
      <c r="DFI79" s="498" t="n"/>
      <c r="DFJ79" s="498" t="n"/>
      <c r="DFK79" s="498" t="n"/>
      <c r="DFL79" s="498" t="n"/>
      <c r="DFM79" s="498" t="n"/>
      <c r="DFN79" s="498" t="n"/>
      <c r="DFO79" s="498" t="n"/>
      <c r="DFP79" s="498" t="n"/>
      <c r="DFQ79" s="498" t="n"/>
      <c r="DFR79" s="498" t="n"/>
      <c r="DFS79" s="498" t="n"/>
      <c r="DFT79" s="498" t="n"/>
      <c r="DFU79" s="498" t="n"/>
      <c r="DFV79" s="498" t="n"/>
      <c r="DFW79" s="498" t="n"/>
      <c r="DFX79" s="498" t="n"/>
      <c r="DFY79" s="498" t="n"/>
      <c r="DFZ79" s="498" t="n"/>
      <c r="DGA79" s="498" t="n"/>
      <c r="DGB79" s="498" t="n"/>
      <c r="DGC79" s="498" t="n"/>
      <c r="DGD79" s="498" t="n"/>
      <c r="DGE79" s="498" t="n"/>
      <c r="DGF79" s="498" t="n"/>
      <c r="DGG79" s="498" t="n"/>
      <c r="DGH79" s="498" t="n"/>
      <c r="DGI79" s="498" t="n"/>
      <c r="DGJ79" s="498" t="n"/>
      <c r="DGK79" s="498" t="n"/>
      <c r="DGL79" s="498" t="n"/>
      <c r="DGM79" s="498" t="n"/>
      <c r="DGN79" s="498" t="n"/>
      <c r="DGO79" s="498" t="n"/>
      <c r="DGP79" s="498" t="n"/>
      <c r="DGQ79" s="498" t="n"/>
      <c r="DGR79" s="498" t="n"/>
      <c r="DGS79" s="498" t="n"/>
      <c r="DGT79" s="498" t="n"/>
      <c r="DGU79" s="498" t="n"/>
      <c r="DGV79" s="498" t="n"/>
      <c r="DGW79" s="498" t="n"/>
      <c r="DGX79" s="498" t="n"/>
      <c r="DGY79" s="498" t="n"/>
      <c r="DGZ79" s="498" t="n"/>
      <c r="DHA79" s="498" t="n"/>
      <c r="DHB79" s="498" t="n"/>
      <c r="DHC79" s="498" t="n"/>
      <c r="DHD79" s="498" t="n"/>
      <c r="DHE79" s="498" t="n"/>
      <c r="DHF79" s="498" t="n"/>
      <c r="DHG79" s="498" t="n"/>
      <c r="DHH79" s="498" t="n"/>
      <c r="DHI79" s="498" t="n"/>
      <c r="DHJ79" s="498" t="n"/>
      <c r="DHK79" s="498" t="n"/>
      <c r="DHL79" s="498" t="n"/>
      <c r="DHM79" s="498" t="n"/>
      <c r="DHN79" s="498" t="n"/>
      <c r="DHO79" s="498" t="n"/>
      <c r="DHP79" s="498" t="n"/>
      <c r="DHQ79" s="498" t="n"/>
      <c r="DHR79" s="498" t="n"/>
      <c r="DHS79" s="498" t="n"/>
      <c r="DHT79" s="498" t="n"/>
      <c r="DHU79" s="498" t="n"/>
      <c r="DHV79" s="498" t="n"/>
      <c r="DHW79" s="498" t="n"/>
      <c r="DHX79" s="498" t="n"/>
      <c r="DHY79" s="498" t="n"/>
      <c r="DHZ79" s="498" t="n"/>
      <c r="DIA79" s="498" t="n"/>
      <c r="DIB79" s="498" t="n"/>
      <c r="DIC79" s="498" t="n"/>
      <c r="DID79" s="498" t="n"/>
      <c r="DIE79" s="498" t="n"/>
      <c r="DIF79" s="498" t="n"/>
      <c r="DIG79" s="498" t="n"/>
      <c r="DIH79" s="498" t="n"/>
      <c r="DII79" s="498" t="n"/>
      <c r="DIJ79" s="498" t="n"/>
      <c r="DIK79" s="498" t="n"/>
      <c r="DIL79" s="498" t="n"/>
      <c r="DIM79" s="498" t="n"/>
      <c r="DIN79" s="498" t="n"/>
      <c r="DIO79" s="498" t="n"/>
      <c r="DIP79" s="498" t="n"/>
      <c r="DIQ79" s="498" t="n"/>
      <c r="DIR79" s="498" t="n"/>
      <c r="DIS79" s="498" t="n"/>
      <c r="DIT79" s="498" t="n"/>
      <c r="DIU79" s="498" t="n"/>
      <c r="DIV79" s="498" t="n"/>
      <c r="DIW79" s="498" t="n"/>
      <c r="DIX79" s="498" t="n"/>
      <c r="DIY79" s="498" t="n"/>
      <c r="DIZ79" s="498" t="n"/>
      <c r="DJA79" s="498" t="n"/>
      <c r="DJB79" s="498" t="n"/>
      <c r="DJC79" s="498" t="n"/>
      <c r="DJD79" s="498" t="n"/>
      <c r="DJE79" s="498" t="n"/>
      <c r="DJF79" s="498" t="n"/>
      <c r="DJG79" s="498" t="n"/>
      <c r="DJH79" s="498" t="n"/>
      <c r="DJI79" s="498" t="n"/>
      <c r="DJJ79" s="498" t="n"/>
      <c r="DJK79" s="498" t="n"/>
      <c r="DJL79" s="498" t="n"/>
      <c r="DJM79" s="498" t="n"/>
      <c r="DJN79" s="498" t="n"/>
      <c r="DJO79" s="498" t="n"/>
      <c r="DJP79" s="498" t="n"/>
      <c r="DJQ79" s="498" t="n"/>
      <c r="DJR79" s="498" t="n"/>
      <c r="DJS79" s="498" t="n"/>
      <c r="DJT79" s="498" t="n"/>
      <c r="DJU79" s="498" t="n"/>
      <c r="DJV79" s="498" t="n"/>
      <c r="DJW79" s="498" t="n"/>
      <c r="DJX79" s="498" t="n"/>
      <c r="DJY79" s="498" t="n"/>
      <c r="DJZ79" s="498" t="n"/>
      <c r="DKA79" s="498" t="n"/>
      <c r="DKB79" s="498" t="n"/>
      <c r="DKC79" s="498" t="n"/>
      <c r="DKD79" s="498" t="n"/>
      <c r="DKE79" s="498" t="n"/>
      <c r="DKF79" s="498" t="n"/>
      <c r="DKG79" s="498" t="n"/>
      <c r="DKH79" s="498" t="n"/>
      <c r="DKI79" s="498" t="n"/>
      <c r="DKJ79" s="498" t="n"/>
      <c r="DKK79" s="498" t="n"/>
      <c r="DKL79" s="498" t="n"/>
      <c r="DKM79" s="498" t="n"/>
      <c r="DKN79" s="498" t="n"/>
      <c r="DKO79" s="498" t="n"/>
      <c r="DKP79" s="498" t="n"/>
      <c r="DKQ79" s="498" t="n"/>
      <c r="DKR79" s="498" t="n"/>
      <c r="DKS79" s="498" t="n"/>
      <c r="DKT79" s="498" t="n"/>
      <c r="DKU79" s="498" t="n"/>
      <c r="DKV79" s="498" t="n"/>
      <c r="DKW79" s="498" t="n"/>
      <c r="DKX79" s="498" t="n"/>
      <c r="DKY79" s="498" t="n"/>
      <c r="DKZ79" s="498" t="n"/>
      <c r="DLA79" s="498" t="n"/>
      <c r="DLB79" s="498" t="n"/>
      <c r="DLC79" s="498" t="n"/>
      <c r="DLD79" s="498" t="n"/>
      <c r="DLE79" s="498" t="n"/>
      <c r="DLF79" s="498" t="n"/>
      <c r="DLG79" s="498" t="n"/>
      <c r="DLH79" s="498" t="n"/>
      <c r="DLI79" s="498" t="n"/>
      <c r="DLJ79" s="498" t="n"/>
      <c r="DLK79" s="498" t="n"/>
      <c r="DLL79" s="498" t="n"/>
      <c r="DLM79" s="498" t="n"/>
      <c r="DLN79" s="498" t="n"/>
      <c r="DLO79" s="498" t="n"/>
      <c r="DLP79" s="498" t="n"/>
      <c r="DLQ79" s="498" t="n"/>
      <c r="DLR79" s="498" t="n"/>
      <c r="DLS79" s="498" t="n"/>
      <c r="DLT79" s="498" t="n"/>
      <c r="DLU79" s="498" t="n"/>
      <c r="DLV79" s="498" t="n"/>
      <c r="DLW79" s="498" t="n"/>
      <c r="DLX79" s="498" t="n"/>
      <c r="DLY79" s="498" t="n"/>
      <c r="DLZ79" s="498" t="n"/>
      <c r="DMA79" s="498" t="n"/>
      <c r="DMB79" s="498" t="n"/>
      <c r="DMC79" s="498" t="n"/>
      <c r="DMD79" s="498" t="n"/>
      <c r="DME79" s="498" t="n"/>
      <c r="DMF79" s="498" t="n"/>
      <c r="DMG79" s="498" t="n"/>
      <c r="DMH79" s="498" t="n"/>
      <c r="DMI79" s="498" t="n"/>
      <c r="DMJ79" s="498" t="n"/>
      <c r="DMK79" s="498" t="n"/>
      <c r="DML79" s="498" t="n"/>
      <c r="DMM79" s="498" t="n"/>
      <c r="DMN79" s="498" t="n"/>
      <c r="DMO79" s="498" t="n"/>
      <c r="DMP79" s="498" t="n"/>
      <c r="DMQ79" s="498" t="n"/>
      <c r="DMR79" s="498" t="n"/>
      <c r="DMS79" s="498" t="n"/>
      <c r="DMT79" s="498" t="n"/>
      <c r="DMU79" s="498" t="n"/>
      <c r="DMV79" s="498" t="n"/>
      <c r="DMW79" s="498" t="n"/>
      <c r="DMX79" s="498" t="n"/>
      <c r="DMY79" s="498" t="n"/>
      <c r="DMZ79" s="498" t="n"/>
      <c r="DNA79" s="498" t="n"/>
      <c r="DNB79" s="498" t="n"/>
      <c r="DNC79" s="498" t="n"/>
      <c r="DND79" s="498" t="n"/>
      <c r="DNE79" s="498" t="n"/>
      <c r="DNF79" s="498" t="n"/>
      <c r="DNG79" s="498" t="n"/>
      <c r="DNH79" s="498" t="n"/>
      <c r="DNI79" s="498" t="n"/>
      <c r="DNJ79" s="498" t="n"/>
      <c r="DNK79" s="498" t="n"/>
      <c r="DNL79" s="498" t="n"/>
      <c r="DNM79" s="498" t="n"/>
      <c r="DNN79" s="498" t="n"/>
      <c r="DNO79" s="498" t="n"/>
      <c r="DNP79" s="498" t="n"/>
      <c r="DNQ79" s="498" t="n"/>
      <c r="DNR79" s="498" t="n"/>
      <c r="DNS79" s="498" t="n"/>
      <c r="DNT79" s="498" t="n"/>
      <c r="DNU79" s="498" t="n"/>
      <c r="DNV79" s="498" t="n"/>
      <c r="DNW79" s="498" t="n"/>
      <c r="DNX79" s="498" t="n"/>
      <c r="DNY79" s="498" t="n"/>
      <c r="DNZ79" s="498" t="n"/>
      <c r="DOA79" s="498" t="n"/>
      <c r="DOB79" s="498" t="n"/>
      <c r="DOC79" s="498" t="n"/>
      <c r="DOD79" s="498" t="n"/>
      <c r="DOE79" s="498" t="n"/>
      <c r="DOF79" s="498" t="n"/>
      <c r="DOG79" s="498" t="n"/>
      <c r="DOH79" s="498" t="n"/>
      <c r="DOI79" s="498" t="n"/>
      <c r="DOJ79" s="498" t="n"/>
      <c r="DOK79" s="498" t="n"/>
      <c r="DOL79" s="498" t="n"/>
      <c r="DOM79" s="498" t="n"/>
      <c r="DON79" s="498" t="n"/>
      <c r="DOO79" s="498" t="n"/>
      <c r="DOP79" s="498" t="n"/>
      <c r="DOQ79" s="498" t="n"/>
      <c r="DOR79" s="498" t="n"/>
      <c r="DOS79" s="498" t="n"/>
      <c r="DOT79" s="498" t="n"/>
      <c r="DOU79" s="498" t="n"/>
      <c r="DOV79" s="498" t="n"/>
      <c r="DOW79" s="498" t="n"/>
      <c r="DOX79" s="498" t="n"/>
      <c r="DOY79" s="498" t="n"/>
      <c r="DOZ79" s="498" t="n"/>
      <c r="DPA79" s="498" t="n"/>
      <c r="DPB79" s="498" t="n"/>
      <c r="DPC79" s="498" t="n"/>
      <c r="DPD79" s="498" t="n"/>
      <c r="DPE79" s="498" t="n"/>
      <c r="DPF79" s="498" t="n"/>
      <c r="DPG79" s="498" t="n"/>
      <c r="DPH79" s="498" t="n"/>
      <c r="DPI79" s="498" t="n"/>
      <c r="DPJ79" s="498" t="n"/>
      <c r="DPK79" s="498" t="n"/>
      <c r="DPL79" s="498" t="n"/>
      <c r="DPM79" s="498" t="n"/>
      <c r="DPN79" s="498" t="n"/>
      <c r="DPO79" s="498" t="n"/>
      <c r="DPP79" s="498" t="n"/>
      <c r="DPQ79" s="498" t="n"/>
      <c r="DPR79" s="498" t="n"/>
      <c r="DPS79" s="498" t="n"/>
      <c r="DPT79" s="498" t="n"/>
      <c r="DPU79" s="498" t="n"/>
      <c r="DPV79" s="498" t="n"/>
      <c r="DPW79" s="498" t="n"/>
      <c r="DPX79" s="498" t="n"/>
      <c r="DPY79" s="498" t="n"/>
      <c r="DPZ79" s="498" t="n"/>
      <c r="DQA79" s="498" t="n"/>
      <c r="DQB79" s="498" t="n"/>
      <c r="DQC79" s="498" t="n"/>
      <c r="DQD79" s="498" t="n"/>
      <c r="DQE79" s="498" t="n"/>
      <c r="DQF79" s="498" t="n"/>
      <c r="DQG79" s="498" t="n"/>
      <c r="DQH79" s="498" t="n"/>
      <c r="DQI79" s="498" t="n"/>
      <c r="DQJ79" s="498" t="n"/>
      <c r="DQK79" s="498" t="n"/>
      <c r="DQL79" s="498" t="n"/>
      <c r="DQM79" s="498" t="n"/>
      <c r="DQN79" s="498" t="n"/>
      <c r="DQO79" s="498" t="n"/>
      <c r="DQP79" s="498" t="n"/>
      <c r="DQQ79" s="498" t="n"/>
      <c r="DQR79" s="498" t="n"/>
      <c r="DQS79" s="498" t="n"/>
      <c r="DQT79" s="498" t="n"/>
      <c r="DQU79" s="498" t="n"/>
      <c r="DQV79" s="498" t="n"/>
      <c r="DQW79" s="498" t="n"/>
      <c r="DQX79" s="498" t="n"/>
      <c r="DQY79" s="498" t="n"/>
      <c r="DQZ79" s="498" t="n"/>
      <c r="DRA79" s="498" t="n"/>
      <c r="DRB79" s="498" t="n"/>
      <c r="DRC79" s="498" t="n"/>
      <c r="DRD79" s="498" t="n"/>
      <c r="DRE79" s="498" t="n"/>
      <c r="DRF79" s="498" t="n"/>
      <c r="DRG79" s="498" t="n"/>
      <c r="DRH79" s="498" t="n"/>
      <c r="DRI79" s="498" t="n"/>
      <c r="DRJ79" s="498" t="n"/>
      <c r="DRK79" s="498" t="n"/>
      <c r="DRL79" s="498" t="n"/>
      <c r="DRM79" s="498" t="n"/>
      <c r="DRN79" s="498" t="n"/>
      <c r="DRO79" s="498" t="n"/>
      <c r="DRP79" s="498" t="n"/>
      <c r="DRQ79" s="498" t="n"/>
      <c r="DRR79" s="498" t="n"/>
      <c r="DRS79" s="498" t="n"/>
      <c r="DRT79" s="498" t="n"/>
      <c r="DRU79" s="498" t="n"/>
      <c r="DRV79" s="498" t="n"/>
      <c r="DRW79" s="498" t="n"/>
      <c r="DRX79" s="498" t="n"/>
      <c r="DRY79" s="498" t="n"/>
      <c r="DRZ79" s="498" t="n"/>
      <c r="DSA79" s="498" t="n"/>
      <c r="DSB79" s="498" t="n"/>
      <c r="DSC79" s="498" t="n"/>
      <c r="DSD79" s="498" t="n"/>
      <c r="DSE79" s="498" t="n"/>
      <c r="DSF79" s="498" t="n"/>
      <c r="DSG79" s="498" t="n"/>
      <c r="DSH79" s="498" t="n"/>
      <c r="DSI79" s="498" t="n"/>
      <c r="DSJ79" s="498" t="n"/>
      <c r="DSK79" s="498" t="n"/>
      <c r="DSL79" s="498" t="n"/>
      <c r="DSM79" s="498" t="n"/>
      <c r="DSN79" s="498" t="n"/>
      <c r="DSO79" s="498" t="n"/>
      <c r="DSP79" s="498" t="n"/>
      <c r="DSQ79" s="498" t="n"/>
      <c r="DSR79" s="498" t="n"/>
      <c r="DSS79" s="498" t="n"/>
      <c r="DST79" s="498" t="n"/>
      <c r="DSU79" s="498" t="n"/>
      <c r="DSV79" s="498" t="n"/>
      <c r="DSW79" s="498" t="n"/>
      <c r="DSX79" s="498" t="n"/>
      <c r="DSY79" s="498" t="n"/>
      <c r="DSZ79" s="498" t="n"/>
      <c r="DTA79" s="498" t="n"/>
      <c r="DTB79" s="498" t="n"/>
      <c r="DTC79" s="498" t="n"/>
      <c r="DTD79" s="498" t="n"/>
      <c r="DTE79" s="498" t="n"/>
      <c r="DTF79" s="498" t="n"/>
      <c r="DTG79" s="498" t="n"/>
      <c r="DTH79" s="498" t="n"/>
      <c r="DTI79" s="498" t="n"/>
      <c r="DTJ79" s="498" t="n"/>
      <c r="DTK79" s="498" t="n"/>
      <c r="DTL79" s="498" t="n"/>
      <c r="DTM79" s="498" t="n"/>
      <c r="DTN79" s="498" t="n"/>
      <c r="DTO79" s="498" t="n"/>
      <c r="DTP79" s="498" t="n"/>
      <c r="DTQ79" s="498" t="n"/>
      <c r="DTR79" s="498" t="n"/>
      <c r="DTS79" s="498" t="n"/>
      <c r="DTT79" s="498" t="n"/>
      <c r="DTU79" s="498" t="n"/>
      <c r="DTV79" s="498" t="n"/>
      <c r="DTW79" s="498" t="n"/>
      <c r="DTX79" s="498" t="n"/>
      <c r="DTY79" s="498" t="n"/>
      <c r="DTZ79" s="498" t="n"/>
      <c r="DUA79" s="498" t="n"/>
      <c r="DUB79" s="498" t="n"/>
      <c r="DUC79" s="498" t="n"/>
      <c r="DUD79" s="498" t="n"/>
      <c r="DUE79" s="498" t="n"/>
      <c r="DUF79" s="498" t="n"/>
      <c r="DUG79" s="498" t="n"/>
      <c r="DUH79" s="498" t="n"/>
      <c r="DUI79" s="498" t="n"/>
      <c r="DUJ79" s="498" t="n"/>
      <c r="DUK79" s="498" t="n"/>
      <c r="DUL79" s="498" t="n"/>
      <c r="DUM79" s="498" t="n"/>
      <c r="DUN79" s="498" t="n"/>
      <c r="DUO79" s="498" t="n"/>
      <c r="DUP79" s="498" t="n"/>
      <c r="DUQ79" s="498" t="n"/>
      <c r="DUR79" s="498" t="n"/>
      <c r="DUS79" s="498" t="n"/>
      <c r="DUT79" s="498" t="n"/>
      <c r="DUU79" s="498" t="n"/>
      <c r="DUV79" s="498" t="n"/>
      <c r="DUW79" s="498" t="n"/>
      <c r="DUX79" s="498" t="n"/>
      <c r="DUY79" s="498" t="n"/>
      <c r="DUZ79" s="498" t="n"/>
      <c r="DVA79" s="498" t="n"/>
      <c r="DVB79" s="498" t="n"/>
      <c r="DVC79" s="498" t="n"/>
      <c r="DVD79" s="498" t="n"/>
      <c r="DVE79" s="498" t="n"/>
      <c r="DVF79" s="498" t="n"/>
      <c r="DVG79" s="498" t="n"/>
      <c r="DVH79" s="498" t="n"/>
      <c r="DVI79" s="498" t="n"/>
      <c r="DVJ79" s="498" t="n"/>
      <c r="DVK79" s="498" t="n"/>
      <c r="DVL79" s="498" t="n"/>
      <c r="DVM79" s="498" t="n"/>
      <c r="DVN79" s="498" t="n"/>
      <c r="DVO79" s="498" t="n"/>
      <c r="DVP79" s="498" t="n"/>
      <c r="DVQ79" s="498" t="n"/>
      <c r="DVR79" s="498" t="n"/>
      <c r="DVS79" s="498" t="n"/>
      <c r="DVT79" s="498" t="n"/>
      <c r="DVU79" s="498" t="n"/>
      <c r="DVV79" s="498" t="n"/>
      <c r="DVW79" s="498" t="n"/>
      <c r="DVX79" s="498" t="n"/>
      <c r="DVY79" s="498" t="n"/>
      <c r="DVZ79" s="498" t="n"/>
      <c r="DWA79" s="498" t="n"/>
      <c r="DWB79" s="498" t="n"/>
      <c r="DWC79" s="498" t="n"/>
      <c r="DWD79" s="498" t="n"/>
      <c r="DWE79" s="498" t="n"/>
      <c r="DWF79" s="498" t="n"/>
      <c r="DWG79" s="498" t="n"/>
      <c r="DWH79" s="498" t="n"/>
      <c r="DWI79" s="498" t="n"/>
      <c r="DWJ79" s="498" t="n"/>
      <c r="DWK79" s="498" t="n"/>
      <c r="DWL79" s="498" t="n"/>
      <c r="DWM79" s="498" t="n"/>
      <c r="DWN79" s="498" t="n"/>
      <c r="DWO79" s="498" t="n"/>
      <c r="DWP79" s="498" t="n"/>
      <c r="DWQ79" s="498" t="n"/>
      <c r="DWR79" s="498" t="n"/>
      <c r="DWS79" s="498" t="n"/>
      <c r="DWT79" s="498" t="n"/>
      <c r="DWU79" s="498" t="n"/>
      <c r="DWV79" s="498" t="n"/>
      <c r="DWW79" s="498" t="n"/>
      <c r="DWX79" s="498" t="n"/>
      <c r="DWY79" s="498" t="n"/>
      <c r="DWZ79" s="498" t="n"/>
      <c r="DXA79" s="498" t="n"/>
      <c r="DXB79" s="498" t="n"/>
      <c r="DXC79" s="498" t="n"/>
      <c r="DXD79" s="498" t="n"/>
      <c r="DXE79" s="498" t="n"/>
      <c r="DXF79" s="498" t="n"/>
      <c r="DXG79" s="498" t="n"/>
      <c r="DXH79" s="498" t="n"/>
      <c r="DXI79" s="498" t="n"/>
      <c r="DXJ79" s="498" t="n"/>
      <c r="DXK79" s="498" t="n"/>
      <c r="DXL79" s="498" t="n"/>
      <c r="DXM79" s="498" t="n"/>
      <c r="DXN79" s="498" t="n"/>
      <c r="DXO79" s="498" t="n"/>
      <c r="DXP79" s="498" t="n"/>
      <c r="DXQ79" s="498" t="n"/>
      <c r="DXR79" s="498" t="n"/>
      <c r="DXS79" s="498" t="n"/>
      <c r="DXT79" s="498" t="n"/>
      <c r="DXU79" s="498" t="n"/>
      <c r="DXV79" s="498" t="n"/>
      <c r="DXW79" s="498" t="n"/>
      <c r="DXX79" s="498" t="n"/>
      <c r="DXY79" s="498" t="n"/>
      <c r="DXZ79" s="498" t="n"/>
      <c r="DYA79" s="498" t="n"/>
      <c r="DYB79" s="498" t="n"/>
      <c r="DYC79" s="498" t="n"/>
      <c r="DYD79" s="498" t="n"/>
      <c r="DYE79" s="498" t="n"/>
      <c r="DYF79" s="498" t="n"/>
      <c r="DYG79" s="498" t="n"/>
      <c r="DYH79" s="498" t="n"/>
      <c r="DYI79" s="498" t="n"/>
      <c r="DYJ79" s="498" t="n"/>
      <c r="DYK79" s="498" t="n"/>
      <c r="DYL79" s="498" t="n"/>
      <c r="DYM79" s="498" t="n"/>
      <c r="DYN79" s="498" t="n"/>
      <c r="DYO79" s="498" t="n"/>
      <c r="DYP79" s="498" t="n"/>
      <c r="DYQ79" s="498" t="n"/>
      <c r="DYR79" s="498" t="n"/>
      <c r="DYS79" s="498" t="n"/>
      <c r="DYT79" s="498" t="n"/>
      <c r="DYU79" s="498" t="n"/>
      <c r="DYV79" s="498" t="n"/>
      <c r="DYW79" s="498" t="n"/>
      <c r="DYX79" s="498" t="n"/>
      <c r="DYY79" s="498" t="n"/>
      <c r="DYZ79" s="498" t="n"/>
      <c r="DZA79" s="498" t="n"/>
      <c r="DZB79" s="498" t="n"/>
      <c r="DZC79" s="498" t="n"/>
      <c r="DZD79" s="498" t="n"/>
      <c r="DZE79" s="498" t="n"/>
      <c r="DZF79" s="498" t="n"/>
      <c r="DZG79" s="498" t="n"/>
      <c r="DZH79" s="498" t="n"/>
      <c r="DZI79" s="498" t="n"/>
      <c r="DZJ79" s="498" t="n"/>
      <c r="DZK79" s="498" t="n"/>
      <c r="DZL79" s="498" t="n"/>
      <c r="DZM79" s="498" t="n"/>
      <c r="DZN79" s="498" t="n"/>
      <c r="DZO79" s="498" t="n"/>
      <c r="DZP79" s="498" t="n"/>
      <c r="DZQ79" s="498" t="n"/>
      <c r="DZR79" s="498" t="n"/>
      <c r="DZS79" s="498" t="n"/>
      <c r="DZT79" s="498" t="n"/>
      <c r="DZU79" s="498" t="n"/>
      <c r="DZV79" s="498" t="n"/>
      <c r="DZW79" s="498" t="n"/>
      <c r="DZX79" s="498" t="n"/>
      <c r="DZY79" s="498" t="n"/>
      <c r="DZZ79" s="498" t="n"/>
      <c r="EAA79" s="498" t="n"/>
      <c r="EAB79" s="498" t="n"/>
      <c r="EAC79" s="498" t="n"/>
      <c r="EAD79" s="498" t="n"/>
      <c r="EAE79" s="498" t="n"/>
      <c r="EAF79" s="498" t="n"/>
      <c r="EAG79" s="498" t="n"/>
      <c r="EAH79" s="498" t="n"/>
      <c r="EAI79" s="498" t="n"/>
      <c r="EAJ79" s="498" t="n"/>
      <c r="EAK79" s="498" t="n"/>
      <c r="EAL79" s="498" t="n"/>
      <c r="EAM79" s="498" t="n"/>
      <c r="EAN79" s="498" t="n"/>
      <c r="EAO79" s="498" t="n"/>
      <c r="EAP79" s="498" t="n"/>
      <c r="EAQ79" s="498" t="n"/>
      <c r="EAR79" s="498" t="n"/>
      <c r="EAS79" s="498" t="n"/>
      <c r="EAT79" s="498" t="n"/>
      <c r="EAU79" s="498" t="n"/>
      <c r="EAV79" s="498" t="n"/>
      <c r="EAW79" s="498" t="n"/>
      <c r="EAX79" s="498" t="n"/>
      <c r="EAY79" s="498" t="n"/>
      <c r="EAZ79" s="498" t="n"/>
      <c r="EBA79" s="498" t="n"/>
      <c r="EBB79" s="498" t="n"/>
      <c r="EBC79" s="498" t="n"/>
      <c r="EBD79" s="498" t="n"/>
      <c r="EBE79" s="498" t="n"/>
      <c r="EBF79" s="498" t="n"/>
      <c r="EBG79" s="498" t="n"/>
      <c r="EBH79" s="498" t="n"/>
      <c r="EBI79" s="498" t="n"/>
      <c r="EBJ79" s="498" t="n"/>
      <c r="EBK79" s="498" t="n"/>
      <c r="EBL79" s="498" t="n"/>
      <c r="EBM79" s="498" t="n"/>
      <c r="EBN79" s="498" t="n"/>
      <c r="EBO79" s="498" t="n"/>
      <c r="EBP79" s="498" t="n"/>
      <c r="EBQ79" s="498" t="n"/>
      <c r="EBR79" s="498" t="n"/>
      <c r="EBS79" s="498" t="n"/>
      <c r="EBT79" s="498" t="n"/>
      <c r="EBU79" s="498" t="n"/>
      <c r="EBV79" s="498" t="n"/>
      <c r="EBW79" s="498" t="n"/>
      <c r="EBX79" s="498" t="n"/>
      <c r="EBY79" s="498" t="n"/>
      <c r="EBZ79" s="498" t="n"/>
      <c r="ECA79" s="498" t="n"/>
      <c r="ECB79" s="498" t="n"/>
      <c r="ECC79" s="498" t="n"/>
      <c r="ECD79" s="498" t="n"/>
      <c r="ECE79" s="498" t="n"/>
      <c r="ECF79" s="498" t="n"/>
      <c r="ECG79" s="498" t="n"/>
      <c r="ECH79" s="498" t="n"/>
      <c r="ECI79" s="498" t="n"/>
      <c r="ECJ79" s="498" t="n"/>
      <c r="ECK79" s="498" t="n"/>
      <c r="ECL79" s="498" t="n"/>
      <c r="ECM79" s="498" t="n"/>
      <c r="ECN79" s="498" t="n"/>
      <c r="ECO79" s="498" t="n"/>
      <c r="ECP79" s="498" t="n"/>
      <c r="ECQ79" s="498" t="n"/>
      <c r="ECR79" s="498" t="n"/>
      <c r="ECS79" s="498" t="n"/>
      <c r="ECT79" s="498" t="n"/>
      <c r="ECU79" s="498" t="n"/>
      <c r="ECV79" s="498" t="n"/>
      <c r="ECW79" s="498" t="n"/>
      <c r="ECX79" s="498" t="n"/>
      <c r="ECY79" s="498" t="n"/>
      <c r="ECZ79" s="498" t="n"/>
      <c r="EDA79" s="498" t="n"/>
      <c r="EDB79" s="498" t="n"/>
      <c r="EDC79" s="498" t="n"/>
      <c r="EDD79" s="498" t="n"/>
      <c r="EDE79" s="498" t="n"/>
      <c r="EDF79" s="498" t="n"/>
      <c r="EDG79" s="498" t="n"/>
      <c r="EDH79" s="498" t="n"/>
      <c r="EDI79" s="498" t="n"/>
      <c r="EDJ79" s="498" t="n"/>
      <c r="EDK79" s="498" t="n"/>
      <c r="EDL79" s="498" t="n"/>
      <c r="EDM79" s="498" t="n"/>
      <c r="EDN79" s="498" t="n"/>
      <c r="EDO79" s="498" t="n"/>
      <c r="EDP79" s="498" t="n"/>
      <c r="EDQ79" s="498" t="n"/>
      <c r="EDR79" s="498" t="n"/>
      <c r="EDS79" s="498" t="n"/>
      <c r="EDT79" s="498" t="n"/>
      <c r="EDU79" s="498" t="n"/>
      <c r="EDV79" s="498" t="n"/>
      <c r="EDW79" s="498" t="n"/>
      <c r="EDX79" s="498" t="n"/>
      <c r="EDY79" s="498" t="n"/>
      <c r="EDZ79" s="498" t="n"/>
      <c r="EEA79" s="498" t="n"/>
      <c r="EEB79" s="498" t="n"/>
      <c r="EEC79" s="498" t="n"/>
      <c r="EED79" s="498" t="n"/>
      <c r="EEE79" s="498" t="n"/>
      <c r="EEF79" s="498" t="n"/>
      <c r="EEG79" s="498" t="n"/>
      <c r="EEH79" s="498" t="n"/>
      <c r="EEI79" s="498" t="n"/>
      <c r="EEJ79" s="498" t="n"/>
      <c r="EEK79" s="498" t="n"/>
      <c r="EEL79" s="498" t="n"/>
      <c r="EEM79" s="498" t="n"/>
      <c r="EEN79" s="498" t="n"/>
      <c r="EEO79" s="498" t="n"/>
      <c r="EEP79" s="498" t="n"/>
      <c r="EEQ79" s="498" t="n"/>
      <c r="EER79" s="498" t="n"/>
      <c r="EES79" s="498" t="n"/>
      <c r="EET79" s="498" t="n"/>
      <c r="EEU79" s="498" t="n"/>
      <c r="EEV79" s="498" t="n"/>
      <c r="EEW79" s="498" t="n"/>
      <c r="EEX79" s="498" t="n"/>
      <c r="EEY79" s="498" t="n"/>
      <c r="EEZ79" s="498" t="n"/>
      <c r="EFA79" s="498" t="n"/>
      <c r="EFB79" s="498" t="n"/>
      <c r="EFC79" s="498" t="n"/>
      <c r="EFD79" s="498" t="n"/>
      <c r="EFE79" s="498" t="n"/>
      <c r="EFF79" s="498" t="n"/>
      <c r="EFG79" s="498" t="n"/>
      <c r="EFH79" s="498" t="n"/>
      <c r="EFI79" s="498" t="n"/>
      <c r="EFJ79" s="498" t="n"/>
      <c r="EFK79" s="498" t="n"/>
      <c r="EFL79" s="498" t="n"/>
      <c r="EFM79" s="498" t="n"/>
      <c r="EFN79" s="498" t="n"/>
      <c r="EFO79" s="498" t="n"/>
      <c r="EFP79" s="498" t="n"/>
      <c r="EFQ79" s="498" t="n"/>
      <c r="EFR79" s="498" t="n"/>
      <c r="EFS79" s="498" t="n"/>
      <c r="EFT79" s="498" t="n"/>
      <c r="EFU79" s="498" t="n"/>
      <c r="EFV79" s="498" t="n"/>
      <c r="EFW79" s="498" t="n"/>
      <c r="EFX79" s="498" t="n"/>
      <c r="EFY79" s="498" t="n"/>
      <c r="EFZ79" s="498" t="n"/>
      <c r="EGA79" s="498" t="n"/>
      <c r="EGB79" s="498" t="n"/>
      <c r="EGC79" s="498" t="n"/>
      <c r="EGD79" s="498" t="n"/>
      <c r="EGE79" s="498" t="n"/>
      <c r="EGF79" s="498" t="n"/>
      <c r="EGG79" s="498" t="n"/>
      <c r="EGH79" s="498" t="n"/>
      <c r="EGI79" s="498" t="n"/>
      <c r="EGJ79" s="498" t="n"/>
      <c r="EGK79" s="498" t="n"/>
      <c r="EGL79" s="498" t="n"/>
      <c r="EGM79" s="498" t="n"/>
      <c r="EGN79" s="498" t="n"/>
      <c r="EGO79" s="498" t="n"/>
      <c r="EGP79" s="498" t="n"/>
      <c r="EGQ79" s="498" t="n"/>
      <c r="EGR79" s="498" t="n"/>
      <c r="EGS79" s="498" t="n"/>
      <c r="EGT79" s="498" t="n"/>
      <c r="EGU79" s="498" t="n"/>
      <c r="EGV79" s="498" t="n"/>
      <c r="EGW79" s="498" t="n"/>
      <c r="EGX79" s="498" t="n"/>
      <c r="EGY79" s="498" t="n"/>
      <c r="EGZ79" s="498" t="n"/>
      <c r="EHA79" s="498" t="n"/>
      <c r="EHB79" s="498" t="n"/>
      <c r="EHC79" s="498" t="n"/>
      <c r="EHD79" s="498" t="n"/>
      <c r="EHE79" s="498" t="n"/>
      <c r="EHF79" s="498" t="n"/>
      <c r="EHG79" s="498" t="n"/>
      <c r="EHH79" s="498" t="n"/>
      <c r="EHI79" s="498" t="n"/>
      <c r="EHJ79" s="498" t="n"/>
      <c r="EHK79" s="498" t="n"/>
      <c r="EHL79" s="498" t="n"/>
      <c r="EHM79" s="498" t="n"/>
      <c r="EHN79" s="498" t="n"/>
      <c r="EHO79" s="498" t="n"/>
      <c r="EHP79" s="498" t="n"/>
      <c r="EHQ79" s="498" t="n"/>
      <c r="EHR79" s="498" t="n"/>
      <c r="EHS79" s="498" t="n"/>
      <c r="EHT79" s="498" t="n"/>
      <c r="EHU79" s="498" t="n"/>
      <c r="EHV79" s="498" t="n"/>
      <c r="EHW79" s="498" t="n"/>
      <c r="EHX79" s="498" t="n"/>
      <c r="EHY79" s="498" t="n"/>
      <c r="EHZ79" s="498" t="n"/>
      <c r="EIA79" s="498" t="n"/>
      <c r="EIB79" s="498" t="n"/>
      <c r="EIC79" s="498" t="n"/>
      <c r="EID79" s="498" t="n"/>
      <c r="EIE79" s="498" t="n"/>
      <c r="EIF79" s="498" t="n"/>
      <c r="EIG79" s="498" t="n"/>
      <c r="EIH79" s="498" t="n"/>
      <c r="EII79" s="498" t="n"/>
      <c r="EIJ79" s="498" t="n"/>
      <c r="EIK79" s="498" t="n"/>
      <c r="EIL79" s="498" t="n"/>
      <c r="EIM79" s="498" t="n"/>
      <c r="EIN79" s="498" t="n"/>
      <c r="EIO79" s="498" t="n"/>
      <c r="EIP79" s="498" t="n"/>
      <c r="EIQ79" s="498" t="n"/>
      <c r="EIR79" s="498" t="n"/>
      <c r="EIS79" s="498" t="n"/>
      <c r="EIT79" s="498" t="n"/>
      <c r="EIU79" s="498" t="n"/>
      <c r="EIV79" s="498" t="n"/>
      <c r="EIW79" s="498" t="n"/>
      <c r="EIX79" s="498" t="n"/>
      <c r="EIY79" s="498" t="n"/>
      <c r="EIZ79" s="498" t="n"/>
      <c r="EJA79" s="498" t="n"/>
      <c r="EJB79" s="498" t="n"/>
      <c r="EJC79" s="498" t="n"/>
      <c r="EJD79" s="498" t="n"/>
      <c r="EJE79" s="498" t="n"/>
      <c r="EJF79" s="498" t="n"/>
      <c r="EJG79" s="498" t="n"/>
      <c r="EJH79" s="498" t="n"/>
      <c r="EJI79" s="498" t="n"/>
      <c r="EJJ79" s="498" t="n"/>
      <c r="EJK79" s="498" t="n"/>
      <c r="EJL79" s="498" t="n"/>
      <c r="EJM79" s="498" t="n"/>
      <c r="EJN79" s="498" t="n"/>
      <c r="EJO79" s="498" t="n"/>
      <c r="EJP79" s="498" t="n"/>
      <c r="EJQ79" s="498" t="n"/>
      <c r="EJR79" s="498" t="n"/>
      <c r="EJS79" s="498" t="n"/>
      <c r="EJT79" s="498" t="n"/>
      <c r="EJU79" s="498" t="n"/>
      <c r="EJV79" s="498" t="n"/>
      <c r="EJW79" s="498" t="n"/>
      <c r="EJX79" s="498" t="n"/>
      <c r="EJY79" s="498" t="n"/>
      <c r="EJZ79" s="498" t="n"/>
      <c r="EKA79" s="498" t="n"/>
      <c r="EKB79" s="498" t="n"/>
      <c r="EKC79" s="498" t="n"/>
      <c r="EKD79" s="498" t="n"/>
      <c r="EKE79" s="498" t="n"/>
      <c r="EKF79" s="498" t="n"/>
      <c r="EKG79" s="498" t="n"/>
      <c r="EKH79" s="498" t="n"/>
      <c r="EKI79" s="498" t="n"/>
      <c r="EKJ79" s="498" t="n"/>
      <c r="EKK79" s="498" t="n"/>
      <c r="EKL79" s="498" t="n"/>
      <c r="EKM79" s="498" t="n"/>
      <c r="EKN79" s="498" t="n"/>
      <c r="EKO79" s="498" t="n"/>
      <c r="EKP79" s="498" t="n"/>
      <c r="EKQ79" s="498" t="n"/>
      <c r="EKR79" s="498" t="n"/>
      <c r="EKS79" s="498" t="n"/>
      <c r="EKT79" s="498" t="n"/>
      <c r="EKU79" s="498" t="n"/>
      <c r="EKV79" s="498" t="n"/>
      <c r="EKW79" s="498" t="n"/>
      <c r="EKX79" s="498" t="n"/>
      <c r="EKY79" s="498" t="n"/>
      <c r="EKZ79" s="498" t="n"/>
      <c r="ELA79" s="498" t="n"/>
      <c r="ELB79" s="498" t="n"/>
      <c r="ELC79" s="498" t="n"/>
      <c r="ELD79" s="498" t="n"/>
      <c r="ELE79" s="498" t="n"/>
      <c r="ELF79" s="498" t="n"/>
      <c r="ELG79" s="498" t="n"/>
      <c r="ELH79" s="498" t="n"/>
      <c r="ELI79" s="498" t="n"/>
      <c r="ELJ79" s="498" t="n"/>
      <c r="ELK79" s="498" t="n"/>
      <c r="ELL79" s="498" t="n"/>
      <c r="ELM79" s="498" t="n"/>
      <c r="ELN79" s="498" t="n"/>
      <c r="ELO79" s="498" t="n"/>
      <c r="ELP79" s="498" t="n"/>
      <c r="ELQ79" s="498" t="n"/>
      <c r="ELR79" s="498" t="n"/>
      <c r="ELS79" s="498" t="n"/>
      <c r="ELT79" s="498" t="n"/>
      <c r="ELU79" s="498" t="n"/>
      <c r="ELV79" s="498" t="n"/>
      <c r="ELW79" s="498" t="n"/>
      <c r="ELX79" s="498" t="n"/>
      <c r="ELY79" s="498" t="n"/>
      <c r="ELZ79" s="498" t="n"/>
      <c r="EMA79" s="498" t="n"/>
      <c r="EMB79" s="498" t="n"/>
      <c r="EMC79" s="498" t="n"/>
      <c r="EMD79" s="498" t="n"/>
      <c r="EME79" s="498" t="n"/>
      <c r="EMF79" s="498" t="n"/>
      <c r="EMG79" s="498" t="n"/>
      <c r="EMH79" s="498" t="n"/>
      <c r="EMI79" s="498" t="n"/>
      <c r="EMJ79" s="498" t="n"/>
      <c r="EMK79" s="498" t="n"/>
      <c r="EML79" s="498" t="n"/>
      <c r="EMM79" s="498" t="n"/>
      <c r="EMN79" s="498" t="n"/>
      <c r="EMO79" s="498" t="n"/>
      <c r="EMP79" s="498" t="n"/>
      <c r="EMQ79" s="498" t="n"/>
      <c r="EMR79" s="498" t="n"/>
      <c r="EMS79" s="498" t="n"/>
      <c r="EMT79" s="498" t="n"/>
      <c r="EMU79" s="498" t="n"/>
      <c r="EMV79" s="498" t="n"/>
      <c r="EMW79" s="498" t="n"/>
      <c r="EMX79" s="498" t="n"/>
      <c r="EMY79" s="498" t="n"/>
      <c r="EMZ79" s="498" t="n"/>
      <c r="ENA79" s="498" t="n"/>
      <c r="ENB79" s="498" t="n"/>
      <c r="ENC79" s="498" t="n"/>
      <c r="END79" s="498" t="n"/>
      <c r="ENE79" s="498" t="n"/>
      <c r="ENF79" s="498" t="n"/>
      <c r="ENG79" s="498" t="n"/>
      <c r="ENH79" s="498" t="n"/>
      <c r="ENI79" s="498" t="n"/>
      <c r="ENJ79" s="498" t="n"/>
      <c r="ENK79" s="498" t="n"/>
      <c r="ENL79" s="498" t="n"/>
      <c r="ENM79" s="498" t="n"/>
      <c r="ENN79" s="498" t="n"/>
      <c r="ENO79" s="498" t="n"/>
      <c r="ENP79" s="498" t="n"/>
      <c r="ENQ79" s="498" t="n"/>
      <c r="ENR79" s="498" t="n"/>
      <c r="ENS79" s="498" t="n"/>
      <c r="ENT79" s="498" t="n"/>
      <c r="ENU79" s="498" t="n"/>
      <c r="ENV79" s="498" t="n"/>
      <c r="ENW79" s="498" t="n"/>
      <c r="ENX79" s="498" t="n"/>
      <c r="ENY79" s="498" t="n"/>
      <c r="ENZ79" s="498" t="n"/>
      <c r="EOA79" s="498" t="n"/>
      <c r="EOB79" s="498" t="n"/>
      <c r="EOC79" s="498" t="n"/>
      <c r="EOD79" s="498" t="n"/>
      <c r="EOE79" s="498" t="n"/>
      <c r="EOF79" s="498" t="n"/>
      <c r="EOG79" s="498" t="n"/>
      <c r="EOH79" s="498" t="n"/>
      <c r="EOI79" s="498" t="n"/>
      <c r="EOJ79" s="498" t="n"/>
      <c r="EOK79" s="498" t="n"/>
      <c r="EOL79" s="498" t="n"/>
      <c r="EOM79" s="498" t="n"/>
      <c r="EON79" s="498" t="n"/>
      <c r="EOO79" s="498" t="n"/>
      <c r="EOP79" s="498" t="n"/>
      <c r="EOQ79" s="498" t="n"/>
      <c r="EOR79" s="498" t="n"/>
      <c r="EOS79" s="498" t="n"/>
      <c r="EOT79" s="498" t="n"/>
      <c r="EOU79" s="498" t="n"/>
      <c r="EOV79" s="498" t="n"/>
      <c r="EOW79" s="498" t="n"/>
      <c r="EOX79" s="498" t="n"/>
      <c r="EOY79" s="498" t="n"/>
      <c r="EOZ79" s="498" t="n"/>
      <c r="EPA79" s="498" t="n"/>
      <c r="EPB79" s="498" t="n"/>
      <c r="EPC79" s="498" t="n"/>
      <c r="EPD79" s="498" t="n"/>
      <c r="EPE79" s="498" t="n"/>
      <c r="EPF79" s="498" t="n"/>
      <c r="EPG79" s="498" t="n"/>
      <c r="EPH79" s="498" t="n"/>
      <c r="EPI79" s="498" t="n"/>
      <c r="EPJ79" s="498" t="n"/>
      <c r="EPK79" s="498" t="n"/>
      <c r="EPL79" s="498" t="n"/>
      <c r="EPM79" s="498" t="n"/>
      <c r="EPN79" s="498" t="n"/>
      <c r="EPO79" s="498" t="n"/>
      <c r="EPP79" s="498" t="n"/>
      <c r="EPQ79" s="498" t="n"/>
      <c r="EPR79" s="498" t="n"/>
      <c r="EPS79" s="498" t="n"/>
      <c r="EPT79" s="498" t="n"/>
      <c r="EPU79" s="498" t="n"/>
      <c r="EPV79" s="498" t="n"/>
      <c r="EPW79" s="498" t="n"/>
      <c r="EPX79" s="498" t="n"/>
      <c r="EPY79" s="498" t="n"/>
      <c r="EPZ79" s="498" t="n"/>
      <c r="EQA79" s="498" t="n"/>
      <c r="EQB79" s="498" t="n"/>
      <c r="EQC79" s="498" t="n"/>
      <c r="EQD79" s="498" t="n"/>
      <c r="EQE79" s="498" t="n"/>
      <c r="EQF79" s="498" t="n"/>
      <c r="EQG79" s="498" t="n"/>
      <c r="EQH79" s="498" t="n"/>
      <c r="EQI79" s="498" t="n"/>
      <c r="EQJ79" s="498" t="n"/>
      <c r="EQK79" s="498" t="n"/>
      <c r="EQL79" s="498" t="n"/>
      <c r="EQM79" s="498" t="n"/>
      <c r="EQN79" s="498" t="n"/>
      <c r="EQO79" s="498" t="n"/>
      <c r="EQP79" s="498" t="n"/>
      <c r="EQQ79" s="498" t="n"/>
      <c r="EQR79" s="498" t="n"/>
      <c r="EQS79" s="498" t="n"/>
      <c r="EQT79" s="498" t="n"/>
      <c r="EQU79" s="498" t="n"/>
      <c r="EQV79" s="498" t="n"/>
      <c r="EQW79" s="498" t="n"/>
      <c r="EQX79" s="498" t="n"/>
      <c r="EQY79" s="498" t="n"/>
      <c r="EQZ79" s="498" t="n"/>
      <c r="ERA79" s="498" t="n"/>
      <c r="ERB79" s="498" t="n"/>
      <c r="ERC79" s="498" t="n"/>
      <c r="ERD79" s="498" t="n"/>
      <c r="ERE79" s="498" t="n"/>
      <c r="ERF79" s="498" t="n"/>
      <c r="ERG79" s="498" t="n"/>
      <c r="ERH79" s="498" t="n"/>
      <c r="ERI79" s="498" t="n"/>
      <c r="ERJ79" s="498" t="n"/>
      <c r="ERK79" s="498" t="n"/>
      <c r="ERL79" s="498" t="n"/>
      <c r="ERM79" s="498" t="n"/>
      <c r="ERN79" s="498" t="n"/>
      <c r="ERO79" s="498" t="n"/>
      <c r="ERP79" s="498" t="n"/>
      <c r="ERQ79" s="498" t="n"/>
      <c r="ERR79" s="498" t="n"/>
      <c r="ERS79" s="498" t="n"/>
      <c r="ERT79" s="498" t="n"/>
      <c r="ERU79" s="498" t="n"/>
      <c r="ERV79" s="498" t="n"/>
      <c r="ERW79" s="498" t="n"/>
      <c r="ERX79" s="498" t="n"/>
      <c r="ERY79" s="498" t="n"/>
      <c r="ERZ79" s="498" t="n"/>
      <c r="ESA79" s="498" t="n"/>
      <c r="ESB79" s="498" t="n"/>
      <c r="ESC79" s="498" t="n"/>
      <c r="ESD79" s="498" t="n"/>
      <c r="ESE79" s="498" t="n"/>
      <c r="ESF79" s="498" t="n"/>
      <c r="ESG79" s="498" t="n"/>
      <c r="ESH79" s="498" t="n"/>
      <c r="ESI79" s="498" t="n"/>
      <c r="ESJ79" s="498" t="n"/>
      <c r="ESK79" s="498" t="n"/>
      <c r="ESL79" s="498" t="n"/>
      <c r="ESM79" s="498" t="n"/>
      <c r="ESN79" s="498" t="n"/>
      <c r="ESO79" s="498" t="n"/>
      <c r="ESP79" s="498" t="n"/>
      <c r="ESQ79" s="498" t="n"/>
      <c r="ESR79" s="498" t="n"/>
      <c r="ESS79" s="498" t="n"/>
      <c r="EST79" s="498" t="n"/>
      <c r="ESU79" s="498" t="n"/>
      <c r="ESV79" s="498" t="n"/>
      <c r="ESW79" s="498" t="n"/>
      <c r="ESX79" s="498" t="n"/>
      <c r="ESY79" s="498" t="n"/>
      <c r="ESZ79" s="498" t="n"/>
      <c r="ETA79" s="498" t="n"/>
      <c r="ETB79" s="498" t="n"/>
      <c r="ETC79" s="498" t="n"/>
      <c r="ETD79" s="498" t="n"/>
      <c r="ETE79" s="498" t="n"/>
      <c r="ETF79" s="498" t="n"/>
      <c r="ETG79" s="498" t="n"/>
      <c r="ETH79" s="498" t="n"/>
      <c r="ETI79" s="498" t="n"/>
      <c r="ETJ79" s="498" t="n"/>
      <c r="ETK79" s="498" t="n"/>
      <c r="ETL79" s="498" t="n"/>
      <c r="ETM79" s="498" t="n"/>
      <c r="ETN79" s="498" t="n"/>
      <c r="ETO79" s="498" t="n"/>
      <c r="ETP79" s="498" t="n"/>
      <c r="ETQ79" s="498" t="n"/>
      <c r="ETR79" s="498" t="n"/>
      <c r="ETS79" s="498" t="n"/>
      <c r="ETT79" s="498" t="n"/>
      <c r="ETU79" s="498" t="n"/>
      <c r="ETV79" s="498" t="n"/>
      <c r="ETW79" s="498" t="n"/>
      <c r="ETX79" s="498" t="n"/>
      <c r="ETY79" s="498" t="n"/>
      <c r="ETZ79" s="498" t="n"/>
      <c r="EUA79" s="498" t="n"/>
      <c r="EUB79" s="498" t="n"/>
      <c r="EUC79" s="498" t="n"/>
      <c r="EUD79" s="498" t="n"/>
      <c r="EUE79" s="498" t="n"/>
      <c r="EUF79" s="498" t="n"/>
      <c r="EUG79" s="498" t="n"/>
      <c r="EUH79" s="498" t="n"/>
      <c r="EUI79" s="498" t="n"/>
      <c r="EUJ79" s="498" t="n"/>
      <c r="EUK79" s="498" t="n"/>
      <c r="EUL79" s="498" t="n"/>
      <c r="EUM79" s="498" t="n"/>
      <c r="EUN79" s="498" t="n"/>
      <c r="EUO79" s="498" t="n"/>
      <c r="EUP79" s="498" t="n"/>
      <c r="EUQ79" s="498" t="n"/>
      <c r="EUR79" s="498" t="n"/>
      <c r="EUS79" s="498" t="n"/>
      <c r="EUT79" s="498" t="n"/>
      <c r="EUU79" s="498" t="n"/>
      <c r="EUV79" s="498" t="n"/>
      <c r="EUW79" s="498" t="n"/>
      <c r="EUX79" s="498" t="n"/>
      <c r="EUY79" s="498" t="n"/>
      <c r="EUZ79" s="498" t="n"/>
      <c r="EVA79" s="498" t="n"/>
      <c r="EVB79" s="498" t="n"/>
      <c r="EVC79" s="498" t="n"/>
      <c r="EVD79" s="498" t="n"/>
      <c r="EVE79" s="498" t="n"/>
      <c r="EVF79" s="498" t="n"/>
      <c r="EVG79" s="498" t="n"/>
      <c r="EVH79" s="498" t="n"/>
      <c r="EVI79" s="498" t="n"/>
      <c r="EVJ79" s="498" t="n"/>
      <c r="EVK79" s="498" t="n"/>
      <c r="EVL79" s="498" t="n"/>
      <c r="EVM79" s="498" t="n"/>
      <c r="EVN79" s="498" t="n"/>
      <c r="EVO79" s="498" t="n"/>
      <c r="EVP79" s="498" t="n"/>
      <c r="EVQ79" s="498" t="n"/>
      <c r="EVR79" s="498" t="n"/>
      <c r="EVS79" s="498" t="n"/>
      <c r="EVT79" s="498" t="n"/>
      <c r="EVU79" s="498" t="n"/>
      <c r="EVV79" s="498" t="n"/>
      <c r="EVW79" s="498" t="n"/>
      <c r="EVX79" s="498" t="n"/>
      <c r="EVY79" s="498" t="n"/>
      <c r="EVZ79" s="498" t="n"/>
      <c r="EWA79" s="498" t="n"/>
      <c r="EWB79" s="498" t="n"/>
      <c r="EWC79" s="498" t="n"/>
      <c r="EWD79" s="498" t="n"/>
      <c r="EWE79" s="498" t="n"/>
      <c r="EWF79" s="498" t="n"/>
      <c r="EWG79" s="498" t="n"/>
      <c r="EWH79" s="498" t="n"/>
      <c r="EWI79" s="498" t="n"/>
      <c r="EWJ79" s="498" t="n"/>
      <c r="EWK79" s="498" t="n"/>
      <c r="EWL79" s="498" t="n"/>
      <c r="EWM79" s="498" t="n"/>
      <c r="EWN79" s="498" t="n"/>
      <c r="EWO79" s="498" t="n"/>
      <c r="EWP79" s="498" t="n"/>
      <c r="EWQ79" s="498" t="n"/>
      <c r="EWR79" s="498" t="n"/>
      <c r="EWS79" s="498" t="n"/>
      <c r="EWT79" s="498" t="n"/>
      <c r="EWU79" s="498" t="n"/>
      <c r="EWV79" s="498" t="n"/>
      <c r="EWW79" s="498" t="n"/>
      <c r="EWX79" s="498" t="n"/>
      <c r="EWY79" s="498" t="n"/>
      <c r="EWZ79" s="498" t="n"/>
      <c r="EXA79" s="498" t="n"/>
      <c r="EXB79" s="498" t="n"/>
      <c r="EXC79" s="498" t="n"/>
      <c r="EXD79" s="498" t="n"/>
      <c r="EXE79" s="498" t="n"/>
      <c r="EXF79" s="498" t="n"/>
      <c r="EXG79" s="498" t="n"/>
      <c r="EXH79" s="498" t="n"/>
      <c r="EXI79" s="498" t="n"/>
      <c r="EXJ79" s="498" t="n"/>
      <c r="EXK79" s="498" t="n"/>
      <c r="EXL79" s="498" t="n"/>
      <c r="EXM79" s="498" t="n"/>
      <c r="EXN79" s="498" t="n"/>
      <c r="EXO79" s="498" t="n"/>
      <c r="EXP79" s="498" t="n"/>
      <c r="EXQ79" s="498" t="n"/>
      <c r="EXR79" s="498" t="n"/>
      <c r="EXS79" s="498" t="n"/>
      <c r="EXT79" s="498" t="n"/>
      <c r="EXU79" s="498" t="n"/>
      <c r="EXV79" s="498" t="n"/>
      <c r="EXW79" s="498" t="n"/>
      <c r="EXX79" s="498" t="n"/>
      <c r="EXY79" s="498" t="n"/>
      <c r="EXZ79" s="498" t="n"/>
      <c r="EYA79" s="498" t="n"/>
      <c r="EYB79" s="498" t="n"/>
      <c r="EYC79" s="498" t="n"/>
      <c r="EYD79" s="498" t="n"/>
      <c r="EYE79" s="498" t="n"/>
      <c r="EYF79" s="498" t="n"/>
      <c r="EYG79" s="498" t="n"/>
      <c r="EYH79" s="498" t="n"/>
      <c r="EYI79" s="498" t="n"/>
      <c r="EYJ79" s="498" t="n"/>
      <c r="EYK79" s="498" t="n"/>
      <c r="EYL79" s="498" t="n"/>
      <c r="EYM79" s="498" t="n"/>
      <c r="EYN79" s="498" t="n"/>
      <c r="EYO79" s="498" t="n"/>
      <c r="EYP79" s="498" t="n"/>
      <c r="EYQ79" s="498" t="n"/>
      <c r="EYR79" s="498" t="n"/>
      <c r="EYS79" s="498" t="n"/>
      <c r="EYT79" s="498" t="n"/>
      <c r="EYU79" s="498" t="n"/>
      <c r="EYV79" s="498" t="n"/>
      <c r="EYW79" s="498" t="n"/>
      <c r="EYX79" s="498" t="n"/>
      <c r="EYY79" s="498" t="n"/>
      <c r="EYZ79" s="498" t="n"/>
      <c r="EZA79" s="498" t="n"/>
      <c r="EZB79" s="498" t="n"/>
      <c r="EZC79" s="498" t="n"/>
      <c r="EZD79" s="498" t="n"/>
      <c r="EZE79" s="498" t="n"/>
      <c r="EZF79" s="498" t="n"/>
      <c r="EZG79" s="498" t="n"/>
      <c r="EZH79" s="498" t="n"/>
      <c r="EZI79" s="498" t="n"/>
      <c r="EZJ79" s="498" t="n"/>
      <c r="EZK79" s="498" t="n"/>
      <c r="EZL79" s="498" t="n"/>
      <c r="EZM79" s="498" t="n"/>
      <c r="EZN79" s="498" t="n"/>
      <c r="EZO79" s="498" t="n"/>
      <c r="EZP79" s="498" t="n"/>
      <c r="EZQ79" s="498" t="n"/>
      <c r="EZR79" s="498" t="n"/>
      <c r="EZS79" s="498" t="n"/>
      <c r="EZT79" s="498" t="n"/>
      <c r="EZU79" s="498" t="n"/>
      <c r="EZV79" s="498" t="n"/>
      <c r="EZW79" s="498" t="n"/>
      <c r="EZX79" s="498" t="n"/>
      <c r="EZY79" s="498" t="n"/>
      <c r="EZZ79" s="498" t="n"/>
      <c r="FAA79" s="498" t="n"/>
      <c r="FAB79" s="498" t="n"/>
      <c r="FAC79" s="498" t="n"/>
      <c r="FAD79" s="498" t="n"/>
      <c r="FAE79" s="498" t="n"/>
      <c r="FAF79" s="498" t="n"/>
      <c r="FAG79" s="498" t="n"/>
      <c r="FAH79" s="498" t="n"/>
      <c r="FAI79" s="498" t="n"/>
      <c r="FAJ79" s="498" t="n"/>
      <c r="FAK79" s="498" t="n"/>
      <c r="FAL79" s="498" t="n"/>
      <c r="FAM79" s="498" t="n"/>
      <c r="FAN79" s="498" t="n"/>
      <c r="FAO79" s="498" t="n"/>
      <c r="FAP79" s="498" t="n"/>
      <c r="FAQ79" s="498" t="n"/>
      <c r="FAR79" s="498" t="n"/>
      <c r="FAS79" s="498" t="n"/>
      <c r="FAT79" s="498" t="n"/>
      <c r="FAU79" s="498" t="n"/>
      <c r="FAV79" s="498" t="n"/>
      <c r="FAW79" s="498" t="n"/>
      <c r="FAX79" s="498" t="n"/>
      <c r="FAY79" s="498" t="n"/>
      <c r="FAZ79" s="498" t="n"/>
      <c r="FBA79" s="498" t="n"/>
      <c r="FBB79" s="498" t="n"/>
      <c r="FBC79" s="498" t="n"/>
      <c r="FBD79" s="498" t="n"/>
      <c r="FBE79" s="498" t="n"/>
      <c r="FBF79" s="498" t="n"/>
      <c r="FBG79" s="498" t="n"/>
      <c r="FBH79" s="498" t="n"/>
      <c r="FBI79" s="498" t="n"/>
      <c r="FBJ79" s="498" t="n"/>
      <c r="FBK79" s="498" t="n"/>
      <c r="FBL79" s="498" t="n"/>
      <c r="FBM79" s="498" t="n"/>
      <c r="FBN79" s="498" t="n"/>
      <c r="FBO79" s="498" t="n"/>
      <c r="FBP79" s="498" t="n"/>
      <c r="FBQ79" s="498" t="n"/>
      <c r="FBR79" s="498" t="n"/>
      <c r="FBS79" s="498" t="n"/>
      <c r="FBT79" s="498" t="n"/>
      <c r="FBU79" s="498" t="n"/>
      <c r="FBV79" s="498" t="n"/>
      <c r="FBW79" s="498" t="n"/>
      <c r="FBX79" s="498" t="n"/>
      <c r="FBY79" s="498" t="n"/>
      <c r="FBZ79" s="498" t="n"/>
      <c r="FCA79" s="498" t="n"/>
      <c r="FCB79" s="498" t="n"/>
      <c r="FCC79" s="498" t="n"/>
      <c r="FCD79" s="498" t="n"/>
      <c r="FCE79" s="498" t="n"/>
      <c r="FCF79" s="498" t="n"/>
      <c r="FCG79" s="498" t="n"/>
      <c r="FCH79" s="498" t="n"/>
      <c r="FCI79" s="498" t="n"/>
      <c r="FCJ79" s="498" t="n"/>
      <c r="FCK79" s="498" t="n"/>
      <c r="FCL79" s="498" t="n"/>
      <c r="FCM79" s="498" t="n"/>
      <c r="FCN79" s="498" t="n"/>
      <c r="FCO79" s="498" t="n"/>
      <c r="FCP79" s="498" t="n"/>
      <c r="FCQ79" s="498" t="n"/>
      <c r="FCR79" s="498" t="n"/>
      <c r="FCS79" s="498" t="n"/>
      <c r="FCT79" s="498" t="n"/>
      <c r="FCU79" s="498" t="n"/>
      <c r="FCV79" s="498" t="n"/>
      <c r="FCW79" s="498" t="n"/>
      <c r="FCX79" s="498" t="n"/>
      <c r="FCY79" s="498" t="n"/>
      <c r="FCZ79" s="498" t="n"/>
      <c r="FDA79" s="498" t="n"/>
      <c r="FDB79" s="498" t="n"/>
      <c r="FDC79" s="498" t="n"/>
      <c r="FDD79" s="498" t="n"/>
      <c r="FDE79" s="498" t="n"/>
      <c r="FDF79" s="498" t="n"/>
      <c r="FDG79" s="498" t="n"/>
      <c r="FDH79" s="498" t="n"/>
      <c r="FDI79" s="498" t="n"/>
      <c r="FDJ79" s="498" t="n"/>
      <c r="FDK79" s="498" t="n"/>
      <c r="FDL79" s="498" t="n"/>
      <c r="FDM79" s="498" t="n"/>
      <c r="FDN79" s="498" t="n"/>
      <c r="FDO79" s="498" t="n"/>
      <c r="FDP79" s="498" t="n"/>
      <c r="FDQ79" s="498" t="n"/>
      <c r="FDR79" s="498" t="n"/>
      <c r="FDS79" s="498" t="n"/>
      <c r="FDT79" s="498" t="n"/>
      <c r="FDU79" s="498" t="n"/>
      <c r="FDV79" s="498" t="n"/>
      <c r="FDW79" s="498" t="n"/>
      <c r="FDX79" s="498" t="n"/>
      <c r="FDY79" s="498" t="n"/>
      <c r="FDZ79" s="498" t="n"/>
      <c r="FEA79" s="498" t="n"/>
      <c r="FEB79" s="498" t="n"/>
      <c r="FEC79" s="498" t="n"/>
      <c r="FED79" s="498" t="n"/>
      <c r="FEE79" s="498" t="n"/>
      <c r="FEF79" s="498" t="n"/>
      <c r="FEG79" s="498" t="n"/>
      <c r="FEH79" s="498" t="n"/>
      <c r="FEI79" s="498" t="n"/>
      <c r="FEJ79" s="498" t="n"/>
      <c r="FEK79" s="498" t="n"/>
      <c r="FEL79" s="498" t="n"/>
      <c r="FEM79" s="498" t="n"/>
      <c r="FEN79" s="498" t="n"/>
      <c r="FEO79" s="498" t="n"/>
      <c r="FEP79" s="498" t="n"/>
      <c r="FEQ79" s="498" t="n"/>
      <c r="FER79" s="498" t="n"/>
      <c r="FES79" s="498" t="n"/>
      <c r="FET79" s="498" t="n"/>
      <c r="FEU79" s="498" t="n"/>
      <c r="FEV79" s="498" t="n"/>
      <c r="FEW79" s="498" t="n"/>
      <c r="FEX79" s="498" t="n"/>
      <c r="FEY79" s="498" t="n"/>
      <c r="FEZ79" s="498" t="n"/>
      <c r="FFA79" s="498" t="n"/>
      <c r="FFB79" s="498" t="n"/>
      <c r="FFC79" s="498" t="n"/>
      <c r="FFD79" s="498" t="n"/>
      <c r="FFE79" s="498" t="n"/>
      <c r="FFF79" s="498" t="n"/>
      <c r="FFG79" s="498" t="n"/>
      <c r="FFH79" s="498" t="n"/>
      <c r="FFI79" s="498" t="n"/>
      <c r="FFJ79" s="498" t="n"/>
      <c r="FFK79" s="498" t="n"/>
      <c r="FFL79" s="498" t="n"/>
      <c r="FFM79" s="498" t="n"/>
      <c r="FFN79" s="498" t="n"/>
      <c r="FFO79" s="498" t="n"/>
      <c r="FFP79" s="498" t="n"/>
      <c r="FFQ79" s="498" t="n"/>
      <c r="FFR79" s="498" t="n"/>
      <c r="FFS79" s="498" t="n"/>
      <c r="FFT79" s="498" t="n"/>
      <c r="FFU79" s="498" t="n"/>
      <c r="FFV79" s="498" t="n"/>
      <c r="FFW79" s="498" t="n"/>
      <c r="FFX79" s="498" t="n"/>
      <c r="FFY79" s="498" t="n"/>
      <c r="FFZ79" s="498" t="n"/>
      <c r="FGA79" s="498" t="n"/>
      <c r="FGB79" s="498" t="n"/>
      <c r="FGC79" s="498" t="n"/>
      <c r="FGD79" s="498" t="n"/>
      <c r="FGE79" s="498" t="n"/>
      <c r="FGF79" s="498" t="n"/>
      <c r="FGG79" s="498" t="n"/>
      <c r="FGH79" s="498" t="n"/>
      <c r="FGI79" s="498" t="n"/>
      <c r="FGJ79" s="498" t="n"/>
      <c r="FGK79" s="498" t="n"/>
      <c r="FGL79" s="498" t="n"/>
      <c r="FGM79" s="498" t="n"/>
      <c r="FGN79" s="498" t="n"/>
      <c r="FGO79" s="498" t="n"/>
      <c r="FGP79" s="498" t="n"/>
      <c r="FGQ79" s="498" t="n"/>
      <c r="FGR79" s="498" t="n"/>
      <c r="FGS79" s="498" t="n"/>
      <c r="FGT79" s="498" t="n"/>
      <c r="FGU79" s="498" t="n"/>
      <c r="FGV79" s="498" t="n"/>
      <c r="FGW79" s="498" t="n"/>
      <c r="FGX79" s="498" t="n"/>
      <c r="FGY79" s="498" t="n"/>
      <c r="FGZ79" s="498" t="n"/>
      <c r="FHA79" s="498" t="n"/>
      <c r="FHB79" s="498" t="n"/>
      <c r="FHC79" s="498" t="n"/>
      <c r="FHD79" s="498" t="n"/>
      <c r="FHE79" s="498" t="n"/>
      <c r="FHF79" s="498" t="n"/>
      <c r="FHG79" s="498" t="n"/>
      <c r="FHH79" s="498" t="n"/>
      <c r="FHI79" s="498" t="n"/>
      <c r="FHJ79" s="498" t="n"/>
      <c r="FHK79" s="498" t="n"/>
      <c r="FHL79" s="498" t="n"/>
      <c r="FHM79" s="498" t="n"/>
      <c r="FHN79" s="498" t="n"/>
      <c r="FHO79" s="498" t="n"/>
      <c r="FHP79" s="498" t="n"/>
      <c r="FHQ79" s="498" t="n"/>
      <c r="FHR79" s="498" t="n"/>
      <c r="FHS79" s="498" t="n"/>
      <c r="FHT79" s="498" t="n"/>
      <c r="FHU79" s="498" t="n"/>
      <c r="FHV79" s="498" t="n"/>
      <c r="FHW79" s="498" t="n"/>
      <c r="FHX79" s="498" t="n"/>
      <c r="FHY79" s="498" t="n"/>
      <c r="FHZ79" s="498" t="n"/>
      <c r="FIA79" s="498" t="n"/>
      <c r="FIB79" s="498" t="n"/>
      <c r="FIC79" s="498" t="n"/>
      <c r="FID79" s="498" t="n"/>
      <c r="FIE79" s="498" t="n"/>
      <c r="FIF79" s="498" t="n"/>
      <c r="FIG79" s="498" t="n"/>
      <c r="FIH79" s="498" t="n"/>
      <c r="FII79" s="498" t="n"/>
      <c r="FIJ79" s="498" t="n"/>
      <c r="FIK79" s="498" t="n"/>
      <c r="FIL79" s="498" t="n"/>
      <c r="FIM79" s="498" t="n"/>
      <c r="FIN79" s="498" t="n"/>
      <c r="FIO79" s="498" t="n"/>
      <c r="FIP79" s="498" t="n"/>
      <c r="FIQ79" s="498" t="n"/>
      <c r="FIR79" s="498" t="n"/>
      <c r="FIS79" s="498" t="n"/>
      <c r="FIT79" s="498" t="n"/>
      <c r="FIU79" s="498" t="n"/>
      <c r="FIV79" s="498" t="n"/>
      <c r="FIW79" s="498" t="n"/>
      <c r="FIX79" s="498" t="n"/>
      <c r="FIY79" s="498" t="n"/>
      <c r="FIZ79" s="498" t="n"/>
      <c r="FJA79" s="498" t="n"/>
      <c r="FJB79" s="498" t="n"/>
      <c r="FJC79" s="498" t="n"/>
      <c r="FJD79" s="498" t="n"/>
      <c r="FJE79" s="498" t="n"/>
      <c r="FJF79" s="498" t="n"/>
      <c r="FJG79" s="498" t="n"/>
      <c r="FJH79" s="498" t="n"/>
      <c r="FJI79" s="498" t="n"/>
      <c r="FJJ79" s="498" t="n"/>
      <c r="FJK79" s="498" t="n"/>
      <c r="FJL79" s="498" t="n"/>
      <c r="FJM79" s="498" t="n"/>
      <c r="FJN79" s="498" t="n"/>
      <c r="FJO79" s="498" t="n"/>
      <c r="FJP79" s="498" t="n"/>
      <c r="FJQ79" s="498" t="n"/>
      <c r="FJR79" s="498" t="n"/>
      <c r="FJS79" s="498" t="n"/>
      <c r="FJT79" s="498" t="n"/>
      <c r="FJU79" s="498" t="n"/>
      <c r="FJV79" s="498" t="n"/>
      <c r="FJW79" s="498" t="n"/>
      <c r="FJX79" s="498" t="n"/>
      <c r="FJY79" s="498" t="n"/>
      <c r="FJZ79" s="498" t="n"/>
      <c r="FKA79" s="498" t="n"/>
      <c r="FKB79" s="498" t="n"/>
      <c r="FKC79" s="498" t="n"/>
      <c r="FKD79" s="498" t="n"/>
      <c r="FKE79" s="498" t="n"/>
      <c r="FKF79" s="498" t="n"/>
      <c r="FKG79" s="498" t="n"/>
      <c r="FKH79" s="498" t="n"/>
      <c r="FKI79" s="498" t="n"/>
      <c r="FKJ79" s="498" t="n"/>
      <c r="FKK79" s="498" t="n"/>
      <c r="FKL79" s="498" t="n"/>
      <c r="FKM79" s="498" t="n"/>
      <c r="FKN79" s="498" t="n"/>
      <c r="FKO79" s="498" t="n"/>
      <c r="FKP79" s="498" t="n"/>
      <c r="FKQ79" s="498" t="n"/>
      <c r="FKR79" s="498" t="n"/>
      <c r="FKS79" s="498" t="n"/>
      <c r="FKT79" s="498" t="n"/>
      <c r="FKU79" s="498" t="n"/>
      <c r="FKV79" s="498" t="n"/>
      <c r="FKW79" s="498" t="n"/>
      <c r="FKX79" s="498" t="n"/>
      <c r="FKY79" s="498" t="n"/>
      <c r="FKZ79" s="498" t="n"/>
      <c r="FLA79" s="498" t="n"/>
      <c r="FLB79" s="498" t="n"/>
      <c r="FLC79" s="498" t="n"/>
      <c r="FLD79" s="498" t="n"/>
      <c r="FLE79" s="498" t="n"/>
      <c r="FLF79" s="498" t="n"/>
      <c r="FLG79" s="498" t="n"/>
      <c r="FLH79" s="498" t="n"/>
      <c r="FLI79" s="498" t="n"/>
      <c r="FLJ79" s="498" t="n"/>
      <c r="FLK79" s="498" t="n"/>
      <c r="FLL79" s="498" t="n"/>
      <c r="FLM79" s="498" t="n"/>
      <c r="FLN79" s="498" t="n"/>
      <c r="FLO79" s="498" t="n"/>
      <c r="FLP79" s="498" t="n"/>
      <c r="FLQ79" s="498" t="n"/>
      <c r="FLR79" s="498" t="n"/>
      <c r="FLS79" s="498" t="n"/>
      <c r="FLT79" s="498" t="n"/>
      <c r="FLU79" s="498" t="n"/>
      <c r="FLV79" s="498" t="n"/>
      <c r="FLW79" s="498" t="n"/>
      <c r="FLX79" s="498" t="n"/>
      <c r="FLY79" s="498" t="n"/>
      <c r="FLZ79" s="498" t="n"/>
      <c r="FMA79" s="498" t="n"/>
      <c r="FMB79" s="498" t="n"/>
      <c r="FMC79" s="498" t="n"/>
      <c r="FMD79" s="498" t="n"/>
      <c r="FME79" s="498" t="n"/>
      <c r="FMF79" s="498" t="n"/>
      <c r="FMG79" s="498" t="n"/>
      <c r="FMH79" s="498" t="n"/>
      <c r="FMI79" s="498" t="n"/>
      <c r="FMJ79" s="498" t="n"/>
      <c r="FMK79" s="498" t="n"/>
      <c r="FML79" s="498" t="n"/>
      <c r="FMM79" s="498" t="n"/>
      <c r="FMN79" s="498" t="n"/>
      <c r="FMO79" s="498" t="n"/>
      <c r="FMP79" s="498" t="n"/>
      <c r="FMQ79" s="498" t="n"/>
      <c r="FMR79" s="498" t="n"/>
      <c r="FMS79" s="498" t="n"/>
      <c r="FMT79" s="498" t="n"/>
      <c r="FMU79" s="498" t="n"/>
      <c r="FMV79" s="498" t="n"/>
      <c r="FMW79" s="498" t="n"/>
      <c r="FMX79" s="498" t="n"/>
      <c r="FMY79" s="498" t="n"/>
      <c r="FMZ79" s="498" t="n"/>
      <c r="FNA79" s="498" t="n"/>
      <c r="FNB79" s="498" t="n"/>
      <c r="FNC79" s="498" t="n"/>
      <c r="FND79" s="498" t="n"/>
      <c r="FNE79" s="498" t="n"/>
      <c r="FNF79" s="498" t="n"/>
      <c r="FNG79" s="498" t="n"/>
      <c r="FNH79" s="498" t="n"/>
      <c r="FNI79" s="498" t="n"/>
      <c r="FNJ79" s="498" t="n"/>
      <c r="FNK79" s="498" t="n"/>
      <c r="FNL79" s="498" t="n"/>
      <c r="FNM79" s="498" t="n"/>
      <c r="FNN79" s="498" t="n"/>
      <c r="FNO79" s="498" t="n"/>
      <c r="FNP79" s="498" t="n"/>
      <c r="FNQ79" s="498" t="n"/>
      <c r="FNR79" s="498" t="n"/>
      <c r="FNS79" s="498" t="n"/>
      <c r="FNT79" s="498" t="n"/>
      <c r="FNU79" s="498" t="n"/>
      <c r="FNV79" s="498" t="n"/>
      <c r="FNW79" s="498" t="n"/>
      <c r="FNX79" s="498" t="n"/>
      <c r="FNY79" s="498" t="n"/>
      <c r="FNZ79" s="498" t="n"/>
      <c r="FOA79" s="498" t="n"/>
      <c r="FOB79" s="498" t="n"/>
      <c r="FOC79" s="498" t="n"/>
      <c r="FOD79" s="498" t="n"/>
      <c r="FOE79" s="498" t="n"/>
      <c r="FOF79" s="498" t="n"/>
      <c r="FOG79" s="498" t="n"/>
      <c r="FOH79" s="498" t="n"/>
      <c r="FOI79" s="498" t="n"/>
      <c r="FOJ79" s="498" t="n"/>
      <c r="FOK79" s="498" t="n"/>
      <c r="FOL79" s="498" t="n"/>
      <c r="FOM79" s="498" t="n"/>
      <c r="FON79" s="498" t="n"/>
      <c r="FOO79" s="498" t="n"/>
      <c r="FOP79" s="498" t="n"/>
      <c r="FOQ79" s="498" t="n"/>
      <c r="FOR79" s="498" t="n"/>
      <c r="FOS79" s="498" t="n"/>
      <c r="FOT79" s="498" t="n"/>
      <c r="FOU79" s="498" t="n"/>
      <c r="FOV79" s="498" t="n"/>
      <c r="FOW79" s="498" t="n"/>
      <c r="FOX79" s="498" t="n"/>
      <c r="FOY79" s="498" t="n"/>
      <c r="FOZ79" s="498" t="n"/>
      <c r="FPA79" s="498" t="n"/>
      <c r="FPB79" s="498" t="n"/>
      <c r="FPC79" s="498" t="n"/>
      <c r="FPD79" s="498" t="n"/>
      <c r="FPE79" s="498" t="n"/>
      <c r="FPF79" s="498" t="n"/>
      <c r="FPG79" s="498" t="n"/>
      <c r="FPH79" s="498" t="n"/>
      <c r="FPI79" s="498" t="n"/>
      <c r="FPJ79" s="498" t="n"/>
      <c r="FPK79" s="498" t="n"/>
      <c r="FPL79" s="498" t="n"/>
      <c r="FPM79" s="498" t="n"/>
      <c r="FPN79" s="498" t="n"/>
      <c r="FPO79" s="498" t="n"/>
      <c r="FPP79" s="498" t="n"/>
      <c r="FPQ79" s="498" t="n"/>
      <c r="FPR79" s="498" t="n"/>
      <c r="FPS79" s="498" t="n"/>
      <c r="FPT79" s="498" t="n"/>
      <c r="FPU79" s="498" t="n"/>
      <c r="FPV79" s="498" t="n"/>
      <c r="FPW79" s="498" t="n"/>
      <c r="FPX79" s="498" t="n"/>
      <c r="FPY79" s="498" t="n"/>
      <c r="FPZ79" s="498" t="n"/>
      <c r="FQA79" s="498" t="n"/>
      <c r="FQB79" s="498" t="n"/>
      <c r="FQC79" s="498" t="n"/>
      <c r="FQD79" s="498" t="n"/>
      <c r="FQE79" s="498" t="n"/>
      <c r="FQF79" s="498" t="n"/>
      <c r="FQG79" s="498" t="n"/>
      <c r="FQH79" s="498" t="n"/>
      <c r="FQI79" s="498" t="n"/>
      <c r="FQJ79" s="498" t="n"/>
      <c r="FQK79" s="498" t="n"/>
      <c r="FQL79" s="498" t="n"/>
      <c r="FQM79" s="498" t="n"/>
      <c r="FQN79" s="498" t="n"/>
      <c r="FQO79" s="498" t="n"/>
      <c r="FQP79" s="498" t="n"/>
      <c r="FQQ79" s="498" t="n"/>
      <c r="FQR79" s="498" t="n"/>
      <c r="FQS79" s="498" t="n"/>
      <c r="FQT79" s="498" t="n"/>
      <c r="FQU79" s="498" t="n"/>
      <c r="FQV79" s="498" t="n"/>
      <c r="FQW79" s="498" t="n"/>
      <c r="FQX79" s="498" t="n"/>
      <c r="FQY79" s="498" t="n"/>
      <c r="FQZ79" s="498" t="n"/>
      <c r="FRA79" s="498" t="n"/>
      <c r="FRB79" s="498" t="n"/>
      <c r="FRC79" s="498" t="n"/>
      <c r="FRD79" s="498" t="n"/>
      <c r="FRE79" s="498" t="n"/>
      <c r="FRF79" s="498" t="n"/>
      <c r="FRG79" s="498" t="n"/>
      <c r="FRH79" s="498" t="n"/>
      <c r="FRI79" s="498" t="n"/>
      <c r="FRJ79" s="498" t="n"/>
      <c r="FRK79" s="498" t="n"/>
      <c r="FRL79" s="498" t="n"/>
      <c r="FRM79" s="498" t="n"/>
      <c r="FRN79" s="498" t="n"/>
      <c r="FRO79" s="498" t="n"/>
      <c r="FRP79" s="498" t="n"/>
      <c r="FRQ79" s="498" t="n"/>
      <c r="FRR79" s="498" t="n"/>
      <c r="FRS79" s="498" t="n"/>
      <c r="FRT79" s="498" t="n"/>
      <c r="FRU79" s="498" t="n"/>
      <c r="FRV79" s="498" t="n"/>
      <c r="FRW79" s="498" t="n"/>
      <c r="FRX79" s="498" t="n"/>
      <c r="FRY79" s="498" t="n"/>
      <c r="FRZ79" s="498" t="n"/>
      <c r="FSA79" s="498" t="n"/>
      <c r="FSB79" s="498" t="n"/>
      <c r="FSC79" s="498" t="n"/>
      <c r="FSD79" s="498" t="n"/>
      <c r="FSE79" s="498" t="n"/>
      <c r="FSF79" s="498" t="n"/>
      <c r="FSG79" s="498" t="n"/>
      <c r="FSH79" s="498" t="n"/>
      <c r="FSI79" s="498" t="n"/>
      <c r="FSJ79" s="498" t="n"/>
      <c r="FSK79" s="498" t="n"/>
      <c r="FSL79" s="498" t="n"/>
      <c r="FSM79" s="498" t="n"/>
      <c r="FSN79" s="498" t="n"/>
      <c r="FSO79" s="498" t="n"/>
      <c r="FSP79" s="498" t="n"/>
      <c r="FSQ79" s="498" t="n"/>
      <c r="FSR79" s="498" t="n"/>
      <c r="FSS79" s="498" t="n"/>
      <c r="FST79" s="498" t="n"/>
      <c r="FSU79" s="498" t="n"/>
      <c r="FSV79" s="498" t="n"/>
      <c r="FSW79" s="498" t="n"/>
      <c r="FSX79" s="498" t="n"/>
      <c r="FSY79" s="498" t="n"/>
      <c r="FSZ79" s="498" t="n"/>
      <c r="FTA79" s="498" t="n"/>
      <c r="FTB79" s="498" t="n"/>
      <c r="FTC79" s="498" t="n"/>
      <c r="FTD79" s="498" t="n"/>
      <c r="FTE79" s="498" t="n"/>
      <c r="FTF79" s="498" t="n"/>
      <c r="FTG79" s="498" t="n"/>
      <c r="FTH79" s="498" t="n"/>
      <c r="FTI79" s="498" t="n"/>
      <c r="FTJ79" s="498" t="n"/>
      <c r="FTK79" s="498" t="n"/>
      <c r="FTL79" s="498" t="n"/>
      <c r="FTM79" s="498" t="n"/>
      <c r="FTN79" s="498" t="n"/>
      <c r="FTO79" s="498" t="n"/>
      <c r="FTP79" s="498" t="n"/>
      <c r="FTQ79" s="498" t="n"/>
      <c r="FTR79" s="498" t="n"/>
      <c r="FTS79" s="498" t="n"/>
      <c r="FTT79" s="498" t="n"/>
      <c r="FTU79" s="498" t="n"/>
      <c r="FTV79" s="498" t="n"/>
      <c r="FTW79" s="498" t="n"/>
      <c r="FTX79" s="498" t="n"/>
      <c r="FTY79" s="498" t="n"/>
      <c r="FTZ79" s="498" t="n"/>
      <c r="FUA79" s="498" t="n"/>
      <c r="FUB79" s="498" t="n"/>
      <c r="FUC79" s="498" t="n"/>
      <c r="FUD79" s="498" t="n"/>
      <c r="FUE79" s="498" t="n"/>
      <c r="FUF79" s="498" t="n"/>
      <c r="FUG79" s="498" t="n"/>
      <c r="FUH79" s="498" t="n"/>
      <c r="FUI79" s="498" t="n"/>
      <c r="FUJ79" s="498" t="n"/>
      <c r="FUK79" s="498" t="n"/>
      <c r="FUL79" s="498" t="n"/>
      <c r="FUM79" s="498" t="n"/>
      <c r="FUN79" s="498" t="n"/>
      <c r="FUO79" s="498" t="n"/>
      <c r="FUP79" s="498" t="n"/>
      <c r="FUQ79" s="498" t="n"/>
      <c r="FUR79" s="498" t="n"/>
      <c r="FUS79" s="498" t="n"/>
      <c r="FUT79" s="498" t="n"/>
      <c r="FUU79" s="498" t="n"/>
      <c r="FUV79" s="498" t="n"/>
      <c r="FUW79" s="498" t="n"/>
      <c r="FUX79" s="498" t="n"/>
      <c r="FUY79" s="498" t="n"/>
      <c r="FUZ79" s="498" t="n"/>
      <c r="FVA79" s="498" t="n"/>
      <c r="FVB79" s="498" t="n"/>
      <c r="FVC79" s="498" t="n"/>
      <c r="FVD79" s="498" t="n"/>
      <c r="FVE79" s="498" t="n"/>
      <c r="FVF79" s="498" t="n"/>
      <c r="FVG79" s="498" t="n"/>
      <c r="FVH79" s="498" t="n"/>
      <c r="FVI79" s="498" t="n"/>
      <c r="FVJ79" s="498" t="n"/>
      <c r="FVK79" s="498" t="n"/>
      <c r="FVL79" s="498" t="n"/>
      <c r="FVM79" s="498" t="n"/>
      <c r="FVN79" s="498" t="n"/>
      <c r="FVO79" s="498" t="n"/>
      <c r="FVP79" s="498" t="n"/>
      <c r="FVQ79" s="498" t="n"/>
      <c r="FVR79" s="498" t="n"/>
      <c r="FVS79" s="498" t="n"/>
      <c r="FVT79" s="498" t="n"/>
      <c r="FVU79" s="498" t="n"/>
      <c r="FVV79" s="498" t="n"/>
      <c r="FVW79" s="498" t="n"/>
      <c r="FVX79" s="498" t="n"/>
      <c r="FVY79" s="498" t="n"/>
      <c r="FVZ79" s="498" t="n"/>
      <c r="FWA79" s="498" t="n"/>
      <c r="FWB79" s="498" t="n"/>
      <c r="FWC79" s="498" t="n"/>
      <c r="FWD79" s="498" t="n"/>
      <c r="FWE79" s="498" t="n"/>
      <c r="FWF79" s="498" t="n"/>
      <c r="FWG79" s="498" t="n"/>
      <c r="FWH79" s="498" t="n"/>
      <c r="FWI79" s="498" t="n"/>
      <c r="FWJ79" s="498" t="n"/>
      <c r="FWK79" s="498" t="n"/>
      <c r="FWL79" s="498" t="n"/>
      <c r="FWM79" s="498" t="n"/>
      <c r="FWN79" s="498" t="n"/>
      <c r="FWO79" s="498" t="n"/>
      <c r="FWP79" s="498" t="n"/>
      <c r="FWQ79" s="498" t="n"/>
      <c r="FWR79" s="498" t="n"/>
      <c r="FWS79" s="498" t="n"/>
      <c r="FWT79" s="498" t="n"/>
      <c r="FWU79" s="498" t="n"/>
      <c r="FWV79" s="498" t="n"/>
      <c r="FWW79" s="498" t="n"/>
      <c r="FWX79" s="498" t="n"/>
      <c r="FWY79" s="498" t="n"/>
      <c r="FWZ79" s="498" t="n"/>
      <c r="FXA79" s="498" t="n"/>
      <c r="FXB79" s="498" t="n"/>
      <c r="FXC79" s="498" t="n"/>
      <c r="FXD79" s="498" t="n"/>
      <c r="FXE79" s="498" t="n"/>
      <c r="FXF79" s="498" t="n"/>
      <c r="FXG79" s="498" t="n"/>
      <c r="FXH79" s="498" t="n"/>
      <c r="FXI79" s="498" t="n"/>
      <c r="FXJ79" s="498" t="n"/>
      <c r="FXK79" s="498" t="n"/>
      <c r="FXL79" s="498" t="n"/>
      <c r="FXM79" s="498" t="n"/>
      <c r="FXN79" s="498" t="n"/>
      <c r="FXO79" s="498" t="n"/>
      <c r="FXP79" s="498" t="n"/>
      <c r="FXQ79" s="498" t="n"/>
      <c r="FXR79" s="498" t="n"/>
      <c r="FXS79" s="498" t="n"/>
      <c r="FXT79" s="498" t="n"/>
      <c r="FXU79" s="498" t="n"/>
      <c r="FXV79" s="498" t="n"/>
      <c r="FXW79" s="498" t="n"/>
      <c r="FXX79" s="498" t="n"/>
      <c r="FXY79" s="498" t="n"/>
      <c r="FXZ79" s="498" t="n"/>
      <c r="FYA79" s="498" t="n"/>
      <c r="FYB79" s="498" t="n"/>
      <c r="FYC79" s="498" t="n"/>
      <c r="FYD79" s="498" t="n"/>
      <c r="FYE79" s="498" t="n"/>
      <c r="FYF79" s="498" t="n"/>
      <c r="FYG79" s="498" t="n"/>
      <c r="FYH79" s="498" t="n"/>
      <c r="FYI79" s="498" t="n"/>
      <c r="FYJ79" s="498" t="n"/>
      <c r="FYK79" s="498" t="n"/>
      <c r="FYL79" s="498" t="n"/>
      <c r="FYM79" s="498" t="n"/>
      <c r="FYN79" s="498" t="n"/>
      <c r="FYO79" s="498" t="n"/>
      <c r="FYP79" s="498" t="n"/>
      <c r="FYQ79" s="498" t="n"/>
      <c r="FYR79" s="498" t="n"/>
      <c r="FYS79" s="498" t="n"/>
      <c r="FYT79" s="498" t="n"/>
      <c r="FYU79" s="498" t="n"/>
      <c r="FYV79" s="498" t="n"/>
      <c r="FYW79" s="498" t="n"/>
      <c r="FYX79" s="498" t="n"/>
      <c r="FYY79" s="498" t="n"/>
      <c r="FYZ79" s="498" t="n"/>
      <c r="FZA79" s="498" t="n"/>
      <c r="FZB79" s="498" t="n"/>
      <c r="FZC79" s="498" t="n"/>
      <c r="FZD79" s="498" t="n"/>
      <c r="FZE79" s="498" t="n"/>
      <c r="FZF79" s="498" t="n"/>
      <c r="FZG79" s="498" t="n"/>
      <c r="FZH79" s="498" t="n"/>
      <c r="FZI79" s="498" t="n"/>
      <c r="FZJ79" s="498" t="n"/>
      <c r="FZK79" s="498" t="n"/>
      <c r="FZL79" s="498" t="n"/>
      <c r="FZM79" s="498" t="n"/>
      <c r="FZN79" s="498" t="n"/>
      <c r="FZO79" s="498" t="n"/>
      <c r="FZP79" s="498" t="n"/>
      <c r="FZQ79" s="498" t="n"/>
      <c r="FZR79" s="498" t="n"/>
      <c r="FZS79" s="498" t="n"/>
      <c r="FZT79" s="498" t="n"/>
      <c r="FZU79" s="498" t="n"/>
      <c r="FZV79" s="498" t="n"/>
      <c r="FZW79" s="498" t="n"/>
      <c r="FZX79" s="498" t="n"/>
      <c r="FZY79" s="498" t="n"/>
      <c r="FZZ79" s="498" t="n"/>
      <c r="GAA79" s="498" t="n"/>
      <c r="GAB79" s="498" t="n"/>
      <c r="GAC79" s="498" t="n"/>
      <c r="GAD79" s="498" t="n"/>
      <c r="GAE79" s="498" t="n"/>
      <c r="GAF79" s="498" t="n"/>
      <c r="GAG79" s="498" t="n"/>
      <c r="GAH79" s="498" t="n"/>
      <c r="GAI79" s="498" t="n"/>
      <c r="GAJ79" s="498" t="n"/>
      <c r="GAK79" s="498" t="n"/>
      <c r="GAL79" s="498" t="n"/>
      <c r="GAM79" s="498" t="n"/>
      <c r="GAN79" s="498" t="n"/>
      <c r="GAO79" s="498" t="n"/>
      <c r="GAP79" s="498" t="n"/>
      <c r="GAQ79" s="498" t="n"/>
      <c r="GAR79" s="498" t="n"/>
      <c r="GAS79" s="498" t="n"/>
      <c r="GAT79" s="498" t="n"/>
      <c r="GAU79" s="498" t="n"/>
      <c r="GAV79" s="498" t="n"/>
      <c r="GAW79" s="498" t="n"/>
      <c r="GAX79" s="498" t="n"/>
      <c r="GAY79" s="498" t="n"/>
      <c r="GAZ79" s="498" t="n"/>
      <c r="GBA79" s="498" t="n"/>
      <c r="GBB79" s="498" t="n"/>
      <c r="GBC79" s="498" t="n"/>
      <c r="GBD79" s="498" t="n"/>
      <c r="GBE79" s="498" t="n"/>
      <c r="GBF79" s="498" t="n"/>
      <c r="GBG79" s="498" t="n"/>
      <c r="GBH79" s="498" t="n"/>
      <c r="GBI79" s="498" t="n"/>
      <c r="GBJ79" s="498" t="n"/>
      <c r="GBK79" s="498" t="n"/>
      <c r="GBL79" s="498" t="n"/>
      <c r="GBM79" s="498" t="n"/>
      <c r="GBN79" s="498" t="n"/>
      <c r="GBO79" s="498" t="n"/>
      <c r="GBP79" s="498" t="n"/>
      <c r="GBQ79" s="498" t="n"/>
      <c r="GBR79" s="498" t="n"/>
      <c r="GBS79" s="498" t="n"/>
      <c r="GBT79" s="498" t="n"/>
      <c r="GBU79" s="498" t="n"/>
      <c r="GBV79" s="498" t="n"/>
      <c r="GBW79" s="498" t="n"/>
      <c r="GBX79" s="498" t="n"/>
      <c r="GBY79" s="498" t="n"/>
      <c r="GBZ79" s="498" t="n"/>
      <c r="GCA79" s="498" t="n"/>
      <c r="GCB79" s="498" t="n"/>
      <c r="GCC79" s="498" t="n"/>
      <c r="GCD79" s="498" t="n"/>
      <c r="GCE79" s="498" t="n"/>
      <c r="GCF79" s="498" t="n"/>
      <c r="GCG79" s="498" t="n"/>
      <c r="GCH79" s="498" t="n"/>
      <c r="GCI79" s="498" t="n"/>
      <c r="GCJ79" s="498" t="n"/>
      <c r="GCK79" s="498" t="n"/>
      <c r="GCL79" s="498" t="n"/>
      <c r="GCM79" s="498" t="n"/>
      <c r="GCN79" s="498" t="n"/>
      <c r="GCO79" s="498" t="n"/>
      <c r="GCP79" s="498" t="n"/>
      <c r="GCQ79" s="498" t="n"/>
      <c r="GCR79" s="498" t="n"/>
      <c r="GCS79" s="498" t="n"/>
      <c r="GCT79" s="498" t="n"/>
      <c r="GCU79" s="498" t="n"/>
      <c r="GCV79" s="498" t="n"/>
      <c r="GCW79" s="498" t="n"/>
      <c r="GCX79" s="498" t="n"/>
      <c r="GCY79" s="498" t="n"/>
      <c r="GCZ79" s="498" t="n"/>
      <c r="GDA79" s="498" t="n"/>
      <c r="GDB79" s="498" t="n"/>
      <c r="GDC79" s="498" t="n"/>
      <c r="GDD79" s="498" t="n"/>
      <c r="GDE79" s="498" t="n"/>
      <c r="GDF79" s="498" t="n"/>
      <c r="GDG79" s="498" t="n"/>
      <c r="GDH79" s="498" t="n"/>
      <c r="GDI79" s="498" t="n"/>
      <c r="GDJ79" s="498" t="n"/>
      <c r="GDK79" s="498" t="n"/>
      <c r="GDL79" s="498" t="n"/>
      <c r="GDM79" s="498" t="n"/>
      <c r="GDN79" s="498" t="n"/>
      <c r="GDO79" s="498" t="n"/>
      <c r="GDP79" s="498" t="n"/>
      <c r="GDQ79" s="498" t="n"/>
      <c r="GDR79" s="498" t="n"/>
      <c r="GDS79" s="498" t="n"/>
      <c r="GDT79" s="498" t="n"/>
      <c r="GDU79" s="498" t="n"/>
      <c r="GDV79" s="498" t="n"/>
      <c r="GDW79" s="498" t="n"/>
      <c r="GDX79" s="498" t="n"/>
      <c r="GDY79" s="498" t="n"/>
      <c r="GDZ79" s="498" t="n"/>
      <c r="GEA79" s="498" t="n"/>
      <c r="GEB79" s="498" t="n"/>
      <c r="GEC79" s="498" t="n"/>
      <c r="GED79" s="498" t="n"/>
      <c r="GEE79" s="498" t="n"/>
      <c r="GEF79" s="498" t="n"/>
      <c r="GEG79" s="498" t="n"/>
      <c r="GEH79" s="498" t="n"/>
      <c r="GEI79" s="498" t="n"/>
      <c r="GEJ79" s="498" t="n"/>
      <c r="GEK79" s="498" t="n"/>
      <c r="GEL79" s="498" t="n"/>
      <c r="GEM79" s="498" t="n"/>
      <c r="GEN79" s="498" t="n"/>
      <c r="GEO79" s="498" t="n"/>
      <c r="GEP79" s="498" t="n"/>
      <c r="GEQ79" s="498" t="n"/>
      <c r="GER79" s="498" t="n"/>
      <c r="GES79" s="498" t="n"/>
      <c r="GET79" s="498" t="n"/>
      <c r="GEU79" s="498" t="n"/>
      <c r="GEV79" s="498" t="n"/>
      <c r="GEW79" s="498" t="n"/>
      <c r="GEX79" s="498" t="n"/>
      <c r="GEY79" s="498" t="n"/>
      <c r="GEZ79" s="498" t="n"/>
      <c r="GFA79" s="498" t="n"/>
      <c r="GFB79" s="498" t="n"/>
      <c r="GFC79" s="498" t="n"/>
      <c r="GFD79" s="498" t="n"/>
      <c r="GFE79" s="498" t="n"/>
      <c r="GFF79" s="498" t="n"/>
      <c r="GFG79" s="498" t="n"/>
      <c r="GFH79" s="498" t="n"/>
      <c r="GFI79" s="498" t="n"/>
      <c r="GFJ79" s="498" t="n"/>
      <c r="GFK79" s="498" t="n"/>
      <c r="GFL79" s="498" t="n"/>
      <c r="GFM79" s="498" t="n"/>
      <c r="GFN79" s="498" t="n"/>
      <c r="GFO79" s="498" t="n"/>
      <c r="GFP79" s="498" t="n"/>
      <c r="GFQ79" s="498" t="n"/>
      <c r="GFR79" s="498" t="n"/>
      <c r="GFS79" s="498" t="n"/>
      <c r="GFT79" s="498" t="n"/>
      <c r="GFU79" s="498" t="n"/>
      <c r="GFV79" s="498" t="n"/>
      <c r="GFW79" s="498" t="n"/>
      <c r="GFX79" s="498" t="n"/>
      <c r="GFY79" s="498" t="n"/>
      <c r="GFZ79" s="498" t="n"/>
      <c r="GGA79" s="498" t="n"/>
      <c r="GGB79" s="498" t="n"/>
      <c r="GGC79" s="498" t="n"/>
      <c r="GGD79" s="498" t="n"/>
      <c r="GGE79" s="498" t="n"/>
      <c r="GGF79" s="498" t="n"/>
      <c r="GGG79" s="498" t="n"/>
      <c r="GGH79" s="498" t="n"/>
      <c r="GGI79" s="498" t="n"/>
      <c r="GGJ79" s="498" t="n"/>
      <c r="GGK79" s="498" t="n"/>
      <c r="GGL79" s="498" t="n"/>
      <c r="GGM79" s="498" t="n"/>
      <c r="GGN79" s="498" t="n"/>
      <c r="GGO79" s="498" t="n"/>
      <c r="GGP79" s="498" t="n"/>
      <c r="GGQ79" s="498" t="n"/>
      <c r="GGR79" s="498" t="n"/>
      <c r="GGS79" s="498" t="n"/>
      <c r="GGT79" s="498" t="n"/>
      <c r="GGU79" s="498" t="n"/>
      <c r="GGV79" s="498" t="n"/>
      <c r="GGW79" s="498" t="n"/>
      <c r="GGX79" s="498" t="n"/>
      <c r="GGY79" s="498" t="n"/>
      <c r="GGZ79" s="498" t="n"/>
      <c r="GHA79" s="498" t="n"/>
      <c r="GHB79" s="498" t="n"/>
      <c r="GHC79" s="498" t="n"/>
      <c r="GHD79" s="498" t="n"/>
      <c r="GHE79" s="498" t="n"/>
      <c r="GHF79" s="498" t="n"/>
      <c r="GHG79" s="498" t="n"/>
      <c r="GHH79" s="498" t="n"/>
      <c r="GHI79" s="498" t="n"/>
      <c r="GHJ79" s="498" t="n"/>
      <c r="GHK79" s="498" t="n"/>
      <c r="GHL79" s="498" t="n"/>
      <c r="GHM79" s="498" t="n"/>
      <c r="GHN79" s="498" t="n"/>
      <c r="GHO79" s="498" t="n"/>
      <c r="GHP79" s="498" t="n"/>
      <c r="GHQ79" s="498" t="n"/>
      <c r="GHR79" s="498" t="n"/>
      <c r="GHS79" s="498" t="n"/>
      <c r="GHT79" s="498" t="n"/>
      <c r="GHU79" s="498" t="n"/>
      <c r="GHV79" s="498" t="n"/>
      <c r="GHW79" s="498" t="n"/>
      <c r="GHX79" s="498" t="n"/>
      <c r="GHY79" s="498" t="n"/>
      <c r="GHZ79" s="498" t="n"/>
      <c r="GIA79" s="498" t="n"/>
      <c r="GIB79" s="498" t="n"/>
      <c r="GIC79" s="498" t="n"/>
      <c r="GID79" s="498" t="n"/>
      <c r="GIE79" s="498" t="n"/>
      <c r="GIF79" s="498" t="n"/>
      <c r="GIG79" s="498" t="n"/>
      <c r="GIH79" s="498" t="n"/>
      <c r="GII79" s="498" t="n"/>
      <c r="GIJ79" s="498" t="n"/>
      <c r="GIK79" s="498" t="n"/>
      <c r="GIL79" s="498" t="n"/>
      <c r="GIM79" s="498" t="n"/>
      <c r="GIN79" s="498" t="n"/>
      <c r="GIO79" s="498" t="n"/>
      <c r="GIP79" s="498" t="n"/>
      <c r="GIQ79" s="498" t="n"/>
      <c r="GIR79" s="498" t="n"/>
      <c r="GIS79" s="498" t="n"/>
      <c r="GIT79" s="498" t="n"/>
      <c r="GIU79" s="498" t="n"/>
      <c r="GIV79" s="498" t="n"/>
      <c r="GIW79" s="498" t="n"/>
      <c r="GIX79" s="498" t="n"/>
      <c r="GIY79" s="498" t="n"/>
      <c r="GIZ79" s="498" t="n"/>
      <c r="GJA79" s="498" t="n"/>
      <c r="GJB79" s="498" t="n"/>
      <c r="GJC79" s="498" t="n"/>
      <c r="GJD79" s="498" t="n"/>
      <c r="GJE79" s="498" t="n"/>
      <c r="GJF79" s="498" t="n"/>
      <c r="GJG79" s="498" t="n"/>
      <c r="GJH79" s="498" t="n"/>
      <c r="GJI79" s="498" t="n"/>
      <c r="GJJ79" s="498" t="n"/>
      <c r="GJK79" s="498" t="n"/>
      <c r="GJL79" s="498" t="n"/>
      <c r="GJM79" s="498" t="n"/>
      <c r="GJN79" s="498" t="n"/>
      <c r="GJO79" s="498" t="n"/>
      <c r="GJP79" s="498" t="n"/>
      <c r="GJQ79" s="498" t="n"/>
      <c r="GJR79" s="498" t="n"/>
      <c r="GJS79" s="498" t="n"/>
      <c r="GJT79" s="498" t="n"/>
      <c r="GJU79" s="498" t="n"/>
      <c r="GJV79" s="498" t="n"/>
      <c r="GJW79" s="498" t="n"/>
      <c r="GJX79" s="498" t="n"/>
      <c r="GJY79" s="498" t="n"/>
      <c r="GJZ79" s="498" t="n"/>
      <c r="GKA79" s="498" t="n"/>
      <c r="GKB79" s="498" t="n"/>
      <c r="GKC79" s="498" t="n"/>
      <c r="GKD79" s="498" t="n"/>
      <c r="GKE79" s="498" t="n"/>
      <c r="GKF79" s="498" t="n"/>
      <c r="GKG79" s="498" t="n"/>
      <c r="GKH79" s="498" t="n"/>
      <c r="GKI79" s="498" t="n"/>
      <c r="GKJ79" s="498" t="n"/>
      <c r="GKK79" s="498" t="n"/>
      <c r="GKL79" s="498" t="n"/>
      <c r="GKM79" s="498" t="n"/>
      <c r="GKN79" s="498" t="n"/>
      <c r="GKO79" s="498" t="n"/>
      <c r="GKP79" s="498" t="n"/>
      <c r="GKQ79" s="498" t="n"/>
      <c r="GKR79" s="498" t="n"/>
      <c r="GKS79" s="498" t="n"/>
      <c r="GKT79" s="498" t="n"/>
      <c r="GKU79" s="498" t="n"/>
      <c r="GKV79" s="498" t="n"/>
      <c r="GKW79" s="498" t="n"/>
      <c r="GKX79" s="498" t="n"/>
      <c r="GKY79" s="498" t="n"/>
      <c r="GKZ79" s="498" t="n"/>
      <c r="GLA79" s="498" t="n"/>
      <c r="GLB79" s="498" t="n"/>
      <c r="GLC79" s="498" t="n"/>
      <c r="GLD79" s="498" t="n"/>
      <c r="GLE79" s="498" t="n"/>
      <c r="GLF79" s="498" t="n"/>
      <c r="GLG79" s="498" t="n"/>
      <c r="GLH79" s="498" t="n"/>
      <c r="GLI79" s="498" t="n"/>
      <c r="GLJ79" s="498" t="n"/>
      <c r="GLK79" s="498" t="n"/>
      <c r="GLL79" s="498" t="n"/>
      <c r="GLM79" s="498" t="n"/>
      <c r="GLN79" s="498" t="n"/>
      <c r="GLO79" s="498" t="n"/>
      <c r="GLP79" s="498" t="n"/>
      <c r="GLQ79" s="498" t="n"/>
      <c r="GLR79" s="498" t="n"/>
      <c r="GLS79" s="498" t="n"/>
      <c r="GLT79" s="498" t="n"/>
      <c r="GLU79" s="498" t="n"/>
      <c r="GLV79" s="498" t="n"/>
      <c r="GLW79" s="498" t="n"/>
      <c r="GLX79" s="498" t="n"/>
      <c r="GLY79" s="498" t="n"/>
      <c r="GLZ79" s="498" t="n"/>
      <c r="GMA79" s="498" t="n"/>
      <c r="GMB79" s="498" t="n"/>
      <c r="GMC79" s="498" t="n"/>
      <c r="GMD79" s="498" t="n"/>
      <c r="GME79" s="498" t="n"/>
      <c r="GMF79" s="498" t="n"/>
      <c r="GMG79" s="498" t="n"/>
      <c r="GMH79" s="498" t="n"/>
      <c r="GMI79" s="498" t="n"/>
      <c r="GMJ79" s="498" t="n"/>
      <c r="GMK79" s="498" t="n"/>
      <c r="GML79" s="498" t="n"/>
      <c r="GMM79" s="498" t="n"/>
      <c r="GMN79" s="498" t="n"/>
      <c r="GMO79" s="498" t="n"/>
      <c r="GMP79" s="498" t="n"/>
      <c r="GMQ79" s="498" t="n"/>
      <c r="GMR79" s="498" t="n"/>
      <c r="GMS79" s="498" t="n"/>
      <c r="GMT79" s="498" t="n"/>
      <c r="GMU79" s="498" t="n"/>
      <c r="GMV79" s="498" t="n"/>
      <c r="GMW79" s="498" t="n"/>
      <c r="GMX79" s="498" t="n"/>
      <c r="GMY79" s="498" t="n"/>
      <c r="GMZ79" s="498" t="n"/>
      <c r="GNA79" s="498" t="n"/>
      <c r="GNB79" s="498" t="n"/>
      <c r="GNC79" s="498" t="n"/>
      <c r="GND79" s="498" t="n"/>
      <c r="GNE79" s="498" t="n"/>
      <c r="GNF79" s="498" t="n"/>
      <c r="GNG79" s="498" t="n"/>
      <c r="GNH79" s="498" t="n"/>
      <c r="GNI79" s="498" t="n"/>
      <c r="GNJ79" s="498" t="n"/>
      <c r="GNK79" s="498" t="n"/>
      <c r="GNL79" s="498" t="n"/>
      <c r="GNM79" s="498" t="n"/>
      <c r="GNN79" s="498" t="n"/>
      <c r="GNO79" s="498" t="n"/>
      <c r="GNP79" s="498" t="n"/>
      <c r="GNQ79" s="498" t="n"/>
      <c r="GNR79" s="498" t="n"/>
      <c r="GNS79" s="498" t="n"/>
      <c r="GNT79" s="498" t="n"/>
      <c r="GNU79" s="498" t="n"/>
      <c r="GNV79" s="498" t="n"/>
      <c r="GNW79" s="498" t="n"/>
      <c r="GNX79" s="498" t="n"/>
      <c r="GNY79" s="498" t="n"/>
      <c r="GNZ79" s="498" t="n"/>
      <c r="GOA79" s="498" t="n"/>
      <c r="GOB79" s="498" t="n"/>
      <c r="GOC79" s="498" t="n"/>
      <c r="GOD79" s="498" t="n"/>
      <c r="GOE79" s="498" t="n"/>
      <c r="GOF79" s="498" t="n"/>
      <c r="GOG79" s="498" t="n"/>
      <c r="GOH79" s="498" t="n"/>
      <c r="GOI79" s="498" t="n"/>
      <c r="GOJ79" s="498" t="n"/>
      <c r="GOK79" s="498" t="n"/>
      <c r="GOL79" s="498" t="n"/>
      <c r="GOM79" s="498" t="n"/>
      <c r="GON79" s="498" t="n"/>
      <c r="GOO79" s="498" t="n"/>
      <c r="GOP79" s="498" t="n"/>
      <c r="GOQ79" s="498" t="n"/>
      <c r="GOR79" s="498" t="n"/>
      <c r="GOS79" s="498" t="n"/>
      <c r="GOT79" s="498" t="n"/>
      <c r="GOU79" s="498" t="n"/>
      <c r="GOV79" s="498" t="n"/>
      <c r="GOW79" s="498" t="n"/>
      <c r="GOX79" s="498" t="n"/>
      <c r="GOY79" s="498" t="n"/>
      <c r="GOZ79" s="498" t="n"/>
      <c r="GPA79" s="498" t="n"/>
      <c r="GPB79" s="498" t="n"/>
      <c r="GPC79" s="498" t="n"/>
      <c r="GPD79" s="498" t="n"/>
      <c r="GPE79" s="498" t="n"/>
      <c r="GPF79" s="498" t="n"/>
      <c r="GPG79" s="498" t="n"/>
      <c r="GPH79" s="498" t="n"/>
      <c r="GPI79" s="498" t="n"/>
      <c r="GPJ79" s="498" t="n"/>
      <c r="GPK79" s="498" t="n"/>
      <c r="GPL79" s="498" t="n"/>
      <c r="GPM79" s="498" t="n"/>
      <c r="GPN79" s="498" t="n"/>
      <c r="GPO79" s="498" t="n"/>
      <c r="GPP79" s="498" t="n"/>
      <c r="GPQ79" s="498" t="n"/>
      <c r="GPR79" s="498" t="n"/>
      <c r="GPS79" s="498" t="n"/>
      <c r="GPT79" s="498" t="n"/>
      <c r="GPU79" s="498" t="n"/>
      <c r="GPV79" s="498" t="n"/>
      <c r="GPW79" s="498" t="n"/>
      <c r="GPX79" s="498" t="n"/>
      <c r="GPY79" s="498" t="n"/>
      <c r="GPZ79" s="498" t="n"/>
      <c r="GQA79" s="498" t="n"/>
      <c r="GQB79" s="498" t="n"/>
      <c r="GQC79" s="498" t="n"/>
      <c r="GQD79" s="498" t="n"/>
      <c r="GQE79" s="498" t="n"/>
      <c r="GQF79" s="498" t="n"/>
      <c r="GQG79" s="498" t="n"/>
      <c r="GQH79" s="498" t="n"/>
      <c r="GQI79" s="498" t="n"/>
      <c r="GQJ79" s="498" t="n"/>
      <c r="GQK79" s="498" t="n"/>
      <c r="GQL79" s="498" t="n"/>
      <c r="GQM79" s="498" t="n"/>
      <c r="GQN79" s="498" t="n"/>
      <c r="GQO79" s="498" t="n"/>
      <c r="GQP79" s="498" t="n"/>
      <c r="GQQ79" s="498" t="n"/>
      <c r="GQR79" s="498" t="n"/>
      <c r="GQS79" s="498" t="n"/>
      <c r="GQT79" s="498" t="n"/>
      <c r="GQU79" s="498" t="n"/>
      <c r="GQV79" s="498" t="n"/>
      <c r="GQW79" s="498" t="n"/>
      <c r="GQX79" s="498" t="n"/>
      <c r="GQY79" s="498" t="n"/>
      <c r="GQZ79" s="498" t="n"/>
      <c r="GRA79" s="498" t="n"/>
      <c r="GRB79" s="498" t="n"/>
      <c r="GRC79" s="498" t="n"/>
      <c r="GRD79" s="498" t="n"/>
      <c r="GRE79" s="498" t="n"/>
      <c r="GRF79" s="498" t="n"/>
      <c r="GRG79" s="498" t="n"/>
      <c r="GRH79" s="498" t="n"/>
      <c r="GRI79" s="498" t="n"/>
      <c r="GRJ79" s="498" t="n"/>
      <c r="GRK79" s="498" t="n"/>
      <c r="GRL79" s="498" t="n"/>
      <c r="GRM79" s="498" t="n"/>
      <c r="GRN79" s="498" t="n"/>
      <c r="GRO79" s="498" t="n"/>
      <c r="GRP79" s="498" t="n"/>
      <c r="GRQ79" s="498" t="n"/>
      <c r="GRR79" s="498" t="n"/>
      <c r="GRS79" s="498" t="n"/>
      <c r="GRT79" s="498" t="n"/>
      <c r="GRU79" s="498" t="n"/>
      <c r="GRV79" s="498" t="n"/>
      <c r="GRW79" s="498" t="n"/>
      <c r="GRX79" s="498" t="n"/>
      <c r="GRY79" s="498" t="n"/>
      <c r="GRZ79" s="498" t="n"/>
      <c r="GSA79" s="498" t="n"/>
      <c r="GSB79" s="498" t="n"/>
      <c r="GSC79" s="498" t="n"/>
      <c r="GSD79" s="498" t="n"/>
      <c r="GSE79" s="498" t="n"/>
      <c r="GSF79" s="498" t="n"/>
      <c r="GSG79" s="498" t="n"/>
      <c r="GSH79" s="498" t="n"/>
      <c r="GSI79" s="498" t="n"/>
      <c r="GSJ79" s="498" t="n"/>
      <c r="GSK79" s="498" t="n"/>
      <c r="GSL79" s="498" t="n"/>
      <c r="GSM79" s="498" t="n"/>
      <c r="GSN79" s="498" t="n"/>
      <c r="GSO79" s="498" t="n"/>
      <c r="GSP79" s="498" t="n"/>
      <c r="GSQ79" s="498" t="n"/>
      <c r="GSR79" s="498" t="n"/>
      <c r="GSS79" s="498" t="n"/>
      <c r="GST79" s="498" t="n"/>
      <c r="GSU79" s="498" t="n"/>
      <c r="GSV79" s="498" t="n"/>
      <c r="GSW79" s="498" t="n"/>
      <c r="GSX79" s="498" t="n"/>
      <c r="GSY79" s="498" t="n"/>
      <c r="GSZ79" s="498" t="n"/>
      <c r="GTA79" s="498" t="n"/>
      <c r="GTB79" s="498" t="n"/>
      <c r="GTC79" s="498" t="n"/>
      <c r="GTD79" s="498" t="n"/>
      <c r="GTE79" s="498" t="n"/>
      <c r="GTF79" s="498" t="n"/>
      <c r="GTG79" s="498" t="n"/>
      <c r="GTH79" s="498" t="n"/>
      <c r="GTI79" s="498" t="n"/>
      <c r="GTJ79" s="498" t="n"/>
      <c r="GTK79" s="498" t="n"/>
      <c r="GTL79" s="498" t="n"/>
      <c r="GTM79" s="498" t="n"/>
      <c r="GTN79" s="498" t="n"/>
      <c r="GTO79" s="498" t="n"/>
      <c r="GTP79" s="498" t="n"/>
      <c r="GTQ79" s="498" t="n"/>
      <c r="GTR79" s="498" t="n"/>
      <c r="GTS79" s="498" t="n"/>
      <c r="GTT79" s="498" t="n"/>
      <c r="GTU79" s="498" t="n"/>
      <c r="GTV79" s="498" t="n"/>
      <c r="GTW79" s="498" t="n"/>
      <c r="GTX79" s="498" t="n"/>
      <c r="GTY79" s="498" t="n"/>
      <c r="GTZ79" s="498" t="n"/>
      <c r="GUA79" s="498" t="n"/>
      <c r="GUB79" s="498" t="n"/>
      <c r="GUC79" s="498" t="n"/>
      <c r="GUD79" s="498" t="n"/>
      <c r="GUE79" s="498" t="n"/>
      <c r="GUF79" s="498" t="n"/>
      <c r="GUG79" s="498" t="n"/>
      <c r="GUH79" s="498" t="n"/>
      <c r="GUI79" s="498" t="n"/>
      <c r="GUJ79" s="498" t="n"/>
      <c r="GUK79" s="498" t="n"/>
      <c r="GUL79" s="498" t="n"/>
      <c r="GUM79" s="498" t="n"/>
      <c r="GUN79" s="498" t="n"/>
      <c r="GUO79" s="498" t="n"/>
      <c r="GUP79" s="498" t="n"/>
      <c r="GUQ79" s="498" t="n"/>
      <c r="GUR79" s="498" t="n"/>
      <c r="GUS79" s="498" t="n"/>
      <c r="GUT79" s="498" t="n"/>
      <c r="GUU79" s="498" t="n"/>
      <c r="GUV79" s="498" t="n"/>
      <c r="GUW79" s="498" t="n"/>
      <c r="GUX79" s="498" t="n"/>
      <c r="GUY79" s="498" t="n"/>
      <c r="GUZ79" s="498" t="n"/>
      <c r="GVA79" s="498" t="n"/>
      <c r="GVB79" s="498" t="n"/>
      <c r="GVC79" s="498" t="n"/>
      <c r="GVD79" s="498" t="n"/>
      <c r="GVE79" s="498" t="n"/>
      <c r="GVF79" s="498" t="n"/>
      <c r="GVG79" s="498" t="n"/>
      <c r="GVH79" s="498" t="n"/>
      <c r="GVI79" s="498" t="n"/>
      <c r="GVJ79" s="498" t="n"/>
      <c r="GVK79" s="498" t="n"/>
      <c r="GVL79" s="498" t="n"/>
      <c r="GVM79" s="498" t="n"/>
      <c r="GVN79" s="498" t="n"/>
      <c r="GVO79" s="498" t="n"/>
      <c r="GVP79" s="498" t="n"/>
      <c r="GVQ79" s="498" t="n"/>
      <c r="GVR79" s="498" t="n"/>
      <c r="GVS79" s="498" t="n"/>
      <c r="GVT79" s="498" t="n"/>
      <c r="GVU79" s="498" t="n"/>
      <c r="GVV79" s="498" t="n"/>
      <c r="GVW79" s="498" t="n"/>
      <c r="GVX79" s="498" t="n"/>
      <c r="GVY79" s="498" t="n"/>
      <c r="GVZ79" s="498" t="n"/>
      <c r="GWA79" s="498" t="n"/>
      <c r="GWB79" s="498" t="n"/>
      <c r="GWC79" s="498" t="n"/>
      <c r="GWD79" s="498" t="n"/>
      <c r="GWE79" s="498" t="n"/>
      <c r="GWF79" s="498" t="n"/>
      <c r="GWG79" s="498" t="n"/>
      <c r="GWH79" s="498" t="n"/>
      <c r="GWI79" s="498" t="n"/>
      <c r="GWJ79" s="498" t="n"/>
      <c r="GWK79" s="498" t="n"/>
      <c r="GWL79" s="498" t="n"/>
      <c r="GWM79" s="498" t="n"/>
      <c r="GWN79" s="498" t="n"/>
      <c r="GWO79" s="498" t="n"/>
      <c r="GWP79" s="498" t="n"/>
      <c r="GWQ79" s="498" t="n"/>
      <c r="GWR79" s="498" t="n"/>
      <c r="GWS79" s="498" t="n"/>
      <c r="GWT79" s="498" t="n"/>
      <c r="GWU79" s="498" t="n"/>
      <c r="GWV79" s="498" t="n"/>
      <c r="GWW79" s="498" t="n"/>
      <c r="GWX79" s="498" t="n"/>
      <c r="GWY79" s="498" t="n"/>
      <c r="GWZ79" s="498" t="n"/>
      <c r="GXA79" s="498" t="n"/>
      <c r="GXB79" s="498" t="n"/>
      <c r="GXC79" s="498" t="n"/>
      <c r="GXD79" s="498" t="n"/>
      <c r="GXE79" s="498" t="n"/>
      <c r="GXF79" s="498" t="n"/>
      <c r="GXG79" s="498" t="n"/>
      <c r="GXH79" s="498" t="n"/>
      <c r="GXI79" s="498" t="n"/>
      <c r="GXJ79" s="498" t="n"/>
      <c r="GXK79" s="498" t="n"/>
      <c r="GXL79" s="498" t="n"/>
      <c r="GXM79" s="498" t="n"/>
      <c r="GXN79" s="498" t="n"/>
      <c r="GXO79" s="498" t="n"/>
      <c r="GXP79" s="498" t="n"/>
      <c r="GXQ79" s="498" t="n"/>
      <c r="GXR79" s="498" t="n"/>
      <c r="GXS79" s="498" t="n"/>
      <c r="GXT79" s="498" t="n"/>
      <c r="GXU79" s="498" t="n"/>
      <c r="GXV79" s="498" t="n"/>
      <c r="GXW79" s="498" t="n"/>
      <c r="GXX79" s="498" t="n"/>
      <c r="GXY79" s="498" t="n"/>
      <c r="GXZ79" s="498" t="n"/>
      <c r="GYA79" s="498" t="n"/>
      <c r="GYB79" s="498" t="n"/>
      <c r="GYC79" s="498" t="n"/>
      <c r="GYD79" s="498" t="n"/>
      <c r="GYE79" s="498" t="n"/>
      <c r="GYF79" s="498" t="n"/>
      <c r="GYG79" s="498" t="n"/>
      <c r="GYH79" s="498" t="n"/>
      <c r="GYI79" s="498" t="n"/>
      <c r="GYJ79" s="498" t="n"/>
      <c r="GYK79" s="498" t="n"/>
      <c r="GYL79" s="498" t="n"/>
      <c r="GYM79" s="498" t="n"/>
      <c r="GYN79" s="498" t="n"/>
      <c r="GYO79" s="498" t="n"/>
      <c r="GYP79" s="498" t="n"/>
      <c r="GYQ79" s="498" t="n"/>
      <c r="GYR79" s="498" t="n"/>
      <c r="GYS79" s="498" t="n"/>
      <c r="GYT79" s="498" t="n"/>
      <c r="GYU79" s="498" t="n"/>
      <c r="GYV79" s="498" t="n"/>
      <c r="GYW79" s="498" t="n"/>
      <c r="GYX79" s="498" t="n"/>
      <c r="GYY79" s="498" t="n"/>
      <c r="GYZ79" s="498" t="n"/>
      <c r="GZA79" s="498" t="n"/>
      <c r="GZB79" s="498" t="n"/>
      <c r="GZC79" s="498" t="n"/>
      <c r="GZD79" s="498" t="n"/>
      <c r="GZE79" s="498" t="n"/>
      <c r="GZF79" s="498" t="n"/>
      <c r="GZG79" s="498" t="n"/>
      <c r="GZH79" s="498" t="n"/>
      <c r="GZI79" s="498" t="n"/>
      <c r="GZJ79" s="498" t="n"/>
      <c r="GZK79" s="498" t="n"/>
      <c r="GZL79" s="498" t="n"/>
      <c r="GZM79" s="498" t="n"/>
      <c r="GZN79" s="498" t="n"/>
      <c r="GZO79" s="498" t="n"/>
      <c r="GZP79" s="498" t="n"/>
      <c r="GZQ79" s="498" t="n"/>
      <c r="GZR79" s="498" t="n"/>
      <c r="GZS79" s="498" t="n"/>
      <c r="GZT79" s="498" t="n"/>
      <c r="GZU79" s="498" t="n"/>
      <c r="GZV79" s="498" t="n"/>
      <c r="GZW79" s="498" t="n"/>
      <c r="GZX79" s="498" t="n"/>
      <c r="GZY79" s="498" t="n"/>
      <c r="GZZ79" s="498" t="n"/>
      <c r="HAA79" s="498" t="n"/>
      <c r="HAB79" s="498" t="n"/>
      <c r="HAC79" s="498" t="n"/>
      <c r="HAD79" s="498" t="n"/>
      <c r="HAE79" s="498" t="n"/>
      <c r="HAF79" s="498" t="n"/>
      <c r="HAG79" s="498" t="n"/>
      <c r="HAH79" s="498" t="n"/>
      <c r="HAI79" s="498" t="n"/>
      <c r="HAJ79" s="498" t="n"/>
      <c r="HAK79" s="498" t="n"/>
      <c r="HAL79" s="498" t="n"/>
      <c r="HAM79" s="498" t="n"/>
      <c r="HAN79" s="498" t="n"/>
      <c r="HAO79" s="498" t="n"/>
      <c r="HAP79" s="498" t="n"/>
      <c r="HAQ79" s="498" t="n"/>
      <c r="HAR79" s="498" t="n"/>
      <c r="HAS79" s="498" t="n"/>
      <c r="HAT79" s="498" t="n"/>
      <c r="HAU79" s="498" t="n"/>
      <c r="HAV79" s="498" t="n"/>
      <c r="HAW79" s="498" t="n"/>
      <c r="HAX79" s="498" t="n"/>
      <c r="HAY79" s="498" t="n"/>
      <c r="HAZ79" s="498" t="n"/>
      <c r="HBA79" s="498" t="n"/>
      <c r="HBB79" s="498" t="n"/>
      <c r="HBC79" s="498" t="n"/>
      <c r="HBD79" s="498" t="n"/>
      <c r="HBE79" s="498" t="n"/>
      <c r="HBF79" s="498" t="n"/>
      <c r="HBG79" s="498" t="n"/>
      <c r="HBH79" s="498" t="n"/>
      <c r="HBI79" s="498" t="n"/>
      <c r="HBJ79" s="498" t="n"/>
      <c r="HBK79" s="498" t="n"/>
      <c r="HBL79" s="498" t="n"/>
      <c r="HBM79" s="498" t="n"/>
      <c r="HBN79" s="498" t="n"/>
      <c r="HBO79" s="498" t="n"/>
      <c r="HBP79" s="498" t="n"/>
      <c r="HBQ79" s="498" t="n"/>
      <c r="HBR79" s="498" t="n"/>
      <c r="HBS79" s="498" t="n"/>
      <c r="HBT79" s="498" t="n"/>
      <c r="HBU79" s="498" t="n"/>
      <c r="HBV79" s="498" t="n"/>
      <c r="HBW79" s="498" t="n"/>
      <c r="HBX79" s="498" t="n"/>
      <c r="HBY79" s="498" t="n"/>
      <c r="HBZ79" s="498" t="n"/>
      <c r="HCA79" s="498" t="n"/>
      <c r="HCB79" s="498" t="n"/>
      <c r="HCC79" s="498" t="n"/>
      <c r="HCD79" s="498" t="n"/>
      <c r="HCE79" s="498" t="n"/>
      <c r="HCF79" s="498" t="n"/>
      <c r="HCG79" s="498" t="n"/>
      <c r="HCH79" s="498" t="n"/>
      <c r="HCI79" s="498" t="n"/>
      <c r="HCJ79" s="498" t="n"/>
      <c r="HCK79" s="498" t="n"/>
      <c r="HCL79" s="498" t="n"/>
      <c r="HCM79" s="498" t="n"/>
      <c r="HCN79" s="498" t="n"/>
      <c r="HCO79" s="498" t="n"/>
      <c r="HCP79" s="498" t="n"/>
      <c r="HCQ79" s="498" t="n"/>
      <c r="HCR79" s="498" t="n"/>
      <c r="HCS79" s="498" t="n"/>
      <c r="HCT79" s="498" t="n"/>
      <c r="HCU79" s="498" t="n"/>
      <c r="HCV79" s="498" t="n"/>
      <c r="HCW79" s="498" t="n"/>
      <c r="HCX79" s="498" t="n"/>
      <c r="HCY79" s="498" t="n"/>
      <c r="HCZ79" s="498" t="n"/>
      <c r="HDA79" s="498" t="n"/>
      <c r="HDB79" s="498" t="n"/>
      <c r="HDC79" s="498" t="n"/>
      <c r="HDD79" s="498" t="n"/>
      <c r="HDE79" s="498" t="n"/>
      <c r="HDF79" s="498" t="n"/>
      <c r="HDG79" s="498" t="n"/>
      <c r="HDH79" s="498" t="n"/>
      <c r="HDI79" s="498" t="n"/>
      <c r="HDJ79" s="498" t="n"/>
      <c r="HDK79" s="498" t="n"/>
      <c r="HDL79" s="498" t="n"/>
      <c r="HDM79" s="498" t="n"/>
      <c r="HDN79" s="498" t="n"/>
      <c r="HDO79" s="498" t="n"/>
      <c r="HDP79" s="498" t="n"/>
      <c r="HDQ79" s="498" t="n"/>
      <c r="HDR79" s="498" t="n"/>
      <c r="HDS79" s="498" t="n"/>
      <c r="HDT79" s="498" t="n"/>
      <c r="HDU79" s="498" t="n"/>
      <c r="HDV79" s="498" t="n"/>
      <c r="HDW79" s="498" t="n"/>
      <c r="HDX79" s="498" t="n"/>
      <c r="HDY79" s="498" t="n"/>
      <c r="HDZ79" s="498" t="n"/>
      <c r="HEA79" s="498" t="n"/>
      <c r="HEB79" s="498" t="n"/>
      <c r="HEC79" s="498" t="n"/>
      <c r="HED79" s="498" t="n"/>
      <c r="HEE79" s="498" t="n"/>
      <c r="HEF79" s="498" t="n"/>
      <c r="HEG79" s="498" t="n"/>
      <c r="HEH79" s="498" t="n"/>
      <c r="HEI79" s="498" t="n"/>
      <c r="HEJ79" s="498" t="n"/>
      <c r="HEK79" s="498" t="n"/>
      <c r="HEL79" s="498" t="n"/>
      <c r="HEM79" s="498" t="n"/>
      <c r="HEN79" s="498" t="n"/>
      <c r="HEO79" s="498" t="n"/>
      <c r="HEP79" s="498" t="n"/>
      <c r="HEQ79" s="498" t="n"/>
      <c r="HER79" s="498" t="n"/>
      <c r="HES79" s="498" t="n"/>
      <c r="HET79" s="498" t="n"/>
      <c r="HEU79" s="498" t="n"/>
      <c r="HEV79" s="498" t="n"/>
      <c r="HEW79" s="498" t="n"/>
      <c r="HEX79" s="498" t="n"/>
      <c r="HEY79" s="498" t="n"/>
      <c r="HEZ79" s="498" t="n"/>
      <c r="HFA79" s="498" t="n"/>
      <c r="HFB79" s="498" t="n"/>
      <c r="HFC79" s="498" t="n"/>
      <c r="HFD79" s="498" t="n"/>
      <c r="HFE79" s="498" t="n"/>
      <c r="HFF79" s="498" t="n"/>
      <c r="HFG79" s="498" t="n"/>
      <c r="HFH79" s="498" t="n"/>
      <c r="HFI79" s="498" t="n"/>
      <c r="HFJ79" s="498" t="n"/>
      <c r="HFK79" s="498" t="n"/>
      <c r="HFL79" s="498" t="n"/>
      <c r="HFM79" s="498" t="n"/>
      <c r="HFN79" s="498" t="n"/>
      <c r="HFO79" s="498" t="n"/>
      <c r="HFP79" s="498" t="n"/>
      <c r="HFQ79" s="498" t="n"/>
      <c r="HFR79" s="498" t="n"/>
      <c r="HFS79" s="498" t="n"/>
      <c r="HFT79" s="498" t="n"/>
      <c r="HFU79" s="498" t="n"/>
      <c r="HFV79" s="498" t="n"/>
      <c r="HFW79" s="498" t="n"/>
      <c r="HFX79" s="498" t="n"/>
      <c r="HFY79" s="498" t="n"/>
      <c r="HFZ79" s="498" t="n"/>
      <c r="HGA79" s="498" t="n"/>
      <c r="HGB79" s="498" t="n"/>
      <c r="HGC79" s="498" t="n"/>
      <c r="HGD79" s="498" t="n"/>
      <c r="HGE79" s="498" t="n"/>
      <c r="HGF79" s="498" t="n"/>
      <c r="HGG79" s="498" t="n"/>
      <c r="HGH79" s="498" t="n"/>
      <c r="HGI79" s="498" t="n"/>
      <c r="HGJ79" s="498" t="n"/>
      <c r="HGK79" s="498" t="n"/>
      <c r="HGL79" s="498" t="n"/>
      <c r="HGM79" s="498" t="n"/>
      <c r="HGN79" s="498" t="n"/>
      <c r="HGO79" s="498" t="n"/>
      <c r="HGP79" s="498" t="n"/>
      <c r="HGQ79" s="498" t="n"/>
      <c r="HGR79" s="498" t="n"/>
      <c r="HGS79" s="498" t="n"/>
      <c r="HGT79" s="498" t="n"/>
      <c r="HGU79" s="498" t="n"/>
      <c r="HGV79" s="498" t="n"/>
      <c r="HGW79" s="498" t="n"/>
      <c r="HGX79" s="498" t="n"/>
      <c r="HGY79" s="498" t="n"/>
      <c r="HGZ79" s="498" t="n"/>
      <c r="HHA79" s="498" t="n"/>
      <c r="HHB79" s="498" t="n"/>
      <c r="HHC79" s="498" t="n"/>
      <c r="HHD79" s="498" t="n"/>
      <c r="HHE79" s="498" t="n"/>
      <c r="HHF79" s="498" t="n"/>
      <c r="HHG79" s="498" t="n"/>
      <c r="HHH79" s="498" t="n"/>
      <c r="HHI79" s="498" t="n"/>
      <c r="HHJ79" s="498" t="n"/>
      <c r="HHK79" s="498" t="n"/>
      <c r="HHL79" s="498" t="n"/>
      <c r="HHM79" s="498" t="n"/>
      <c r="HHN79" s="498" t="n"/>
      <c r="HHO79" s="498" t="n"/>
      <c r="HHP79" s="498" t="n"/>
      <c r="HHQ79" s="498" t="n"/>
      <c r="HHR79" s="498" t="n"/>
      <c r="HHS79" s="498" t="n"/>
      <c r="HHT79" s="498" t="n"/>
      <c r="HHU79" s="498" t="n"/>
      <c r="HHV79" s="498" t="n"/>
      <c r="HHW79" s="498" t="n"/>
      <c r="HHX79" s="498" t="n"/>
      <c r="HHY79" s="498" t="n"/>
      <c r="HHZ79" s="498" t="n"/>
      <c r="HIA79" s="498" t="n"/>
      <c r="HIB79" s="498" t="n"/>
      <c r="HIC79" s="498" t="n"/>
      <c r="HID79" s="498" t="n"/>
      <c r="HIE79" s="498" t="n"/>
      <c r="HIF79" s="498" t="n"/>
      <c r="HIG79" s="498" t="n"/>
      <c r="HIH79" s="498" t="n"/>
      <c r="HII79" s="498" t="n"/>
      <c r="HIJ79" s="498" t="n"/>
      <c r="HIK79" s="498" t="n"/>
      <c r="HIL79" s="498" t="n"/>
      <c r="HIM79" s="498" t="n"/>
      <c r="HIN79" s="498" t="n"/>
      <c r="HIO79" s="498" t="n"/>
      <c r="HIP79" s="498" t="n"/>
      <c r="HIQ79" s="498" t="n"/>
      <c r="HIR79" s="498" t="n"/>
      <c r="HIS79" s="498" t="n"/>
      <c r="HIT79" s="498" t="n"/>
      <c r="HIU79" s="498" t="n"/>
      <c r="HIV79" s="498" t="n"/>
      <c r="HIW79" s="498" t="n"/>
      <c r="HIX79" s="498" t="n"/>
      <c r="HIY79" s="498" t="n"/>
      <c r="HIZ79" s="498" t="n"/>
      <c r="HJA79" s="498" t="n"/>
      <c r="HJB79" s="498" t="n"/>
      <c r="HJC79" s="498" t="n"/>
      <c r="HJD79" s="498" t="n"/>
      <c r="HJE79" s="498" t="n"/>
      <c r="HJF79" s="498" t="n"/>
      <c r="HJG79" s="498" t="n"/>
      <c r="HJH79" s="498" t="n"/>
      <c r="HJI79" s="498" t="n"/>
      <c r="HJJ79" s="498" t="n"/>
      <c r="HJK79" s="498" t="n"/>
      <c r="HJL79" s="498" t="n"/>
      <c r="HJM79" s="498" t="n"/>
      <c r="HJN79" s="498" t="n"/>
      <c r="HJO79" s="498" t="n"/>
      <c r="HJP79" s="498" t="n"/>
      <c r="HJQ79" s="498" t="n"/>
      <c r="HJR79" s="498" t="n"/>
      <c r="HJS79" s="498" t="n"/>
      <c r="HJT79" s="498" t="n"/>
      <c r="HJU79" s="498" t="n"/>
      <c r="HJV79" s="498" t="n"/>
      <c r="HJW79" s="498" t="n"/>
      <c r="HJX79" s="498" t="n"/>
      <c r="HJY79" s="498" t="n"/>
      <c r="HJZ79" s="498" t="n"/>
      <c r="HKA79" s="498" t="n"/>
      <c r="HKB79" s="498" t="n"/>
      <c r="HKC79" s="498" t="n"/>
      <c r="HKD79" s="498" t="n"/>
      <c r="HKE79" s="498" t="n"/>
      <c r="HKF79" s="498" t="n"/>
      <c r="HKG79" s="498" t="n"/>
      <c r="HKH79" s="498" t="n"/>
      <c r="HKI79" s="498" t="n"/>
      <c r="HKJ79" s="498" t="n"/>
      <c r="HKK79" s="498" t="n"/>
      <c r="HKL79" s="498" t="n"/>
      <c r="HKM79" s="498" t="n"/>
      <c r="HKN79" s="498" t="n"/>
      <c r="HKO79" s="498" t="n"/>
      <c r="HKP79" s="498" t="n"/>
      <c r="HKQ79" s="498" t="n"/>
      <c r="HKR79" s="498" t="n"/>
      <c r="HKS79" s="498" t="n"/>
      <c r="HKT79" s="498" t="n"/>
      <c r="HKU79" s="498" t="n"/>
      <c r="HKV79" s="498" t="n"/>
      <c r="HKW79" s="498" t="n"/>
      <c r="HKX79" s="498" t="n"/>
      <c r="HKY79" s="498" t="n"/>
      <c r="HKZ79" s="498" t="n"/>
      <c r="HLA79" s="498" t="n"/>
      <c r="HLB79" s="498" t="n"/>
      <c r="HLC79" s="498" t="n"/>
      <c r="HLD79" s="498" t="n"/>
      <c r="HLE79" s="498" t="n"/>
      <c r="HLF79" s="498" t="n"/>
      <c r="HLG79" s="498" t="n"/>
      <c r="HLH79" s="498" t="n"/>
      <c r="HLI79" s="498" t="n"/>
      <c r="HLJ79" s="498" t="n"/>
      <c r="HLK79" s="498" t="n"/>
      <c r="HLL79" s="498" t="n"/>
      <c r="HLM79" s="498" t="n"/>
      <c r="HLN79" s="498" t="n"/>
      <c r="HLO79" s="498" t="n"/>
      <c r="HLP79" s="498" t="n"/>
      <c r="HLQ79" s="498" t="n"/>
      <c r="HLR79" s="498" t="n"/>
      <c r="HLS79" s="498" t="n"/>
      <c r="HLT79" s="498" t="n"/>
      <c r="HLU79" s="498" t="n"/>
      <c r="HLV79" s="498" t="n"/>
      <c r="HLW79" s="498" t="n"/>
      <c r="HLX79" s="498" t="n"/>
      <c r="HLY79" s="498" t="n"/>
      <c r="HLZ79" s="498" t="n"/>
      <c r="HMA79" s="498" t="n"/>
      <c r="HMB79" s="498" t="n"/>
      <c r="HMC79" s="498" t="n"/>
      <c r="HMD79" s="498" t="n"/>
      <c r="HME79" s="498" t="n"/>
      <c r="HMF79" s="498" t="n"/>
      <c r="HMG79" s="498" t="n"/>
      <c r="HMH79" s="498" t="n"/>
      <c r="HMI79" s="498" t="n"/>
      <c r="HMJ79" s="498" t="n"/>
      <c r="HMK79" s="498" t="n"/>
      <c r="HML79" s="498" t="n"/>
      <c r="HMM79" s="498" t="n"/>
      <c r="HMN79" s="498" t="n"/>
      <c r="HMO79" s="498" t="n"/>
      <c r="HMP79" s="498" t="n"/>
      <c r="HMQ79" s="498" t="n"/>
      <c r="HMR79" s="498" t="n"/>
      <c r="HMS79" s="498" t="n"/>
      <c r="HMT79" s="498" t="n"/>
      <c r="HMU79" s="498" t="n"/>
      <c r="HMV79" s="498" t="n"/>
      <c r="HMW79" s="498" t="n"/>
      <c r="HMX79" s="498" t="n"/>
      <c r="HMY79" s="498" t="n"/>
      <c r="HMZ79" s="498" t="n"/>
      <c r="HNA79" s="498" t="n"/>
      <c r="HNB79" s="498" t="n"/>
      <c r="HNC79" s="498" t="n"/>
      <c r="HND79" s="498" t="n"/>
      <c r="HNE79" s="498" t="n"/>
      <c r="HNF79" s="498" t="n"/>
      <c r="HNG79" s="498" t="n"/>
      <c r="HNH79" s="498" t="n"/>
      <c r="HNI79" s="498" t="n"/>
      <c r="HNJ79" s="498" t="n"/>
      <c r="HNK79" s="498" t="n"/>
      <c r="HNL79" s="498" t="n"/>
      <c r="HNM79" s="498" t="n"/>
      <c r="HNN79" s="498" t="n"/>
      <c r="HNO79" s="498" t="n"/>
      <c r="HNP79" s="498" t="n"/>
      <c r="HNQ79" s="498" t="n"/>
      <c r="HNR79" s="498" t="n"/>
      <c r="HNS79" s="498" t="n"/>
      <c r="HNT79" s="498" t="n"/>
      <c r="HNU79" s="498" t="n"/>
      <c r="HNV79" s="498" t="n"/>
      <c r="HNW79" s="498" t="n"/>
      <c r="HNX79" s="498" t="n"/>
      <c r="HNY79" s="498" t="n"/>
      <c r="HNZ79" s="498" t="n"/>
      <c r="HOA79" s="498" t="n"/>
      <c r="HOB79" s="498" t="n"/>
      <c r="HOC79" s="498" t="n"/>
      <c r="HOD79" s="498" t="n"/>
      <c r="HOE79" s="498" t="n"/>
      <c r="HOF79" s="498" t="n"/>
      <c r="HOG79" s="498" t="n"/>
      <c r="HOH79" s="498" t="n"/>
      <c r="HOI79" s="498" t="n"/>
      <c r="HOJ79" s="498" t="n"/>
      <c r="HOK79" s="498" t="n"/>
      <c r="HOL79" s="498" t="n"/>
      <c r="HOM79" s="498" t="n"/>
      <c r="HON79" s="498" t="n"/>
      <c r="HOO79" s="498" t="n"/>
      <c r="HOP79" s="498" t="n"/>
      <c r="HOQ79" s="498" t="n"/>
      <c r="HOR79" s="498" t="n"/>
      <c r="HOS79" s="498" t="n"/>
      <c r="HOT79" s="498" t="n"/>
      <c r="HOU79" s="498" t="n"/>
      <c r="HOV79" s="498" t="n"/>
      <c r="HOW79" s="498" t="n"/>
      <c r="HOX79" s="498" t="n"/>
      <c r="HOY79" s="498" t="n"/>
      <c r="HOZ79" s="498" t="n"/>
      <c r="HPA79" s="498" t="n"/>
      <c r="HPB79" s="498" t="n"/>
      <c r="HPC79" s="498" t="n"/>
      <c r="HPD79" s="498" t="n"/>
      <c r="HPE79" s="498" t="n"/>
      <c r="HPF79" s="498" t="n"/>
      <c r="HPG79" s="498" t="n"/>
      <c r="HPH79" s="498" t="n"/>
      <c r="HPI79" s="498" t="n"/>
      <c r="HPJ79" s="498" t="n"/>
      <c r="HPK79" s="498" t="n"/>
      <c r="HPL79" s="498" t="n"/>
      <c r="HPM79" s="498" t="n"/>
      <c r="HPN79" s="498" t="n"/>
      <c r="HPO79" s="498" t="n"/>
      <c r="HPP79" s="498" t="n"/>
      <c r="HPQ79" s="498" t="n"/>
      <c r="HPR79" s="498" t="n"/>
      <c r="HPS79" s="498" t="n"/>
      <c r="HPT79" s="498" t="n"/>
      <c r="HPU79" s="498" t="n"/>
      <c r="HPV79" s="498" t="n"/>
      <c r="HPW79" s="498" t="n"/>
      <c r="HPX79" s="498" t="n"/>
      <c r="HPY79" s="498" t="n"/>
      <c r="HPZ79" s="498" t="n"/>
      <c r="HQA79" s="498" t="n"/>
      <c r="HQB79" s="498" t="n"/>
      <c r="HQC79" s="498" t="n"/>
      <c r="HQD79" s="498" t="n"/>
      <c r="HQE79" s="498" t="n"/>
      <c r="HQF79" s="498" t="n"/>
      <c r="HQG79" s="498" t="n"/>
      <c r="HQH79" s="498" t="n"/>
      <c r="HQI79" s="498" t="n"/>
      <c r="HQJ79" s="498" t="n"/>
      <c r="HQK79" s="498" t="n"/>
      <c r="HQL79" s="498" t="n"/>
      <c r="HQM79" s="498" t="n"/>
      <c r="HQN79" s="498" t="n"/>
      <c r="HQO79" s="498" t="n"/>
      <c r="HQP79" s="498" t="n"/>
      <c r="HQQ79" s="498" t="n"/>
      <c r="HQR79" s="498" t="n"/>
      <c r="HQS79" s="498" t="n"/>
      <c r="HQT79" s="498" t="n"/>
      <c r="HQU79" s="498" t="n"/>
      <c r="HQV79" s="498" t="n"/>
      <c r="HQW79" s="498" t="n"/>
      <c r="HQX79" s="498" t="n"/>
      <c r="HQY79" s="498" t="n"/>
      <c r="HQZ79" s="498" t="n"/>
      <c r="HRA79" s="498" t="n"/>
      <c r="HRB79" s="498" t="n"/>
      <c r="HRC79" s="498" t="n"/>
      <c r="HRD79" s="498" t="n"/>
      <c r="HRE79" s="498" t="n"/>
      <c r="HRF79" s="498" t="n"/>
      <c r="HRG79" s="498" t="n"/>
      <c r="HRH79" s="498" t="n"/>
      <c r="HRI79" s="498" t="n"/>
      <c r="HRJ79" s="498" t="n"/>
      <c r="HRK79" s="498" t="n"/>
      <c r="HRL79" s="498" t="n"/>
      <c r="HRM79" s="498" t="n"/>
      <c r="HRN79" s="498" t="n"/>
      <c r="HRO79" s="498" t="n"/>
      <c r="HRP79" s="498" t="n"/>
      <c r="HRQ79" s="498" t="n"/>
      <c r="HRR79" s="498" t="n"/>
      <c r="HRS79" s="498" t="n"/>
      <c r="HRT79" s="498" t="n"/>
      <c r="HRU79" s="498" t="n"/>
      <c r="HRV79" s="498" t="n"/>
      <c r="HRW79" s="498" t="n"/>
      <c r="HRX79" s="498" t="n"/>
      <c r="HRY79" s="498" t="n"/>
      <c r="HRZ79" s="498" t="n"/>
      <c r="HSA79" s="498" t="n"/>
      <c r="HSB79" s="498" t="n"/>
      <c r="HSC79" s="498" t="n"/>
      <c r="HSD79" s="498" t="n"/>
      <c r="HSE79" s="498" t="n"/>
      <c r="HSF79" s="498" t="n"/>
      <c r="HSG79" s="498" t="n"/>
      <c r="HSH79" s="498" t="n"/>
      <c r="HSI79" s="498" t="n"/>
      <c r="HSJ79" s="498" t="n"/>
      <c r="HSK79" s="498" t="n"/>
      <c r="HSL79" s="498" t="n"/>
      <c r="HSM79" s="498" t="n"/>
      <c r="HSN79" s="498" t="n"/>
      <c r="HSO79" s="498" t="n"/>
      <c r="HSP79" s="498" t="n"/>
      <c r="HSQ79" s="498" t="n"/>
      <c r="HSR79" s="498" t="n"/>
      <c r="HSS79" s="498" t="n"/>
      <c r="HST79" s="498" t="n"/>
      <c r="HSU79" s="498" t="n"/>
      <c r="HSV79" s="498" t="n"/>
      <c r="HSW79" s="498" t="n"/>
      <c r="HSX79" s="498" t="n"/>
      <c r="HSY79" s="498" t="n"/>
      <c r="HSZ79" s="498" t="n"/>
      <c r="HTA79" s="498" t="n"/>
      <c r="HTB79" s="498" t="n"/>
      <c r="HTC79" s="498" t="n"/>
      <c r="HTD79" s="498" t="n"/>
      <c r="HTE79" s="498" t="n"/>
      <c r="HTF79" s="498" t="n"/>
      <c r="HTG79" s="498" t="n"/>
      <c r="HTH79" s="498" t="n"/>
      <c r="HTI79" s="498" t="n"/>
      <c r="HTJ79" s="498" t="n"/>
      <c r="HTK79" s="498" t="n"/>
      <c r="HTL79" s="498" t="n"/>
      <c r="HTM79" s="498" t="n"/>
      <c r="HTN79" s="498" t="n"/>
      <c r="HTO79" s="498" t="n"/>
      <c r="HTP79" s="498" t="n"/>
      <c r="HTQ79" s="498" t="n"/>
      <c r="HTR79" s="498" t="n"/>
      <c r="HTS79" s="498" t="n"/>
      <c r="HTT79" s="498" t="n"/>
      <c r="HTU79" s="498" t="n"/>
      <c r="HTV79" s="498" t="n"/>
      <c r="HTW79" s="498" t="n"/>
      <c r="HTX79" s="498" t="n"/>
      <c r="HTY79" s="498" t="n"/>
      <c r="HTZ79" s="498" t="n"/>
      <c r="HUA79" s="498" t="n"/>
      <c r="HUB79" s="498" t="n"/>
      <c r="HUC79" s="498" t="n"/>
      <c r="HUD79" s="498" t="n"/>
      <c r="HUE79" s="498" t="n"/>
      <c r="HUF79" s="498" t="n"/>
      <c r="HUG79" s="498" t="n"/>
      <c r="HUH79" s="498" t="n"/>
      <c r="HUI79" s="498" t="n"/>
      <c r="HUJ79" s="498" t="n"/>
      <c r="HUK79" s="498" t="n"/>
      <c r="HUL79" s="498" t="n"/>
      <c r="HUM79" s="498" t="n"/>
      <c r="HUN79" s="498" t="n"/>
      <c r="HUO79" s="498" t="n"/>
      <c r="HUP79" s="498" t="n"/>
      <c r="HUQ79" s="498" t="n"/>
      <c r="HUR79" s="498" t="n"/>
      <c r="HUS79" s="498" t="n"/>
      <c r="HUT79" s="498" t="n"/>
      <c r="HUU79" s="498" t="n"/>
      <c r="HUV79" s="498" t="n"/>
      <c r="HUW79" s="498" t="n"/>
      <c r="HUX79" s="498" t="n"/>
      <c r="HUY79" s="498" t="n"/>
      <c r="HUZ79" s="498" t="n"/>
      <c r="HVA79" s="498" t="n"/>
      <c r="HVB79" s="498" t="n"/>
      <c r="HVC79" s="498" t="n"/>
      <c r="HVD79" s="498" t="n"/>
      <c r="HVE79" s="498" t="n"/>
      <c r="HVF79" s="498" t="n"/>
      <c r="HVG79" s="498" t="n"/>
      <c r="HVH79" s="498" t="n"/>
      <c r="HVI79" s="498" t="n"/>
      <c r="HVJ79" s="498" t="n"/>
      <c r="HVK79" s="498" t="n"/>
      <c r="HVL79" s="498" t="n"/>
      <c r="HVM79" s="498" t="n"/>
      <c r="HVN79" s="498" t="n"/>
      <c r="HVO79" s="498" t="n"/>
      <c r="HVP79" s="498" t="n"/>
      <c r="HVQ79" s="498" t="n"/>
      <c r="HVR79" s="498" t="n"/>
      <c r="HVS79" s="498" t="n"/>
      <c r="HVT79" s="498" t="n"/>
      <c r="HVU79" s="498" t="n"/>
      <c r="HVV79" s="498" t="n"/>
      <c r="HVW79" s="498" t="n"/>
      <c r="HVX79" s="498" t="n"/>
      <c r="HVY79" s="498" t="n"/>
      <c r="HVZ79" s="498" t="n"/>
      <c r="HWA79" s="498" t="n"/>
      <c r="HWB79" s="498" t="n"/>
      <c r="HWC79" s="498" t="n"/>
      <c r="HWD79" s="498" t="n"/>
      <c r="HWE79" s="498" t="n"/>
      <c r="HWF79" s="498" t="n"/>
      <c r="HWG79" s="498" t="n"/>
      <c r="HWH79" s="498" t="n"/>
      <c r="HWI79" s="498" t="n"/>
      <c r="HWJ79" s="498" t="n"/>
      <c r="HWK79" s="498" t="n"/>
      <c r="HWL79" s="498" t="n"/>
      <c r="HWM79" s="498" t="n"/>
      <c r="HWN79" s="498" t="n"/>
      <c r="HWO79" s="498" t="n"/>
      <c r="HWP79" s="498" t="n"/>
      <c r="HWQ79" s="498" t="n"/>
      <c r="HWR79" s="498" t="n"/>
      <c r="HWS79" s="498" t="n"/>
      <c r="HWT79" s="498" t="n"/>
      <c r="HWU79" s="498" t="n"/>
      <c r="HWV79" s="498" t="n"/>
      <c r="HWW79" s="498" t="n"/>
      <c r="HWX79" s="498" t="n"/>
      <c r="HWY79" s="498" t="n"/>
      <c r="HWZ79" s="498" t="n"/>
      <c r="HXA79" s="498" t="n"/>
      <c r="HXB79" s="498" t="n"/>
      <c r="HXC79" s="498" t="n"/>
      <c r="HXD79" s="498" t="n"/>
      <c r="HXE79" s="498" t="n"/>
      <c r="HXF79" s="498" t="n"/>
      <c r="HXG79" s="498" t="n"/>
      <c r="HXH79" s="498" t="n"/>
      <c r="HXI79" s="498" t="n"/>
      <c r="HXJ79" s="498" t="n"/>
      <c r="HXK79" s="498" t="n"/>
      <c r="HXL79" s="498" t="n"/>
      <c r="HXM79" s="498" t="n"/>
      <c r="HXN79" s="498" t="n"/>
      <c r="HXO79" s="498" t="n"/>
      <c r="HXP79" s="498" t="n"/>
      <c r="HXQ79" s="498" t="n"/>
      <c r="HXR79" s="498" t="n"/>
      <c r="HXS79" s="498" t="n"/>
      <c r="HXT79" s="498" t="n"/>
      <c r="HXU79" s="498" t="n"/>
      <c r="HXV79" s="498" t="n"/>
      <c r="HXW79" s="498" t="n"/>
      <c r="HXX79" s="498" t="n"/>
      <c r="HXY79" s="498" t="n"/>
      <c r="HXZ79" s="498" t="n"/>
      <c r="HYA79" s="498" t="n"/>
      <c r="HYB79" s="498" t="n"/>
      <c r="HYC79" s="498" t="n"/>
      <c r="HYD79" s="498" t="n"/>
      <c r="HYE79" s="498" t="n"/>
      <c r="HYF79" s="498" t="n"/>
      <c r="HYG79" s="498" t="n"/>
      <c r="HYH79" s="498" t="n"/>
      <c r="HYI79" s="498" t="n"/>
      <c r="HYJ79" s="498" t="n"/>
      <c r="HYK79" s="498" t="n"/>
      <c r="HYL79" s="498" t="n"/>
      <c r="HYM79" s="498" t="n"/>
      <c r="HYN79" s="498" t="n"/>
      <c r="HYO79" s="498" t="n"/>
      <c r="HYP79" s="498" t="n"/>
      <c r="HYQ79" s="498" t="n"/>
      <c r="HYR79" s="498" t="n"/>
      <c r="HYS79" s="498" t="n"/>
      <c r="HYT79" s="498" t="n"/>
      <c r="HYU79" s="498" t="n"/>
      <c r="HYV79" s="498" t="n"/>
      <c r="HYW79" s="498" t="n"/>
      <c r="HYX79" s="498" t="n"/>
      <c r="HYY79" s="498" t="n"/>
      <c r="HYZ79" s="498" t="n"/>
      <c r="HZA79" s="498" t="n"/>
      <c r="HZB79" s="498" t="n"/>
      <c r="HZC79" s="498" t="n"/>
      <c r="HZD79" s="498" t="n"/>
      <c r="HZE79" s="498" t="n"/>
      <c r="HZF79" s="498" t="n"/>
      <c r="HZG79" s="498" t="n"/>
      <c r="HZH79" s="498" t="n"/>
      <c r="HZI79" s="498" t="n"/>
      <c r="HZJ79" s="498" t="n"/>
      <c r="HZK79" s="498" t="n"/>
      <c r="HZL79" s="498" t="n"/>
      <c r="HZM79" s="498" t="n"/>
      <c r="HZN79" s="498" t="n"/>
      <c r="HZO79" s="498" t="n"/>
      <c r="HZP79" s="498" t="n"/>
      <c r="HZQ79" s="498" t="n"/>
      <c r="HZR79" s="498" t="n"/>
      <c r="HZS79" s="498" t="n"/>
      <c r="HZT79" s="498" t="n"/>
      <c r="HZU79" s="498" t="n"/>
      <c r="HZV79" s="498" t="n"/>
      <c r="HZW79" s="498" t="n"/>
      <c r="HZX79" s="498" t="n"/>
      <c r="HZY79" s="498" t="n"/>
      <c r="HZZ79" s="498" t="n"/>
      <c r="IAA79" s="498" t="n"/>
      <c r="IAB79" s="498" t="n"/>
      <c r="IAC79" s="498" t="n"/>
      <c r="IAD79" s="498" t="n"/>
      <c r="IAE79" s="498" t="n"/>
      <c r="IAF79" s="498" t="n"/>
      <c r="IAG79" s="498" t="n"/>
      <c r="IAH79" s="498" t="n"/>
      <c r="IAI79" s="498" t="n"/>
      <c r="IAJ79" s="498" t="n"/>
      <c r="IAK79" s="498" t="n"/>
      <c r="IAL79" s="498" t="n"/>
      <c r="IAM79" s="498" t="n"/>
      <c r="IAN79" s="498" t="n"/>
      <c r="IAO79" s="498" t="n"/>
      <c r="IAP79" s="498" t="n"/>
      <c r="IAQ79" s="498" t="n"/>
      <c r="IAR79" s="498" t="n"/>
      <c r="IAS79" s="498" t="n"/>
      <c r="IAT79" s="498" t="n"/>
      <c r="IAU79" s="498" t="n"/>
      <c r="IAV79" s="498" t="n"/>
      <c r="IAW79" s="498" t="n"/>
      <c r="IAX79" s="498" t="n"/>
      <c r="IAY79" s="498" t="n"/>
      <c r="IAZ79" s="498" t="n"/>
      <c r="IBA79" s="498" t="n"/>
      <c r="IBB79" s="498" t="n"/>
      <c r="IBC79" s="498" t="n"/>
      <c r="IBD79" s="498" t="n"/>
      <c r="IBE79" s="498" t="n"/>
      <c r="IBF79" s="498" t="n"/>
      <c r="IBG79" s="498" t="n"/>
      <c r="IBH79" s="498" t="n"/>
      <c r="IBI79" s="498" t="n"/>
      <c r="IBJ79" s="498" t="n"/>
      <c r="IBK79" s="498" t="n"/>
      <c r="IBL79" s="498" t="n"/>
      <c r="IBM79" s="498" t="n"/>
      <c r="IBN79" s="498" t="n"/>
      <c r="IBO79" s="498" t="n"/>
      <c r="IBP79" s="498" t="n"/>
      <c r="IBQ79" s="498" t="n"/>
      <c r="IBR79" s="498" t="n"/>
      <c r="IBS79" s="498" t="n"/>
      <c r="IBT79" s="498" t="n"/>
      <c r="IBU79" s="498" t="n"/>
      <c r="IBV79" s="498" t="n"/>
      <c r="IBW79" s="498" t="n"/>
      <c r="IBX79" s="498" t="n"/>
      <c r="IBY79" s="498" t="n"/>
      <c r="IBZ79" s="498" t="n"/>
      <c r="ICA79" s="498" t="n"/>
      <c r="ICB79" s="498" t="n"/>
      <c r="ICC79" s="498" t="n"/>
      <c r="ICD79" s="498" t="n"/>
      <c r="ICE79" s="498" t="n"/>
      <c r="ICF79" s="498" t="n"/>
      <c r="ICG79" s="498" t="n"/>
      <c r="ICH79" s="498" t="n"/>
      <c r="ICI79" s="498" t="n"/>
      <c r="ICJ79" s="498" t="n"/>
      <c r="ICK79" s="498" t="n"/>
      <c r="ICL79" s="498" t="n"/>
      <c r="ICM79" s="498" t="n"/>
      <c r="ICN79" s="498" t="n"/>
      <c r="ICO79" s="498" t="n"/>
      <c r="ICP79" s="498" t="n"/>
      <c r="ICQ79" s="498" t="n"/>
      <c r="ICR79" s="498" t="n"/>
      <c r="ICS79" s="498" t="n"/>
      <c r="ICT79" s="498" t="n"/>
      <c r="ICU79" s="498" t="n"/>
      <c r="ICV79" s="498" t="n"/>
      <c r="ICW79" s="498" t="n"/>
      <c r="ICX79" s="498" t="n"/>
      <c r="ICY79" s="498" t="n"/>
      <c r="ICZ79" s="498" t="n"/>
      <c r="IDA79" s="498" t="n"/>
      <c r="IDB79" s="498" t="n"/>
      <c r="IDC79" s="498" t="n"/>
      <c r="IDD79" s="498" t="n"/>
      <c r="IDE79" s="498" t="n"/>
      <c r="IDF79" s="498" t="n"/>
      <c r="IDG79" s="498" t="n"/>
      <c r="IDH79" s="498" t="n"/>
      <c r="IDI79" s="498" t="n"/>
      <c r="IDJ79" s="498" t="n"/>
      <c r="IDK79" s="498" t="n"/>
      <c r="IDL79" s="498" t="n"/>
      <c r="IDM79" s="498" t="n"/>
      <c r="IDN79" s="498" t="n"/>
      <c r="IDO79" s="498" t="n"/>
      <c r="IDP79" s="498" t="n"/>
      <c r="IDQ79" s="498" t="n"/>
      <c r="IDR79" s="498" t="n"/>
      <c r="IDS79" s="498" t="n"/>
      <c r="IDT79" s="498" t="n"/>
      <c r="IDU79" s="498" t="n"/>
      <c r="IDV79" s="498" t="n"/>
      <c r="IDW79" s="498" t="n"/>
      <c r="IDX79" s="498" t="n"/>
      <c r="IDY79" s="498" t="n"/>
      <c r="IDZ79" s="498" t="n"/>
      <c r="IEA79" s="498" t="n"/>
      <c r="IEB79" s="498" t="n"/>
      <c r="IEC79" s="498" t="n"/>
      <c r="IED79" s="498" t="n"/>
      <c r="IEE79" s="498" t="n"/>
      <c r="IEF79" s="498" t="n"/>
      <c r="IEG79" s="498" t="n"/>
      <c r="IEH79" s="498" t="n"/>
      <c r="IEI79" s="498" t="n"/>
      <c r="IEJ79" s="498" t="n"/>
      <c r="IEK79" s="498" t="n"/>
      <c r="IEL79" s="498" t="n"/>
      <c r="IEM79" s="498" t="n"/>
      <c r="IEN79" s="498" t="n"/>
      <c r="IEO79" s="498" t="n"/>
      <c r="IEP79" s="498" t="n"/>
      <c r="IEQ79" s="498" t="n"/>
      <c r="IER79" s="498" t="n"/>
      <c r="IES79" s="498" t="n"/>
      <c r="IET79" s="498" t="n"/>
      <c r="IEU79" s="498" t="n"/>
      <c r="IEV79" s="498" t="n"/>
      <c r="IEW79" s="498" t="n"/>
      <c r="IEX79" s="498" t="n"/>
      <c r="IEY79" s="498" t="n"/>
      <c r="IEZ79" s="498" t="n"/>
      <c r="IFA79" s="498" t="n"/>
      <c r="IFB79" s="498" t="n"/>
      <c r="IFC79" s="498" t="n"/>
      <c r="IFD79" s="498" t="n"/>
      <c r="IFE79" s="498" t="n"/>
      <c r="IFF79" s="498" t="n"/>
      <c r="IFG79" s="498" t="n"/>
      <c r="IFH79" s="498" t="n"/>
      <c r="IFI79" s="498" t="n"/>
      <c r="IFJ79" s="498" t="n"/>
      <c r="IFK79" s="498" t="n"/>
      <c r="IFL79" s="498" t="n"/>
      <c r="IFM79" s="498" t="n"/>
      <c r="IFN79" s="498" t="n"/>
      <c r="IFO79" s="498" t="n"/>
      <c r="IFP79" s="498" t="n"/>
      <c r="IFQ79" s="498" t="n"/>
      <c r="IFR79" s="498" t="n"/>
      <c r="IFS79" s="498" t="n"/>
      <c r="IFT79" s="498" t="n"/>
      <c r="IFU79" s="498" t="n"/>
      <c r="IFV79" s="498" t="n"/>
      <c r="IFW79" s="498" t="n"/>
      <c r="IFX79" s="498" t="n"/>
      <c r="IFY79" s="498" t="n"/>
      <c r="IFZ79" s="498" t="n"/>
      <c r="IGA79" s="498" t="n"/>
      <c r="IGB79" s="498" t="n"/>
      <c r="IGC79" s="498" t="n"/>
      <c r="IGD79" s="498" t="n"/>
      <c r="IGE79" s="498" t="n"/>
      <c r="IGF79" s="498" t="n"/>
      <c r="IGG79" s="498" t="n"/>
      <c r="IGH79" s="498" t="n"/>
      <c r="IGI79" s="498" t="n"/>
      <c r="IGJ79" s="498" t="n"/>
      <c r="IGK79" s="498" t="n"/>
      <c r="IGL79" s="498" t="n"/>
      <c r="IGM79" s="498" t="n"/>
      <c r="IGN79" s="498" t="n"/>
      <c r="IGO79" s="498" t="n"/>
      <c r="IGP79" s="498" t="n"/>
      <c r="IGQ79" s="498" t="n"/>
      <c r="IGR79" s="498" t="n"/>
      <c r="IGS79" s="498" t="n"/>
      <c r="IGT79" s="498" t="n"/>
      <c r="IGU79" s="498" t="n"/>
      <c r="IGV79" s="498" t="n"/>
      <c r="IGW79" s="498" t="n"/>
      <c r="IGX79" s="498" t="n"/>
      <c r="IGY79" s="498" t="n"/>
      <c r="IGZ79" s="498" t="n"/>
      <c r="IHA79" s="498" t="n"/>
      <c r="IHB79" s="498" t="n"/>
      <c r="IHC79" s="498" t="n"/>
      <c r="IHD79" s="498" t="n"/>
      <c r="IHE79" s="498" t="n"/>
      <c r="IHF79" s="498" t="n"/>
      <c r="IHG79" s="498" t="n"/>
      <c r="IHH79" s="498" t="n"/>
      <c r="IHI79" s="498" t="n"/>
      <c r="IHJ79" s="498" t="n"/>
      <c r="IHK79" s="498" t="n"/>
      <c r="IHL79" s="498" t="n"/>
      <c r="IHM79" s="498" t="n"/>
      <c r="IHN79" s="498" t="n"/>
      <c r="IHO79" s="498" t="n"/>
      <c r="IHP79" s="498" t="n"/>
      <c r="IHQ79" s="498" t="n"/>
      <c r="IHR79" s="498" t="n"/>
      <c r="IHS79" s="498" t="n"/>
      <c r="IHT79" s="498" t="n"/>
      <c r="IHU79" s="498" t="n"/>
      <c r="IHV79" s="498" t="n"/>
      <c r="IHW79" s="498" t="n"/>
      <c r="IHX79" s="498" t="n"/>
      <c r="IHY79" s="498" t="n"/>
      <c r="IHZ79" s="498" t="n"/>
      <c r="IIA79" s="498" t="n"/>
      <c r="IIB79" s="498" t="n"/>
      <c r="IIC79" s="498" t="n"/>
      <c r="IID79" s="498" t="n"/>
      <c r="IIE79" s="498" t="n"/>
      <c r="IIF79" s="498" t="n"/>
      <c r="IIG79" s="498" t="n"/>
      <c r="IIH79" s="498" t="n"/>
      <c r="III79" s="498" t="n"/>
      <c r="IIJ79" s="498" t="n"/>
      <c r="IIK79" s="498" t="n"/>
      <c r="IIL79" s="498" t="n"/>
      <c r="IIM79" s="498" t="n"/>
      <c r="IIN79" s="498" t="n"/>
      <c r="IIO79" s="498" t="n"/>
      <c r="IIP79" s="498" t="n"/>
      <c r="IIQ79" s="498" t="n"/>
      <c r="IIR79" s="498" t="n"/>
      <c r="IIS79" s="498" t="n"/>
      <c r="IIT79" s="498" t="n"/>
      <c r="IIU79" s="498" t="n"/>
      <c r="IIV79" s="498" t="n"/>
      <c r="IIW79" s="498" t="n"/>
      <c r="IIX79" s="498" t="n"/>
      <c r="IIY79" s="498" t="n"/>
      <c r="IIZ79" s="498" t="n"/>
      <c r="IJA79" s="498" t="n"/>
      <c r="IJB79" s="498" t="n"/>
      <c r="IJC79" s="498" t="n"/>
      <c r="IJD79" s="498" t="n"/>
      <c r="IJE79" s="498" t="n"/>
      <c r="IJF79" s="498" t="n"/>
      <c r="IJG79" s="498" t="n"/>
      <c r="IJH79" s="498" t="n"/>
      <c r="IJI79" s="498" t="n"/>
      <c r="IJJ79" s="498" t="n"/>
      <c r="IJK79" s="498" t="n"/>
      <c r="IJL79" s="498" t="n"/>
      <c r="IJM79" s="498" t="n"/>
      <c r="IJN79" s="498" t="n"/>
      <c r="IJO79" s="498" t="n"/>
      <c r="IJP79" s="498" t="n"/>
      <c r="IJQ79" s="498" t="n"/>
      <c r="IJR79" s="498" t="n"/>
      <c r="IJS79" s="498" t="n"/>
      <c r="IJT79" s="498" t="n"/>
      <c r="IJU79" s="498" t="n"/>
      <c r="IJV79" s="498" t="n"/>
      <c r="IJW79" s="498" t="n"/>
      <c r="IJX79" s="498" t="n"/>
      <c r="IJY79" s="498" t="n"/>
      <c r="IJZ79" s="498" t="n"/>
      <c r="IKA79" s="498" t="n"/>
      <c r="IKB79" s="498" t="n"/>
      <c r="IKC79" s="498" t="n"/>
      <c r="IKD79" s="498" t="n"/>
      <c r="IKE79" s="498" t="n"/>
      <c r="IKF79" s="498" t="n"/>
      <c r="IKG79" s="498" t="n"/>
      <c r="IKH79" s="498" t="n"/>
      <c r="IKI79" s="498" t="n"/>
      <c r="IKJ79" s="498" t="n"/>
      <c r="IKK79" s="498" t="n"/>
      <c r="IKL79" s="498" t="n"/>
      <c r="IKM79" s="498" t="n"/>
      <c r="IKN79" s="498" t="n"/>
      <c r="IKO79" s="498" t="n"/>
      <c r="IKP79" s="498" t="n"/>
      <c r="IKQ79" s="498" t="n"/>
      <c r="IKR79" s="498" t="n"/>
      <c r="IKS79" s="498" t="n"/>
      <c r="IKT79" s="498" t="n"/>
      <c r="IKU79" s="498" t="n"/>
      <c r="IKV79" s="498" t="n"/>
      <c r="IKW79" s="498" t="n"/>
      <c r="IKX79" s="498" t="n"/>
      <c r="IKY79" s="498" t="n"/>
      <c r="IKZ79" s="498" t="n"/>
      <c r="ILA79" s="498" t="n"/>
      <c r="ILB79" s="498" t="n"/>
      <c r="ILC79" s="498" t="n"/>
      <c r="ILD79" s="498" t="n"/>
      <c r="ILE79" s="498" t="n"/>
      <c r="ILF79" s="498" t="n"/>
      <c r="ILG79" s="498" t="n"/>
      <c r="ILH79" s="498" t="n"/>
      <c r="ILI79" s="498" t="n"/>
      <c r="ILJ79" s="498" t="n"/>
      <c r="ILK79" s="498" t="n"/>
      <c r="ILL79" s="498" t="n"/>
      <c r="ILM79" s="498" t="n"/>
      <c r="ILN79" s="498" t="n"/>
      <c r="ILO79" s="498" t="n"/>
      <c r="ILP79" s="498" t="n"/>
      <c r="ILQ79" s="498" t="n"/>
      <c r="ILR79" s="498" t="n"/>
      <c r="ILS79" s="498" t="n"/>
      <c r="ILT79" s="498" t="n"/>
      <c r="ILU79" s="498" t="n"/>
      <c r="ILV79" s="498" t="n"/>
      <c r="ILW79" s="498" t="n"/>
      <c r="ILX79" s="498" t="n"/>
      <c r="ILY79" s="498" t="n"/>
      <c r="ILZ79" s="498" t="n"/>
      <c r="IMA79" s="498" t="n"/>
      <c r="IMB79" s="498" t="n"/>
      <c r="IMC79" s="498" t="n"/>
      <c r="IMD79" s="498" t="n"/>
      <c r="IME79" s="498" t="n"/>
      <c r="IMF79" s="498" t="n"/>
      <c r="IMG79" s="498" t="n"/>
      <c r="IMH79" s="498" t="n"/>
      <c r="IMI79" s="498" t="n"/>
      <c r="IMJ79" s="498" t="n"/>
      <c r="IMK79" s="498" t="n"/>
      <c r="IML79" s="498" t="n"/>
      <c r="IMM79" s="498" t="n"/>
      <c r="IMN79" s="498" t="n"/>
      <c r="IMO79" s="498" t="n"/>
      <c r="IMP79" s="498" t="n"/>
      <c r="IMQ79" s="498" t="n"/>
      <c r="IMR79" s="498" t="n"/>
      <c r="IMS79" s="498" t="n"/>
      <c r="IMT79" s="498" t="n"/>
      <c r="IMU79" s="498" t="n"/>
      <c r="IMV79" s="498" t="n"/>
      <c r="IMW79" s="498" t="n"/>
      <c r="IMX79" s="498" t="n"/>
      <c r="IMY79" s="498" t="n"/>
      <c r="IMZ79" s="498" t="n"/>
      <c r="INA79" s="498" t="n"/>
      <c r="INB79" s="498" t="n"/>
      <c r="INC79" s="498" t="n"/>
      <c r="IND79" s="498" t="n"/>
      <c r="INE79" s="498" t="n"/>
      <c r="INF79" s="498" t="n"/>
      <c r="ING79" s="498" t="n"/>
      <c r="INH79" s="498" t="n"/>
      <c r="INI79" s="498" t="n"/>
      <c r="INJ79" s="498" t="n"/>
      <c r="INK79" s="498" t="n"/>
      <c r="INL79" s="498" t="n"/>
      <c r="INM79" s="498" t="n"/>
      <c r="INN79" s="498" t="n"/>
      <c r="INO79" s="498" t="n"/>
      <c r="INP79" s="498" t="n"/>
      <c r="INQ79" s="498" t="n"/>
      <c r="INR79" s="498" t="n"/>
      <c r="INS79" s="498" t="n"/>
      <c r="INT79" s="498" t="n"/>
      <c r="INU79" s="498" t="n"/>
      <c r="INV79" s="498" t="n"/>
      <c r="INW79" s="498" t="n"/>
      <c r="INX79" s="498" t="n"/>
      <c r="INY79" s="498" t="n"/>
      <c r="INZ79" s="498" t="n"/>
      <c r="IOA79" s="498" t="n"/>
      <c r="IOB79" s="498" t="n"/>
      <c r="IOC79" s="498" t="n"/>
      <c r="IOD79" s="498" t="n"/>
      <c r="IOE79" s="498" t="n"/>
      <c r="IOF79" s="498" t="n"/>
      <c r="IOG79" s="498" t="n"/>
      <c r="IOH79" s="498" t="n"/>
      <c r="IOI79" s="498" t="n"/>
      <c r="IOJ79" s="498" t="n"/>
      <c r="IOK79" s="498" t="n"/>
      <c r="IOL79" s="498" t="n"/>
      <c r="IOM79" s="498" t="n"/>
      <c r="ION79" s="498" t="n"/>
      <c r="IOO79" s="498" t="n"/>
      <c r="IOP79" s="498" t="n"/>
      <c r="IOQ79" s="498" t="n"/>
      <c r="IOR79" s="498" t="n"/>
      <c r="IOS79" s="498" t="n"/>
      <c r="IOT79" s="498" t="n"/>
      <c r="IOU79" s="498" t="n"/>
      <c r="IOV79" s="498" t="n"/>
      <c r="IOW79" s="498" t="n"/>
      <c r="IOX79" s="498" t="n"/>
      <c r="IOY79" s="498" t="n"/>
      <c r="IOZ79" s="498" t="n"/>
      <c r="IPA79" s="498" t="n"/>
      <c r="IPB79" s="498" t="n"/>
      <c r="IPC79" s="498" t="n"/>
      <c r="IPD79" s="498" t="n"/>
      <c r="IPE79" s="498" t="n"/>
      <c r="IPF79" s="498" t="n"/>
      <c r="IPG79" s="498" t="n"/>
      <c r="IPH79" s="498" t="n"/>
      <c r="IPI79" s="498" t="n"/>
      <c r="IPJ79" s="498" t="n"/>
      <c r="IPK79" s="498" t="n"/>
      <c r="IPL79" s="498" t="n"/>
      <c r="IPM79" s="498" t="n"/>
      <c r="IPN79" s="498" t="n"/>
      <c r="IPO79" s="498" t="n"/>
      <c r="IPP79" s="498" t="n"/>
      <c r="IPQ79" s="498" t="n"/>
      <c r="IPR79" s="498" t="n"/>
      <c r="IPS79" s="498" t="n"/>
      <c r="IPT79" s="498" t="n"/>
      <c r="IPU79" s="498" t="n"/>
      <c r="IPV79" s="498" t="n"/>
      <c r="IPW79" s="498" t="n"/>
      <c r="IPX79" s="498" t="n"/>
      <c r="IPY79" s="498" t="n"/>
      <c r="IPZ79" s="498" t="n"/>
      <c r="IQA79" s="498" t="n"/>
      <c r="IQB79" s="498" t="n"/>
      <c r="IQC79" s="498" t="n"/>
      <c r="IQD79" s="498" t="n"/>
      <c r="IQE79" s="498" t="n"/>
      <c r="IQF79" s="498" t="n"/>
      <c r="IQG79" s="498" t="n"/>
      <c r="IQH79" s="498" t="n"/>
      <c r="IQI79" s="498" t="n"/>
      <c r="IQJ79" s="498" t="n"/>
      <c r="IQK79" s="498" t="n"/>
      <c r="IQL79" s="498" t="n"/>
      <c r="IQM79" s="498" t="n"/>
      <c r="IQN79" s="498" t="n"/>
      <c r="IQO79" s="498" t="n"/>
      <c r="IQP79" s="498" t="n"/>
      <c r="IQQ79" s="498" t="n"/>
      <c r="IQR79" s="498" t="n"/>
      <c r="IQS79" s="498" t="n"/>
      <c r="IQT79" s="498" t="n"/>
      <c r="IQU79" s="498" t="n"/>
      <c r="IQV79" s="498" t="n"/>
      <c r="IQW79" s="498" t="n"/>
      <c r="IQX79" s="498" t="n"/>
      <c r="IQY79" s="498" t="n"/>
      <c r="IQZ79" s="498" t="n"/>
      <c r="IRA79" s="498" t="n"/>
      <c r="IRB79" s="498" t="n"/>
      <c r="IRC79" s="498" t="n"/>
      <c r="IRD79" s="498" t="n"/>
      <c r="IRE79" s="498" t="n"/>
      <c r="IRF79" s="498" t="n"/>
      <c r="IRG79" s="498" t="n"/>
      <c r="IRH79" s="498" t="n"/>
      <c r="IRI79" s="498" t="n"/>
      <c r="IRJ79" s="498" t="n"/>
      <c r="IRK79" s="498" t="n"/>
      <c r="IRL79" s="498" t="n"/>
      <c r="IRM79" s="498" t="n"/>
      <c r="IRN79" s="498" t="n"/>
      <c r="IRO79" s="498" t="n"/>
      <c r="IRP79" s="498" t="n"/>
      <c r="IRQ79" s="498" t="n"/>
      <c r="IRR79" s="498" t="n"/>
      <c r="IRS79" s="498" t="n"/>
      <c r="IRT79" s="498" t="n"/>
      <c r="IRU79" s="498" t="n"/>
      <c r="IRV79" s="498" t="n"/>
      <c r="IRW79" s="498" t="n"/>
      <c r="IRX79" s="498" t="n"/>
      <c r="IRY79" s="498" t="n"/>
      <c r="IRZ79" s="498" t="n"/>
      <c r="ISA79" s="498" t="n"/>
      <c r="ISB79" s="498" t="n"/>
      <c r="ISC79" s="498" t="n"/>
      <c r="ISD79" s="498" t="n"/>
      <c r="ISE79" s="498" t="n"/>
      <c r="ISF79" s="498" t="n"/>
      <c r="ISG79" s="498" t="n"/>
      <c r="ISH79" s="498" t="n"/>
      <c r="ISI79" s="498" t="n"/>
      <c r="ISJ79" s="498" t="n"/>
      <c r="ISK79" s="498" t="n"/>
      <c r="ISL79" s="498" t="n"/>
      <c r="ISM79" s="498" t="n"/>
      <c r="ISN79" s="498" t="n"/>
      <c r="ISO79" s="498" t="n"/>
      <c r="ISP79" s="498" t="n"/>
      <c r="ISQ79" s="498" t="n"/>
      <c r="ISR79" s="498" t="n"/>
      <c r="ISS79" s="498" t="n"/>
      <c r="IST79" s="498" t="n"/>
      <c r="ISU79" s="498" t="n"/>
      <c r="ISV79" s="498" t="n"/>
      <c r="ISW79" s="498" t="n"/>
      <c r="ISX79" s="498" t="n"/>
      <c r="ISY79" s="498" t="n"/>
      <c r="ISZ79" s="498" t="n"/>
      <c r="ITA79" s="498" t="n"/>
      <c r="ITB79" s="498" t="n"/>
      <c r="ITC79" s="498" t="n"/>
      <c r="ITD79" s="498" t="n"/>
      <c r="ITE79" s="498" t="n"/>
      <c r="ITF79" s="498" t="n"/>
      <c r="ITG79" s="498" t="n"/>
      <c r="ITH79" s="498" t="n"/>
      <c r="ITI79" s="498" t="n"/>
      <c r="ITJ79" s="498" t="n"/>
      <c r="ITK79" s="498" t="n"/>
      <c r="ITL79" s="498" t="n"/>
      <c r="ITM79" s="498" t="n"/>
      <c r="ITN79" s="498" t="n"/>
      <c r="ITO79" s="498" t="n"/>
      <c r="ITP79" s="498" t="n"/>
      <c r="ITQ79" s="498" t="n"/>
      <c r="ITR79" s="498" t="n"/>
      <c r="ITS79" s="498" t="n"/>
      <c r="ITT79" s="498" t="n"/>
      <c r="ITU79" s="498" t="n"/>
      <c r="ITV79" s="498" t="n"/>
      <c r="ITW79" s="498" t="n"/>
      <c r="ITX79" s="498" t="n"/>
      <c r="ITY79" s="498" t="n"/>
      <c r="ITZ79" s="498" t="n"/>
      <c r="IUA79" s="498" t="n"/>
      <c r="IUB79" s="498" t="n"/>
      <c r="IUC79" s="498" t="n"/>
      <c r="IUD79" s="498" t="n"/>
      <c r="IUE79" s="498" t="n"/>
      <c r="IUF79" s="498" t="n"/>
      <c r="IUG79" s="498" t="n"/>
      <c r="IUH79" s="498" t="n"/>
      <c r="IUI79" s="498" t="n"/>
      <c r="IUJ79" s="498" t="n"/>
      <c r="IUK79" s="498" t="n"/>
      <c r="IUL79" s="498" t="n"/>
      <c r="IUM79" s="498" t="n"/>
      <c r="IUN79" s="498" t="n"/>
      <c r="IUO79" s="498" t="n"/>
      <c r="IUP79" s="498" t="n"/>
      <c r="IUQ79" s="498" t="n"/>
      <c r="IUR79" s="498" t="n"/>
      <c r="IUS79" s="498" t="n"/>
      <c r="IUT79" s="498" t="n"/>
      <c r="IUU79" s="498" t="n"/>
      <c r="IUV79" s="498" t="n"/>
      <c r="IUW79" s="498" t="n"/>
      <c r="IUX79" s="498" t="n"/>
      <c r="IUY79" s="498" t="n"/>
      <c r="IUZ79" s="498" t="n"/>
      <c r="IVA79" s="498" t="n"/>
      <c r="IVB79" s="498" t="n"/>
      <c r="IVC79" s="498" t="n"/>
      <c r="IVD79" s="498" t="n"/>
      <c r="IVE79" s="498" t="n"/>
      <c r="IVF79" s="498" t="n"/>
      <c r="IVG79" s="498" t="n"/>
      <c r="IVH79" s="498" t="n"/>
      <c r="IVI79" s="498" t="n"/>
      <c r="IVJ79" s="498" t="n"/>
      <c r="IVK79" s="498" t="n"/>
      <c r="IVL79" s="498" t="n"/>
      <c r="IVM79" s="498" t="n"/>
      <c r="IVN79" s="498" t="n"/>
      <c r="IVO79" s="498" t="n"/>
      <c r="IVP79" s="498" t="n"/>
      <c r="IVQ79" s="498" t="n"/>
      <c r="IVR79" s="498" t="n"/>
      <c r="IVS79" s="498" t="n"/>
      <c r="IVT79" s="498" t="n"/>
      <c r="IVU79" s="498" t="n"/>
      <c r="IVV79" s="498" t="n"/>
      <c r="IVW79" s="498" t="n"/>
      <c r="IVX79" s="498" t="n"/>
      <c r="IVY79" s="498" t="n"/>
      <c r="IVZ79" s="498" t="n"/>
      <c r="IWA79" s="498" t="n"/>
      <c r="IWB79" s="498" t="n"/>
      <c r="IWC79" s="498" t="n"/>
      <c r="IWD79" s="498" t="n"/>
      <c r="IWE79" s="498" t="n"/>
      <c r="IWF79" s="498" t="n"/>
      <c r="IWG79" s="498" t="n"/>
      <c r="IWH79" s="498" t="n"/>
      <c r="IWI79" s="498" t="n"/>
      <c r="IWJ79" s="498" t="n"/>
      <c r="IWK79" s="498" t="n"/>
      <c r="IWL79" s="498" t="n"/>
      <c r="IWM79" s="498" t="n"/>
      <c r="IWN79" s="498" t="n"/>
      <c r="IWO79" s="498" t="n"/>
      <c r="IWP79" s="498" t="n"/>
      <c r="IWQ79" s="498" t="n"/>
      <c r="IWR79" s="498" t="n"/>
      <c r="IWS79" s="498" t="n"/>
      <c r="IWT79" s="498" t="n"/>
      <c r="IWU79" s="498" t="n"/>
      <c r="IWV79" s="498" t="n"/>
      <c r="IWW79" s="498" t="n"/>
      <c r="IWX79" s="498" t="n"/>
      <c r="IWY79" s="498" t="n"/>
      <c r="IWZ79" s="498" t="n"/>
      <c r="IXA79" s="498" t="n"/>
      <c r="IXB79" s="498" t="n"/>
      <c r="IXC79" s="498" t="n"/>
      <c r="IXD79" s="498" t="n"/>
      <c r="IXE79" s="498" t="n"/>
      <c r="IXF79" s="498" t="n"/>
      <c r="IXG79" s="498" t="n"/>
      <c r="IXH79" s="498" t="n"/>
      <c r="IXI79" s="498" t="n"/>
      <c r="IXJ79" s="498" t="n"/>
      <c r="IXK79" s="498" t="n"/>
      <c r="IXL79" s="498" t="n"/>
      <c r="IXM79" s="498" t="n"/>
      <c r="IXN79" s="498" t="n"/>
      <c r="IXO79" s="498" t="n"/>
      <c r="IXP79" s="498" t="n"/>
      <c r="IXQ79" s="498" t="n"/>
      <c r="IXR79" s="498" t="n"/>
      <c r="IXS79" s="498" t="n"/>
      <c r="IXT79" s="498" t="n"/>
      <c r="IXU79" s="498" t="n"/>
      <c r="IXV79" s="498" t="n"/>
      <c r="IXW79" s="498" t="n"/>
      <c r="IXX79" s="498" t="n"/>
      <c r="IXY79" s="498" t="n"/>
      <c r="IXZ79" s="498" t="n"/>
      <c r="IYA79" s="498" t="n"/>
      <c r="IYB79" s="498" t="n"/>
      <c r="IYC79" s="498" t="n"/>
      <c r="IYD79" s="498" t="n"/>
      <c r="IYE79" s="498" t="n"/>
      <c r="IYF79" s="498" t="n"/>
      <c r="IYG79" s="498" t="n"/>
      <c r="IYH79" s="498" t="n"/>
      <c r="IYI79" s="498" t="n"/>
      <c r="IYJ79" s="498" t="n"/>
      <c r="IYK79" s="498" t="n"/>
      <c r="IYL79" s="498" t="n"/>
      <c r="IYM79" s="498" t="n"/>
      <c r="IYN79" s="498" t="n"/>
      <c r="IYO79" s="498" t="n"/>
      <c r="IYP79" s="498" t="n"/>
      <c r="IYQ79" s="498" t="n"/>
      <c r="IYR79" s="498" t="n"/>
      <c r="IYS79" s="498" t="n"/>
      <c r="IYT79" s="498" t="n"/>
      <c r="IYU79" s="498" t="n"/>
      <c r="IYV79" s="498" t="n"/>
      <c r="IYW79" s="498" t="n"/>
      <c r="IYX79" s="498" t="n"/>
      <c r="IYY79" s="498" t="n"/>
      <c r="IYZ79" s="498" t="n"/>
      <c r="IZA79" s="498" t="n"/>
      <c r="IZB79" s="498" t="n"/>
      <c r="IZC79" s="498" t="n"/>
      <c r="IZD79" s="498" t="n"/>
      <c r="IZE79" s="498" t="n"/>
      <c r="IZF79" s="498" t="n"/>
      <c r="IZG79" s="498" t="n"/>
      <c r="IZH79" s="498" t="n"/>
      <c r="IZI79" s="498" t="n"/>
      <c r="IZJ79" s="498" t="n"/>
      <c r="IZK79" s="498" t="n"/>
      <c r="IZL79" s="498" t="n"/>
      <c r="IZM79" s="498" t="n"/>
      <c r="IZN79" s="498" t="n"/>
      <c r="IZO79" s="498" t="n"/>
      <c r="IZP79" s="498" t="n"/>
      <c r="IZQ79" s="498" t="n"/>
      <c r="IZR79" s="498" t="n"/>
      <c r="IZS79" s="498" t="n"/>
      <c r="IZT79" s="498" t="n"/>
      <c r="IZU79" s="498" t="n"/>
      <c r="IZV79" s="498" t="n"/>
      <c r="IZW79" s="498" t="n"/>
      <c r="IZX79" s="498" t="n"/>
      <c r="IZY79" s="498" t="n"/>
      <c r="IZZ79" s="498" t="n"/>
      <c r="JAA79" s="498" t="n"/>
      <c r="JAB79" s="498" t="n"/>
      <c r="JAC79" s="498" t="n"/>
      <c r="JAD79" s="498" t="n"/>
      <c r="JAE79" s="498" t="n"/>
      <c r="JAF79" s="498" t="n"/>
      <c r="JAG79" s="498" t="n"/>
      <c r="JAH79" s="498" t="n"/>
      <c r="JAI79" s="498" t="n"/>
      <c r="JAJ79" s="498" t="n"/>
      <c r="JAK79" s="498" t="n"/>
      <c r="JAL79" s="498" t="n"/>
      <c r="JAM79" s="498" t="n"/>
      <c r="JAN79" s="498" t="n"/>
      <c r="JAO79" s="498" t="n"/>
      <c r="JAP79" s="498" t="n"/>
      <c r="JAQ79" s="498" t="n"/>
      <c r="JAR79" s="498" t="n"/>
      <c r="JAS79" s="498" t="n"/>
      <c r="JAT79" s="498" t="n"/>
      <c r="JAU79" s="498" t="n"/>
      <c r="JAV79" s="498" t="n"/>
      <c r="JAW79" s="498" t="n"/>
      <c r="JAX79" s="498" t="n"/>
      <c r="JAY79" s="498" t="n"/>
      <c r="JAZ79" s="498" t="n"/>
      <c r="JBA79" s="498" t="n"/>
      <c r="JBB79" s="498" t="n"/>
      <c r="JBC79" s="498" t="n"/>
      <c r="JBD79" s="498" t="n"/>
      <c r="JBE79" s="498" t="n"/>
      <c r="JBF79" s="498" t="n"/>
      <c r="JBG79" s="498" t="n"/>
      <c r="JBH79" s="498" t="n"/>
      <c r="JBI79" s="498" t="n"/>
      <c r="JBJ79" s="498" t="n"/>
      <c r="JBK79" s="498" t="n"/>
      <c r="JBL79" s="498" t="n"/>
      <c r="JBM79" s="498" t="n"/>
      <c r="JBN79" s="498" t="n"/>
      <c r="JBO79" s="498" t="n"/>
      <c r="JBP79" s="498" t="n"/>
      <c r="JBQ79" s="498" t="n"/>
      <c r="JBR79" s="498" t="n"/>
      <c r="JBS79" s="498" t="n"/>
      <c r="JBT79" s="498" t="n"/>
      <c r="JBU79" s="498" t="n"/>
      <c r="JBV79" s="498" t="n"/>
      <c r="JBW79" s="498" t="n"/>
      <c r="JBX79" s="498" t="n"/>
      <c r="JBY79" s="498" t="n"/>
      <c r="JBZ79" s="498" t="n"/>
      <c r="JCA79" s="498" t="n"/>
      <c r="JCB79" s="498" t="n"/>
      <c r="JCC79" s="498" t="n"/>
      <c r="JCD79" s="498" t="n"/>
      <c r="JCE79" s="498" t="n"/>
      <c r="JCF79" s="498" t="n"/>
      <c r="JCG79" s="498" t="n"/>
      <c r="JCH79" s="498" t="n"/>
      <c r="JCI79" s="498" t="n"/>
      <c r="JCJ79" s="498" t="n"/>
      <c r="JCK79" s="498" t="n"/>
      <c r="JCL79" s="498" t="n"/>
      <c r="JCM79" s="498" t="n"/>
      <c r="JCN79" s="498" t="n"/>
      <c r="JCO79" s="498" t="n"/>
      <c r="JCP79" s="498" t="n"/>
      <c r="JCQ79" s="498" t="n"/>
      <c r="JCR79" s="498" t="n"/>
      <c r="JCS79" s="498" t="n"/>
      <c r="JCT79" s="498" t="n"/>
      <c r="JCU79" s="498" t="n"/>
      <c r="JCV79" s="498" t="n"/>
      <c r="JCW79" s="498" t="n"/>
      <c r="JCX79" s="498" t="n"/>
      <c r="JCY79" s="498" t="n"/>
      <c r="JCZ79" s="498" t="n"/>
      <c r="JDA79" s="498" t="n"/>
      <c r="JDB79" s="498" t="n"/>
      <c r="JDC79" s="498" t="n"/>
      <c r="JDD79" s="498" t="n"/>
      <c r="JDE79" s="498" t="n"/>
      <c r="JDF79" s="498" t="n"/>
      <c r="JDG79" s="498" t="n"/>
      <c r="JDH79" s="498" t="n"/>
      <c r="JDI79" s="498" t="n"/>
      <c r="JDJ79" s="498" t="n"/>
      <c r="JDK79" s="498" t="n"/>
      <c r="JDL79" s="498" t="n"/>
      <c r="JDM79" s="498" t="n"/>
      <c r="JDN79" s="498" t="n"/>
      <c r="JDO79" s="498" t="n"/>
      <c r="JDP79" s="498" t="n"/>
      <c r="JDQ79" s="498" t="n"/>
      <c r="JDR79" s="498" t="n"/>
      <c r="JDS79" s="498" t="n"/>
      <c r="JDT79" s="498" t="n"/>
      <c r="JDU79" s="498" t="n"/>
      <c r="JDV79" s="498" t="n"/>
      <c r="JDW79" s="498" t="n"/>
      <c r="JDX79" s="498" t="n"/>
      <c r="JDY79" s="498" t="n"/>
      <c r="JDZ79" s="498" t="n"/>
      <c r="JEA79" s="498" t="n"/>
      <c r="JEB79" s="498" t="n"/>
      <c r="JEC79" s="498" t="n"/>
      <c r="JED79" s="498" t="n"/>
      <c r="JEE79" s="498" t="n"/>
      <c r="JEF79" s="498" t="n"/>
      <c r="JEG79" s="498" t="n"/>
      <c r="JEH79" s="498" t="n"/>
      <c r="JEI79" s="498" t="n"/>
      <c r="JEJ79" s="498" t="n"/>
      <c r="JEK79" s="498" t="n"/>
      <c r="JEL79" s="498" t="n"/>
      <c r="JEM79" s="498" t="n"/>
      <c r="JEN79" s="498" t="n"/>
      <c r="JEO79" s="498" t="n"/>
      <c r="JEP79" s="498" t="n"/>
      <c r="JEQ79" s="498" t="n"/>
      <c r="JER79" s="498" t="n"/>
      <c r="JES79" s="498" t="n"/>
      <c r="JET79" s="498" t="n"/>
      <c r="JEU79" s="498" t="n"/>
      <c r="JEV79" s="498" t="n"/>
      <c r="JEW79" s="498" t="n"/>
      <c r="JEX79" s="498" t="n"/>
      <c r="JEY79" s="498" t="n"/>
      <c r="JEZ79" s="498" t="n"/>
      <c r="JFA79" s="498" t="n"/>
      <c r="JFB79" s="498" t="n"/>
      <c r="JFC79" s="498" t="n"/>
      <c r="JFD79" s="498" t="n"/>
      <c r="JFE79" s="498" t="n"/>
      <c r="JFF79" s="498" t="n"/>
      <c r="JFG79" s="498" t="n"/>
      <c r="JFH79" s="498" t="n"/>
      <c r="JFI79" s="498" t="n"/>
      <c r="JFJ79" s="498" t="n"/>
      <c r="JFK79" s="498" t="n"/>
      <c r="JFL79" s="498" t="n"/>
      <c r="JFM79" s="498" t="n"/>
      <c r="JFN79" s="498" t="n"/>
      <c r="JFO79" s="498" t="n"/>
      <c r="JFP79" s="498" t="n"/>
      <c r="JFQ79" s="498" t="n"/>
      <c r="JFR79" s="498" t="n"/>
      <c r="JFS79" s="498" t="n"/>
      <c r="JFT79" s="498" t="n"/>
      <c r="JFU79" s="498" t="n"/>
      <c r="JFV79" s="498" t="n"/>
      <c r="JFW79" s="498" t="n"/>
      <c r="JFX79" s="498" t="n"/>
      <c r="JFY79" s="498" t="n"/>
      <c r="JFZ79" s="498" t="n"/>
      <c r="JGA79" s="498" t="n"/>
      <c r="JGB79" s="498" t="n"/>
      <c r="JGC79" s="498" t="n"/>
      <c r="JGD79" s="498" t="n"/>
      <c r="JGE79" s="498" t="n"/>
      <c r="JGF79" s="498" t="n"/>
      <c r="JGG79" s="498" t="n"/>
      <c r="JGH79" s="498" t="n"/>
      <c r="JGI79" s="498" t="n"/>
      <c r="JGJ79" s="498" t="n"/>
      <c r="JGK79" s="498" t="n"/>
      <c r="JGL79" s="498" t="n"/>
      <c r="JGM79" s="498" t="n"/>
      <c r="JGN79" s="498" t="n"/>
      <c r="JGO79" s="498" t="n"/>
      <c r="JGP79" s="498" t="n"/>
      <c r="JGQ79" s="498" t="n"/>
      <c r="JGR79" s="498" t="n"/>
      <c r="JGS79" s="498" t="n"/>
      <c r="JGT79" s="498" t="n"/>
      <c r="JGU79" s="498" t="n"/>
      <c r="JGV79" s="498" t="n"/>
      <c r="JGW79" s="498" t="n"/>
      <c r="JGX79" s="498" t="n"/>
      <c r="JGY79" s="498" t="n"/>
      <c r="JGZ79" s="498" t="n"/>
      <c r="JHA79" s="498" t="n"/>
      <c r="JHB79" s="498" t="n"/>
      <c r="JHC79" s="498" t="n"/>
      <c r="JHD79" s="498" t="n"/>
      <c r="JHE79" s="498" t="n"/>
      <c r="JHF79" s="498" t="n"/>
      <c r="JHG79" s="498" t="n"/>
      <c r="JHH79" s="498" t="n"/>
      <c r="JHI79" s="498" t="n"/>
      <c r="JHJ79" s="498" t="n"/>
      <c r="JHK79" s="498" t="n"/>
      <c r="JHL79" s="498" t="n"/>
      <c r="JHM79" s="498" t="n"/>
      <c r="JHN79" s="498" t="n"/>
      <c r="JHO79" s="498" t="n"/>
      <c r="JHP79" s="498" t="n"/>
      <c r="JHQ79" s="498" t="n"/>
      <c r="JHR79" s="498" t="n"/>
      <c r="JHS79" s="498" t="n"/>
      <c r="JHT79" s="498" t="n"/>
      <c r="JHU79" s="498" t="n"/>
      <c r="JHV79" s="498" t="n"/>
      <c r="JHW79" s="498" t="n"/>
      <c r="JHX79" s="498" t="n"/>
      <c r="JHY79" s="498" t="n"/>
      <c r="JHZ79" s="498" t="n"/>
      <c r="JIA79" s="498" t="n"/>
      <c r="JIB79" s="498" t="n"/>
      <c r="JIC79" s="498" t="n"/>
      <c r="JID79" s="498" t="n"/>
      <c r="JIE79" s="498" t="n"/>
      <c r="JIF79" s="498" t="n"/>
      <c r="JIG79" s="498" t="n"/>
      <c r="JIH79" s="498" t="n"/>
      <c r="JII79" s="498" t="n"/>
      <c r="JIJ79" s="498" t="n"/>
      <c r="JIK79" s="498" t="n"/>
      <c r="JIL79" s="498" t="n"/>
      <c r="JIM79" s="498" t="n"/>
      <c r="JIN79" s="498" t="n"/>
      <c r="JIO79" s="498" t="n"/>
      <c r="JIP79" s="498" t="n"/>
      <c r="JIQ79" s="498" t="n"/>
      <c r="JIR79" s="498" t="n"/>
      <c r="JIS79" s="498" t="n"/>
      <c r="JIT79" s="498" t="n"/>
      <c r="JIU79" s="498" t="n"/>
      <c r="JIV79" s="498" t="n"/>
      <c r="JIW79" s="498" t="n"/>
      <c r="JIX79" s="498" t="n"/>
      <c r="JIY79" s="498" t="n"/>
      <c r="JIZ79" s="498" t="n"/>
      <c r="JJA79" s="498" t="n"/>
      <c r="JJB79" s="498" t="n"/>
      <c r="JJC79" s="498" t="n"/>
      <c r="JJD79" s="498" t="n"/>
      <c r="JJE79" s="498" t="n"/>
      <c r="JJF79" s="498" t="n"/>
      <c r="JJG79" s="498" t="n"/>
      <c r="JJH79" s="498" t="n"/>
      <c r="JJI79" s="498" t="n"/>
      <c r="JJJ79" s="498" t="n"/>
      <c r="JJK79" s="498" t="n"/>
      <c r="JJL79" s="498" t="n"/>
      <c r="JJM79" s="498" t="n"/>
      <c r="JJN79" s="498" t="n"/>
      <c r="JJO79" s="498" t="n"/>
      <c r="JJP79" s="498" t="n"/>
      <c r="JJQ79" s="498" t="n"/>
      <c r="JJR79" s="498" t="n"/>
      <c r="JJS79" s="498" t="n"/>
      <c r="JJT79" s="498" t="n"/>
      <c r="JJU79" s="498" t="n"/>
      <c r="JJV79" s="498" t="n"/>
      <c r="JJW79" s="498" t="n"/>
      <c r="JJX79" s="498" t="n"/>
      <c r="JJY79" s="498" t="n"/>
      <c r="JJZ79" s="498" t="n"/>
      <c r="JKA79" s="498" t="n"/>
      <c r="JKB79" s="498" t="n"/>
      <c r="JKC79" s="498" t="n"/>
      <c r="JKD79" s="498" t="n"/>
      <c r="JKE79" s="498" t="n"/>
      <c r="JKF79" s="498" t="n"/>
      <c r="JKG79" s="498" t="n"/>
      <c r="JKH79" s="498" t="n"/>
      <c r="JKI79" s="498" t="n"/>
      <c r="JKJ79" s="498" t="n"/>
      <c r="JKK79" s="498" t="n"/>
      <c r="JKL79" s="498" t="n"/>
      <c r="JKM79" s="498" t="n"/>
      <c r="JKN79" s="498" t="n"/>
      <c r="JKO79" s="498" t="n"/>
      <c r="JKP79" s="498" t="n"/>
      <c r="JKQ79" s="498" t="n"/>
      <c r="JKR79" s="498" t="n"/>
      <c r="JKS79" s="498" t="n"/>
      <c r="JKT79" s="498" t="n"/>
      <c r="JKU79" s="498" t="n"/>
      <c r="JKV79" s="498" t="n"/>
      <c r="JKW79" s="498" t="n"/>
      <c r="JKX79" s="498" t="n"/>
      <c r="JKY79" s="498" t="n"/>
      <c r="JKZ79" s="498" t="n"/>
      <c r="JLA79" s="498" t="n"/>
      <c r="JLB79" s="498" t="n"/>
      <c r="JLC79" s="498" t="n"/>
      <c r="JLD79" s="498" t="n"/>
      <c r="JLE79" s="498" t="n"/>
      <c r="JLF79" s="498" t="n"/>
      <c r="JLG79" s="498" t="n"/>
      <c r="JLH79" s="498" t="n"/>
      <c r="JLI79" s="498" t="n"/>
      <c r="JLJ79" s="498" t="n"/>
      <c r="JLK79" s="498" t="n"/>
      <c r="JLL79" s="498" t="n"/>
      <c r="JLM79" s="498" t="n"/>
      <c r="JLN79" s="498" t="n"/>
      <c r="JLO79" s="498" t="n"/>
      <c r="JLP79" s="498" t="n"/>
      <c r="JLQ79" s="498" t="n"/>
      <c r="JLR79" s="498" t="n"/>
      <c r="JLS79" s="498" t="n"/>
      <c r="JLT79" s="498" t="n"/>
      <c r="JLU79" s="498" t="n"/>
      <c r="JLV79" s="498" t="n"/>
      <c r="JLW79" s="498" t="n"/>
      <c r="JLX79" s="498" t="n"/>
      <c r="JLY79" s="498" t="n"/>
      <c r="JLZ79" s="498" t="n"/>
      <c r="JMA79" s="498" t="n"/>
      <c r="JMB79" s="498" t="n"/>
      <c r="JMC79" s="498" t="n"/>
      <c r="JMD79" s="498" t="n"/>
      <c r="JME79" s="498" t="n"/>
      <c r="JMF79" s="498" t="n"/>
      <c r="JMG79" s="498" t="n"/>
      <c r="JMH79" s="498" t="n"/>
      <c r="JMI79" s="498" t="n"/>
      <c r="JMJ79" s="498" t="n"/>
      <c r="JMK79" s="498" t="n"/>
      <c r="JML79" s="498" t="n"/>
      <c r="JMM79" s="498" t="n"/>
      <c r="JMN79" s="498" t="n"/>
      <c r="JMO79" s="498" t="n"/>
      <c r="JMP79" s="498" t="n"/>
      <c r="JMQ79" s="498" t="n"/>
      <c r="JMR79" s="498" t="n"/>
      <c r="JMS79" s="498" t="n"/>
      <c r="JMT79" s="498" t="n"/>
      <c r="JMU79" s="498" t="n"/>
      <c r="JMV79" s="498" t="n"/>
      <c r="JMW79" s="498" t="n"/>
      <c r="JMX79" s="498" t="n"/>
      <c r="JMY79" s="498" t="n"/>
      <c r="JMZ79" s="498" t="n"/>
      <c r="JNA79" s="498" t="n"/>
      <c r="JNB79" s="498" t="n"/>
      <c r="JNC79" s="498" t="n"/>
      <c r="JND79" s="498" t="n"/>
      <c r="JNE79" s="498" t="n"/>
      <c r="JNF79" s="498" t="n"/>
      <c r="JNG79" s="498" t="n"/>
      <c r="JNH79" s="498" t="n"/>
      <c r="JNI79" s="498" t="n"/>
      <c r="JNJ79" s="498" t="n"/>
      <c r="JNK79" s="498" t="n"/>
      <c r="JNL79" s="498" t="n"/>
      <c r="JNM79" s="498" t="n"/>
      <c r="JNN79" s="498" t="n"/>
      <c r="JNO79" s="498" t="n"/>
      <c r="JNP79" s="498" t="n"/>
      <c r="JNQ79" s="498" t="n"/>
      <c r="JNR79" s="498" t="n"/>
      <c r="JNS79" s="498" t="n"/>
      <c r="JNT79" s="498" t="n"/>
      <c r="JNU79" s="498" t="n"/>
      <c r="JNV79" s="498" t="n"/>
      <c r="JNW79" s="498" t="n"/>
      <c r="JNX79" s="498" t="n"/>
      <c r="JNY79" s="498" t="n"/>
      <c r="JNZ79" s="498" t="n"/>
      <c r="JOA79" s="498" t="n"/>
      <c r="JOB79" s="498" t="n"/>
      <c r="JOC79" s="498" t="n"/>
      <c r="JOD79" s="498" t="n"/>
      <c r="JOE79" s="498" t="n"/>
      <c r="JOF79" s="498" t="n"/>
      <c r="JOG79" s="498" t="n"/>
      <c r="JOH79" s="498" t="n"/>
      <c r="JOI79" s="498" t="n"/>
      <c r="JOJ79" s="498" t="n"/>
      <c r="JOK79" s="498" t="n"/>
      <c r="JOL79" s="498" t="n"/>
      <c r="JOM79" s="498" t="n"/>
      <c r="JON79" s="498" t="n"/>
      <c r="JOO79" s="498" t="n"/>
      <c r="JOP79" s="498" t="n"/>
      <c r="JOQ79" s="498" t="n"/>
      <c r="JOR79" s="498" t="n"/>
      <c r="JOS79" s="498" t="n"/>
      <c r="JOT79" s="498" t="n"/>
      <c r="JOU79" s="498" t="n"/>
      <c r="JOV79" s="498" t="n"/>
      <c r="JOW79" s="498" t="n"/>
      <c r="JOX79" s="498" t="n"/>
      <c r="JOY79" s="498" t="n"/>
      <c r="JOZ79" s="498" t="n"/>
      <c r="JPA79" s="498" t="n"/>
      <c r="JPB79" s="498" t="n"/>
      <c r="JPC79" s="498" t="n"/>
      <c r="JPD79" s="498" t="n"/>
      <c r="JPE79" s="498" t="n"/>
      <c r="JPF79" s="498" t="n"/>
      <c r="JPG79" s="498" t="n"/>
      <c r="JPH79" s="498" t="n"/>
      <c r="JPI79" s="498" t="n"/>
      <c r="JPJ79" s="498" t="n"/>
      <c r="JPK79" s="498" t="n"/>
      <c r="JPL79" s="498" t="n"/>
      <c r="JPM79" s="498" t="n"/>
      <c r="JPN79" s="498" t="n"/>
      <c r="JPO79" s="498" t="n"/>
      <c r="JPP79" s="498" t="n"/>
      <c r="JPQ79" s="498" t="n"/>
      <c r="JPR79" s="498" t="n"/>
      <c r="JPS79" s="498" t="n"/>
      <c r="JPT79" s="498" t="n"/>
      <c r="JPU79" s="498" t="n"/>
      <c r="JPV79" s="498" t="n"/>
      <c r="JPW79" s="498" t="n"/>
      <c r="JPX79" s="498" t="n"/>
      <c r="JPY79" s="498" t="n"/>
      <c r="JPZ79" s="498" t="n"/>
      <c r="JQA79" s="498" t="n"/>
      <c r="JQB79" s="498" t="n"/>
      <c r="JQC79" s="498" t="n"/>
      <c r="JQD79" s="498" t="n"/>
      <c r="JQE79" s="498" t="n"/>
      <c r="JQF79" s="498" t="n"/>
      <c r="JQG79" s="498" t="n"/>
      <c r="JQH79" s="498" t="n"/>
      <c r="JQI79" s="498" t="n"/>
      <c r="JQJ79" s="498" t="n"/>
      <c r="JQK79" s="498" t="n"/>
      <c r="JQL79" s="498" t="n"/>
      <c r="JQM79" s="498" t="n"/>
      <c r="JQN79" s="498" t="n"/>
      <c r="JQO79" s="498" t="n"/>
      <c r="JQP79" s="498" t="n"/>
      <c r="JQQ79" s="498" t="n"/>
      <c r="JQR79" s="498" t="n"/>
      <c r="JQS79" s="498" t="n"/>
      <c r="JQT79" s="498" t="n"/>
      <c r="JQU79" s="498" t="n"/>
      <c r="JQV79" s="498" t="n"/>
      <c r="JQW79" s="498" t="n"/>
      <c r="JQX79" s="498" t="n"/>
      <c r="JQY79" s="498" t="n"/>
      <c r="JQZ79" s="498" t="n"/>
      <c r="JRA79" s="498" t="n"/>
      <c r="JRB79" s="498" t="n"/>
      <c r="JRC79" s="498" t="n"/>
      <c r="JRD79" s="498" t="n"/>
      <c r="JRE79" s="498" t="n"/>
      <c r="JRF79" s="498" t="n"/>
      <c r="JRG79" s="498" t="n"/>
      <c r="JRH79" s="498" t="n"/>
      <c r="JRI79" s="498" t="n"/>
      <c r="JRJ79" s="498" t="n"/>
      <c r="JRK79" s="498" t="n"/>
      <c r="JRL79" s="498" t="n"/>
      <c r="JRM79" s="498" t="n"/>
      <c r="JRN79" s="498" t="n"/>
      <c r="JRO79" s="498" t="n"/>
      <c r="JRP79" s="498" t="n"/>
      <c r="JRQ79" s="498" t="n"/>
      <c r="JRR79" s="498" t="n"/>
      <c r="JRS79" s="498" t="n"/>
      <c r="JRT79" s="498" t="n"/>
      <c r="JRU79" s="498" t="n"/>
      <c r="JRV79" s="498" t="n"/>
      <c r="JRW79" s="498" t="n"/>
      <c r="JRX79" s="498" t="n"/>
      <c r="JRY79" s="498" t="n"/>
      <c r="JRZ79" s="498" t="n"/>
      <c r="JSA79" s="498" t="n"/>
      <c r="JSB79" s="498" t="n"/>
      <c r="JSC79" s="498" t="n"/>
      <c r="JSD79" s="498" t="n"/>
      <c r="JSE79" s="498" t="n"/>
      <c r="JSF79" s="498" t="n"/>
      <c r="JSG79" s="498" t="n"/>
      <c r="JSH79" s="498" t="n"/>
      <c r="JSI79" s="498" t="n"/>
      <c r="JSJ79" s="498" t="n"/>
      <c r="JSK79" s="498" t="n"/>
      <c r="JSL79" s="498" t="n"/>
      <c r="JSM79" s="498" t="n"/>
      <c r="JSN79" s="498" t="n"/>
      <c r="JSO79" s="498" t="n"/>
      <c r="JSP79" s="498" t="n"/>
      <c r="JSQ79" s="498" t="n"/>
      <c r="JSR79" s="498" t="n"/>
      <c r="JSS79" s="498" t="n"/>
      <c r="JST79" s="498" t="n"/>
      <c r="JSU79" s="498" t="n"/>
      <c r="JSV79" s="498" t="n"/>
      <c r="JSW79" s="498" t="n"/>
      <c r="JSX79" s="498" t="n"/>
      <c r="JSY79" s="498" t="n"/>
      <c r="JSZ79" s="498" t="n"/>
      <c r="JTA79" s="498" t="n"/>
      <c r="JTB79" s="498" t="n"/>
      <c r="JTC79" s="498" t="n"/>
      <c r="JTD79" s="498" t="n"/>
      <c r="JTE79" s="498" t="n"/>
      <c r="JTF79" s="498" t="n"/>
      <c r="JTG79" s="498" t="n"/>
      <c r="JTH79" s="498" t="n"/>
      <c r="JTI79" s="498" t="n"/>
      <c r="JTJ79" s="498" t="n"/>
      <c r="JTK79" s="498" t="n"/>
      <c r="JTL79" s="498" t="n"/>
      <c r="JTM79" s="498" t="n"/>
      <c r="JTN79" s="498" t="n"/>
      <c r="JTO79" s="498" t="n"/>
      <c r="JTP79" s="498" t="n"/>
      <c r="JTQ79" s="498" t="n"/>
      <c r="JTR79" s="498" t="n"/>
      <c r="JTS79" s="498" t="n"/>
      <c r="JTT79" s="498" t="n"/>
      <c r="JTU79" s="498" t="n"/>
      <c r="JTV79" s="498" t="n"/>
      <c r="JTW79" s="498" t="n"/>
      <c r="JTX79" s="498" t="n"/>
      <c r="JTY79" s="498" t="n"/>
      <c r="JTZ79" s="498" t="n"/>
      <c r="JUA79" s="498" t="n"/>
      <c r="JUB79" s="498" t="n"/>
      <c r="JUC79" s="498" t="n"/>
      <c r="JUD79" s="498" t="n"/>
      <c r="JUE79" s="498" t="n"/>
      <c r="JUF79" s="498" t="n"/>
      <c r="JUG79" s="498" t="n"/>
      <c r="JUH79" s="498" t="n"/>
      <c r="JUI79" s="498" t="n"/>
      <c r="JUJ79" s="498" t="n"/>
      <c r="JUK79" s="498" t="n"/>
      <c r="JUL79" s="498" t="n"/>
      <c r="JUM79" s="498" t="n"/>
      <c r="JUN79" s="498" t="n"/>
      <c r="JUO79" s="498" t="n"/>
      <c r="JUP79" s="498" t="n"/>
      <c r="JUQ79" s="498" t="n"/>
      <c r="JUR79" s="498" t="n"/>
      <c r="JUS79" s="498" t="n"/>
      <c r="JUT79" s="498" t="n"/>
      <c r="JUU79" s="498" t="n"/>
      <c r="JUV79" s="498" t="n"/>
      <c r="JUW79" s="498" t="n"/>
      <c r="JUX79" s="498" t="n"/>
      <c r="JUY79" s="498" t="n"/>
      <c r="JUZ79" s="498" t="n"/>
      <c r="JVA79" s="498" t="n"/>
      <c r="JVB79" s="498" t="n"/>
      <c r="JVC79" s="498" t="n"/>
      <c r="JVD79" s="498" t="n"/>
      <c r="JVE79" s="498" t="n"/>
      <c r="JVF79" s="498" t="n"/>
      <c r="JVG79" s="498" t="n"/>
      <c r="JVH79" s="498" t="n"/>
      <c r="JVI79" s="498" t="n"/>
      <c r="JVJ79" s="498" t="n"/>
      <c r="JVK79" s="498" t="n"/>
      <c r="JVL79" s="498" t="n"/>
      <c r="JVM79" s="498" t="n"/>
      <c r="JVN79" s="498" t="n"/>
      <c r="JVO79" s="498" t="n"/>
      <c r="JVP79" s="498" t="n"/>
      <c r="JVQ79" s="498" t="n"/>
      <c r="JVR79" s="498" t="n"/>
      <c r="JVS79" s="498" t="n"/>
      <c r="JVT79" s="498" t="n"/>
      <c r="JVU79" s="498" t="n"/>
      <c r="JVV79" s="498" t="n"/>
      <c r="JVW79" s="498" t="n"/>
      <c r="JVX79" s="498" t="n"/>
      <c r="JVY79" s="498" t="n"/>
      <c r="JVZ79" s="498" t="n"/>
      <c r="JWA79" s="498" t="n"/>
      <c r="JWB79" s="498" t="n"/>
      <c r="JWC79" s="498" t="n"/>
      <c r="JWD79" s="498" t="n"/>
      <c r="JWE79" s="498" t="n"/>
      <c r="JWF79" s="498" t="n"/>
      <c r="JWG79" s="498" t="n"/>
      <c r="JWH79" s="498" t="n"/>
      <c r="JWI79" s="498" t="n"/>
      <c r="JWJ79" s="498" t="n"/>
      <c r="JWK79" s="498" t="n"/>
      <c r="JWL79" s="498" t="n"/>
      <c r="JWM79" s="498" t="n"/>
      <c r="JWN79" s="498" t="n"/>
      <c r="JWO79" s="498" t="n"/>
      <c r="JWP79" s="498" t="n"/>
      <c r="JWQ79" s="498" t="n"/>
      <c r="JWR79" s="498" t="n"/>
      <c r="JWS79" s="498" t="n"/>
      <c r="JWT79" s="498" t="n"/>
      <c r="JWU79" s="498" t="n"/>
      <c r="JWV79" s="498" t="n"/>
      <c r="JWW79" s="498" t="n"/>
      <c r="JWX79" s="498" t="n"/>
      <c r="JWY79" s="498" t="n"/>
      <c r="JWZ79" s="498" t="n"/>
      <c r="JXA79" s="498" t="n"/>
      <c r="JXB79" s="498" t="n"/>
      <c r="JXC79" s="498" t="n"/>
      <c r="JXD79" s="498" t="n"/>
      <c r="JXE79" s="498" t="n"/>
      <c r="JXF79" s="498" t="n"/>
      <c r="JXG79" s="498" t="n"/>
      <c r="JXH79" s="498" t="n"/>
      <c r="JXI79" s="498" t="n"/>
      <c r="JXJ79" s="498" t="n"/>
      <c r="JXK79" s="498" t="n"/>
      <c r="JXL79" s="498" t="n"/>
      <c r="JXM79" s="498" t="n"/>
      <c r="JXN79" s="498" t="n"/>
      <c r="JXO79" s="498" t="n"/>
      <c r="JXP79" s="498" t="n"/>
      <c r="JXQ79" s="498" t="n"/>
      <c r="JXR79" s="498" t="n"/>
      <c r="JXS79" s="498" t="n"/>
      <c r="JXT79" s="498" t="n"/>
      <c r="JXU79" s="498" t="n"/>
      <c r="JXV79" s="498" t="n"/>
      <c r="JXW79" s="498" t="n"/>
      <c r="JXX79" s="498" t="n"/>
      <c r="JXY79" s="498" t="n"/>
      <c r="JXZ79" s="498" t="n"/>
      <c r="JYA79" s="498" t="n"/>
      <c r="JYB79" s="498" t="n"/>
      <c r="JYC79" s="498" t="n"/>
      <c r="JYD79" s="498" t="n"/>
      <c r="JYE79" s="498" t="n"/>
      <c r="JYF79" s="498" t="n"/>
      <c r="JYG79" s="498" t="n"/>
      <c r="JYH79" s="498" t="n"/>
      <c r="JYI79" s="498" t="n"/>
      <c r="JYJ79" s="498" t="n"/>
      <c r="JYK79" s="498" t="n"/>
      <c r="JYL79" s="498" t="n"/>
      <c r="JYM79" s="498" t="n"/>
      <c r="JYN79" s="498" t="n"/>
      <c r="JYO79" s="498" t="n"/>
      <c r="JYP79" s="498" t="n"/>
      <c r="JYQ79" s="498" t="n"/>
      <c r="JYR79" s="498" t="n"/>
      <c r="JYS79" s="498" t="n"/>
      <c r="JYT79" s="498" t="n"/>
      <c r="JYU79" s="498" t="n"/>
      <c r="JYV79" s="498" t="n"/>
      <c r="JYW79" s="498" t="n"/>
      <c r="JYX79" s="498" t="n"/>
      <c r="JYY79" s="498" t="n"/>
      <c r="JYZ79" s="498" t="n"/>
      <c r="JZA79" s="498" t="n"/>
      <c r="JZB79" s="498" t="n"/>
      <c r="JZC79" s="498" t="n"/>
      <c r="JZD79" s="498" t="n"/>
      <c r="JZE79" s="498" t="n"/>
      <c r="JZF79" s="498" t="n"/>
      <c r="JZG79" s="498" t="n"/>
      <c r="JZH79" s="498" t="n"/>
      <c r="JZI79" s="498" t="n"/>
      <c r="JZJ79" s="498" t="n"/>
      <c r="JZK79" s="498" t="n"/>
      <c r="JZL79" s="498" t="n"/>
      <c r="JZM79" s="498" t="n"/>
      <c r="JZN79" s="498" t="n"/>
      <c r="JZO79" s="498" t="n"/>
      <c r="JZP79" s="498" t="n"/>
      <c r="JZQ79" s="498" t="n"/>
      <c r="JZR79" s="498" t="n"/>
      <c r="JZS79" s="498" t="n"/>
      <c r="JZT79" s="498" t="n"/>
      <c r="JZU79" s="498" t="n"/>
      <c r="JZV79" s="498" t="n"/>
      <c r="JZW79" s="498" t="n"/>
      <c r="JZX79" s="498" t="n"/>
      <c r="JZY79" s="498" t="n"/>
      <c r="JZZ79" s="498" t="n"/>
      <c r="KAA79" s="498" t="n"/>
      <c r="KAB79" s="498" t="n"/>
      <c r="KAC79" s="498" t="n"/>
      <c r="KAD79" s="498" t="n"/>
      <c r="KAE79" s="498" t="n"/>
      <c r="KAF79" s="498" t="n"/>
      <c r="KAG79" s="498" t="n"/>
      <c r="KAH79" s="498" t="n"/>
      <c r="KAI79" s="498" t="n"/>
      <c r="KAJ79" s="498" t="n"/>
      <c r="KAK79" s="498" t="n"/>
      <c r="KAL79" s="498" t="n"/>
      <c r="KAM79" s="498" t="n"/>
      <c r="KAN79" s="498" t="n"/>
      <c r="KAO79" s="498" t="n"/>
      <c r="KAP79" s="498" t="n"/>
      <c r="KAQ79" s="498" t="n"/>
      <c r="KAR79" s="498" t="n"/>
      <c r="KAS79" s="498" t="n"/>
      <c r="KAT79" s="498" t="n"/>
      <c r="KAU79" s="498" t="n"/>
      <c r="KAV79" s="498" t="n"/>
      <c r="KAW79" s="498" t="n"/>
      <c r="KAX79" s="498" t="n"/>
      <c r="KAY79" s="498" t="n"/>
      <c r="KAZ79" s="498" t="n"/>
      <c r="KBA79" s="498" t="n"/>
      <c r="KBB79" s="498" t="n"/>
      <c r="KBC79" s="498" t="n"/>
      <c r="KBD79" s="498" t="n"/>
      <c r="KBE79" s="498" t="n"/>
      <c r="KBF79" s="498" t="n"/>
      <c r="KBG79" s="498" t="n"/>
      <c r="KBH79" s="498" t="n"/>
      <c r="KBI79" s="498" t="n"/>
      <c r="KBJ79" s="498" t="n"/>
      <c r="KBK79" s="498" t="n"/>
      <c r="KBL79" s="498" t="n"/>
      <c r="KBM79" s="498" t="n"/>
      <c r="KBN79" s="498" t="n"/>
      <c r="KBO79" s="498" t="n"/>
      <c r="KBP79" s="498" t="n"/>
      <c r="KBQ79" s="498" t="n"/>
      <c r="KBR79" s="498" t="n"/>
      <c r="KBS79" s="498" t="n"/>
      <c r="KBT79" s="498" t="n"/>
      <c r="KBU79" s="498" t="n"/>
      <c r="KBV79" s="498" t="n"/>
      <c r="KBW79" s="498" t="n"/>
      <c r="KBX79" s="498" t="n"/>
      <c r="KBY79" s="498" t="n"/>
      <c r="KBZ79" s="498" t="n"/>
      <c r="KCA79" s="498" t="n"/>
      <c r="KCB79" s="498" t="n"/>
      <c r="KCC79" s="498" t="n"/>
      <c r="KCD79" s="498" t="n"/>
      <c r="KCE79" s="498" t="n"/>
      <c r="KCF79" s="498" t="n"/>
      <c r="KCG79" s="498" t="n"/>
      <c r="KCH79" s="498" t="n"/>
      <c r="KCI79" s="498" t="n"/>
      <c r="KCJ79" s="498" t="n"/>
      <c r="KCK79" s="498" t="n"/>
      <c r="KCL79" s="498" t="n"/>
      <c r="KCM79" s="498" t="n"/>
      <c r="KCN79" s="498" t="n"/>
      <c r="KCO79" s="498" t="n"/>
      <c r="KCP79" s="498" t="n"/>
      <c r="KCQ79" s="498" t="n"/>
      <c r="KCR79" s="498" t="n"/>
      <c r="KCS79" s="498" t="n"/>
      <c r="KCT79" s="498" t="n"/>
      <c r="KCU79" s="498" t="n"/>
      <c r="KCV79" s="498" t="n"/>
      <c r="KCW79" s="498" t="n"/>
      <c r="KCX79" s="498" t="n"/>
      <c r="KCY79" s="498" t="n"/>
      <c r="KCZ79" s="498" t="n"/>
      <c r="KDA79" s="498" t="n"/>
      <c r="KDB79" s="498" t="n"/>
      <c r="KDC79" s="498" t="n"/>
      <c r="KDD79" s="498" t="n"/>
      <c r="KDE79" s="498" t="n"/>
      <c r="KDF79" s="498" t="n"/>
      <c r="KDG79" s="498" t="n"/>
      <c r="KDH79" s="498" t="n"/>
      <c r="KDI79" s="498" t="n"/>
      <c r="KDJ79" s="498" t="n"/>
      <c r="KDK79" s="498" t="n"/>
      <c r="KDL79" s="498" t="n"/>
      <c r="KDM79" s="498" t="n"/>
      <c r="KDN79" s="498" t="n"/>
      <c r="KDO79" s="498" t="n"/>
      <c r="KDP79" s="498" t="n"/>
      <c r="KDQ79" s="498" t="n"/>
      <c r="KDR79" s="498" t="n"/>
      <c r="KDS79" s="498" t="n"/>
      <c r="KDT79" s="498" t="n"/>
      <c r="KDU79" s="498" t="n"/>
      <c r="KDV79" s="498" t="n"/>
      <c r="KDW79" s="498" t="n"/>
      <c r="KDX79" s="498" t="n"/>
      <c r="KDY79" s="498" t="n"/>
      <c r="KDZ79" s="498" t="n"/>
      <c r="KEA79" s="498" t="n"/>
      <c r="KEB79" s="498" t="n"/>
      <c r="KEC79" s="498" t="n"/>
      <c r="KED79" s="498" t="n"/>
      <c r="KEE79" s="498" t="n"/>
      <c r="KEF79" s="498" t="n"/>
      <c r="KEG79" s="498" t="n"/>
      <c r="KEH79" s="498" t="n"/>
      <c r="KEI79" s="498" t="n"/>
      <c r="KEJ79" s="498" t="n"/>
      <c r="KEK79" s="498" t="n"/>
      <c r="KEL79" s="498" t="n"/>
      <c r="KEM79" s="498" t="n"/>
      <c r="KEN79" s="498" t="n"/>
      <c r="KEO79" s="498" t="n"/>
      <c r="KEP79" s="498" t="n"/>
      <c r="KEQ79" s="498" t="n"/>
      <c r="KER79" s="498" t="n"/>
      <c r="KES79" s="498" t="n"/>
      <c r="KET79" s="498" t="n"/>
      <c r="KEU79" s="498" t="n"/>
      <c r="KEV79" s="498" t="n"/>
      <c r="KEW79" s="498" t="n"/>
      <c r="KEX79" s="498" t="n"/>
      <c r="KEY79" s="498" t="n"/>
      <c r="KEZ79" s="498" t="n"/>
      <c r="KFA79" s="498" t="n"/>
      <c r="KFB79" s="498" t="n"/>
      <c r="KFC79" s="498" t="n"/>
      <c r="KFD79" s="498" t="n"/>
      <c r="KFE79" s="498" t="n"/>
      <c r="KFF79" s="498" t="n"/>
      <c r="KFG79" s="498" t="n"/>
      <c r="KFH79" s="498" t="n"/>
      <c r="KFI79" s="498" t="n"/>
      <c r="KFJ79" s="498" t="n"/>
      <c r="KFK79" s="498" t="n"/>
      <c r="KFL79" s="498" t="n"/>
      <c r="KFM79" s="498" t="n"/>
      <c r="KFN79" s="498" t="n"/>
      <c r="KFO79" s="498" t="n"/>
      <c r="KFP79" s="498" t="n"/>
      <c r="KFQ79" s="498" t="n"/>
      <c r="KFR79" s="498" t="n"/>
      <c r="KFS79" s="498" t="n"/>
      <c r="KFT79" s="498" t="n"/>
      <c r="KFU79" s="498" t="n"/>
      <c r="KFV79" s="498" t="n"/>
      <c r="KFW79" s="498" t="n"/>
      <c r="KFX79" s="498" t="n"/>
      <c r="KFY79" s="498" t="n"/>
      <c r="KFZ79" s="498" t="n"/>
      <c r="KGA79" s="498" t="n"/>
      <c r="KGB79" s="498" t="n"/>
      <c r="KGC79" s="498" t="n"/>
      <c r="KGD79" s="498" t="n"/>
      <c r="KGE79" s="498" t="n"/>
      <c r="KGF79" s="498" t="n"/>
      <c r="KGG79" s="498" t="n"/>
      <c r="KGH79" s="498" t="n"/>
      <c r="KGI79" s="498" t="n"/>
      <c r="KGJ79" s="498" t="n"/>
      <c r="KGK79" s="498" t="n"/>
      <c r="KGL79" s="498" t="n"/>
      <c r="KGM79" s="498" t="n"/>
      <c r="KGN79" s="498" t="n"/>
      <c r="KGO79" s="498" t="n"/>
      <c r="KGP79" s="498" t="n"/>
      <c r="KGQ79" s="498" t="n"/>
      <c r="KGR79" s="498" t="n"/>
      <c r="KGS79" s="498" t="n"/>
      <c r="KGT79" s="498" t="n"/>
      <c r="KGU79" s="498" t="n"/>
      <c r="KGV79" s="498" t="n"/>
      <c r="KGW79" s="498" t="n"/>
      <c r="KGX79" s="498" t="n"/>
      <c r="KGY79" s="498" t="n"/>
      <c r="KGZ79" s="498" t="n"/>
      <c r="KHA79" s="498" t="n"/>
      <c r="KHB79" s="498" t="n"/>
      <c r="KHC79" s="498" t="n"/>
      <c r="KHD79" s="498" t="n"/>
      <c r="KHE79" s="498" t="n"/>
      <c r="KHF79" s="498" t="n"/>
      <c r="KHG79" s="498" t="n"/>
      <c r="KHH79" s="498" t="n"/>
      <c r="KHI79" s="498" t="n"/>
      <c r="KHJ79" s="498" t="n"/>
      <c r="KHK79" s="498" t="n"/>
      <c r="KHL79" s="498" t="n"/>
      <c r="KHM79" s="498" t="n"/>
      <c r="KHN79" s="498" t="n"/>
      <c r="KHO79" s="498" t="n"/>
      <c r="KHP79" s="498" t="n"/>
      <c r="KHQ79" s="498" t="n"/>
      <c r="KHR79" s="498" t="n"/>
      <c r="KHS79" s="498" t="n"/>
      <c r="KHT79" s="498" t="n"/>
      <c r="KHU79" s="498" t="n"/>
      <c r="KHV79" s="498" t="n"/>
      <c r="KHW79" s="498" t="n"/>
      <c r="KHX79" s="498" t="n"/>
      <c r="KHY79" s="498" t="n"/>
      <c r="KHZ79" s="498" t="n"/>
      <c r="KIA79" s="498" t="n"/>
      <c r="KIB79" s="498" t="n"/>
      <c r="KIC79" s="498" t="n"/>
      <c r="KID79" s="498" t="n"/>
      <c r="KIE79" s="498" t="n"/>
      <c r="KIF79" s="498" t="n"/>
      <c r="KIG79" s="498" t="n"/>
      <c r="KIH79" s="498" t="n"/>
      <c r="KII79" s="498" t="n"/>
      <c r="KIJ79" s="498" t="n"/>
      <c r="KIK79" s="498" t="n"/>
      <c r="KIL79" s="498" t="n"/>
      <c r="KIM79" s="498" t="n"/>
      <c r="KIN79" s="498" t="n"/>
      <c r="KIO79" s="498" t="n"/>
      <c r="KIP79" s="498" t="n"/>
      <c r="KIQ79" s="498" t="n"/>
      <c r="KIR79" s="498" t="n"/>
      <c r="KIS79" s="498" t="n"/>
      <c r="KIT79" s="498" t="n"/>
      <c r="KIU79" s="498" t="n"/>
      <c r="KIV79" s="498" t="n"/>
      <c r="KIW79" s="498" t="n"/>
      <c r="KIX79" s="498" t="n"/>
      <c r="KIY79" s="498" t="n"/>
      <c r="KIZ79" s="498" t="n"/>
      <c r="KJA79" s="498" t="n"/>
      <c r="KJB79" s="498" t="n"/>
      <c r="KJC79" s="498" t="n"/>
      <c r="KJD79" s="498" t="n"/>
      <c r="KJE79" s="498" t="n"/>
      <c r="KJF79" s="498" t="n"/>
      <c r="KJG79" s="498" t="n"/>
      <c r="KJH79" s="498" t="n"/>
      <c r="KJI79" s="498" t="n"/>
      <c r="KJJ79" s="498" t="n"/>
      <c r="KJK79" s="498" t="n"/>
      <c r="KJL79" s="498" t="n"/>
      <c r="KJM79" s="498" t="n"/>
      <c r="KJN79" s="498" t="n"/>
      <c r="KJO79" s="498" t="n"/>
      <c r="KJP79" s="498" t="n"/>
      <c r="KJQ79" s="498" t="n"/>
      <c r="KJR79" s="498" t="n"/>
      <c r="KJS79" s="498" t="n"/>
      <c r="KJT79" s="498" t="n"/>
      <c r="KJU79" s="498" t="n"/>
      <c r="KJV79" s="498" t="n"/>
      <c r="KJW79" s="498" t="n"/>
      <c r="KJX79" s="498" t="n"/>
      <c r="KJY79" s="498" t="n"/>
      <c r="KJZ79" s="498" t="n"/>
      <c r="KKA79" s="498" t="n"/>
      <c r="KKB79" s="498" t="n"/>
      <c r="KKC79" s="498" t="n"/>
      <c r="KKD79" s="498" t="n"/>
      <c r="KKE79" s="498" t="n"/>
      <c r="KKF79" s="498" t="n"/>
      <c r="KKG79" s="498" t="n"/>
      <c r="KKH79" s="498" t="n"/>
      <c r="KKI79" s="498" t="n"/>
      <c r="KKJ79" s="498" t="n"/>
      <c r="KKK79" s="498" t="n"/>
      <c r="KKL79" s="498" t="n"/>
      <c r="KKM79" s="498" t="n"/>
      <c r="KKN79" s="498" t="n"/>
      <c r="KKO79" s="498" t="n"/>
      <c r="KKP79" s="498" t="n"/>
      <c r="KKQ79" s="498" t="n"/>
      <c r="KKR79" s="498" t="n"/>
      <c r="KKS79" s="498" t="n"/>
      <c r="KKT79" s="498" t="n"/>
      <c r="KKU79" s="498" t="n"/>
      <c r="KKV79" s="498" t="n"/>
      <c r="KKW79" s="498" t="n"/>
      <c r="KKX79" s="498" t="n"/>
      <c r="KKY79" s="498" t="n"/>
      <c r="KKZ79" s="498" t="n"/>
      <c r="KLA79" s="498" t="n"/>
      <c r="KLB79" s="498" t="n"/>
      <c r="KLC79" s="498" t="n"/>
      <c r="KLD79" s="498" t="n"/>
      <c r="KLE79" s="498" t="n"/>
      <c r="KLF79" s="498" t="n"/>
      <c r="KLG79" s="498" t="n"/>
      <c r="KLH79" s="498" t="n"/>
      <c r="KLI79" s="498" t="n"/>
      <c r="KLJ79" s="498" t="n"/>
      <c r="KLK79" s="498" t="n"/>
      <c r="KLL79" s="498" t="n"/>
      <c r="KLM79" s="498" t="n"/>
      <c r="KLN79" s="498" t="n"/>
      <c r="KLO79" s="498" t="n"/>
      <c r="KLP79" s="498" t="n"/>
      <c r="KLQ79" s="498" t="n"/>
      <c r="KLR79" s="498" t="n"/>
      <c r="KLS79" s="498" t="n"/>
      <c r="KLT79" s="498" t="n"/>
      <c r="KLU79" s="498" t="n"/>
      <c r="KLV79" s="498" t="n"/>
      <c r="KLW79" s="498" t="n"/>
      <c r="KLX79" s="498" t="n"/>
      <c r="KLY79" s="498" t="n"/>
      <c r="KLZ79" s="498" t="n"/>
      <c r="KMA79" s="498" t="n"/>
      <c r="KMB79" s="498" t="n"/>
      <c r="KMC79" s="498" t="n"/>
      <c r="KMD79" s="498" t="n"/>
      <c r="KME79" s="498" t="n"/>
      <c r="KMF79" s="498" t="n"/>
      <c r="KMG79" s="498" t="n"/>
      <c r="KMH79" s="498" t="n"/>
      <c r="KMI79" s="498" t="n"/>
      <c r="KMJ79" s="498" t="n"/>
      <c r="KMK79" s="498" t="n"/>
      <c r="KML79" s="498" t="n"/>
      <c r="KMM79" s="498" t="n"/>
      <c r="KMN79" s="498" t="n"/>
      <c r="KMO79" s="498" t="n"/>
      <c r="KMP79" s="498" t="n"/>
      <c r="KMQ79" s="498" t="n"/>
      <c r="KMR79" s="498" t="n"/>
      <c r="KMS79" s="498" t="n"/>
      <c r="KMT79" s="498" t="n"/>
      <c r="KMU79" s="498" t="n"/>
      <c r="KMV79" s="498" t="n"/>
      <c r="KMW79" s="498" t="n"/>
      <c r="KMX79" s="498" t="n"/>
      <c r="KMY79" s="498" t="n"/>
      <c r="KMZ79" s="498" t="n"/>
      <c r="KNA79" s="498" t="n"/>
      <c r="KNB79" s="498" t="n"/>
      <c r="KNC79" s="498" t="n"/>
      <c r="KND79" s="498" t="n"/>
      <c r="KNE79" s="498" t="n"/>
      <c r="KNF79" s="498" t="n"/>
      <c r="KNG79" s="498" t="n"/>
      <c r="KNH79" s="498" t="n"/>
      <c r="KNI79" s="498" t="n"/>
      <c r="KNJ79" s="498" t="n"/>
      <c r="KNK79" s="498" t="n"/>
      <c r="KNL79" s="498" t="n"/>
      <c r="KNM79" s="498" t="n"/>
      <c r="KNN79" s="498" t="n"/>
      <c r="KNO79" s="498" t="n"/>
      <c r="KNP79" s="498" t="n"/>
      <c r="KNQ79" s="498" t="n"/>
      <c r="KNR79" s="498" t="n"/>
      <c r="KNS79" s="498" t="n"/>
      <c r="KNT79" s="498" t="n"/>
      <c r="KNU79" s="498" t="n"/>
      <c r="KNV79" s="498" t="n"/>
      <c r="KNW79" s="498" t="n"/>
      <c r="KNX79" s="498" t="n"/>
      <c r="KNY79" s="498" t="n"/>
      <c r="KNZ79" s="498" t="n"/>
      <c r="KOA79" s="498" t="n"/>
      <c r="KOB79" s="498" t="n"/>
      <c r="KOC79" s="498" t="n"/>
      <c r="KOD79" s="498" t="n"/>
      <c r="KOE79" s="498" t="n"/>
      <c r="KOF79" s="498" t="n"/>
      <c r="KOG79" s="498" t="n"/>
      <c r="KOH79" s="498" t="n"/>
      <c r="KOI79" s="498" t="n"/>
      <c r="KOJ79" s="498" t="n"/>
      <c r="KOK79" s="498" t="n"/>
      <c r="KOL79" s="498" t="n"/>
      <c r="KOM79" s="498" t="n"/>
      <c r="KON79" s="498" t="n"/>
      <c r="KOO79" s="498" t="n"/>
      <c r="KOP79" s="498" t="n"/>
      <c r="KOQ79" s="498" t="n"/>
      <c r="KOR79" s="498" t="n"/>
      <c r="KOS79" s="498" t="n"/>
      <c r="KOT79" s="498" t="n"/>
      <c r="KOU79" s="498" t="n"/>
      <c r="KOV79" s="498" t="n"/>
      <c r="KOW79" s="498" t="n"/>
      <c r="KOX79" s="498" t="n"/>
      <c r="KOY79" s="498" t="n"/>
      <c r="KOZ79" s="498" t="n"/>
      <c r="KPA79" s="498" t="n"/>
      <c r="KPB79" s="498" t="n"/>
      <c r="KPC79" s="498" t="n"/>
      <c r="KPD79" s="498" t="n"/>
      <c r="KPE79" s="498" t="n"/>
      <c r="KPF79" s="498" t="n"/>
      <c r="KPG79" s="498" t="n"/>
      <c r="KPH79" s="498" t="n"/>
      <c r="KPI79" s="498" t="n"/>
      <c r="KPJ79" s="498" t="n"/>
      <c r="KPK79" s="498" t="n"/>
      <c r="KPL79" s="498" t="n"/>
      <c r="KPM79" s="498" t="n"/>
      <c r="KPN79" s="498" t="n"/>
      <c r="KPO79" s="498" t="n"/>
      <c r="KPP79" s="498" t="n"/>
      <c r="KPQ79" s="498" t="n"/>
      <c r="KPR79" s="498" t="n"/>
      <c r="KPS79" s="498" t="n"/>
      <c r="KPT79" s="498" t="n"/>
      <c r="KPU79" s="498" t="n"/>
      <c r="KPV79" s="498" t="n"/>
      <c r="KPW79" s="498" t="n"/>
      <c r="KPX79" s="498" t="n"/>
      <c r="KPY79" s="498" t="n"/>
      <c r="KPZ79" s="498" t="n"/>
      <c r="KQA79" s="498" t="n"/>
      <c r="KQB79" s="498" t="n"/>
      <c r="KQC79" s="498" t="n"/>
      <c r="KQD79" s="498" t="n"/>
      <c r="KQE79" s="498" t="n"/>
      <c r="KQF79" s="498" t="n"/>
      <c r="KQG79" s="498" t="n"/>
      <c r="KQH79" s="498" t="n"/>
      <c r="KQI79" s="498" t="n"/>
      <c r="KQJ79" s="498" t="n"/>
      <c r="KQK79" s="498" t="n"/>
      <c r="KQL79" s="498" t="n"/>
      <c r="KQM79" s="498" t="n"/>
      <c r="KQN79" s="498" t="n"/>
      <c r="KQO79" s="498" t="n"/>
      <c r="KQP79" s="498" t="n"/>
      <c r="KQQ79" s="498" t="n"/>
      <c r="KQR79" s="498" t="n"/>
      <c r="KQS79" s="498" t="n"/>
      <c r="KQT79" s="498" t="n"/>
      <c r="KQU79" s="498" t="n"/>
      <c r="KQV79" s="498" t="n"/>
      <c r="KQW79" s="498" t="n"/>
      <c r="KQX79" s="498" t="n"/>
      <c r="KQY79" s="498" t="n"/>
      <c r="KQZ79" s="498" t="n"/>
      <c r="KRA79" s="498" t="n"/>
      <c r="KRB79" s="498" t="n"/>
      <c r="KRC79" s="498" t="n"/>
      <c r="KRD79" s="498" t="n"/>
      <c r="KRE79" s="498" t="n"/>
      <c r="KRF79" s="498" t="n"/>
      <c r="KRG79" s="498" t="n"/>
      <c r="KRH79" s="498" t="n"/>
      <c r="KRI79" s="498" t="n"/>
      <c r="KRJ79" s="498" t="n"/>
      <c r="KRK79" s="498" t="n"/>
      <c r="KRL79" s="498" t="n"/>
      <c r="KRM79" s="498" t="n"/>
      <c r="KRN79" s="498" t="n"/>
      <c r="KRO79" s="498" t="n"/>
      <c r="KRP79" s="498" t="n"/>
      <c r="KRQ79" s="498" t="n"/>
      <c r="KRR79" s="498" t="n"/>
      <c r="KRS79" s="498" t="n"/>
      <c r="KRT79" s="498" t="n"/>
      <c r="KRU79" s="498" t="n"/>
      <c r="KRV79" s="498" t="n"/>
      <c r="KRW79" s="498" t="n"/>
      <c r="KRX79" s="498" t="n"/>
      <c r="KRY79" s="498" t="n"/>
      <c r="KRZ79" s="498" t="n"/>
      <c r="KSA79" s="498" t="n"/>
      <c r="KSB79" s="498" t="n"/>
      <c r="KSC79" s="498" t="n"/>
      <c r="KSD79" s="498" t="n"/>
      <c r="KSE79" s="498" t="n"/>
      <c r="KSF79" s="498" t="n"/>
      <c r="KSG79" s="498" t="n"/>
      <c r="KSH79" s="498" t="n"/>
      <c r="KSI79" s="498" t="n"/>
      <c r="KSJ79" s="498" t="n"/>
      <c r="KSK79" s="498" t="n"/>
      <c r="KSL79" s="498" t="n"/>
      <c r="KSM79" s="498" t="n"/>
      <c r="KSN79" s="498" t="n"/>
      <c r="KSO79" s="498" t="n"/>
      <c r="KSP79" s="498" t="n"/>
      <c r="KSQ79" s="498" t="n"/>
      <c r="KSR79" s="498" t="n"/>
      <c r="KSS79" s="498" t="n"/>
      <c r="KST79" s="498" t="n"/>
      <c r="KSU79" s="498" t="n"/>
      <c r="KSV79" s="498" t="n"/>
      <c r="KSW79" s="498" t="n"/>
      <c r="KSX79" s="498" t="n"/>
      <c r="KSY79" s="498" t="n"/>
      <c r="KSZ79" s="498" t="n"/>
      <c r="KTA79" s="498" t="n"/>
      <c r="KTB79" s="498" t="n"/>
      <c r="KTC79" s="498" t="n"/>
      <c r="KTD79" s="498" t="n"/>
      <c r="KTE79" s="498" t="n"/>
      <c r="KTF79" s="498" t="n"/>
      <c r="KTG79" s="498" t="n"/>
      <c r="KTH79" s="498" t="n"/>
      <c r="KTI79" s="498" t="n"/>
      <c r="KTJ79" s="498" t="n"/>
      <c r="KTK79" s="498" t="n"/>
      <c r="KTL79" s="498" t="n"/>
      <c r="KTM79" s="498" t="n"/>
      <c r="KTN79" s="498" t="n"/>
      <c r="KTO79" s="498" t="n"/>
      <c r="KTP79" s="498" t="n"/>
      <c r="KTQ79" s="498" t="n"/>
      <c r="KTR79" s="498" t="n"/>
      <c r="KTS79" s="498" t="n"/>
      <c r="KTT79" s="498" t="n"/>
      <c r="KTU79" s="498" t="n"/>
      <c r="KTV79" s="498" t="n"/>
      <c r="KTW79" s="498" t="n"/>
      <c r="KTX79" s="498" t="n"/>
      <c r="KTY79" s="498" t="n"/>
      <c r="KTZ79" s="498" t="n"/>
      <c r="KUA79" s="498" t="n"/>
      <c r="KUB79" s="498" t="n"/>
      <c r="KUC79" s="498" t="n"/>
      <c r="KUD79" s="498" t="n"/>
      <c r="KUE79" s="498" t="n"/>
      <c r="KUF79" s="498" t="n"/>
      <c r="KUG79" s="498" t="n"/>
      <c r="KUH79" s="498" t="n"/>
      <c r="KUI79" s="498" t="n"/>
      <c r="KUJ79" s="498" t="n"/>
      <c r="KUK79" s="498" t="n"/>
      <c r="KUL79" s="498" t="n"/>
      <c r="KUM79" s="498" t="n"/>
      <c r="KUN79" s="498" t="n"/>
      <c r="KUO79" s="498" t="n"/>
      <c r="KUP79" s="498" t="n"/>
      <c r="KUQ79" s="498" t="n"/>
      <c r="KUR79" s="498" t="n"/>
      <c r="KUS79" s="498" t="n"/>
      <c r="KUT79" s="498" t="n"/>
      <c r="KUU79" s="498" t="n"/>
      <c r="KUV79" s="498" t="n"/>
      <c r="KUW79" s="498" t="n"/>
      <c r="KUX79" s="498" t="n"/>
      <c r="KUY79" s="498" t="n"/>
      <c r="KUZ79" s="498" t="n"/>
      <c r="KVA79" s="498" t="n"/>
      <c r="KVB79" s="498" t="n"/>
      <c r="KVC79" s="498" t="n"/>
      <c r="KVD79" s="498" t="n"/>
      <c r="KVE79" s="498" t="n"/>
      <c r="KVF79" s="498" t="n"/>
      <c r="KVG79" s="498" t="n"/>
      <c r="KVH79" s="498" t="n"/>
      <c r="KVI79" s="498" t="n"/>
      <c r="KVJ79" s="498" t="n"/>
      <c r="KVK79" s="498" t="n"/>
      <c r="KVL79" s="498" t="n"/>
      <c r="KVM79" s="498" t="n"/>
      <c r="KVN79" s="498" t="n"/>
      <c r="KVO79" s="498" t="n"/>
      <c r="KVP79" s="498" t="n"/>
      <c r="KVQ79" s="498" t="n"/>
      <c r="KVR79" s="498" t="n"/>
      <c r="KVS79" s="498" t="n"/>
      <c r="KVT79" s="498" t="n"/>
      <c r="KVU79" s="498" t="n"/>
      <c r="KVV79" s="498" t="n"/>
      <c r="KVW79" s="498" t="n"/>
      <c r="KVX79" s="498" t="n"/>
      <c r="KVY79" s="498" t="n"/>
      <c r="KVZ79" s="498" t="n"/>
      <c r="KWA79" s="498" t="n"/>
      <c r="KWB79" s="498" t="n"/>
      <c r="KWC79" s="498" t="n"/>
      <c r="KWD79" s="498" t="n"/>
      <c r="KWE79" s="498" t="n"/>
      <c r="KWF79" s="498" t="n"/>
      <c r="KWG79" s="498" t="n"/>
      <c r="KWH79" s="498" t="n"/>
      <c r="KWI79" s="498" t="n"/>
      <c r="KWJ79" s="498" t="n"/>
      <c r="KWK79" s="498" t="n"/>
      <c r="KWL79" s="498" t="n"/>
      <c r="KWM79" s="498" t="n"/>
      <c r="KWN79" s="498" t="n"/>
      <c r="KWO79" s="498" t="n"/>
      <c r="KWP79" s="498" t="n"/>
      <c r="KWQ79" s="498" t="n"/>
      <c r="KWR79" s="498" t="n"/>
      <c r="KWS79" s="498" t="n"/>
      <c r="KWT79" s="498" t="n"/>
      <c r="KWU79" s="498" t="n"/>
      <c r="KWV79" s="498" t="n"/>
      <c r="KWW79" s="498" t="n"/>
      <c r="KWX79" s="498" t="n"/>
      <c r="KWY79" s="498" t="n"/>
      <c r="KWZ79" s="498" t="n"/>
      <c r="KXA79" s="498" t="n"/>
      <c r="KXB79" s="498" t="n"/>
      <c r="KXC79" s="498" t="n"/>
      <c r="KXD79" s="498" t="n"/>
      <c r="KXE79" s="498" t="n"/>
      <c r="KXF79" s="498" t="n"/>
      <c r="KXG79" s="498" t="n"/>
      <c r="KXH79" s="498" t="n"/>
      <c r="KXI79" s="498" t="n"/>
      <c r="KXJ79" s="498" t="n"/>
      <c r="KXK79" s="498" t="n"/>
      <c r="KXL79" s="498" t="n"/>
      <c r="KXM79" s="498" t="n"/>
      <c r="KXN79" s="498" t="n"/>
      <c r="KXO79" s="498" t="n"/>
      <c r="KXP79" s="498" t="n"/>
      <c r="KXQ79" s="498" t="n"/>
      <c r="KXR79" s="498" t="n"/>
      <c r="KXS79" s="498" t="n"/>
      <c r="KXT79" s="498" t="n"/>
      <c r="KXU79" s="498" t="n"/>
      <c r="KXV79" s="498" t="n"/>
      <c r="KXW79" s="498" t="n"/>
      <c r="KXX79" s="498" t="n"/>
      <c r="KXY79" s="498" t="n"/>
      <c r="KXZ79" s="498" t="n"/>
      <c r="KYA79" s="498" t="n"/>
      <c r="KYB79" s="498" t="n"/>
      <c r="KYC79" s="498" t="n"/>
      <c r="KYD79" s="498" t="n"/>
      <c r="KYE79" s="498" t="n"/>
      <c r="KYF79" s="498" t="n"/>
      <c r="KYG79" s="498" t="n"/>
      <c r="KYH79" s="498" t="n"/>
      <c r="KYI79" s="498" t="n"/>
      <c r="KYJ79" s="498" t="n"/>
      <c r="KYK79" s="498" t="n"/>
      <c r="KYL79" s="498" t="n"/>
      <c r="KYM79" s="498" t="n"/>
      <c r="KYN79" s="498" t="n"/>
      <c r="KYO79" s="498" t="n"/>
      <c r="KYP79" s="498" t="n"/>
      <c r="KYQ79" s="498" t="n"/>
      <c r="KYR79" s="498" t="n"/>
      <c r="KYS79" s="498" t="n"/>
      <c r="KYT79" s="498" t="n"/>
      <c r="KYU79" s="498" t="n"/>
      <c r="KYV79" s="498" t="n"/>
      <c r="KYW79" s="498" t="n"/>
      <c r="KYX79" s="498" t="n"/>
      <c r="KYY79" s="498" t="n"/>
      <c r="KYZ79" s="498" t="n"/>
      <c r="KZA79" s="498" t="n"/>
      <c r="KZB79" s="498" t="n"/>
      <c r="KZC79" s="498" t="n"/>
      <c r="KZD79" s="498" t="n"/>
      <c r="KZE79" s="498" t="n"/>
      <c r="KZF79" s="498" t="n"/>
      <c r="KZG79" s="498" t="n"/>
      <c r="KZH79" s="498" t="n"/>
      <c r="KZI79" s="498" t="n"/>
      <c r="KZJ79" s="498" t="n"/>
      <c r="KZK79" s="498" t="n"/>
      <c r="KZL79" s="498" t="n"/>
      <c r="KZM79" s="498" t="n"/>
      <c r="KZN79" s="498" t="n"/>
      <c r="KZO79" s="498" t="n"/>
      <c r="KZP79" s="498" t="n"/>
      <c r="KZQ79" s="498" t="n"/>
      <c r="KZR79" s="498" t="n"/>
      <c r="KZS79" s="498" t="n"/>
      <c r="KZT79" s="498" t="n"/>
      <c r="KZU79" s="498" t="n"/>
      <c r="KZV79" s="498" t="n"/>
      <c r="KZW79" s="498" t="n"/>
      <c r="KZX79" s="498" t="n"/>
      <c r="KZY79" s="498" t="n"/>
      <c r="KZZ79" s="498" t="n"/>
      <c r="LAA79" s="498" t="n"/>
      <c r="LAB79" s="498" t="n"/>
      <c r="LAC79" s="498" t="n"/>
      <c r="LAD79" s="498" t="n"/>
      <c r="LAE79" s="498" t="n"/>
      <c r="LAF79" s="498" t="n"/>
      <c r="LAG79" s="498" t="n"/>
      <c r="LAH79" s="498" t="n"/>
      <c r="LAI79" s="498" t="n"/>
      <c r="LAJ79" s="498" t="n"/>
      <c r="LAK79" s="498" t="n"/>
      <c r="LAL79" s="498" t="n"/>
      <c r="LAM79" s="498" t="n"/>
      <c r="LAN79" s="498" t="n"/>
      <c r="LAO79" s="498" t="n"/>
      <c r="LAP79" s="498" t="n"/>
      <c r="LAQ79" s="498" t="n"/>
      <c r="LAR79" s="498" t="n"/>
      <c r="LAS79" s="498" t="n"/>
      <c r="LAT79" s="498" t="n"/>
      <c r="LAU79" s="498" t="n"/>
      <c r="LAV79" s="498" t="n"/>
      <c r="LAW79" s="498" t="n"/>
      <c r="LAX79" s="498" t="n"/>
      <c r="LAY79" s="498" t="n"/>
      <c r="LAZ79" s="498" t="n"/>
      <c r="LBA79" s="498" t="n"/>
      <c r="LBB79" s="498" t="n"/>
      <c r="LBC79" s="498" t="n"/>
      <c r="LBD79" s="498" t="n"/>
      <c r="LBE79" s="498" t="n"/>
      <c r="LBF79" s="498" t="n"/>
      <c r="LBG79" s="498" t="n"/>
      <c r="LBH79" s="498" t="n"/>
      <c r="LBI79" s="498" t="n"/>
      <c r="LBJ79" s="498" t="n"/>
      <c r="LBK79" s="498" t="n"/>
      <c r="LBL79" s="498" t="n"/>
      <c r="LBM79" s="498" t="n"/>
      <c r="LBN79" s="498" t="n"/>
      <c r="LBO79" s="498" t="n"/>
      <c r="LBP79" s="498" t="n"/>
      <c r="LBQ79" s="498" t="n"/>
      <c r="LBR79" s="498" t="n"/>
      <c r="LBS79" s="498" t="n"/>
      <c r="LBT79" s="498" t="n"/>
      <c r="LBU79" s="498" t="n"/>
      <c r="LBV79" s="498" t="n"/>
      <c r="LBW79" s="498" t="n"/>
      <c r="LBX79" s="498" t="n"/>
      <c r="LBY79" s="498" t="n"/>
      <c r="LBZ79" s="498" t="n"/>
      <c r="LCA79" s="498" t="n"/>
      <c r="LCB79" s="498" t="n"/>
      <c r="LCC79" s="498" t="n"/>
      <c r="LCD79" s="498" t="n"/>
      <c r="LCE79" s="498" t="n"/>
      <c r="LCF79" s="498" t="n"/>
      <c r="LCG79" s="498" t="n"/>
      <c r="LCH79" s="498" t="n"/>
      <c r="LCI79" s="498" t="n"/>
      <c r="LCJ79" s="498" t="n"/>
      <c r="LCK79" s="498" t="n"/>
      <c r="LCL79" s="498" t="n"/>
      <c r="LCM79" s="498" t="n"/>
      <c r="LCN79" s="498" t="n"/>
      <c r="LCO79" s="498" t="n"/>
      <c r="LCP79" s="498" t="n"/>
      <c r="LCQ79" s="498" t="n"/>
      <c r="LCR79" s="498" t="n"/>
      <c r="LCS79" s="498" t="n"/>
      <c r="LCT79" s="498" t="n"/>
      <c r="LCU79" s="498" t="n"/>
      <c r="LCV79" s="498" t="n"/>
      <c r="LCW79" s="498" t="n"/>
      <c r="LCX79" s="498" t="n"/>
      <c r="LCY79" s="498" t="n"/>
      <c r="LCZ79" s="498" t="n"/>
      <c r="LDA79" s="498" t="n"/>
      <c r="LDB79" s="498" t="n"/>
      <c r="LDC79" s="498" t="n"/>
      <c r="LDD79" s="498" t="n"/>
      <c r="LDE79" s="498" t="n"/>
      <c r="LDF79" s="498" t="n"/>
      <c r="LDG79" s="498" t="n"/>
      <c r="LDH79" s="498" t="n"/>
      <c r="LDI79" s="498" t="n"/>
      <c r="LDJ79" s="498" t="n"/>
      <c r="LDK79" s="498" t="n"/>
      <c r="LDL79" s="498" t="n"/>
      <c r="LDM79" s="498" t="n"/>
      <c r="LDN79" s="498" t="n"/>
      <c r="LDO79" s="498" t="n"/>
      <c r="LDP79" s="498" t="n"/>
      <c r="LDQ79" s="498" t="n"/>
      <c r="LDR79" s="498" t="n"/>
      <c r="LDS79" s="498" t="n"/>
      <c r="LDT79" s="498" t="n"/>
      <c r="LDU79" s="498" t="n"/>
      <c r="LDV79" s="498" t="n"/>
      <c r="LDW79" s="498" t="n"/>
      <c r="LDX79" s="498" t="n"/>
      <c r="LDY79" s="498" t="n"/>
      <c r="LDZ79" s="498" t="n"/>
      <c r="LEA79" s="498" t="n"/>
      <c r="LEB79" s="498" t="n"/>
      <c r="LEC79" s="498" t="n"/>
      <c r="LED79" s="498" t="n"/>
      <c r="LEE79" s="498" t="n"/>
      <c r="LEF79" s="498" t="n"/>
      <c r="LEG79" s="498" t="n"/>
      <c r="LEH79" s="498" t="n"/>
      <c r="LEI79" s="498" t="n"/>
      <c r="LEJ79" s="498" t="n"/>
      <c r="LEK79" s="498" t="n"/>
      <c r="LEL79" s="498" t="n"/>
      <c r="LEM79" s="498" t="n"/>
      <c r="LEN79" s="498" t="n"/>
      <c r="LEO79" s="498" t="n"/>
      <c r="LEP79" s="498" t="n"/>
      <c r="LEQ79" s="498" t="n"/>
      <c r="LER79" s="498" t="n"/>
      <c r="LES79" s="498" t="n"/>
      <c r="LET79" s="498" t="n"/>
      <c r="LEU79" s="498" t="n"/>
      <c r="LEV79" s="498" t="n"/>
      <c r="LEW79" s="498" t="n"/>
      <c r="LEX79" s="498" t="n"/>
      <c r="LEY79" s="498" t="n"/>
      <c r="LEZ79" s="498" t="n"/>
      <c r="LFA79" s="498" t="n"/>
      <c r="LFB79" s="498" t="n"/>
      <c r="LFC79" s="498" t="n"/>
      <c r="LFD79" s="498" t="n"/>
      <c r="LFE79" s="498" t="n"/>
      <c r="LFF79" s="498" t="n"/>
      <c r="LFG79" s="498" t="n"/>
      <c r="LFH79" s="498" t="n"/>
      <c r="LFI79" s="498" t="n"/>
      <c r="LFJ79" s="498" t="n"/>
      <c r="LFK79" s="498" t="n"/>
      <c r="LFL79" s="498" t="n"/>
      <c r="LFM79" s="498" t="n"/>
      <c r="LFN79" s="498" t="n"/>
      <c r="LFO79" s="498" t="n"/>
      <c r="LFP79" s="498" t="n"/>
      <c r="LFQ79" s="498" t="n"/>
      <c r="LFR79" s="498" t="n"/>
      <c r="LFS79" s="498" t="n"/>
      <c r="LFT79" s="498" t="n"/>
      <c r="LFU79" s="498" t="n"/>
      <c r="LFV79" s="498" t="n"/>
      <c r="LFW79" s="498" t="n"/>
      <c r="LFX79" s="498" t="n"/>
      <c r="LFY79" s="498" t="n"/>
      <c r="LFZ79" s="498" t="n"/>
      <c r="LGA79" s="498" t="n"/>
      <c r="LGB79" s="498" t="n"/>
      <c r="LGC79" s="498" t="n"/>
      <c r="LGD79" s="498" t="n"/>
      <c r="LGE79" s="498" t="n"/>
      <c r="LGF79" s="498" t="n"/>
      <c r="LGG79" s="498" t="n"/>
      <c r="LGH79" s="498" t="n"/>
      <c r="LGI79" s="498" t="n"/>
      <c r="LGJ79" s="498" t="n"/>
      <c r="LGK79" s="498" t="n"/>
      <c r="LGL79" s="498" t="n"/>
      <c r="LGM79" s="498" t="n"/>
      <c r="LGN79" s="498" t="n"/>
      <c r="LGO79" s="498" t="n"/>
      <c r="LGP79" s="498" t="n"/>
      <c r="LGQ79" s="498" t="n"/>
      <c r="LGR79" s="498" t="n"/>
      <c r="LGS79" s="498" t="n"/>
      <c r="LGT79" s="498" t="n"/>
      <c r="LGU79" s="498" t="n"/>
      <c r="LGV79" s="498" t="n"/>
      <c r="LGW79" s="498" t="n"/>
      <c r="LGX79" s="498" t="n"/>
      <c r="LGY79" s="498" t="n"/>
      <c r="LGZ79" s="498" t="n"/>
      <c r="LHA79" s="498" t="n"/>
      <c r="LHB79" s="498" t="n"/>
      <c r="LHC79" s="498" t="n"/>
      <c r="LHD79" s="498" t="n"/>
      <c r="LHE79" s="498" t="n"/>
      <c r="LHF79" s="498" t="n"/>
      <c r="LHG79" s="498" t="n"/>
      <c r="LHH79" s="498" t="n"/>
      <c r="LHI79" s="498" t="n"/>
      <c r="LHJ79" s="498" t="n"/>
      <c r="LHK79" s="498" t="n"/>
      <c r="LHL79" s="498" t="n"/>
      <c r="LHM79" s="498" t="n"/>
      <c r="LHN79" s="498" t="n"/>
      <c r="LHO79" s="498" t="n"/>
      <c r="LHP79" s="498" t="n"/>
      <c r="LHQ79" s="498" t="n"/>
      <c r="LHR79" s="498" t="n"/>
      <c r="LHS79" s="498" t="n"/>
      <c r="LHT79" s="498" t="n"/>
      <c r="LHU79" s="498" t="n"/>
      <c r="LHV79" s="498" t="n"/>
      <c r="LHW79" s="498" t="n"/>
      <c r="LHX79" s="498" t="n"/>
      <c r="LHY79" s="498" t="n"/>
      <c r="LHZ79" s="498" t="n"/>
      <c r="LIA79" s="498" t="n"/>
      <c r="LIB79" s="498" t="n"/>
      <c r="LIC79" s="498" t="n"/>
      <c r="LID79" s="498" t="n"/>
      <c r="LIE79" s="498" t="n"/>
      <c r="LIF79" s="498" t="n"/>
      <c r="LIG79" s="498" t="n"/>
      <c r="LIH79" s="498" t="n"/>
      <c r="LII79" s="498" t="n"/>
      <c r="LIJ79" s="498" t="n"/>
      <c r="LIK79" s="498" t="n"/>
      <c r="LIL79" s="498" t="n"/>
      <c r="LIM79" s="498" t="n"/>
      <c r="LIN79" s="498" t="n"/>
      <c r="LIO79" s="498" t="n"/>
      <c r="LIP79" s="498" t="n"/>
      <c r="LIQ79" s="498" t="n"/>
      <c r="LIR79" s="498" t="n"/>
      <c r="LIS79" s="498" t="n"/>
      <c r="LIT79" s="498" t="n"/>
      <c r="LIU79" s="498" t="n"/>
      <c r="LIV79" s="498" t="n"/>
      <c r="LIW79" s="498" t="n"/>
      <c r="LIX79" s="498" t="n"/>
      <c r="LIY79" s="498" t="n"/>
      <c r="LIZ79" s="498" t="n"/>
      <c r="LJA79" s="498" t="n"/>
      <c r="LJB79" s="498" t="n"/>
      <c r="LJC79" s="498" t="n"/>
      <c r="LJD79" s="498" t="n"/>
      <c r="LJE79" s="498" t="n"/>
      <c r="LJF79" s="498" t="n"/>
      <c r="LJG79" s="498" t="n"/>
      <c r="LJH79" s="498" t="n"/>
      <c r="LJI79" s="498" t="n"/>
      <c r="LJJ79" s="498" t="n"/>
      <c r="LJK79" s="498" t="n"/>
      <c r="LJL79" s="498" t="n"/>
      <c r="LJM79" s="498" t="n"/>
      <c r="LJN79" s="498" t="n"/>
      <c r="LJO79" s="498" t="n"/>
      <c r="LJP79" s="498" t="n"/>
      <c r="LJQ79" s="498" t="n"/>
      <c r="LJR79" s="498" t="n"/>
      <c r="LJS79" s="498" t="n"/>
      <c r="LJT79" s="498" t="n"/>
      <c r="LJU79" s="498" t="n"/>
      <c r="LJV79" s="498" t="n"/>
      <c r="LJW79" s="498" t="n"/>
      <c r="LJX79" s="498" t="n"/>
      <c r="LJY79" s="498" t="n"/>
      <c r="LJZ79" s="498" t="n"/>
      <c r="LKA79" s="498" t="n"/>
      <c r="LKB79" s="498" t="n"/>
      <c r="LKC79" s="498" t="n"/>
      <c r="LKD79" s="498" t="n"/>
      <c r="LKE79" s="498" t="n"/>
      <c r="LKF79" s="498" t="n"/>
      <c r="LKG79" s="498" t="n"/>
      <c r="LKH79" s="498" t="n"/>
      <c r="LKI79" s="498" t="n"/>
      <c r="LKJ79" s="498" t="n"/>
      <c r="LKK79" s="498" t="n"/>
      <c r="LKL79" s="498" t="n"/>
      <c r="LKM79" s="498" t="n"/>
      <c r="LKN79" s="498" t="n"/>
      <c r="LKO79" s="498" t="n"/>
      <c r="LKP79" s="498" t="n"/>
      <c r="LKQ79" s="498" t="n"/>
      <c r="LKR79" s="498" t="n"/>
      <c r="LKS79" s="498" t="n"/>
      <c r="LKT79" s="498" t="n"/>
      <c r="LKU79" s="498" t="n"/>
      <c r="LKV79" s="498" t="n"/>
      <c r="LKW79" s="498" t="n"/>
      <c r="LKX79" s="498" t="n"/>
      <c r="LKY79" s="498" t="n"/>
      <c r="LKZ79" s="498" t="n"/>
      <c r="LLA79" s="498" t="n"/>
      <c r="LLB79" s="498" t="n"/>
      <c r="LLC79" s="498" t="n"/>
      <c r="LLD79" s="498" t="n"/>
      <c r="LLE79" s="498" t="n"/>
      <c r="LLF79" s="498" t="n"/>
      <c r="LLG79" s="498" t="n"/>
      <c r="LLH79" s="498" t="n"/>
      <c r="LLI79" s="498" t="n"/>
      <c r="LLJ79" s="498" t="n"/>
      <c r="LLK79" s="498" t="n"/>
      <c r="LLL79" s="498" t="n"/>
      <c r="LLM79" s="498" t="n"/>
      <c r="LLN79" s="498" t="n"/>
      <c r="LLO79" s="498" t="n"/>
      <c r="LLP79" s="498" t="n"/>
      <c r="LLQ79" s="498" t="n"/>
      <c r="LLR79" s="498" t="n"/>
      <c r="LLS79" s="498" t="n"/>
      <c r="LLT79" s="498" t="n"/>
      <c r="LLU79" s="498" t="n"/>
      <c r="LLV79" s="498" t="n"/>
      <c r="LLW79" s="498" t="n"/>
      <c r="LLX79" s="498" t="n"/>
      <c r="LLY79" s="498" t="n"/>
      <c r="LLZ79" s="498" t="n"/>
      <c r="LMA79" s="498" t="n"/>
      <c r="LMB79" s="498" t="n"/>
      <c r="LMC79" s="498" t="n"/>
      <c r="LMD79" s="498" t="n"/>
      <c r="LME79" s="498" t="n"/>
      <c r="LMF79" s="498" t="n"/>
      <c r="LMG79" s="498" t="n"/>
      <c r="LMH79" s="498" t="n"/>
      <c r="LMI79" s="498" t="n"/>
      <c r="LMJ79" s="498" t="n"/>
      <c r="LMK79" s="498" t="n"/>
      <c r="LML79" s="498" t="n"/>
      <c r="LMM79" s="498" t="n"/>
      <c r="LMN79" s="498" t="n"/>
      <c r="LMO79" s="498" t="n"/>
      <c r="LMP79" s="498" t="n"/>
      <c r="LMQ79" s="498" t="n"/>
      <c r="LMR79" s="498" t="n"/>
      <c r="LMS79" s="498" t="n"/>
      <c r="LMT79" s="498" t="n"/>
      <c r="LMU79" s="498" t="n"/>
      <c r="LMV79" s="498" t="n"/>
      <c r="LMW79" s="498" t="n"/>
      <c r="LMX79" s="498" t="n"/>
      <c r="LMY79" s="498" t="n"/>
      <c r="LMZ79" s="498" t="n"/>
      <c r="LNA79" s="498" t="n"/>
      <c r="LNB79" s="498" t="n"/>
      <c r="LNC79" s="498" t="n"/>
      <c r="LND79" s="498" t="n"/>
      <c r="LNE79" s="498" t="n"/>
      <c r="LNF79" s="498" t="n"/>
      <c r="LNG79" s="498" t="n"/>
      <c r="LNH79" s="498" t="n"/>
      <c r="LNI79" s="498" t="n"/>
      <c r="LNJ79" s="498" t="n"/>
      <c r="LNK79" s="498" t="n"/>
      <c r="LNL79" s="498" t="n"/>
      <c r="LNM79" s="498" t="n"/>
      <c r="LNN79" s="498" t="n"/>
      <c r="LNO79" s="498" t="n"/>
      <c r="LNP79" s="498" t="n"/>
      <c r="LNQ79" s="498" t="n"/>
      <c r="LNR79" s="498" t="n"/>
      <c r="LNS79" s="498" t="n"/>
      <c r="LNT79" s="498" t="n"/>
      <c r="LNU79" s="498" t="n"/>
      <c r="LNV79" s="498" t="n"/>
      <c r="LNW79" s="498" t="n"/>
      <c r="LNX79" s="498" t="n"/>
      <c r="LNY79" s="498" t="n"/>
      <c r="LNZ79" s="498" t="n"/>
      <c r="LOA79" s="498" t="n"/>
      <c r="LOB79" s="498" t="n"/>
      <c r="LOC79" s="498" t="n"/>
      <c r="LOD79" s="498" t="n"/>
      <c r="LOE79" s="498" t="n"/>
      <c r="LOF79" s="498" t="n"/>
      <c r="LOG79" s="498" t="n"/>
      <c r="LOH79" s="498" t="n"/>
      <c r="LOI79" s="498" t="n"/>
      <c r="LOJ79" s="498" t="n"/>
      <c r="LOK79" s="498" t="n"/>
      <c r="LOL79" s="498" t="n"/>
      <c r="LOM79" s="498" t="n"/>
      <c r="LON79" s="498" t="n"/>
      <c r="LOO79" s="498" t="n"/>
      <c r="LOP79" s="498" t="n"/>
      <c r="LOQ79" s="498" t="n"/>
      <c r="LOR79" s="498" t="n"/>
      <c r="LOS79" s="498" t="n"/>
      <c r="LOT79" s="498" t="n"/>
      <c r="LOU79" s="498" t="n"/>
      <c r="LOV79" s="498" t="n"/>
      <c r="LOW79" s="498" t="n"/>
      <c r="LOX79" s="498" t="n"/>
      <c r="LOY79" s="498" t="n"/>
      <c r="LOZ79" s="498" t="n"/>
      <c r="LPA79" s="498" t="n"/>
      <c r="LPB79" s="498" t="n"/>
      <c r="LPC79" s="498" t="n"/>
      <c r="LPD79" s="498" t="n"/>
      <c r="LPE79" s="498" t="n"/>
      <c r="LPF79" s="498" t="n"/>
      <c r="LPG79" s="498" t="n"/>
      <c r="LPH79" s="498" t="n"/>
      <c r="LPI79" s="498" t="n"/>
      <c r="LPJ79" s="498" t="n"/>
      <c r="LPK79" s="498" t="n"/>
      <c r="LPL79" s="498" t="n"/>
      <c r="LPM79" s="498" t="n"/>
      <c r="LPN79" s="498" t="n"/>
      <c r="LPO79" s="498" t="n"/>
      <c r="LPP79" s="498" t="n"/>
      <c r="LPQ79" s="498" t="n"/>
      <c r="LPR79" s="498" t="n"/>
      <c r="LPS79" s="498" t="n"/>
      <c r="LPT79" s="498" t="n"/>
      <c r="LPU79" s="498" t="n"/>
      <c r="LPV79" s="498" t="n"/>
      <c r="LPW79" s="498" t="n"/>
      <c r="LPX79" s="498" t="n"/>
      <c r="LPY79" s="498" t="n"/>
      <c r="LPZ79" s="498" t="n"/>
      <c r="LQA79" s="498" t="n"/>
      <c r="LQB79" s="498" t="n"/>
      <c r="LQC79" s="498" t="n"/>
      <c r="LQD79" s="498" t="n"/>
      <c r="LQE79" s="498" t="n"/>
      <c r="LQF79" s="498" t="n"/>
      <c r="LQG79" s="498" t="n"/>
      <c r="LQH79" s="498" t="n"/>
      <c r="LQI79" s="498" t="n"/>
      <c r="LQJ79" s="498" t="n"/>
      <c r="LQK79" s="498" t="n"/>
      <c r="LQL79" s="498" t="n"/>
      <c r="LQM79" s="498" t="n"/>
      <c r="LQN79" s="498" t="n"/>
      <c r="LQO79" s="498" t="n"/>
      <c r="LQP79" s="498" t="n"/>
      <c r="LQQ79" s="498" t="n"/>
      <c r="LQR79" s="498" t="n"/>
      <c r="LQS79" s="498" t="n"/>
      <c r="LQT79" s="498" t="n"/>
      <c r="LQU79" s="498" t="n"/>
      <c r="LQV79" s="498" t="n"/>
      <c r="LQW79" s="498" t="n"/>
      <c r="LQX79" s="498" t="n"/>
      <c r="LQY79" s="498" t="n"/>
      <c r="LQZ79" s="498" t="n"/>
      <c r="LRA79" s="498" t="n"/>
      <c r="LRB79" s="498" t="n"/>
      <c r="LRC79" s="498" t="n"/>
      <c r="LRD79" s="498" t="n"/>
      <c r="LRE79" s="498" t="n"/>
      <c r="LRF79" s="498" t="n"/>
      <c r="LRG79" s="498" t="n"/>
      <c r="LRH79" s="498" t="n"/>
      <c r="LRI79" s="498" t="n"/>
      <c r="LRJ79" s="498" t="n"/>
      <c r="LRK79" s="498" t="n"/>
      <c r="LRL79" s="498" t="n"/>
      <c r="LRM79" s="498" t="n"/>
      <c r="LRN79" s="498" t="n"/>
      <c r="LRO79" s="498" t="n"/>
      <c r="LRP79" s="498" t="n"/>
      <c r="LRQ79" s="498" t="n"/>
      <c r="LRR79" s="498" t="n"/>
      <c r="LRS79" s="498" t="n"/>
      <c r="LRT79" s="498" t="n"/>
      <c r="LRU79" s="498" t="n"/>
      <c r="LRV79" s="498" t="n"/>
      <c r="LRW79" s="498" t="n"/>
      <c r="LRX79" s="498" t="n"/>
      <c r="LRY79" s="498" t="n"/>
      <c r="LRZ79" s="498" t="n"/>
      <c r="LSA79" s="498" t="n"/>
      <c r="LSB79" s="498" t="n"/>
      <c r="LSC79" s="498" t="n"/>
      <c r="LSD79" s="498" t="n"/>
      <c r="LSE79" s="498" t="n"/>
      <c r="LSF79" s="498" t="n"/>
      <c r="LSG79" s="498" t="n"/>
      <c r="LSH79" s="498" t="n"/>
      <c r="LSI79" s="498" t="n"/>
      <c r="LSJ79" s="498" t="n"/>
      <c r="LSK79" s="498" t="n"/>
      <c r="LSL79" s="498" t="n"/>
      <c r="LSM79" s="498" t="n"/>
      <c r="LSN79" s="498" t="n"/>
      <c r="LSO79" s="498" t="n"/>
      <c r="LSP79" s="498" t="n"/>
      <c r="LSQ79" s="498" t="n"/>
      <c r="LSR79" s="498" t="n"/>
      <c r="LSS79" s="498" t="n"/>
      <c r="LST79" s="498" t="n"/>
      <c r="LSU79" s="498" t="n"/>
      <c r="LSV79" s="498" t="n"/>
      <c r="LSW79" s="498" t="n"/>
      <c r="LSX79" s="498" t="n"/>
      <c r="LSY79" s="498" t="n"/>
      <c r="LSZ79" s="498" t="n"/>
      <c r="LTA79" s="498" t="n"/>
      <c r="LTB79" s="498" t="n"/>
      <c r="LTC79" s="498" t="n"/>
      <c r="LTD79" s="498" t="n"/>
      <c r="LTE79" s="498" t="n"/>
      <c r="LTF79" s="498" t="n"/>
      <c r="LTG79" s="498" t="n"/>
      <c r="LTH79" s="498" t="n"/>
      <c r="LTI79" s="498" t="n"/>
      <c r="LTJ79" s="498" t="n"/>
      <c r="LTK79" s="498" t="n"/>
      <c r="LTL79" s="498" t="n"/>
      <c r="LTM79" s="498" t="n"/>
      <c r="LTN79" s="498" t="n"/>
      <c r="LTO79" s="498" t="n"/>
      <c r="LTP79" s="498" t="n"/>
      <c r="LTQ79" s="498" t="n"/>
      <c r="LTR79" s="498" t="n"/>
      <c r="LTS79" s="498" t="n"/>
      <c r="LTT79" s="498" t="n"/>
      <c r="LTU79" s="498" t="n"/>
      <c r="LTV79" s="498" t="n"/>
      <c r="LTW79" s="498" t="n"/>
      <c r="LTX79" s="498" t="n"/>
      <c r="LTY79" s="498" t="n"/>
      <c r="LTZ79" s="498" t="n"/>
      <c r="LUA79" s="498" t="n"/>
      <c r="LUB79" s="498" t="n"/>
      <c r="LUC79" s="498" t="n"/>
      <c r="LUD79" s="498" t="n"/>
      <c r="LUE79" s="498" t="n"/>
      <c r="LUF79" s="498" t="n"/>
      <c r="LUG79" s="498" t="n"/>
      <c r="LUH79" s="498" t="n"/>
      <c r="LUI79" s="498" t="n"/>
      <c r="LUJ79" s="498" t="n"/>
      <c r="LUK79" s="498" t="n"/>
      <c r="LUL79" s="498" t="n"/>
      <c r="LUM79" s="498" t="n"/>
      <c r="LUN79" s="498" t="n"/>
      <c r="LUO79" s="498" t="n"/>
      <c r="LUP79" s="498" t="n"/>
      <c r="LUQ79" s="498" t="n"/>
      <c r="LUR79" s="498" t="n"/>
      <c r="LUS79" s="498" t="n"/>
      <c r="LUT79" s="498" t="n"/>
      <c r="LUU79" s="498" t="n"/>
      <c r="LUV79" s="498" t="n"/>
      <c r="LUW79" s="498" t="n"/>
      <c r="LUX79" s="498" t="n"/>
      <c r="LUY79" s="498" t="n"/>
      <c r="LUZ79" s="498" t="n"/>
      <c r="LVA79" s="498" t="n"/>
      <c r="LVB79" s="498" t="n"/>
      <c r="LVC79" s="498" t="n"/>
      <c r="LVD79" s="498" t="n"/>
      <c r="LVE79" s="498" t="n"/>
      <c r="LVF79" s="498" t="n"/>
      <c r="LVG79" s="498" t="n"/>
      <c r="LVH79" s="498" t="n"/>
      <c r="LVI79" s="498" t="n"/>
      <c r="LVJ79" s="498" t="n"/>
      <c r="LVK79" s="498" t="n"/>
      <c r="LVL79" s="498" t="n"/>
      <c r="LVM79" s="498" t="n"/>
      <c r="LVN79" s="498" t="n"/>
      <c r="LVO79" s="498" t="n"/>
      <c r="LVP79" s="498" t="n"/>
      <c r="LVQ79" s="498" t="n"/>
      <c r="LVR79" s="498" t="n"/>
      <c r="LVS79" s="498" t="n"/>
      <c r="LVT79" s="498" t="n"/>
      <c r="LVU79" s="498" t="n"/>
      <c r="LVV79" s="498" t="n"/>
      <c r="LVW79" s="498" t="n"/>
      <c r="LVX79" s="498" t="n"/>
      <c r="LVY79" s="498" t="n"/>
      <c r="LVZ79" s="498" t="n"/>
      <c r="LWA79" s="498" t="n"/>
      <c r="LWB79" s="498" t="n"/>
      <c r="LWC79" s="498" t="n"/>
      <c r="LWD79" s="498" t="n"/>
      <c r="LWE79" s="498" t="n"/>
      <c r="LWF79" s="498" t="n"/>
      <c r="LWG79" s="498" t="n"/>
      <c r="LWH79" s="498" t="n"/>
      <c r="LWI79" s="498" t="n"/>
      <c r="LWJ79" s="498" t="n"/>
      <c r="LWK79" s="498" t="n"/>
      <c r="LWL79" s="498" t="n"/>
      <c r="LWM79" s="498" t="n"/>
      <c r="LWN79" s="498" t="n"/>
      <c r="LWO79" s="498" t="n"/>
      <c r="LWP79" s="498" t="n"/>
      <c r="LWQ79" s="498" t="n"/>
      <c r="LWR79" s="498" t="n"/>
      <c r="LWS79" s="498" t="n"/>
      <c r="LWT79" s="498" t="n"/>
      <c r="LWU79" s="498" t="n"/>
      <c r="LWV79" s="498" t="n"/>
      <c r="LWW79" s="498" t="n"/>
      <c r="LWX79" s="498" t="n"/>
      <c r="LWY79" s="498" t="n"/>
      <c r="LWZ79" s="498" t="n"/>
      <c r="LXA79" s="498" t="n"/>
      <c r="LXB79" s="498" t="n"/>
      <c r="LXC79" s="498" t="n"/>
      <c r="LXD79" s="498" t="n"/>
      <c r="LXE79" s="498" t="n"/>
      <c r="LXF79" s="498" t="n"/>
      <c r="LXG79" s="498" t="n"/>
      <c r="LXH79" s="498" t="n"/>
      <c r="LXI79" s="498" t="n"/>
      <c r="LXJ79" s="498" t="n"/>
      <c r="LXK79" s="498" t="n"/>
      <c r="LXL79" s="498" t="n"/>
      <c r="LXM79" s="498" t="n"/>
      <c r="LXN79" s="498" t="n"/>
      <c r="LXO79" s="498" t="n"/>
      <c r="LXP79" s="498" t="n"/>
      <c r="LXQ79" s="498" t="n"/>
      <c r="LXR79" s="498" t="n"/>
      <c r="LXS79" s="498" t="n"/>
      <c r="LXT79" s="498" t="n"/>
      <c r="LXU79" s="498" t="n"/>
      <c r="LXV79" s="498" t="n"/>
      <c r="LXW79" s="498" t="n"/>
      <c r="LXX79" s="498" t="n"/>
      <c r="LXY79" s="498" t="n"/>
      <c r="LXZ79" s="498" t="n"/>
      <c r="LYA79" s="498" t="n"/>
      <c r="LYB79" s="498" t="n"/>
      <c r="LYC79" s="498" t="n"/>
      <c r="LYD79" s="498" t="n"/>
      <c r="LYE79" s="498" t="n"/>
      <c r="LYF79" s="498" t="n"/>
      <c r="LYG79" s="498" t="n"/>
      <c r="LYH79" s="498" t="n"/>
      <c r="LYI79" s="498" t="n"/>
      <c r="LYJ79" s="498" t="n"/>
      <c r="LYK79" s="498" t="n"/>
      <c r="LYL79" s="498" t="n"/>
      <c r="LYM79" s="498" t="n"/>
      <c r="LYN79" s="498" t="n"/>
      <c r="LYO79" s="498" t="n"/>
      <c r="LYP79" s="498" t="n"/>
      <c r="LYQ79" s="498" t="n"/>
      <c r="LYR79" s="498" t="n"/>
      <c r="LYS79" s="498" t="n"/>
      <c r="LYT79" s="498" t="n"/>
      <c r="LYU79" s="498" t="n"/>
      <c r="LYV79" s="498" t="n"/>
      <c r="LYW79" s="498" t="n"/>
      <c r="LYX79" s="498" t="n"/>
      <c r="LYY79" s="498" t="n"/>
      <c r="LYZ79" s="498" t="n"/>
      <c r="LZA79" s="498" t="n"/>
      <c r="LZB79" s="498" t="n"/>
      <c r="LZC79" s="498" t="n"/>
      <c r="LZD79" s="498" t="n"/>
      <c r="LZE79" s="498" t="n"/>
      <c r="LZF79" s="498" t="n"/>
      <c r="LZG79" s="498" t="n"/>
      <c r="LZH79" s="498" t="n"/>
      <c r="LZI79" s="498" t="n"/>
      <c r="LZJ79" s="498" t="n"/>
      <c r="LZK79" s="498" t="n"/>
      <c r="LZL79" s="498" t="n"/>
      <c r="LZM79" s="498" t="n"/>
      <c r="LZN79" s="498" t="n"/>
      <c r="LZO79" s="498" t="n"/>
      <c r="LZP79" s="498" t="n"/>
      <c r="LZQ79" s="498" t="n"/>
      <c r="LZR79" s="498" t="n"/>
      <c r="LZS79" s="498" t="n"/>
      <c r="LZT79" s="498" t="n"/>
      <c r="LZU79" s="498" t="n"/>
      <c r="LZV79" s="498" t="n"/>
      <c r="LZW79" s="498" t="n"/>
      <c r="LZX79" s="498" t="n"/>
      <c r="LZY79" s="498" t="n"/>
      <c r="LZZ79" s="498" t="n"/>
      <c r="MAA79" s="498" t="n"/>
      <c r="MAB79" s="498" t="n"/>
      <c r="MAC79" s="498" t="n"/>
      <c r="MAD79" s="498" t="n"/>
      <c r="MAE79" s="498" t="n"/>
      <c r="MAF79" s="498" t="n"/>
      <c r="MAG79" s="498" t="n"/>
      <c r="MAH79" s="498" t="n"/>
      <c r="MAI79" s="498" t="n"/>
      <c r="MAJ79" s="498" t="n"/>
      <c r="MAK79" s="498" t="n"/>
      <c r="MAL79" s="498" t="n"/>
      <c r="MAM79" s="498" t="n"/>
      <c r="MAN79" s="498" t="n"/>
      <c r="MAO79" s="498" t="n"/>
      <c r="MAP79" s="498" t="n"/>
      <c r="MAQ79" s="498" t="n"/>
      <c r="MAR79" s="498" t="n"/>
      <c r="MAS79" s="498" t="n"/>
      <c r="MAT79" s="498" t="n"/>
      <c r="MAU79" s="498" t="n"/>
      <c r="MAV79" s="498" t="n"/>
      <c r="MAW79" s="498" t="n"/>
      <c r="MAX79" s="498" t="n"/>
      <c r="MAY79" s="498" t="n"/>
      <c r="MAZ79" s="498" t="n"/>
      <c r="MBA79" s="498" t="n"/>
      <c r="MBB79" s="498" t="n"/>
      <c r="MBC79" s="498" t="n"/>
      <c r="MBD79" s="498" t="n"/>
      <c r="MBE79" s="498" t="n"/>
      <c r="MBF79" s="498" t="n"/>
      <c r="MBG79" s="498" t="n"/>
      <c r="MBH79" s="498" t="n"/>
      <c r="MBI79" s="498" t="n"/>
      <c r="MBJ79" s="498" t="n"/>
      <c r="MBK79" s="498" t="n"/>
      <c r="MBL79" s="498" t="n"/>
      <c r="MBM79" s="498" t="n"/>
      <c r="MBN79" s="498" t="n"/>
      <c r="MBO79" s="498" t="n"/>
      <c r="MBP79" s="498" t="n"/>
      <c r="MBQ79" s="498" t="n"/>
      <c r="MBR79" s="498" t="n"/>
      <c r="MBS79" s="498" t="n"/>
      <c r="MBT79" s="498" t="n"/>
      <c r="MBU79" s="498" t="n"/>
      <c r="MBV79" s="498" t="n"/>
      <c r="MBW79" s="498" t="n"/>
      <c r="MBX79" s="498" t="n"/>
      <c r="MBY79" s="498" t="n"/>
      <c r="MBZ79" s="498" t="n"/>
      <c r="MCA79" s="498" t="n"/>
      <c r="MCB79" s="498" t="n"/>
      <c r="MCC79" s="498" t="n"/>
      <c r="MCD79" s="498" t="n"/>
      <c r="MCE79" s="498" t="n"/>
      <c r="MCF79" s="498" t="n"/>
      <c r="MCG79" s="498" t="n"/>
      <c r="MCH79" s="498" t="n"/>
      <c r="MCI79" s="498" t="n"/>
      <c r="MCJ79" s="498" t="n"/>
      <c r="MCK79" s="498" t="n"/>
      <c r="MCL79" s="498" t="n"/>
      <c r="MCM79" s="498" t="n"/>
      <c r="MCN79" s="498" t="n"/>
      <c r="MCO79" s="498" t="n"/>
      <c r="MCP79" s="498" t="n"/>
      <c r="MCQ79" s="498" t="n"/>
      <c r="MCR79" s="498" t="n"/>
      <c r="MCS79" s="498" t="n"/>
      <c r="MCT79" s="498" t="n"/>
      <c r="MCU79" s="498" t="n"/>
      <c r="MCV79" s="498" t="n"/>
      <c r="MCW79" s="498" t="n"/>
      <c r="MCX79" s="498" t="n"/>
      <c r="MCY79" s="498" t="n"/>
      <c r="MCZ79" s="498" t="n"/>
      <c r="MDA79" s="498" t="n"/>
      <c r="MDB79" s="498" t="n"/>
      <c r="MDC79" s="498" t="n"/>
      <c r="MDD79" s="498" t="n"/>
      <c r="MDE79" s="498" t="n"/>
      <c r="MDF79" s="498" t="n"/>
      <c r="MDG79" s="498" t="n"/>
      <c r="MDH79" s="498" t="n"/>
      <c r="MDI79" s="498" t="n"/>
      <c r="MDJ79" s="498" t="n"/>
      <c r="MDK79" s="498" t="n"/>
      <c r="MDL79" s="498" t="n"/>
      <c r="MDM79" s="498" t="n"/>
      <c r="MDN79" s="498" t="n"/>
      <c r="MDO79" s="498" t="n"/>
      <c r="MDP79" s="498" t="n"/>
      <c r="MDQ79" s="498" t="n"/>
      <c r="MDR79" s="498" t="n"/>
      <c r="MDS79" s="498" t="n"/>
      <c r="MDT79" s="498" t="n"/>
      <c r="MDU79" s="498" t="n"/>
      <c r="MDV79" s="498" t="n"/>
      <c r="MDW79" s="498" t="n"/>
      <c r="MDX79" s="498" t="n"/>
      <c r="MDY79" s="498" t="n"/>
      <c r="MDZ79" s="498" t="n"/>
      <c r="MEA79" s="498" t="n"/>
      <c r="MEB79" s="498" t="n"/>
      <c r="MEC79" s="498" t="n"/>
      <c r="MED79" s="498" t="n"/>
      <c r="MEE79" s="498" t="n"/>
      <c r="MEF79" s="498" t="n"/>
      <c r="MEG79" s="498" t="n"/>
      <c r="MEH79" s="498" t="n"/>
      <c r="MEI79" s="498" t="n"/>
      <c r="MEJ79" s="498" t="n"/>
      <c r="MEK79" s="498" t="n"/>
      <c r="MEL79" s="498" t="n"/>
      <c r="MEM79" s="498" t="n"/>
      <c r="MEN79" s="498" t="n"/>
      <c r="MEO79" s="498" t="n"/>
      <c r="MEP79" s="498" t="n"/>
      <c r="MEQ79" s="498" t="n"/>
      <c r="MER79" s="498" t="n"/>
      <c r="MES79" s="498" t="n"/>
      <c r="MET79" s="498" t="n"/>
      <c r="MEU79" s="498" t="n"/>
      <c r="MEV79" s="498" t="n"/>
      <c r="MEW79" s="498" t="n"/>
      <c r="MEX79" s="498" t="n"/>
      <c r="MEY79" s="498" t="n"/>
      <c r="MEZ79" s="498" t="n"/>
      <c r="MFA79" s="498" t="n"/>
      <c r="MFB79" s="498" t="n"/>
      <c r="MFC79" s="498" t="n"/>
      <c r="MFD79" s="498" t="n"/>
      <c r="MFE79" s="498" t="n"/>
      <c r="MFF79" s="498" t="n"/>
      <c r="MFG79" s="498" t="n"/>
      <c r="MFH79" s="498" t="n"/>
      <c r="MFI79" s="498" t="n"/>
      <c r="MFJ79" s="498" t="n"/>
      <c r="MFK79" s="498" t="n"/>
      <c r="MFL79" s="498" t="n"/>
      <c r="MFM79" s="498" t="n"/>
      <c r="MFN79" s="498" t="n"/>
      <c r="MFO79" s="498" t="n"/>
      <c r="MFP79" s="498" t="n"/>
      <c r="MFQ79" s="498" t="n"/>
      <c r="MFR79" s="498" t="n"/>
      <c r="MFS79" s="498" t="n"/>
      <c r="MFT79" s="498" t="n"/>
      <c r="MFU79" s="498" t="n"/>
      <c r="MFV79" s="498" t="n"/>
      <c r="MFW79" s="498" t="n"/>
      <c r="MFX79" s="498" t="n"/>
      <c r="MFY79" s="498" t="n"/>
      <c r="MFZ79" s="498" t="n"/>
      <c r="MGA79" s="498" t="n"/>
      <c r="MGB79" s="498" t="n"/>
      <c r="MGC79" s="498" t="n"/>
      <c r="MGD79" s="498" t="n"/>
      <c r="MGE79" s="498" t="n"/>
      <c r="MGF79" s="498" t="n"/>
      <c r="MGG79" s="498" t="n"/>
      <c r="MGH79" s="498" t="n"/>
      <c r="MGI79" s="498" t="n"/>
      <c r="MGJ79" s="498" t="n"/>
      <c r="MGK79" s="498" t="n"/>
      <c r="MGL79" s="498" t="n"/>
      <c r="MGM79" s="498" t="n"/>
      <c r="MGN79" s="498" t="n"/>
      <c r="MGO79" s="498" t="n"/>
      <c r="MGP79" s="498" t="n"/>
      <c r="MGQ79" s="498" t="n"/>
      <c r="MGR79" s="498" t="n"/>
      <c r="MGS79" s="498" t="n"/>
      <c r="MGT79" s="498" t="n"/>
      <c r="MGU79" s="498" t="n"/>
      <c r="MGV79" s="498" t="n"/>
      <c r="MGW79" s="498" t="n"/>
      <c r="MGX79" s="498" t="n"/>
      <c r="MGY79" s="498" t="n"/>
      <c r="MGZ79" s="498" t="n"/>
      <c r="MHA79" s="498" t="n"/>
      <c r="MHB79" s="498" t="n"/>
      <c r="MHC79" s="498" t="n"/>
      <c r="MHD79" s="498" t="n"/>
      <c r="MHE79" s="498" t="n"/>
      <c r="MHF79" s="498" t="n"/>
      <c r="MHG79" s="498" t="n"/>
      <c r="MHH79" s="498" t="n"/>
      <c r="MHI79" s="498" t="n"/>
      <c r="MHJ79" s="498" t="n"/>
      <c r="MHK79" s="498" t="n"/>
      <c r="MHL79" s="498" t="n"/>
      <c r="MHM79" s="498" t="n"/>
      <c r="MHN79" s="498" t="n"/>
      <c r="MHO79" s="498" t="n"/>
      <c r="MHP79" s="498" t="n"/>
      <c r="MHQ79" s="498" t="n"/>
      <c r="MHR79" s="498" t="n"/>
      <c r="MHS79" s="498" t="n"/>
      <c r="MHT79" s="498" t="n"/>
      <c r="MHU79" s="498" t="n"/>
      <c r="MHV79" s="498" t="n"/>
      <c r="MHW79" s="498" t="n"/>
      <c r="MHX79" s="498" t="n"/>
      <c r="MHY79" s="498" t="n"/>
      <c r="MHZ79" s="498" t="n"/>
      <c r="MIA79" s="498" t="n"/>
      <c r="MIB79" s="498" t="n"/>
      <c r="MIC79" s="498" t="n"/>
      <c r="MID79" s="498" t="n"/>
      <c r="MIE79" s="498" t="n"/>
      <c r="MIF79" s="498" t="n"/>
      <c r="MIG79" s="498" t="n"/>
      <c r="MIH79" s="498" t="n"/>
      <c r="MII79" s="498" t="n"/>
      <c r="MIJ79" s="498" t="n"/>
      <c r="MIK79" s="498" t="n"/>
      <c r="MIL79" s="498" t="n"/>
      <c r="MIM79" s="498" t="n"/>
      <c r="MIN79" s="498" t="n"/>
      <c r="MIO79" s="498" t="n"/>
      <c r="MIP79" s="498" t="n"/>
      <c r="MIQ79" s="498" t="n"/>
      <c r="MIR79" s="498" t="n"/>
      <c r="MIS79" s="498" t="n"/>
      <c r="MIT79" s="498" t="n"/>
      <c r="MIU79" s="498" t="n"/>
      <c r="MIV79" s="498" t="n"/>
      <c r="MIW79" s="498" t="n"/>
      <c r="MIX79" s="498" t="n"/>
      <c r="MIY79" s="498" t="n"/>
      <c r="MIZ79" s="498" t="n"/>
      <c r="MJA79" s="498" t="n"/>
      <c r="MJB79" s="498" t="n"/>
      <c r="MJC79" s="498" t="n"/>
      <c r="MJD79" s="498" t="n"/>
      <c r="MJE79" s="498" t="n"/>
      <c r="MJF79" s="498" t="n"/>
      <c r="MJG79" s="498" t="n"/>
      <c r="MJH79" s="498" t="n"/>
      <c r="MJI79" s="498" t="n"/>
      <c r="MJJ79" s="498" t="n"/>
      <c r="MJK79" s="498" t="n"/>
      <c r="MJL79" s="498" t="n"/>
      <c r="MJM79" s="498" t="n"/>
      <c r="MJN79" s="498" t="n"/>
      <c r="MJO79" s="498" t="n"/>
      <c r="MJP79" s="498" t="n"/>
      <c r="MJQ79" s="498" t="n"/>
      <c r="MJR79" s="498" t="n"/>
      <c r="MJS79" s="498" t="n"/>
      <c r="MJT79" s="498" t="n"/>
      <c r="MJU79" s="498" t="n"/>
      <c r="MJV79" s="498" t="n"/>
      <c r="MJW79" s="498" t="n"/>
      <c r="MJX79" s="498" t="n"/>
      <c r="MJY79" s="498" t="n"/>
      <c r="MJZ79" s="498" t="n"/>
      <c r="MKA79" s="498" t="n"/>
      <c r="MKB79" s="498" t="n"/>
      <c r="MKC79" s="498" t="n"/>
      <c r="MKD79" s="498" t="n"/>
      <c r="MKE79" s="498" t="n"/>
      <c r="MKF79" s="498" t="n"/>
      <c r="MKG79" s="498" t="n"/>
      <c r="MKH79" s="498" t="n"/>
      <c r="MKI79" s="498" t="n"/>
      <c r="MKJ79" s="498" t="n"/>
      <c r="MKK79" s="498" t="n"/>
      <c r="MKL79" s="498" t="n"/>
      <c r="MKM79" s="498" t="n"/>
      <c r="MKN79" s="498" t="n"/>
      <c r="MKO79" s="498" t="n"/>
      <c r="MKP79" s="498" t="n"/>
      <c r="MKQ79" s="498" t="n"/>
      <c r="MKR79" s="498" t="n"/>
      <c r="MKS79" s="498" t="n"/>
      <c r="MKT79" s="498" t="n"/>
      <c r="MKU79" s="498" t="n"/>
      <c r="MKV79" s="498" t="n"/>
      <c r="MKW79" s="498" t="n"/>
      <c r="MKX79" s="498" t="n"/>
      <c r="MKY79" s="498" t="n"/>
      <c r="MKZ79" s="498" t="n"/>
      <c r="MLA79" s="498" t="n"/>
      <c r="MLB79" s="498" t="n"/>
      <c r="MLC79" s="498" t="n"/>
      <c r="MLD79" s="498" t="n"/>
      <c r="MLE79" s="498" t="n"/>
      <c r="MLF79" s="498" t="n"/>
      <c r="MLG79" s="498" t="n"/>
      <c r="MLH79" s="498" t="n"/>
      <c r="MLI79" s="498" t="n"/>
      <c r="MLJ79" s="498" t="n"/>
      <c r="MLK79" s="498" t="n"/>
      <c r="MLL79" s="498" t="n"/>
      <c r="MLM79" s="498" t="n"/>
      <c r="MLN79" s="498" t="n"/>
      <c r="MLO79" s="498" t="n"/>
      <c r="MLP79" s="498" t="n"/>
      <c r="MLQ79" s="498" t="n"/>
      <c r="MLR79" s="498" t="n"/>
      <c r="MLS79" s="498" t="n"/>
      <c r="MLT79" s="498" t="n"/>
      <c r="MLU79" s="498" t="n"/>
      <c r="MLV79" s="498" t="n"/>
      <c r="MLW79" s="498" t="n"/>
      <c r="MLX79" s="498" t="n"/>
      <c r="MLY79" s="498" t="n"/>
      <c r="MLZ79" s="498" t="n"/>
      <c r="MMA79" s="498" t="n"/>
      <c r="MMB79" s="498" t="n"/>
      <c r="MMC79" s="498" t="n"/>
      <c r="MMD79" s="498" t="n"/>
      <c r="MME79" s="498" t="n"/>
      <c r="MMF79" s="498" t="n"/>
      <c r="MMG79" s="498" t="n"/>
      <c r="MMH79" s="498" t="n"/>
      <c r="MMI79" s="498" t="n"/>
      <c r="MMJ79" s="498" t="n"/>
      <c r="MMK79" s="498" t="n"/>
      <c r="MML79" s="498" t="n"/>
      <c r="MMM79" s="498" t="n"/>
      <c r="MMN79" s="498" t="n"/>
      <c r="MMO79" s="498" t="n"/>
      <c r="MMP79" s="498" t="n"/>
      <c r="MMQ79" s="498" t="n"/>
      <c r="MMR79" s="498" t="n"/>
      <c r="MMS79" s="498" t="n"/>
      <c r="MMT79" s="498" t="n"/>
      <c r="MMU79" s="498" t="n"/>
      <c r="MMV79" s="498" t="n"/>
      <c r="MMW79" s="498" t="n"/>
      <c r="MMX79" s="498" t="n"/>
      <c r="MMY79" s="498" t="n"/>
      <c r="MMZ79" s="498" t="n"/>
      <c r="MNA79" s="498" t="n"/>
      <c r="MNB79" s="498" t="n"/>
      <c r="MNC79" s="498" t="n"/>
      <c r="MND79" s="498" t="n"/>
      <c r="MNE79" s="498" t="n"/>
      <c r="MNF79" s="498" t="n"/>
      <c r="MNG79" s="498" t="n"/>
      <c r="MNH79" s="498" t="n"/>
      <c r="MNI79" s="498" t="n"/>
      <c r="MNJ79" s="498" t="n"/>
      <c r="MNK79" s="498" t="n"/>
      <c r="MNL79" s="498" t="n"/>
      <c r="MNM79" s="498" t="n"/>
      <c r="MNN79" s="498" t="n"/>
      <c r="MNO79" s="498" t="n"/>
      <c r="MNP79" s="498" t="n"/>
      <c r="MNQ79" s="498" t="n"/>
      <c r="MNR79" s="498" t="n"/>
      <c r="MNS79" s="498" t="n"/>
      <c r="MNT79" s="498" t="n"/>
      <c r="MNU79" s="498" t="n"/>
      <c r="MNV79" s="498" t="n"/>
      <c r="MNW79" s="498" t="n"/>
      <c r="MNX79" s="498" t="n"/>
      <c r="MNY79" s="498" t="n"/>
      <c r="MNZ79" s="498" t="n"/>
      <c r="MOA79" s="498" t="n"/>
      <c r="MOB79" s="498" t="n"/>
      <c r="MOC79" s="498" t="n"/>
      <c r="MOD79" s="498" t="n"/>
      <c r="MOE79" s="498" t="n"/>
      <c r="MOF79" s="498" t="n"/>
      <c r="MOG79" s="498" t="n"/>
      <c r="MOH79" s="498" t="n"/>
      <c r="MOI79" s="498" t="n"/>
      <c r="MOJ79" s="498" t="n"/>
      <c r="MOK79" s="498" t="n"/>
      <c r="MOL79" s="498" t="n"/>
      <c r="MOM79" s="498" t="n"/>
      <c r="MON79" s="498" t="n"/>
      <c r="MOO79" s="498" t="n"/>
      <c r="MOP79" s="498" t="n"/>
      <c r="MOQ79" s="498" t="n"/>
      <c r="MOR79" s="498" t="n"/>
      <c r="MOS79" s="498" t="n"/>
      <c r="MOT79" s="498" t="n"/>
      <c r="MOU79" s="498" t="n"/>
      <c r="MOV79" s="498" t="n"/>
      <c r="MOW79" s="498" t="n"/>
      <c r="MOX79" s="498" t="n"/>
      <c r="MOY79" s="498" t="n"/>
      <c r="MOZ79" s="498" t="n"/>
      <c r="MPA79" s="498" t="n"/>
      <c r="MPB79" s="498" t="n"/>
      <c r="MPC79" s="498" t="n"/>
      <c r="MPD79" s="498" t="n"/>
      <c r="MPE79" s="498" t="n"/>
      <c r="MPF79" s="498" t="n"/>
      <c r="MPG79" s="498" t="n"/>
      <c r="MPH79" s="498" t="n"/>
      <c r="MPI79" s="498" t="n"/>
      <c r="MPJ79" s="498" t="n"/>
      <c r="MPK79" s="498" t="n"/>
      <c r="MPL79" s="498" t="n"/>
      <c r="MPM79" s="498" t="n"/>
      <c r="MPN79" s="498" t="n"/>
      <c r="MPO79" s="498" t="n"/>
      <c r="MPP79" s="498" t="n"/>
      <c r="MPQ79" s="498" t="n"/>
      <c r="MPR79" s="498" t="n"/>
      <c r="MPS79" s="498" t="n"/>
      <c r="MPT79" s="498" t="n"/>
      <c r="MPU79" s="498" t="n"/>
      <c r="MPV79" s="498" t="n"/>
      <c r="MPW79" s="498" t="n"/>
      <c r="MPX79" s="498" t="n"/>
      <c r="MPY79" s="498" t="n"/>
      <c r="MPZ79" s="498" t="n"/>
      <c r="MQA79" s="498" t="n"/>
      <c r="MQB79" s="498" t="n"/>
      <c r="MQC79" s="498" t="n"/>
      <c r="MQD79" s="498" t="n"/>
      <c r="MQE79" s="498" t="n"/>
      <c r="MQF79" s="498" t="n"/>
      <c r="MQG79" s="498" t="n"/>
      <c r="MQH79" s="498" t="n"/>
      <c r="MQI79" s="498" t="n"/>
      <c r="MQJ79" s="498" t="n"/>
      <c r="MQK79" s="498" t="n"/>
      <c r="MQL79" s="498" t="n"/>
      <c r="MQM79" s="498" t="n"/>
      <c r="MQN79" s="498" t="n"/>
      <c r="MQO79" s="498" t="n"/>
      <c r="MQP79" s="498" t="n"/>
      <c r="MQQ79" s="498" t="n"/>
      <c r="MQR79" s="498" t="n"/>
      <c r="MQS79" s="498" t="n"/>
      <c r="MQT79" s="498" t="n"/>
      <c r="MQU79" s="498" t="n"/>
      <c r="MQV79" s="498" t="n"/>
      <c r="MQW79" s="498" t="n"/>
      <c r="MQX79" s="498" t="n"/>
      <c r="MQY79" s="498" t="n"/>
      <c r="MQZ79" s="498" t="n"/>
      <c r="MRA79" s="498" t="n"/>
      <c r="MRB79" s="498" t="n"/>
      <c r="MRC79" s="498" t="n"/>
      <c r="MRD79" s="498" t="n"/>
      <c r="MRE79" s="498" t="n"/>
      <c r="MRF79" s="498" t="n"/>
      <c r="MRG79" s="498" t="n"/>
      <c r="MRH79" s="498" t="n"/>
      <c r="MRI79" s="498" t="n"/>
      <c r="MRJ79" s="498" t="n"/>
      <c r="MRK79" s="498" t="n"/>
      <c r="MRL79" s="498" t="n"/>
      <c r="MRM79" s="498" t="n"/>
      <c r="MRN79" s="498" t="n"/>
      <c r="MRO79" s="498" t="n"/>
      <c r="MRP79" s="498" t="n"/>
      <c r="MRQ79" s="498" t="n"/>
      <c r="MRR79" s="498" t="n"/>
      <c r="MRS79" s="498" t="n"/>
      <c r="MRT79" s="498" t="n"/>
      <c r="MRU79" s="498" t="n"/>
      <c r="MRV79" s="498" t="n"/>
      <c r="MRW79" s="498" t="n"/>
      <c r="MRX79" s="498" t="n"/>
      <c r="MRY79" s="498" t="n"/>
      <c r="MRZ79" s="498" t="n"/>
      <c r="MSA79" s="498" t="n"/>
      <c r="MSB79" s="498" t="n"/>
      <c r="MSC79" s="498" t="n"/>
      <c r="MSD79" s="498" t="n"/>
      <c r="MSE79" s="498" t="n"/>
      <c r="MSF79" s="498" t="n"/>
      <c r="MSG79" s="498" t="n"/>
      <c r="MSH79" s="498" t="n"/>
      <c r="MSI79" s="498" t="n"/>
      <c r="MSJ79" s="498" t="n"/>
      <c r="MSK79" s="498" t="n"/>
      <c r="MSL79" s="498" t="n"/>
      <c r="MSM79" s="498" t="n"/>
      <c r="MSN79" s="498" t="n"/>
      <c r="MSO79" s="498" t="n"/>
      <c r="MSP79" s="498" t="n"/>
      <c r="MSQ79" s="498" t="n"/>
      <c r="MSR79" s="498" t="n"/>
      <c r="MSS79" s="498" t="n"/>
      <c r="MST79" s="498" t="n"/>
      <c r="MSU79" s="498" t="n"/>
      <c r="MSV79" s="498" t="n"/>
      <c r="MSW79" s="498" t="n"/>
      <c r="MSX79" s="498" t="n"/>
      <c r="MSY79" s="498" t="n"/>
      <c r="MSZ79" s="498" t="n"/>
      <c r="MTA79" s="498" t="n"/>
      <c r="MTB79" s="498" t="n"/>
      <c r="MTC79" s="498" t="n"/>
      <c r="MTD79" s="498" t="n"/>
      <c r="MTE79" s="498" t="n"/>
      <c r="MTF79" s="498" t="n"/>
      <c r="MTG79" s="498" t="n"/>
      <c r="MTH79" s="498" t="n"/>
      <c r="MTI79" s="498" t="n"/>
      <c r="MTJ79" s="498" t="n"/>
      <c r="MTK79" s="498" t="n"/>
      <c r="MTL79" s="498" t="n"/>
      <c r="MTM79" s="498" t="n"/>
      <c r="MTN79" s="498" t="n"/>
      <c r="MTO79" s="498" t="n"/>
      <c r="MTP79" s="498" t="n"/>
      <c r="MTQ79" s="498" t="n"/>
      <c r="MTR79" s="498" t="n"/>
      <c r="MTS79" s="498" t="n"/>
      <c r="MTT79" s="498" t="n"/>
      <c r="MTU79" s="498" t="n"/>
      <c r="MTV79" s="498" t="n"/>
      <c r="MTW79" s="498" t="n"/>
      <c r="MTX79" s="498" t="n"/>
      <c r="MTY79" s="498" t="n"/>
      <c r="MTZ79" s="498" t="n"/>
      <c r="MUA79" s="498" t="n"/>
      <c r="MUB79" s="498" t="n"/>
      <c r="MUC79" s="498" t="n"/>
      <c r="MUD79" s="498" t="n"/>
      <c r="MUE79" s="498" t="n"/>
      <c r="MUF79" s="498" t="n"/>
      <c r="MUG79" s="498" t="n"/>
      <c r="MUH79" s="498" t="n"/>
      <c r="MUI79" s="498" t="n"/>
      <c r="MUJ79" s="498" t="n"/>
      <c r="MUK79" s="498" t="n"/>
      <c r="MUL79" s="498" t="n"/>
      <c r="MUM79" s="498" t="n"/>
      <c r="MUN79" s="498" t="n"/>
      <c r="MUO79" s="498" t="n"/>
      <c r="MUP79" s="498" t="n"/>
      <c r="MUQ79" s="498" t="n"/>
      <c r="MUR79" s="498" t="n"/>
      <c r="MUS79" s="498" t="n"/>
      <c r="MUT79" s="498" t="n"/>
      <c r="MUU79" s="498" t="n"/>
      <c r="MUV79" s="498" t="n"/>
      <c r="MUW79" s="498" t="n"/>
      <c r="MUX79" s="498" t="n"/>
      <c r="MUY79" s="498" t="n"/>
      <c r="MUZ79" s="498" t="n"/>
      <c r="MVA79" s="498" t="n"/>
      <c r="MVB79" s="498" t="n"/>
      <c r="MVC79" s="498" t="n"/>
      <c r="MVD79" s="498" t="n"/>
      <c r="MVE79" s="498" t="n"/>
      <c r="MVF79" s="498" t="n"/>
      <c r="MVG79" s="498" t="n"/>
      <c r="MVH79" s="498" t="n"/>
      <c r="MVI79" s="498" t="n"/>
      <c r="MVJ79" s="498" t="n"/>
      <c r="MVK79" s="498" t="n"/>
      <c r="MVL79" s="498" t="n"/>
      <c r="MVM79" s="498" t="n"/>
      <c r="MVN79" s="498" t="n"/>
      <c r="MVO79" s="498" t="n"/>
      <c r="MVP79" s="498" t="n"/>
      <c r="MVQ79" s="498" t="n"/>
      <c r="MVR79" s="498" t="n"/>
      <c r="MVS79" s="498" t="n"/>
      <c r="MVT79" s="498" t="n"/>
      <c r="MVU79" s="498" t="n"/>
      <c r="MVV79" s="498" t="n"/>
      <c r="MVW79" s="498" t="n"/>
      <c r="MVX79" s="498" t="n"/>
      <c r="MVY79" s="498" t="n"/>
      <c r="MVZ79" s="498" t="n"/>
      <c r="MWA79" s="498" t="n"/>
      <c r="MWB79" s="498" t="n"/>
      <c r="MWC79" s="498" t="n"/>
      <c r="MWD79" s="498" t="n"/>
      <c r="MWE79" s="498" t="n"/>
      <c r="MWF79" s="498" t="n"/>
      <c r="MWG79" s="498" t="n"/>
      <c r="MWH79" s="498" t="n"/>
      <c r="MWI79" s="498" t="n"/>
      <c r="MWJ79" s="498" t="n"/>
      <c r="MWK79" s="498" t="n"/>
      <c r="MWL79" s="498" t="n"/>
      <c r="MWM79" s="498" t="n"/>
      <c r="MWN79" s="498" t="n"/>
      <c r="MWO79" s="498" t="n"/>
      <c r="MWP79" s="498" t="n"/>
      <c r="MWQ79" s="498" t="n"/>
      <c r="MWR79" s="498" t="n"/>
      <c r="MWS79" s="498" t="n"/>
      <c r="MWT79" s="498" t="n"/>
      <c r="MWU79" s="498" t="n"/>
      <c r="MWV79" s="498" t="n"/>
      <c r="MWW79" s="498" t="n"/>
      <c r="MWX79" s="498" t="n"/>
      <c r="MWY79" s="498" t="n"/>
      <c r="MWZ79" s="498" t="n"/>
      <c r="MXA79" s="498" t="n"/>
      <c r="MXB79" s="498" t="n"/>
      <c r="MXC79" s="498" t="n"/>
      <c r="MXD79" s="498" t="n"/>
      <c r="MXE79" s="498" t="n"/>
      <c r="MXF79" s="498" t="n"/>
      <c r="MXG79" s="498" t="n"/>
      <c r="MXH79" s="498" t="n"/>
      <c r="MXI79" s="498" t="n"/>
      <c r="MXJ79" s="498" t="n"/>
      <c r="MXK79" s="498" t="n"/>
      <c r="MXL79" s="498" t="n"/>
      <c r="MXM79" s="498" t="n"/>
      <c r="MXN79" s="498" t="n"/>
      <c r="MXO79" s="498" t="n"/>
      <c r="MXP79" s="498" t="n"/>
      <c r="MXQ79" s="498" t="n"/>
      <c r="MXR79" s="498" t="n"/>
      <c r="MXS79" s="498" t="n"/>
      <c r="MXT79" s="498" t="n"/>
      <c r="MXU79" s="498" t="n"/>
      <c r="MXV79" s="498" t="n"/>
      <c r="MXW79" s="498" t="n"/>
      <c r="MXX79" s="498" t="n"/>
      <c r="MXY79" s="498" t="n"/>
      <c r="MXZ79" s="498" t="n"/>
      <c r="MYA79" s="498" t="n"/>
      <c r="MYB79" s="498" t="n"/>
      <c r="MYC79" s="498" t="n"/>
      <c r="MYD79" s="498" t="n"/>
      <c r="MYE79" s="498" t="n"/>
      <c r="MYF79" s="498" t="n"/>
      <c r="MYG79" s="498" t="n"/>
      <c r="MYH79" s="498" t="n"/>
      <c r="MYI79" s="498" t="n"/>
      <c r="MYJ79" s="498" t="n"/>
      <c r="MYK79" s="498" t="n"/>
      <c r="MYL79" s="498" t="n"/>
      <c r="MYM79" s="498" t="n"/>
      <c r="MYN79" s="498" t="n"/>
      <c r="MYO79" s="498" t="n"/>
      <c r="MYP79" s="498" t="n"/>
      <c r="MYQ79" s="498" t="n"/>
      <c r="MYR79" s="498" t="n"/>
      <c r="MYS79" s="498" t="n"/>
      <c r="MYT79" s="498" t="n"/>
      <c r="MYU79" s="498" t="n"/>
      <c r="MYV79" s="498" t="n"/>
      <c r="MYW79" s="498" t="n"/>
      <c r="MYX79" s="498" t="n"/>
      <c r="MYY79" s="498" t="n"/>
      <c r="MYZ79" s="498" t="n"/>
      <c r="MZA79" s="498" t="n"/>
      <c r="MZB79" s="498" t="n"/>
      <c r="MZC79" s="498" t="n"/>
      <c r="MZD79" s="498" t="n"/>
      <c r="MZE79" s="498" t="n"/>
      <c r="MZF79" s="498" t="n"/>
      <c r="MZG79" s="498" t="n"/>
      <c r="MZH79" s="498" t="n"/>
      <c r="MZI79" s="498" t="n"/>
      <c r="MZJ79" s="498" t="n"/>
      <c r="MZK79" s="498" t="n"/>
      <c r="MZL79" s="498" t="n"/>
      <c r="MZM79" s="498" t="n"/>
      <c r="MZN79" s="498" t="n"/>
      <c r="MZO79" s="498" t="n"/>
      <c r="MZP79" s="498" t="n"/>
      <c r="MZQ79" s="498" t="n"/>
      <c r="MZR79" s="498" t="n"/>
      <c r="MZS79" s="498" t="n"/>
      <c r="MZT79" s="498" t="n"/>
      <c r="MZU79" s="498" t="n"/>
      <c r="MZV79" s="498" t="n"/>
      <c r="MZW79" s="498" t="n"/>
      <c r="MZX79" s="498" t="n"/>
      <c r="MZY79" s="498" t="n"/>
      <c r="MZZ79" s="498" t="n"/>
      <c r="NAA79" s="498" t="n"/>
      <c r="NAB79" s="498" t="n"/>
      <c r="NAC79" s="498" t="n"/>
      <c r="NAD79" s="498" t="n"/>
      <c r="NAE79" s="498" t="n"/>
      <c r="NAF79" s="498" t="n"/>
      <c r="NAG79" s="498" t="n"/>
      <c r="NAH79" s="498" t="n"/>
      <c r="NAI79" s="498" t="n"/>
      <c r="NAJ79" s="498" t="n"/>
      <c r="NAK79" s="498" t="n"/>
      <c r="NAL79" s="498" t="n"/>
      <c r="NAM79" s="498" t="n"/>
      <c r="NAN79" s="498" t="n"/>
      <c r="NAO79" s="498" t="n"/>
      <c r="NAP79" s="498" t="n"/>
      <c r="NAQ79" s="498" t="n"/>
      <c r="NAR79" s="498" t="n"/>
      <c r="NAS79" s="498" t="n"/>
      <c r="NAT79" s="498" t="n"/>
      <c r="NAU79" s="498" t="n"/>
      <c r="NAV79" s="498" t="n"/>
      <c r="NAW79" s="498" t="n"/>
      <c r="NAX79" s="498" t="n"/>
      <c r="NAY79" s="498" t="n"/>
      <c r="NAZ79" s="498" t="n"/>
      <c r="NBA79" s="498" t="n"/>
      <c r="NBB79" s="498" t="n"/>
      <c r="NBC79" s="498" t="n"/>
      <c r="NBD79" s="498" t="n"/>
      <c r="NBE79" s="498" t="n"/>
      <c r="NBF79" s="498" t="n"/>
      <c r="NBG79" s="498" t="n"/>
      <c r="NBH79" s="498" t="n"/>
      <c r="NBI79" s="498" t="n"/>
      <c r="NBJ79" s="498" t="n"/>
      <c r="NBK79" s="498" t="n"/>
      <c r="NBL79" s="498" t="n"/>
      <c r="NBM79" s="498" t="n"/>
      <c r="NBN79" s="498" t="n"/>
      <c r="NBO79" s="498" t="n"/>
      <c r="NBP79" s="498" t="n"/>
      <c r="NBQ79" s="498" t="n"/>
      <c r="NBR79" s="498" t="n"/>
      <c r="NBS79" s="498" t="n"/>
      <c r="NBT79" s="498" t="n"/>
      <c r="NBU79" s="498" t="n"/>
      <c r="NBV79" s="498" t="n"/>
      <c r="NBW79" s="498" t="n"/>
      <c r="NBX79" s="498" t="n"/>
      <c r="NBY79" s="498" t="n"/>
      <c r="NBZ79" s="498" t="n"/>
      <c r="NCA79" s="498" t="n"/>
      <c r="NCB79" s="498" t="n"/>
      <c r="NCC79" s="498" t="n"/>
      <c r="NCD79" s="498" t="n"/>
      <c r="NCE79" s="498" t="n"/>
      <c r="NCF79" s="498" t="n"/>
      <c r="NCG79" s="498" t="n"/>
      <c r="NCH79" s="498" t="n"/>
      <c r="NCI79" s="498" t="n"/>
      <c r="NCJ79" s="498" t="n"/>
      <c r="NCK79" s="498" t="n"/>
      <c r="NCL79" s="498" t="n"/>
      <c r="NCM79" s="498" t="n"/>
      <c r="NCN79" s="498" t="n"/>
      <c r="NCO79" s="498" t="n"/>
      <c r="NCP79" s="498" t="n"/>
      <c r="NCQ79" s="498" t="n"/>
      <c r="NCR79" s="498" t="n"/>
      <c r="NCS79" s="498" t="n"/>
      <c r="NCT79" s="498" t="n"/>
      <c r="NCU79" s="498" t="n"/>
      <c r="NCV79" s="498" t="n"/>
      <c r="NCW79" s="498" t="n"/>
      <c r="NCX79" s="498" t="n"/>
      <c r="NCY79" s="498" t="n"/>
      <c r="NCZ79" s="498" t="n"/>
      <c r="NDA79" s="498" t="n"/>
      <c r="NDB79" s="498" t="n"/>
      <c r="NDC79" s="498" t="n"/>
      <c r="NDD79" s="498" t="n"/>
      <c r="NDE79" s="498" t="n"/>
      <c r="NDF79" s="498" t="n"/>
      <c r="NDG79" s="498" t="n"/>
      <c r="NDH79" s="498" t="n"/>
      <c r="NDI79" s="498" t="n"/>
      <c r="NDJ79" s="498" t="n"/>
      <c r="NDK79" s="498" t="n"/>
      <c r="NDL79" s="498" t="n"/>
      <c r="NDM79" s="498" t="n"/>
      <c r="NDN79" s="498" t="n"/>
      <c r="NDO79" s="498" t="n"/>
      <c r="NDP79" s="498" t="n"/>
      <c r="NDQ79" s="498" t="n"/>
      <c r="NDR79" s="498" t="n"/>
      <c r="NDS79" s="498" t="n"/>
      <c r="NDT79" s="498" t="n"/>
      <c r="NDU79" s="498" t="n"/>
      <c r="NDV79" s="498" t="n"/>
      <c r="NDW79" s="498" t="n"/>
      <c r="NDX79" s="498" t="n"/>
      <c r="NDY79" s="498" t="n"/>
      <c r="NDZ79" s="498" t="n"/>
      <c r="NEA79" s="498" t="n"/>
      <c r="NEB79" s="498" t="n"/>
      <c r="NEC79" s="498" t="n"/>
      <c r="NED79" s="498" t="n"/>
      <c r="NEE79" s="498" t="n"/>
      <c r="NEF79" s="498" t="n"/>
      <c r="NEG79" s="498" t="n"/>
      <c r="NEH79" s="498" t="n"/>
      <c r="NEI79" s="498" t="n"/>
      <c r="NEJ79" s="498" t="n"/>
      <c r="NEK79" s="498" t="n"/>
      <c r="NEL79" s="498" t="n"/>
      <c r="NEM79" s="498" t="n"/>
      <c r="NEN79" s="498" t="n"/>
      <c r="NEO79" s="498" t="n"/>
      <c r="NEP79" s="498" t="n"/>
      <c r="NEQ79" s="498" t="n"/>
      <c r="NER79" s="498" t="n"/>
      <c r="NES79" s="498" t="n"/>
      <c r="NET79" s="498" t="n"/>
      <c r="NEU79" s="498" t="n"/>
      <c r="NEV79" s="498" t="n"/>
      <c r="NEW79" s="498" t="n"/>
      <c r="NEX79" s="498" t="n"/>
      <c r="NEY79" s="498" t="n"/>
      <c r="NEZ79" s="498" t="n"/>
      <c r="NFA79" s="498" t="n"/>
      <c r="NFB79" s="498" t="n"/>
      <c r="NFC79" s="498" t="n"/>
      <c r="NFD79" s="498" t="n"/>
      <c r="NFE79" s="498" t="n"/>
      <c r="NFF79" s="498" t="n"/>
      <c r="NFG79" s="498" t="n"/>
      <c r="NFH79" s="498" t="n"/>
      <c r="NFI79" s="498" t="n"/>
      <c r="NFJ79" s="498" t="n"/>
      <c r="NFK79" s="498" t="n"/>
      <c r="NFL79" s="498" t="n"/>
      <c r="NFM79" s="498" t="n"/>
      <c r="NFN79" s="498" t="n"/>
      <c r="NFO79" s="498" t="n"/>
      <c r="NFP79" s="498" t="n"/>
      <c r="NFQ79" s="498" t="n"/>
      <c r="NFR79" s="498" t="n"/>
      <c r="NFS79" s="498" t="n"/>
      <c r="NFT79" s="498" t="n"/>
      <c r="NFU79" s="498" t="n"/>
      <c r="NFV79" s="498" t="n"/>
      <c r="NFW79" s="498" t="n"/>
      <c r="NFX79" s="498" t="n"/>
      <c r="NFY79" s="498" t="n"/>
      <c r="NFZ79" s="498" t="n"/>
      <c r="NGA79" s="498" t="n"/>
      <c r="NGB79" s="498" t="n"/>
      <c r="NGC79" s="498" t="n"/>
      <c r="NGD79" s="498" t="n"/>
      <c r="NGE79" s="498" t="n"/>
      <c r="NGF79" s="498" t="n"/>
      <c r="NGG79" s="498" t="n"/>
      <c r="NGH79" s="498" t="n"/>
      <c r="NGI79" s="498" t="n"/>
      <c r="NGJ79" s="498" t="n"/>
      <c r="NGK79" s="498" t="n"/>
      <c r="NGL79" s="498" t="n"/>
      <c r="NGM79" s="498" t="n"/>
      <c r="NGN79" s="498" t="n"/>
      <c r="NGO79" s="498" t="n"/>
      <c r="NGP79" s="498" t="n"/>
      <c r="NGQ79" s="498" t="n"/>
      <c r="NGR79" s="498" t="n"/>
      <c r="NGS79" s="498" t="n"/>
      <c r="NGT79" s="498" t="n"/>
      <c r="NGU79" s="498" t="n"/>
      <c r="NGV79" s="498" t="n"/>
      <c r="NGW79" s="498" t="n"/>
      <c r="NGX79" s="498" t="n"/>
      <c r="NGY79" s="498" t="n"/>
      <c r="NGZ79" s="498" t="n"/>
      <c r="NHA79" s="498" t="n"/>
      <c r="NHB79" s="498" t="n"/>
      <c r="NHC79" s="498" t="n"/>
      <c r="NHD79" s="498" t="n"/>
      <c r="NHE79" s="498" t="n"/>
      <c r="NHF79" s="498" t="n"/>
      <c r="NHG79" s="498" t="n"/>
      <c r="NHH79" s="498" t="n"/>
      <c r="NHI79" s="498" t="n"/>
      <c r="NHJ79" s="498" t="n"/>
      <c r="NHK79" s="498" t="n"/>
      <c r="NHL79" s="498" t="n"/>
      <c r="NHM79" s="498" t="n"/>
      <c r="NHN79" s="498" t="n"/>
      <c r="NHO79" s="498" t="n"/>
      <c r="NHP79" s="498" t="n"/>
      <c r="NHQ79" s="498" t="n"/>
      <c r="NHR79" s="498" t="n"/>
      <c r="NHS79" s="498" t="n"/>
      <c r="NHT79" s="498" t="n"/>
      <c r="NHU79" s="498" t="n"/>
      <c r="NHV79" s="498" t="n"/>
      <c r="NHW79" s="498" t="n"/>
      <c r="NHX79" s="498" t="n"/>
      <c r="NHY79" s="498" t="n"/>
      <c r="NHZ79" s="498" t="n"/>
      <c r="NIA79" s="498" t="n"/>
      <c r="NIB79" s="498" t="n"/>
      <c r="NIC79" s="498" t="n"/>
      <c r="NID79" s="498" t="n"/>
      <c r="NIE79" s="498" t="n"/>
      <c r="NIF79" s="498" t="n"/>
      <c r="NIG79" s="498" t="n"/>
      <c r="NIH79" s="498" t="n"/>
      <c r="NII79" s="498" t="n"/>
      <c r="NIJ79" s="498" t="n"/>
      <c r="NIK79" s="498" t="n"/>
      <c r="NIL79" s="498" t="n"/>
      <c r="NIM79" s="498" t="n"/>
      <c r="NIN79" s="498" t="n"/>
      <c r="NIO79" s="498" t="n"/>
      <c r="NIP79" s="498" t="n"/>
      <c r="NIQ79" s="498" t="n"/>
      <c r="NIR79" s="498" t="n"/>
      <c r="NIS79" s="498" t="n"/>
      <c r="NIT79" s="498" t="n"/>
      <c r="NIU79" s="498" t="n"/>
      <c r="NIV79" s="498" t="n"/>
      <c r="NIW79" s="498" t="n"/>
      <c r="NIX79" s="498" t="n"/>
      <c r="NIY79" s="498" t="n"/>
      <c r="NIZ79" s="498" t="n"/>
      <c r="NJA79" s="498" t="n"/>
      <c r="NJB79" s="498" t="n"/>
      <c r="NJC79" s="498" t="n"/>
      <c r="NJD79" s="498" t="n"/>
      <c r="NJE79" s="498" t="n"/>
      <c r="NJF79" s="498" t="n"/>
      <c r="NJG79" s="498" t="n"/>
      <c r="NJH79" s="498" t="n"/>
      <c r="NJI79" s="498" t="n"/>
      <c r="NJJ79" s="498" t="n"/>
      <c r="NJK79" s="498" t="n"/>
      <c r="NJL79" s="498" t="n"/>
      <c r="NJM79" s="498" t="n"/>
      <c r="NJN79" s="498" t="n"/>
      <c r="NJO79" s="498" t="n"/>
      <c r="NJP79" s="498" t="n"/>
      <c r="NJQ79" s="498" t="n"/>
      <c r="NJR79" s="498" t="n"/>
      <c r="NJS79" s="498" t="n"/>
      <c r="NJT79" s="498" t="n"/>
      <c r="NJU79" s="498" t="n"/>
      <c r="NJV79" s="498" t="n"/>
      <c r="NJW79" s="498" t="n"/>
      <c r="NJX79" s="498" t="n"/>
      <c r="NJY79" s="498" t="n"/>
      <c r="NJZ79" s="498" t="n"/>
      <c r="NKA79" s="498" t="n"/>
      <c r="NKB79" s="498" t="n"/>
      <c r="NKC79" s="498" t="n"/>
      <c r="NKD79" s="498" t="n"/>
      <c r="NKE79" s="498" t="n"/>
      <c r="NKF79" s="498" t="n"/>
      <c r="NKG79" s="498" t="n"/>
      <c r="NKH79" s="498" t="n"/>
      <c r="NKI79" s="498" t="n"/>
      <c r="NKJ79" s="498" t="n"/>
      <c r="NKK79" s="498" t="n"/>
      <c r="NKL79" s="498" t="n"/>
      <c r="NKM79" s="498" t="n"/>
      <c r="NKN79" s="498" t="n"/>
      <c r="NKO79" s="498" t="n"/>
      <c r="NKP79" s="498" t="n"/>
      <c r="NKQ79" s="498" t="n"/>
      <c r="NKR79" s="498" t="n"/>
      <c r="NKS79" s="498" t="n"/>
      <c r="NKT79" s="498" t="n"/>
      <c r="NKU79" s="498" t="n"/>
      <c r="NKV79" s="498" t="n"/>
      <c r="NKW79" s="498" t="n"/>
      <c r="NKX79" s="498" t="n"/>
      <c r="NKY79" s="498" t="n"/>
      <c r="NKZ79" s="498" t="n"/>
      <c r="NLA79" s="498" t="n"/>
      <c r="NLB79" s="498" t="n"/>
      <c r="NLC79" s="498" t="n"/>
      <c r="NLD79" s="498" t="n"/>
      <c r="NLE79" s="498" t="n"/>
      <c r="NLF79" s="498" t="n"/>
      <c r="NLG79" s="498" t="n"/>
      <c r="NLH79" s="498" t="n"/>
      <c r="NLI79" s="498" t="n"/>
      <c r="NLJ79" s="498" t="n"/>
      <c r="NLK79" s="498" t="n"/>
      <c r="NLL79" s="498" t="n"/>
      <c r="NLM79" s="498" t="n"/>
      <c r="NLN79" s="498" t="n"/>
      <c r="NLO79" s="498" t="n"/>
      <c r="NLP79" s="498" t="n"/>
      <c r="NLQ79" s="498" t="n"/>
      <c r="NLR79" s="498" t="n"/>
      <c r="NLS79" s="498" t="n"/>
      <c r="NLT79" s="498" t="n"/>
      <c r="NLU79" s="498" t="n"/>
      <c r="NLV79" s="498" t="n"/>
      <c r="NLW79" s="498" t="n"/>
      <c r="NLX79" s="498" t="n"/>
      <c r="NLY79" s="498" t="n"/>
      <c r="NLZ79" s="498" t="n"/>
      <c r="NMA79" s="498" t="n"/>
      <c r="NMB79" s="498" t="n"/>
      <c r="NMC79" s="498" t="n"/>
      <c r="NMD79" s="498" t="n"/>
      <c r="NME79" s="498" t="n"/>
      <c r="NMF79" s="498" t="n"/>
      <c r="NMG79" s="498" t="n"/>
      <c r="NMH79" s="498" t="n"/>
      <c r="NMI79" s="498" t="n"/>
      <c r="NMJ79" s="498" t="n"/>
      <c r="NMK79" s="498" t="n"/>
      <c r="NML79" s="498" t="n"/>
      <c r="NMM79" s="498" t="n"/>
      <c r="NMN79" s="498" t="n"/>
      <c r="NMO79" s="498" t="n"/>
      <c r="NMP79" s="498" t="n"/>
      <c r="NMQ79" s="498" t="n"/>
      <c r="NMR79" s="498" t="n"/>
      <c r="NMS79" s="498" t="n"/>
      <c r="NMT79" s="498" t="n"/>
      <c r="NMU79" s="498" t="n"/>
      <c r="NMV79" s="498" t="n"/>
      <c r="NMW79" s="498" t="n"/>
      <c r="NMX79" s="498" t="n"/>
      <c r="NMY79" s="498" t="n"/>
      <c r="NMZ79" s="498" t="n"/>
      <c r="NNA79" s="498" t="n"/>
      <c r="NNB79" s="498" t="n"/>
      <c r="NNC79" s="498" t="n"/>
      <c r="NND79" s="498" t="n"/>
      <c r="NNE79" s="498" t="n"/>
      <c r="NNF79" s="498" t="n"/>
      <c r="NNG79" s="498" t="n"/>
      <c r="NNH79" s="498" t="n"/>
      <c r="NNI79" s="498" t="n"/>
      <c r="NNJ79" s="498" t="n"/>
      <c r="NNK79" s="498" t="n"/>
      <c r="NNL79" s="498" t="n"/>
      <c r="NNM79" s="498" t="n"/>
      <c r="NNN79" s="498" t="n"/>
      <c r="NNO79" s="498" t="n"/>
      <c r="NNP79" s="498" t="n"/>
      <c r="NNQ79" s="498" t="n"/>
      <c r="NNR79" s="498" t="n"/>
      <c r="NNS79" s="498" t="n"/>
      <c r="NNT79" s="498" t="n"/>
      <c r="NNU79" s="498" t="n"/>
      <c r="NNV79" s="498" t="n"/>
      <c r="NNW79" s="498" t="n"/>
      <c r="NNX79" s="498" t="n"/>
      <c r="NNY79" s="498" t="n"/>
      <c r="NNZ79" s="498" t="n"/>
      <c r="NOA79" s="498" t="n"/>
      <c r="NOB79" s="498" t="n"/>
      <c r="NOC79" s="498" t="n"/>
      <c r="NOD79" s="498" t="n"/>
      <c r="NOE79" s="498" t="n"/>
      <c r="NOF79" s="498" t="n"/>
      <c r="NOG79" s="498" t="n"/>
      <c r="NOH79" s="498" t="n"/>
      <c r="NOI79" s="498" t="n"/>
      <c r="NOJ79" s="498" t="n"/>
      <c r="NOK79" s="498" t="n"/>
      <c r="NOL79" s="498" t="n"/>
      <c r="NOM79" s="498" t="n"/>
      <c r="NON79" s="498" t="n"/>
      <c r="NOO79" s="498" t="n"/>
      <c r="NOP79" s="498" t="n"/>
      <c r="NOQ79" s="498" t="n"/>
      <c r="NOR79" s="498" t="n"/>
      <c r="NOS79" s="498" t="n"/>
      <c r="NOT79" s="498" t="n"/>
      <c r="NOU79" s="498" t="n"/>
      <c r="NOV79" s="498" t="n"/>
      <c r="NOW79" s="498" t="n"/>
      <c r="NOX79" s="498" t="n"/>
      <c r="NOY79" s="498" t="n"/>
      <c r="NOZ79" s="498" t="n"/>
      <c r="NPA79" s="498" t="n"/>
      <c r="NPB79" s="498" t="n"/>
      <c r="NPC79" s="498" t="n"/>
      <c r="NPD79" s="498" t="n"/>
      <c r="NPE79" s="498" t="n"/>
      <c r="NPF79" s="498" t="n"/>
      <c r="NPG79" s="498" t="n"/>
      <c r="NPH79" s="498" t="n"/>
      <c r="NPI79" s="498" t="n"/>
      <c r="NPJ79" s="498" t="n"/>
      <c r="NPK79" s="498" t="n"/>
      <c r="NPL79" s="498" t="n"/>
      <c r="NPM79" s="498" t="n"/>
      <c r="NPN79" s="498" t="n"/>
      <c r="NPO79" s="498" t="n"/>
      <c r="NPP79" s="498" t="n"/>
      <c r="NPQ79" s="498" t="n"/>
      <c r="NPR79" s="498" t="n"/>
      <c r="NPS79" s="498" t="n"/>
      <c r="NPT79" s="498" t="n"/>
      <c r="NPU79" s="498" t="n"/>
      <c r="NPV79" s="498" t="n"/>
      <c r="NPW79" s="498" t="n"/>
      <c r="NPX79" s="498" t="n"/>
      <c r="NPY79" s="498" t="n"/>
      <c r="NPZ79" s="498" t="n"/>
      <c r="NQA79" s="498" t="n"/>
      <c r="NQB79" s="498" t="n"/>
      <c r="NQC79" s="498" t="n"/>
      <c r="NQD79" s="498" t="n"/>
      <c r="NQE79" s="498" t="n"/>
      <c r="NQF79" s="498" t="n"/>
      <c r="NQG79" s="498" t="n"/>
      <c r="NQH79" s="498" t="n"/>
      <c r="NQI79" s="498" t="n"/>
      <c r="NQJ79" s="498" t="n"/>
      <c r="NQK79" s="498" t="n"/>
      <c r="NQL79" s="498" t="n"/>
      <c r="NQM79" s="498" t="n"/>
      <c r="NQN79" s="498" t="n"/>
      <c r="NQO79" s="498" t="n"/>
      <c r="NQP79" s="498" t="n"/>
      <c r="NQQ79" s="498" t="n"/>
      <c r="NQR79" s="498" t="n"/>
      <c r="NQS79" s="498" t="n"/>
      <c r="NQT79" s="498" t="n"/>
      <c r="NQU79" s="498" t="n"/>
      <c r="NQV79" s="498" t="n"/>
      <c r="NQW79" s="498" t="n"/>
      <c r="NQX79" s="498" t="n"/>
      <c r="NQY79" s="498" t="n"/>
      <c r="NQZ79" s="498" t="n"/>
      <c r="NRA79" s="498" t="n"/>
      <c r="NRB79" s="498" t="n"/>
      <c r="NRC79" s="498" t="n"/>
      <c r="NRD79" s="498" t="n"/>
      <c r="NRE79" s="498" t="n"/>
      <c r="NRF79" s="498" t="n"/>
      <c r="NRG79" s="498" t="n"/>
      <c r="NRH79" s="498" t="n"/>
      <c r="NRI79" s="498" t="n"/>
      <c r="NRJ79" s="498" t="n"/>
      <c r="NRK79" s="498" t="n"/>
      <c r="NRL79" s="498" t="n"/>
      <c r="NRM79" s="498" t="n"/>
      <c r="NRN79" s="498" t="n"/>
      <c r="NRO79" s="498" t="n"/>
      <c r="NRP79" s="498" t="n"/>
      <c r="NRQ79" s="498" t="n"/>
      <c r="NRR79" s="498" t="n"/>
      <c r="NRS79" s="498" t="n"/>
      <c r="NRT79" s="498" t="n"/>
      <c r="NRU79" s="498" t="n"/>
      <c r="NRV79" s="498" t="n"/>
      <c r="NRW79" s="498" t="n"/>
      <c r="NRX79" s="498" t="n"/>
      <c r="NRY79" s="498" t="n"/>
      <c r="NRZ79" s="498" t="n"/>
      <c r="NSA79" s="498" t="n"/>
      <c r="NSB79" s="498" t="n"/>
      <c r="NSC79" s="498" t="n"/>
      <c r="NSD79" s="498" t="n"/>
      <c r="NSE79" s="498" t="n"/>
      <c r="NSF79" s="498" t="n"/>
      <c r="NSG79" s="498" t="n"/>
      <c r="NSH79" s="498" t="n"/>
      <c r="NSI79" s="498" t="n"/>
      <c r="NSJ79" s="498" t="n"/>
      <c r="NSK79" s="498" t="n"/>
      <c r="NSL79" s="498" t="n"/>
      <c r="NSM79" s="498" t="n"/>
      <c r="NSN79" s="498" t="n"/>
      <c r="NSO79" s="498" t="n"/>
      <c r="NSP79" s="498" t="n"/>
      <c r="NSQ79" s="498" t="n"/>
      <c r="NSR79" s="498" t="n"/>
      <c r="NSS79" s="498" t="n"/>
      <c r="NST79" s="498" t="n"/>
      <c r="NSU79" s="498" t="n"/>
      <c r="NSV79" s="498" t="n"/>
      <c r="NSW79" s="498" t="n"/>
      <c r="NSX79" s="498" t="n"/>
      <c r="NSY79" s="498" t="n"/>
      <c r="NSZ79" s="498" t="n"/>
      <c r="NTA79" s="498" t="n"/>
      <c r="NTB79" s="498" t="n"/>
      <c r="NTC79" s="498" t="n"/>
      <c r="NTD79" s="498" t="n"/>
      <c r="NTE79" s="498" t="n"/>
      <c r="NTF79" s="498" t="n"/>
      <c r="NTG79" s="498" t="n"/>
      <c r="NTH79" s="498" t="n"/>
      <c r="NTI79" s="498" t="n"/>
      <c r="NTJ79" s="498" t="n"/>
      <c r="NTK79" s="498" t="n"/>
      <c r="NTL79" s="498" t="n"/>
      <c r="NTM79" s="498" t="n"/>
      <c r="NTN79" s="498" t="n"/>
      <c r="NTO79" s="498" t="n"/>
      <c r="NTP79" s="498" t="n"/>
      <c r="NTQ79" s="498" t="n"/>
      <c r="NTR79" s="498" t="n"/>
      <c r="NTS79" s="498" t="n"/>
      <c r="NTT79" s="498" t="n"/>
      <c r="NTU79" s="498" t="n"/>
      <c r="NTV79" s="498" t="n"/>
      <c r="NTW79" s="498" t="n"/>
      <c r="NTX79" s="498" t="n"/>
      <c r="NTY79" s="498" t="n"/>
      <c r="NTZ79" s="498" t="n"/>
      <c r="NUA79" s="498" t="n"/>
      <c r="NUB79" s="498" t="n"/>
      <c r="NUC79" s="498" t="n"/>
      <c r="NUD79" s="498" t="n"/>
      <c r="NUE79" s="498" t="n"/>
      <c r="NUF79" s="498" t="n"/>
      <c r="NUG79" s="498" t="n"/>
      <c r="NUH79" s="498" t="n"/>
      <c r="NUI79" s="498" t="n"/>
      <c r="NUJ79" s="498" t="n"/>
      <c r="NUK79" s="498" t="n"/>
      <c r="NUL79" s="498" t="n"/>
      <c r="NUM79" s="498" t="n"/>
      <c r="NUN79" s="498" t="n"/>
      <c r="NUO79" s="498" t="n"/>
      <c r="NUP79" s="498" t="n"/>
      <c r="NUQ79" s="498" t="n"/>
      <c r="NUR79" s="498" t="n"/>
      <c r="NUS79" s="498" t="n"/>
      <c r="NUT79" s="498" t="n"/>
      <c r="NUU79" s="498" t="n"/>
      <c r="NUV79" s="498" t="n"/>
      <c r="NUW79" s="498" t="n"/>
      <c r="NUX79" s="498" t="n"/>
      <c r="NUY79" s="498" t="n"/>
      <c r="NUZ79" s="498" t="n"/>
      <c r="NVA79" s="498" t="n"/>
      <c r="NVB79" s="498" t="n"/>
      <c r="NVC79" s="498" t="n"/>
      <c r="NVD79" s="498" t="n"/>
      <c r="NVE79" s="498" t="n"/>
      <c r="NVF79" s="498" t="n"/>
      <c r="NVG79" s="498" t="n"/>
      <c r="NVH79" s="498" t="n"/>
      <c r="NVI79" s="498" t="n"/>
      <c r="NVJ79" s="498" t="n"/>
      <c r="NVK79" s="498" t="n"/>
      <c r="NVL79" s="498" t="n"/>
      <c r="NVM79" s="498" t="n"/>
      <c r="NVN79" s="498" t="n"/>
      <c r="NVO79" s="498" t="n"/>
      <c r="NVP79" s="498" t="n"/>
      <c r="NVQ79" s="498" t="n"/>
      <c r="NVR79" s="498" t="n"/>
      <c r="NVS79" s="498" t="n"/>
      <c r="NVT79" s="498" t="n"/>
      <c r="NVU79" s="498" t="n"/>
      <c r="NVV79" s="498" t="n"/>
      <c r="NVW79" s="498" t="n"/>
      <c r="NVX79" s="498" t="n"/>
      <c r="NVY79" s="498" t="n"/>
      <c r="NVZ79" s="498" t="n"/>
      <c r="NWA79" s="498" t="n"/>
      <c r="NWB79" s="498" t="n"/>
      <c r="NWC79" s="498" t="n"/>
      <c r="NWD79" s="498" t="n"/>
      <c r="NWE79" s="498" t="n"/>
      <c r="NWF79" s="498" t="n"/>
      <c r="NWG79" s="498" t="n"/>
      <c r="NWH79" s="498" t="n"/>
      <c r="NWI79" s="498" t="n"/>
      <c r="NWJ79" s="498" t="n"/>
      <c r="NWK79" s="498" t="n"/>
      <c r="NWL79" s="498" t="n"/>
      <c r="NWM79" s="498" t="n"/>
      <c r="NWN79" s="498" t="n"/>
      <c r="NWO79" s="498" t="n"/>
      <c r="NWP79" s="498" t="n"/>
      <c r="NWQ79" s="498" t="n"/>
      <c r="NWR79" s="498" t="n"/>
      <c r="NWS79" s="498" t="n"/>
      <c r="NWT79" s="498" t="n"/>
      <c r="NWU79" s="498" t="n"/>
      <c r="NWV79" s="498" t="n"/>
      <c r="NWW79" s="498" t="n"/>
      <c r="NWX79" s="498" t="n"/>
      <c r="NWY79" s="498" t="n"/>
      <c r="NWZ79" s="498" t="n"/>
      <c r="NXA79" s="498" t="n"/>
      <c r="NXB79" s="498" t="n"/>
      <c r="NXC79" s="498" t="n"/>
      <c r="NXD79" s="498" t="n"/>
      <c r="NXE79" s="498" t="n"/>
      <c r="NXF79" s="498" t="n"/>
      <c r="NXG79" s="498" t="n"/>
      <c r="NXH79" s="498" t="n"/>
      <c r="NXI79" s="498" t="n"/>
      <c r="NXJ79" s="498" t="n"/>
      <c r="NXK79" s="498" t="n"/>
      <c r="NXL79" s="498" t="n"/>
      <c r="NXM79" s="498" t="n"/>
      <c r="NXN79" s="498" t="n"/>
      <c r="NXO79" s="498" t="n"/>
      <c r="NXP79" s="498" t="n"/>
      <c r="NXQ79" s="498" t="n"/>
      <c r="NXR79" s="498" t="n"/>
      <c r="NXS79" s="498" t="n"/>
      <c r="NXT79" s="498" t="n"/>
      <c r="NXU79" s="498" t="n"/>
      <c r="NXV79" s="498" t="n"/>
      <c r="NXW79" s="498" t="n"/>
      <c r="NXX79" s="498" t="n"/>
      <c r="NXY79" s="498" t="n"/>
      <c r="NXZ79" s="498" t="n"/>
      <c r="NYA79" s="498" t="n"/>
      <c r="NYB79" s="498" t="n"/>
      <c r="NYC79" s="498" t="n"/>
      <c r="NYD79" s="498" t="n"/>
      <c r="NYE79" s="498" t="n"/>
      <c r="NYF79" s="498" t="n"/>
      <c r="NYG79" s="498" t="n"/>
      <c r="NYH79" s="498" t="n"/>
      <c r="NYI79" s="498" t="n"/>
      <c r="NYJ79" s="498" t="n"/>
      <c r="NYK79" s="498" t="n"/>
      <c r="NYL79" s="498" t="n"/>
      <c r="NYM79" s="498" t="n"/>
      <c r="NYN79" s="498" t="n"/>
      <c r="NYO79" s="498" t="n"/>
      <c r="NYP79" s="498" t="n"/>
      <c r="NYQ79" s="498" t="n"/>
      <c r="NYR79" s="498" t="n"/>
      <c r="NYS79" s="498" t="n"/>
      <c r="NYT79" s="498" t="n"/>
      <c r="NYU79" s="498" t="n"/>
      <c r="NYV79" s="498" t="n"/>
      <c r="NYW79" s="498" t="n"/>
      <c r="NYX79" s="498" t="n"/>
      <c r="NYY79" s="498" t="n"/>
      <c r="NYZ79" s="498" t="n"/>
      <c r="NZA79" s="498" t="n"/>
      <c r="NZB79" s="498" t="n"/>
      <c r="NZC79" s="498" t="n"/>
      <c r="NZD79" s="498" t="n"/>
      <c r="NZE79" s="498" t="n"/>
      <c r="NZF79" s="498" t="n"/>
      <c r="NZG79" s="498" t="n"/>
      <c r="NZH79" s="498" t="n"/>
      <c r="NZI79" s="498" t="n"/>
      <c r="NZJ79" s="498" t="n"/>
      <c r="NZK79" s="498" t="n"/>
      <c r="NZL79" s="498" t="n"/>
      <c r="NZM79" s="498" t="n"/>
      <c r="NZN79" s="498" t="n"/>
      <c r="NZO79" s="498" t="n"/>
      <c r="NZP79" s="498" t="n"/>
      <c r="NZQ79" s="498" t="n"/>
      <c r="NZR79" s="498" t="n"/>
      <c r="NZS79" s="498" t="n"/>
      <c r="NZT79" s="498" t="n"/>
      <c r="NZU79" s="498" t="n"/>
      <c r="NZV79" s="498" t="n"/>
      <c r="NZW79" s="498" t="n"/>
      <c r="NZX79" s="498" t="n"/>
      <c r="NZY79" s="498" t="n"/>
      <c r="NZZ79" s="498" t="n"/>
      <c r="OAA79" s="498" t="n"/>
      <c r="OAB79" s="498" t="n"/>
      <c r="OAC79" s="498" t="n"/>
      <c r="OAD79" s="498" t="n"/>
      <c r="OAE79" s="498" t="n"/>
      <c r="OAF79" s="498" t="n"/>
      <c r="OAG79" s="498" t="n"/>
      <c r="OAH79" s="498" t="n"/>
      <c r="OAI79" s="498" t="n"/>
      <c r="OAJ79" s="498" t="n"/>
      <c r="OAK79" s="498" t="n"/>
      <c r="OAL79" s="498" t="n"/>
      <c r="OAM79" s="498" t="n"/>
      <c r="OAN79" s="498" t="n"/>
      <c r="OAO79" s="498" t="n"/>
      <c r="OAP79" s="498" t="n"/>
      <c r="OAQ79" s="498" t="n"/>
      <c r="OAR79" s="498" t="n"/>
      <c r="OAS79" s="498" t="n"/>
      <c r="OAT79" s="498" t="n"/>
      <c r="OAU79" s="498" t="n"/>
      <c r="OAV79" s="498" t="n"/>
      <c r="OAW79" s="498" t="n"/>
      <c r="OAX79" s="498" t="n"/>
      <c r="OAY79" s="498" t="n"/>
      <c r="OAZ79" s="498" t="n"/>
      <c r="OBA79" s="498" t="n"/>
      <c r="OBB79" s="498" t="n"/>
      <c r="OBC79" s="498" t="n"/>
      <c r="OBD79" s="498" t="n"/>
      <c r="OBE79" s="498" t="n"/>
      <c r="OBF79" s="498" t="n"/>
      <c r="OBG79" s="498" t="n"/>
      <c r="OBH79" s="498" t="n"/>
      <c r="OBI79" s="498" t="n"/>
      <c r="OBJ79" s="498" t="n"/>
      <c r="OBK79" s="498" t="n"/>
      <c r="OBL79" s="498" t="n"/>
      <c r="OBM79" s="498" t="n"/>
      <c r="OBN79" s="498" t="n"/>
      <c r="OBO79" s="498" t="n"/>
      <c r="OBP79" s="498" t="n"/>
      <c r="OBQ79" s="498" t="n"/>
      <c r="OBR79" s="498" t="n"/>
      <c r="OBS79" s="498" t="n"/>
      <c r="OBT79" s="498" t="n"/>
      <c r="OBU79" s="498" t="n"/>
      <c r="OBV79" s="498" t="n"/>
      <c r="OBW79" s="498" t="n"/>
      <c r="OBX79" s="498" t="n"/>
      <c r="OBY79" s="498" t="n"/>
      <c r="OBZ79" s="498" t="n"/>
      <c r="OCA79" s="498" t="n"/>
      <c r="OCB79" s="498" t="n"/>
      <c r="OCC79" s="498" t="n"/>
      <c r="OCD79" s="498" t="n"/>
      <c r="OCE79" s="498" t="n"/>
      <c r="OCF79" s="498" t="n"/>
      <c r="OCG79" s="498" t="n"/>
      <c r="OCH79" s="498" t="n"/>
      <c r="OCI79" s="498" t="n"/>
      <c r="OCJ79" s="498" t="n"/>
      <c r="OCK79" s="498" t="n"/>
      <c r="OCL79" s="498" t="n"/>
      <c r="OCM79" s="498" t="n"/>
      <c r="OCN79" s="498" t="n"/>
      <c r="OCO79" s="498" t="n"/>
      <c r="OCP79" s="498" t="n"/>
      <c r="OCQ79" s="498" t="n"/>
      <c r="OCR79" s="498" t="n"/>
      <c r="OCS79" s="498" t="n"/>
      <c r="OCT79" s="498" t="n"/>
      <c r="OCU79" s="498" t="n"/>
      <c r="OCV79" s="498" t="n"/>
      <c r="OCW79" s="498" t="n"/>
      <c r="OCX79" s="498" t="n"/>
      <c r="OCY79" s="498" t="n"/>
      <c r="OCZ79" s="498" t="n"/>
      <c r="ODA79" s="498" t="n"/>
      <c r="ODB79" s="498" t="n"/>
      <c r="ODC79" s="498" t="n"/>
      <c r="ODD79" s="498" t="n"/>
      <c r="ODE79" s="498" t="n"/>
      <c r="ODF79" s="498" t="n"/>
      <c r="ODG79" s="498" t="n"/>
      <c r="ODH79" s="498" t="n"/>
      <c r="ODI79" s="498" t="n"/>
      <c r="ODJ79" s="498" t="n"/>
      <c r="ODK79" s="498" t="n"/>
      <c r="ODL79" s="498" t="n"/>
      <c r="ODM79" s="498" t="n"/>
      <c r="ODN79" s="498" t="n"/>
      <c r="ODO79" s="498" t="n"/>
      <c r="ODP79" s="498" t="n"/>
      <c r="ODQ79" s="498" t="n"/>
      <c r="ODR79" s="498" t="n"/>
      <c r="ODS79" s="498" t="n"/>
      <c r="ODT79" s="498" t="n"/>
      <c r="ODU79" s="498" t="n"/>
      <c r="ODV79" s="498" t="n"/>
      <c r="ODW79" s="498" t="n"/>
      <c r="ODX79" s="498" t="n"/>
      <c r="ODY79" s="498" t="n"/>
      <c r="ODZ79" s="498" t="n"/>
      <c r="OEA79" s="498" t="n"/>
      <c r="OEB79" s="498" t="n"/>
      <c r="OEC79" s="498" t="n"/>
      <c r="OED79" s="498" t="n"/>
      <c r="OEE79" s="498" t="n"/>
      <c r="OEF79" s="498" t="n"/>
      <c r="OEG79" s="498" t="n"/>
      <c r="OEH79" s="498" t="n"/>
      <c r="OEI79" s="498" t="n"/>
      <c r="OEJ79" s="498" t="n"/>
      <c r="OEK79" s="498" t="n"/>
      <c r="OEL79" s="498" t="n"/>
      <c r="OEM79" s="498" t="n"/>
      <c r="OEN79" s="498" t="n"/>
      <c r="OEO79" s="498" t="n"/>
      <c r="OEP79" s="498" t="n"/>
      <c r="OEQ79" s="498" t="n"/>
      <c r="OER79" s="498" t="n"/>
      <c r="OES79" s="498" t="n"/>
      <c r="OET79" s="498" t="n"/>
      <c r="OEU79" s="498" t="n"/>
      <c r="OEV79" s="498" t="n"/>
      <c r="OEW79" s="498" t="n"/>
      <c r="OEX79" s="498" t="n"/>
      <c r="OEY79" s="498" t="n"/>
      <c r="OEZ79" s="498" t="n"/>
      <c r="OFA79" s="498" t="n"/>
      <c r="OFB79" s="498" t="n"/>
      <c r="OFC79" s="498" t="n"/>
      <c r="OFD79" s="498" t="n"/>
      <c r="OFE79" s="498" t="n"/>
      <c r="OFF79" s="498" t="n"/>
      <c r="OFG79" s="498" t="n"/>
      <c r="OFH79" s="498" t="n"/>
      <c r="OFI79" s="498" t="n"/>
      <c r="OFJ79" s="498" t="n"/>
      <c r="OFK79" s="498" t="n"/>
      <c r="OFL79" s="498" t="n"/>
      <c r="OFM79" s="498" t="n"/>
      <c r="OFN79" s="498" t="n"/>
      <c r="OFO79" s="498" t="n"/>
      <c r="OFP79" s="498" t="n"/>
      <c r="OFQ79" s="498" t="n"/>
      <c r="OFR79" s="498" t="n"/>
      <c r="OFS79" s="498" t="n"/>
      <c r="OFT79" s="498" t="n"/>
      <c r="OFU79" s="498" t="n"/>
      <c r="OFV79" s="498" t="n"/>
      <c r="OFW79" s="498" t="n"/>
      <c r="OFX79" s="498" t="n"/>
      <c r="OFY79" s="498" t="n"/>
      <c r="OFZ79" s="498" t="n"/>
      <c r="OGA79" s="498" t="n"/>
      <c r="OGB79" s="498" t="n"/>
      <c r="OGC79" s="498" t="n"/>
      <c r="OGD79" s="498" t="n"/>
      <c r="OGE79" s="498" t="n"/>
      <c r="OGF79" s="498" t="n"/>
      <c r="OGG79" s="498" t="n"/>
      <c r="OGH79" s="498" t="n"/>
      <c r="OGI79" s="498" t="n"/>
      <c r="OGJ79" s="498" t="n"/>
      <c r="OGK79" s="498" t="n"/>
      <c r="OGL79" s="498" t="n"/>
      <c r="OGM79" s="498" t="n"/>
      <c r="OGN79" s="498" t="n"/>
      <c r="OGO79" s="498" t="n"/>
      <c r="OGP79" s="498" t="n"/>
      <c r="OGQ79" s="498" t="n"/>
      <c r="OGR79" s="498" t="n"/>
      <c r="OGS79" s="498" t="n"/>
      <c r="OGT79" s="498" t="n"/>
      <c r="OGU79" s="498" t="n"/>
      <c r="OGV79" s="498" t="n"/>
      <c r="OGW79" s="498" t="n"/>
      <c r="OGX79" s="498" t="n"/>
      <c r="OGY79" s="498" t="n"/>
      <c r="OGZ79" s="498" t="n"/>
      <c r="OHA79" s="498" t="n"/>
      <c r="OHB79" s="498" t="n"/>
      <c r="OHC79" s="498" t="n"/>
      <c r="OHD79" s="498" t="n"/>
      <c r="OHE79" s="498" t="n"/>
      <c r="OHF79" s="498" t="n"/>
      <c r="OHG79" s="498" t="n"/>
      <c r="OHH79" s="498" t="n"/>
      <c r="OHI79" s="498" t="n"/>
      <c r="OHJ79" s="498" t="n"/>
      <c r="OHK79" s="498" t="n"/>
      <c r="OHL79" s="498" t="n"/>
      <c r="OHM79" s="498" t="n"/>
      <c r="OHN79" s="498" t="n"/>
      <c r="OHO79" s="498" t="n"/>
      <c r="OHP79" s="498" t="n"/>
      <c r="OHQ79" s="498" t="n"/>
      <c r="OHR79" s="498" t="n"/>
      <c r="OHS79" s="498" t="n"/>
      <c r="OHT79" s="498" t="n"/>
      <c r="OHU79" s="498" t="n"/>
      <c r="OHV79" s="498" t="n"/>
      <c r="OHW79" s="498" t="n"/>
      <c r="OHX79" s="498" t="n"/>
      <c r="OHY79" s="498" t="n"/>
      <c r="OHZ79" s="498" t="n"/>
      <c r="OIA79" s="498" t="n"/>
      <c r="OIB79" s="498" t="n"/>
      <c r="OIC79" s="498" t="n"/>
      <c r="OID79" s="498" t="n"/>
      <c r="OIE79" s="498" t="n"/>
      <c r="OIF79" s="498" t="n"/>
      <c r="OIG79" s="498" t="n"/>
      <c r="OIH79" s="498" t="n"/>
      <c r="OII79" s="498" t="n"/>
      <c r="OIJ79" s="498" t="n"/>
      <c r="OIK79" s="498" t="n"/>
      <c r="OIL79" s="498" t="n"/>
      <c r="OIM79" s="498" t="n"/>
      <c r="OIN79" s="498" t="n"/>
      <c r="OIO79" s="498" t="n"/>
      <c r="OIP79" s="498" t="n"/>
      <c r="OIQ79" s="498" t="n"/>
      <c r="OIR79" s="498" t="n"/>
      <c r="OIS79" s="498" t="n"/>
      <c r="OIT79" s="498" t="n"/>
      <c r="OIU79" s="498" t="n"/>
      <c r="OIV79" s="498" t="n"/>
      <c r="OIW79" s="498" t="n"/>
      <c r="OIX79" s="498" t="n"/>
      <c r="OIY79" s="498" t="n"/>
      <c r="OIZ79" s="498" t="n"/>
      <c r="OJA79" s="498" t="n"/>
      <c r="OJB79" s="498" t="n"/>
      <c r="OJC79" s="498" t="n"/>
      <c r="OJD79" s="498" t="n"/>
      <c r="OJE79" s="498" t="n"/>
      <c r="OJF79" s="498" t="n"/>
      <c r="OJG79" s="498" t="n"/>
      <c r="OJH79" s="498" t="n"/>
      <c r="OJI79" s="498" t="n"/>
      <c r="OJJ79" s="498" t="n"/>
      <c r="OJK79" s="498" t="n"/>
      <c r="OJL79" s="498" t="n"/>
      <c r="OJM79" s="498" t="n"/>
      <c r="OJN79" s="498" t="n"/>
      <c r="OJO79" s="498" t="n"/>
      <c r="OJP79" s="498" t="n"/>
      <c r="OJQ79" s="498" t="n"/>
      <c r="OJR79" s="498" t="n"/>
      <c r="OJS79" s="498" t="n"/>
      <c r="OJT79" s="498" t="n"/>
      <c r="OJU79" s="498" t="n"/>
      <c r="OJV79" s="498" t="n"/>
      <c r="OJW79" s="498" t="n"/>
      <c r="OJX79" s="498" t="n"/>
      <c r="OJY79" s="498" t="n"/>
      <c r="OJZ79" s="498" t="n"/>
      <c r="OKA79" s="498" t="n"/>
      <c r="OKB79" s="498" t="n"/>
      <c r="OKC79" s="498" t="n"/>
      <c r="OKD79" s="498" t="n"/>
      <c r="OKE79" s="498" t="n"/>
      <c r="OKF79" s="498" t="n"/>
      <c r="OKG79" s="498" t="n"/>
      <c r="OKH79" s="498" t="n"/>
      <c r="OKI79" s="498" t="n"/>
      <c r="OKJ79" s="498" t="n"/>
      <c r="OKK79" s="498" t="n"/>
      <c r="OKL79" s="498" t="n"/>
      <c r="OKM79" s="498" t="n"/>
      <c r="OKN79" s="498" t="n"/>
      <c r="OKO79" s="498" t="n"/>
      <c r="OKP79" s="498" t="n"/>
      <c r="OKQ79" s="498" t="n"/>
      <c r="OKR79" s="498" t="n"/>
      <c r="OKS79" s="498" t="n"/>
      <c r="OKT79" s="498" t="n"/>
      <c r="OKU79" s="498" t="n"/>
      <c r="OKV79" s="498" t="n"/>
      <c r="OKW79" s="498" t="n"/>
      <c r="OKX79" s="498" t="n"/>
      <c r="OKY79" s="498" t="n"/>
      <c r="OKZ79" s="498" t="n"/>
      <c r="OLA79" s="498" t="n"/>
      <c r="OLB79" s="498" t="n"/>
      <c r="OLC79" s="498" t="n"/>
      <c r="OLD79" s="498" t="n"/>
      <c r="OLE79" s="498" t="n"/>
      <c r="OLF79" s="498" t="n"/>
      <c r="OLG79" s="498" t="n"/>
      <c r="OLH79" s="498" t="n"/>
      <c r="OLI79" s="498" t="n"/>
      <c r="OLJ79" s="498" t="n"/>
      <c r="OLK79" s="498" t="n"/>
      <c r="OLL79" s="498" t="n"/>
      <c r="OLM79" s="498" t="n"/>
      <c r="OLN79" s="498" t="n"/>
      <c r="OLO79" s="498" t="n"/>
      <c r="OLP79" s="498" t="n"/>
      <c r="OLQ79" s="498" t="n"/>
      <c r="OLR79" s="498" t="n"/>
      <c r="OLS79" s="498" t="n"/>
      <c r="OLT79" s="498" t="n"/>
      <c r="OLU79" s="498" t="n"/>
      <c r="OLV79" s="498" t="n"/>
      <c r="OLW79" s="498" t="n"/>
      <c r="OLX79" s="498" t="n"/>
      <c r="OLY79" s="498" t="n"/>
      <c r="OLZ79" s="498" t="n"/>
      <c r="OMA79" s="498" t="n"/>
      <c r="OMB79" s="498" t="n"/>
      <c r="OMC79" s="498" t="n"/>
      <c r="OMD79" s="498" t="n"/>
      <c r="OME79" s="498" t="n"/>
      <c r="OMF79" s="498" t="n"/>
      <c r="OMG79" s="498" t="n"/>
      <c r="OMH79" s="498" t="n"/>
      <c r="OMI79" s="498" t="n"/>
      <c r="OMJ79" s="498" t="n"/>
      <c r="OMK79" s="498" t="n"/>
      <c r="OML79" s="498" t="n"/>
      <c r="OMM79" s="498" t="n"/>
      <c r="OMN79" s="498" t="n"/>
      <c r="OMO79" s="498" t="n"/>
      <c r="OMP79" s="498" t="n"/>
      <c r="OMQ79" s="498" t="n"/>
      <c r="OMR79" s="498" t="n"/>
      <c r="OMS79" s="498" t="n"/>
      <c r="OMT79" s="498" t="n"/>
      <c r="OMU79" s="498" t="n"/>
      <c r="OMV79" s="498" t="n"/>
      <c r="OMW79" s="498" t="n"/>
      <c r="OMX79" s="498" t="n"/>
      <c r="OMY79" s="498" t="n"/>
      <c r="OMZ79" s="498" t="n"/>
      <c r="ONA79" s="498" t="n"/>
      <c r="ONB79" s="498" t="n"/>
      <c r="ONC79" s="498" t="n"/>
      <c r="OND79" s="498" t="n"/>
      <c r="ONE79" s="498" t="n"/>
      <c r="ONF79" s="498" t="n"/>
      <c r="ONG79" s="498" t="n"/>
      <c r="ONH79" s="498" t="n"/>
      <c r="ONI79" s="498" t="n"/>
      <c r="ONJ79" s="498" t="n"/>
      <c r="ONK79" s="498" t="n"/>
      <c r="ONL79" s="498" t="n"/>
      <c r="ONM79" s="498" t="n"/>
      <c r="ONN79" s="498" t="n"/>
      <c r="ONO79" s="498" t="n"/>
      <c r="ONP79" s="498" t="n"/>
      <c r="ONQ79" s="498" t="n"/>
      <c r="ONR79" s="498" t="n"/>
      <c r="ONS79" s="498" t="n"/>
      <c r="ONT79" s="498" t="n"/>
      <c r="ONU79" s="498" t="n"/>
      <c r="ONV79" s="498" t="n"/>
      <c r="ONW79" s="498" t="n"/>
      <c r="ONX79" s="498" t="n"/>
      <c r="ONY79" s="498" t="n"/>
      <c r="ONZ79" s="498" t="n"/>
      <c r="OOA79" s="498" t="n"/>
      <c r="OOB79" s="498" t="n"/>
      <c r="OOC79" s="498" t="n"/>
      <c r="OOD79" s="498" t="n"/>
      <c r="OOE79" s="498" t="n"/>
      <c r="OOF79" s="498" t="n"/>
      <c r="OOG79" s="498" t="n"/>
      <c r="OOH79" s="498" t="n"/>
      <c r="OOI79" s="498" t="n"/>
      <c r="OOJ79" s="498" t="n"/>
      <c r="OOK79" s="498" t="n"/>
      <c r="OOL79" s="498" t="n"/>
      <c r="OOM79" s="498" t="n"/>
      <c r="OON79" s="498" t="n"/>
      <c r="OOO79" s="498" t="n"/>
      <c r="OOP79" s="498" t="n"/>
      <c r="OOQ79" s="498" t="n"/>
      <c r="OOR79" s="498" t="n"/>
      <c r="OOS79" s="498" t="n"/>
      <c r="OOT79" s="498" t="n"/>
      <c r="OOU79" s="498" t="n"/>
      <c r="OOV79" s="498" t="n"/>
      <c r="OOW79" s="498" t="n"/>
      <c r="OOX79" s="498" t="n"/>
      <c r="OOY79" s="498" t="n"/>
      <c r="OOZ79" s="498" t="n"/>
      <c r="OPA79" s="498" t="n"/>
      <c r="OPB79" s="498" t="n"/>
      <c r="OPC79" s="498" t="n"/>
      <c r="OPD79" s="498" t="n"/>
      <c r="OPE79" s="498" t="n"/>
      <c r="OPF79" s="498" t="n"/>
      <c r="OPG79" s="498" t="n"/>
      <c r="OPH79" s="498" t="n"/>
      <c r="OPI79" s="498" t="n"/>
      <c r="OPJ79" s="498" t="n"/>
      <c r="OPK79" s="498" t="n"/>
      <c r="OPL79" s="498" t="n"/>
      <c r="OPM79" s="498" t="n"/>
      <c r="OPN79" s="498" t="n"/>
      <c r="OPO79" s="498" t="n"/>
      <c r="OPP79" s="498" t="n"/>
      <c r="OPQ79" s="498" t="n"/>
      <c r="OPR79" s="498" t="n"/>
      <c r="OPS79" s="498" t="n"/>
      <c r="OPT79" s="498" t="n"/>
      <c r="OPU79" s="498" t="n"/>
      <c r="OPV79" s="498" t="n"/>
      <c r="OPW79" s="498" t="n"/>
      <c r="OPX79" s="498" t="n"/>
      <c r="OPY79" s="498" t="n"/>
      <c r="OPZ79" s="498" t="n"/>
      <c r="OQA79" s="498" t="n"/>
      <c r="OQB79" s="498" t="n"/>
      <c r="OQC79" s="498" t="n"/>
      <c r="OQD79" s="498" t="n"/>
      <c r="OQE79" s="498" t="n"/>
      <c r="OQF79" s="498" t="n"/>
      <c r="OQG79" s="498" t="n"/>
      <c r="OQH79" s="498" t="n"/>
      <c r="OQI79" s="498" t="n"/>
      <c r="OQJ79" s="498" t="n"/>
      <c r="OQK79" s="498" t="n"/>
      <c r="OQL79" s="498" t="n"/>
      <c r="OQM79" s="498" t="n"/>
      <c r="OQN79" s="498" t="n"/>
      <c r="OQO79" s="498" t="n"/>
      <c r="OQP79" s="498" t="n"/>
      <c r="OQQ79" s="498" t="n"/>
      <c r="OQR79" s="498" t="n"/>
      <c r="OQS79" s="498" t="n"/>
      <c r="OQT79" s="498" t="n"/>
      <c r="OQU79" s="498" t="n"/>
      <c r="OQV79" s="498" t="n"/>
      <c r="OQW79" s="498" t="n"/>
      <c r="OQX79" s="498" t="n"/>
      <c r="OQY79" s="498" t="n"/>
      <c r="OQZ79" s="498" t="n"/>
      <c r="ORA79" s="498" t="n"/>
      <c r="ORB79" s="498" t="n"/>
      <c r="ORC79" s="498" t="n"/>
      <c r="ORD79" s="498" t="n"/>
      <c r="ORE79" s="498" t="n"/>
      <c r="ORF79" s="498" t="n"/>
      <c r="ORG79" s="498" t="n"/>
      <c r="ORH79" s="498" t="n"/>
      <c r="ORI79" s="498" t="n"/>
      <c r="ORJ79" s="498" t="n"/>
      <c r="ORK79" s="498" t="n"/>
      <c r="ORL79" s="498" t="n"/>
      <c r="ORM79" s="498" t="n"/>
      <c r="ORN79" s="498" t="n"/>
      <c r="ORO79" s="498" t="n"/>
      <c r="ORP79" s="498" t="n"/>
      <c r="ORQ79" s="498" t="n"/>
      <c r="ORR79" s="498" t="n"/>
      <c r="ORS79" s="498" t="n"/>
      <c r="ORT79" s="498" t="n"/>
      <c r="ORU79" s="498" t="n"/>
      <c r="ORV79" s="498" t="n"/>
      <c r="ORW79" s="498" t="n"/>
      <c r="ORX79" s="498" t="n"/>
      <c r="ORY79" s="498" t="n"/>
      <c r="ORZ79" s="498" t="n"/>
      <c r="OSA79" s="498" t="n"/>
      <c r="OSB79" s="498" t="n"/>
      <c r="OSC79" s="498" t="n"/>
      <c r="OSD79" s="498" t="n"/>
      <c r="OSE79" s="498" t="n"/>
      <c r="OSF79" s="498" t="n"/>
      <c r="OSG79" s="498" t="n"/>
      <c r="OSH79" s="498" t="n"/>
      <c r="OSI79" s="498" t="n"/>
      <c r="OSJ79" s="498" t="n"/>
      <c r="OSK79" s="498" t="n"/>
      <c r="OSL79" s="498" t="n"/>
      <c r="OSM79" s="498" t="n"/>
      <c r="OSN79" s="498" t="n"/>
      <c r="OSO79" s="498" t="n"/>
      <c r="OSP79" s="498" t="n"/>
      <c r="OSQ79" s="498" t="n"/>
      <c r="OSR79" s="498" t="n"/>
      <c r="OSS79" s="498" t="n"/>
      <c r="OST79" s="498" t="n"/>
      <c r="OSU79" s="498" t="n"/>
      <c r="OSV79" s="498" t="n"/>
      <c r="OSW79" s="498" t="n"/>
      <c r="OSX79" s="498" t="n"/>
      <c r="OSY79" s="498" t="n"/>
      <c r="OSZ79" s="498" t="n"/>
      <c r="OTA79" s="498" t="n"/>
      <c r="OTB79" s="498" t="n"/>
      <c r="OTC79" s="498" t="n"/>
      <c r="OTD79" s="498" t="n"/>
      <c r="OTE79" s="498" t="n"/>
      <c r="OTF79" s="498" t="n"/>
      <c r="OTG79" s="498" t="n"/>
      <c r="OTH79" s="498" t="n"/>
      <c r="OTI79" s="498" t="n"/>
      <c r="OTJ79" s="498" t="n"/>
      <c r="OTK79" s="498" t="n"/>
      <c r="OTL79" s="498" t="n"/>
      <c r="OTM79" s="498" t="n"/>
      <c r="OTN79" s="498" t="n"/>
      <c r="OTO79" s="498" t="n"/>
      <c r="OTP79" s="498" t="n"/>
      <c r="OTQ79" s="498" t="n"/>
      <c r="OTR79" s="498" t="n"/>
      <c r="OTS79" s="498" t="n"/>
      <c r="OTT79" s="498" t="n"/>
      <c r="OTU79" s="498" t="n"/>
      <c r="OTV79" s="498" t="n"/>
      <c r="OTW79" s="498" t="n"/>
      <c r="OTX79" s="498" t="n"/>
      <c r="OTY79" s="498" t="n"/>
      <c r="OTZ79" s="498" t="n"/>
      <c r="OUA79" s="498" t="n"/>
      <c r="OUB79" s="498" t="n"/>
      <c r="OUC79" s="498" t="n"/>
      <c r="OUD79" s="498" t="n"/>
      <c r="OUE79" s="498" t="n"/>
      <c r="OUF79" s="498" t="n"/>
      <c r="OUG79" s="498" t="n"/>
      <c r="OUH79" s="498" t="n"/>
      <c r="OUI79" s="498" t="n"/>
      <c r="OUJ79" s="498" t="n"/>
      <c r="OUK79" s="498" t="n"/>
      <c r="OUL79" s="498" t="n"/>
      <c r="OUM79" s="498" t="n"/>
      <c r="OUN79" s="498" t="n"/>
      <c r="OUO79" s="498" t="n"/>
      <c r="OUP79" s="498" t="n"/>
      <c r="OUQ79" s="498" t="n"/>
      <c r="OUR79" s="498" t="n"/>
      <c r="OUS79" s="498" t="n"/>
      <c r="OUT79" s="498" t="n"/>
      <c r="OUU79" s="498" t="n"/>
      <c r="OUV79" s="498" t="n"/>
      <c r="OUW79" s="498" t="n"/>
      <c r="OUX79" s="498" t="n"/>
      <c r="OUY79" s="498" t="n"/>
      <c r="OUZ79" s="498" t="n"/>
      <c r="OVA79" s="498" t="n"/>
      <c r="OVB79" s="498" t="n"/>
      <c r="OVC79" s="498" t="n"/>
      <c r="OVD79" s="498" t="n"/>
      <c r="OVE79" s="498" t="n"/>
      <c r="OVF79" s="498" t="n"/>
      <c r="OVG79" s="498" t="n"/>
      <c r="OVH79" s="498" t="n"/>
      <c r="OVI79" s="498" t="n"/>
      <c r="OVJ79" s="498" t="n"/>
      <c r="OVK79" s="498" t="n"/>
      <c r="OVL79" s="498" t="n"/>
      <c r="OVM79" s="498" t="n"/>
      <c r="OVN79" s="498" t="n"/>
      <c r="OVO79" s="498" t="n"/>
      <c r="OVP79" s="498" t="n"/>
      <c r="OVQ79" s="498" t="n"/>
      <c r="OVR79" s="498" t="n"/>
      <c r="OVS79" s="498" t="n"/>
      <c r="OVT79" s="498" t="n"/>
      <c r="OVU79" s="498" t="n"/>
      <c r="OVV79" s="498" t="n"/>
      <c r="OVW79" s="498" t="n"/>
      <c r="OVX79" s="498" t="n"/>
      <c r="OVY79" s="498" t="n"/>
      <c r="OVZ79" s="498" t="n"/>
      <c r="OWA79" s="498" t="n"/>
      <c r="OWB79" s="498" t="n"/>
      <c r="OWC79" s="498" t="n"/>
      <c r="OWD79" s="498" t="n"/>
      <c r="OWE79" s="498" t="n"/>
      <c r="OWF79" s="498" t="n"/>
      <c r="OWG79" s="498" t="n"/>
      <c r="OWH79" s="498" t="n"/>
      <c r="OWI79" s="498" t="n"/>
      <c r="OWJ79" s="498" t="n"/>
      <c r="OWK79" s="498" t="n"/>
      <c r="OWL79" s="498" t="n"/>
      <c r="OWM79" s="498" t="n"/>
      <c r="OWN79" s="498" t="n"/>
      <c r="OWO79" s="498" t="n"/>
      <c r="OWP79" s="498" t="n"/>
      <c r="OWQ79" s="498" t="n"/>
      <c r="OWR79" s="498" t="n"/>
      <c r="OWS79" s="498" t="n"/>
      <c r="OWT79" s="498" t="n"/>
      <c r="OWU79" s="498" t="n"/>
      <c r="OWV79" s="498" t="n"/>
      <c r="OWW79" s="498" t="n"/>
      <c r="OWX79" s="498" t="n"/>
      <c r="OWY79" s="498" t="n"/>
      <c r="OWZ79" s="498" t="n"/>
      <c r="OXA79" s="498" t="n"/>
      <c r="OXB79" s="498" t="n"/>
      <c r="OXC79" s="498" t="n"/>
      <c r="OXD79" s="498" t="n"/>
      <c r="OXE79" s="498" t="n"/>
      <c r="OXF79" s="498" t="n"/>
      <c r="OXG79" s="498" t="n"/>
      <c r="OXH79" s="498" t="n"/>
      <c r="OXI79" s="498" t="n"/>
      <c r="OXJ79" s="498" t="n"/>
      <c r="OXK79" s="498" t="n"/>
      <c r="OXL79" s="498" t="n"/>
      <c r="OXM79" s="498" t="n"/>
      <c r="OXN79" s="498" t="n"/>
      <c r="OXO79" s="498" t="n"/>
      <c r="OXP79" s="498" t="n"/>
      <c r="OXQ79" s="498" t="n"/>
      <c r="OXR79" s="498" t="n"/>
      <c r="OXS79" s="498" t="n"/>
      <c r="OXT79" s="498" t="n"/>
      <c r="OXU79" s="498" t="n"/>
      <c r="OXV79" s="498" t="n"/>
      <c r="OXW79" s="498" t="n"/>
      <c r="OXX79" s="498" t="n"/>
      <c r="OXY79" s="498" t="n"/>
      <c r="OXZ79" s="498" t="n"/>
      <c r="OYA79" s="498" t="n"/>
      <c r="OYB79" s="498" t="n"/>
      <c r="OYC79" s="498" t="n"/>
      <c r="OYD79" s="498" t="n"/>
      <c r="OYE79" s="498" t="n"/>
      <c r="OYF79" s="498" t="n"/>
      <c r="OYG79" s="498" t="n"/>
      <c r="OYH79" s="498" t="n"/>
      <c r="OYI79" s="498" t="n"/>
      <c r="OYJ79" s="498" t="n"/>
      <c r="OYK79" s="498" t="n"/>
      <c r="OYL79" s="498" t="n"/>
      <c r="OYM79" s="498" t="n"/>
      <c r="OYN79" s="498" t="n"/>
      <c r="OYO79" s="498" t="n"/>
      <c r="OYP79" s="498" t="n"/>
      <c r="OYQ79" s="498" t="n"/>
      <c r="OYR79" s="498" t="n"/>
      <c r="OYS79" s="498" t="n"/>
      <c r="OYT79" s="498" t="n"/>
      <c r="OYU79" s="498" t="n"/>
      <c r="OYV79" s="498" t="n"/>
      <c r="OYW79" s="498" t="n"/>
      <c r="OYX79" s="498" t="n"/>
      <c r="OYY79" s="498" t="n"/>
      <c r="OYZ79" s="498" t="n"/>
      <c r="OZA79" s="498" t="n"/>
      <c r="OZB79" s="498" t="n"/>
      <c r="OZC79" s="498" t="n"/>
      <c r="OZD79" s="498" t="n"/>
      <c r="OZE79" s="498" t="n"/>
      <c r="OZF79" s="498" t="n"/>
      <c r="OZG79" s="498" t="n"/>
      <c r="OZH79" s="498" t="n"/>
      <c r="OZI79" s="498" t="n"/>
      <c r="OZJ79" s="498" t="n"/>
      <c r="OZK79" s="498" t="n"/>
      <c r="OZL79" s="498" t="n"/>
      <c r="OZM79" s="498" t="n"/>
      <c r="OZN79" s="498" t="n"/>
      <c r="OZO79" s="498" t="n"/>
      <c r="OZP79" s="498" t="n"/>
      <c r="OZQ79" s="498" t="n"/>
      <c r="OZR79" s="498" t="n"/>
      <c r="OZS79" s="498" t="n"/>
      <c r="OZT79" s="498" t="n"/>
      <c r="OZU79" s="498" t="n"/>
      <c r="OZV79" s="498" t="n"/>
      <c r="OZW79" s="498" t="n"/>
      <c r="OZX79" s="498" t="n"/>
      <c r="OZY79" s="498" t="n"/>
      <c r="OZZ79" s="498" t="n"/>
      <c r="PAA79" s="498" t="n"/>
      <c r="PAB79" s="498" t="n"/>
      <c r="PAC79" s="498" t="n"/>
      <c r="PAD79" s="498" t="n"/>
      <c r="PAE79" s="498" t="n"/>
      <c r="PAF79" s="498" t="n"/>
      <c r="PAG79" s="498" t="n"/>
      <c r="PAH79" s="498" t="n"/>
      <c r="PAI79" s="498" t="n"/>
      <c r="PAJ79" s="498" t="n"/>
      <c r="PAK79" s="498" t="n"/>
      <c r="PAL79" s="498" t="n"/>
      <c r="PAM79" s="498" t="n"/>
      <c r="PAN79" s="498" t="n"/>
      <c r="PAO79" s="498" t="n"/>
      <c r="PAP79" s="498" t="n"/>
      <c r="PAQ79" s="498" t="n"/>
      <c r="PAR79" s="498" t="n"/>
      <c r="PAS79" s="498" t="n"/>
      <c r="PAT79" s="498" t="n"/>
      <c r="PAU79" s="498" t="n"/>
      <c r="PAV79" s="498" t="n"/>
      <c r="PAW79" s="498" t="n"/>
      <c r="PAX79" s="498" t="n"/>
      <c r="PAY79" s="498" t="n"/>
      <c r="PAZ79" s="498" t="n"/>
      <c r="PBA79" s="498" t="n"/>
      <c r="PBB79" s="498" t="n"/>
      <c r="PBC79" s="498" t="n"/>
      <c r="PBD79" s="498" t="n"/>
      <c r="PBE79" s="498" t="n"/>
      <c r="PBF79" s="498" t="n"/>
      <c r="PBG79" s="498" t="n"/>
      <c r="PBH79" s="498" t="n"/>
      <c r="PBI79" s="498" t="n"/>
      <c r="PBJ79" s="498" t="n"/>
      <c r="PBK79" s="498" t="n"/>
      <c r="PBL79" s="498" t="n"/>
      <c r="PBM79" s="498" t="n"/>
      <c r="PBN79" s="498" t="n"/>
      <c r="PBO79" s="498" t="n"/>
      <c r="PBP79" s="498" t="n"/>
      <c r="PBQ79" s="498" t="n"/>
      <c r="PBR79" s="498" t="n"/>
      <c r="PBS79" s="498" t="n"/>
      <c r="PBT79" s="498" t="n"/>
      <c r="PBU79" s="498" t="n"/>
      <c r="PBV79" s="498" t="n"/>
      <c r="PBW79" s="498" t="n"/>
      <c r="PBX79" s="498" t="n"/>
      <c r="PBY79" s="498" t="n"/>
      <c r="PBZ79" s="498" t="n"/>
      <c r="PCA79" s="498" t="n"/>
      <c r="PCB79" s="498" t="n"/>
      <c r="PCC79" s="498" t="n"/>
      <c r="PCD79" s="498" t="n"/>
      <c r="PCE79" s="498" t="n"/>
      <c r="PCF79" s="498" t="n"/>
      <c r="PCG79" s="498" t="n"/>
      <c r="PCH79" s="498" t="n"/>
      <c r="PCI79" s="498" t="n"/>
      <c r="PCJ79" s="498" t="n"/>
      <c r="PCK79" s="498" t="n"/>
      <c r="PCL79" s="498" t="n"/>
      <c r="PCM79" s="498" t="n"/>
      <c r="PCN79" s="498" t="n"/>
      <c r="PCO79" s="498" t="n"/>
      <c r="PCP79" s="498" t="n"/>
      <c r="PCQ79" s="498" t="n"/>
      <c r="PCR79" s="498" t="n"/>
      <c r="PCS79" s="498" t="n"/>
      <c r="PCT79" s="498" t="n"/>
      <c r="PCU79" s="498" t="n"/>
      <c r="PCV79" s="498" t="n"/>
      <c r="PCW79" s="498" t="n"/>
      <c r="PCX79" s="498" t="n"/>
      <c r="PCY79" s="498" t="n"/>
      <c r="PCZ79" s="498" t="n"/>
      <c r="PDA79" s="498" t="n"/>
      <c r="PDB79" s="498" t="n"/>
      <c r="PDC79" s="498" t="n"/>
      <c r="PDD79" s="498" t="n"/>
      <c r="PDE79" s="498" t="n"/>
      <c r="PDF79" s="498" t="n"/>
      <c r="PDG79" s="498" t="n"/>
      <c r="PDH79" s="498" t="n"/>
      <c r="PDI79" s="498" t="n"/>
      <c r="PDJ79" s="498" t="n"/>
      <c r="PDK79" s="498" t="n"/>
      <c r="PDL79" s="498" t="n"/>
      <c r="PDM79" s="498" t="n"/>
      <c r="PDN79" s="498" t="n"/>
      <c r="PDO79" s="498" t="n"/>
      <c r="PDP79" s="498" t="n"/>
      <c r="PDQ79" s="498" t="n"/>
      <c r="PDR79" s="498" t="n"/>
      <c r="PDS79" s="498" t="n"/>
      <c r="PDT79" s="498" t="n"/>
      <c r="PDU79" s="498" t="n"/>
      <c r="PDV79" s="498" t="n"/>
      <c r="PDW79" s="498" t="n"/>
      <c r="PDX79" s="498" t="n"/>
      <c r="PDY79" s="498" t="n"/>
      <c r="PDZ79" s="498" t="n"/>
      <c r="PEA79" s="498" t="n"/>
      <c r="PEB79" s="498" t="n"/>
      <c r="PEC79" s="498" t="n"/>
      <c r="PED79" s="498" t="n"/>
      <c r="PEE79" s="498" t="n"/>
      <c r="PEF79" s="498" t="n"/>
      <c r="PEG79" s="498" t="n"/>
      <c r="PEH79" s="498" t="n"/>
      <c r="PEI79" s="498" t="n"/>
      <c r="PEJ79" s="498" t="n"/>
      <c r="PEK79" s="498" t="n"/>
      <c r="PEL79" s="498" t="n"/>
      <c r="PEM79" s="498" t="n"/>
      <c r="PEN79" s="498" t="n"/>
      <c r="PEO79" s="498" t="n"/>
      <c r="PEP79" s="498" t="n"/>
      <c r="PEQ79" s="498" t="n"/>
      <c r="PER79" s="498" t="n"/>
      <c r="PES79" s="498" t="n"/>
      <c r="PET79" s="498" t="n"/>
      <c r="PEU79" s="498" t="n"/>
      <c r="PEV79" s="498" t="n"/>
      <c r="PEW79" s="498" t="n"/>
      <c r="PEX79" s="498" t="n"/>
      <c r="PEY79" s="498" t="n"/>
      <c r="PEZ79" s="498" t="n"/>
      <c r="PFA79" s="498" t="n"/>
      <c r="PFB79" s="498" t="n"/>
      <c r="PFC79" s="498" t="n"/>
      <c r="PFD79" s="498" t="n"/>
      <c r="PFE79" s="498" t="n"/>
      <c r="PFF79" s="498" t="n"/>
      <c r="PFG79" s="498" t="n"/>
      <c r="PFH79" s="498" t="n"/>
      <c r="PFI79" s="498" t="n"/>
      <c r="PFJ79" s="498" t="n"/>
      <c r="PFK79" s="498" t="n"/>
      <c r="PFL79" s="498" t="n"/>
      <c r="PFM79" s="498" t="n"/>
      <c r="PFN79" s="498" t="n"/>
      <c r="PFO79" s="498" t="n"/>
      <c r="PFP79" s="498" t="n"/>
      <c r="PFQ79" s="498" t="n"/>
      <c r="PFR79" s="498" t="n"/>
      <c r="PFS79" s="498" t="n"/>
      <c r="PFT79" s="498" t="n"/>
      <c r="PFU79" s="498" t="n"/>
      <c r="PFV79" s="498" t="n"/>
      <c r="PFW79" s="498" t="n"/>
      <c r="PFX79" s="498" t="n"/>
      <c r="PFY79" s="498" t="n"/>
      <c r="PFZ79" s="498" t="n"/>
      <c r="PGA79" s="498" t="n"/>
      <c r="PGB79" s="498" t="n"/>
      <c r="PGC79" s="498" t="n"/>
      <c r="PGD79" s="498" t="n"/>
      <c r="PGE79" s="498" t="n"/>
      <c r="PGF79" s="498" t="n"/>
      <c r="PGG79" s="498" t="n"/>
      <c r="PGH79" s="498" t="n"/>
      <c r="PGI79" s="498" t="n"/>
      <c r="PGJ79" s="498" t="n"/>
      <c r="PGK79" s="498" t="n"/>
      <c r="PGL79" s="498" t="n"/>
      <c r="PGM79" s="498" t="n"/>
      <c r="PGN79" s="498" t="n"/>
      <c r="PGO79" s="498" t="n"/>
      <c r="PGP79" s="498" t="n"/>
      <c r="PGQ79" s="498" t="n"/>
      <c r="PGR79" s="498" t="n"/>
      <c r="PGS79" s="498" t="n"/>
      <c r="PGT79" s="498" t="n"/>
      <c r="PGU79" s="498" t="n"/>
      <c r="PGV79" s="498" t="n"/>
      <c r="PGW79" s="498" t="n"/>
      <c r="PGX79" s="498" t="n"/>
      <c r="PGY79" s="498" t="n"/>
      <c r="PGZ79" s="498" t="n"/>
      <c r="PHA79" s="498" t="n"/>
      <c r="PHB79" s="498" t="n"/>
      <c r="PHC79" s="498" t="n"/>
      <c r="PHD79" s="498" t="n"/>
      <c r="PHE79" s="498" t="n"/>
      <c r="PHF79" s="498" t="n"/>
      <c r="PHG79" s="498" t="n"/>
      <c r="PHH79" s="498" t="n"/>
      <c r="PHI79" s="498" t="n"/>
      <c r="PHJ79" s="498" t="n"/>
      <c r="PHK79" s="498" t="n"/>
      <c r="PHL79" s="498" t="n"/>
      <c r="PHM79" s="498" t="n"/>
      <c r="PHN79" s="498" t="n"/>
      <c r="PHO79" s="498" t="n"/>
      <c r="PHP79" s="498" t="n"/>
      <c r="PHQ79" s="498" t="n"/>
      <c r="PHR79" s="498" t="n"/>
      <c r="PHS79" s="498" t="n"/>
      <c r="PHT79" s="498" t="n"/>
      <c r="PHU79" s="498" t="n"/>
      <c r="PHV79" s="498" t="n"/>
      <c r="PHW79" s="498" t="n"/>
      <c r="PHX79" s="498" t="n"/>
      <c r="PHY79" s="498" t="n"/>
      <c r="PHZ79" s="498" t="n"/>
      <c r="PIA79" s="498" t="n"/>
      <c r="PIB79" s="498" t="n"/>
      <c r="PIC79" s="498" t="n"/>
      <c r="PID79" s="498" t="n"/>
      <c r="PIE79" s="498" t="n"/>
      <c r="PIF79" s="498" t="n"/>
      <c r="PIG79" s="498" t="n"/>
      <c r="PIH79" s="498" t="n"/>
      <c r="PII79" s="498" t="n"/>
      <c r="PIJ79" s="498" t="n"/>
      <c r="PIK79" s="498" t="n"/>
      <c r="PIL79" s="498" t="n"/>
      <c r="PIM79" s="498" t="n"/>
      <c r="PIN79" s="498" t="n"/>
      <c r="PIO79" s="498" t="n"/>
      <c r="PIP79" s="498" t="n"/>
      <c r="PIQ79" s="498" t="n"/>
      <c r="PIR79" s="498" t="n"/>
      <c r="PIS79" s="498" t="n"/>
      <c r="PIT79" s="498" t="n"/>
      <c r="PIU79" s="498" t="n"/>
      <c r="PIV79" s="498" t="n"/>
      <c r="PIW79" s="498" t="n"/>
      <c r="PIX79" s="498" t="n"/>
      <c r="PIY79" s="498" t="n"/>
      <c r="PIZ79" s="498" t="n"/>
      <c r="PJA79" s="498" t="n"/>
      <c r="PJB79" s="498" t="n"/>
      <c r="PJC79" s="498" t="n"/>
      <c r="PJD79" s="498" t="n"/>
      <c r="PJE79" s="498" t="n"/>
      <c r="PJF79" s="498" t="n"/>
      <c r="PJG79" s="498" t="n"/>
      <c r="PJH79" s="498" t="n"/>
      <c r="PJI79" s="498" t="n"/>
      <c r="PJJ79" s="498" t="n"/>
      <c r="PJK79" s="498" t="n"/>
      <c r="PJL79" s="498" t="n"/>
      <c r="PJM79" s="498" t="n"/>
      <c r="PJN79" s="498" t="n"/>
      <c r="PJO79" s="498" t="n"/>
      <c r="PJP79" s="498" t="n"/>
      <c r="PJQ79" s="498" t="n"/>
      <c r="PJR79" s="498" t="n"/>
      <c r="PJS79" s="498" t="n"/>
      <c r="PJT79" s="498" t="n"/>
      <c r="PJU79" s="498" t="n"/>
      <c r="PJV79" s="498" t="n"/>
      <c r="PJW79" s="498" t="n"/>
      <c r="PJX79" s="498" t="n"/>
      <c r="PJY79" s="498" t="n"/>
      <c r="PJZ79" s="498" t="n"/>
      <c r="PKA79" s="498" t="n"/>
      <c r="PKB79" s="498" t="n"/>
      <c r="PKC79" s="498" t="n"/>
      <c r="PKD79" s="498" t="n"/>
      <c r="PKE79" s="498" t="n"/>
      <c r="PKF79" s="498" t="n"/>
      <c r="PKG79" s="498" t="n"/>
      <c r="PKH79" s="498" t="n"/>
      <c r="PKI79" s="498" t="n"/>
      <c r="PKJ79" s="498" t="n"/>
      <c r="PKK79" s="498" t="n"/>
      <c r="PKL79" s="498" t="n"/>
      <c r="PKM79" s="498" t="n"/>
      <c r="PKN79" s="498" t="n"/>
      <c r="PKO79" s="498" t="n"/>
      <c r="PKP79" s="498" t="n"/>
      <c r="PKQ79" s="498" t="n"/>
      <c r="PKR79" s="498" t="n"/>
      <c r="PKS79" s="498" t="n"/>
      <c r="PKT79" s="498" t="n"/>
      <c r="PKU79" s="498" t="n"/>
      <c r="PKV79" s="498" t="n"/>
      <c r="PKW79" s="498" t="n"/>
      <c r="PKX79" s="498" t="n"/>
      <c r="PKY79" s="498" t="n"/>
      <c r="PKZ79" s="498" t="n"/>
      <c r="PLA79" s="498" t="n"/>
      <c r="PLB79" s="498" t="n"/>
      <c r="PLC79" s="498" t="n"/>
      <c r="PLD79" s="498" t="n"/>
      <c r="PLE79" s="498" t="n"/>
      <c r="PLF79" s="498" t="n"/>
      <c r="PLG79" s="498" t="n"/>
      <c r="PLH79" s="498" t="n"/>
      <c r="PLI79" s="498" t="n"/>
      <c r="PLJ79" s="498" t="n"/>
      <c r="PLK79" s="498" t="n"/>
      <c r="PLL79" s="498" t="n"/>
      <c r="PLM79" s="498" t="n"/>
      <c r="PLN79" s="498" t="n"/>
      <c r="PLO79" s="498" t="n"/>
      <c r="PLP79" s="498" t="n"/>
      <c r="PLQ79" s="498" t="n"/>
      <c r="PLR79" s="498" t="n"/>
      <c r="PLS79" s="498" t="n"/>
      <c r="PLT79" s="498" t="n"/>
      <c r="PLU79" s="498" t="n"/>
      <c r="PLV79" s="498" t="n"/>
      <c r="PLW79" s="498" t="n"/>
      <c r="PLX79" s="498" t="n"/>
      <c r="PLY79" s="498" t="n"/>
      <c r="PLZ79" s="498" t="n"/>
      <c r="PMA79" s="498" t="n"/>
      <c r="PMB79" s="498" t="n"/>
      <c r="PMC79" s="498" t="n"/>
      <c r="PMD79" s="498" t="n"/>
      <c r="PME79" s="498" t="n"/>
      <c r="PMF79" s="498" t="n"/>
      <c r="PMG79" s="498" t="n"/>
      <c r="PMH79" s="498" t="n"/>
      <c r="PMI79" s="498" t="n"/>
      <c r="PMJ79" s="498" t="n"/>
      <c r="PMK79" s="498" t="n"/>
      <c r="PML79" s="498" t="n"/>
      <c r="PMM79" s="498" t="n"/>
      <c r="PMN79" s="498" t="n"/>
      <c r="PMO79" s="498" t="n"/>
      <c r="PMP79" s="498" t="n"/>
      <c r="PMQ79" s="498" t="n"/>
      <c r="PMR79" s="498" t="n"/>
      <c r="PMS79" s="498" t="n"/>
      <c r="PMT79" s="498" t="n"/>
      <c r="PMU79" s="498" t="n"/>
      <c r="PMV79" s="498" t="n"/>
      <c r="PMW79" s="498" t="n"/>
      <c r="PMX79" s="498" t="n"/>
      <c r="PMY79" s="498" t="n"/>
      <c r="PMZ79" s="498" t="n"/>
      <c r="PNA79" s="498" t="n"/>
      <c r="PNB79" s="498" t="n"/>
      <c r="PNC79" s="498" t="n"/>
      <c r="PND79" s="498" t="n"/>
      <c r="PNE79" s="498" t="n"/>
      <c r="PNF79" s="498" t="n"/>
      <c r="PNG79" s="498" t="n"/>
      <c r="PNH79" s="498" t="n"/>
      <c r="PNI79" s="498" t="n"/>
      <c r="PNJ79" s="498" t="n"/>
      <c r="PNK79" s="498" t="n"/>
      <c r="PNL79" s="498" t="n"/>
      <c r="PNM79" s="498" t="n"/>
      <c r="PNN79" s="498" t="n"/>
      <c r="PNO79" s="498" t="n"/>
      <c r="PNP79" s="498" t="n"/>
      <c r="PNQ79" s="498" t="n"/>
      <c r="PNR79" s="498" t="n"/>
      <c r="PNS79" s="498" t="n"/>
      <c r="PNT79" s="498" t="n"/>
      <c r="PNU79" s="498" t="n"/>
      <c r="PNV79" s="498" t="n"/>
      <c r="PNW79" s="498" t="n"/>
      <c r="PNX79" s="498" t="n"/>
      <c r="PNY79" s="498" t="n"/>
      <c r="PNZ79" s="498" t="n"/>
      <c r="POA79" s="498" t="n"/>
      <c r="POB79" s="498" t="n"/>
      <c r="POC79" s="498" t="n"/>
      <c r="POD79" s="498" t="n"/>
      <c r="POE79" s="498" t="n"/>
      <c r="POF79" s="498" t="n"/>
      <c r="POG79" s="498" t="n"/>
      <c r="POH79" s="498" t="n"/>
      <c r="POI79" s="498" t="n"/>
      <c r="POJ79" s="498" t="n"/>
      <c r="POK79" s="498" t="n"/>
      <c r="POL79" s="498" t="n"/>
      <c r="POM79" s="498" t="n"/>
      <c r="PON79" s="498" t="n"/>
      <c r="POO79" s="498" t="n"/>
      <c r="POP79" s="498" t="n"/>
      <c r="POQ79" s="498" t="n"/>
      <c r="POR79" s="498" t="n"/>
      <c r="POS79" s="498" t="n"/>
      <c r="POT79" s="498" t="n"/>
      <c r="POU79" s="498" t="n"/>
      <c r="POV79" s="498" t="n"/>
      <c r="POW79" s="498" t="n"/>
      <c r="POX79" s="498" t="n"/>
      <c r="POY79" s="498" t="n"/>
      <c r="POZ79" s="498" t="n"/>
      <c r="PPA79" s="498" t="n"/>
      <c r="PPB79" s="498" t="n"/>
      <c r="PPC79" s="498" t="n"/>
      <c r="PPD79" s="498" t="n"/>
      <c r="PPE79" s="498" t="n"/>
      <c r="PPF79" s="498" t="n"/>
      <c r="PPG79" s="498" t="n"/>
      <c r="PPH79" s="498" t="n"/>
      <c r="PPI79" s="498" t="n"/>
      <c r="PPJ79" s="498" t="n"/>
      <c r="PPK79" s="498" t="n"/>
      <c r="PPL79" s="498" t="n"/>
      <c r="PPM79" s="498" t="n"/>
      <c r="PPN79" s="498" t="n"/>
      <c r="PPO79" s="498" t="n"/>
      <c r="PPP79" s="498" t="n"/>
      <c r="PPQ79" s="498" t="n"/>
      <c r="PPR79" s="498" t="n"/>
      <c r="PPS79" s="498" t="n"/>
      <c r="PPT79" s="498" t="n"/>
      <c r="PPU79" s="498" t="n"/>
      <c r="PPV79" s="498" t="n"/>
      <c r="PPW79" s="498" t="n"/>
      <c r="PPX79" s="498" t="n"/>
      <c r="PPY79" s="498" t="n"/>
      <c r="PPZ79" s="498" t="n"/>
      <c r="PQA79" s="498" t="n"/>
      <c r="PQB79" s="498" t="n"/>
      <c r="PQC79" s="498" t="n"/>
      <c r="PQD79" s="498" t="n"/>
      <c r="PQE79" s="498" t="n"/>
      <c r="PQF79" s="498" t="n"/>
      <c r="PQG79" s="498" t="n"/>
      <c r="PQH79" s="498" t="n"/>
      <c r="PQI79" s="498" t="n"/>
      <c r="PQJ79" s="498" t="n"/>
      <c r="PQK79" s="498" t="n"/>
      <c r="PQL79" s="498" t="n"/>
      <c r="PQM79" s="498" t="n"/>
      <c r="PQN79" s="498" t="n"/>
      <c r="PQO79" s="498" t="n"/>
      <c r="PQP79" s="498" t="n"/>
      <c r="PQQ79" s="498" t="n"/>
      <c r="PQR79" s="498" t="n"/>
      <c r="PQS79" s="498" t="n"/>
      <c r="PQT79" s="498" t="n"/>
      <c r="PQU79" s="498" t="n"/>
      <c r="PQV79" s="498" t="n"/>
      <c r="PQW79" s="498" t="n"/>
      <c r="PQX79" s="498" t="n"/>
      <c r="PQY79" s="498" t="n"/>
      <c r="PQZ79" s="498" t="n"/>
      <c r="PRA79" s="498" t="n"/>
      <c r="PRB79" s="498" t="n"/>
      <c r="PRC79" s="498" t="n"/>
      <c r="PRD79" s="498" t="n"/>
      <c r="PRE79" s="498" t="n"/>
      <c r="PRF79" s="498" t="n"/>
      <c r="PRG79" s="498" t="n"/>
      <c r="PRH79" s="498" t="n"/>
      <c r="PRI79" s="498" t="n"/>
      <c r="PRJ79" s="498" t="n"/>
      <c r="PRK79" s="498" t="n"/>
      <c r="PRL79" s="498" t="n"/>
      <c r="PRM79" s="498" t="n"/>
      <c r="PRN79" s="498" t="n"/>
      <c r="PRO79" s="498" t="n"/>
      <c r="PRP79" s="498" t="n"/>
      <c r="PRQ79" s="498" t="n"/>
      <c r="PRR79" s="498" t="n"/>
      <c r="PRS79" s="498" t="n"/>
      <c r="PRT79" s="498" t="n"/>
      <c r="PRU79" s="498" t="n"/>
      <c r="PRV79" s="498" t="n"/>
      <c r="PRW79" s="498" t="n"/>
      <c r="PRX79" s="498" t="n"/>
      <c r="PRY79" s="498" t="n"/>
      <c r="PRZ79" s="498" t="n"/>
      <c r="PSA79" s="498" t="n"/>
      <c r="PSB79" s="498" t="n"/>
      <c r="PSC79" s="498" t="n"/>
      <c r="PSD79" s="498" t="n"/>
      <c r="PSE79" s="498" t="n"/>
      <c r="PSF79" s="498" t="n"/>
      <c r="PSG79" s="498" t="n"/>
      <c r="PSH79" s="498" t="n"/>
      <c r="PSI79" s="498" t="n"/>
      <c r="PSJ79" s="498" t="n"/>
      <c r="PSK79" s="498" t="n"/>
      <c r="PSL79" s="498" t="n"/>
      <c r="PSM79" s="498" t="n"/>
      <c r="PSN79" s="498" t="n"/>
      <c r="PSO79" s="498" t="n"/>
      <c r="PSP79" s="498" t="n"/>
      <c r="PSQ79" s="498" t="n"/>
      <c r="PSR79" s="498" t="n"/>
      <c r="PSS79" s="498" t="n"/>
      <c r="PST79" s="498" t="n"/>
      <c r="PSU79" s="498" t="n"/>
      <c r="PSV79" s="498" t="n"/>
      <c r="PSW79" s="498" t="n"/>
      <c r="PSX79" s="498" t="n"/>
      <c r="PSY79" s="498" t="n"/>
      <c r="PSZ79" s="498" t="n"/>
      <c r="PTA79" s="498" t="n"/>
      <c r="PTB79" s="498" t="n"/>
      <c r="PTC79" s="498" t="n"/>
      <c r="PTD79" s="498" t="n"/>
      <c r="PTE79" s="498" t="n"/>
      <c r="PTF79" s="498" t="n"/>
      <c r="PTG79" s="498" t="n"/>
      <c r="PTH79" s="498" t="n"/>
      <c r="PTI79" s="498" t="n"/>
      <c r="PTJ79" s="498" t="n"/>
      <c r="PTK79" s="498" t="n"/>
      <c r="PTL79" s="498" t="n"/>
      <c r="PTM79" s="498" t="n"/>
      <c r="PTN79" s="498" t="n"/>
      <c r="PTO79" s="498" t="n"/>
      <c r="PTP79" s="498" t="n"/>
      <c r="PTQ79" s="498" t="n"/>
      <c r="PTR79" s="498" t="n"/>
      <c r="PTS79" s="498" t="n"/>
      <c r="PTT79" s="498" t="n"/>
      <c r="PTU79" s="498" t="n"/>
      <c r="PTV79" s="498" t="n"/>
      <c r="PTW79" s="498" t="n"/>
      <c r="PTX79" s="498" t="n"/>
      <c r="PTY79" s="498" t="n"/>
      <c r="PTZ79" s="498" t="n"/>
      <c r="PUA79" s="498" t="n"/>
      <c r="PUB79" s="498" t="n"/>
      <c r="PUC79" s="498" t="n"/>
      <c r="PUD79" s="498" t="n"/>
      <c r="PUE79" s="498" t="n"/>
      <c r="PUF79" s="498" t="n"/>
      <c r="PUG79" s="498" t="n"/>
      <c r="PUH79" s="498" t="n"/>
      <c r="PUI79" s="498" t="n"/>
      <c r="PUJ79" s="498" t="n"/>
      <c r="PUK79" s="498" t="n"/>
      <c r="PUL79" s="498" t="n"/>
      <c r="PUM79" s="498" t="n"/>
      <c r="PUN79" s="498" t="n"/>
      <c r="PUO79" s="498" t="n"/>
      <c r="PUP79" s="498" t="n"/>
      <c r="PUQ79" s="498" t="n"/>
      <c r="PUR79" s="498" t="n"/>
      <c r="PUS79" s="498" t="n"/>
      <c r="PUT79" s="498" t="n"/>
      <c r="PUU79" s="498" t="n"/>
      <c r="PUV79" s="498" t="n"/>
      <c r="PUW79" s="498" t="n"/>
      <c r="PUX79" s="498" t="n"/>
      <c r="PUY79" s="498" t="n"/>
      <c r="PUZ79" s="498" t="n"/>
      <c r="PVA79" s="498" t="n"/>
      <c r="PVB79" s="498" t="n"/>
      <c r="PVC79" s="498" t="n"/>
      <c r="PVD79" s="498" t="n"/>
      <c r="PVE79" s="498" t="n"/>
      <c r="PVF79" s="498" t="n"/>
      <c r="PVG79" s="498" t="n"/>
      <c r="PVH79" s="498" t="n"/>
      <c r="PVI79" s="498" t="n"/>
      <c r="PVJ79" s="498" t="n"/>
      <c r="PVK79" s="498" t="n"/>
      <c r="PVL79" s="498" t="n"/>
      <c r="PVM79" s="498" t="n"/>
      <c r="PVN79" s="498" t="n"/>
      <c r="PVO79" s="498" t="n"/>
      <c r="PVP79" s="498" t="n"/>
      <c r="PVQ79" s="498" t="n"/>
      <c r="PVR79" s="498" t="n"/>
      <c r="PVS79" s="498" t="n"/>
      <c r="PVT79" s="498" t="n"/>
      <c r="PVU79" s="498" t="n"/>
      <c r="PVV79" s="498" t="n"/>
      <c r="PVW79" s="498" t="n"/>
      <c r="PVX79" s="498" t="n"/>
      <c r="PVY79" s="498" t="n"/>
      <c r="PVZ79" s="498" t="n"/>
      <c r="PWA79" s="498" t="n"/>
      <c r="PWB79" s="498" t="n"/>
      <c r="PWC79" s="498" t="n"/>
      <c r="PWD79" s="498" t="n"/>
      <c r="PWE79" s="498" t="n"/>
      <c r="PWF79" s="498" t="n"/>
      <c r="PWG79" s="498" t="n"/>
      <c r="PWH79" s="498" t="n"/>
      <c r="PWI79" s="498" t="n"/>
      <c r="PWJ79" s="498" t="n"/>
      <c r="PWK79" s="498" t="n"/>
      <c r="PWL79" s="498" t="n"/>
      <c r="PWM79" s="498" t="n"/>
      <c r="PWN79" s="498" t="n"/>
      <c r="PWO79" s="498" t="n"/>
      <c r="PWP79" s="498" t="n"/>
      <c r="PWQ79" s="498" t="n"/>
      <c r="PWR79" s="498" t="n"/>
      <c r="PWS79" s="498" t="n"/>
      <c r="PWT79" s="498" t="n"/>
      <c r="PWU79" s="498" t="n"/>
      <c r="PWV79" s="498" t="n"/>
      <c r="PWW79" s="498" t="n"/>
      <c r="PWX79" s="498" t="n"/>
      <c r="PWY79" s="498" t="n"/>
      <c r="PWZ79" s="498" t="n"/>
      <c r="PXA79" s="498" t="n"/>
      <c r="PXB79" s="498" t="n"/>
      <c r="PXC79" s="498" t="n"/>
      <c r="PXD79" s="498" t="n"/>
      <c r="PXE79" s="498" t="n"/>
      <c r="PXF79" s="498" t="n"/>
      <c r="PXG79" s="498" t="n"/>
      <c r="PXH79" s="498" t="n"/>
      <c r="PXI79" s="498" t="n"/>
      <c r="PXJ79" s="498" t="n"/>
      <c r="PXK79" s="498" t="n"/>
      <c r="PXL79" s="498" t="n"/>
      <c r="PXM79" s="498" t="n"/>
      <c r="PXN79" s="498" t="n"/>
      <c r="PXO79" s="498" t="n"/>
      <c r="PXP79" s="498" t="n"/>
      <c r="PXQ79" s="498" t="n"/>
      <c r="PXR79" s="498" t="n"/>
      <c r="PXS79" s="498" t="n"/>
      <c r="PXT79" s="498" t="n"/>
      <c r="PXU79" s="498" t="n"/>
      <c r="PXV79" s="498" t="n"/>
      <c r="PXW79" s="498" t="n"/>
      <c r="PXX79" s="498" t="n"/>
      <c r="PXY79" s="498" t="n"/>
      <c r="PXZ79" s="498" t="n"/>
      <c r="PYA79" s="498" t="n"/>
      <c r="PYB79" s="498" t="n"/>
      <c r="PYC79" s="498" t="n"/>
      <c r="PYD79" s="498" t="n"/>
      <c r="PYE79" s="498" t="n"/>
      <c r="PYF79" s="498" t="n"/>
      <c r="PYG79" s="498" t="n"/>
      <c r="PYH79" s="498" t="n"/>
      <c r="PYI79" s="498" t="n"/>
      <c r="PYJ79" s="498" t="n"/>
      <c r="PYK79" s="498" t="n"/>
      <c r="PYL79" s="498" t="n"/>
      <c r="PYM79" s="498" t="n"/>
      <c r="PYN79" s="498" t="n"/>
      <c r="PYO79" s="498" t="n"/>
      <c r="PYP79" s="498" t="n"/>
      <c r="PYQ79" s="498" t="n"/>
      <c r="PYR79" s="498" t="n"/>
      <c r="PYS79" s="498" t="n"/>
      <c r="PYT79" s="498" t="n"/>
      <c r="PYU79" s="498" t="n"/>
      <c r="PYV79" s="498" t="n"/>
      <c r="PYW79" s="498" t="n"/>
      <c r="PYX79" s="498" t="n"/>
      <c r="PYY79" s="498" t="n"/>
      <c r="PYZ79" s="498" t="n"/>
      <c r="PZA79" s="498" t="n"/>
      <c r="PZB79" s="498" t="n"/>
      <c r="PZC79" s="498" t="n"/>
      <c r="PZD79" s="498" t="n"/>
      <c r="PZE79" s="498" t="n"/>
      <c r="PZF79" s="498" t="n"/>
      <c r="PZG79" s="498" t="n"/>
      <c r="PZH79" s="498" t="n"/>
      <c r="PZI79" s="498" t="n"/>
      <c r="PZJ79" s="498" t="n"/>
      <c r="PZK79" s="498" t="n"/>
      <c r="PZL79" s="498" t="n"/>
      <c r="PZM79" s="498" t="n"/>
      <c r="PZN79" s="498" t="n"/>
      <c r="PZO79" s="498" t="n"/>
      <c r="PZP79" s="498" t="n"/>
      <c r="PZQ79" s="498" t="n"/>
      <c r="PZR79" s="498" t="n"/>
      <c r="PZS79" s="498" t="n"/>
      <c r="PZT79" s="498" t="n"/>
      <c r="PZU79" s="498" t="n"/>
      <c r="PZV79" s="498" t="n"/>
      <c r="PZW79" s="498" t="n"/>
      <c r="PZX79" s="498" t="n"/>
      <c r="PZY79" s="498" t="n"/>
      <c r="PZZ79" s="498" t="n"/>
      <c r="QAA79" s="498" t="n"/>
      <c r="QAB79" s="498" t="n"/>
      <c r="QAC79" s="498" t="n"/>
      <c r="QAD79" s="498" t="n"/>
      <c r="QAE79" s="498" t="n"/>
      <c r="QAF79" s="498" t="n"/>
      <c r="QAG79" s="498" t="n"/>
      <c r="QAH79" s="498" t="n"/>
      <c r="QAI79" s="498" t="n"/>
      <c r="QAJ79" s="498" t="n"/>
      <c r="QAK79" s="498" t="n"/>
      <c r="QAL79" s="498" t="n"/>
      <c r="QAM79" s="498" t="n"/>
      <c r="QAN79" s="498" t="n"/>
      <c r="QAO79" s="498" t="n"/>
      <c r="QAP79" s="498" t="n"/>
      <c r="QAQ79" s="498" t="n"/>
      <c r="QAR79" s="498" t="n"/>
      <c r="QAS79" s="498" t="n"/>
      <c r="QAT79" s="498" t="n"/>
      <c r="QAU79" s="498" t="n"/>
      <c r="QAV79" s="498" t="n"/>
      <c r="QAW79" s="498" t="n"/>
      <c r="QAX79" s="498" t="n"/>
      <c r="QAY79" s="498" t="n"/>
      <c r="QAZ79" s="498" t="n"/>
      <c r="QBA79" s="498" t="n"/>
      <c r="QBB79" s="498" t="n"/>
      <c r="QBC79" s="498" t="n"/>
      <c r="QBD79" s="498" t="n"/>
      <c r="QBE79" s="498" t="n"/>
      <c r="QBF79" s="498" t="n"/>
      <c r="QBG79" s="498" t="n"/>
      <c r="QBH79" s="498" t="n"/>
      <c r="QBI79" s="498" t="n"/>
      <c r="QBJ79" s="498" t="n"/>
      <c r="QBK79" s="498" t="n"/>
      <c r="QBL79" s="498" t="n"/>
      <c r="QBM79" s="498" t="n"/>
      <c r="QBN79" s="498" t="n"/>
      <c r="QBO79" s="498" t="n"/>
      <c r="QBP79" s="498" t="n"/>
      <c r="QBQ79" s="498" t="n"/>
      <c r="QBR79" s="498" t="n"/>
      <c r="QBS79" s="498" t="n"/>
      <c r="QBT79" s="498" t="n"/>
      <c r="QBU79" s="498" t="n"/>
      <c r="QBV79" s="498" t="n"/>
      <c r="QBW79" s="498" t="n"/>
      <c r="QBX79" s="498" t="n"/>
      <c r="QBY79" s="498" t="n"/>
      <c r="QBZ79" s="498" t="n"/>
      <c r="QCA79" s="498" t="n"/>
      <c r="QCB79" s="498" t="n"/>
      <c r="QCC79" s="498" t="n"/>
      <c r="QCD79" s="498" t="n"/>
      <c r="QCE79" s="498" t="n"/>
      <c r="QCF79" s="498" t="n"/>
      <c r="QCG79" s="498" t="n"/>
      <c r="QCH79" s="498" t="n"/>
      <c r="QCI79" s="498" t="n"/>
      <c r="QCJ79" s="498" t="n"/>
      <c r="QCK79" s="498" t="n"/>
      <c r="QCL79" s="498" t="n"/>
      <c r="QCM79" s="498" t="n"/>
      <c r="QCN79" s="498" t="n"/>
      <c r="QCO79" s="498" t="n"/>
      <c r="QCP79" s="498" t="n"/>
      <c r="QCQ79" s="498" t="n"/>
      <c r="QCR79" s="498" t="n"/>
      <c r="QCS79" s="498" t="n"/>
      <c r="QCT79" s="498" t="n"/>
      <c r="QCU79" s="498" t="n"/>
      <c r="QCV79" s="498" t="n"/>
      <c r="QCW79" s="498" t="n"/>
      <c r="QCX79" s="498" t="n"/>
      <c r="QCY79" s="498" t="n"/>
      <c r="QCZ79" s="498" t="n"/>
      <c r="QDA79" s="498" t="n"/>
      <c r="QDB79" s="498" t="n"/>
      <c r="QDC79" s="498" t="n"/>
      <c r="QDD79" s="498" t="n"/>
      <c r="QDE79" s="498" t="n"/>
      <c r="QDF79" s="498" t="n"/>
      <c r="QDG79" s="498" t="n"/>
      <c r="QDH79" s="498" t="n"/>
      <c r="QDI79" s="498" t="n"/>
      <c r="QDJ79" s="498" t="n"/>
      <c r="QDK79" s="498" t="n"/>
      <c r="QDL79" s="498" t="n"/>
      <c r="QDM79" s="498" t="n"/>
      <c r="QDN79" s="498" t="n"/>
      <c r="QDO79" s="498" t="n"/>
      <c r="QDP79" s="498" t="n"/>
      <c r="QDQ79" s="498" t="n"/>
      <c r="QDR79" s="498" t="n"/>
      <c r="QDS79" s="498" t="n"/>
      <c r="QDT79" s="498" t="n"/>
      <c r="QDU79" s="498" t="n"/>
      <c r="QDV79" s="498" t="n"/>
      <c r="QDW79" s="498" t="n"/>
      <c r="QDX79" s="498" t="n"/>
      <c r="QDY79" s="498" t="n"/>
      <c r="QDZ79" s="498" t="n"/>
      <c r="QEA79" s="498" t="n"/>
      <c r="QEB79" s="498" t="n"/>
      <c r="QEC79" s="498" t="n"/>
      <c r="QED79" s="498" t="n"/>
      <c r="QEE79" s="498" t="n"/>
      <c r="QEF79" s="498" t="n"/>
      <c r="QEG79" s="498" t="n"/>
      <c r="QEH79" s="498" t="n"/>
      <c r="QEI79" s="498" t="n"/>
      <c r="QEJ79" s="498" t="n"/>
      <c r="QEK79" s="498" t="n"/>
      <c r="QEL79" s="498" t="n"/>
      <c r="QEM79" s="498" t="n"/>
      <c r="QEN79" s="498" t="n"/>
      <c r="QEO79" s="498" t="n"/>
      <c r="QEP79" s="498" t="n"/>
      <c r="QEQ79" s="498" t="n"/>
      <c r="QER79" s="498" t="n"/>
      <c r="QES79" s="498" t="n"/>
      <c r="QET79" s="498" t="n"/>
      <c r="QEU79" s="498" t="n"/>
      <c r="QEV79" s="498" t="n"/>
      <c r="QEW79" s="498" t="n"/>
      <c r="QEX79" s="498" t="n"/>
      <c r="QEY79" s="498" t="n"/>
      <c r="QEZ79" s="498" t="n"/>
      <c r="QFA79" s="498" t="n"/>
      <c r="QFB79" s="498" t="n"/>
      <c r="QFC79" s="498" t="n"/>
      <c r="QFD79" s="498" t="n"/>
      <c r="QFE79" s="498" t="n"/>
      <c r="QFF79" s="498" t="n"/>
      <c r="QFG79" s="498" t="n"/>
      <c r="QFH79" s="498" t="n"/>
      <c r="QFI79" s="498" t="n"/>
      <c r="QFJ79" s="498" t="n"/>
      <c r="QFK79" s="498" t="n"/>
      <c r="QFL79" s="498" t="n"/>
      <c r="QFM79" s="498" t="n"/>
      <c r="QFN79" s="498" t="n"/>
      <c r="QFO79" s="498" t="n"/>
      <c r="QFP79" s="498" t="n"/>
      <c r="QFQ79" s="498" t="n"/>
      <c r="QFR79" s="498" t="n"/>
      <c r="QFS79" s="498" t="n"/>
      <c r="QFT79" s="498" t="n"/>
      <c r="QFU79" s="498" t="n"/>
      <c r="QFV79" s="498" t="n"/>
      <c r="QFW79" s="498" t="n"/>
      <c r="QFX79" s="498" t="n"/>
      <c r="QFY79" s="498" t="n"/>
      <c r="QFZ79" s="498" t="n"/>
      <c r="QGA79" s="498" t="n"/>
      <c r="QGB79" s="498" t="n"/>
      <c r="QGC79" s="498" t="n"/>
      <c r="QGD79" s="498" t="n"/>
      <c r="QGE79" s="498" t="n"/>
      <c r="QGF79" s="498" t="n"/>
      <c r="QGG79" s="498" t="n"/>
      <c r="QGH79" s="498" t="n"/>
      <c r="QGI79" s="498" t="n"/>
      <c r="QGJ79" s="498" t="n"/>
      <c r="QGK79" s="498" t="n"/>
      <c r="QGL79" s="498" t="n"/>
      <c r="QGM79" s="498" t="n"/>
      <c r="QGN79" s="498" t="n"/>
      <c r="QGO79" s="498" t="n"/>
      <c r="QGP79" s="498" t="n"/>
      <c r="QGQ79" s="498" t="n"/>
      <c r="QGR79" s="498" t="n"/>
      <c r="QGS79" s="498" t="n"/>
      <c r="QGT79" s="498" t="n"/>
      <c r="QGU79" s="498" t="n"/>
      <c r="QGV79" s="498" t="n"/>
      <c r="QGW79" s="498" t="n"/>
      <c r="QGX79" s="498" t="n"/>
      <c r="QGY79" s="498" t="n"/>
      <c r="QGZ79" s="498" t="n"/>
      <c r="QHA79" s="498" t="n"/>
      <c r="QHB79" s="498" t="n"/>
      <c r="QHC79" s="498" t="n"/>
      <c r="QHD79" s="498" t="n"/>
      <c r="QHE79" s="498" t="n"/>
      <c r="QHF79" s="498" t="n"/>
      <c r="QHG79" s="498" t="n"/>
      <c r="QHH79" s="498" t="n"/>
      <c r="QHI79" s="498" t="n"/>
      <c r="QHJ79" s="498" t="n"/>
      <c r="QHK79" s="498" t="n"/>
      <c r="QHL79" s="498" t="n"/>
      <c r="QHM79" s="498" t="n"/>
      <c r="QHN79" s="498" t="n"/>
      <c r="QHO79" s="498" t="n"/>
      <c r="QHP79" s="498" t="n"/>
      <c r="QHQ79" s="498" t="n"/>
      <c r="QHR79" s="498" t="n"/>
      <c r="QHS79" s="498" t="n"/>
      <c r="QHT79" s="498" t="n"/>
      <c r="QHU79" s="498" t="n"/>
      <c r="QHV79" s="498" t="n"/>
      <c r="QHW79" s="498" t="n"/>
      <c r="QHX79" s="498" t="n"/>
      <c r="QHY79" s="498" t="n"/>
      <c r="QHZ79" s="498" t="n"/>
      <c r="QIA79" s="498" t="n"/>
      <c r="QIB79" s="498" t="n"/>
      <c r="QIC79" s="498" t="n"/>
      <c r="QID79" s="498" t="n"/>
      <c r="QIE79" s="498" t="n"/>
      <c r="QIF79" s="498" t="n"/>
      <c r="QIG79" s="498" t="n"/>
      <c r="QIH79" s="498" t="n"/>
      <c r="QII79" s="498" t="n"/>
      <c r="QIJ79" s="498" t="n"/>
      <c r="QIK79" s="498" t="n"/>
      <c r="QIL79" s="498" t="n"/>
      <c r="QIM79" s="498" t="n"/>
      <c r="QIN79" s="498" t="n"/>
      <c r="QIO79" s="498" t="n"/>
      <c r="QIP79" s="498" t="n"/>
      <c r="QIQ79" s="498" t="n"/>
      <c r="QIR79" s="498" t="n"/>
      <c r="QIS79" s="498" t="n"/>
      <c r="QIT79" s="498" t="n"/>
      <c r="QIU79" s="498" t="n"/>
      <c r="QIV79" s="498" t="n"/>
      <c r="QIW79" s="498" t="n"/>
      <c r="QIX79" s="498" t="n"/>
      <c r="QIY79" s="498" t="n"/>
      <c r="QIZ79" s="498" t="n"/>
      <c r="QJA79" s="498" t="n"/>
      <c r="QJB79" s="498" t="n"/>
      <c r="QJC79" s="498" t="n"/>
      <c r="QJD79" s="498" t="n"/>
      <c r="QJE79" s="498" t="n"/>
      <c r="QJF79" s="498" t="n"/>
      <c r="QJG79" s="498" t="n"/>
      <c r="QJH79" s="498" t="n"/>
      <c r="QJI79" s="498" t="n"/>
      <c r="QJJ79" s="498" t="n"/>
      <c r="QJK79" s="498" t="n"/>
      <c r="QJL79" s="498" t="n"/>
      <c r="QJM79" s="498" t="n"/>
      <c r="QJN79" s="498" t="n"/>
      <c r="QJO79" s="498" t="n"/>
      <c r="QJP79" s="498" t="n"/>
      <c r="QJQ79" s="498" t="n"/>
      <c r="QJR79" s="498" t="n"/>
      <c r="QJS79" s="498" t="n"/>
      <c r="QJT79" s="498" t="n"/>
      <c r="QJU79" s="498" t="n"/>
      <c r="QJV79" s="498" t="n"/>
      <c r="QJW79" s="498" t="n"/>
      <c r="QJX79" s="498" t="n"/>
      <c r="QJY79" s="498" t="n"/>
      <c r="QJZ79" s="498" t="n"/>
      <c r="QKA79" s="498" t="n"/>
      <c r="QKB79" s="498" t="n"/>
      <c r="QKC79" s="498" t="n"/>
      <c r="QKD79" s="498" t="n"/>
      <c r="QKE79" s="498" t="n"/>
      <c r="QKF79" s="498" t="n"/>
      <c r="QKG79" s="498" t="n"/>
      <c r="QKH79" s="498" t="n"/>
      <c r="QKI79" s="498" t="n"/>
      <c r="QKJ79" s="498" t="n"/>
      <c r="QKK79" s="498" t="n"/>
      <c r="QKL79" s="498" t="n"/>
      <c r="QKM79" s="498" t="n"/>
      <c r="QKN79" s="498" t="n"/>
      <c r="QKO79" s="498" t="n"/>
      <c r="QKP79" s="498" t="n"/>
      <c r="QKQ79" s="498" t="n"/>
      <c r="QKR79" s="498" t="n"/>
      <c r="QKS79" s="498" t="n"/>
      <c r="QKT79" s="498" t="n"/>
      <c r="QKU79" s="498" t="n"/>
      <c r="QKV79" s="498" t="n"/>
      <c r="QKW79" s="498" t="n"/>
      <c r="QKX79" s="498" t="n"/>
      <c r="QKY79" s="498" t="n"/>
      <c r="QKZ79" s="498" t="n"/>
      <c r="QLA79" s="498" t="n"/>
      <c r="QLB79" s="498" t="n"/>
      <c r="QLC79" s="498" t="n"/>
      <c r="QLD79" s="498" t="n"/>
      <c r="QLE79" s="498" t="n"/>
      <c r="QLF79" s="498" t="n"/>
      <c r="QLG79" s="498" t="n"/>
      <c r="QLH79" s="498" t="n"/>
      <c r="QLI79" s="498" t="n"/>
      <c r="QLJ79" s="498" t="n"/>
      <c r="QLK79" s="498" t="n"/>
      <c r="QLL79" s="498" t="n"/>
      <c r="QLM79" s="498" t="n"/>
      <c r="QLN79" s="498" t="n"/>
      <c r="QLO79" s="498" t="n"/>
      <c r="QLP79" s="498" t="n"/>
      <c r="QLQ79" s="498" t="n"/>
      <c r="QLR79" s="498" t="n"/>
      <c r="QLS79" s="498" t="n"/>
      <c r="QLT79" s="498" t="n"/>
      <c r="QLU79" s="498" t="n"/>
      <c r="QLV79" s="498" t="n"/>
      <c r="QLW79" s="498" t="n"/>
      <c r="QLX79" s="498" t="n"/>
      <c r="QLY79" s="498" t="n"/>
      <c r="QLZ79" s="498" t="n"/>
      <c r="QMA79" s="498" t="n"/>
      <c r="QMB79" s="498" t="n"/>
      <c r="QMC79" s="498" t="n"/>
      <c r="QMD79" s="498" t="n"/>
      <c r="QME79" s="498" t="n"/>
      <c r="QMF79" s="498" t="n"/>
      <c r="QMG79" s="498" t="n"/>
      <c r="QMH79" s="498" t="n"/>
      <c r="QMI79" s="498" t="n"/>
      <c r="QMJ79" s="498" t="n"/>
      <c r="QMK79" s="498" t="n"/>
      <c r="QML79" s="498" t="n"/>
      <c r="QMM79" s="498" t="n"/>
      <c r="QMN79" s="498" t="n"/>
      <c r="QMO79" s="498" t="n"/>
      <c r="QMP79" s="498" t="n"/>
      <c r="QMQ79" s="498" t="n"/>
      <c r="QMR79" s="498" t="n"/>
      <c r="QMS79" s="498" t="n"/>
      <c r="QMT79" s="498" t="n"/>
      <c r="QMU79" s="498" t="n"/>
      <c r="QMV79" s="498" t="n"/>
      <c r="QMW79" s="498" t="n"/>
      <c r="QMX79" s="498" t="n"/>
      <c r="QMY79" s="498" t="n"/>
      <c r="QMZ79" s="498" t="n"/>
      <c r="QNA79" s="498" t="n"/>
      <c r="QNB79" s="498" t="n"/>
      <c r="QNC79" s="498" t="n"/>
      <c r="QND79" s="498" t="n"/>
      <c r="QNE79" s="498" t="n"/>
      <c r="QNF79" s="498" t="n"/>
      <c r="QNG79" s="498" t="n"/>
      <c r="QNH79" s="498" t="n"/>
      <c r="QNI79" s="498" t="n"/>
      <c r="QNJ79" s="498" t="n"/>
      <c r="QNK79" s="498" t="n"/>
      <c r="QNL79" s="498" t="n"/>
      <c r="QNM79" s="498" t="n"/>
      <c r="QNN79" s="498" t="n"/>
      <c r="QNO79" s="498" t="n"/>
      <c r="QNP79" s="498" t="n"/>
      <c r="QNQ79" s="498" t="n"/>
      <c r="QNR79" s="498" t="n"/>
      <c r="QNS79" s="498" t="n"/>
      <c r="QNT79" s="498" t="n"/>
      <c r="QNU79" s="498" t="n"/>
      <c r="QNV79" s="498" t="n"/>
      <c r="QNW79" s="498" t="n"/>
      <c r="QNX79" s="498" t="n"/>
      <c r="QNY79" s="498" t="n"/>
      <c r="QNZ79" s="498" t="n"/>
      <c r="QOA79" s="498" t="n"/>
      <c r="QOB79" s="498" t="n"/>
      <c r="QOC79" s="498" t="n"/>
      <c r="QOD79" s="498" t="n"/>
      <c r="QOE79" s="498" t="n"/>
      <c r="QOF79" s="498" t="n"/>
      <c r="QOG79" s="498" t="n"/>
      <c r="QOH79" s="498" t="n"/>
      <c r="QOI79" s="498" t="n"/>
      <c r="QOJ79" s="498" t="n"/>
      <c r="QOK79" s="498" t="n"/>
      <c r="QOL79" s="498" t="n"/>
      <c r="QOM79" s="498" t="n"/>
      <c r="QON79" s="498" t="n"/>
      <c r="QOO79" s="498" t="n"/>
      <c r="QOP79" s="498" t="n"/>
      <c r="QOQ79" s="498" t="n"/>
      <c r="QOR79" s="498" t="n"/>
      <c r="QOS79" s="498" t="n"/>
      <c r="QOT79" s="498" t="n"/>
      <c r="QOU79" s="498" t="n"/>
      <c r="QOV79" s="498" t="n"/>
      <c r="QOW79" s="498" t="n"/>
      <c r="QOX79" s="498" t="n"/>
      <c r="QOY79" s="498" t="n"/>
      <c r="QOZ79" s="498" t="n"/>
      <c r="QPA79" s="498" t="n"/>
      <c r="QPB79" s="498" t="n"/>
      <c r="QPC79" s="498" t="n"/>
      <c r="QPD79" s="498" t="n"/>
      <c r="QPE79" s="498" t="n"/>
      <c r="QPF79" s="498" t="n"/>
      <c r="QPG79" s="498" t="n"/>
      <c r="QPH79" s="498" t="n"/>
      <c r="QPI79" s="498" t="n"/>
      <c r="QPJ79" s="498" t="n"/>
      <c r="QPK79" s="498" t="n"/>
      <c r="QPL79" s="498" t="n"/>
      <c r="QPM79" s="498" t="n"/>
      <c r="QPN79" s="498" t="n"/>
      <c r="QPO79" s="498" t="n"/>
      <c r="QPP79" s="498" t="n"/>
      <c r="QPQ79" s="498" t="n"/>
      <c r="QPR79" s="498" t="n"/>
      <c r="QPS79" s="498" t="n"/>
      <c r="QPT79" s="498" t="n"/>
      <c r="QPU79" s="498" t="n"/>
      <c r="QPV79" s="498" t="n"/>
      <c r="QPW79" s="498" t="n"/>
      <c r="QPX79" s="498" t="n"/>
      <c r="QPY79" s="498" t="n"/>
      <c r="QPZ79" s="498" t="n"/>
      <c r="QQA79" s="498" t="n"/>
      <c r="QQB79" s="498" t="n"/>
      <c r="QQC79" s="498" t="n"/>
      <c r="QQD79" s="498" t="n"/>
      <c r="QQE79" s="498" t="n"/>
      <c r="QQF79" s="498" t="n"/>
      <c r="QQG79" s="498" t="n"/>
      <c r="QQH79" s="498" t="n"/>
      <c r="QQI79" s="498" t="n"/>
      <c r="QQJ79" s="498" t="n"/>
      <c r="QQK79" s="498" t="n"/>
      <c r="QQL79" s="498" t="n"/>
      <c r="QQM79" s="498" t="n"/>
      <c r="QQN79" s="498" t="n"/>
      <c r="QQO79" s="498" t="n"/>
      <c r="QQP79" s="498" t="n"/>
      <c r="QQQ79" s="498" t="n"/>
      <c r="QQR79" s="498" t="n"/>
      <c r="QQS79" s="498" t="n"/>
      <c r="QQT79" s="498" t="n"/>
      <c r="QQU79" s="498" t="n"/>
      <c r="QQV79" s="498" t="n"/>
      <c r="QQW79" s="498" t="n"/>
      <c r="QQX79" s="498" t="n"/>
      <c r="QQY79" s="498" t="n"/>
      <c r="QQZ79" s="498" t="n"/>
      <c r="QRA79" s="498" t="n"/>
      <c r="QRB79" s="498" t="n"/>
      <c r="QRC79" s="498" t="n"/>
      <c r="QRD79" s="498" t="n"/>
      <c r="QRE79" s="498" t="n"/>
      <c r="QRF79" s="498" t="n"/>
      <c r="QRG79" s="498" t="n"/>
      <c r="QRH79" s="498" t="n"/>
      <c r="QRI79" s="498" t="n"/>
      <c r="QRJ79" s="498" t="n"/>
      <c r="QRK79" s="498" t="n"/>
      <c r="QRL79" s="498" t="n"/>
      <c r="QRM79" s="498" t="n"/>
      <c r="QRN79" s="498" t="n"/>
      <c r="QRO79" s="498" t="n"/>
      <c r="QRP79" s="498" t="n"/>
      <c r="QRQ79" s="498" t="n"/>
      <c r="QRR79" s="498" t="n"/>
      <c r="QRS79" s="498" t="n"/>
      <c r="QRT79" s="498" t="n"/>
      <c r="QRU79" s="498" t="n"/>
      <c r="QRV79" s="498" t="n"/>
      <c r="QRW79" s="498" t="n"/>
      <c r="QRX79" s="498" t="n"/>
      <c r="QRY79" s="498" t="n"/>
      <c r="QRZ79" s="498" t="n"/>
      <c r="QSA79" s="498" t="n"/>
      <c r="QSB79" s="498" t="n"/>
      <c r="QSC79" s="498" t="n"/>
      <c r="QSD79" s="498" t="n"/>
      <c r="QSE79" s="498" t="n"/>
      <c r="QSF79" s="498" t="n"/>
      <c r="QSG79" s="498" t="n"/>
      <c r="QSH79" s="498" t="n"/>
      <c r="QSI79" s="498" t="n"/>
      <c r="QSJ79" s="498" t="n"/>
      <c r="QSK79" s="498" t="n"/>
      <c r="QSL79" s="498" t="n"/>
      <c r="QSM79" s="498" t="n"/>
      <c r="QSN79" s="498" t="n"/>
      <c r="QSO79" s="498" t="n"/>
      <c r="QSP79" s="498" t="n"/>
      <c r="QSQ79" s="498" t="n"/>
      <c r="QSR79" s="498" t="n"/>
      <c r="QSS79" s="498" t="n"/>
      <c r="QST79" s="498" t="n"/>
      <c r="QSU79" s="498" t="n"/>
      <c r="QSV79" s="498" t="n"/>
      <c r="QSW79" s="498" t="n"/>
      <c r="QSX79" s="498" t="n"/>
      <c r="QSY79" s="498" t="n"/>
      <c r="QSZ79" s="498" t="n"/>
      <c r="QTA79" s="498" t="n"/>
      <c r="QTB79" s="498" t="n"/>
      <c r="QTC79" s="498" t="n"/>
      <c r="QTD79" s="498" t="n"/>
      <c r="QTE79" s="498" t="n"/>
      <c r="QTF79" s="498" t="n"/>
      <c r="QTG79" s="498" t="n"/>
      <c r="QTH79" s="498" t="n"/>
      <c r="QTI79" s="498" t="n"/>
      <c r="QTJ79" s="498" t="n"/>
      <c r="QTK79" s="498" t="n"/>
      <c r="QTL79" s="498" t="n"/>
      <c r="QTM79" s="498" t="n"/>
      <c r="QTN79" s="498" t="n"/>
      <c r="QTO79" s="498" t="n"/>
      <c r="QTP79" s="498" t="n"/>
      <c r="QTQ79" s="498" t="n"/>
      <c r="QTR79" s="498" t="n"/>
      <c r="QTS79" s="498" t="n"/>
      <c r="QTT79" s="498" t="n"/>
      <c r="QTU79" s="498" t="n"/>
      <c r="QTV79" s="498" t="n"/>
      <c r="QTW79" s="498" t="n"/>
      <c r="QTX79" s="498" t="n"/>
      <c r="QTY79" s="498" t="n"/>
      <c r="QTZ79" s="498" t="n"/>
      <c r="QUA79" s="498" t="n"/>
      <c r="QUB79" s="498" t="n"/>
      <c r="QUC79" s="498" t="n"/>
      <c r="QUD79" s="498" t="n"/>
      <c r="QUE79" s="498" t="n"/>
      <c r="QUF79" s="498" t="n"/>
      <c r="QUG79" s="498" t="n"/>
      <c r="QUH79" s="498" t="n"/>
      <c r="QUI79" s="498" t="n"/>
      <c r="QUJ79" s="498" t="n"/>
      <c r="QUK79" s="498" t="n"/>
      <c r="QUL79" s="498" t="n"/>
      <c r="QUM79" s="498" t="n"/>
      <c r="QUN79" s="498" t="n"/>
      <c r="QUO79" s="498" t="n"/>
      <c r="QUP79" s="498" t="n"/>
      <c r="QUQ79" s="498" t="n"/>
      <c r="QUR79" s="498" t="n"/>
      <c r="QUS79" s="498" t="n"/>
      <c r="QUT79" s="498" t="n"/>
      <c r="QUU79" s="498" t="n"/>
      <c r="QUV79" s="498" t="n"/>
      <c r="QUW79" s="498" t="n"/>
      <c r="QUX79" s="498" t="n"/>
      <c r="QUY79" s="498" t="n"/>
      <c r="QUZ79" s="498" t="n"/>
      <c r="QVA79" s="498" t="n"/>
      <c r="QVB79" s="498" t="n"/>
      <c r="QVC79" s="498" t="n"/>
      <c r="QVD79" s="498" t="n"/>
      <c r="QVE79" s="498" t="n"/>
      <c r="QVF79" s="498" t="n"/>
      <c r="QVG79" s="498" t="n"/>
      <c r="QVH79" s="498" t="n"/>
      <c r="QVI79" s="498" t="n"/>
      <c r="QVJ79" s="498" t="n"/>
      <c r="QVK79" s="498" t="n"/>
      <c r="QVL79" s="498" t="n"/>
      <c r="QVM79" s="498" t="n"/>
      <c r="QVN79" s="498" t="n"/>
      <c r="QVO79" s="498" t="n"/>
      <c r="QVP79" s="498" t="n"/>
      <c r="QVQ79" s="498" t="n"/>
      <c r="QVR79" s="498" t="n"/>
      <c r="QVS79" s="498" t="n"/>
      <c r="QVT79" s="498" t="n"/>
      <c r="QVU79" s="498" t="n"/>
      <c r="QVV79" s="498" t="n"/>
      <c r="QVW79" s="498" t="n"/>
      <c r="QVX79" s="498" t="n"/>
      <c r="QVY79" s="498" t="n"/>
      <c r="QVZ79" s="498" t="n"/>
      <c r="QWA79" s="498" t="n"/>
      <c r="QWB79" s="498" t="n"/>
      <c r="QWC79" s="498" t="n"/>
      <c r="QWD79" s="498" t="n"/>
      <c r="QWE79" s="498" t="n"/>
      <c r="QWF79" s="498" t="n"/>
      <c r="QWG79" s="498" t="n"/>
      <c r="QWH79" s="498" t="n"/>
      <c r="QWI79" s="498" t="n"/>
      <c r="QWJ79" s="498" t="n"/>
      <c r="QWK79" s="498" t="n"/>
      <c r="QWL79" s="498" t="n"/>
      <c r="QWM79" s="498" t="n"/>
      <c r="QWN79" s="498" t="n"/>
      <c r="QWO79" s="498" t="n"/>
      <c r="QWP79" s="498" t="n"/>
      <c r="QWQ79" s="498" t="n"/>
      <c r="QWR79" s="498" t="n"/>
      <c r="QWS79" s="498" t="n"/>
      <c r="QWT79" s="498" t="n"/>
      <c r="QWU79" s="498" t="n"/>
      <c r="QWV79" s="498" t="n"/>
      <c r="QWW79" s="498" t="n"/>
      <c r="QWX79" s="498" t="n"/>
      <c r="QWY79" s="498" t="n"/>
      <c r="QWZ79" s="498" t="n"/>
      <c r="QXA79" s="498" t="n"/>
      <c r="QXB79" s="498" t="n"/>
      <c r="QXC79" s="498" t="n"/>
      <c r="QXD79" s="498" t="n"/>
      <c r="QXE79" s="498" t="n"/>
      <c r="QXF79" s="498" t="n"/>
      <c r="QXG79" s="498" t="n"/>
      <c r="QXH79" s="498" t="n"/>
      <c r="QXI79" s="498" t="n"/>
      <c r="QXJ79" s="498" t="n"/>
      <c r="QXK79" s="498" t="n"/>
      <c r="QXL79" s="498" t="n"/>
      <c r="QXM79" s="498" t="n"/>
      <c r="QXN79" s="498" t="n"/>
      <c r="QXO79" s="498" t="n"/>
      <c r="QXP79" s="498" t="n"/>
      <c r="QXQ79" s="498" t="n"/>
      <c r="QXR79" s="498" t="n"/>
      <c r="QXS79" s="498" t="n"/>
      <c r="QXT79" s="498" t="n"/>
      <c r="QXU79" s="498" t="n"/>
      <c r="QXV79" s="498" t="n"/>
      <c r="QXW79" s="498" t="n"/>
      <c r="QXX79" s="498" t="n"/>
      <c r="QXY79" s="498" t="n"/>
      <c r="QXZ79" s="498" t="n"/>
      <c r="QYA79" s="498" t="n"/>
      <c r="QYB79" s="498" t="n"/>
      <c r="QYC79" s="498" t="n"/>
      <c r="QYD79" s="498" t="n"/>
      <c r="QYE79" s="498" t="n"/>
      <c r="QYF79" s="498" t="n"/>
      <c r="QYG79" s="498" t="n"/>
      <c r="QYH79" s="498" t="n"/>
      <c r="QYI79" s="498" t="n"/>
      <c r="QYJ79" s="498" t="n"/>
      <c r="QYK79" s="498" t="n"/>
      <c r="QYL79" s="498" t="n"/>
      <c r="QYM79" s="498" t="n"/>
      <c r="QYN79" s="498" t="n"/>
      <c r="QYO79" s="498" t="n"/>
      <c r="QYP79" s="498" t="n"/>
      <c r="QYQ79" s="498" t="n"/>
      <c r="QYR79" s="498" t="n"/>
      <c r="QYS79" s="498" t="n"/>
      <c r="QYT79" s="498" t="n"/>
      <c r="QYU79" s="498" t="n"/>
      <c r="QYV79" s="498" t="n"/>
      <c r="QYW79" s="498" t="n"/>
      <c r="QYX79" s="498" t="n"/>
      <c r="QYY79" s="498" t="n"/>
      <c r="QYZ79" s="498" t="n"/>
      <c r="QZA79" s="498" t="n"/>
      <c r="QZB79" s="498" t="n"/>
      <c r="QZC79" s="498" t="n"/>
      <c r="QZD79" s="498" t="n"/>
      <c r="QZE79" s="498" t="n"/>
      <c r="QZF79" s="498" t="n"/>
      <c r="QZG79" s="498" t="n"/>
      <c r="QZH79" s="498" t="n"/>
      <c r="QZI79" s="498" t="n"/>
      <c r="QZJ79" s="498" t="n"/>
      <c r="QZK79" s="498" t="n"/>
      <c r="QZL79" s="498" t="n"/>
      <c r="QZM79" s="498" t="n"/>
      <c r="QZN79" s="498" t="n"/>
      <c r="QZO79" s="498" t="n"/>
      <c r="QZP79" s="498" t="n"/>
      <c r="QZQ79" s="498" t="n"/>
      <c r="QZR79" s="498" t="n"/>
      <c r="QZS79" s="498" t="n"/>
      <c r="QZT79" s="498" t="n"/>
      <c r="QZU79" s="498" t="n"/>
      <c r="QZV79" s="498" t="n"/>
      <c r="QZW79" s="498" t="n"/>
      <c r="QZX79" s="498" t="n"/>
      <c r="QZY79" s="498" t="n"/>
      <c r="QZZ79" s="498" t="n"/>
      <c r="RAA79" s="498" t="n"/>
      <c r="RAB79" s="498" t="n"/>
      <c r="RAC79" s="498" t="n"/>
      <c r="RAD79" s="498" t="n"/>
      <c r="RAE79" s="498" t="n"/>
      <c r="RAF79" s="498" t="n"/>
      <c r="RAG79" s="498" t="n"/>
      <c r="RAH79" s="498" t="n"/>
      <c r="RAI79" s="498" t="n"/>
      <c r="RAJ79" s="498" t="n"/>
      <c r="RAK79" s="498" t="n"/>
      <c r="RAL79" s="498" t="n"/>
      <c r="RAM79" s="498" t="n"/>
      <c r="RAN79" s="498" t="n"/>
      <c r="RAO79" s="498" t="n"/>
      <c r="RAP79" s="498" t="n"/>
      <c r="RAQ79" s="498" t="n"/>
      <c r="RAR79" s="498" t="n"/>
      <c r="RAS79" s="498" t="n"/>
      <c r="RAT79" s="498" t="n"/>
      <c r="RAU79" s="498" t="n"/>
      <c r="RAV79" s="498" t="n"/>
      <c r="RAW79" s="498" t="n"/>
      <c r="RAX79" s="498" t="n"/>
      <c r="RAY79" s="498" t="n"/>
      <c r="RAZ79" s="498" t="n"/>
      <c r="RBA79" s="498" t="n"/>
      <c r="RBB79" s="498" t="n"/>
      <c r="RBC79" s="498" t="n"/>
      <c r="RBD79" s="498" t="n"/>
      <c r="RBE79" s="498" t="n"/>
      <c r="RBF79" s="498" t="n"/>
      <c r="RBG79" s="498" t="n"/>
      <c r="RBH79" s="498" t="n"/>
      <c r="RBI79" s="498" t="n"/>
      <c r="RBJ79" s="498" t="n"/>
      <c r="RBK79" s="498" t="n"/>
      <c r="RBL79" s="498" t="n"/>
      <c r="RBM79" s="498" t="n"/>
      <c r="RBN79" s="498" t="n"/>
      <c r="RBO79" s="498" t="n"/>
      <c r="RBP79" s="498" t="n"/>
      <c r="RBQ79" s="498" t="n"/>
      <c r="RBR79" s="498" t="n"/>
      <c r="RBS79" s="498" t="n"/>
      <c r="RBT79" s="498" t="n"/>
      <c r="RBU79" s="498" t="n"/>
      <c r="RBV79" s="498" t="n"/>
      <c r="RBW79" s="498" t="n"/>
      <c r="RBX79" s="498" t="n"/>
      <c r="RBY79" s="498" t="n"/>
      <c r="RBZ79" s="498" t="n"/>
      <c r="RCA79" s="498" t="n"/>
      <c r="RCB79" s="498" t="n"/>
      <c r="RCC79" s="498" t="n"/>
      <c r="RCD79" s="498" t="n"/>
      <c r="RCE79" s="498" t="n"/>
      <c r="RCF79" s="498" t="n"/>
      <c r="RCG79" s="498" t="n"/>
      <c r="RCH79" s="498" t="n"/>
      <c r="RCI79" s="498" t="n"/>
      <c r="RCJ79" s="498" t="n"/>
      <c r="RCK79" s="498" t="n"/>
      <c r="RCL79" s="498" t="n"/>
      <c r="RCM79" s="498" t="n"/>
      <c r="RCN79" s="498" t="n"/>
      <c r="RCO79" s="498" t="n"/>
      <c r="RCP79" s="498" t="n"/>
      <c r="RCQ79" s="498" t="n"/>
      <c r="RCR79" s="498" t="n"/>
      <c r="RCS79" s="498" t="n"/>
      <c r="RCT79" s="498" t="n"/>
      <c r="RCU79" s="498" t="n"/>
      <c r="RCV79" s="498" t="n"/>
      <c r="RCW79" s="498" t="n"/>
      <c r="RCX79" s="498" t="n"/>
      <c r="RCY79" s="498" t="n"/>
      <c r="RCZ79" s="498" t="n"/>
      <c r="RDA79" s="498" t="n"/>
      <c r="RDB79" s="498" t="n"/>
      <c r="RDC79" s="498" t="n"/>
      <c r="RDD79" s="498" t="n"/>
      <c r="RDE79" s="498" t="n"/>
      <c r="RDF79" s="498" t="n"/>
      <c r="RDG79" s="498" t="n"/>
      <c r="RDH79" s="498" t="n"/>
      <c r="RDI79" s="498" t="n"/>
      <c r="RDJ79" s="498" t="n"/>
      <c r="RDK79" s="498" t="n"/>
      <c r="RDL79" s="498" t="n"/>
      <c r="RDM79" s="498" t="n"/>
      <c r="RDN79" s="498" t="n"/>
      <c r="RDO79" s="498" t="n"/>
      <c r="RDP79" s="498" t="n"/>
      <c r="RDQ79" s="498" t="n"/>
      <c r="RDR79" s="498" t="n"/>
      <c r="RDS79" s="498" t="n"/>
      <c r="RDT79" s="498" t="n"/>
      <c r="RDU79" s="498" t="n"/>
      <c r="RDV79" s="498" t="n"/>
      <c r="RDW79" s="498" t="n"/>
      <c r="RDX79" s="498" t="n"/>
      <c r="RDY79" s="498" t="n"/>
      <c r="RDZ79" s="498" t="n"/>
      <c r="REA79" s="498" t="n"/>
      <c r="REB79" s="498" t="n"/>
      <c r="REC79" s="498" t="n"/>
      <c r="RED79" s="498" t="n"/>
      <c r="REE79" s="498" t="n"/>
      <c r="REF79" s="498" t="n"/>
      <c r="REG79" s="498" t="n"/>
      <c r="REH79" s="498" t="n"/>
      <c r="REI79" s="498" t="n"/>
      <c r="REJ79" s="498" t="n"/>
      <c r="REK79" s="498" t="n"/>
      <c r="REL79" s="498" t="n"/>
      <c r="REM79" s="498" t="n"/>
      <c r="REN79" s="498" t="n"/>
      <c r="REO79" s="498" t="n"/>
      <c r="REP79" s="498" t="n"/>
      <c r="REQ79" s="498" t="n"/>
      <c r="RER79" s="498" t="n"/>
      <c r="RES79" s="498" t="n"/>
      <c r="RET79" s="498" t="n"/>
      <c r="REU79" s="498" t="n"/>
      <c r="REV79" s="498" t="n"/>
      <c r="REW79" s="498" t="n"/>
      <c r="REX79" s="498" t="n"/>
      <c r="REY79" s="498" t="n"/>
      <c r="REZ79" s="498" t="n"/>
      <c r="RFA79" s="498" t="n"/>
      <c r="RFB79" s="498" t="n"/>
      <c r="RFC79" s="498" t="n"/>
      <c r="RFD79" s="498" t="n"/>
      <c r="RFE79" s="498" t="n"/>
      <c r="RFF79" s="498" t="n"/>
      <c r="RFG79" s="498" t="n"/>
      <c r="RFH79" s="498" t="n"/>
      <c r="RFI79" s="498" t="n"/>
      <c r="RFJ79" s="498" t="n"/>
      <c r="RFK79" s="498" t="n"/>
      <c r="RFL79" s="498" t="n"/>
      <c r="RFM79" s="498" t="n"/>
      <c r="RFN79" s="498" t="n"/>
      <c r="RFO79" s="498" t="n"/>
      <c r="RFP79" s="498" t="n"/>
      <c r="RFQ79" s="498" t="n"/>
      <c r="RFR79" s="498" t="n"/>
      <c r="RFS79" s="498" t="n"/>
      <c r="RFT79" s="498" t="n"/>
      <c r="RFU79" s="498" t="n"/>
      <c r="RFV79" s="498" t="n"/>
      <c r="RFW79" s="498" t="n"/>
      <c r="RFX79" s="498" t="n"/>
      <c r="RFY79" s="498" t="n"/>
      <c r="RFZ79" s="498" t="n"/>
      <c r="RGA79" s="498" t="n"/>
      <c r="RGB79" s="498" t="n"/>
      <c r="RGC79" s="498" t="n"/>
      <c r="RGD79" s="498" t="n"/>
      <c r="RGE79" s="498" t="n"/>
      <c r="RGF79" s="498" t="n"/>
      <c r="RGG79" s="498" t="n"/>
      <c r="RGH79" s="498" t="n"/>
      <c r="RGI79" s="498" t="n"/>
      <c r="RGJ79" s="498" t="n"/>
      <c r="RGK79" s="498" t="n"/>
      <c r="RGL79" s="498" t="n"/>
      <c r="RGM79" s="498" t="n"/>
      <c r="RGN79" s="498" t="n"/>
      <c r="RGO79" s="498" t="n"/>
      <c r="RGP79" s="498" t="n"/>
      <c r="RGQ79" s="498" t="n"/>
      <c r="RGR79" s="498" t="n"/>
      <c r="RGS79" s="498" t="n"/>
      <c r="RGT79" s="498" t="n"/>
      <c r="RGU79" s="498" t="n"/>
      <c r="RGV79" s="498" t="n"/>
      <c r="RGW79" s="498" t="n"/>
      <c r="RGX79" s="498" t="n"/>
      <c r="RGY79" s="498" t="n"/>
      <c r="RGZ79" s="498" t="n"/>
      <c r="RHA79" s="498" t="n"/>
      <c r="RHB79" s="498" t="n"/>
      <c r="RHC79" s="498" t="n"/>
      <c r="RHD79" s="498" t="n"/>
      <c r="RHE79" s="498" t="n"/>
      <c r="RHF79" s="498" t="n"/>
      <c r="RHG79" s="498" t="n"/>
      <c r="RHH79" s="498" t="n"/>
      <c r="RHI79" s="498" t="n"/>
      <c r="RHJ79" s="498" t="n"/>
      <c r="RHK79" s="498" t="n"/>
      <c r="RHL79" s="498" t="n"/>
      <c r="RHM79" s="498" t="n"/>
      <c r="RHN79" s="498" t="n"/>
      <c r="RHO79" s="498" t="n"/>
      <c r="RHP79" s="498" t="n"/>
      <c r="RHQ79" s="498" t="n"/>
      <c r="RHR79" s="498" t="n"/>
      <c r="RHS79" s="498" t="n"/>
      <c r="RHT79" s="498" t="n"/>
      <c r="RHU79" s="498" t="n"/>
      <c r="RHV79" s="498" t="n"/>
      <c r="RHW79" s="498" t="n"/>
      <c r="RHX79" s="498" t="n"/>
      <c r="RHY79" s="498" t="n"/>
      <c r="RHZ79" s="498" t="n"/>
      <c r="RIA79" s="498" t="n"/>
      <c r="RIB79" s="498" t="n"/>
      <c r="RIC79" s="498" t="n"/>
      <c r="RID79" s="498" t="n"/>
      <c r="RIE79" s="498" t="n"/>
      <c r="RIF79" s="498" t="n"/>
      <c r="RIG79" s="498" t="n"/>
      <c r="RIH79" s="498" t="n"/>
      <c r="RII79" s="498" t="n"/>
      <c r="RIJ79" s="498" t="n"/>
      <c r="RIK79" s="498" t="n"/>
      <c r="RIL79" s="498" t="n"/>
      <c r="RIM79" s="498" t="n"/>
      <c r="RIN79" s="498" t="n"/>
      <c r="RIO79" s="498" t="n"/>
      <c r="RIP79" s="498" t="n"/>
      <c r="RIQ79" s="498" t="n"/>
      <c r="RIR79" s="498" t="n"/>
      <c r="RIS79" s="498" t="n"/>
      <c r="RIT79" s="498" t="n"/>
      <c r="RIU79" s="498" t="n"/>
      <c r="RIV79" s="498" t="n"/>
      <c r="RIW79" s="498" t="n"/>
      <c r="RIX79" s="498" t="n"/>
      <c r="RIY79" s="498" t="n"/>
      <c r="RIZ79" s="498" t="n"/>
      <c r="RJA79" s="498" t="n"/>
      <c r="RJB79" s="498" t="n"/>
      <c r="RJC79" s="498" t="n"/>
      <c r="RJD79" s="498" t="n"/>
      <c r="RJE79" s="498" t="n"/>
      <c r="RJF79" s="498" t="n"/>
      <c r="RJG79" s="498" t="n"/>
      <c r="RJH79" s="498" t="n"/>
      <c r="RJI79" s="498" t="n"/>
      <c r="RJJ79" s="498" t="n"/>
      <c r="RJK79" s="498" t="n"/>
      <c r="RJL79" s="498" t="n"/>
      <c r="RJM79" s="498" t="n"/>
      <c r="RJN79" s="498" t="n"/>
      <c r="RJO79" s="498" t="n"/>
      <c r="RJP79" s="498" t="n"/>
      <c r="RJQ79" s="498" t="n"/>
      <c r="RJR79" s="498" t="n"/>
      <c r="RJS79" s="498" t="n"/>
      <c r="RJT79" s="498" t="n"/>
      <c r="RJU79" s="498" t="n"/>
      <c r="RJV79" s="498" t="n"/>
      <c r="RJW79" s="498" t="n"/>
      <c r="RJX79" s="498" t="n"/>
      <c r="RJY79" s="498" t="n"/>
      <c r="RJZ79" s="498" t="n"/>
      <c r="RKA79" s="498" t="n"/>
      <c r="RKB79" s="498" t="n"/>
      <c r="RKC79" s="498" t="n"/>
      <c r="RKD79" s="498" t="n"/>
      <c r="RKE79" s="498" t="n"/>
      <c r="RKF79" s="498" t="n"/>
      <c r="RKG79" s="498" t="n"/>
      <c r="RKH79" s="498" t="n"/>
      <c r="RKI79" s="498" t="n"/>
      <c r="RKJ79" s="498" t="n"/>
      <c r="RKK79" s="498" t="n"/>
      <c r="RKL79" s="498" t="n"/>
      <c r="RKM79" s="498" t="n"/>
      <c r="RKN79" s="498" t="n"/>
      <c r="RKO79" s="498" t="n"/>
      <c r="RKP79" s="498" t="n"/>
      <c r="RKQ79" s="498" t="n"/>
      <c r="RKR79" s="498" t="n"/>
      <c r="RKS79" s="498" t="n"/>
      <c r="RKT79" s="498" t="n"/>
      <c r="RKU79" s="498" t="n"/>
      <c r="RKV79" s="498" t="n"/>
      <c r="RKW79" s="498" t="n"/>
      <c r="RKX79" s="498" t="n"/>
      <c r="RKY79" s="498" t="n"/>
      <c r="RKZ79" s="498" t="n"/>
      <c r="RLA79" s="498" t="n"/>
      <c r="RLB79" s="498" t="n"/>
      <c r="RLC79" s="498" t="n"/>
      <c r="RLD79" s="498" t="n"/>
      <c r="RLE79" s="498" t="n"/>
      <c r="RLF79" s="498" t="n"/>
      <c r="RLG79" s="498" t="n"/>
      <c r="RLH79" s="498" t="n"/>
      <c r="RLI79" s="498" t="n"/>
      <c r="RLJ79" s="498" t="n"/>
      <c r="RLK79" s="498" t="n"/>
      <c r="RLL79" s="498" t="n"/>
      <c r="RLM79" s="498" t="n"/>
      <c r="RLN79" s="498" t="n"/>
      <c r="RLO79" s="498" t="n"/>
      <c r="RLP79" s="498" t="n"/>
      <c r="RLQ79" s="498" t="n"/>
      <c r="RLR79" s="498" t="n"/>
      <c r="RLS79" s="498" t="n"/>
      <c r="RLT79" s="498" t="n"/>
      <c r="RLU79" s="498" t="n"/>
      <c r="RLV79" s="498" t="n"/>
      <c r="RLW79" s="498" t="n"/>
      <c r="RLX79" s="498" t="n"/>
      <c r="RLY79" s="498" t="n"/>
      <c r="RLZ79" s="498" t="n"/>
      <c r="RMA79" s="498" t="n"/>
      <c r="RMB79" s="498" t="n"/>
      <c r="RMC79" s="498" t="n"/>
      <c r="RMD79" s="498" t="n"/>
      <c r="RME79" s="498" t="n"/>
      <c r="RMF79" s="498" t="n"/>
      <c r="RMG79" s="498" t="n"/>
      <c r="RMH79" s="498" t="n"/>
      <c r="RMI79" s="498" t="n"/>
      <c r="RMJ79" s="498" t="n"/>
      <c r="RMK79" s="498" t="n"/>
      <c r="RML79" s="498" t="n"/>
      <c r="RMM79" s="498" t="n"/>
      <c r="RMN79" s="498" t="n"/>
      <c r="RMO79" s="498" t="n"/>
      <c r="RMP79" s="498" t="n"/>
      <c r="RMQ79" s="498" t="n"/>
      <c r="RMR79" s="498" t="n"/>
      <c r="RMS79" s="498" t="n"/>
      <c r="RMT79" s="498" t="n"/>
      <c r="RMU79" s="498" t="n"/>
      <c r="RMV79" s="498" t="n"/>
      <c r="RMW79" s="498" t="n"/>
      <c r="RMX79" s="498" t="n"/>
      <c r="RMY79" s="498" t="n"/>
      <c r="RMZ79" s="498" t="n"/>
      <c r="RNA79" s="498" t="n"/>
      <c r="RNB79" s="498" t="n"/>
      <c r="RNC79" s="498" t="n"/>
      <c r="RND79" s="498" t="n"/>
      <c r="RNE79" s="498" t="n"/>
      <c r="RNF79" s="498" t="n"/>
      <c r="RNG79" s="498" t="n"/>
      <c r="RNH79" s="498" t="n"/>
      <c r="RNI79" s="498" t="n"/>
      <c r="RNJ79" s="498" t="n"/>
      <c r="RNK79" s="498" t="n"/>
      <c r="RNL79" s="498" t="n"/>
      <c r="RNM79" s="498" t="n"/>
      <c r="RNN79" s="498" t="n"/>
      <c r="RNO79" s="498" t="n"/>
      <c r="RNP79" s="498" t="n"/>
      <c r="RNQ79" s="498" t="n"/>
      <c r="RNR79" s="498" t="n"/>
      <c r="RNS79" s="498" t="n"/>
      <c r="RNT79" s="498" t="n"/>
      <c r="RNU79" s="498" t="n"/>
      <c r="RNV79" s="498" t="n"/>
      <c r="RNW79" s="498" t="n"/>
      <c r="RNX79" s="498" t="n"/>
      <c r="RNY79" s="498" t="n"/>
      <c r="RNZ79" s="498" t="n"/>
      <c r="ROA79" s="498" t="n"/>
      <c r="ROB79" s="498" t="n"/>
      <c r="ROC79" s="498" t="n"/>
      <c r="ROD79" s="498" t="n"/>
      <c r="ROE79" s="498" t="n"/>
      <c r="ROF79" s="498" t="n"/>
      <c r="ROG79" s="498" t="n"/>
      <c r="ROH79" s="498" t="n"/>
      <c r="ROI79" s="498" t="n"/>
      <c r="ROJ79" s="498" t="n"/>
      <c r="ROK79" s="498" t="n"/>
      <c r="ROL79" s="498" t="n"/>
      <c r="ROM79" s="498" t="n"/>
      <c r="RON79" s="498" t="n"/>
      <c r="ROO79" s="498" t="n"/>
      <c r="ROP79" s="498" t="n"/>
      <c r="ROQ79" s="498" t="n"/>
      <c r="ROR79" s="498" t="n"/>
      <c r="ROS79" s="498" t="n"/>
      <c r="ROT79" s="498" t="n"/>
      <c r="ROU79" s="498" t="n"/>
      <c r="ROV79" s="498" t="n"/>
      <c r="ROW79" s="498" t="n"/>
      <c r="ROX79" s="498" t="n"/>
      <c r="ROY79" s="498" t="n"/>
      <c r="ROZ79" s="498" t="n"/>
      <c r="RPA79" s="498" t="n"/>
      <c r="RPB79" s="498" t="n"/>
      <c r="RPC79" s="498" t="n"/>
      <c r="RPD79" s="498" t="n"/>
      <c r="RPE79" s="498" t="n"/>
      <c r="RPF79" s="498" t="n"/>
      <c r="RPG79" s="498" t="n"/>
      <c r="RPH79" s="498" t="n"/>
      <c r="RPI79" s="498" t="n"/>
      <c r="RPJ79" s="498" t="n"/>
      <c r="RPK79" s="498" t="n"/>
      <c r="RPL79" s="498" t="n"/>
      <c r="RPM79" s="498" t="n"/>
      <c r="RPN79" s="498" t="n"/>
      <c r="RPO79" s="498" t="n"/>
      <c r="RPP79" s="498" t="n"/>
      <c r="RPQ79" s="498" t="n"/>
      <c r="RPR79" s="498" t="n"/>
      <c r="RPS79" s="498" t="n"/>
      <c r="RPT79" s="498" t="n"/>
      <c r="RPU79" s="498" t="n"/>
      <c r="RPV79" s="498" t="n"/>
      <c r="RPW79" s="498" t="n"/>
      <c r="RPX79" s="498" t="n"/>
      <c r="RPY79" s="498" t="n"/>
      <c r="RPZ79" s="498" t="n"/>
      <c r="RQA79" s="498" t="n"/>
      <c r="RQB79" s="498" t="n"/>
      <c r="RQC79" s="498" t="n"/>
      <c r="RQD79" s="498" t="n"/>
      <c r="RQE79" s="498" t="n"/>
      <c r="RQF79" s="498" t="n"/>
      <c r="RQG79" s="498" t="n"/>
      <c r="RQH79" s="498" t="n"/>
      <c r="RQI79" s="498" t="n"/>
      <c r="RQJ79" s="498" t="n"/>
      <c r="RQK79" s="498" t="n"/>
      <c r="RQL79" s="498" t="n"/>
      <c r="RQM79" s="498" t="n"/>
      <c r="RQN79" s="498" t="n"/>
      <c r="RQO79" s="498" t="n"/>
      <c r="RQP79" s="498" t="n"/>
      <c r="RQQ79" s="498" t="n"/>
      <c r="RQR79" s="498" t="n"/>
      <c r="RQS79" s="498" t="n"/>
      <c r="RQT79" s="498" t="n"/>
      <c r="RQU79" s="498" t="n"/>
      <c r="RQV79" s="498" t="n"/>
      <c r="RQW79" s="498" t="n"/>
      <c r="RQX79" s="498" t="n"/>
      <c r="RQY79" s="498" t="n"/>
      <c r="RQZ79" s="498" t="n"/>
      <c r="RRA79" s="498" t="n"/>
      <c r="RRB79" s="498" t="n"/>
      <c r="RRC79" s="498" t="n"/>
      <c r="RRD79" s="498" t="n"/>
      <c r="RRE79" s="498" t="n"/>
      <c r="RRF79" s="498" t="n"/>
      <c r="RRG79" s="498" t="n"/>
      <c r="RRH79" s="498" t="n"/>
      <c r="RRI79" s="498" t="n"/>
      <c r="RRJ79" s="498" t="n"/>
      <c r="RRK79" s="498" t="n"/>
      <c r="RRL79" s="498" t="n"/>
      <c r="RRM79" s="498" t="n"/>
      <c r="RRN79" s="498" t="n"/>
      <c r="RRO79" s="498" t="n"/>
      <c r="RRP79" s="498" t="n"/>
      <c r="RRQ79" s="498" t="n"/>
      <c r="RRR79" s="498" t="n"/>
      <c r="RRS79" s="498" t="n"/>
      <c r="RRT79" s="498" t="n"/>
      <c r="RRU79" s="498" t="n"/>
      <c r="RRV79" s="498" t="n"/>
      <c r="RRW79" s="498" t="n"/>
      <c r="RRX79" s="498" t="n"/>
      <c r="RRY79" s="498" t="n"/>
      <c r="RRZ79" s="498" t="n"/>
      <c r="RSA79" s="498" t="n"/>
      <c r="RSB79" s="498" t="n"/>
      <c r="RSC79" s="498" t="n"/>
      <c r="RSD79" s="498" t="n"/>
      <c r="RSE79" s="498" t="n"/>
      <c r="RSF79" s="498" t="n"/>
      <c r="RSG79" s="498" t="n"/>
      <c r="RSH79" s="498" t="n"/>
      <c r="RSI79" s="498" t="n"/>
      <c r="RSJ79" s="498" t="n"/>
      <c r="RSK79" s="498" t="n"/>
      <c r="RSL79" s="498" t="n"/>
      <c r="RSM79" s="498" t="n"/>
      <c r="RSN79" s="498" t="n"/>
      <c r="RSO79" s="498" t="n"/>
      <c r="RSP79" s="498" t="n"/>
      <c r="RSQ79" s="498" t="n"/>
      <c r="RSR79" s="498" t="n"/>
      <c r="RSS79" s="498" t="n"/>
      <c r="RST79" s="498" t="n"/>
      <c r="RSU79" s="498" t="n"/>
      <c r="RSV79" s="498" t="n"/>
      <c r="RSW79" s="498" t="n"/>
      <c r="RSX79" s="498" t="n"/>
      <c r="RSY79" s="498" t="n"/>
      <c r="RSZ79" s="498" t="n"/>
      <c r="RTA79" s="498" t="n"/>
      <c r="RTB79" s="498" t="n"/>
      <c r="RTC79" s="498" t="n"/>
      <c r="RTD79" s="498" t="n"/>
      <c r="RTE79" s="498" t="n"/>
      <c r="RTF79" s="498" t="n"/>
      <c r="RTG79" s="498" t="n"/>
      <c r="RTH79" s="498" t="n"/>
      <c r="RTI79" s="498" t="n"/>
      <c r="RTJ79" s="498" t="n"/>
      <c r="RTK79" s="498" t="n"/>
      <c r="RTL79" s="498" t="n"/>
      <c r="RTM79" s="498" t="n"/>
      <c r="RTN79" s="498" t="n"/>
      <c r="RTO79" s="498" t="n"/>
      <c r="RTP79" s="498" t="n"/>
      <c r="RTQ79" s="498" t="n"/>
      <c r="RTR79" s="498" t="n"/>
      <c r="RTS79" s="498" t="n"/>
      <c r="RTT79" s="498" t="n"/>
      <c r="RTU79" s="498" t="n"/>
      <c r="RTV79" s="498" t="n"/>
      <c r="RTW79" s="498" t="n"/>
      <c r="RTX79" s="498" t="n"/>
      <c r="RTY79" s="498" t="n"/>
      <c r="RTZ79" s="498" t="n"/>
      <c r="RUA79" s="498" t="n"/>
      <c r="RUB79" s="498" t="n"/>
      <c r="RUC79" s="498" t="n"/>
      <c r="RUD79" s="498" t="n"/>
      <c r="RUE79" s="498" t="n"/>
      <c r="RUF79" s="498" t="n"/>
      <c r="RUG79" s="498" t="n"/>
      <c r="RUH79" s="498" t="n"/>
      <c r="RUI79" s="498" t="n"/>
      <c r="RUJ79" s="498" t="n"/>
      <c r="RUK79" s="498" t="n"/>
      <c r="RUL79" s="498" t="n"/>
      <c r="RUM79" s="498" t="n"/>
      <c r="RUN79" s="498" t="n"/>
      <c r="RUO79" s="498" t="n"/>
      <c r="RUP79" s="498" t="n"/>
      <c r="RUQ79" s="498" t="n"/>
      <c r="RUR79" s="498" t="n"/>
      <c r="RUS79" s="498" t="n"/>
      <c r="RUT79" s="498" t="n"/>
      <c r="RUU79" s="498" t="n"/>
      <c r="RUV79" s="498" t="n"/>
      <c r="RUW79" s="498" t="n"/>
      <c r="RUX79" s="498" t="n"/>
      <c r="RUY79" s="498" t="n"/>
      <c r="RUZ79" s="498" t="n"/>
      <c r="RVA79" s="498" t="n"/>
      <c r="RVB79" s="498" t="n"/>
      <c r="RVC79" s="498" t="n"/>
      <c r="RVD79" s="498" t="n"/>
      <c r="RVE79" s="498" t="n"/>
      <c r="RVF79" s="498" t="n"/>
      <c r="RVG79" s="498" t="n"/>
      <c r="RVH79" s="498" t="n"/>
      <c r="RVI79" s="498" t="n"/>
      <c r="RVJ79" s="498" t="n"/>
      <c r="RVK79" s="498" t="n"/>
      <c r="RVL79" s="498" t="n"/>
      <c r="RVM79" s="498" t="n"/>
      <c r="RVN79" s="498" t="n"/>
      <c r="RVO79" s="498" t="n"/>
      <c r="RVP79" s="498" t="n"/>
      <c r="RVQ79" s="498" t="n"/>
      <c r="RVR79" s="498" t="n"/>
      <c r="RVS79" s="498" t="n"/>
      <c r="RVT79" s="498" t="n"/>
      <c r="RVU79" s="498" t="n"/>
      <c r="RVV79" s="498" t="n"/>
      <c r="RVW79" s="498" t="n"/>
      <c r="RVX79" s="498" t="n"/>
      <c r="RVY79" s="498" t="n"/>
      <c r="RVZ79" s="498" t="n"/>
      <c r="RWA79" s="498" t="n"/>
      <c r="RWB79" s="498" t="n"/>
      <c r="RWC79" s="498" t="n"/>
      <c r="RWD79" s="498" t="n"/>
      <c r="RWE79" s="498" t="n"/>
      <c r="RWF79" s="498" t="n"/>
      <c r="RWG79" s="498" t="n"/>
      <c r="RWH79" s="498" t="n"/>
      <c r="RWI79" s="498" t="n"/>
      <c r="RWJ79" s="498" t="n"/>
      <c r="RWK79" s="498" t="n"/>
      <c r="RWL79" s="498" t="n"/>
      <c r="RWM79" s="498" t="n"/>
      <c r="RWN79" s="498" t="n"/>
      <c r="RWO79" s="498" t="n"/>
      <c r="RWP79" s="498" t="n"/>
      <c r="RWQ79" s="498" t="n"/>
      <c r="RWR79" s="498" t="n"/>
      <c r="RWS79" s="498" t="n"/>
      <c r="RWT79" s="498" t="n"/>
      <c r="RWU79" s="498" t="n"/>
      <c r="RWV79" s="498" t="n"/>
      <c r="RWW79" s="498" t="n"/>
      <c r="RWX79" s="498" t="n"/>
      <c r="RWY79" s="498" t="n"/>
      <c r="RWZ79" s="498" t="n"/>
      <c r="RXA79" s="498" t="n"/>
      <c r="RXB79" s="498" t="n"/>
      <c r="RXC79" s="498" t="n"/>
      <c r="RXD79" s="498" t="n"/>
      <c r="RXE79" s="498" t="n"/>
      <c r="RXF79" s="498" t="n"/>
      <c r="RXG79" s="498" t="n"/>
      <c r="RXH79" s="498" t="n"/>
      <c r="RXI79" s="498" t="n"/>
      <c r="RXJ79" s="498" t="n"/>
      <c r="RXK79" s="498" t="n"/>
      <c r="RXL79" s="498" t="n"/>
      <c r="RXM79" s="498" t="n"/>
      <c r="RXN79" s="498" t="n"/>
      <c r="RXO79" s="498" t="n"/>
      <c r="RXP79" s="498" t="n"/>
      <c r="RXQ79" s="498" t="n"/>
      <c r="RXR79" s="498" t="n"/>
      <c r="RXS79" s="498" t="n"/>
      <c r="RXT79" s="498" t="n"/>
      <c r="RXU79" s="498" t="n"/>
      <c r="RXV79" s="498" t="n"/>
      <c r="RXW79" s="498" t="n"/>
      <c r="RXX79" s="498" t="n"/>
      <c r="RXY79" s="498" t="n"/>
      <c r="RXZ79" s="498" t="n"/>
      <c r="RYA79" s="498" t="n"/>
      <c r="RYB79" s="498" t="n"/>
      <c r="RYC79" s="498" t="n"/>
      <c r="RYD79" s="498" t="n"/>
      <c r="RYE79" s="498" t="n"/>
      <c r="RYF79" s="498" t="n"/>
      <c r="RYG79" s="498" t="n"/>
      <c r="RYH79" s="498" t="n"/>
      <c r="RYI79" s="498" t="n"/>
      <c r="RYJ79" s="498" t="n"/>
      <c r="RYK79" s="498" t="n"/>
      <c r="RYL79" s="498" t="n"/>
      <c r="RYM79" s="498" t="n"/>
      <c r="RYN79" s="498" t="n"/>
      <c r="RYO79" s="498" t="n"/>
      <c r="RYP79" s="498" t="n"/>
      <c r="RYQ79" s="498" t="n"/>
      <c r="RYR79" s="498" t="n"/>
      <c r="RYS79" s="498" t="n"/>
      <c r="RYT79" s="498" t="n"/>
      <c r="RYU79" s="498" t="n"/>
      <c r="RYV79" s="498" t="n"/>
      <c r="RYW79" s="498" t="n"/>
      <c r="RYX79" s="498" t="n"/>
      <c r="RYY79" s="498" t="n"/>
      <c r="RYZ79" s="498" t="n"/>
      <c r="RZA79" s="498" t="n"/>
      <c r="RZB79" s="498" t="n"/>
      <c r="RZC79" s="498" t="n"/>
      <c r="RZD79" s="498" t="n"/>
      <c r="RZE79" s="498" t="n"/>
      <c r="RZF79" s="498" t="n"/>
      <c r="RZG79" s="498" t="n"/>
      <c r="RZH79" s="498" t="n"/>
      <c r="RZI79" s="498" t="n"/>
      <c r="RZJ79" s="498" t="n"/>
      <c r="RZK79" s="498" t="n"/>
      <c r="RZL79" s="498" t="n"/>
      <c r="RZM79" s="498" t="n"/>
      <c r="RZN79" s="498" t="n"/>
      <c r="RZO79" s="498" t="n"/>
      <c r="RZP79" s="498" t="n"/>
      <c r="RZQ79" s="498" t="n"/>
      <c r="RZR79" s="498" t="n"/>
      <c r="RZS79" s="498" t="n"/>
      <c r="RZT79" s="498" t="n"/>
      <c r="RZU79" s="498" t="n"/>
      <c r="RZV79" s="498" t="n"/>
      <c r="RZW79" s="498" t="n"/>
      <c r="RZX79" s="498" t="n"/>
      <c r="RZY79" s="498" t="n"/>
      <c r="RZZ79" s="498" t="n"/>
      <c r="SAA79" s="498" t="n"/>
      <c r="SAB79" s="498" t="n"/>
      <c r="SAC79" s="498" t="n"/>
      <c r="SAD79" s="498" t="n"/>
      <c r="SAE79" s="498" t="n"/>
      <c r="SAF79" s="498" t="n"/>
      <c r="SAG79" s="498" t="n"/>
      <c r="SAH79" s="498" t="n"/>
      <c r="SAI79" s="498" t="n"/>
      <c r="SAJ79" s="498" t="n"/>
      <c r="SAK79" s="498" t="n"/>
      <c r="SAL79" s="498" t="n"/>
      <c r="SAM79" s="498" t="n"/>
      <c r="SAN79" s="498" t="n"/>
      <c r="SAO79" s="498" t="n"/>
      <c r="SAP79" s="498" t="n"/>
      <c r="SAQ79" s="498" t="n"/>
      <c r="SAR79" s="498" t="n"/>
      <c r="SAS79" s="498" t="n"/>
      <c r="SAT79" s="498" t="n"/>
      <c r="SAU79" s="498" t="n"/>
      <c r="SAV79" s="498" t="n"/>
      <c r="SAW79" s="498" t="n"/>
      <c r="SAX79" s="498" t="n"/>
      <c r="SAY79" s="498" t="n"/>
      <c r="SAZ79" s="498" t="n"/>
      <c r="SBA79" s="498" t="n"/>
      <c r="SBB79" s="498" t="n"/>
      <c r="SBC79" s="498" t="n"/>
      <c r="SBD79" s="498" t="n"/>
      <c r="SBE79" s="498" t="n"/>
      <c r="SBF79" s="498" t="n"/>
      <c r="SBG79" s="498" t="n"/>
      <c r="SBH79" s="498" t="n"/>
      <c r="SBI79" s="498" t="n"/>
      <c r="SBJ79" s="498" t="n"/>
      <c r="SBK79" s="498" t="n"/>
      <c r="SBL79" s="498" t="n"/>
      <c r="SBM79" s="498" t="n"/>
      <c r="SBN79" s="498" t="n"/>
      <c r="SBO79" s="498" t="n"/>
      <c r="SBP79" s="498" t="n"/>
      <c r="SBQ79" s="498" t="n"/>
      <c r="SBR79" s="498" t="n"/>
      <c r="SBS79" s="498" t="n"/>
      <c r="SBT79" s="498" t="n"/>
      <c r="SBU79" s="498" t="n"/>
      <c r="SBV79" s="498" t="n"/>
      <c r="SBW79" s="498" t="n"/>
      <c r="SBX79" s="498" t="n"/>
      <c r="SBY79" s="498" t="n"/>
      <c r="SBZ79" s="498" t="n"/>
      <c r="SCA79" s="498" t="n"/>
      <c r="SCB79" s="498" t="n"/>
      <c r="SCC79" s="498" t="n"/>
      <c r="SCD79" s="498" t="n"/>
      <c r="SCE79" s="498" t="n"/>
      <c r="SCF79" s="498" t="n"/>
      <c r="SCG79" s="498" t="n"/>
      <c r="SCH79" s="498" t="n"/>
      <c r="SCI79" s="498" t="n"/>
      <c r="SCJ79" s="498" t="n"/>
      <c r="SCK79" s="498" t="n"/>
      <c r="SCL79" s="498" t="n"/>
      <c r="SCM79" s="498" t="n"/>
      <c r="SCN79" s="498" t="n"/>
      <c r="SCO79" s="498" t="n"/>
      <c r="SCP79" s="498" t="n"/>
      <c r="SCQ79" s="498" t="n"/>
      <c r="SCR79" s="498" t="n"/>
      <c r="SCS79" s="498" t="n"/>
      <c r="SCT79" s="498" t="n"/>
      <c r="SCU79" s="498" t="n"/>
      <c r="SCV79" s="498" t="n"/>
      <c r="SCW79" s="498" t="n"/>
      <c r="SCX79" s="498" t="n"/>
      <c r="SCY79" s="498" t="n"/>
      <c r="SCZ79" s="498" t="n"/>
      <c r="SDA79" s="498" t="n"/>
      <c r="SDB79" s="498" t="n"/>
      <c r="SDC79" s="498" t="n"/>
      <c r="SDD79" s="498" t="n"/>
      <c r="SDE79" s="498" t="n"/>
      <c r="SDF79" s="498" t="n"/>
      <c r="SDG79" s="498" t="n"/>
      <c r="SDH79" s="498" t="n"/>
      <c r="SDI79" s="498" t="n"/>
      <c r="SDJ79" s="498" t="n"/>
      <c r="SDK79" s="498" t="n"/>
      <c r="SDL79" s="498" t="n"/>
      <c r="SDM79" s="498" t="n"/>
      <c r="SDN79" s="498" t="n"/>
      <c r="SDO79" s="498" t="n"/>
      <c r="SDP79" s="498" t="n"/>
      <c r="SDQ79" s="498" t="n"/>
      <c r="SDR79" s="498" t="n"/>
      <c r="SDS79" s="498" t="n"/>
      <c r="SDT79" s="498" t="n"/>
      <c r="SDU79" s="498" t="n"/>
      <c r="SDV79" s="498" t="n"/>
      <c r="SDW79" s="498" t="n"/>
      <c r="SDX79" s="498" t="n"/>
      <c r="SDY79" s="498" t="n"/>
      <c r="SDZ79" s="498" t="n"/>
      <c r="SEA79" s="498" t="n"/>
      <c r="SEB79" s="498" t="n"/>
      <c r="SEC79" s="498" t="n"/>
      <c r="SED79" s="498" t="n"/>
      <c r="SEE79" s="498" t="n"/>
      <c r="SEF79" s="498" t="n"/>
      <c r="SEG79" s="498" t="n"/>
      <c r="SEH79" s="498" t="n"/>
      <c r="SEI79" s="498" t="n"/>
      <c r="SEJ79" s="498" t="n"/>
      <c r="SEK79" s="498" t="n"/>
      <c r="SEL79" s="498" t="n"/>
      <c r="SEM79" s="498" t="n"/>
      <c r="SEN79" s="498" t="n"/>
      <c r="SEO79" s="498" t="n"/>
      <c r="SEP79" s="498" t="n"/>
      <c r="SEQ79" s="498" t="n"/>
      <c r="SER79" s="498" t="n"/>
      <c r="SES79" s="498" t="n"/>
      <c r="SET79" s="498" t="n"/>
      <c r="SEU79" s="498" t="n"/>
      <c r="SEV79" s="498" t="n"/>
      <c r="SEW79" s="498" t="n"/>
      <c r="SEX79" s="498" t="n"/>
      <c r="SEY79" s="498" t="n"/>
      <c r="SEZ79" s="498" t="n"/>
      <c r="SFA79" s="498" t="n"/>
      <c r="SFB79" s="498" t="n"/>
      <c r="SFC79" s="498" t="n"/>
      <c r="SFD79" s="498" t="n"/>
      <c r="SFE79" s="498" t="n"/>
      <c r="SFF79" s="498" t="n"/>
      <c r="SFG79" s="498" t="n"/>
      <c r="SFH79" s="498" t="n"/>
      <c r="SFI79" s="498" t="n"/>
      <c r="SFJ79" s="498" t="n"/>
      <c r="SFK79" s="498" t="n"/>
      <c r="SFL79" s="498" t="n"/>
      <c r="SFM79" s="498" t="n"/>
      <c r="SFN79" s="498" t="n"/>
      <c r="SFO79" s="498" t="n"/>
      <c r="SFP79" s="498" t="n"/>
      <c r="SFQ79" s="498" t="n"/>
      <c r="SFR79" s="498" t="n"/>
      <c r="SFS79" s="498" t="n"/>
      <c r="SFT79" s="498" t="n"/>
      <c r="SFU79" s="498" t="n"/>
      <c r="SFV79" s="498" t="n"/>
      <c r="SFW79" s="498" t="n"/>
      <c r="SFX79" s="498" t="n"/>
      <c r="SFY79" s="498" t="n"/>
      <c r="SFZ79" s="498" t="n"/>
      <c r="SGA79" s="498" t="n"/>
      <c r="SGB79" s="498" t="n"/>
      <c r="SGC79" s="498" t="n"/>
      <c r="SGD79" s="498" t="n"/>
      <c r="SGE79" s="498" t="n"/>
      <c r="SGF79" s="498" t="n"/>
      <c r="SGG79" s="498" t="n"/>
      <c r="SGH79" s="498" t="n"/>
      <c r="SGI79" s="498" t="n"/>
      <c r="SGJ79" s="498" t="n"/>
      <c r="SGK79" s="498" t="n"/>
      <c r="SGL79" s="498" t="n"/>
      <c r="SGM79" s="498" t="n"/>
      <c r="SGN79" s="498" t="n"/>
      <c r="SGO79" s="498" t="n"/>
      <c r="SGP79" s="498" t="n"/>
      <c r="SGQ79" s="498" t="n"/>
      <c r="SGR79" s="498" t="n"/>
      <c r="SGS79" s="498" t="n"/>
      <c r="SGT79" s="498" t="n"/>
      <c r="SGU79" s="498" t="n"/>
      <c r="SGV79" s="498" t="n"/>
      <c r="SGW79" s="498" t="n"/>
      <c r="SGX79" s="498" t="n"/>
      <c r="SGY79" s="498" t="n"/>
      <c r="SGZ79" s="498" t="n"/>
      <c r="SHA79" s="498" t="n"/>
      <c r="SHB79" s="498" t="n"/>
      <c r="SHC79" s="498" t="n"/>
      <c r="SHD79" s="498" t="n"/>
      <c r="SHE79" s="498" t="n"/>
      <c r="SHF79" s="498" t="n"/>
      <c r="SHG79" s="498" t="n"/>
      <c r="SHH79" s="498" t="n"/>
      <c r="SHI79" s="498" t="n"/>
      <c r="SHJ79" s="498" t="n"/>
      <c r="SHK79" s="498" t="n"/>
      <c r="SHL79" s="498" t="n"/>
      <c r="SHM79" s="498" t="n"/>
      <c r="SHN79" s="498" t="n"/>
      <c r="SHO79" s="498" t="n"/>
      <c r="SHP79" s="498" t="n"/>
      <c r="SHQ79" s="498" t="n"/>
      <c r="SHR79" s="498" t="n"/>
      <c r="SHS79" s="498" t="n"/>
      <c r="SHT79" s="498" t="n"/>
      <c r="SHU79" s="498" t="n"/>
      <c r="SHV79" s="498" t="n"/>
      <c r="SHW79" s="498" t="n"/>
      <c r="SHX79" s="498" t="n"/>
      <c r="SHY79" s="498" t="n"/>
      <c r="SHZ79" s="498" t="n"/>
      <c r="SIA79" s="498" t="n"/>
      <c r="SIB79" s="498" t="n"/>
      <c r="SIC79" s="498" t="n"/>
      <c r="SID79" s="498" t="n"/>
      <c r="SIE79" s="498" t="n"/>
      <c r="SIF79" s="498" t="n"/>
      <c r="SIG79" s="498" t="n"/>
      <c r="SIH79" s="498" t="n"/>
      <c r="SII79" s="498" t="n"/>
      <c r="SIJ79" s="498" t="n"/>
      <c r="SIK79" s="498" t="n"/>
      <c r="SIL79" s="498" t="n"/>
      <c r="SIM79" s="498" t="n"/>
      <c r="SIN79" s="498" t="n"/>
      <c r="SIO79" s="498" t="n"/>
      <c r="SIP79" s="498" t="n"/>
      <c r="SIQ79" s="498" t="n"/>
      <c r="SIR79" s="498" t="n"/>
      <c r="SIS79" s="498" t="n"/>
      <c r="SIT79" s="498" t="n"/>
      <c r="SIU79" s="498" t="n"/>
      <c r="SIV79" s="498" t="n"/>
      <c r="SIW79" s="498" t="n"/>
      <c r="SIX79" s="498" t="n"/>
      <c r="SIY79" s="498" t="n"/>
      <c r="SIZ79" s="498" t="n"/>
      <c r="SJA79" s="498" t="n"/>
      <c r="SJB79" s="498" t="n"/>
      <c r="SJC79" s="498" t="n"/>
      <c r="SJD79" s="498" t="n"/>
      <c r="SJE79" s="498" t="n"/>
      <c r="SJF79" s="498" t="n"/>
      <c r="SJG79" s="498" t="n"/>
      <c r="SJH79" s="498" t="n"/>
      <c r="SJI79" s="498" t="n"/>
      <c r="SJJ79" s="498" t="n"/>
      <c r="SJK79" s="498" t="n"/>
      <c r="SJL79" s="498" t="n"/>
      <c r="SJM79" s="498" t="n"/>
      <c r="SJN79" s="498" t="n"/>
      <c r="SJO79" s="498" t="n"/>
      <c r="SJP79" s="498" t="n"/>
      <c r="SJQ79" s="498" t="n"/>
      <c r="SJR79" s="498" t="n"/>
      <c r="SJS79" s="498" t="n"/>
      <c r="SJT79" s="498" t="n"/>
      <c r="SJU79" s="498" t="n"/>
      <c r="SJV79" s="498" t="n"/>
      <c r="SJW79" s="498" t="n"/>
      <c r="SJX79" s="498" t="n"/>
      <c r="SJY79" s="498" t="n"/>
      <c r="SJZ79" s="498" t="n"/>
      <c r="SKA79" s="498" t="n"/>
      <c r="SKB79" s="498" t="n"/>
      <c r="SKC79" s="498" t="n"/>
      <c r="SKD79" s="498" t="n"/>
      <c r="SKE79" s="498" t="n"/>
      <c r="SKF79" s="498" t="n"/>
      <c r="SKG79" s="498" t="n"/>
      <c r="SKH79" s="498" t="n"/>
      <c r="SKI79" s="498" t="n"/>
      <c r="SKJ79" s="498" t="n"/>
      <c r="SKK79" s="498" t="n"/>
      <c r="SKL79" s="498" t="n"/>
      <c r="SKM79" s="498" t="n"/>
      <c r="SKN79" s="498" t="n"/>
      <c r="SKO79" s="498" t="n"/>
      <c r="SKP79" s="498" t="n"/>
      <c r="SKQ79" s="498" t="n"/>
      <c r="SKR79" s="498" t="n"/>
      <c r="SKS79" s="498" t="n"/>
      <c r="SKT79" s="498" t="n"/>
      <c r="SKU79" s="498" t="n"/>
      <c r="SKV79" s="498" t="n"/>
      <c r="SKW79" s="498" t="n"/>
      <c r="SKX79" s="498" t="n"/>
      <c r="SKY79" s="498" t="n"/>
      <c r="SKZ79" s="498" t="n"/>
      <c r="SLA79" s="498" t="n"/>
      <c r="SLB79" s="498" t="n"/>
      <c r="SLC79" s="498" t="n"/>
      <c r="SLD79" s="498" t="n"/>
      <c r="SLE79" s="498" t="n"/>
      <c r="SLF79" s="498" t="n"/>
      <c r="SLG79" s="498" t="n"/>
      <c r="SLH79" s="498" t="n"/>
      <c r="SLI79" s="498" t="n"/>
      <c r="SLJ79" s="498" t="n"/>
      <c r="SLK79" s="498" t="n"/>
      <c r="SLL79" s="498" t="n"/>
      <c r="SLM79" s="498" t="n"/>
      <c r="SLN79" s="498" t="n"/>
      <c r="SLO79" s="498" t="n"/>
      <c r="SLP79" s="498" t="n"/>
      <c r="SLQ79" s="498" t="n"/>
      <c r="SLR79" s="498" t="n"/>
      <c r="SLS79" s="498" t="n"/>
      <c r="SLT79" s="498" t="n"/>
      <c r="SLU79" s="498" t="n"/>
      <c r="SLV79" s="498" t="n"/>
      <c r="SLW79" s="498" t="n"/>
      <c r="SLX79" s="498" t="n"/>
      <c r="SLY79" s="498" t="n"/>
      <c r="SLZ79" s="498" t="n"/>
      <c r="SMA79" s="498" t="n"/>
      <c r="SMB79" s="498" t="n"/>
      <c r="SMC79" s="498" t="n"/>
      <c r="SMD79" s="498" t="n"/>
      <c r="SME79" s="498" t="n"/>
      <c r="SMF79" s="498" t="n"/>
      <c r="SMG79" s="498" t="n"/>
      <c r="SMH79" s="498" t="n"/>
      <c r="SMI79" s="498" t="n"/>
      <c r="SMJ79" s="498" t="n"/>
      <c r="SMK79" s="498" t="n"/>
      <c r="SML79" s="498" t="n"/>
      <c r="SMM79" s="498" t="n"/>
      <c r="SMN79" s="498" t="n"/>
      <c r="SMO79" s="498" t="n"/>
      <c r="SMP79" s="498" t="n"/>
      <c r="SMQ79" s="498" t="n"/>
      <c r="SMR79" s="498" t="n"/>
      <c r="SMS79" s="498" t="n"/>
      <c r="SMT79" s="498" t="n"/>
      <c r="SMU79" s="498" t="n"/>
      <c r="SMV79" s="498" t="n"/>
      <c r="SMW79" s="498" t="n"/>
      <c r="SMX79" s="498" t="n"/>
      <c r="SMY79" s="498" t="n"/>
      <c r="SMZ79" s="498" t="n"/>
      <c r="SNA79" s="498" t="n"/>
      <c r="SNB79" s="498" t="n"/>
      <c r="SNC79" s="498" t="n"/>
      <c r="SND79" s="498" t="n"/>
      <c r="SNE79" s="498" t="n"/>
      <c r="SNF79" s="498" t="n"/>
      <c r="SNG79" s="498" t="n"/>
      <c r="SNH79" s="498" t="n"/>
      <c r="SNI79" s="498" t="n"/>
      <c r="SNJ79" s="498" t="n"/>
      <c r="SNK79" s="498" t="n"/>
      <c r="SNL79" s="498" t="n"/>
      <c r="SNM79" s="498" t="n"/>
      <c r="SNN79" s="498" t="n"/>
      <c r="SNO79" s="498" t="n"/>
      <c r="SNP79" s="498" t="n"/>
      <c r="SNQ79" s="498" t="n"/>
      <c r="SNR79" s="498" t="n"/>
      <c r="SNS79" s="498" t="n"/>
      <c r="SNT79" s="498" t="n"/>
      <c r="SNU79" s="498" t="n"/>
      <c r="SNV79" s="498" t="n"/>
      <c r="SNW79" s="498" t="n"/>
      <c r="SNX79" s="498" t="n"/>
      <c r="SNY79" s="498" t="n"/>
      <c r="SNZ79" s="498" t="n"/>
      <c r="SOA79" s="498" t="n"/>
      <c r="SOB79" s="498" t="n"/>
      <c r="SOC79" s="498" t="n"/>
      <c r="SOD79" s="498" t="n"/>
      <c r="SOE79" s="498" t="n"/>
      <c r="SOF79" s="498" t="n"/>
      <c r="SOG79" s="498" t="n"/>
      <c r="SOH79" s="498" t="n"/>
      <c r="SOI79" s="498" t="n"/>
      <c r="SOJ79" s="498" t="n"/>
      <c r="SOK79" s="498" t="n"/>
      <c r="SOL79" s="498" t="n"/>
      <c r="SOM79" s="498" t="n"/>
      <c r="SON79" s="498" t="n"/>
      <c r="SOO79" s="498" t="n"/>
      <c r="SOP79" s="498" t="n"/>
      <c r="SOQ79" s="498" t="n"/>
      <c r="SOR79" s="498" t="n"/>
      <c r="SOS79" s="498" t="n"/>
      <c r="SOT79" s="498" t="n"/>
      <c r="SOU79" s="498" t="n"/>
      <c r="SOV79" s="498" t="n"/>
      <c r="SOW79" s="498" t="n"/>
      <c r="SOX79" s="498" t="n"/>
      <c r="SOY79" s="498" t="n"/>
      <c r="SOZ79" s="498" t="n"/>
      <c r="SPA79" s="498" t="n"/>
      <c r="SPB79" s="498" t="n"/>
      <c r="SPC79" s="498" t="n"/>
      <c r="SPD79" s="498" t="n"/>
      <c r="SPE79" s="498" t="n"/>
      <c r="SPF79" s="498" t="n"/>
      <c r="SPG79" s="498" t="n"/>
      <c r="SPH79" s="498" t="n"/>
      <c r="SPI79" s="498" t="n"/>
      <c r="SPJ79" s="498" t="n"/>
      <c r="SPK79" s="498" t="n"/>
      <c r="SPL79" s="498" t="n"/>
      <c r="SPM79" s="498" t="n"/>
      <c r="SPN79" s="498" t="n"/>
      <c r="SPO79" s="498" t="n"/>
      <c r="SPP79" s="498" t="n"/>
      <c r="SPQ79" s="498" t="n"/>
      <c r="SPR79" s="498" t="n"/>
      <c r="SPS79" s="498" t="n"/>
      <c r="SPT79" s="498" t="n"/>
      <c r="SPU79" s="498" t="n"/>
      <c r="SPV79" s="498" t="n"/>
      <c r="SPW79" s="498" t="n"/>
      <c r="SPX79" s="498" t="n"/>
      <c r="SPY79" s="498" t="n"/>
      <c r="SPZ79" s="498" t="n"/>
      <c r="SQA79" s="498" t="n"/>
      <c r="SQB79" s="498" t="n"/>
      <c r="SQC79" s="498" t="n"/>
      <c r="SQD79" s="498" t="n"/>
      <c r="SQE79" s="498" t="n"/>
      <c r="SQF79" s="498" t="n"/>
      <c r="SQG79" s="498" t="n"/>
      <c r="SQH79" s="498" t="n"/>
      <c r="SQI79" s="498" t="n"/>
      <c r="SQJ79" s="498" t="n"/>
      <c r="SQK79" s="498" t="n"/>
      <c r="SQL79" s="498" t="n"/>
      <c r="SQM79" s="498" t="n"/>
      <c r="SQN79" s="498" t="n"/>
      <c r="SQO79" s="498" t="n"/>
      <c r="SQP79" s="498" t="n"/>
      <c r="SQQ79" s="498" t="n"/>
      <c r="SQR79" s="498" t="n"/>
      <c r="SQS79" s="498" t="n"/>
      <c r="SQT79" s="498" t="n"/>
      <c r="SQU79" s="498" t="n"/>
      <c r="SQV79" s="498" t="n"/>
      <c r="SQW79" s="498" t="n"/>
      <c r="SQX79" s="498" t="n"/>
      <c r="SQY79" s="498" t="n"/>
      <c r="SQZ79" s="498" t="n"/>
      <c r="SRA79" s="498" t="n"/>
      <c r="SRB79" s="498" t="n"/>
      <c r="SRC79" s="498" t="n"/>
      <c r="SRD79" s="498" t="n"/>
      <c r="SRE79" s="498" t="n"/>
      <c r="SRF79" s="498" t="n"/>
      <c r="SRG79" s="498" t="n"/>
      <c r="SRH79" s="498" t="n"/>
      <c r="SRI79" s="498" t="n"/>
      <c r="SRJ79" s="498" t="n"/>
      <c r="SRK79" s="498" t="n"/>
      <c r="SRL79" s="498" t="n"/>
      <c r="SRM79" s="498" t="n"/>
      <c r="SRN79" s="498" t="n"/>
      <c r="SRO79" s="498" t="n"/>
      <c r="SRP79" s="498" t="n"/>
      <c r="SRQ79" s="498" t="n"/>
      <c r="SRR79" s="498" t="n"/>
      <c r="SRS79" s="498" t="n"/>
      <c r="SRT79" s="498" t="n"/>
      <c r="SRU79" s="498" t="n"/>
      <c r="SRV79" s="498" t="n"/>
      <c r="SRW79" s="498" t="n"/>
      <c r="SRX79" s="498" t="n"/>
      <c r="SRY79" s="498" t="n"/>
      <c r="SRZ79" s="498" t="n"/>
      <c r="SSA79" s="498" t="n"/>
      <c r="SSB79" s="498" t="n"/>
      <c r="SSC79" s="498" t="n"/>
      <c r="SSD79" s="498" t="n"/>
      <c r="SSE79" s="498" t="n"/>
      <c r="SSF79" s="498" t="n"/>
      <c r="SSG79" s="498" t="n"/>
      <c r="SSH79" s="498" t="n"/>
      <c r="SSI79" s="498" t="n"/>
      <c r="SSJ79" s="498" t="n"/>
      <c r="SSK79" s="498" t="n"/>
      <c r="SSL79" s="498" t="n"/>
      <c r="SSM79" s="498" t="n"/>
      <c r="SSN79" s="498" t="n"/>
      <c r="SSO79" s="498" t="n"/>
      <c r="SSP79" s="498" t="n"/>
      <c r="SSQ79" s="498" t="n"/>
      <c r="SSR79" s="498" t="n"/>
      <c r="SSS79" s="498" t="n"/>
      <c r="SST79" s="498" t="n"/>
      <c r="SSU79" s="498" t="n"/>
      <c r="SSV79" s="498" t="n"/>
      <c r="SSW79" s="498" t="n"/>
      <c r="SSX79" s="498" t="n"/>
      <c r="SSY79" s="498" t="n"/>
      <c r="SSZ79" s="498" t="n"/>
      <c r="STA79" s="498" t="n"/>
      <c r="STB79" s="498" t="n"/>
      <c r="STC79" s="498" t="n"/>
      <c r="STD79" s="498" t="n"/>
      <c r="STE79" s="498" t="n"/>
      <c r="STF79" s="498" t="n"/>
      <c r="STG79" s="498" t="n"/>
      <c r="STH79" s="498" t="n"/>
      <c r="STI79" s="498" t="n"/>
      <c r="STJ79" s="498" t="n"/>
      <c r="STK79" s="498" t="n"/>
      <c r="STL79" s="498" t="n"/>
      <c r="STM79" s="498" t="n"/>
      <c r="STN79" s="498" t="n"/>
      <c r="STO79" s="498" t="n"/>
      <c r="STP79" s="498" t="n"/>
      <c r="STQ79" s="498" t="n"/>
      <c r="STR79" s="498" t="n"/>
      <c r="STS79" s="498" t="n"/>
      <c r="STT79" s="498" t="n"/>
      <c r="STU79" s="498" t="n"/>
      <c r="STV79" s="498" t="n"/>
      <c r="STW79" s="498" t="n"/>
      <c r="STX79" s="498" t="n"/>
      <c r="STY79" s="498" t="n"/>
      <c r="STZ79" s="498" t="n"/>
      <c r="SUA79" s="498" t="n"/>
      <c r="SUB79" s="498" t="n"/>
      <c r="SUC79" s="498" t="n"/>
      <c r="SUD79" s="498" t="n"/>
      <c r="SUE79" s="498" t="n"/>
      <c r="SUF79" s="498" t="n"/>
      <c r="SUG79" s="498" t="n"/>
      <c r="SUH79" s="498" t="n"/>
      <c r="SUI79" s="498" t="n"/>
      <c r="SUJ79" s="498" t="n"/>
      <c r="SUK79" s="498" t="n"/>
      <c r="SUL79" s="498" t="n"/>
      <c r="SUM79" s="498" t="n"/>
      <c r="SUN79" s="498" t="n"/>
      <c r="SUO79" s="498" t="n"/>
      <c r="SUP79" s="498" t="n"/>
      <c r="SUQ79" s="498" t="n"/>
      <c r="SUR79" s="498" t="n"/>
      <c r="SUS79" s="498" t="n"/>
      <c r="SUT79" s="498" t="n"/>
      <c r="SUU79" s="498" t="n"/>
      <c r="SUV79" s="498" t="n"/>
      <c r="SUW79" s="498" t="n"/>
      <c r="SUX79" s="498" t="n"/>
      <c r="SUY79" s="498" t="n"/>
      <c r="SUZ79" s="498" t="n"/>
      <c r="SVA79" s="498" t="n"/>
      <c r="SVB79" s="498" t="n"/>
      <c r="SVC79" s="498" t="n"/>
      <c r="SVD79" s="498" t="n"/>
      <c r="SVE79" s="498" t="n"/>
      <c r="SVF79" s="498" t="n"/>
      <c r="SVG79" s="498" t="n"/>
      <c r="SVH79" s="498" t="n"/>
      <c r="SVI79" s="498" t="n"/>
      <c r="SVJ79" s="498" t="n"/>
      <c r="SVK79" s="498" t="n"/>
      <c r="SVL79" s="498" t="n"/>
      <c r="SVM79" s="498" t="n"/>
      <c r="SVN79" s="498" t="n"/>
      <c r="SVO79" s="498" t="n"/>
      <c r="SVP79" s="498" t="n"/>
      <c r="SVQ79" s="498" t="n"/>
      <c r="SVR79" s="498" t="n"/>
      <c r="SVS79" s="498" t="n"/>
      <c r="SVT79" s="498" t="n"/>
      <c r="SVU79" s="498" t="n"/>
      <c r="SVV79" s="498" t="n"/>
      <c r="SVW79" s="498" t="n"/>
      <c r="SVX79" s="498" t="n"/>
      <c r="SVY79" s="498" t="n"/>
      <c r="SVZ79" s="498" t="n"/>
      <c r="SWA79" s="498" t="n"/>
      <c r="SWB79" s="498" t="n"/>
      <c r="SWC79" s="498" t="n"/>
      <c r="SWD79" s="498" t="n"/>
      <c r="SWE79" s="498" t="n"/>
      <c r="SWF79" s="498" t="n"/>
      <c r="SWG79" s="498" t="n"/>
      <c r="SWH79" s="498" t="n"/>
      <c r="SWI79" s="498" t="n"/>
      <c r="SWJ79" s="498" t="n"/>
      <c r="SWK79" s="498" t="n"/>
      <c r="SWL79" s="498" t="n"/>
      <c r="SWM79" s="498" t="n"/>
      <c r="SWN79" s="498" t="n"/>
      <c r="SWO79" s="498" t="n"/>
      <c r="SWP79" s="498" t="n"/>
      <c r="SWQ79" s="498" t="n"/>
      <c r="SWR79" s="498" t="n"/>
      <c r="SWS79" s="498" t="n"/>
      <c r="SWT79" s="498" t="n"/>
      <c r="SWU79" s="498" t="n"/>
      <c r="SWV79" s="498" t="n"/>
      <c r="SWW79" s="498" t="n"/>
      <c r="SWX79" s="498" t="n"/>
      <c r="SWY79" s="498" t="n"/>
      <c r="SWZ79" s="498" t="n"/>
      <c r="SXA79" s="498" t="n"/>
      <c r="SXB79" s="498" t="n"/>
      <c r="SXC79" s="498" t="n"/>
      <c r="SXD79" s="498" t="n"/>
      <c r="SXE79" s="498" t="n"/>
      <c r="SXF79" s="498" t="n"/>
      <c r="SXG79" s="498" t="n"/>
      <c r="SXH79" s="498" t="n"/>
      <c r="SXI79" s="498" t="n"/>
      <c r="SXJ79" s="498" t="n"/>
      <c r="SXK79" s="498" t="n"/>
      <c r="SXL79" s="498" t="n"/>
      <c r="SXM79" s="498" t="n"/>
      <c r="SXN79" s="498" t="n"/>
      <c r="SXO79" s="498" t="n"/>
      <c r="SXP79" s="498" t="n"/>
      <c r="SXQ79" s="498" t="n"/>
      <c r="SXR79" s="498" t="n"/>
      <c r="SXS79" s="498" t="n"/>
      <c r="SXT79" s="498" t="n"/>
      <c r="SXU79" s="498" t="n"/>
      <c r="SXV79" s="498" t="n"/>
      <c r="SXW79" s="498" t="n"/>
      <c r="SXX79" s="498" t="n"/>
      <c r="SXY79" s="498" t="n"/>
      <c r="SXZ79" s="498" t="n"/>
      <c r="SYA79" s="498" t="n"/>
      <c r="SYB79" s="498" t="n"/>
      <c r="SYC79" s="498" t="n"/>
      <c r="SYD79" s="498" t="n"/>
      <c r="SYE79" s="498" t="n"/>
      <c r="SYF79" s="498" t="n"/>
      <c r="SYG79" s="498" t="n"/>
      <c r="SYH79" s="498" t="n"/>
      <c r="SYI79" s="498" t="n"/>
      <c r="SYJ79" s="498" t="n"/>
      <c r="SYK79" s="498" t="n"/>
      <c r="SYL79" s="498" t="n"/>
      <c r="SYM79" s="498" t="n"/>
      <c r="SYN79" s="498" t="n"/>
      <c r="SYO79" s="498" t="n"/>
      <c r="SYP79" s="498" t="n"/>
      <c r="SYQ79" s="498" t="n"/>
      <c r="SYR79" s="498" t="n"/>
      <c r="SYS79" s="498" t="n"/>
      <c r="SYT79" s="498" t="n"/>
      <c r="SYU79" s="498" t="n"/>
      <c r="SYV79" s="498" t="n"/>
      <c r="SYW79" s="498" t="n"/>
      <c r="SYX79" s="498" t="n"/>
      <c r="SYY79" s="498" t="n"/>
      <c r="SYZ79" s="498" t="n"/>
      <c r="SZA79" s="498" t="n"/>
      <c r="SZB79" s="498" t="n"/>
      <c r="SZC79" s="498" t="n"/>
      <c r="SZD79" s="498" t="n"/>
      <c r="SZE79" s="498" t="n"/>
      <c r="SZF79" s="498" t="n"/>
      <c r="SZG79" s="498" t="n"/>
      <c r="SZH79" s="498" t="n"/>
      <c r="SZI79" s="498" t="n"/>
      <c r="SZJ79" s="498" t="n"/>
      <c r="SZK79" s="498" t="n"/>
      <c r="SZL79" s="498" t="n"/>
      <c r="SZM79" s="498" t="n"/>
      <c r="SZN79" s="498" t="n"/>
      <c r="SZO79" s="498" t="n"/>
      <c r="SZP79" s="498" t="n"/>
      <c r="SZQ79" s="498" t="n"/>
      <c r="SZR79" s="498" t="n"/>
      <c r="SZS79" s="498" t="n"/>
      <c r="SZT79" s="498" t="n"/>
      <c r="SZU79" s="498" t="n"/>
      <c r="SZV79" s="498" t="n"/>
      <c r="SZW79" s="498" t="n"/>
      <c r="SZX79" s="498" t="n"/>
      <c r="SZY79" s="498" t="n"/>
      <c r="SZZ79" s="498" t="n"/>
      <c r="TAA79" s="498" t="n"/>
      <c r="TAB79" s="498" t="n"/>
      <c r="TAC79" s="498" t="n"/>
      <c r="TAD79" s="498" t="n"/>
      <c r="TAE79" s="498" t="n"/>
      <c r="TAF79" s="498" t="n"/>
      <c r="TAG79" s="498" t="n"/>
      <c r="TAH79" s="498" t="n"/>
      <c r="TAI79" s="498" t="n"/>
      <c r="TAJ79" s="498" t="n"/>
      <c r="TAK79" s="498" t="n"/>
      <c r="TAL79" s="498" t="n"/>
      <c r="TAM79" s="498" t="n"/>
      <c r="TAN79" s="498" t="n"/>
      <c r="TAO79" s="498" t="n"/>
      <c r="TAP79" s="498" t="n"/>
      <c r="TAQ79" s="498" t="n"/>
      <c r="TAR79" s="498" t="n"/>
      <c r="TAS79" s="498" t="n"/>
      <c r="TAT79" s="498" t="n"/>
      <c r="TAU79" s="498" t="n"/>
      <c r="TAV79" s="498" t="n"/>
      <c r="TAW79" s="498" t="n"/>
      <c r="TAX79" s="498" t="n"/>
      <c r="TAY79" s="498" t="n"/>
      <c r="TAZ79" s="498" t="n"/>
      <c r="TBA79" s="498" t="n"/>
      <c r="TBB79" s="498" t="n"/>
      <c r="TBC79" s="498" t="n"/>
      <c r="TBD79" s="498" t="n"/>
      <c r="TBE79" s="498" t="n"/>
      <c r="TBF79" s="498" t="n"/>
      <c r="TBG79" s="498" t="n"/>
      <c r="TBH79" s="498" t="n"/>
      <c r="TBI79" s="498" t="n"/>
      <c r="TBJ79" s="498" t="n"/>
      <c r="TBK79" s="498" t="n"/>
      <c r="TBL79" s="498" t="n"/>
      <c r="TBM79" s="498" t="n"/>
      <c r="TBN79" s="498" t="n"/>
      <c r="TBO79" s="498" t="n"/>
      <c r="TBP79" s="498" t="n"/>
      <c r="TBQ79" s="498" t="n"/>
      <c r="TBR79" s="498" t="n"/>
      <c r="TBS79" s="498" t="n"/>
      <c r="TBT79" s="498" t="n"/>
      <c r="TBU79" s="498" t="n"/>
      <c r="TBV79" s="498" t="n"/>
      <c r="TBW79" s="498" t="n"/>
      <c r="TBX79" s="498" t="n"/>
      <c r="TBY79" s="498" t="n"/>
      <c r="TBZ79" s="498" t="n"/>
      <c r="TCA79" s="498" t="n"/>
      <c r="TCB79" s="498" t="n"/>
      <c r="TCC79" s="498" t="n"/>
      <c r="TCD79" s="498" t="n"/>
      <c r="TCE79" s="498" t="n"/>
      <c r="TCF79" s="498" t="n"/>
      <c r="TCG79" s="498" t="n"/>
      <c r="TCH79" s="498" t="n"/>
      <c r="TCI79" s="498" t="n"/>
      <c r="TCJ79" s="498" t="n"/>
      <c r="TCK79" s="498" t="n"/>
      <c r="TCL79" s="498" t="n"/>
      <c r="TCM79" s="498" t="n"/>
      <c r="TCN79" s="498" t="n"/>
      <c r="TCO79" s="498" t="n"/>
      <c r="TCP79" s="498" t="n"/>
      <c r="TCQ79" s="498" t="n"/>
      <c r="TCR79" s="498" t="n"/>
      <c r="TCS79" s="498" t="n"/>
      <c r="TCT79" s="498" t="n"/>
      <c r="TCU79" s="498" t="n"/>
      <c r="TCV79" s="498" t="n"/>
      <c r="TCW79" s="498" t="n"/>
      <c r="TCX79" s="498" t="n"/>
      <c r="TCY79" s="498" t="n"/>
      <c r="TCZ79" s="498" t="n"/>
      <c r="TDA79" s="498" t="n"/>
      <c r="TDB79" s="498" t="n"/>
      <c r="TDC79" s="498" t="n"/>
      <c r="TDD79" s="498" t="n"/>
      <c r="TDE79" s="498" t="n"/>
      <c r="TDF79" s="498" t="n"/>
      <c r="TDG79" s="498" t="n"/>
      <c r="TDH79" s="498" t="n"/>
      <c r="TDI79" s="498" t="n"/>
      <c r="TDJ79" s="498" t="n"/>
      <c r="TDK79" s="498" t="n"/>
      <c r="TDL79" s="498" t="n"/>
      <c r="TDM79" s="498" t="n"/>
      <c r="TDN79" s="498" t="n"/>
      <c r="TDO79" s="498" t="n"/>
      <c r="TDP79" s="498" t="n"/>
      <c r="TDQ79" s="498" t="n"/>
      <c r="TDR79" s="498" t="n"/>
      <c r="TDS79" s="498" t="n"/>
      <c r="TDT79" s="498" t="n"/>
      <c r="TDU79" s="498" t="n"/>
      <c r="TDV79" s="498" t="n"/>
      <c r="TDW79" s="498" t="n"/>
      <c r="TDX79" s="498" t="n"/>
      <c r="TDY79" s="498" t="n"/>
      <c r="TDZ79" s="498" t="n"/>
      <c r="TEA79" s="498" t="n"/>
      <c r="TEB79" s="498" t="n"/>
      <c r="TEC79" s="498" t="n"/>
      <c r="TED79" s="498" t="n"/>
      <c r="TEE79" s="498" t="n"/>
      <c r="TEF79" s="498" t="n"/>
      <c r="TEG79" s="498" t="n"/>
      <c r="TEH79" s="498" t="n"/>
      <c r="TEI79" s="498" t="n"/>
      <c r="TEJ79" s="498" t="n"/>
      <c r="TEK79" s="498" t="n"/>
      <c r="TEL79" s="498" t="n"/>
      <c r="TEM79" s="498" t="n"/>
      <c r="TEN79" s="498" t="n"/>
      <c r="TEO79" s="498" t="n"/>
      <c r="TEP79" s="498" t="n"/>
      <c r="TEQ79" s="498" t="n"/>
      <c r="TER79" s="498" t="n"/>
      <c r="TES79" s="498" t="n"/>
      <c r="TET79" s="498" t="n"/>
      <c r="TEU79" s="498" t="n"/>
      <c r="TEV79" s="498" t="n"/>
      <c r="TEW79" s="498" t="n"/>
      <c r="TEX79" s="498" t="n"/>
      <c r="TEY79" s="498" t="n"/>
      <c r="TEZ79" s="498" t="n"/>
      <c r="TFA79" s="498" t="n"/>
      <c r="TFB79" s="498" t="n"/>
      <c r="TFC79" s="498" t="n"/>
      <c r="TFD79" s="498" t="n"/>
      <c r="TFE79" s="498" t="n"/>
      <c r="TFF79" s="498" t="n"/>
      <c r="TFG79" s="498" t="n"/>
      <c r="TFH79" s="498" t="n"/>
      <c r="TFI79" s="498" t="n"/>
      <c r="TFJ79" s="498" t="n"/>
      <c r="TFK79" s="498" t="n"/>
      <c r="TFL79" s="498" t="n"/>
      <c r="TFM79" s="498" t="n"/>
      <c r="TFN79" s="498" t="n"/>
      <c r="TFO79" s="498" t="n"/>
      <c r="TFP79" s="498" t="n"/>
      <c r="TFQ79" s="498" t="n"/>
      <c r="TFR79" s="498" t="n"/>
      <c r="TFS79" s="498" t="n"/>
      <c r="TFT79" s="498" t="n"/>
      <c r="TFU79" s="498" t="n"/>
      <c r="TFV79" s="498" t="n"/>
      <c r="TFW79" s="498" t="n"/>
      <c r="TFX79" s="498" t="n"/>
      <c r="TFY79" s="498" t="n"/>
      <c r="TFZ79" s="498" t="n"/>
      <c r="TGA79" s="498" t="n"/>
      <c r="TGB79" s="498" t="n"/>
      <c r="TGC79" s="498" t="n"/>
      <c r="TGD79" s="498" t="n"/>
      <c r="TGE79" s="498" t="n"/>
      <c r="TGF79" s="498" t="n"/>
      <c r="TGG79" s="498" t="n"/>
      <c r="TGH79" s="498" t="n"/>
      <c r="TGI79" s="498" t="n"/>
      <c r="TGJ79" s="498" t="n"/>
      <c r="TGK79" s="498" t="n"/>
      <c r="TGL79" s="498" t="n"/>
      <c r="TGM79" s="498" t="n"/>
      <c r="TGN79" s="498" t="n"/>
      <c r="TGO79" s="498" t="n"/>
      <c r="TGP79" s="498" t="n"/>
      <c r="TGQ79" s="498" t="n"/>
      <c r="TGR79" s="498" t="n"/>
      <c r="TGS79" s="498" t="n"/>
      <c r="TGT79" s="498" t="n"/>
      <c r="TGU79" s="498" t="n"/>
      <c r="TGV79" s="498" t="n"/>
      <c r="TGW79" s="498" t="n"/>
      <c r="TGX79" s="498" t="n"/>
      <c r="TGY79" s="498" t="n"/>
      <c r="TGZ79" s="498" t="n"/>
      <c r="THA79" s="498" t="n"/>
      <c r="THB79" s="498" t="n"/>
      <c r="THC79" s="498" t="n"/>
      <c r="THD79" s="498" t="n"/>
      <c r="THE79" s="498" t="n"/>
      <c r="THF79" s="498" t="n"/>
      <c r="THG79" s="498" t="n"/>
      <c r="THH79" s="498" t="n"/>
      <c r="THI79" s="498" t="n"/>
      <c r="THJ79" s="498" t="n"/>
      <c r="THK79" s="498" t="n"/>
      <c r="THL79" s="498" t="n"/>
      <c r="THM79" s="498" t="n"/>
      <c r="THN79" s="498" t="n"/>
      <c r="THO79" s="498" t="n"/>
      <c r="THP79" s="498" t="n"/>
      <c r="THQ79" s="498" t="n"/>
      <c r="THR79" s="498" t="n"/>
      <c r="THS79" s="498" t="n"/>
      <c r="THT79" s="498" t="n"/>
      <c r="THU79" s="498" t="n"/>
      <c r="THV79" s="498" t="n"/>
      <c r="THW79" s="498" t="n"/>
      <c r="THX79" s="498" t="n"/>
      <c r="THY79" s="498" t="n"/>
      <c r="THZ79" s="498" t="n"/>
      <c r="TIA79" s="498" t="n"/>
      <c r="TIB79" s="498" t="n"/>
      <c r="TIC79" s="498" t="n"/>
      <c r="TID79" s="498" t="n"/>
      <c r="TIE79" s="498" t="n"/>
      <c r="TIF79" s="498" t="n"/>
      <c r="TIG79" s="498" t="n"/>
      <c r="TIH79" s="498" t="n"/>
      <c r="TII79" s="498" t="n"/>
      <c r="TIJ79" s="498" t="n"/>
      <c r="TIK79" s="498" t="n"/>
      <c r="TIL79" s="498" t="n"/>
      <c r="TIM79" s="498" t="n"/>
      <c r="TIN79" s="498" t="n"/>
      <c r="TIO79" s="498" t="n"/>
      <c r="TIP79" s="498" t="n"/>
      <c r="TIQ79" s="498" t="n"/>
      <c r="TIR79" s="498" t="n"/>
      <c r="TIS79" s="498" t="n"/>
      <c r="TIT79" s="498" t="n"/>
      <c r="TIU79" s="498" t="n"/>
      <c r="TIV79" s="498" t="n"/>
      <c r="TIW79" s="498" t="n"/>
      <c r="TIX79" s="498" t="n"/>
      <c r="TIY79" s="498" t="n"/>
      <c r="TIZ79" s="498" t="n"/>
      <c r="TJA79" s="498" t="n"/>
      <c r="TJB79" s="498" t="n"/>
      <c r="TJC79" s="498" t="n"/>
      <c r="TJD79" s="498" t="n"/>
      <c r="TJE79" s="498" t="n"/>
      <c r="TJF79" s="498" t="n"/>
      <c r="TJG79" s="498" t="n"/>
      <c r="TJH79" s="498" t="n"/>
      <c r="TJI79" s="498" t="n"/>
      <c r="TJJ79" s="498" t="n"/>
      <c r="TJK79" s="498" t="n"/>
      <c r="TJL79" s="498" t="n"/>
      <c r="TJM79" s="498" t="n"/>
      <c r="TJN79" s="498" t="n"/>
      <c r="TJO79" s="498" t="n"/>
      <c r="TJP79" s="498" t="n"/>
      <c r="TJQ79" s="498" t="n"/>
      <c r="TJR79" s="498" t="n"/>
      <c r="TJS79" s="498" t="n"/>
      <c r="TJT79" s="498" t="n"/>
      <c r="TJU79" s="498" t="n"/>
      <c r="TJV79" s="498" t="n"/>
      <c r="TJW79" s="498" t="n"/>
      <c r="TJX79" s="498" t="n"/>
      <c r="TJY79" s="498" t="n"/>
      <c r="TJZ79" s="498" t="n"/>
      <c r="TKA79" s="498" t="n"/>
      <c r="TKB79" s="498" t="n"/>
      <c r="TKC79" s="498" t="n"/>
      <c r="TKD79" s="498" t="n"/>
      <c r="TKE79" s="498" t="n"/>
      <c r="TKF79" s="498" t="n"/>
      <c r="TKG79" s="498" t="n"/>
      <c r="TKH79" s="498" t="n"/>
      <c r="TKI79" s="498" t="n"/>
      <c r="TKJ79" s="498" t="n"/>
      <c r="TKK79" s="498" t="n"/>
      <c r="TKL79" s="498" t="n"/>
      <c r="TKM79" s="498" t="n"/>
      <c r="TKN79" s="498" t="n"/>
      <c r="TKO79" s="498" t="n"/>
      <c r="TKP79" s="498" t="n"/>
      <c r="TKQ79" s="498" t="n"/>
      <c r="TKR79" s="498" t="n"/>
      <c r="TKS79" s="498" t="n"/>
      <c r="TKT79" s="498" t="n"/>
      <c r="TKU79" s="498" t="n"/>
      <c r="TKV79" s="498" t="n"/>
      <c r="TKW79" s="498" t="n"/>
      <c r="TKX79" s="498" t="n"/>
      <c r="TKY79" s="498" t="n"/>
      <c r="TKZ79" s="498" t="n"/>
      <c r="TLA79" s="498" t="n"/>
      <c r="TLB79" s="498" t="n"/>
      <c r="TLC79" s="498" t="n"/>
      <c r="TLD79" s="498" t="n"/>
      <c r="TLE79" s="498" t="n"/>
      <c r="TLF79" s="498" t="n"/>
      <c r="TLG79" s="498" t="n"/>
      <c r="TLH79" s="498" t="n"/>
      <c r="TLI79" s="498" t="n"/>
      <c r="TLJ79" s="498" t="n"/>
      <c r="TLK79" s="498" t="n"/>
      <c r="TLL79" s="498" t="n"/>
      <c r="TLM79" s="498" t="n"/>
      <c r="TLN79" s="498" t="n"/>
      <c r="TLO79" s="498" t="n"/>
      <c r="TLP79" s="498" t="n"/>
      <c r="TLQ79" s="498" t="n"/>
      <c r="TLR79" s="498" t="n"/>
      <c r="TLS79" s="498" t="n"/>
      <c r="TLT79" s="498" t="n"/>
      <c r="TLU79" s="498" t="n"/>
      <c r="TLV79" s="498" t="n"/>
      <c r="TLW79" s="498" t="n"/>
      <c r="TLX79" s="498" t="n"/>
      <c r="TLY79" s="498" t="n"/>
      <c r="TLZ79" s="498" t="n"/>
      <c r="TMA79" s="498" t="n"/>
      <c r="TMB79" s="498" t="n"/>
      <c r="TMC79" s="498" t="n"/>
      <c r="TMD79" s="498" t="n"/>
      <c r="TME79" s="498" t="n"/>
      <c r="TMF79" s="498" t="n"/>
      <c r="TMG79" s="498" t="n"/>
      <c r="TMH79" s="498" t="n"/>
      <c r="TMI79" s="498" t="n"/>
      <c r="TMJ79" s="498" t="n"/>
      <c r="TMK79" s="498" t="n"/>
      <c r="TML79" s="498" t="n"/>
      <c r="TMM79" s="498" t="n"/>
      <c r="TMN79" s="498" t="n"/>
      <c r="TMO79" s="498" t="n"/>
      <c r="TMP79" s="498" t="n"/>
      <c r="TMQ79" s="498" t="n"/>
      <c r="TMR79" s="498" t="n"/>
      <c r="TMS79" s="498" t="n"/>
      <c r="TMT79" s="498" t="n"/>
      <c r="TMU79" s="498" t="n"/>
      <c r="TMV79" s="498" t="n"/>
      <c r="TMW79" s="498" t="n"/>
      <c r="TMX79" s="498" t="n"/>
      <c r="TMY79" s="498" t="n"/>
      <c r="TMZ79" s="498" t="n"/>
      <c r="TNA79" s="498" t="n"/>
      <c r="TNB79" s="498" t="n"/>
      <c r="TNC79" s="498" t="n"/>
      <c r="TND79" s="498" t="n"/>
      <c r="TNE79" s="498" t="n"/>
      <c r="TNF79" s="498" t="n"/>
      <c r="TNG79" s="498" t="n"/>
      <c r="TNH79" s="498" t="n"/>
      <c r="TNI79" s="498" t="n"/>
      <c r="TNJ79" s="498" t="n"/>
      <c r="TNK79" s="498" t="n"/>
      <c r="TNL79" s="498" t="n"/>
      <c r="TNM79" s="498" t="n"/>
      <c r="TNN79" s="498" t="n"/>
      <c r="TNO79" s="498" t="n"/>
      <c r="TNP79" s="498" t="n"/>
      <c r="TNQ79" s="498" t="n"/>
      <c r="TNR79" s="498" t="n"/>
      <c r="TNS79" s="498" t="n"/>
      <c r="TNT79" s="498" t="n"/>
      <c r="TNU79" s="498" t="n"/>
      <c r="TNV79" s="498" t="n"/>
      <c r="TNW79" s="498" t="n"/>
      <c r="TNX79" s="498" t="n"/>
      <c r="TNY79" s="498" t="n"/>
      <c r="TNZ79" s="498" t="n"/>
      <c r="TOA79" s="498" t="n"/>
      <c r="TOB79" s="498" t="n"/>
      <c r="TOC79" s="498" t="n"/>
      <c r="TOD79" s="498" t="n"/>
      <c r="TOE79" s="498" t="n"/>
      <c r="TOF79" s="498" t="n"/>
      <c r="TOG79" s="498" t="n"/>
      <c r="TOH79" s="498" t="n"/>
      <c r="TOI79" s="498" t="n"/>
      <c r="TOJ79" s="498" t="n"/>
      <c r="TOK79" s="498" t="n"/>
      <c r="TOL79" s="498" t="n"/>
      <c r="TOM79" s="498" t="n"/>
      <c r="TON79" s="498" t="n"/>
      <c r="TOO79" s="498" t="n"/>
      <c r="TOP79" s="498" t="n"/>
      <c r="TOQ79" s="498" t="n"/>
      <c r="TOR79" s="498" t="n"/>
      <c r="TOS79" s="498" t="n"/>
      <c r="TOT79" s="498" t="n"/>
      <c r="TOU79" s="498" t="n"/>
      <c r="TOV79" s="498" t="n"/>
      <c r="TOW79" s="498" t="n"/>
      <c r="TOX79" s="498" t="n"/>
      <c r="TOY79" s="498" t="n"/>
      <c r="TOZ79" s="498" t="n"/>
      <c r="TPA79" s="498" t="n"/>
      <c r="TPB79" s="498" t="n"/>
      <c r="TPC79" s="498" t="n"/>
      <c r="TPD79" s="498" t="n"/>
      <c r="TPE79" s="498" t="n"/>
      <c r="TPF79" s="498" t="n"/>
      <c r="TPG79" s="498" t="n"/>
      <c r="TPH79" s="498" t="n"/>
      <c r="TPI79" s="498" t="n"/>
      <c r="TPJ79" s="498" t="n"/>
      <c r="TPK79" s="498" t="n"/>
      <c r="TPL79" s="498" t="n"/>
      <c r="TPM79" s="498" t="n"/>
      <c r="TPN79" s="498" t="n"/>
      <c r="TPO79" s="498" t="n"/>
      <c r="TPP79" s="498" t="n"/>
      <c r="TPQ79" s="498" t="n"/>
      <c r="TPR79" s="498" t="n"/>
      <c r="TPS79" s="498" t="n"/>
      <c r="TPT79" s="498" t="n"/>
      <c r="TPU79" s="498" t="n"/>
      <c r="TPV79" s="498" t="n"/>
      <c r="TPW79" s="498" t="n"/>
      <c r="TPX79" s="498" t="n"/>
      <c r="TPY79" s="498" t="n"/>
      <c r="TPZ79" s="498" t="n"/>
      <c r="TQA79" s="498" t="n"/>
      <c r="TQB79" s="498" t="n"/>
      <c r="TQC79" s="498" t="n"/>
      <c r="TQD79" s="498" t="n"/>
      <c r="TQE79" s="498" t="n"/>
      <c r="TQF79" s="498" t="n"/>
      <c r="TQG79" s="498" t="n"/>
      <c r="TQH79" s="498" t="n"/>
      <c r="TQI79" s="498" t="n"/>
      <c r="TQJ79" s="498" t="n"/>
      <c r="TQK79" s="498" t="n"/>
      <c r="TQL79" s="498" t="n"/>
      <c r="TQM79" s="498" t="n"/>
      <c r="TQN79" s="498" t="n"/>
      <c r="TQO79" s="498" t="n"/>
      <c r="TQP79" s="498" t="n"/>
      <c r="TQQ79" s="498" t="n"/>
      <c r="TQR79" s="498" t="n"/>
      <c r="TQS79" s="498" t="n"/>
      <c r="TQT79" s="498" t="n"/>
      <c r="TQU79" s="498" t="n"/>
      <c r="TQV79" s="498" t="n"/>
      <c r="TQW79" s="498" t="n"/>
      <c r="TQX79" s="498" t="n"/>
      <c r="TQY79" s="498" t="n"/>
      <c r="TQZ79" s="498" t="n"/>
      <c r="TRA79" s="498" t="n"/>
      <c r="TRB79" s="498" t="n"/>
      <c r="TRC79" s="498" t="n"/>
      <c r="TRD79" s="498" t="n"/>
      <c r="TRE79" s="498" t="n"/>
      <c r="TRF79" s="498" t="n"/>
      <c r="TRG79" s="498" t="n"/>
      <c r="TRH79" s="498" t="n"/>
      <c r="TRI79" s="498" t="n"/>
      <c r="TRJ79" s="498" t="n"/>
      <c r="TRK79" s="498" t="n"/>
      <c r="TRL79" s="498" t="n"/>
      <c r="TRM79" s="498" t="n"/>
      <c r="TRN79" s="498" t="n"/>
      <c r="TRO79" s="498" t="n"/>
      <c r="TRP79" s="498" t="n"/>
      <c r="TRQ79" s="498" t="n"/>
      <c r="TRR79" s="498" t="n"/>
      <c r="TRS79" s="498" t="n"/>
      <c r="TRT79" s="498" t="n"/>
      <c r="TRU79" s="498" t="n"/>
      <c r="TRV79" s="498" t="n"/>
      <c r="TRW79" s="498" t="n"/>
      <c r="TRX79" s="498" t="n"/>
      <c r="TRY79" s="498" t="n"/>
      <c r="TRZ79" s="498" t="n"/>
      <c r="TSA79" s="498" t="n"/>
      <c r="TSB79" s="498" t="n"/>
      <c r="TSC79" s="498" t="n"/>
      <c r="TSD79" s="498" t="n"/>
      <c r="TSE79" s="498" t="n"/>
      <c r="TSF79" s="498" t="n"/>
      <c r="TSG79" s="498" t="n"/>
      <c r="TSH79" s="498" t="n"/>
      <c r="TSI79" s="498" t="n"/>
      <c r="TSJ79" s="498" t="n"/>
      <c r="TSK79" s="498" t="n"/>
      <c r="TSL79" s="498" t="n"/>
      <c r="TSM79" s="498" t="n"/>
      <c r="TSN79" s="498" t="n"/>
      <c r="TSO79" s="498" t="n"/>
      <c r="TSP79" s="498" t="n"/>
      <c r="TSQ79" s="498" t="n"/>
      <c r="TSR79" s="498" t="n"/>
      <c r="TSS79" s="498" t="n"/>
      <c r="TST79" s="498" t="n"/>
      <c r="TSU79" s="498" t="n"/>
      <c r="TSV79" s="498" t="n"/>
      <c r="TSW79" s="498" t="n"/>
      <c r="TSX79" s="498" t="n"/>
      <c r="TSY79" s="498" t="n"/>
      <c r="TSZ79" s="498" t="n"/>
      <c r="TTA79" s="498" t="n"/>
      <c r="TTB79" s="498" t="n"/>
      <c r="TTC79" s="498" t="n"/>
      <c r="TTD79" s="498" t="n"/>
      <c r="TTE79" s="498" t="n"/>
      <c r="TTF79" s="498" t="n"/>
      <c r="TTG79" s="498" t="n"/>
      <c r="TTH79" s="498" t="n"/>
      <c r="TTI79" s="498" t="n"/>
      <c r="TTJ79" s="498" t="n"/>
      <c r="TTK79" s="498" t="n"/>
      <c r="TTL79" s="498" t="n"/>
      <c r="TTM79" s="498" t="n"/>
      <c r="TTN79" s="498" t="n"/>
      <c r="TTO79" s="498" t="n"/>
      <c r="TTP79" s="498" t="n"/>
      <c r="TTQ79" s="498" t="n"/>
      <c r="TTR79" s="498" t="n"/>
      <c r="TTS79" s="498" t="n"/>
      <c r="TTT79" s="498" t="n"/>
      <c r="TTU79" s="498" t="n"/>
      <c r="TTV79" s="498" t="n"/>
      <c r="TTW79" s="498" t="n"/>
      <c r="TTX79" s="498" t="n"/>
      <c r="TTY79" s="498" t="n"/>
      <c r="TTZ79" s="498" t="n"/>
      <c r="TUA79" s="498" t="n"/>
      <c r="TUB79" s="498" t="n"/>
      <c r="TUC79" s="498" t="n"/>
      <c r="TUD79" s="498" t="n"/>
      <c r="TUE79" s="498" t="n"/>
      <c r="TUF79" s="498" t="n"/>
      <c r="TUG79" s="498" t="n"/>
      <c r="TUH79" s="498" t="n"/>
      <c r="TUI79" s="498" t="n"/>
      <c r="TUJ79" s="498" t="n"/>
      <c r="TUK79" s="498" t="n"/>
      <c r="TUL79" s="498" t="n"/>
      <c r="TUM79" s="498" t="n"/>
      <c r="TUN79" s="498" t="n"/>
      <c r="TUO79" s="498" t="n"/>
      <c r="TUP79" s="498" t="n"/>
      <c r="TUQ79" s="498" t="n"/>
      <c r="TUR79" s="498" t="n"/>
      <c r="TUS79" s="498" t="n"/>
      <c r="TUT79" s="498" t="n"/>
      <c r="TUU79" s="498" t="n"/>
      <c r="TUV79" s="498" t="n"/>
      <c r="TUW79" s="498" t="n"/>
      <c r="TUX79" s="498" t="n"/>
      <c r="TUY79" s="498" t="n"/>
      <c r="TUZ79" s="498" t="n"/>
      <c r="TVA79" s="498" t="n"/>
      <c r="TVB79" s="498" t="n"/>
      <c r="TVC79" s="498" t="n"/>
      <c r="TVD79" s="498" t="n"/>
      <c r="TVE79" s="498" t="n"/>
      <c r="TVF79" s="498" t="n"/>
      <c r="TVG79" s="498" t="n"/>
      <c r="TVH79" s="498" t="n"/>
      <c r="TVI79" s="498" t="n"/>
      <c r="TVJ79" s="498" t="n"/>
      <c r="TVK79" s="498" t="n"/>
      <c r="TVL79" s="498" t="n"/>
      <c r="TVM79" s="498" t="n"/>
      <c r="TVN79" s="498" t="n"/>
      <c r="TVO79" s="498" t="n"/>
      <c r="TVP79" s="498" t="n"/>
      <c r="TVQ79" s="498" t="n"/>
      <c r="TVR79" s="498" t="n"/>
      <c r="TVS79" s="498" t="n"/>
      <c r="TVT79" s="498" t="n"/>
      <c r="TVU79" s="498" t="n"/>
      <c r="TVV79" s="498" t="n"/>
      <c r="TVW79" s="498" t="n"/>
      <c r="TVX79" s="498" t="n"/>
      <c r="TVY79" s="498" t="n"/>
      <c r="TVZ79" s="498" t="n"/>
      <c r="TWA79" s="498" t="n"/>
      <c r="TWB79" s="498" t="n"/>
      <c r="TWC79" s="498" t="n"/>
      <c r="TWD79" s="498" t="n"/>
      <c r="TWE79" s="498" t="n"/>
      <c r="TWF79" s="498" t="n"/>
      <c r="TWG79" s="498" t="n"/>
      <c r="TWH79" s="498" t="n"/>
      <c r="TWI79" s="498" t="n"/>
      <c r="TWJ79" s="498" t="n"/>
      <c r="TWK79" s="498" t="n"/>
      <c r="TWL79" s="498" t="n"/>
      <c r="TWM79" s="498" t="n"/>
      <c r="TWN79" s="498" t="n"/>
      <c r="TWO79" s="498" t="n"/>
      <c r="TWP79" s="498" t="n"/>
      <c r="TWQ79" s="498" t="n"/>
      <c r="TWR79" s="498" t="n"/>
      <c r="TWS79" s="498" t="n"/>
      <c r="TWT79" s="498" t="n"/>
      <c r="TWU79" s="498" t="n"/>
      <c r="TWV79" s="498" t="n"/>
      <c r="TWW79" s="498" t="n"/>
      <c r="TWX79" s="498" t="n"/>
      <c r="TWY79" s="498" t="n"/>
      <c r="TWZ79" s="498" t="n"/>
      <c r="TXA79" s="498" t="n"/>
      <c r="TXB79" s="498" t="n"/>
      <c r="TXC79" s="498" t="n"/>
      <c r="TXD79" s="498" t="n"/>
      <c r="TXE79" s="498" t="n"/>
      <c r="TXF79" s="498" t="n"/>
      <c r="TXG79" s="498" t="n"/>
      <c r="TXH79" s="498" t="n"/>
      <c r="TXI79" s="498" t="n"/>
      <c r="TXJ79" s="498" t="n"/>
      <c r="TXK79" s="498" t="n"/>
      <c r="TXL79" s="498" t="n"/>
      <c r="TXM79" s="498" t="n"/>
      <c r="TXN79" s="498" t="n"/>
      <c r="TXO79" s="498" t="n"/>
      <c r="TXP79" s="498" t="n"/>
      <c r="TXQ79" s="498" t="n"/>
      <c r="TXR79" s="498" t="n"/>
      <c r="TXS79" s="498" t="n"/>
      <c r="TXT79" s="498" t="n"/>
      <c r="TXU79" s="498" t="n"/>
      <c r="TXV79" s="498" t="n"/>
      <c r="TXW79" s="498" t="n"/>
      <c r="TXX79" s="498" t="n"/>
      <c r="TXY79" s="498" t="n"/>
      <c r="TXZ79" s="498" t="n"/>
      <c r="TYA79" s="498" t="n"/>
      <c r="TYB79" s="498" t="n"/>
      <c r="TYC79" s="498" t="n"/>
      <c r="TYD79" s="498" t="n"/>
      <c r="TYE79" s="498" t="n"/>
      <c r="TYF79" s="498" t="n"/>
      <c r="TYG79" s="498" t="n"/>
      <c r="TYH79" s="498" t="n"/>
      <c r="TYI79" s="498" t="n"/>
      <c r="TYJ79" s="498" t="n"/>
      <c r="TYK79" s="498" t="n"/>
      <c r="TYL79" s="498" t="n"/>
      <c r="TYM79" s="498" t="n"/>
      <c r="TYN79" s="498" t="n"/>
      <c r="TYO79" s="498" t="n"/>
      <c r="TYP79" s="498" t="n"/>
      <c r="TYQ79" s="498" t="n"/>
      <c r="TYR79" s="498" t="n"/>
      <c r="TYS79" s="498" t="n"/>
      <c r="TYT79" s="498" t="n"/>
      <c r="TYU79" s="498" t="n"/>
      <c r="TYV79" s="498" t="n"/>
      <c r="TYW79" s="498" t="n"/>
      <c r="TYX79" s="498" t="n"/>
      <c r="TYY79" s="498" t="n"/>
      <c r="TYZ79" s="498" t="n"/>
      <c r="TZA79" s="498" t="n"/>
      <c r="TZB79" s="498" t="n"/>
      <c r="TZC79" s="498" t="n"/>
      <c r="TZD79" s="498" t="n"/>
      <c r="TZE79" s="498" t="n"/>
      <c r="TZF79" s="498" t="n"/>
      <c r="TZG79" s="498" t="n"/>
      <c r="TZH79" s="498" t="n"/>
      <c r="TZI79" s="498" t="n"/>
      <c r="TZJ79" s="498" t="n"/>
      <c r="TZK79" s="498" t="n"/>
      <c r="TZL79" s="498" t="n"/>
      <c r="TZM79" s="498" t="n"/>
      <c r="TZN79" s="498" t="n"/>
      <c r="TZO79" s="498" t="n"/>
      <c r="TZP79" s="498" t="n"/>
      <c r="TZQ79" s="498" t="n"/>
      <c r="TZR79" s="498" t="n"/>
      <c r="TZS79" s="498" t="n"/>
      <c r="TZT79" s="498" t="n"/>
      <c r="TZU79" s="498" t="n"/>
      <c r="TZV79" s="498" t="n"/>
      <c r="TZW79" s="498" t="n"/>
      <c r="TZX79" s="498" t="n"/>
      <c r="TZY79" s="498" t="n"/>
      <c r="TZZ79" s="498" t="n"/>
      <c r="UAA79" s="498" t="n"/>
      <c r="UAB79" s="498" t="n"/>
      <c r="UAC79" s="498" t="n"/>
      <c r="UAD79" s="498" t="n"/>
      <c r="UAE79" s="498" t="n"/>
      <c r="UAF79" s="498" t="n"/>
      <c r="UAG79" s="498" t="n"/>
      <c r="UAH79" s="498" t="n"/>
      <c r="UAI79" s="498" t="n"/>
      <c r="UAJ79" s="498" t="n"/>
      <c r="UAK79" s="498" t="n"/>
      <c r="UAL79" s="498" t="n"/>
      <c r="UAM79" s="498" t="n"/>
      <c r="UAN79" s="498" t="n"/>
      <c r="UAO79" s="498" t="n"/>
      <c r="UAP79" s="498" t="n"/>
      <c r="UAQ79" s="498" t="n"/>
      <c r="UAR79" s="498" t="n"/>
      <c r="UAS79" s="498" t="n"/>
      <c r="UAT79" s="498" t="n"/>
      <c r="UAU79" s="498" t="n"/>
      <c r="UAV79" s="498" t="n"/>
      <c r="UAW79" s="498" t="n"/>
      <c r="UAX79" s="498" t="n"/>
      <c r="UAY79" s="498" t="n"/>
      <c r="UAZ79" s="498" t="n"/>
      <c r="UBA79" s="498" t="n"/>
      <c r="UBB79" s="498" t="n"/>
      <c r="UBC79" s="498" t="n"/>
      <c r="UBD79" s="498" t="n"/>
      <c r="UBE79" s="498" t="n"/>
      <c r="UBF79" s="498" t="n"/>
      <c r="UBG79" s="498" t="n"/>
      <c r="UBH79" s="498" t="n"/>
      <c r="UBI79" s="498" t="n"/>
      <c r="UBJ79" s="498" t="n"/>
      <c r="UBK79" s="498" t="n"/>
      <c r="UBL79" s="498" t="n"/>
      <c r="UBM79" s="498" t="n"/>
      <c r="UBN79" s="498" t="n"/>
      <c r="UBO79" s="498" t="n"/>
      <c r="UBP79" s="498" t="n"/>
      <c r="UBQ79" s="498" t="n"/>
      <c r="UBR79" s="498" t="n"/>
      <c r="UBS79" s="498" t="n"/>
      <c r="UBT79" s="498" t="n"/>
      <c r="UBU79" s="498" t="n"/>
      <c r="UBV79" s="498" t="n"/>
      <c r="UBW79" s="498" t="n"/>
      <c r="UBX79" s="498" t="n"/>
      <c r="UBY79" s="498" t="n"/>
      <c r="UBZ79" s="498" t="n"/>
      <c r="UCA79" s="498" t="n"/>
      <c r="UCB79" s="498" t="n"/>
      <c r="UCC79" s="498" t="n"/>
      <c r="UCD79" s="498" t="n"/>
      <c r="UCE79" s="498" t="n"/>
      <c r="UCF79" s="498" t="n"/>
      <c r="UCG79" s="498" t="n"/>
      <c r="UCH79" s="498" t="n"/>
      <c r="UCI79" s="498" t="n"/>
      <c r="UCJ79" s="498" t="n"/>
      <c r="UCK79" s="498" t="n"/>
      <c r="UCL79" s="498" t="n"/>
      <c r="UCM79" s="498" t="n"/>
      <c r="UCN79" s="498" t="n"/>
      <c r="UCO79" s="498" t="n"/>
      <c r="UCP79" s="498" t="n"/>
      <c r="UCQ79" s="498" t="n"/>
      <c r="UCR79" s="498" t="n"/>
      <c r="UCS79" s="498" t="n"/>
      <c r="UCT79" s="498" t="n"/>
      <c r="UCU79" s="498" t="n"/>
      <c r="UCV79" s="498" t="n"/>
      <c r="UCW79" s="498" t="n"/>
      <c r="UCX79" s="498" t="n"/>
      <c r="UCY79" s="498" t="n"/>
      <c r="UCZ79" s="498" t="n"/>
      <c r="UDA79" s="498" t="n"/>
      <c r="UDB79" s="498" t="n"/>
      <c r="UDC79" s="498" t="n"/>
      <c r="UDD79" s="498" t="n"/>
      <c r="UDE79" s="498" t="n"/>
      <c r="UDF79" s="498" t="n"/>
      <c r="UDG79" s="498" t="n"/>
      <c r="UDH79" s="498" t="n"/>
      <c r="UDI79" s="498" t="n"/>
      <c r="UDJ79" s="498" t="n"/>
      <c r="UDK79" s="498" t="n"/>
      <c r="UDL79" s="498" t="n"/>
      <c r="UDM79" s="498" t="n"/>
      <c r="UDN79" s="498" t="n"/>
      <c r="UDO79" s="498" t="n"/>
      <c r="UDP79" s="498" t="n"/>
      <c r="UDQ79" s="498" t="n"/>
      <c r="UDR79" s="498" t="n"/>
      <c r="UDS79" s="498" t="n"/>
      <c r="UDT79" s="498" t="n"/>
      <c r="UDU79" s="498" t="n"/>
      <c r="UDV79" s="498" t="n"/>
      <c r="UDW79" s="498" t="n"/>
      <c r="UDX79" s="498" t="n"/>
      <c r="UDY79" s="498" t="n"/>
      <c r="UDZ79" s="498" t="n"/>
      <c r="UEA79" s="498" t="n"/>
      <c r="UEB79" s="498" t="n"/>
      <c r="UEC79" s="498" t="n"/>
      <c r="UED79" s="498" t="n"/>
      <c r="UEE79" s="498" t="n"/>
      <c r="UEF79" s="498" t="n"/>
      <c r="UEG79" s="498" t="n"/>
      <c r="UEH79" s="498" t="n"/>
      <c r="UEI79" s="498" t="n"/>
      <c r="UEJ79" s="498" t="n"/>
      <c r="UEK79" s="498" t="n"/>
      <c r="UEL79" s="498" t="n"/>
      <c r="UEM79" s="498" t="n"/>
      <c r="UEN79" s="498" t="n"/>
      <c r="UEO79" s="498" t="n"/>
      <c r="UEP79" s="498" t="n"/>
      <c r="UEQ79" s="498" t="n"/>
      <c r="UER79" s="498" t="n"/>
      <c r="UES79" s="498" t="n"/>
      <c r="UET79" s="498" t="n"/>
      <c r="UEU79" s="498" t="n"/>
      <c r="UEV79" s="498" t="n"/>
      <c r="UEW79" s="498" t="n"/>
      <c r="UEX79" s="498" t="n"/>
      <c r="UEY79" s="498" t="n"/>
      <c r="UEZ79" s="498" t="n"/>
      <c r="UFA79" s="498" t="n"/>
      <c r="UFB79" s="498" t="n"/>
      <c r="UFC79" s="498" t="n"/>
      <c r="UFD79" s="498" t="n"/>
      <c r="UFE79" s="498" t="n"/>
      <c r="UFF79" s="498" t="n"/>
      <c r="UFG79" s="498" t="n"/>
      <c r="UFH79" s="498" t="n"/>
      <c r="UFI79" s="498" t="n"/>
      <c r="UFJ79" s="498" t="n"/>
      <c r="UFK79" s="498" t="n"/>
      <c r="UFL79" s="498" t="n"/>
      <c r="UFM79" s="498" t="n"/>
      <c r="UFN79" s="498" t="n"/>
      <c r="UFO79" s="498" t="n"/>
      <c r="UFP79" s="498" t="n"/>
      <c r="UFQ79" s="498" t="n"/>
      <c r="UFR79" s="498" t="n"/>
      <c r="UFS79" s="498" t="n"/>
      <c r="UFT79" s="498" t="n"/>
      <c r="UFU79" s="498" t="n"/>
      <c r="UFV79" s="498" t="n"/>
      <c r="UFW79" s="498" t="n"/>
      <c r="UFX79" s="498" t="n"/>
      <c r="UFY79" s="498" t="n"/>
      <c r="UFZ79" s="498" t="n"/>
      <c r="UGA79" s="498" t="n"/>
      <c r="UGB79" s="498" t="n"/>
      <c r="UGC79" s="498" t="n"/>
      <c r="UGD79" s="498" t="n"/>
      <c r="UGE79" s="498" t="n"/>
      <c r="UGF79" s="498" t="n"/>
      <c r="UGG79" s="498" t="n"/>
      <c r="UGH79" s="498" t="n"/>
      <c r="UGI79" s="498" t="n"/>
      <c r="UGJ79" s="498" t="n"/>
      <c r="UGK79" s="498" t="n"/>
      <c r="UGL79" s="498" t="n"/>
      <c r="UGM79" s="498" t="n"/>
      <c r="UGN79" s="498" t="n"/>
      <c r="UGO79" s="498" t="n"/>
      <c r="UGP79" s="498" t="n"/>
      <c r="UGQ79" s="498" t="n"/>
      <c r="UGR79" s="498" t="n"/>
      <c r="UGS79" s="498" t="n"/>
      <c r="UGT79" s="498" t="n"/>
      <c r="UGU79" s="498" t="n"/>
      <c r="UGV79" s="498" t="n"/>
      <c r="UGW79" s="498" t="n"/>
      <c r="UGX79" s="498" t="n"/>
      <c r="UGY79" s="498" t="n"/>
      <c r="UGZ79" s="498" t="n"/>
      <c r="UHA79" s="498" t="n"/>
      <c r="UHB79" s="498" t="n"/>
      <c r="UHC79" s="498" t="n"/>
      <c r="UHD79" s="498" t="n"/>
      <c r="UHE79" s="498" t="n"/>
      <c r="UHF79" s="498" t="n"/>
      <c r="UHG79" s="498" t="n"/>
      <c r="UHH79" s="498" t="n"/>
      <c r="UHI79" s="498" t="n"/>
      <c r="UHJ79" s="498" t="n"/>
      <c r="UHK79" s="498" t="n"/>
      <c r="UHL79" s="498" t="n"/>
      <c r="UHM79" s="498" t="n"/>
      <c r="UHN79" s="498" t="n"/>
      <c r="UHO79" s="498" t="n"/>
      <c r="UHP79" s="498" t="n"/>
      <c r="UHQ79" s="498" t="n"/>
      <c r="UHR79" s="498" t="n"/>
      <c r="UHS79" s="498" t="n"/>
      <c r="UHT79" s="498" t="n"/>
      <c r="UHU79" s="498" t="n"/>
      <c r="UHV79" s="498" t="n"/>
      <c r="UHW79" s="498" t="n"/>
      <c r="UHX79" s="498" t="n"/>
      <c r="UHY79" s="498" t="n"/>
      <c r="UHZ79" s="498" t="n"/>
      <c r="UIA79" s="498" t="n"/>
      <c r="UIB79" s="498" t="n"/>
      <c r="UIC79" s="498" t="n"/>
      <c r="UID79" s="498" t="n"/>
      <c r="UIE79" s="498" t="n"/>
      <c r="UIF79" s="498" t="n"/>
      <c r="UIG79" s="498" t="n"/>
      <c r="UIH79" s="498" t="n"/>
      <c r="UII79" s="498" t="n"/>
      <c r="UIJ79" s="498" t="n"/>
      <c r="UIK79" s="498" t="n"/>
      <c r="UIL79" s="498" t="n"/>
      <c r="UIM79" s="498" t="n"/>
      <c r="UIN79" s="498" t="n"/>
      <c r="UIO79" s="498" t="n"/>
      <c r="UIP79" s="498" t="n"/>
      <c r="UIQ79" s="498" t="n"/>
      <c r="UIR79" s="498" t="n"/>
      <c r="UIS79" s="498" t="n"/>
      <c r="UIT79" s="498" t="n"/>
      <c r="UIU79" s="498" t="n"/>
      <c r="UIV79" s="498" t="n"/>
      <c r="UIW79" s="498" t="n"/>
      <c r="UIX79" s="498" t="n"/>
      <c r="UIY79" s="498" t="n"/>
      <c r="UIZ79" s="498" t="n"/>
      <c r="UJA79" s="498" t="n"/>
      <c r="UJB79" s="498" t="n"/>
      <c r="UJC79" s="498" t="n"/>
      <c r="UJD79" s="498" t="n"/>
      <c r="UJE79" s="498" t="n"/>
      <c r="UJF79" s="498" t="n"/>
      <c r="UJG79" s="498" t="n"/>
      <c r="UJH79" s="498" t="n"/>
      <c r="UJI79" s="498" t="n"/>
      <c r="UJJ79" s="498" t="n"/>
      <c r="UJK79" s="498" t="n"/>
      <c r="UJL79" s="498" t="n"/>
      <c r="UJM79" s="498" t="n"/>
      <c r="UJN79" s="498" t="n"/>
      <c r="UJO79" s="498" t="n"/>
      <c r="UJP79" s="498" t="n"/>
      <c r="UJQ79" s="498" t="n"/>
      <c r="UJR79" s="498" t="n"/>
      <c r="UJS79" s="498" t="n"/>
      <c r="UJT79" s="498" t="n"/>
      <c r="UJU79" s="498" t="n"/>
      <c r="UJV79" s="498" t="n"/>
      <c r="UJW79" s="498" t="n"/>
      <c r="UJX79" s="498" t="n"/>
      <c r="UJY79" s="498" t="n"/>
      <c r="UJZ79" s="498" t="n"/>
      <c r="UKA79" s="498" t="n"/>
      <c r="UKB79" s="498" t="n"/>
      <c r="UKC79" s="498" t="n"/>
      <c r="UKD79" s="498" t="n"/>
      <c r="UKE79" s="498" t="n"/>
      <c r="UKF79" s="498" t="n"/>
      <c r="UKG79" s="498" t="n"/>
      <c r="UKH79" s="498" t="n"/>
      <c r="UKI79" s="498" t="n"/>
      <c r="UKJ79" s="498" t="n"/>
      <c r="UKK79" s="498" t="n"/>
      <c r="UKL79" s="498" t="n"/>
      <c r="UKM79" s="498" t="n"/>
      <c r="UKN79" s="498" t="n"/>
      <c r="UKO79" s="498" t="n"/>
      <c r="UKP79" s="498" t="n"/>
      <c r="UKQ79" s="498" t="n"/>
      <c r="UKR79" s="498" t="n"/>
      <c r="UKS79" s="498" t="n"/>
      <c r="UKT79" s="498" t="n"/>
      <c r="UKU79" s="498" t="n"/>
      <c r="UKV79" s="498" t="n"/>
      <c r="UKW79" s="498" t="n"/>
      <c r="UKX79" s="498" t="n"/>
      <c r="UKY79" s="498" t="n"/>
      <c r="UKZ79" s="498" t="n"/>
      <c r="ULA79" s="498" t="n"/>
      <c r="ULB79" s="498" t="n"/>
      <c r="ULC79" s="498" t="n"/>
      <c r="ULD79" s="498" t="n"/>
      <c r="ULE79" s="498" t="n"/>
      <c r="ULF79" s="498" t="n"/>
      <c r="ULG79" s="498" t="n"/>
      <c r="ULH79" s="498" t="n"/>
      <c r="ULI79" s="498" t="n"/>
      <c r="ULJ79" s="498" t="n"/>
      <c r="ULK79" s="498" t="n"/>
      <c r="ULL79" s="498" t="n"/>
      <c r="ULM79" s="498" t="n"/>
      <c r="ULN79" s="498" t="n"/>
      <c r="ULO79" s="498" t="n"/>
      <c r="ULP79" s="498" t="n"/>
      <c r="ULQ79" s="498" t="n"/>
      <c r="ULR79" s="498" t="n"/>
      <c r="ULS79" s="498" t="n"/>
      <c r="ULT79" s="498" t="n"/>
      <c r="ULU79" s="498" t="n"/>
      <c r="ULV79" s="498" t="n"/>
      <c r="ULW79" s="498" t="n"/>
      <c r="ULX79" s="498" t="n"/>
      <c r="ULY79" s="498" t="n"/>
      <c r="ULZ79" s="498" t="n"/>
      <c r="UMA79" s="498" t="n"/>
      <c r="UMB79" s="498" t="n"/>
      <c r="UMC79" s="498" t="n"/>
      <c r="UMD79" s="498" t="n"/>
      <c r="UME79" s="498" t="n"/>
      <c r="UMF79" s="498" t="n"/>
      <c r="UMG79" s="498" t="n"/>
      <c r="UMH79" s="498" t="n"/>
      <c r="UMI79" s="498" t="n"/>
      <c r="UMJ79" s="498" t="n"/>
      <c r="UMK79" s="498" t="n"/>
      <c r="UML79" s="498" t="n"/>
      <c r="UMM79" s="498" t="n"/>
      <c r="UMN79" s="498" t="n"/>
      <c r="UMO79" s="498" t="n"/>
      <c r="UMP79" s="498" t="n"/>
      <c r="UMQ79" s="498" t="n"/>
      <c r="UMR79" s="498" t="n"/>
      <c r="UMS79" s="498" t="n"/>
      <c r="UMT79" s="498" t="n"/>
      <c r="UMU79" s="498" t="n"/>
      <c r="UMV79" s="498" t="n"/>
      <c r="UMW79" s="498" t="n"/>
      <c r="UMX79" s="498" t="n"/>
      <c r="UMY79" s="498" t="n"/>
      <c r="UMZ79" s="498" t="n"/>
      <c r="UNA79" s="498" t="n"/>
      <c r="UNB79" s="498" t="n"/>
      <c r="UNC79" s="498" t="n"/>
      <c r="UND79" s="498" t="n"/>
      <c r="UNE79" s="498" t="n"/>
      <c r="UNF79" s="498" t="n"/>
      <c r="UNG79" s="498" t="n"/>
      <c r="UNH79" s="498" t="n"/>
      <c r="UNI79" s="498" t="n"/>
      <c r="UNJ79" s="498" t="n"/>
      <c r="UNK79" s="498" t="n"/>
      <c r="UNL79" s="498" t="n"/>
      <c r="UNM79" s="498" t="n"/>
      <c r="UNN79" s="498" t="n"/>
      <c r="UNO79" s="498" t="n"/>
      <c r="UNP79" s="498" t="n"/>
      <c r="UNQ79" s="498" t="n"/>
      <c r="UNR79" s="498" t="n"/>
      <c r="UNS79" s="498" t="n"/>
      <c r="UNT79" s="498" t="n"/>
      <c r="UNU79" s="498" t="n"/>
      <c r="UNV79" s="498" t="n"/>
      <c r="UNW79" s="498" t="n"/>
      <c r="UNX79" s="498" t="n"/>
      <c r="UNY79" s="498" t="n"/>
      <c r="UNZ79" s="498" t="n"/>
      <c r="UOA79" s="498" t="n"/>
      <c r="UOB79" s="498" t="n"/>
      <c r="UOC79" s="498" t="n"/>
      <c r="UOD79" s="498" t="n"/>
      <c r="UOE79" s="498" t="n"/>
      <c r="UOF79" s="498" t="n"/>
      <c r="UOG79" s="498" t="n"/>
      <c r="UOH79" s="498" t="n"/>
      <c r="UOI79" s="498" t="n"/>
      <c r="UOJ79" s="498" t="n"/>
      <c r="UOK79" s="498" t="n"/>
      <c r="UOL79" s="498" t="n"/>
      <c r="UOM79" s="498" t="n"/>
      <c r="UON79" s="498" t="n"/>
      <c r="UOO79" s="498" t="n"/>
      <c r="UOP79" s="498" t="n"/>
      <c r="UOQ79" s="498" t="n"/>
      <c r="UOR79" s="498" t="n"/>
      <c r="UOS79" s="498" t="n"/>
      <c r="UOT79" s="498" t="n"/>
      <c r="UOU79" s="498" t="n"/>
      <c r="UOV79" s="498" t="n"/>
      <c r="UOW79" s="498" t="n"/>
      <c r="UOX79" s="498" t="n"/>
      <c r="UOY79" s="498" t="n"/>
      <c r="UOZ79" s="498" t="n"/>
      <c r="UPA79" s="498" t="n"/>
      <c r="UPB79" s="498" t="n"/>
      <c r="UPC79" s="498" t="n"/>
      <c r="UPD79" s="498" t="n"/>
      <c r="UPE79" s="498" t="n"/>
      <c r="UPF79" s="498" t="n"/>
      <c r="UPG79" s="498" t="n"/>
      <c r="UPH79" s="498" t="n"/>
      <c r="UPI79" s="498" t="n"/>
      <c r="UPJ79" s="498" t="n"/>
      <c r="UPK79" s="498" t="n"/>
      <c r="UPL79" s="498" t="n"/>
      <c r="UPM79" s="498" t="n"/>
      <c r="UPN79" s="498" t="n"/>
      <c r="UPO79" s="498" t="n"/>
      <c r="UPP79" s="498" t="n"/>
      <c r="UPQ79" s="498" t="n"/>
      <c r="UPR79" s="498" t="n"/>
      <c r="UPS79" s="498" t="n"/>
      <c r="UPT79" s="498" t="n"/>
      <c r="UPU79" s="498" t="n"/>
      <c r="UPV79" s="498" t="n"/>
      <c r="UPW79" s="498" t="n"/>
      <c r="UPX79" s="498" t="n"/>
      <c r="UPY79" s="498" t="n"/>
      <c r="UPZ79" s="498" t="n"/>
      <c r="UQA79" s="498" t="n"/>
      <c r="UQB79" s="498" t="n"/>
      <c r="UQC79" s="498" t="n"/>
      <c r="UQD79" s="498" t="n"/>
      <c r="UQE79" s="498" t="n"/>
      <c r="UQF79" s="498" t="n"/>
      <c r="UQG79" s="498" t="n"/>
      <c r="UQH79" s="498" t="n"/>
      <c r="UQI79" s="498" t="n"/>
      <c r="UQJ79" s="498" t="n"/>
      <c r="UQK79" s="498" t="n"/>
      <c r="UQL79" s="498" t="n"/>
      <c r="UQM79" s="498" t="n"/>
      <c r="UQN79" s="498" t="n"/>
      <c r="UQO79" s="498" t="n"/>
      <c r="UQP79" s="498" t="n"/>
      <c r="UQQ79" s="498" t="n"/>
      <c r="UQR79" s="498" t="n"/>
      <c r="UQS79" s="498" t="n"/>
      <c r="UQT79" s="498" t="n"/>
      <c r="UQU79" s="498" t="n"/>
      <c r="UQV79" s="498" t="n"/>
      <c r="UQW79" s="498" t="n"/>
      <c r="UQX79" s="498" t="n"/>
      <c r="UQY79" s="498" t="n"/>
      <c r="UQZ79" s="498" t="n"/>
      <c r="URA79" s="498" t="n"/>
      <c r="URB79" s="498" t="n"/>
      <c r="URC79" s="498" t="n"/>
      <c r="URD79" s="498" t="n"/>
      <c r="URE79" s="498" t="n"/>
      <c r="URF79" s="498" t="n"/>
      <c r="URG79" s="498" t="n"/>
      <c r="URH79" s="498" t="n"/>
      <c r="URI79" s="498" t="n"/>
      <c r="URJ79" s="498" t="n"/>
      <c r="URK79" s="498" t="n"/>
      <c r="URL79" s="498" t="n"/>
      <c r="URM79" s="498" t="n"/>
      <c r="URN79" s="498" t="n"/>
      <c r="URO79" s="498" t="n"/>
      <c r="URP79" s="498" t="n"/>
      <c r="URQ79" s="498" t="n"/>
      <c r="URR79" s="498" t="n"/>
      <c r="URS79" s="498" t="n"/>
      <c r="URT79" s="498" t="n"/>
      <c r="URU79" s="498" t="n"/>
      <c r="URV79" s="498" t="n"/>
      <c r="URW79" s="498" t="n"/>
      <c r="URX79" s="498" t="n"/>
      <c r="URY79" s="498" t="n"/>
      <c r="URZ79" s="498" t="n"/>
      <c r="USA79" s="498" t="n"/>
      <c r="USB79" s="498" t="n"/>
      <c r="USC79" s="498" t="n"/>
      <c r="USD79" s="498" t="n"/>
      <c r="USE79" s="498" t="n"/>
      <c r="USF79" s="498" t="n"/>
      <c r="USG79" s="498" t="n"/>
      <c r="USH79" s="498" t="n"/>
      <c r="USI79" s="498" t="n"/>
      <c r="USJ79" s="498" t="n"/>
      <c r="USK79" s="498" t="n"/>
      <c r="USL79" s="498" t="n"/>
      <c r="USM79" s="498" t="n"/>
      <c r="USN79" s="498" t="n"/>
      <c r="USO79" s="498" t="n"/>
      <c r="USP79" s="498" t="n"/>
      <c r="USQ79" s="498" t="n"/>
      <c r="USR79" s="498" t="n"/>
      <c r="USS79" s="498" t="n"/>
      <c r="UST79" s="498" t="n"/>
      <c r="USU79" s="498" t="n"/>
      <c r="USV79" s="498" t="n"/>
      <c r="USW79" s="498" t="n"/>
      <c r="USX79" s="498" t="n"/>
      <c r="USY79" s="498" t="n"/>
      <c r="USZ79" s="498" t="n"/>
      <c r="UTA79" s="498" t="n"/>
      <c r="UTB79" s="498" t="n"/>
      <c r="UTC79" s="498" t="n"/>
      <c r="UTD79" s="498" t="n"/>
      <c r="UTE79" s="498" t="n"/>
      <c r="UTF79" s="498" t="n"/>
      <c r="UTG79" s="498" t="n"/>
      <c r="UTH79" s="498" t="n"/>
      <c r="UTI79" s="498" t="n"/>
      <c r="UTJ79" s="498" t="n"/>
      <c r="UTK79" s="498" t="n"/>
      <c r="UTL79" s="498" t="n"/>
      <c r="UTM79" s="498" t="n"/>
      <c r="UTN79" s="498" t="n"/>
      <c r="UTO79" s="498" t="n"/>
      <c r="UTP79" s="498" t="n"/>
      <c r="UTQ79" s="498" t="n"/>
      <c r="UTR79" s="498" t="n"/>
      <c r="UTS79" s="498" t="n"/>
      <c r="UTT79" s="498" t="n"/>
      <c r="UTU79" s="498" t="n"/>
      <c r="UTV79" s="498" t="n"/>
      <c r="UTW79" s="498" t="n"/>
      <c r="UTX79" s="498" t="n"/>
      <c r="UTY79" s="498" t="n"/>
      <c r="UTZ79" s="498" t="n"/>
      <c r="UUA79" s="498" t="n"/>
      <c r="UUB79" s="498" t="n"/>
      <c r="UUC79" s="498" t="n"/>
      <c r="UUD79" s="498" t="n"/>
      <c r="UUE79" s="498" t="n"/>
      <c r="UUF79" s="498" t="n"/>
      <c r="UUG79" s="498" t="n"/>
      <c r="UUH79" s="498" t="n"/>
      <c r="UUI79" s="498" t="n"/>
      <c r="UUJ79" s="498" t="n"/>
      <c r="UUK79" s="498" t="n"/>
      <c r="UUL79" s="498" t="n"/>
      <c r="UUM79" s="498" t="n"/>
      <c r="UUN79" s="498" t="n"/>
      <c r="UUO79" s="498" t="n"/>
      <c r="UUP79" s="498" t="n"/>
      <c r="UUQ79" s="498" t="n"/>
      <c r="UUR79" s="498" t="n"/>
      <c r="UUS79" s="498" t="n"/>
      <c r="UUT79" s="498" t="n"/>
      <c r="UUU79" s="498" t="n"/>
      <c r="UUV79" s="498" t="n"/>
      <c r="UUW79" s="498" t="n"/>
      <c r="UUX79" s="498" t="n"/>
      <c r="UUY79" s="498" t="n"/>
      <c r="UUZ79" s="498" t="n"/>
      <c r="UVA79" s="498" t="n"/>
      <c r="UVB79" s="498" t="n"/>
      <c r="UVC79" s="498" t="n"/>
      <c r="UVD79" s="498" t="n"/>
      <c r="UVE79" s="498" t="n"/>
      <c r="UVF79" s="498" t="n"/>
      <c r="UVG79" s="498" t="n"/>
      <c r="UVH79" s="498" t="n"/>
      <c r="UVI79" s="498" t="n"/>
      <c r="UVJ79" s="498" t="n"/>
      <c r="UVK79" s="498" t="n"/>
      <c r="UVL79" s="498" t="n"/>
      <c r="UVM79" s="498" t="n"/>
      <c r="UVN79" s="498" t="n"/>
      <c r="UVO79" s="498" t="n"/>
      <c r="UVP79" s="498" t="n"/>
      <c r="UVQ79" s="498" t="n"/>
      <c r="UVR79" s="498" t="n"/>
      <c r="UVS79" s="498" t="n"/>
      <c r="UVT79" s="498" t="n"/>
      <c r="UVU79" s="498" t="n"/>
      <c r="UVV79" s="498" t="n"/>
      <c r="UVW79" s="498" t="n"/>
      <c r="UVX79" s="498" t="n"/>
      <c r="UVY79" s="498" t="n"/>
      <c r="UVZ79" s="498" t="n"/>
      <c r="UWA79" s="498" t="n"/>
      <c r="UWB79" s="498" t="n"/>
      <c r="UWC79" s="498" t="n"/>
      <c r="UWD79" s="498" t="n"/>
      <c r="UWE79" s="498" t="n"/>
      <c r="UWF79" s="498" t="n"/>
      <c r="UWG79" s="498" t="n"/>
      <c r="UWH79" s="498" t="n"/>
      <c r="UWI79" s="498" t="n"/>
      <c r="UWJ79" s="498" t="n"/>
      <c r="UWK79" s="498" t="n"/>
      <c r="UWL79" s="498" t="n"/>
      <c r="UWM79" s="498" t="n"/>
      <c r="UWN79" s="498" t="n"/>
      <c r="UWO79" s="498" t="n"/>
      <c r="UWP79" s="498" t="n"/>
      <c r="UWQ79" s="498" t="n"/>
      <c r="UWR79" s="498" t="n"/>
      <c r="UWS79" s="498" t="n"/>
      <c r="UWT79" s="498" t="n"/>
      <c r="UWU79" s="498" t="n"/>
      <c r="UWV79" s="498" t="n"/>
      <c r="UWW79" s="498" t="n"/>
      <c r="UWX79" s="498" t="n"/>
      <c r="UWY79" s="498" t="n"/>
      <c r="UWZ79" s="498" t="n"/>
      <c r="UXA79" s="498" t="n"/>
      <c r="UXB79" s="498" t="n"/>
      <c r="UXC79" s="498" t="n"/>
      <c r="UXD79" s="498" t="n"/>
      <c r="UXE79" s="498" t="n"/>
      <c r="UXF79" s="498" t="n"/>
      <c r="UXG79" s="498" t="n"/>
      <c r="UXH79" s="498" t="n"/>
      <c r="UXI79" s="498" t="n"/>
      <c r="UXJ79" s="498" t="n"/>
      <c r="UXK79" s="498" t="n"/>
      <c r="UXL79" s="498" t="n"/>
      <c r="UXM79" s="498" t="n"/>
      <c r="UXN79" s="498" t="n"/>
      <c r="UXO79" s="498" t="n"/>
      <c r="UXP79" s="498" t="n"/>
      <c r="UXQ79" s="498" t="n"/>
      <c r="UXR79" s="498" t="n"/>
      <c r="UXS79" s="498" t="n"/>
      <c r="UXT79" s="498" t="n"/>
      <c r="UXU79" s="498" t="n"/>
      <c r="UXV79" s="498" t="n"/>
      <c r="UXW79" s="498" t="n"/>
      <c r="UXX79" s="498" t="n"/>
      <c r="UXY79" s="498" t="n"/>
      <c r="UXZ79" s="498" t="n"/>
      <c r="UYA79" s="498" t="n"/>
      <c r="UYB79" s="498" t="n"/>
      <c r="UYC79" s="498" t="n"/>
      <c r="UYD79" s="498" t="n"/>
      <c r="UYE79" s="498" t="n"/>
      <c r="UYF79" s="498" t="n"/>
      <c r="UYG79" s="498" t="n"/>
      <c r="UYH79" s="498" t="n"/>
      <c r="UYI79" s="498" t="n"/>
      <c r="UYJ79" s="498" t="n"/>
      <c r="UYK79" s="498" t="n"/>
      <c r="UYL79" s="498" t="n"/>
      <c r="UYM79" s="498" t="n"/>
      <c r="UYN79" s="498" t="n"/>
      <c r="UYO79" s="498" t="n"/>
      <c r="UYP79" s="498" t="n"/>
      <c r="UYQ79" s="498" t="n"/>
      <c r="UYR79" s="498" t="n"/>
      <c r="UYS79" s="498" t="n"/>
      <c r="UYT79" s="498" t="n"/>
      <c r="UYU79" s="498" t="n"/>
      <c r="UYV79" s="498" t="n"/>
      <c r="UYW79" s="498" t="n"/>
      <c r="UYX79" s="498" t="n"/>
      <c r="UYY79" s="498" t="n"/>
      <c r="UYZ79" s="498" t="n"/>
      <c r="UZA79" s="498" t="n"/>
      <c r="UZB79" s="498" t="n"/>
      <c r="UZC79" s="498" t="n"/>
      <c r="UZD79" s="498" t="n"/>
      <c r="UZE79" s="498" t="n"/>
      <c r="UZF79" s="498" t="n"/>
      <c r="UZG79" s="498" t="n"/>
      <c r="UZH79" s="498" t="n"/>
      <c r="UZI79" s="498" t="n"/>
      <c r="UZJ79" s="498" t="n"/>
      <c r="UZK79" s="498" t="n"/>
      <c r="UZL79" s="498" t="n"/>
      <c r="UZM79" s="498" t="n"/>
      <c r="UZN79" s="498" t="n"/>
      <c r="UZO79" s="498" t="n"/>
      <c r="UZP79" s="498" t="n"/>
      <c r="UZQ79" s="498" t="n"/>
      <c r="UZR79" s="498" t="n"/>
      <c r="UZS79" s="498" t="n"/>
      <c r="UZT79" s="498" t="n"/>
      <c r="UZU79" s="498" t="n"/>
      <c r="UZV79" s="498" t="n"/>
      <c r="UZW79" s="498" t="n"/>
      <c r="UZX79" s="498" t="n"/>
      <c r="UZY79" s="498" t="n"/>
      <c r="UZZ79" s="498" t="n"/>
      <c r="VAA79" s="498" t="n"/>
      <c r="VAB79" s="498" t="n"/>
      <c r="VAC79" s="498" t="n"/>
      <c r="VAD79" s="498" t="n"/>
      <c r="VAE79" s="498" t="n"/>
      <c r="VAF79" s="498" t="n"/>
      <c r="VAG79" s="498" t="n"/>
      <c r="VAH79" s="498" t="n"/>
      <c r="VAI79" s="498" t="n"/>
      <c r="VAJ79" s="498" t="n"/>
      <c r="VAK79" s="498" t="n"/>
      <c r="VAL79" s="498" t="n"/>
      <c r="VAM79" s="498" t="n"/>
      <c r="VAN79" s="498" t="n"/>
      <c r="VAO79" s="498" t="n"/>
      <c r="VAP79" s="498" t="n"/>
      <c r="VAQ79" s="498" t="n"/>
      <c r="VAR79" s="498" t="n"/>
      <c r="VAS79" s="498" t="n"/>
      <c r="VAT79" s="498" t="n"/>
      <c r="VAU79" s="498" t="n"/>
      <c r="VAV79" s="498" t="n"/>
      <c r="VAW79" s="498" t="n"/>
      <c r="VAX79" s="498" t="n"/>
      <c r="VAY79" s="498" t="n"/>
      <c r="VAZ79" s="498" t="n"/>
      <c r="VBA79" s="498" t="n"/>
      <c r="VBB79" s="498" t="n"/>
      <c r="VBC79" s="498" t="n"/>
      <c r="VBD79" s="498" t="n"/>
      <c r="VBE79" s="498" t="n"/>
      <c r="VBF79" s="498" t="n"/>
      <c r="VBG79" s="498" t="n"/>
      <c r="VBH79" s="498" t="n"/>
      <c r="VBI79" s="498" t="n"/>
      <c r="VBJ79" s="498" t="n"/>
      <c r="VBK79" s="498" t="n"/>
      <c r="VBL79" s="498" t="n"/>
      <c r="VBM79" s="498" t="n"/>
      <c r="VBN79" s="498" t="n"/>
      <c r="VBO79" s="498" t="n"/>
      <c r="VBP79" s="498" t="n"/>
      <c r="VBQ79" s="498" t="n"/>
      <c r="VBR79" s="498" t="n"/>
      <c r="VBS79" s="498" t="n"/>
      <c r="VBT79" s="498" t="n"/>
      <c r="VBU79" s="498" t="n"/>
      <c r="VBV79" s="498" t="n"/>
      <c r="VBW79" s="498" t="n"/>
      <c r="VBX79" s="498" t="n"/>
      <c r="VBY79" s="498" t="n"/>
      <c r="VBZ79" s="498" t="n"/>
      <c r="VCA79" s="498" t="n"/>
      <c r="VCB79" s="498" t="n"/>
      <c r="VCC79" s="498" t="n"/>
      <c r="VCD79" s="498" t="n"/>
      <c r="VCE79" s="498" t="n"/>
      <c r="VCF79" s="498" t="n"/>
      <c r="VCG79" s="498" t="n"/>
      <c r="VCH79" s="498" t="n"/>
      <c r="VCI79" s="498" t="n"/>
      <c r="VCJ79" s="498" t="n"/>
      <c r="VCK79" s="498" t="n"/>
      <c r="VCL79" s="498" t="n"/>
      <c r="VCM79" s="498" t="n"/>
      <c r="VCN79" s="498" t="n"/>
      <c r="VCO79" s="498" t="n"/>
      <c r="VCP79" s="498" t="n"/>
      <c r="VCQ79" s="498" t="n"/>
      <c r="VCR79" s="498" t="n"/>
      <c r="VCS79" s="498" t="n"/>
      <c r="VCT79" s="498" t="n"/>
      <c r="VCU79" s="498" t="n"/>
      <c r="VCV79" s="498" t="n"/>
      <c r="VCW79" s="498" t="n"/>
      <c r="VCX79" s="498" t="n"/>
      <c r="VCY79" s="498" t="n"/>
      <c r="VCZ79" s="498" t="n"/>
      <c r="VDA79" s="498" t="n"/>
      <c r="VDB79" s="498" t="n"/>
      <c r="VDC79" s="498" t="n"/>
      <c r="VDD79" s="498" t="n"/>
      <c r="VDE79" s="498" t="n"/>
      <c r="VDF79" s="498" t="n"/>
      <c r="VDG79" s="498" t="n"/>
      <c r="VDH79" s="498" t="n"/>
      <c r="VDI79" s="498" t="n"/>
      <c r="VDJ79" s="498" t="n"/>
      <c r="VDK79" s="498" t="n"/>
      <c r="VDL79" s="498" t="n"/>
      <c r="VDM79" s="498" t="n"/>
      <c r="VDN79" s="498" t="n"/>
      <c r="VDO79" s="498" t="n"/>
      <c r="VDP79" s="498" t="n"/>
      <c r="VDQ79" s="498" t="n"/>
      <c r="VDR79" s="498" t="n"/>
      <c r="VDS79" s="498" t="n"/>
      <c r="VDT79" s="498" t="n"/>
      <c r="VDU79" s="498" t="n"/>
      <c r="VDV79" s="498" t="n"/>
      <c r="VDW79" s="498" t="n"/>
      <c r="VDX79" s="498" t="n"/>
      <c r="VDY79" s="498" t="n"/>
      <c r="VDZ79" s="498" t="n"/>
      <c r="VEA79" s="498" t="n"/>
      <c r="VEB79" s="498" t="n"/>
      <c r="VEC79" s="498" t="n"/>
      <c r="VED79" s="498" t="n"/>
      <c r="VEE79" s="498" t="n"/>
      <c r="VEF79" s="498" t="n"/>
      <c r="VEG79" s="498" t="n"/>
      <c r="VEH79" s="498" t="n"/>
      <c r="VEI79" s="498" t="n"/>
      <c r="VEJ79" s="498" t="n"/>
      <c r="VEK79" s="498" t="n"/>
      <c r="VEL79" s="498" t="n"/>
      <c r="VEM79" s="498" t="n"/>
      <c r="VEN79" s="498" t="n"/>
      <c r="VEO79" s="498" t="n"/>
      <c r="VEP79" s="498" t="n"/>
      <c r="VEQ79" s="498" t="n"/>
      <c r="VER79" s="498" t="n"/>
      <c r="VES79" s="498" t="n"/>
      <c r="VET79" s="498" t="n"/>
      <c r="VEU79" s="498" t="n"/>
      <c r="VEV79" s="498" t="n"/>
      <c r="VEW79" s="498" t="n"/>
      <c r="VEX79" s="498" t="n"/>
      <c r="VEY79" s="498" t="n"/>
      <c r="VEZ79" s="498" t="n"/>
      <c r="VFA79" s="498" t="n"/>
      <c r="VFB79" s="498" t="n"/>
      <c r="VFC79" s="498" t="n"/>
      <c r="VFD79" s="498" t="n"/>
      <c r="VFE79" s="498" t="n"/>
      <c r="VFF79" s="498" t="n"/>
      <c r="VFG79" s="498" t="n"/>
      <c r="VFH79" s="498" t="n"/>
      <c r="VFI79" s="498" t="n"/>
      <c r="VFJ79" s="498" t="n"/>
      <c r="VFK79" s="498" t="n"/>
      <c r="VFL79" s="498" t="n"/>
      <c r="VFM79" s="498" t="n"/>
      <c r="VFN79" s="498" t="n"/>
      <c r="VFO79" s="498" t="n"/>
      <c r="VFP79" s="498" t="n"/>
      <c r="VFQ79" s="498" t="n"/>
      <c r="VFR79" s="498" t="n"/>
      <c r="VFS79" s="498" t="n"/>
      <c r="VFT79" s="498" t="n"/>
      <c r="VFU79" s="498" t="n"/>
      <c r="VFV79" s="498" t="n"/>
      <c r="VFW79" s="498" t="n"/>
      <c r="VFX79" s="498" t="n"/>
      <c r="VFY79" s="498" t="n"/>
      <c r="VFZ79" s="498" t="n"/>
      <c r="VGA79" s="498" t="n"/>
      <c r="VGB79" s="498" t="n"/>
      <c r="VGC79" s="498" t="n"/>
      <c r="VGD79" s="498" t="n"/>
      <c r="VGE79" s="498" t="n"/>
      <c r="VGF79" s="498" t="n"/>
      <c r="VGG79" s="498" t="n"/>
      <c r="VGH79" s="498" t="n"/>
      <c r="VGI79" s="498" t="n"/>
      <c r="VGJ79" s="498" t="n"/>
      <c r="VGK79" s="498" t="n"/>
      <c r="VGL79" s="498" t="n"/>
      <c r="VGM79" s="498" t="n"/>
      <c r="VGN79" s="498" t="n"/>
      <c r="VGO79" s="498" t="n"/>
      <c r="VGP79" s="498" t="n"/>
      <c r="VGQ79" s="498" t="n"/>
      <c r="VGR79" s="498" t="n"/>
      <c r="VGS79" s="498" t="n"/>
      <c r="VGT79" s="498" t="n"/>
      <c r="VGU79" s="498" t="n"/>
      <c r="VGV79" s="498" t="n"/>
      <c r="VGW79" s="498" t="n"/>
      <c r="VGX79" s="498" t="n"/>
      <c r="VGY79" s="498" t="n"/>
      <c r="VGZ79" s="498" t="n"/>
      <c r="VHA79" s="498" t="n"/>
      <c r="VHB79" s="498" t="n"/>
      <c r="VHC79" s="498" t="n"/>
      <c r="VHD79" s="498" t="n"/>
      <c r="VHE79" s="498" t="n"/>
      <c r="VHF79" s="498" t="n"/>
      <c r="VHG79" s="498" t="n"/>
      <c r="VHH79" s="498" t="n"/>
      <c r="VHI79" s="498" t="n"/>
      <c r="VHJ79" s="498" t="n"/>
      <c r="VHK79" s="498" t="n"/>
      <c r="VHL79" s="498" t="n"/>
      <c r="VHM79" s="498" t="n"/>
      <c r="VHN79" s="498" t="n"/>
      <c r="VHO79" s="498" t="n"/>
      <c r="VHP79" s="498" t="n"/>
      <c r="VHQ79" s="498" t="n"/>
      <c r="VHR79" s="498" t="n"/>
      <c r="VHS79" s="498" t="n"/>
      <c r="VHT79" s="498" t="n"/>
      <c r="VHU79" s="498" t="n"/>
      <c r="VHV79" s="498" t="n"/>
      <c r="VHW79" s="498" t="n"/>
      <c r="VHX79" s="498" t="n"/>
      <c r="VHY79" s="498" t="n"/>
      <c r="VHZ79" s="498" t="n"/>
      <c r="VIA79" s="498" t="n"/>
      <c r="VIB79" s="498" t="n"/>
      <c r="VIC79" s="498" t="n"/>
      <c r="VID79" s="498" t="n"/>
      <c r="VIE79" s="498" t="n"/>
      <c r="VIF79" s="498" t="n"/>
      <c r="VIG79" s="498" t="n"/>
      <c r="VIH79" s="498" t="n"/>
      <c r="VII79" s="498" t="n"/>
      <c r="VIJ79" s="498" t="n"/>
      <c r="VIK79" s="498" t="n"/>
      <c r="VIL79" s="498" t="n"/>
      <c r="VIM79" s="498" t="n"/>
      <c r="VIN79" s="498" t="n"/>
      <c r="VIO79" s="498" t="n"/>
      <c r="VIP79" s="498" t="n"/>
      <c r="VIQ79" s="498" t="n"/>
      <c r="VIR79" s="498" t="n"/>
      <c r="VIS79" s="498" t="n"/>
      <c r="VIT79" s="498" t="n"/>
      <c r="VIU79" s="498" t="n"/>
      <c r="VIV79" s="498" t="n"/>
      <c r="VIW79" s="498" t="n"/>
      <c r="VIX79" s="498" t="n"/>
      <c r="VIY79" s="498" t="n"/>
      <c r="VIZ79" s="498" t="n"/>
      <c r="VJA79" s="498" t="n"/>
      <c r="VJB79" s="498" t="n"/>
      <c r="VJC79" s="498" t="n"/>
      <c r="VJD79" s="498" t="n"/>
      <c r="VJE79" s="498" t="n"/>
      <c r="VJF79" s="498" t="n"/>
      <c r="VJG79" s="498" t="n"/>
      <c r="VJH79" s="498" t="n"/>
      <c r="VJI79" s="498" t="n"/>
      <c r="VJJ79" s="498" t="n"/>
      <c r="VJK79" s="498" t="n"/>
      <c r="VJL79" s="498" t="n"/>
      <c r="VJM79" s="498" t="n"/>
      <c r="VJN79" s="498" t="n"/>
      <c r="VJO79" s="498" t="n"/>
      <c r="VJP79" s="498" t="n"/>
      <c r="VJQ79" s="498" t="n"/>
      <c r="VJR79" s="498" t="n"/>
      <c r="VJS79" s="498" t="n"/>
      <c r="VJT79" s="498" t="n"/>
      <c r="VJU79" s="498" t="n"/>
      <c r="VJV79" s="498" t="n"/>
      <c r="VJW79" s="498" t="n"/>
      <c r="VJX79" s="498" t="n"/>
      <c r="VJY79" s="498" t="n"/>
      <c r="VJZ79" s="498" t="n"/>
      <c r="VKA79" s="498" t="n"/>
      <c r="VKB79" s="498" t="n"/>
      <c r="VKC79" s="498" t="n"/>
      <c r="VKD79" s="498" t="n"/>
      <c r="VKE79" s="498" t="n"/>
      <c r="VKF79" s="498" t="n"/>
      <c r="VKG79" s="498" t="n"/>
      <c r="VKH79" s="498" t="n"/>
      <c r="VKI79" s="498" t="n"/>
      <c r="VKJ79" s="498" t="n"/>
      <c r="VKK79" s="498" t="n"/>
      <c r="VKL79" s="498" t="n"/>
      <c r="VKM79" s="498" t="n"/>
      <c r="VKN79" s="498" t="n"/>
      <c r="VKO79" s="498" t="n"/>
      <c r="VKP79" s="498" t="n"/>
      <c r="VKQ79" s="498" t="n"/>
      <c r="VKR79" s="498" t="n"/>
      <c r="VKS79" s="498" t="n"/>
      <c r="VKT79" s="498" t="n"/>
      <c r="VKU79" s="498" t="n"/>
      <c r="VKV79" s="498" t="n"/>
      <c r="VKW79" s="498" t="n"/>
      <c r="VKX79" s="498" t="n"/>
      <c r="VKY79" s="498" t="n"/>
      <c r="VKZ79" s="498" t="n"/>
      <c r="VLA79" s="498" t="n"/>
      <c r="VLB79" s="498" t="n"/>
      <c r="VLC79" s="498" t="n"/>
      <c r="VLD79" s="498" t="n"/>
      <c r="VLE79" s="498" t="n"/>
      <c r="VLF79" s="498" t="n"/>
      <c r="VLG79" s="498" t="n"/>
      <c r="VLH79" s="498" t="n"/>
      <c r="VLI79" s="498" t="n"/>
      <c r="VLJ79" s="498" t="n"/>
      <c r="VLK79" s="498" t="n"/>
      <c r="VLL79" s="498" t="n"/>
      <c r="VLM79" s="498" t="n"/>
      <c r="VLN79" s="498" t="n"/>
      <c r="VLO79" s="498" t="n"/>
      <c r="VLP79" s="498" t="n"/>
      <c r="VLQ79" s="498" t="n"/>
      <c r="VLR79" s="498" t="n"/>
      <c r="VLS79" s="498" t="n"/>
      <c r="VLT79" s="498" t="n"/>
      <c r="VLU79" s="498" t="n"/>
      <c r="VLV79" s="498" t="n"/>
      <c r="VLW79" s="498" t="n"/>
      <c r="VLX79" s="498" t="n"/>
      <c r="VLY79" s="498" t="n"/>
      <c r="VLZ79" s="498" t="n"/>
      <c r="VMA79" s="498" t="n"/>
      <c r="VMB79" s="498" t="n"/>
      <c r="VMC79" s="498" t="n"/>
      <c r="VMD79" s="498" t="n"/>
      <c r="VME79" s="498" t="n"/>
      <c r="VMF79" s="498" t="n"/>
      <c r="VMG79" s="498" t="n"/>
      <c r="VMH79" s="498" t="n"/>
      <c r="VMI79" s="498" t="n"/>
      <c r="VMJ79" s="498" t="n"/>
      <c r="VMK79" s="498" t="n"/>
      <c r="VML79" s="498" t="n"/>
      <c r="VMM79" s="498" t="n"/>
      <c r="VMN79" s="498" t="n"/>
      <c r="VMO79" s="498" t="n"/>
      <c r="VMP79" s="498" t="n"/>
      <c r="VMQ79" s="498" t="n"/>
      <c r="VMR79" s="498" t="n"/>
      <c r="VMS79" s="498" t="n"/>
      <c r="VMT79" s="498" t="n"/>
      <c r="VMU79" s="498" t="n"/>
      <c r="VMV79" s="498" t="n"/>
      <c r="VMW79" s="498" t="n"/>
      <c r="VMX79" s="498" t="n"/>
      <c r="VMY79" s="498" t="n"/>
      <c r="VMZ79" s="498" t="n"/>
      <c r="VNA79" s="498" t="n"/>
      <c r="VNB79" s="498" t="n"/>
      <c r="VNC79" s="498" t="n"/>
      <c r="VND79" s="498" t="n"/>
      <c r="VNE79" s="498" t="n"/>
      <c r="VNF79" s="498" t="n"/>
      <c r="VNG79" s="498" t="n"/>
      <c r="VNH79" s="498" t="n"/>
      <c r="VNI79" s="498" t="n"/>
      <c r="VNJ79" s="498" t="n"/>
      <c r="VNK79" s="498" t="n"/>
      <c r="VNL79" s="498" t="n"/>
      <c r="VNM79" s="498" t="n"/>
      <c r="VNN79" s="498" t="n"/>
      <c r="VNO79" s="498" t="n"/>
      <c r="VNP79" s="498" t="n"/>
      <c r="VNQ79" s="498" t="n"/>
      <c r="VNR79" s="498" t="n"/>
      <c r="VNS79" s="498" t="n"/>
      <c r="VNT79" s="498" t="n"/>
      <c r="VNU79" s="498" t="n"/>
      <c r="VNV79" s="498" t="n"/>
      <c r="VNW79" s="498" t="n"/>
      <c r="VNX79" s="498" t="n"/>
      <c r="VNY79" s="498" t="n"/>
      <c r="VNZ79" s="498" t="n"/>
      <c r="VOA79" s="498" t="n"/>
      <c r="VOB79" s="498" t="n"/>
      <c r="VOC79" s="498" t="n"/>
      <c r="VOD79" s="498" t="n"/>
      <c r="VOE79" s="498" t="n"/>
      <c r="VOF79" s="498" t="n"/>
      <c r="VOG79" s="498" t="n"/>
      <c r="VOH79" s="498" t="n"/>
      <c r="VOI79" s="498" t="n"/>
      <c r="VOJ79" s="498" t="n"/>
      <c r="VOK79" s="498" t="n"/>
      <c r="VOL79" s="498" t="n"/>
      <c r="VOM79" s="498" t="n"/>
      <c r="VON79" s="498" t="n"/>
      <c r="VOO79" s="498" t="n"/>
      <c r="VOP79" s="498" t="n"/>
      <c r="VOQ79" s="498" t="n"/>
      <c r="VOR79" s="498" t="n"/>
      <c r="VOS79" s="498" t="n"/>
      <c r="VOT79" s="498" t="n"/>
      <c r="VOU79" s="498" t="n"/>
      <c r="VOV79" s="498" t="n"/>
      <c r="VOW79" s="498" t="n"/>
      <c r="VOX79" s="498" t="n"/>
      <c r="VOY79" s="498" t="n"/>
      <c r="VOZ79" s="498" t="n"/>
      <c r="VPA79" s="498" t="n"/>
      <c r="VPB79" s="498" t="n"/>
      <c r="VPC79" s="498" t="n"/>
      <c r="VPD79" s="498" t="n"/>
      <c r="VPE79" s="498" t="n"/>
      <c r="VPF79" s="498" t="n"/>
      <c r="VPG79" s="498" t="n"/>
      <c r="VPH79" s="498" t="n"/>
      <c r="VPI79" s="498" t="n"/>
      <c r="VPJ79" s="498" t="n"/>
      <c r="VPK79" s="498" t="n"/>
      <c r="VPL79" s="498" t="n"/>
      <c r="VPM79" s="498" t="n"/>
      <c r="VPN79" s="498" t="n"/>
      <c r="VPO79" s="498" t="n"/>
      <c r="VPP79" s="498" t="n"/>
      <c r="VPQ79" s="498" t="n"/>
      <c r="VPR79" s="498" t="n"/>
      <c r="VPS79" s="498" t="n"/>
      <c r="VPT79" s="498" t="n"/>
      <c r="VPU79" s="498" t="n"/>
      <c r="VPV79" s="498" t="n"/>
      <c r="VPW79" s="498" t="n"/>
      <c r="VPX79" s="498" t="n"/>
      <c r="VPY79" s="498" t="n"/>
      <c r="VPZ79" s="498" t="n"/>
      <c r="VQA79" s="498" t="n"/>
      <c r="VQB79" s="498" t="n"/>
      <c r="VQC79" s="498" t="n"/>
      <c r="VQD79" s="498" t="n"/>
      <c r="VQE79" s="498" t="n"/>
      <c r="VQF79" s="498" t="n"/>
      <c r="VQG79" s="498" t="n"/>
      <c r="VQH79" s="498" t="n"/>
      <c r="VQI79" s="498" t="n"/>
      <c r="VQJ79" s="498" t="n"/>
      <c r="VQK79" s="498" t="n"/>
      <c r="VQL79" s="498" t="n"/>
      <c r="VQM79" s="498" t="n"/>
      <c r="VQN79" s="498" t="n"/>
      <c r="VQO79" s="498" t="n"/>
      <c r="VQP79" s="498" t="n"/>
      <c r="VQQ79" s="498" t="n"/>
      <c r="VQR79" s="498" t="n"/>
      <c r="VQS79" s="498" t="n"/>
      <c r="VQT79" s="498" t="n"/>
      <c r="VQU79" s="498" t="n"/>
      <c r="VQV79" s="498" t="n"/>
      <c r="VQW79" s="498" t="n"/>
      <c r="VQX79" s="498" t="n"/>
      <c r="VQY79" s="498" t="n"/>
      <c r="VQZ79" s="498" t="n"/>
      <c r="VRA79" s="498" t="n"/>
      <c r="VRB79" s="498" t="n"/>
      <c r="VRC79" s="498" t="n"/>
      <c r="VRD79" s="498" t="n"/>
      <c r="VRE79" s="498" t="n"/>
      <c r="VRF79" s="498" t="n"/>
      <c r="VRG79" s="498" t="n"/>
      <c r="VRH79" s="498" t="n"/>
      <c r="VRI79" s="498" t="n"/>
      <c r="VRJ79" s="498" t="n"/>
      <c r="VRK79" s="498" t="n"/>
      <c r="VRL79" s="498" t="n"/>
      <c r="VRM79" s="498" t="n"/>
      <c r="VRN79" s="498" t="n"/>
      <c r="VRO79" s="498" t="n"/>
      <c r="VRP79" s="498" t="n"/>
      <c r="VRQ79" s="498" t="n"/>
      <c r="VRR79" s="498" t="n"/>
      <c r="VRS79" s="498" t="n"/>
      <c r="VRT79" s="498" t="n"/>
      <c r="VRU79" s="498" t="n"/>
      <c r="VRV79" s="498" t="n"/>
      <c r="VRW79" s="498" t="n"/>
      <c r="VRX79" s="498" t="n"/>
      <c r="VRY79" s="498" t="n"/>
      <c r="VRZ79" s="498" t="n"/>
      <c r="VSA79" s="498" t="n"/>
      <c r="VSB79" s="498" t="n"/>
      <c r="VSC79" s="498" t="n"/>
      <c r="VSD79" s="498" t="n"/>
      <c r="VSE79" s="498" t="n"/>
      <c r="VSF79" s="498" t="n"/>
      <c r="VSG79" s="498" t="n"/>
      <c r="VSH79" s="498" t="n"/>
      <c r="VSI79" s="498" t="n"/>
      <c r="VSJ79" s="498" t="n"/>
      <c r="VSK79" s="498" t="n"/>
      <c r="VSL79" s="498" t="n"/>
      <c r="VSM79" s="498" t="n"/>
      <c r="VSN79" s="498" t="n"/>
      <c r="VSO79" s="498" t="n"/>
      <c r="VSP79" s="498" t="n"/>
      <c r="VSQ79" s="498" t="n"/>
      <c r="VSR79" s="498" t="n"/>
      <c r="VSS79" s="498" t="n"/>
      <c r="VST79" s="498" t="n"/>
      <c r="VSU79" s="498" t="n"/>
      <c r="VSV79" s="498" t="n"/>
      <c r="VSW79" s="498" t="n"/>
      <c r="VSX79" s="498" t="n"/>
      <c r="VSY79" s="498" t="n"/>
      <c r="VSZ79" s="498" t="n"/>
      <c r="VTA79" s="498" t="n"/>
      <c r="VTB79" s="498" t="n"/>
      <c r="VTC79" s="498" t="n"/>
      <c r="VTD79" s="498" t="n"/>
      <c r="VTE79" s="498" t="n"/>
      <c r="VTF79" s="498" t="n"/>
      <c r="VTG79" s="498" t="n"/>
      <c r="VTH79" s="498" t="n"/>
      <c r="VTI79" s="498" t="n"/>
      <c r="VTJ79" s="498" t="n"/>
      <c r="VTK79" s="498" t="n"/>
      <c r="VTL79" s="498" t="n"/>
      <c r="VTM79" s="498" t="n"/>
      <c r="VTN79" s="498" t="n"/>
      <c r="VTO79" s="498" t="n"/>
      <c r="VTP79" s="498" t="n"/>
      <c r="VTQ79" s="498" t="n"/>
      <c r="VTR79" s="498" t="n"/>
      <c r="VTS79" s="498" t="n"/>
      <c r="VTT79" s="498" t="n"/>
      <c r="VTU79" s="498" t="n"/>
      <c r="VTV79" s="498" t="n"/>
      <c r="VTW79" s="498" t="n"/>
      <c r="VTX79" s="498" t="n"/>
      <c r="VTY79" s="498" t="n"/>
      <c r="VTZ79" s="498" t="n"/>
      <c r="VUA79" s="498" t="n"/>
      <c r="VUB79" s="498" t="n"/>
      <c r="VUC79" s="498" t="n"/>
      <c r="VUD79" s="498" t="n"/>
      <c r="VUE79" s="498" t="n"/>
      <c r="VUF79" s="498" t="n"/>
      <c r="VUG79" s="498" t="n"/>
      <c r="VUH79" s="498" t="n"/>
      <c r="VUI79" s="498" t="n"/>
      <c r="VUJ79" s="498" t="n"/>
      <c r="VUK79" s="498" t="n"/>
      <c r="VUL79" s="498" t="n"/>
      <c r="VUM79" s="498" t="n"/>
      <c r="VUN79" s="498" t="n"/>
      <c r="VUO79" s="498" t="n"/>
      <c r="VUP79" s="498" t="n"/>
      <c r="VUQ79" s="498" t="n"/>
      <c r="VUR79" s="498" t="n"/>
      <c r="VUS79" s="498" t="n"/>
      <c r="VUT79" s="498" t="n"/>
      <c r="VUU79" s="498" t="n"/>
      <c r="VUV79" s="498" t="n"/>
      <c r="VUW79" s="498" t="n"/>
      <c r="VUX79" s="498" t="n"/>
      <c r="VUY79" s="498" t="n"/>
      <c r="VUZ79" s="498" t="n"/>
      <c r="VVA79" s="498" t="n"/>
      <c r="VVB79" s="498" t="n"/>
      <c r="VVC79" s="498" t="n"/>
      <c r="VVD79" s="498" t="n"/>
      <c r="VVE79" s="498" t="n"/>
      <c r="VVF79" s="498" t="n"/>
      <c r="VVG79" s="498" t="n"/>
      <c r="VVH79" s="498" t="n"/>
      <c r="VVI79" s="498" t="n"/>
      <c r="VVJ79" s="498" t="n"/>
      <c r="VVK79" s="498" t="n"/>
      <c r="VVL79" s="498" t="n"/>
      <c r="VVM79" s="498" t="n"/>
      <c r="VVN79" s="498" t="n"/>
      <c r="VVO79" s="498" t="n"/>
      <c r="VVP79" s="498" t="n"/>
      <c r="VVQ79" s="498" t="n"/>
      <c r="VVR79" s="498" t="n"/>
      <c r="VVS79" s="498" t="n"/>
      <c r="VVT79" s="498" t="n"/>
      <c r="VVU79" s="498" t="n"/>
      <c r="VVV79" s="498" t="n"/>
      <c r="VVW79" s="498" t="n"/>
      <c r="VVX79" s="498" t="n"/>
      <c r="VVY79" s="498" t="n"/>
      <c r="VVZ79" s="498" t="n"/>
      <c r="VWA79" s="498" t="n"/>
      <c r="VWB79" s="498" t="n"/>
      <c r="VWC79" s="498" t="n"/>
      <c r="VWD79" s="498" t="n"/>
      <c r="VWE79" s="498" t="n"/>
      <c r="VWF79" s="498" t="n"/>
      <c r="VWG79" s="498" t="n"/>
      <c r="VWH79" s="498" t="n"/>
      <c r="VWI79" s="498" t="n"/>
      <c r="VWJ79" s="498" t="n"/>
      <c r="VWK79" s="498" t="n"/>
      <c r="VWL79" s="498" t="n"/>
      <c r="VWM79" s="498" t="n"/>
      <c r="VWN79" s="498" t="n"/>
      <c r="VWO79" s="498" t="n"/>
      <c r="VWP79" s="498" t="n"/>
      <c r="VWQ79" s="498" t="n"/>
      <c r="VWR79" s="498" t="n"/>
      <c r="VWS79" s="498" t="n"/>
      <c r="VWT79" s="498" t="n"/>
      <c r="VWU79" s="498" t="n"/>
      <c r="VWV79" s="498" t="n"/>
      <c r="VWW79" s="498" t="n"/>
      <c r="VWX79" s="498" t="n"/>
      <c r="VWY79" s="498" t="n"/>
      <c r="VWZ79" s="498" t="n"/>
      <c r="VXA79" s="498" t="n"/>
      <c r="VXB79" s="498" t="n"/>
      <c r="VXC79" s="498" t="n"/>
      <c r="VXD79" s="498" t="n"/>
      <c r="VXE79" s="498" t="n"/>
      <c r="VXF79" s="498" t="n"/>
      <c r="VXG79" s="498" t="n"/>
      <c r="VXH79" s="498" t="n"/>
      <c r="VXI79" s="498" t="n"/>
      <c r="VXJ79" s="498" t="n"/>
      <c r="VXK79" s="498" t="n"/>
      <c r="VXL79" s="498" t="n"/>
      <c r="VXM79" s="498" t="n"/>
      <c r="VXN79" s="498" t="n"/>
      <c r="VXO79" s="498" t="n"/>
      <c r="VXP79" s="498" t="n"/>
      <c r="VXQ79" s="498" t="n"/>
      <c r="VXR79" s="498" t="n"/>
      <c r="VXS79" s="498" t="n"/>
      <c r="VXT79" s="498" t="n"/>
      <c r="VXU79" s="498" t="n"/>
      <c r="VXV79" s="498" t="n"/>
      <c r="VXW79" s="498" t="n"/>
      <c r="VXX79" s="498" t="n"/>
      <c r="VXY79" s="498" t="n"/>
      <c r="VXZ79" s="498" t="n"/>
      <c r="VYA79" s="498" t="n"/>
      <c r="VYB79" s="498" t="n"/>
      <c r="VYC79" s="498" t="n"/>
      <c r="VYD79" s="498" t="n"/>
      <c r="VYE79" s="498" t="n"/>
      <c r="VYF79" s="498" t="n"/>
      <c r="VYG79" s="498" t="n"/>
      <c r="VYH79" s="498" t="n"/>
      <c r="VYI79" s="498" t="n"/>
      <c r="VYJ79" s="498" t="n"/>
      <c r="VYK79" s="498" t="n"/>
      <c r="VYL79" s="498" t="n"/>
      <c r="VYM79" s="498" t="n"/>
      <c r="VYN79" s="498" t="n"/>
      <c r="VYO79" s="498" t="n"/>
      <c r="VYP79" s="498" t="n"/>
      <c r="VYQ79" s="498" t="n"/>
      <c r="VYR79" s="498" t="n"/>
      <c r="VYS79" s="498" t="n"/>
      <c r="VYT79" s="498" t="n"/>
      <c r="VYU79" s="498" t="n"/>
      <c r="VYV79" s="498" t="n"/>
      <c r="VYW79" s="498" t="n"/>
      <c r="VYX79" s="498" t="n"/>
      <c r="VYY79" s="498" t="n"/>
      <c r="VYZ79" s="498" t="n"/>
      <c r="VZA79" s="498" t="n"/>
      <c r="VZB79" s="498" t="n"/>
      <c r="VZC79" s="498" t="n"/>
      <c r="VZD79" s="498" t="n"/>
      <c r="VZE79" s="498" t="n"/>
      <c r="VZF79" s="498" t="n"/>
      <c r="VZG79" s="498" t="n"/>
      <c r="VZH79" s="498" t="n"/>
      <c r="VZI79" s="498" t="n"/>
      <c r="VZJ79" s="498" t="n"/>
      <c r="VZK79" s="498" t="n"/>
      <c r="VZL79" s="498" t="n"/>
      <c r="VZM79" s="498" t="n"/>
      <c r="VZN79" s="498" t="n"/>
      <c r="VZO79" s="498" t="n"/>
      <c r="VZP79" s="498" t="n"/>
      <c r="VZQ79" s="498" t="n"/>
      <c r="VZR79" s="498" t="n"/>
      <c r="VZS79" s="498" t="n"/>
      <c r="VZT79" s="498" t="n"/>
      <c r="VZU79" s="498" t="n"/>
      <c r="VZV79" s="498" t="n"/>
      <c r="VZW79" s="498" t="n"/>
      <c r="VZX79" s="498" t="n"/>
      <c r="VZY79" s="498" t="n"/>
      <c r="VZZ79" s="498" t="n"/>
      <c r="WAA79" s="498" t="n"/>
      <c r="WAB79" s="498" t="n"/>
      <c r="WAC79" s="498" t="n"/>
      <c r="WAD79" s="498" t="n"/>
      <c r="WAE79" s="498" t="n"/>
      <c r="WAF79" s="498" t="n"/>
      <c r="WAG79" s="498" t="n"/>
      <c r="WAH79" s="498" t="n"/>
      <c r="WAI79" s="498" t="n"/>
      <c r="WAJ79" s="498" t="n"/>
      <c r="WAK79" s="498" t="n"/>
      <c r="WAL79" s="498" t="n"/>
      <c r="WAM79" s="498" t="n"/>
      <c r="WAN79" s="498" t="n"/>
      <c r="WAO79" s="498" t="n"/>
      <c r="WAP79" s="498" t="n"/>
      <c r="WAQ79" s="498" t="n"/>
      <c r="WAR79" s="498" t="n"/>
      <c r="WAS79" s="498" t="n"/>
      <c r="WAT79" s="498" t="n"/>
      <c r="WAU79" s="498" t="n"/>
      <c r="WAV79" s="498" t="n"/>
      <c r="WAW79" s="498" t="n"/>
      <c r="WAX79" s="498" t="n"/>
      <c r="WAY79" s="498" t="n"/>
      <c r="WAZ79" s="498" t="n"/>
      <c r="WBA79" s="498" t="n"/>
      <c r="WBB79" s="498" t="n"/>
      <c r="WBC79" s="498" t="n"/>
      <c r="WBD79" s="498" t="n"/>
      <c r="WBE79" s="498" t="n"/>
      <c r="WBF79" s="498" t="n"/>
      <c r="WBG79" s="498" t="n"/>
      <c r="WBH79" s="498" t="n"/>
      <c r="WBI79" s="498" t="n"/>
      <c r="WBJ79" s="498" t="n"/>
      <c r="WBK79" s="498" t="n"/>
      <c r="WBL79" s="498" t="n"/>
      <c r="WBM79" s="498" t="n"/>
      <c r="WBN79" s="498" t="n"/>
      <c r="WBO79" s="498" t="n"/>
      <c r="WBP79" s="498" t="n"/>
      <c r="WBQ79" s="498" t="n"/>
      <c r="WBR79" s="498" t="n"/>
      <c r="WBS79" s="498" t="n"/>
      <c r="WBT79" s="498" t="n"/>
      <c r="WBU79" s="498" t="n"/>
      <c r="WBV79" s="498" t="n"/>
      <c r="WBW79" s="498" t="n"/>
      <c r="WBX79" s="498" t="n"/>
      <c r="WBY79" s="498" t="n"/>
      <c r="WBZ79" s="498" t="n"/>
      <c r="WCA79" s="498" t="n"/>
      <c r="WCB79" s="498" t="n"/>
      <c r="WCC79" s="498" t="n"/>
      <c r="WCD79" s="498" t="n"/>
      <c r="WCE79" s="498" t="n"/>
      <c r="WCF79" s="498" t="n"/>
      <c r="WCG79" s="498" t="n"/>
      <c r="WCH79" s="498" t="n"/>
      <c r="WCI79" s="498" t="n"/>
      <c r="WCJ79" s="498" t="n"/>
      <c r="WCK79" s="498" t="n"/>
      <c r="WCL79" s="498" t="n"/>
      <c r="WCM79" s="498" t="n"/>
      <c r="WCN79" s="498" t="n"/>
      <c r="WCO79" s="498" t="n"/>
      <c r="WCP79" s="498" t="n"/>
      <c r="WCQ79" s="498" t="n"/>
      <c r="WCR79" s="498" t="n"/>
      <c r="WCS79" s="498" t="n"/>
      <c r="WCT79" s="498" t="n"/>
      <c r="WCU79" s="498" t="n"/>
      <c r="WCV79" s="498" t="n"/>
      <c r="WCW79" s="498" t="n"/>
      <c r="WCX79" s="498" t="n"/>
      <c r="WCY79" s="498" t="n"/>
      <c r="WCZ79" s="498" t="n"/>
      <c r="WDA79" s="498" t="n"/>
      <c r="WDB79" s="498" t="n"/>
      <c r="WDC79" s="498" t="n"/>
      <c r="WDD79" s="498" t="n"/>
      <c r="WDE79" s="498" t="n"/>
      <c r="WDF79" s="498" t="n"/>
      <c r="WDG79" s="498" t="n"/>
      <c r="WDH79" s="498" t="n"/>
      <c r="WDI79" s="498" t="n"/>
      <c r="WDJ79" s="498" t="n"/>
      <c r="WDK79" s="498" t="n"/>
      <c r="WDL79" s="498" t="n"/>
      <c r="WDM79" s="498" t="n"/>
      <c r="WDN79" s="498" t="n"/>
      <c r="WDO79" s="498" t="n"/>
      <c r="WDP79" s="498" t="n"/>
      <c r="WDQ79" s="498" t="n"/>
      <c r="WDR79" s="498" t="n"/>
      <c r="WDS79" s="498" t="n"/>
      <c r="WDT79" s="498" t="n"/>
      <c r="WDU79" s="498" t="n"/>
      <c r="WDV79" s="498" t="n"/>
      <c r="WDW79" s="498" t="n"/>
      <c r="WDX79" s="498" t="n"/>
      <c r="WDY79" s="498" t="n"/>
      <c r="WDZ79" s="498" t="n"/>
      <c r="WEA79" s="498" t="n"/>
      <c r="WEB79" s="498" t="n"/>
      <c r="WEC79" s="498" t="n"/>
      <c r="WED79" s="498" t="n"/>
      <c r="WEE79" s="498" t="n"/>
      <c r="WEF79" s="498" t="n"/>
      <c r="WEG79" s="498" t="n"/>
      <c r="WEH79" s="498" t="n"/>
      <c r="WEI79" s="498" t="n"/>
      <c r="WEJ79" s="498" t="n"/>
      <c r="WEK79" s="498" t="n"/>
      <c r="WEL79" s="498" t="n"/>
      <c r="WEM79" s="498" t="n"/>
      <c r="WEN79" s="498" t="n"/>
      <c r="WEO79" s="498" t="n"/>
      <c r="WEP79" s="498" t="n"/>
      <c r="WEQ79" s="498" t="n"/>
      <c r="WER79" s="498" t="n"/>
      <c r="WES79" s="498" t="n"/>
      <c r="WET79" s="498" t="n"/>
      <c r="WEU79" s="498" t="n"/>
      <c r="WEV79" s="498" t="n"/>
      <c r="WEW79" s="498" t="n"/>
      <c r="WEX79" s="498" t="n"/>
      <c r="WEY79" s="498" t="n"/>
      <c r="WEZ79" s="498" t="n"/>
      <c r="WFA79" s="498" t="n"/>
      <c r="WFB79" s="498" t="n"/>
      <c r="WFC79" s="498" t="n"/>
      <c r="WFD79" s="498" t="n"/>
      <c r="WFE79" s="498" t="n"/>
      <c r="WFF79" s="498" t="n"/>
      <c r="WFG79" s="498" t="n"/>
      <c r="WFH79" s="498" t="n"/>
      <c r="WFI79" s="498" t="n"/>
      <c r="WFJ79" s="498" t="n"/>
      <c r="WFK79" s="498" t="n"/>
      <c r="WFL79" s="498" t="n"/>
      <c r="WFM79" s="498" t="n"/>
      <c r="WFN79" s="498" t="n"/>
      <c r="WFO79" s="498" t="n"/>
      <c r="WFP79" s="498" t="n"/>
      <c r="WFQ79" s="498" t="n"/>
      <c r="WFR79" s="498" t="n"/>
      <c r="WFS79" s="498" t="n"/>
      <c r="WFT79" s="498" t="n"/>
      <c r="WFU79" s="498" t="n"/>
      <c r="WFV79" s="498" t="n"/>
      <c r="WFW79" s="498" t="n"/>
      <c r="WFX79" s="498" t="n"/>
      <c r="WFY79" s="498" t="n"/>
      <c r="WFZ79" s="498" t="n"/>
      <c r="WGA79" s="498" t="n"/>
      <c r="WGB79" s="498" t="n"/>
      <c r="WGC79" s="498" t="n"/>
      <c r="WGD79" s="498" t="n"/>
      <c r="WGE79" s="498" t="n"/>
      <c r="WGF79" s="498" t="n"/>
      <c r="WGG79" s="498" t="n"/>
      <c r="WGH79" s="498" t="n"/>
      <c r="WGI79" s="498" t="n"/>
      <c r="WGJ79" s="498" t="n"/>
      <c r="WGK79" s="498" t="n"/>
      <c r="WGL79" s="498" t="n"/>
      <c r="WGM79" s="498" t="n"/>
      <c r="WGN79" s="498" t="n"/>
      <c r="WGO79" s="498" t="n"/>
      <c r="WGP79" s="498" t="n"/>
      <c r="WGQ79" s="498" t="n"/>
      <c r="WGR79" s="498" t="n"/>
      <c r="WGS79" s="498" t="n"/>
      <c r="WGT79" s="498" t="n"/>
      <c r="WGU79" s="498" t="n"/>
      <c r="WGV79" s="498" t="n"/>
      <c r="WGW79" s="498" t="n"/>
      <c r="WGX79" s="498" t="n"/>
      <c r="WGY79" s="498" t="n"/>
      <c r="WGZ79" s="498" t="n"/>
      <c r="WHA79" s="498" t="n"/>
      <c r="WHB79" s="498" t="n"/>
      <c r="WHC79" s="498" t="n"/>
      <c r="WHD79" s="498" t="n"/>
      <c r="WHE79" s="498" t="n"/>
      <c r="WHF79" s="498" t="n"/>
      <c r="WHG79" s="498" t="n"/>
      <c r="WHH79" s="498" t="n"/>
      <c r="WHI79" s="498" t="n"/>
      <c r="WHJ79" s="498" t="n"/>
      <c r="WHK79" s="498" t="n"/>
      <c r="WHL79" s="498" t="n"/>
      <c r="WHM79" s="498" t="n"/>
      <c r="WHN79" s="498" t="n"/>
      <c r="WHO79" s="498" t="n"/>
      <c r="WHP79" s="498" t="n"/>
      <c r="WHQ79" s="498" t="n"/>
      <c r="WHR79" s="498" t="n"/>
      <c r="WHS79" s="498" t="n"/>
      <c r="WHT79" s="498" t="n"/>
      <c r="WHU79" s="498" t="n"/>
      <c r="WHV79" s="498" t="n"/>
      <c r="WHW79" s="498" t="n"/>
      <c r="WHX79" s="498" t="n"/>
      <c r="WHY79" s="498" t="n"/>
      <c r="WHZ79" s="498" t="n"/>
      <c r="WIA79" s="498" t="n"/>
      <c r="WIB79" s="498" t="n"/>
      <c r="WIC79" s="498" t="n"/>
      <c r="WID79" s="498" t="n"/>
      <c r="WIE79" s="498" t="n"/>
      <c r="WIF79" s="498" t="n"/>
      <c r="WIG79" s="498" t="n"/>
      <c r="WIH79" s="498" t="n"/>
      <c r="WII79" s="498" t="n"/>
      <c r="WIJ79" s="498" t="n"/>
      <c r="WIK79" s="498" t="n"/>
      <c r="WIL79" s="498" t="n"/>
      <c r="WIM79" s="498" t="n"/>
      <c r="WIN79" s="498" t="n"/>
      <c r="WIO79" s="498" t="n"/>
      <c r="WIP79" s="498" t="n"/>
      <c r="WIQ79" s="498" t="n"/>
      <c r="WIR79" s="498" t="n"/>
      <c r="WIS79" s="498" t="n"/>
      <c r="WIT79" s="498" t="n"/>
      <c r="WIU79" s="498" t="n"/>
      <c r="WIV79" s="498" t="n"/>
      <c r="WIW79" s="498" t="n"/>
      <c r="WIX79" s="498" t="n"/>
      <c r="WIY79" s="498" t="n"/>
      <c r="WIZ79" s="498" t="n"/>
      <c r="WJA79" s="498" t="n"/>
      <c r="WJB79" s="498" t="n"/>
      <c r="WJC79" s="498" t="n"/>
      <c r="WJD79" s="498" t="n"/>
      <c r="WJE79" s="498" t="n"/>
      <c r="WJF79" s="498" t="n"/>
      <c r="WJG79" s="498" t="n"/>
      <c r="WJH79" s="498" t="n"/>
      <c r="WJI79" s="498" t="n"/>
      <c r="WJJ79" s="498" t="n"/>
      <c r="WJK79" s="498" t="n"/>
      <c r="WJL79" s="498" t="n"/>
      <c r="WJM79" s="498" t="n"/>
      <c r="WJN79" s="498" t="n"/>
      <c r="WJO79" s="498" t="n"/>
      <c r="WJP79" s="498" t="n"/>
      <c r="WJQ79" s="498" t="n"/>
      <c r="WJR79" s="498" t="n"/>
      <c r="WJS79" s="498" t="n"/>
      <c r="WJT79" s="498" t="n"/>
      <c r="WJU79" s="498" t="n"/>
      <c r="WJV79" s="498" t="n"/>
      <c r="WJW79" s="498" t="n"/>
      <c r="WJX79" s="498" t="n"/>
      <c r="WJY79" s="498" t="n"/>
      <c r="WJZ79" s="498" t="n"/>
      <c r="WKA79" s="498" t="n"/>
      <c r="WKB79" s="498" t="n"/>
      <c r="WKC79" s="498" t="n"/>
      <c r="WKD79" s="498" t="n"/>
      <c r="WKE79" s="498" t="n"/>
      <c r="WKF79" s="498" t="n"/>
      <c r="WKG79" s="498" t="n"/>
      <c r="WKH79" s="498" t="n"/>
      <c r="WKI79" s="498" t="n"/>
      <c r="WKJ79" s="498" t="n"/>
      <c r="WKK79" s="498" t="n"/>
      <c r="WKL79" s="498" t="n"/>
      <c r="WKM79" s="498" t="n"/>
      <c r="WKN79" s="498" t="n"/>
      <c r="WKO79" s="498" t="n"/>
      <c r="WKP79" s="498" t="n"/>
      <c r="WKQ79" s="498" t="n"/>
      <c r="WKR79" s="498" t="n"/>
      <c r="WKS79" s="498" t="n"/>
      <c r="WKT79" s="498" t="n"/>
      <c r="WKU79" s="498" t="n"/>
      <c r="WKV79" s="498" t="n"/>
      <c r="WKW79" s="498" t="n"/>
      <c r="WKX79" s="498" t="n"/>
      <c r="WKY79" s="498" t="n"/>
      <c r="WKZ79" s="498" t="n"/>
      <c r="WLA79" s="498" t="n"/>
      <c r="WLB79" s="498" t="n"/>
      <c r="WLC79" s="498" t="n"/>
      <c r="WLD79" s="498" t="n"/>
      <c r="WLE79" s="498" t="n"/>
      <c r="WLF79" s="498" t="n"/>
      <c r="WLG79" s="498" t="n"/>
      <c r="WLH79" s="498" t="n"/>
      <c r="WLI79" s="498" t="n"/>
      <c r="WLJ79" s="498" t="n"/>
      <c r="WLK79" s="498" t="n"/>
      <c r="WLL79" s="498" t="n"/>
      <c r="WLM79" s="498" t="n"/>
      <c r="WLN79" s="498" t="n"/>
      <c r="WLO79" s="498" t="n"/>
      <c r="WLP79" s="498" t="n"/>
      <c r="WLQ79" s="498" t="n"/>
      <c r="WLR79" s="498" t="n"/>
      <c r="WLS79" s="498" t="n"/>
      <c r="WLT79" s="498" t="n"/>
      <c r="WLU79" s="498" t="n"/>
      <c r="WLV79" s="498" t="n"/>
      <c r="WLW79" s="498" t="n"/>
      <c r="WLX79" s="498" t="n"/>
      <c r="WLY79" s="498" t="n"/>
      <c r="WLZ79" s="498" t="n"/>
      <c r="WMA79" s="498" t="n"/>
      <c r="WMB79" s="498" t="n"/>
      <c r="WMC79" s="498" t="n"/>
      <c r="WMD79" s="498" t="n"/>
      <c r="WME79" s="498" t="n"/>
      <c r="WMF79" s="498" t="n"/>
      <c r="WMG79" s="498" t="n"/>
      <c r="WMH79" s="498" t="n"/>
      <c r="WMI79" s="498" t="n"/>
      <c r="WMJ79" s="498" t="n"/>
      <c r="WMK79" s="498" t="n"/>
      <c r="WML79" s="498" t="n"/>
      <c r="WMM79" s="498" t="n"/>
      <c r="WMN79" s="498" t="n"/>
      <c r="WMO79" s="498" t="n"/>
      <c r="WMP79" s="498" t="n"/>
      <c r="WMQ79" s="498" t="n"/>
      <c r="WMR79" s="498" t="n"/>
      <c r="WMS79" s="498" t="n"/>
      <c r="WMT79" s="498" t="n"/>
      <c r="WMU79" s="498" t="n"/>
      <c r="WMV79" s="498" t="n"/>
      <c r="WMW79" s="498" t="n"/>
      <c r="WMX79" s="498" t="n"/>
      <c r="WMY79" s="498" t="n"/>
      <c r="WMZ79" s="498" t="n"/>
      <c r="WNA79" s="498" t="n"/>
      <c r="WNB79" s="498" t="n"/>
      <c r="WNC79" s="498" t="n"/>
      <c r="WND79" s="498" t="n"/>
      <c r="WNE79" s="498" t="n"/>
      <c r="WNF79" s="498" t="n"/>
      <c r="WNG79" s="498" t="n"/>
      <c r="WNH79" s="498" t="n"/>
      <c r="WNI79" s="498" t="n"/>
      <c r="WNJ79" s="498" t="n"/>
      <c r="WNK79" s="498" t="n"/>
      <c r="WNL79" s="498" t="n"/>
      <c r="WNM79" s="498" t="n"/>
      <c r="WNN79" s="498" t="n"/>
      <c r="WNO79" s="498" t="n"/>
      <c r="WNP79" s="498" t="n"/>
      <c r="WNQ79" s="498" t="n"/>
      <c r="WNR79" s="498" t="n"/>
      <c r="WNS79" s="498" t="n"/>
      <c r="WNT79" s="498" t="n"/>
      <c r="WNU79" s="498" t="n"/>
      <c r="WNV79" s="498" t="n"/>
      <c r="WNW79" s="498" t="n"/>
      <c r="WNX79" s="498" t="n"/>
      <c r="WNY79" s="498" t="n"/>
      <c r="WNZ79" s="498" t="n"/>
      <c r="WOA79" s="498" t="n"/>
      <c r="WOB79" s="498" t="n"/>
      <c r="WOC79" s="498" t="n"/>
      <c r="WOD79" s="498" t="n"/>
      <c r="WOE79" s="498" t="n"/>
      <c r="WOF79" s="498" t="n"/>
      <c r="WOG79" s="498" t="n"/>
      <c r="WOH79" s="498" t="n"/>
      <c r="WOI79" s="498" t="n"/>
      <c r="WOJ79" s="498" t="n"/>
      <c r="WOK79" s="498" t="n"/>
      <c r="WOL79" s="498" t="n"/>
      <c r="WOM79" s="498" t="n"/>
      <c r="WON79" s="498" t="n"/>
      <c r="WOO79" s="498" t="n"/>
      <c r="WOP79" s="498" t="n"/>
      <c r="WOQ79" s="498" t="n"/>
      <c r="WOR79" s="498" t="n"/>
      <c r="WOS79" s="498" t="n"/>
      <c r="WOT79" s="498" t="n"/>
      <c r="WOU79" s="498" t="n"/>
      <c r="WOV79" s="498" t="n"/>
      <c r="WOW79" s="498" t="n"/>
      <c r="WOX79" s="498" t="n"/>
      <c r="WOY79" s="498" t="n"/>
      <c r="WOZ79" s="498" t="n"/>
      <c r="WPA79" s="498" t="n"/>
      <c r="WPB79" s="498" t="n"/>
      <c r="WPC79" s="498" t="n"/>
      <c r="WPD79" s="498" t="n"/>
      <c r="WPE79" s="498" t="n"/>
      <c r="WPF79" s="498" t="n"/>
      <c r="WPG79" s="498" t="n"/>
      <c r="WPH79" s="498" t="n"/>
      <c r="WPI79" s="498" t="n"/>
      <c r="WPJ79" s="498" t="n"/>
      <c r="WPK79" s="498" t="n"/>
      <c r="WPL79" s="498" t="n"/>
      <c r="WPM79" s="498" t="n"/>
      <c r="WPN79" s="498" t="n"/>
      <c r="WPO79" s="498" t="n"/>
      <c r="WPP79" s="498" t="n"/>
      <c r="WPQ79" s="498" t="n"/>
      <c r="WPR79" s="498" t="n"/>
      <c r="WPS79" s="498" t="n"/>
      <c r="WPT79" s="498" t="n"/>
      <c r="WPU79" s="498" t="n"/>
      <c r="WPV79" s="498" t="n"/>
      <c r="WPW79" s="498" t="n"/>
      <c r="WPX79" s="498" t="n"/>
      <c r="WPY79" s="498" t="n"/>
      <c r="WPZ79" s="498" t="n"/>
      <c r="WQA79" s="498" t="n"/>
      <c r="WQB79" s="498" t="n"/>
      <c r="WQC79" s="498" t="n"/>
      <c r="WQD79" s="498" t="n"/>
      <c r="WQE79" s="498" t="n"/>
      <c r="WQF79" s="498" t="n"/>
      <c r="WQG79" s="498" t="n"/>
      <c r="WQH79" s="498" t="n"/>
      <c r="WQI79" s="498" t="n"/>
      <c r="WQJ79" s="498" t="n"/>
      <c r="WQK79" s="498" t="n"/>
      <c r="WQL79" s="498" t="n"/>
      <c r="WQM79" s="498" t="n"/>
      <c r="WQN79" s="498" t="n"/>
      <c r="WQO79" s="498" t="n"/>
      <c r="WQP79" s="498" t="n"/>
      <c r="WQQ79" s="498" t="n"/>
      <c r="WQR79" s="498" t="n"/>
      <c r="WQS79" s="498" t="n"/>
      <c r="WQT79" s="498" t="n"/>
      <c r="WQU79" s="498" t="n"/>
      <c r="WQV79" s="498" t="n"/>
      <c r="WQW79" s="498" t="n"/>
      <c r="WQX79" s="498" t="n"/>
      <c r="WQY79" s="498" t="n"/>
      <c r="WQZ79" s="498" t="n"/>
      <c r="WRA79" s="498" t="n"/>
      <c r="WRB79" s="498" t="n"/>
      <c r="WRC79" s="498" t="n"/>
      <c r="WRD79" s="498" t="n"/>
      <c r="WRE79" s="498" t="n"/>
      <c r="WRF79" s="498" t="n"/>
      <c r="WRG79" s="498" t="n"/>
      <c r="WRH79" s="498" t="n"/>
      <c r="WRI79" s="498" t="n"/>
      <c r="WRJ79" s="498" t="n"/>
      <c r="WRK79" s="498" t="n"/>
      <c r="WRL79" s="498" t="n"/>
      <c r="WRM79" s="498" t="n"/>
      <c r="WRN79" s="498" t="n"/>
      <c r="WRO79" s="498" t="n"/>
      <c r="WRP79" s="498" t="n"/>
      <c r="WRQ79" s="498" t="n"/>
      <c r="WRR79" s="498" t="n"/>
      <c r="WRS79" s="498" t="n"/>
      <c r="WRT79" s="498" t="n"/>
      <c r="WRU79" s="498" t="n"/>
      <c r="WRV79" s="498" t="n"/>
      <c r="WRW79" s="498" t="n"/>
      <c r="WRX79" s="498" t="n"/>
      <c r="WRY79" s="498" t="n"/>
      <c r="WRZ79" s="498" t="n"/>
      <c r="WSA79" s="498" t="n"/>
      <c r="WSB79" s="498" t="n"/>
      <c r="WSC79" s="498" t="n"/>
      <c r="WSD79" s="498" t="n"/>
      <c r="WSE79" s="498" t="n"/>
      <c r="WSF79" s="498" t="n"/>
      <c r="WSG79" s="498" t="n"/>
      <c r="WSH79" s="498" t="n"/>
      <c r="WSI79" s="498" t="n"/>
      <c r="WSJ79" s="498" t="n"/>
      <c r="WSK79" s="498" t="n"/>
      <c r="WSL79" s="498" t="n"/>
      <c r="WSM79" s="498" t="n"/>
      <c r="WSN79" s="498" t="n"/>
      <c r="WSO79" s="498" t="n"/>
      <c r="WSP79" s="498" t="n"/>
      <c r="WSQ79" s="498" t="n"/>
      <c r="WSR79" s="498" t="n"/>
      <c r="WSS79" s="498" t="n"/>
      <c r="WST79" s="498" t="n"/>
      <c r="WSU79" s="498" t="n"/>
      <c r="WSV79" s="498" t="n"/>
      <c r="WSW79" s="498" t="n"/>
      <c r="WSX79" s="498" t="n"/>
      <c r="WSY79" s="498" t="n"/>
      <c r="WSZ79" s="498" t="n"/>
      <c r="WTA79" s="498" t="n"/>
      <c r="WTB79" s="498" t="n"/>
      <c r="WTC79" s="498" t="n"/>
      <c r="WTD79" s="498" t="n"/>
      <c r="WTE79" s="498" t="n"/>
      <c r="WTF79" s="498" t="n"/>
      <c r="WTG79" s="498" t="n"/>
      <c r="WTH79" s="498" t="n"/>
      <c r="WTI79" s="498" t="n"/>
      <c r="WTJ79" s="498" t="n"/>
      <c r="WTK79" s="498" t="n"/>
      <c r="WTL79" s="498" t="n"/>
      <c r="WTM79" s="498" t="n"/>
      <c r="WTN79" s="498" t="n"/>
      <c r="WTO79" s="498" t="n"/>
      <c r="WTP79" s="498" t="n"/>
      <c r="WTQ79" s="498" t="n"/>
      <c r="WTR79" s="498" t="n"/>
      <c r="WTS79" s="498" t="n"/>
      <c r="WTT79" s="498" t="n"/>
      <c r="WTU79" s="498" t="n"/>
      <c r="WTV79" s="498" t="n"/>
      <c r="WTW79" s="498" t="n"/>
      <c r="WTX79" s="498" t="n"/>
      <c r="WTY79" s="498" t="n"/>
      <c r="WTZ79" s="498" t="n"/>
      <c r="WUA79" s="498" t="n"/>
      <c r="WUB79" s="498" t="n"/>
      <c r="WUC79" s="498" t="n"/>
      <c r="WUD79" s="498" t="n"/>
      <c r="WUE79" s="498" t="n"/>
      <c r="WUF79" s="498" t="n"/>
      <c r="WUG79" s="498" t="n"/>
      <c r="WUH79" s="498" t="n"/>
      <c r="WUI79" s="498" t="n"/>
      <c r="WUJ79" s="498" t="n"/>
      <c r="WUK79" s="498" t="n"/>
      <c r="WUL79" s="498" t="n"/>
      <c r="WUM79" s="498" t="n"/>
      <c r="WUN79" s="498" t="n"/>
      <c r="WUO79" s="498" t="n"/>
      <c r="WUP79" s="498" t="n"/>
      <c r="WUQ79" s="498" t="n"/>
      <c r="WUR79" s="498" t="n"/>
      <c r="WUS79" s="498" t="n"/>
      <c r="WUT79" s="498" t="n"/>
      <c r="WUU79" s="498" t="n"/>
      <c r="WUV79" s="498" t="n"/>
      <c r="WUW79" s="498" t="n"/>
      <c r="WUX79" s="498" t="n"/>
      <c r="WUY79" s="498" t="n"/>
      <c r="WUZ79" s="498" t="n"/>
      <c r="WVA79" s="498" t="n"/>
      <c r="WVB79" s="498" t="n"/>
      <c r="WVC79" s="498" t="n"/>
      <c r="WVD79" s="498" t="n"/>
      <c r="WVE79" s="498" t="n"/>
      <c r="WVF79" s="498" t="n"/>
      <c r="WVG79" s="498" t="n"/>
      <c r="WVH79" s="498" t="n"/>
      <c r="WVI79" s="498" t="n"/>
      <c r="WVJ79" s="498" t="n"/>
      <c r="WVK79" s="498" t="n"/>
      <c r="WVL79" s="498" t="n"/>
      <c r="WVM79" s="498" t="n"/>
      <c r="WVN79" s="498" t="n"/>
      <c r="WVO79" s="498" t="n"/>
      <c r="WVP79" s="498" t="n"/>
      <c r="WVQ79" s="498" t="n"/>
      <c r="WVR79" s="498" t="n"/>
      <c r="WVS79" s="498" t="n"/>
      <c r="WVT79" s="498" t="n"/>
      <c r="WVU79" s="498" t="n"/>
      <c r="WVV79" s="498" t="n"/>
      <c r="WVW79" s="498" t="n"/>
      <c r="WVX79" s="498" t="n"/>
      <c r="WVY79" s="498" t="n"/>
      <c r="WVZ79" s="498" t="n"/>
      <c r="WWA79" s="498" t="n"/>
      <c r="WWB79" s="498" t="n"/>
      <c r="WWC79" s="498" t="n"/>
      <c r="WWD79" s="498" t="n"/>
      <c r="WWE79" s="498" t="n"/>
      <c r="WWF79" s="498" t="n"/>
      <c r="WWG79" s="498" t="n"/>
      <c r="WWH79" s="498" t="n"/>
      <c r="WWI79" s="498" t="n"/>
      <c r="WWJ79" s="498" t="n"/>
      <c r="WWK79" s="498" t="n"/>
      <c r="WWL79" s="498" t="n"/>
      <c r="WWM79" s="498" t="n"/>
      <c r="WWN79" s="498" t="n"/>
      <c r="WWO79" s="498" t="n"/>
      <c r="WWP79" s="498" t="n"/>
      <c r="WWQ79" s="498" t="n"/>
      <c r="WWR79" s="498" t="n"/>
      <c r="WWS79" s="498" t="n"/>
      <c r="WWT79" s="498" t="n"/>
      <c r="WWU79" s="498" t="n"/>
      <c r="WWV79" s="498" t="n"/>
      <c r="WWW79" s="498" t="n"/>
      <c r="WWX79" s="498" t="n"/>
      <c r="WWY79" s="498" t="n"/>
      <c r="WWZ79" s="498" t="n"/>
      <c r="WXA79" s="498" t="n"/>
      <c r="WXB79" s="498" t="n"/>
      <c r="WXC79" s="498" t="n"/>
      <c r="WXD79" s="498" t="n"/>
      <c r="WXE79" s="498" t="n"/>
      <c r="WXF79" s="498" t="n"/>
      <c r="WXG79" s="498" t="n"/>
      <c r="WXH79" s="498" t="n"/>
      <c r="WXI79" s="498" t="n"/>
      <c r="WXJ79" s="498" t="n"/>
      <c r="WXK79" s="498" t="n"/>
      <c r="WXL79" s="498" t="n"/>
      <c r="WXM79" s="498" t="n"/>
      <c r="WXN79" s="498" t="n"/>
      <c r="WXO79" s="498" t="n"/>
      <c r="WXP79" s="498" t="n"/>
      <c r="WXQ79" s="498" t="n"/>
      <c r="WXR79" s="498" t="n"/>
      <c r="WXS79" s="498" t="n"/>
      <c r="WXT79" s="498" t="n"/>
      <c r="WXU79" s="498" t="n"/>
      <c r="WXV79" s="498" t="n"/>
      <c r="WXW79" s="498" t="n"/>
      <c r="WXX79" s="498" t="n"/>
      <c r="WXY79" s="498" t="n"/>
      <c r="WXZ79" s="498" t="n"/>
      <c r="WYA79" s="498" t="n"/>
      <c r="WYB79" s="498" t="n"/>
      <c r="WYC79" s="498" t="n"/>
      <c r="WYD79" s="498" t="n"/>
      <c r="WYE79" s="498" t="n"/>
      <c r="WYF79" s="498" t="n"/>
      <c r="WYG79" s="498" t="n"/>
      <c r="WYH79" s="498" t="n"/>
      <c r="WYI79" s="498" t="n"/>
      <c r="WYJ79" s="498" t="n"/>
      <c r="WYK79" s="498" t="n"/>
      <c r="WYL79" s="498" t="n"/>
      <c r="WYM79" s="498" t="n"/>
      <c r="WYN79" s="498" t="n"/>
      <c r="WYO79" s="498" t="n"/>
      <c r="WYP79" s="498" t="n"/>
      <c r="WYQ79" s="498" t="n"/>
      <c r="WYR79" s="498" t="n"/>
      <c r="WYS79" s="498" t="n"/>
      <c r="WYT79" s="498" t="n"/>
      <c r="WYU79" s="498" t="n"/>
      <c r="WYV79" s="498" t="n"/>
      <c r="WYW79" s="498" t="n"/>
      <c r="WYX79" s="498" t="n"/>
      <c r="WYY79" s="498" t="n"/>
      <c r="WYZ79" s="498" t="n"/>
      <c r="WZA79" s="498" t="n"/>
      <c r="WZB79" s="498" t="n"/>
      <c r="WZC79" s="498" t="n"/>
      <c r="WZD79" s="498" t="n"/>
      <c r="WZE79" s="498" t="n"/>
      <c r="WZF79" s="498" t="n"/>
      <c r="WZG79" s="498" t="n"/>
      <c r="WZH79" s="498" t="n"/>
      <c r="WZI79" s="498" t="n"/>
      <c r="WZJ79" s="498" t="n"/>
      <c r="WZK79" s="498" t="n"/>
      <c r="WZL79" s="498" t="n"/>
      <c r="WZM79" s="498" t="n"/>
      <c r="WZN79" s="498" t="n"/>
      <c r="WZO79" s="498" t="n"/>
      <c r="WZP79" s="498" t="n"/>
      <c r="WZQ79" s="498" t="n"/>
      <c r="WZR79" s="498" t="n"/>
      <c r="WZS79" s="498" t="n"/>
      <c r="WZT79" s="498" t="n"/>
      <c r="WZU79" s="498" t="n"/>
      <c r="WZV79" s="498" t="n"/>
      <c r="WZW79" s="498" t="n"/>
      <c r="WZX79" s="498" t="n"/>
      <c r="WZY79" s="498" t="n"/>
      <c r="WZZ79" s="498" t="n"/>
      <c r="XAA79" s="498" t="n"/>
      <c r="XAB79" s="498" t="n"/>
      <c r="XAC79" s="498" t="n"/>
      <c r="XAD79" s="498" t="n"/>
      <c r="XAE79" s="498" t="n"/>
      <c r="XAF79" s="498" t="n"/>
      <c r="XAG79" s="498" t="n"/>
      <c r="XAH79" s="498" t="n"/>
      <c r="XAI79" s="498" t="n"/>
      <c r="XAJ79" s="498" t="n"/>
      <c r="XAK79" s="498" t="n"/>
      <c r="XAL79" s="498" t="n"/>
      <c r="XAM79" s="498" t="n"/>
      <c r="XAN79" s="498" t="n"/>
      <c r="XAO79" s="498" t="n"/>
      <c r="XAP79" s="498" t="n"/>
      <c r="XAQ79" s="498" t="n"/>
      <c r="XAR79" s="498" t="n"/>
      <c r="XAS79" s="498" t="n"/>
      <c r="XAT79" s="498" t="n"/>
      <c r="XAU79" s="498" t="n"/>
      <c r="XAV79" s="498" t="n"/>
      <c r="XAW79" s="498" t="n"/>
      <c r="XAX79" s="498" t="n"/>
      <c r="XAY79" s="498" t="n"/>
      <c r="XAZ79" s="498" t="n"/>
      <c r="XBA79" s="498" t="n"/>
      <c r="XBB79" s="498" t="n"/>
      <c r="XBC79" s="498" t="n"/>
      <c r="XBD79" s="498" t="n"/>
      <c r="XBE79" s="498" t="n"/>
      <c r="XBF79" s="498" t="n"/>
      <c r="XBG79" s="498" t="n"/>
      <c r="XBH79" s="498" t="n"/>
      <c r="XBI79" s="498" t="n"/>
      <c r="XBJ79" s="498" t="n"/>
      <c r="XBK79" s="498" t="n"/>
      <c r="XBL79" s="498" t="n"/>
      <c r="XBM79" s="498" t="n"/>
      <c r="XBN79" s="498" t="n"/>
      <c r="XBO79" s="498" t="n"/>
      <c r="XBP79" s="498" t="n"/>
      <c r="XBQ79" s="498" t="n"/>
      <c r="XBR79" s="498" t="n"/>
      <c r="XBS79" s="498" t="n"/>
      <c r="XBT79" s="498" t="n"/>
      <c r="XBU79" s="498" t="n"/>
      <c r="XBV79" s="498" t="n"/>
      <c r="XBW79" s="498" t="n"/>
      <c r="XBX79" s="498" t="n"/>
      <c r="XBY79" s="498" t="n"/>
      <c r="XBZ79" s="498" t="n"/>
      <c r="XCA79" s="498" t="n"/>
      <c r="XCB79" s="498" t="n"/>
      <c r="XCC79" s="498" t="n"/>
      <c r="XCD79" s="498" t="n"/>
      <c r="XCE79" s="498" t="n"/>
      <c r="XCF79" s="498" t="n"/>
      <c r="XCG79" s="498" t="n"/>
      <c r="XCH79" s="498" t="n"/>
      <c r="XCI79" s="498" t="n"/>
      <c r="XCJ79" s="498" t="n"/>
      <c r="XCK79" s="498" t="n"/>
      <c r="XCL79" s="498" t="n"/>
      <c r="XCM79" s="498" t="n"/>
      <c r="XCN79" s="498" t="n"/>
      <c r="XCO79" s="498" t="n"/>
      <c r="XCP79" s="498" t="n"/>
      <c r="XCQ79" s="498" t="n"/>
      <c r="XCR79" s="498" t="n"/>
      <c r="XCS79" s="498" t="n"/>
      <c r="XCT79" s="498" t="n"/>
      <c r="XCU79" s="498" t="n"/>
      <c r="XCV79" s="498" t="n"/>
      <c r="XCW79" s="498" t="n"/>
      <c r="XCX79" s="498" t="n"/>
      <c r="XCY79" s="498" t="n"/>
      <c r="XCZ79" s="498" t="n"/>
      <c r="XDA79" s="498" t="n"/>
      <c r="XDB79" s="498" t="n"/>
      <c r="XDC79" s="498" t="n"/>
      <c r="XDD79" s="498" t="n"/>
      <c r="XDE79" s="498" t="n"/>
      <c r="XDF79" s="498" t="n"/>
      <c r="XDG79" s="498" t="n"/>
      <c r="XDH79" s="498" t="n"/>
      <c r="XDI79" s="498" t="n"/>
      <c r="XDJ79" s="498" t="n"/>
      <c r="XDK79" s="498" t="n"/>
      <c r="XDL79" s="498" t="n"/>
      <c r="XDM79" s="498" t="n"/>
      <c r="XDN79" s="498" t="n"/>
      <c r="XDO79" s="498" t="n"/>
      <c r="XDP79" s="498" t="n"/>
      <c r="XDQ79" s="498" t="n"/>
      <c r="XDR79" s="498" t="n"/>
      <c r="XDS79" s="498" t="n"/>
      <c r="XDT79" s="498" t="n"/>
      <c r="XDU79" s="498" t="n"/>
      <c r="XDV79" s="498" t="n"/>
      <c r="XDW79" s="498" t="n"/>
      <c r="XDX79" s="498" t="n"/>
      <c r="XDY79" s="498" t="n"/>
      <c r="XDZ79" s="498" t="n"/>
      <c r="XEA79" s="498" t="n"/>
      <c r="XEB79" s="498" t="n"/>
      <c r="XEC79" s="498" t="n"/>
      <c r="XED79" s="498" t="n"/>
      <c r="XEE79" s="498" t="n"/>
      <c r="XEF79" s="498" t="n"/>
      <c r="XEG79" s="498" t="n"/>
      <c r="XEH79" s="498" t="n"/>
      <c r="XEI79" s="498" t="n"/>
      <c r="XEJ79" s="498" t="n"/>
      <c r="XEK79" s="498" t="n"/>
      <c r="XEL79" s="498" t="n"/>
      <c r="XEM79" s="498" t="n"/>
      <c r="XEN79" s="498" t="n"/>
    </row>
    <row r="80" customFormat="1" s="192">
      <c r="A80" s="46" t="n"/>
      <c r="B80" s="229" t="n"/>
      <c r="C80" s="314" t="n"/>
      <c r="D80" s="83" t="n"/>
      <c r="E80" s="48" t="n"/>
      <c r="F80" s="112" t="n"/>
      <c r="G80" s="109" t="n"/>
      <c r="H80" s="109" t="n"/>
      <c r="I80" s="109" t="n"/>
      <c r="J80" s="90" t="n"/>
      <c r="K80" s="61" t="n"/>
      <c r="L80" s="90" t="n"/>
      <c r="M80" s="90" t="n"/>
      <c r="N80" s="530" t="n"/>
      <c r="O80" s="392">
        <f>1</f>
        <v/>
      </c>
      <c r="P80" s="186" t="n"/>
      <c r="R80" s="194" t="n"/>
      <c r="S80" s="193" t="n"/>
      <c r="V80" s="552" t="n"/>
      <c r="W80" s="552">
        <f>IF(V80="","",V80*O80)</f>
        <v/>
      </c>
      <c r="X80" s="186">
        <f>IF(R80="yes",W80,"")</f>
        <v/>
      </c>
    </row>
    <row r="81" ht="204" customFormat="1" customHeight="1" s="192">
      <c r="A81" s="46">
        <f>#REF!+1</f>
        <v/>
      </c>
      <c r="B81" s="231" t="inlineStr">
        <is>
          <t>income_sec_comp</t>
        </is>
      </c>
      <c r="C81" s="191" t="inlineStr">
        <is>
          <t>income_sec_comp</t>
        </is>
      </c>
      <c r="D81" s="211" t="inlineStr">
        <is>
          <t>Has your household's income from {income_sec} changed in the last 3 months compared to the same period of a normal year? 
[OPERATOR: SINGLE RESPONSE.]
1)A lot more [increased by more than 50%]
2)Slightly more
3)Same
4)Slightly less
5)A lot less [less than half as much]
6)DON'T KNOW
7)REFUSED</t>
        </is>
      </c>
      <c r="E81" s="197">
        <f>LEN(D81)</f>
        <v/>
      </c>
      <c r="F81" s="206" t="inlineStr">
        <is>
          <t>Single Choice</t>
        </is>
      </c>
      <c r="G81" s="197" t="inlineStr">
        <is>
          <t>NA</t>
        </is>
      </c>
      <c r="H81" s="197" t="inlineStr">
        <is>
          <t>NA</t>
        </is>
      </c>
      <c r="I81" s="197" t="inlineStr">
        <is>
          <t>Form Type - Buttons</t>
        </is>
      </c>
      <c r="J81" s="221" t="inlineStr">
        <is>
          <t>1-7= income_third</t>
        </is>
      </c>
      <c r="K81" s="266" t="inlineStr">
        <is>
          <t>NA</t>
        </is>
      </c>
      <c r="L81" s="221" t="inlineStr">
        <is>
          <t>if income_sec_comp = 1-7, go to income_third</t>
        </is>
      </c>
      <c r="M81" s="61" t="n"/>
      <c r="N81" s="10" t="n"/>
      <c r="O81" s="318">
        <f>1</f>
        <v/>
      </c>
      <c r="P81" s="186" t="n"/>
      <c r="R81" s="467" t="inlineStr">
        <is>
          <t>yes</t>
        </is>
      </c>
      <c r="S81" s="193" t="n"/>
      <c r="V81" s="551" t="n">
        <v>17.26140213012695</v>
      </c>
      <c r="W81" s="551">
        <f>IF(V81="","",V81*O81)</f>
        <v/>
      </c>
      <c r="X81" s="186">
        <f>IF(R81="yes",W81,"")</f>
        <v/>
      </c>
    </row>
    <row r="82" customFormat="1" s="192">
      <c r="A82" s="46" t="n"/>
      <c r="B82" s="229" t="n"/>
      <c r="C82" s="103" t="n"/>
      <c r="D82" s="227" t="n"/>
      <c r="E82" s="48" t="n"/>
      <c r="F82" s="104" t="n"/>
      <c r="G82" s="48" t="n"/>
      <c r="H82" s="48" t="n"/>
      <c r="I82" s="48" t="n"/>
      <c r="J82" s="94" t="n"/>
      <c r="K82" s="61" t="n"/>
      <c r="L82" s="94" t="n"/>
      <c r="M82" s="94" t="n"/>
      <c r="N82" s="10" t="n"/>
      <c r="O82" s="392">
        <f>1</f>
        <v/>
      </c>
      <c r="P82" s="186" t="n"/>
      <c r="R82" s="194" t="n"/>
      <c r="S82" s="193" t="n"/>
      <c r="V82" s="552" t="n"/>
      <c r="W82" s="552">
        <f>IF(V82="","",V82*O82)</f>
        <v/>
      </c>
      <c r="X82" s="186">
        <f>IF(R82="yes",W82,"")</f>
        <v/>
      </c>
    </row>
    <row r="83" ht="409.6" customFormat="1" customHeight="1" s="192">
      <c r="A83" s="46">
        <f>A81+1</f>
        <v/>
      </c>
      <c r="B83" s="231" t="inlineStr">
        <is>
          <t>income_third</t>
        </is>
      </c>
      <c r="C83" s="191" t="inlineStr">
        <is>
          <t>income_third</t>
        </is>
      </c>
      <c r="D83" s="211"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and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3" s="197">
        <f>LEN(D83)</f>
        <v/>
      </c>
      <c r="F83" s="206" t="inlineStr">
        <is>
          <t>Single Choice</t>
        </is>
      </c>
      <c r="G83" s="197" t="inlineStr">
        <is>
          <t>NA</t>
        </is>
      </c>
      <c r="H83" s="197" t="inlineStr">
        <is>
          <t>NA</t>
        </is>
      </c>
      <c r="I83" s="197" t="inlineStr">
        <is>
          <t>Form Type - Buttons
exclude selected "income_main"
exclude selected "income_sec"
IsDemographic</t>
        </is>
      </c>
      <c r="J83" s="188" t="inlineStr">
        <is>
          <t>1-3 = income_third_crop_check
4 = income_third_ls_check
5 = income_third_comp OR optional question
6 = income_third_fish_check
7-18 = income_third_comp OR optional question
19-21 = shock</t>
        </is>
      </c>
      <c r="K83" s="266" t="inlineStr">
        <is>
          <t>NA</t>
        </is>
      </c>
      <c r="L83" s="195"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M83" s="53" t="n"/>
      <c r="N83" s="10" t="n"/>
      <c r="O83" s="318">
        <f>1</f>
        <v/>
      </c>
      <c r="P83" s="186" t="n"/>
      <c r="R83" s="467" t="inlineStr">
        <is>
          <t>yes</t>
        </is>
      </c>
      <c r="S83" s="193" t="n"/>
      <c r="V83" s="551" t="n">
        <v>14.47539234161377</v>
      </c>
      <c r="W83" s="551">
        <f>IF(V83="","",V83*O83)</f>
        <v/>
      </c>
      <c r="X83" s="186">
        <f>IF(R83="yes",W83,"")</f>
        <v/>
      </c>
    </row>
    <row r="84" ht="182.25" customFormat="1" customHeight="1" s="279">
      <c r="A84" s="385" t="n"/>
      <c r="B84" s="281" t="inlineStr">
        <is>
          <t>income_third_crop_check</t>
        </is>
      </c>
      <c r="C84" s="292" t="inlineStr">
        <is>
          <t>income_third_crop_check</t>
        </is>
      </c>
      <c r="D84" s="196" t="inlineStr">
        <is>
          <t xml:space="preserve">Are the crops sold also produced by you or anyone in your household?
[OPERATOR: SINGLE RESPONSE.]
1)YES
2)NO
3)DON'T KNOW
4)REFUSED </t>
        </is>
      </c>
      <c r="E84" s="189">
        <f>LEN(D84)</f>
        <v/>
      </c>
      <c r="F84" s="191" t="inlineStr">
        <is>
          <t>Single Choice</t>
        </is>
      </c>
      <c r="G84" s="189" t="inlineStr">
        <is>
          <t>NA</t>
        </is>
      </c>
      <c r="H84" s="189" t="inlineStr">
        <is>
          <t>NA</t>
        </is>
      </c>
      <c r="I84" s="189" t="inlineStr">
        <is>
          <t>Form Type - Buttons</t>
        </is>
      </c>
      <c r="J84" s="188" t="inlineStr">
        <is>
          <t>1-4 = income_third_comp OR optional question</t>
        </is>
      </c>
      <c r="K84" s="266" t="inlineStr">
        <is>
          <t>NA</t>
        </is>
      </c>
      <c r="L84" s="195" t="inlineStr">
        <is>
          <t>if income_third_crop_check = 1-4, go to [income_third_comp OR optional question]</t>
        </is>
      </c>
      <c r="M84" s="53" t="n"/>
      <c r="N84" s="52" t="n"/>
      <c r="O84" s="434">
        <f>1</f>
        <v/>
      </c>
      <c r="P84" s="187" t="n"/>
      <c r="R84" s="471" t="inlineStr">
        <is>
          <t>yes</t>
        </is>
      </c>
      <c r="S84" s="273" t="n"/>
      <c r="V84" s="559" t="n">
        <v>8</v>
      </c>
      <c r="W84" s="559">
        <f>IF(V84="","",V84*O84)</f>
        <v/>
      </c>
      <c r="X84" s="187">
        <f>IF(R84="yes",W84,"")</f>
        <v/>
      </c>
    </row>
    <row r="85" ht="182.25" customFormat="1" customHeight="1" s="279">
      <c r="A85" s="385" t="n"/>
      <c r="B85" s="281" t="inlineStr">
        <is>
          <t>income_third_ls_check</t>
        </is>
      </c>
      <c r="C85" s="292" t="inlineStr">
        <is>
          <t>income_third_ls_check</t>
        </is>
      </c>
      <c r="D85" s="196" t="inlineStr">
        <is>
          <t xml:space="preserve">Are the livestock or livestock products sold also produced by you or anyone in your household?
[OPERATOR: SINGLE RESPONSE.]
1)YES
2)NO
3)DON'T KNOW
4)REFUSED </t>
        </is>
      </c>
      <c r="E85" s="189">
        <f>LEN(D85)</f>
        <v/>
      </c>
      <c r="F85" s="191" t="inlineStr">
        <is>
          <t>Single Choice</t>
        </is>
      </c>
      <c r="G85" s="189" t="inlineStr">
        <is>
          <t>NA</t>
        </is>
      </c>
      <c r="H85" s="189" t="inlineStr">
        <is>
          <t>NA</t>
        </is>
      </c>
      <c r="I85" s="189" t="inlineStr">
        <is>
          <t>Form Type - Buttons</t>
        </is>
      </c>
      <c r="J85" s="188" t="inlineStr">
        <is>
          <t>1-4 = income_third_comp OR optional question</t>
        </is>
      </c>
      <c r="K85" s="266" t="inlineStr">
        <is>
          <t>NA</t>
        </is>
      </c>
      <c r="L85" s="195" t="inlineStr">
        <is>
          <t>if income_third_ls_check = 1-4, go to [income_third_comp OR optional question]</t>
        </is>
      </c>
      <c r="M85" s="53" t="n"/>
      <c r="N85" s="52" t="n"/>
      <c r="O85" s="434">
        <f>1</f>
        <v/>
      </c>
      <c r="P85" s="187" t="n"/>
      <c r="R85" s="471" t="inlineStr">
        <is>
          <t>yes</t>
        </is>
      </c>
      <c r="S85" s="273" t="n"/>
      <c r="V85" s="559" t="n">
        <v>8</v>
      </c>
      <c r="W85" s="559">
        <f>IF(V85="","",V85*O85)</f>
        <v/>
      </c>
      <c r="X85" s="187">
        <f>IF(R85="yes",W85,"")</f>
        <v/>
      </c>
    </row>
    <row r="86" ht="182.25" customFormat="1" customHeight="1" s="192">
      <c r="A86" s="385" t="n"/>
      <c r="B86" s="281" t="inlineStr">
        <is>
          <t>income_third_fish_check</t>
        </is>
      </c>
      <c r="C86" s="292" t="inlineStr">
        <is>
          <t>income_third_fish_check</t>
        </is>
      </c>
      <c r="D86" s="196" t="inlineStr">
        <is>
          <t xml:space="preserve">Are the fish or aquatic products sold also captured/harvested by you or anyone in your household?
[OPERATOR: SINGLE RESPONSE.]
1)YES
2)NO
3)DON'T KNOW
4)REFUSED </t>
        </is>
      </c>
      <c r="E86" s="189">
        <f>LEN(D86)</f>
        <v/>
      </c>
      <c r="F86" s="191" t="inlineStr">
        <is>
          <t>Single Choice</t>
        </is>
      </c>
      <c r="G86" s="189" t="inlineStr">
        <is>
          <t>NA</t>
        </is>
      </c>
      <c r="H86" s="189" t="inlineStr">
        <is>
          <t>NA</t>
        </is>
      </c>
      <c r="I86" s="189" t="inlineStr">
        <is>
          <t>Form Type - Buttons</t>
        </is>
      </c>
      <c r="J86" s="188" t="inlineStr">
        <is>
          <t>1-4 = income_third_comp OR optional question</t>
        </is>
      </c>
      <c r="K86" s="266" t="inlineStr">
        <is>
          <t>NA</t>
        </is>
      </c>
      <c r="L86" s="195" t="inlineStr">
        <is>
          <t>if income_third_fish_check = 1-4, go to [income_third_comp OR optional question]</t>
        </is>
      </c>
      <c r="M86" s="53" t="n"/>
      <c r="N86" s="52" t="n"/>
      <c r="O86" s="318">
        <f>1</f>
        <v/>
      </c>
      <c r="P86" s="186" t="n"/>
      <c r="R86" s="467" t="inlineStr">
        <is>
          <t>yes</t>
        </is>
      </c>
      <c r="S86" s="193" t="n"/>
      <c r="V86" s="551" t="n">
        <v>8</v>
      </c>
      <c r="W86" s="551">
        <f>IF(V86="","",V86*O86)</f>
        <v/>
      </c>
      <c r="X86" s="186">
        <f>IF(R86="yes",W86,"")</f>
        <v/>
      </c>
    </row>
    <row r="87" customFormat="1" s="192">
      <c r="A87" s="102" t="n"/>
      <c r="B87" s="309" t="n"/>
      <c r="C87" s="314" t="n"/>
      <c r="D87" s="315" t="n"/>
      <c r="E87" s="109" t="n"/>
      <c r="F87" s="103" t="n"/>
      <c r="G87" s="109" t="n"/>
      <c r="H87" s="109" t="n"/>
      <c r="I87" s="109" t="n"/>
      <c r="J87" s="90" t="n"/>
      <c r="K87" s="61" t="n"/>
      <c r="L87" s="220" t="n"/>
      <c r="M87" s="220" t="n"/>
      <c r="N87" s="52" t="n"/>
      <c r="O87" s="392">
        <f>1</f>
        <v/>
      </c>
      <c r="P87" s="186" t="n"/>
      <c r="R87" s="194" t="n"/>
      <c r="S87" s="193" t="n"/>
      <c r="V87" s="552" t="n"/>
      <c r="W87" s="552">
        <f>IF(V87="","",V87*O87)</f>
        <v/>
      </c>
      <c r="X87" s="186">
        <f>IF(R87="yes",W87,"")</f>
        <v/>
      </c>
    </row>
    <row r="88" customFormat="1" s="192">
      <c r="A88" s="46" t="n"/>
      <c r="B88" s="229" t="n"/>
      <c r="C88" s="314" t="n"/>
      <c r="D88" s="83" t="n"/>
      <c r="E88" s="48" t="n"/>
      <c r="F88" s="112" t="n"/>
      <c r="G88" s="109" t="n"/>
      <c r="H88" s="109" t="n"/>
      <c r="I88" s="109" t="n"/>
      <c r="J88" s="90" t="n"/>
      <c r="K88" s="61" t="n"/>
      <c r="L88" s="90" t="n"/>
      <c r="M88" s="90" t="n"/>
      <c r="N88" s="530" t="n"/>
      <c r="O88" s="392">
        <f>1</f>
        <v/>
      </c>
      <c r="P88" s="186" t="n"/>
      <c r="R88" s="194" t="n"/>
      <c r="S88" s="193" t="n"/>
      <c r="V88" s="552" t="n"/>
      <c r="W88" s="552">
        <f>IF(V88="","",V88*O88)</f>
        <v/>
      </c>
      <c r="X88" s="186">
        <f>IF(R88="yes",W88,"")</f>
        <v/>
      </c>
    </row>
    <row r="89" ht="204" customFormat="1" customHeight="1" s="192">
      <c r="A89" s="46">
        <f>#REF!+1</f>
        <v/>
      </c>
      <c r="B89" s="231" t="inlineStr">
        <is>
          <t>income_third_comp</t>
        </is>
      </c>
      <c r="C89" s="191" t="inlineStr">
        <is>
          <t>income_third_comp</t>
        </is>
      </c>
      <c r="D89" s="240" t="inlineStr">
        <is>
          <t>Has your household's income from {income_third} changed in the last 3 months compared to the same period of a normal year?
[OPERATOR: SINGLE RESPONSE.]
1)A lot more [increased by more than 50%]
2)Slightly more
3)Same
4)Slightly less
5)A lot less [less than half as much]
6)DON'T KNOW
7)REFUSED</t>
        </is>
      </c>
      <c r="E89" s="197">
        <f>LEN(D89)</f>
        <v/>
      </c>
      <c r="F89" s="206" t="inlineStr">
        <is>
          <t>Single Choice</t>
        </is>
      </c>
      <c r="G89" s="197" t="inlineStr">
        <is>
          <t>NA</t>
        </is>
      </c>
      <c r="H89" s="197" t="inlineStr">
        <is>
          <t>NA</t>
        </is>
      </c>
      <c r="I89" s="197" t="inlineStr">
        <is>
          <t>Form Type - Buttons</t>
        </is>
      </c>
      <c r="J89" s="221" t="inlineStr">
        <is>
          <t>1-7= shock</t>
        </is>
      </c>
      <c r="K89" s="266" t="inlineStr">
        <is>
          <t>NA</t>
        </is>
      </c>
      <c r="L89" s="221" t="inlineStr">
        <is>
          <t>if income_third_comp = 1-7, go to shock</t>
        </is>
      </c>
      <c r="M89" s="61" t="n"/>
      <c r="N89" s="10" t="n"/>
      <c r="O89" s="318">
        <f>1</f>
        <v/>
      </c>
      <c r="P89" s="186" t="n"/>
      <c r="R89" s="467" t="inlineStr">
        <is>
          <t>yes</t>
        </is>
      </c>
      <c r="S89" s="193" t="n"/>
      <c r="V89" s="551" t="n">
        <v>15.87650299072266</v>
      </c>
      <c r="W89" s="551">
        <f>IF(V89="","",V89*O89)</f>
        <v/>
      </c>
      <c r="X89" s="186">
        <f>IF(R89="yes",W89,"")</f>
        <v/>
      </c>
    </row>
    <row r="90" customFormat="1" s="192">
      <c r="A90" s="46" t="n"/>
      <c r="B90" s="229" t="n"/>
      <c r="C90" s="103" t="n"/>
      <c r="D90" s="313" t="n"/>
      <c r="E90" s="48" t="n"/>
      <c r="F90" s="104" t="n"/>
      <c r="G90" s="48" t="n"/>
      <c r="H90" s="48" t="n"/>
      <c r="I90" s="48" t="n"/>
      <c r="J90" s="61" t="n"/>
      <c r="K90" s="61" t="n"/>
      <c r="L90" s="61" t="n"/>
      <c r="M90" s="61" t="n"/>
      <c r="N90" s="10" t="n"/>
      <c r="O90" s="392">
        <f>1</f>
        <v/>
      </c>
      <c r="P90" s="186" t="n"/>
      <c r="R90" s="194" t="n"/>
      <c r="S90" s="193" t="n"/>
      <c r="V90" s="552" t="n"/>
      <c r="W90" s="552">
        <f>IF(V90="","",V90*O90)</f>
        <v/>
      </c>
      <c r="X90" s="186">
        <f>IF(R90="yes",W90,"")</f>
        <v/>
      </c>
    </row>
    <row r="91" ht="409" customFormat="1" customHeight="1" s="192">
      <c r="A91" s="46">
        <f>#REF!+1</f>
        <v/>
      </c>
      <c r="B91" s="231" t="inlineStr">
        <is>
          <t>shock</t>
        </is>
      </c>
      <c r="C91" s="425"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1" s="42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1" s="197">
        <f>LEN(D91)</f>
        <v/>
      </c>
      <c r="F91" s="206" t="inlineStr">
        <is>
          <t>Select All That Apply</t>
        </is>
      </c>
      <c r="G91" s="197" t="inlineStr">
        <is>
          <t>NA</t>
        </is>
      </c>
      <c r="H91" s="197" t="inlineStr">
        <is>
          <t>NA</t>
        </is>
      </c>
      <c r="I91" s="405" t="inlineStr">
        <is>
          <t>Form Type - Checklist 
1,26,27 = IsNone</t>
        </is>
      </c>
      <c r="J91" s="221" t="inlineStr">
        <is>
          <t>1-27 = [crp_intro or optional question]</t>
        </is>
      </c>
      <c r="K91" s="266"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L91" s="221" t="inlineStr">
        <is>
          <t>if shock = 1-27, go to [crp_intro or optional question]</t>
        </is>
      </c>
      <c r="M91" s="93" t="n"/>
      <c r="N91" s="10" t="n"/>
      <c r="O91" s="318">
        <f>1</f>
        <v/>
      </c>
      <c r="P91" s="186" t="n"/>
      <c r="R91" s="467" t="inlineStr">
        <is>
          <t>yes</t>
        </is>
      </c>
      <c r="S91" s="193" t="n"/>
      <c r="V91" s="551" t="n">
        <v>37.85363006591797</v>
      </c>
      <c r="W91" s="551">
        <f>IF(V91="","",V91*O91)</f>
        <v/>
      </c>
      <c r="X91" s="186">
        <f>IF(R91="yes",W91,"")</f>
        <v/>
      </c>
    </row>
    <row r="92" ht="102" customFormat="1" customHeight="1" s="192">
      <c r="A92" s="26" t="n">
        <v>28</v>
      </c>
      <c r="B92" s="287" t="inlineStr">
        <is>
          <t>hh_explanation</t>
        </is>
      </c>
      <c r="C92" s="291" t="inlineStr">
        <is>
          <t>hh_explanation</t>
        </is>
      </c>
      <c r="D92" s="37"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92" s="24">
        <f>LEN(D92)</f>
        <v/>
      </c>
      <c r="F92" s="36" t="inlineStr">
        <is>
          <t>Open Ended</t>
        </is>
      </c>
      <c r="G92" s="20" t="inlineStr">
        <is>
          <t>NA</t>
        </is>
      </c>
      <c r="H92" s="20" t="inlineStr">
        <is>
          <t>NA</t>
        </is>
      </c>
      <c r="I92" s="20" t="inlineStr">
        <is>
          <t>Form Type - TextBox</t>
        </is>
      </c>
      <c r="J92" s="29" t="inlineStr">
        <is>
          <t>Any Response = covid</t>
        </is>
      </c>
      <c r="K92" s="84" t="inlineStr">
        <is>
          <t>NA</t>
        </is>
      </c>
      <c r="L92" s="29" t="inlineStr">
        <is>
          <t>For any response to hh_explanation, go to covid.</t>
        </is>
      </c>
      <c r="M92" s="22" t="n"/>
      <c r="N92" s="10" t="n"/>
      <c r="O92" s="392">
        <f>1</f>
        <v/>
      </c>
      <c r="P92" s="186" t="n"/>
      <c r="R92" s="194" t="inlineStr">
        <is>
          <t>no</t>
        </is>
      </c>
      <c r="S92" s="193" t="n"/>
      <c r="V92" s="552" t="n"/>
      <c r="W92" s="552">
        <f>IF(V92="","",V92*O92)</f>
        <v/>
      </c>
      <c r="X92" s="186">
        <f>IF(R92="yes",W92,"")</f>
        <v/>
      </c>
    </row>
    <row r="93" ht="17" customFormat="1" customHeight="1" s="192" thickBot="1">
      <c r="A93" s="46" t="n"/>
      <c r="B93" s="229" t="n"/>
      <c r="C93" s="103" t="n"/>
      <c r="D93" s="83" t="n"/>
      <c r="E93" s="48" t="n"/>
      <c r="F93" s="104" t="n"/>
      <c r="G93" s="48" t="n"/>
      <c r="H93" s="48" t="n"/>
      <c r="I93" s="48" t="n"/>
      <c r="J93" s="61" t="n"/>
      <c r="K93" s="61" t="n"/>
      <c r="L93" s="61" t="n"/>
      <c r="M93" s="94" t="n"/>
      <c r="N93" s="52" t="n"/>
      <c r="O93" s="392">
        <f>1</f>
        <v/>
      </c>
      <c r="P93" s="186" t="n"/>
      <c r="R93" s="194" t="n"/>
      <c r="S93" s="193" t="n"/>
      <c r="V93" s="552" t="n"/>
      <c r="W93" s="552">
        <f>IF(V93="","",V93*O93)</f>
        <v/>
      </c>
      <c r="X93" s="186">
        <f>IF(R93="yes",W93,"")</f>
        <v/>
      </c>
    </row>
    <row r="94" ht="17" customFormat="1" customHeight="1" s="464" thickBot="1">
      <c r="A94" s="548" t="inlineStr">
        <is>
          <t>D. CROP PRODUCTION</t>
        </is>
      </c>
      <c r="B94" s="549" t="n"/>
      <c r="C94" s="549" t="n"/>
      <c r="D94" s="549" t="n"/>
      <c r="E94" s="549" t="n"/>
      <c r="F94" s="549" t="n"/>
      <c r="G94" s="549" t="n"/>
      <c r="H94" s="549" t="n"/>
      <c r="I94" s="549" t="n"/>
      <c r="J94" s="549" t="n"/>
      <c r="K94" s="549" t="n"/>
      <c r="L94" s="549" t="n"/>
      <c r="M94" s="549" t="n"/>
      <c r="N94" s="550" t="n"/>
      <c r="O94" s="318" t="n"/>
      <c r="P94" s="469" t="n"/>
      <c r="R94" s="467" t="n"/>
      <c r="S94" s="470" t="n"/>
      <c r="V94" s="551" t="n"/>
      <c r="W94" s="551">
        <f>IF(V94="","",V94*O94)</f>
        <v/>
      </c>
      <c r="X94" s="469">
        <f>IF(R94="yes",W94,"")</f>
        <v/>
      </c>
    </row>
    <row r="95" ht="153" customFormat="1" customHeight="1" s="192">
      <c r="A95" s="102">
        <f>A92+1</f>
        <v/>
      </c>
      <c r="B95" s="239" t="inlineStr">
        <is>
          <t>crp_intro</t>
        </is>
      </c>
      <c r="C95" s="191" t="inlineStr">
        <is>
          <t>crp_intro</t>
        </is>
      </c>
      <c r="D95" s="215" t="inlineStr">
        <is>
          <t>We will now ask you some questions about crop production which apply to you and anyone in your household that is involved in crop production or sales. All questions refer to the crops grown during Rainy season.
1)CONTINUE</t>
        </is>
      </c>
      <c r="E95" s="189">
        <f>LEN(D95)</f>
        <v/>
      </c>
      <c r="F95" s="199" t="inlineStr">
        <is>
          <t>Single Choice</t>
        </is>
      </c>
      <c r="G95" s="189" t="inlineStr">
        <is>
          <t>NA</t>
        </is>
      </c>
      <c r="H95" s="189"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I95" s="197" t="inlineStr">
        <is>
          <t>Form Type - Buttons</t>
        </is>
      </c>
      <c r="J95" s="214" t="inlineStr">
        <is>
          <t>1 = crp_landsize_num</t>
        </is>
      </c>
      <c r="K95" s="266" t="inlineStr">
        <is>
          <t>NA</t>
        </is>
      </c>
      <c r="L95" s="195"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M95" s="220" t="n"/>
      <c r="N95" s="238" t="n"/>
      <c r="O95" s="392">
        <f>'Additional information'!$D$17</f>
        <v/>
      </c>
      <c r="P95" s="186" t="n"/>
      <c r="R95" s="467" t="inlineStr">
        <is>
          <t>yes</t>
        </is>
      </c>
      <c r="S95" s="193" t="n"/>
      <c r="V95" s="551" t="n">
        <v>7.304072856903076</v>
      </c>
      <c r="W95" s="551">
        <f>IF(V95="","",V95*O95)</f>
        <v/>
      </c>
      <c r="X95" s="186">
        <f>IF(R95="yes",W95,"")</f>
        <v/>
      </c>
    </row>
    <row r="96" customFormat="1" s="192">
      <c r="A96" s="102" t="n"/>
      <c r="B96" s="110" t="n"/>
      <c r="C96" s="103" t="n"/>
      <c r="D96" s="111" t="n"/>
      <c r="E96" s="109" t="n"/>
      <c r="F96" s="112" t="n"/>
      <c r="G96" s="109" t="n"/>
      <c r="H96" s="109" t="n"/>
      <c r="I96" s="48" t="n"/>
      <c r="J96" s="94" t="n"/>
      <c r="K96" s="83" t="n"/>
      <c r="L96" s="220" t="n"/>
      <c r="M96" s="220" t="n"/>
      <c r="N96" s="238" t="n"/>
      <c r="O96" s="392">
        <f>'Additional information'!$D$17</f>
        <v/>
      </c>
      <c r="P96" s="186" t="n"/>
      <c r="R96" s="194" t="n"/>
      <c r="S96" s="193" t="n"/>
      <c r="V96" s="552" t="n"/>
      <c r="W96" s="552">
        <f>IF(V96="","",V96*O96)</f>
        <v/>
      </c>
      <c r="X96" s="186">
        <f>IF(R96="yes",W96,"")</f>
        <v/>
      </c>
    </row>
    <row r="97" ht="85" customFormat="1" customHeight="1" s="289">
      <c r="A97" s="372" t="n"/>
      <c r="B97" s="213" t="inlineStr">
        <is>
          <t>crp_landsize_num</t>
        </is>
      </c>
      <c r="C97" s="197" t="inlineStr">
        <is>
          <t>crp_landsize_num</t>
        </is>
      </c>
      <c r="D97" s="211" t="inlineStr">
        <is>
          <t>What is the total size of the land you can cultivate?
[OPERATOR: RECORD THE TOTAL LAND SIZE PROVIDED BY THE RESPONDENT. WRITE 8888888 FOR DON'T KNOW AND 9999999 FOR REFUSED. MEASUREMENT UNIT WILL BE SPECIFIED IN THE FOLLOWING QUESTION.]</t>
        </is>
      </c>
      <c r="E97" s="197">
        <f>LEN(D97)</f>
        <v/>
      </c>
      <c r="F97" s="198" t="inlineStr">
        <is>
          <t>Range</t>
        </is>
      </c>
      <c r="G97" s="197" t="inlineStr">
        <is>
          <t>NA</t>
        </is>
      </c>
      <c r="H97" s="197" t="inlineStr">
        <is>
          <t>NA</t>
        </is>
      </c>
      <c r="I97" s="197" t="inlineStr">
        <is>
          <t>Form Type - TextBox</t>
        </is>
      </c>
      <c r="J97" s="221" t="inlineStr">
        <is>
          <t>0-1000000 = crp_landsize_unit
8888888-8888888 = crp_main
9999999-9999999 = crp_main</t>
        </is>
      </c>
      <c r="K97" s="266" t="inlineStr">
        <is>
          <t>NA</t>
        </is>
      </c>
      <c r="L97" s="195" t="inlineStr">
        <is>
          <t>For any response, go to crp_landsize_unit. Range is between 0 and 1000000. For "Don't know" and "Refused", go to crp_main.</t>
        </is>
      </c>
      <c r="M97" s="237" t="n"/>
      <c r="N97" s="236" t="n"/>
      <c r="O97" s="392">
        <f>'Additional information'!$D$17</f>
        <v/>
      </c>
      <c r="P97" s="186" t="n"/>
      <c r="R97" s="467" t="inlineStr">
        <is>
          <t>yes</t>
        </is>
      </c>
      <c r="S97" s="193" t="n"/>
      <c r="V97" s="551" t="n">
        <v>23.93990516662598</v>
      </c>
      <c r="W97" s="551">
        <f>IF(V97="","",V97*O97)</f>
        <v/>
      </c>
      <c r="X97" s="186">
        <f>IF(R97="yes",W97,"")</f>
        <v/>
      </c>
    </row>
    <row r="98" ht="187" customFormat="1" customHeight="1" s="289">
      <c r="A98" s="372" t="n"/>
      <c r="B98" s="213" t="inlineStr">
        <is>
          <t>crp_landsize_unit</t>
        </is>
      </c>
      <c r="C98" s="197" t="inlineStr">
        <is>
          <t>crp_landsize_unit</t>
        </is>
      </c>
      <c r="D98" s="211" t="inlineStr">
        <is>
          <t xml:space="preserve">Unit of measurement for land size: 
[OPERATOR: DO NOT READ. SINGLE RESPONSE.]
1)Acres
2)Hectares
3)Square meters
4)Square feet
5)Hectares
</t>
        </is>
      </c>
      <c r="E98" s="197">
        <f>LEN(D98)</f>
        <v/>
      </c>
      <c r="F98" s="198" t="inlineStr">
        <is>
          <t>Single Choice</t>
        </is>
      </c>
      <c r="G98" s="197" t="inlineStr">
        <is>
          <t>NA</t>
        </is>
      </c>
      <c r="H98" s="197" t="inlineStr">
        <is>
          <t>NA</t>
        </is>
      </c>
      <c r="I98" s="197" t="inlineStr">
        <is>
          <t>Form Type - Buttons</t>
        </is>
      </c>
      <c r="J98" s="221" t="inlineStr">
        <is>
          <t>1-5 = crp_main</t>
        </is>
      </c>
      <c r="K98" s="266" t="inlineStr">
        <is>
          <t>NA</t>
        </is>
      </c>
      <c r="L98" s="195" t="inlineStr">
        <is>
          <t>if crp_landsize_unit = 1-5, go to crp_main</t>
        </is>
      </c>
      <c r="M98" s="220" t="n"/>
      <c r="N98" s="234" t="n"/>
      <c r="O98" s="392">
        <f>'Additional information'!$D$17</f>
        <v/>
      </c>
      <c r="P98" s="186" t="n"/>
      <c r="R98" s="467" t="inlineStr">
        <is>
          <t>yes</t>
        </is>
      </c>
      <c r="S98" s="193" t="n"/>
      <c r="V98" s="551" t="n">
        <v>2.249462604522705</v>
      </c>
      <c r="W98" s="551">
        <f>IF(V98="","",V98*O98)</f>
        <v/>
      </c>
      <c r="X98" s="186">
        <f>IF(R98="yes",W98,"")</f>
        <v/>
      </c>
    </row>
    <row r="99" customFormat="1" s="289">
      <c r="A99" s="170" t="n"/>
      <c r="B99" s="312" t="n"/>
      <c r="C99" s="109" t="n"/>
      <c r="D99" s="111" t="n"/>
      <c r="E99" s="109" t="n"/>
      <c r="F99" s="103" t="n"/>
      <c r="G99" s="109" t="n"/>
      <c r="H99" s="109" t="n"/>
      <c r="I99" s="109" t="n"/>
      <c r="J99" s="94" t="n"/>
      <c r="K99" s="83" t="n"/>
      <c r="L99" s="290" t="n"/>
      <c r="M99" s="235" t="n"/>
      <c r="N99" s="234" t="n"/>
      <c r="O99" s="392">
        <f>'Additional information'!$D$17</f>
        <v/>
      </c>
      <c r="P99" s="186" t="n"/>
      <c r="R99" s="194" t="n"/>
      <c r="S99" s="193" t="n"/>
      <c r="V99" s="552" t="n"/>
      <c r="W99" s="552">
        <f>IF(V99="","",V99*O99)</f>
        <v/>
      </c>
      <c r="X99" s="186">
        <f>IF(R99="yes",W99,"")</f>
        <v/>
      </c>
    </row>
    <row r="100" ht="119" customFormat="1" customHeight="1" s="192">
      <c r="A100" s="102">
        <f>A95+1</f>
        <v/>
      </c>
      <c r="B100" s="281" t="inlineStr">
        <is>
          <t>crp_main</t>
        </is>
      </c>
      <c r="C100" s="191" t="inlineStr">
        <is>
          <t>crp_main</t>
        </is>
      </c>
      <c r="D100" s="215" t="inlineStr">
        <is>
          <t>What has been the main crop that your household has grown for food and income generation in Rainy season, if any? 
 [OPERATOR: SINGLE RESPONSE. "NO CROP PRODUCTION" IS IN LAST OPTIONS AT THE END.] 
1)Rice
2)Millet
3)Sorghum
4)Maize
5)Beans
6)Peas
7)Tomatoes
8)Water Melon
9)Groundnut/peanut
10)Sesame
11)Wheat
12)Barley
13)Other Cereal
14)Cassava
15)Potatoe
16)Sweet Potatoes
17)Yams
18)Carrots
19)Cocoyam
20)Other tubers
21)Lentils
22)Soybeans
23)Chickpeas
24)Fava beans
25)Broad beans
26)Other pulses
27)Cabbage
28)Cauliflower
29)Lettuce
30)Spinach-Amaranth
31)Cassava leaves
32)Potatoe leaves
33)Moringa
34)Sorrel Hibiscus / Rosselle
35)Green salad herbs [thyme, parsley, mint, rocca, other]
36)Other leafy vegetables
37)Green peas
38)Fava beans green
39)Cucumber
40)Pumpkin
41)Eggplant/aubergine
42)Zucchini
43)Okra
44)Bell pepper
45)Onions
46)Haricot
47)Other non leafy vegs
48)Orange
49)Lemon
50)Grapefruit
51)Mandarins/clementines
52)Other citrus fruit
53)Sweet Banana
54)Figs
55)Grapes
56)Olives
57)Apple
58)Apricot
59)Cherries
60)Peach/nectarine
61)Strawberries
62)Melon [Cantaloupe]
63)Plantains
64)Papaya
65)Mango
66)Guava
67)Pineapple
68)Avocado
69)Dates
70)Other fruit
71)Coconuts
72)Cashew Nut
73)Kola Nut
74)Bambara nut
75)Almond
76)Walnut
77)Other nuts
78)Cocoa
79)Coffee
80)Tea
81)Sugarcane
82)Sunflower
83)Other food cash crop
84)Cotton
85)Rubber
86)Jute
87)Fodder
88)Tobacco
89)Qat
90)Other non-food cash crop
91)No crop production
92)DON'T KNOW
93)REFUSED</t>
        </is>
      </c>
      <c r="E100" s="189">
        <f>LEN(D100)</f>
        <v/>
      </c>
      <c r="F100" s="199" t="inlineStr">
        <is>
          <t>Single Choice</t>
        </is>
      </c>
      <c r="G100" s="189" t="inlineStr">
        <is>
          <t>NA</t>
        </is>
      </c>
      <c r="H100" s="189" t="inlineStr">
        <is>
          <t>NA</t>
        </is>
      </c>
      <c r="I100" s="191" t="inlineStr">
        <is>
          <t>Form Type - Dropdown
IsDemographic</t>
        </is>
      </c>
      <c r="J100" s="214" t="inlineStr">
        <is>
          <t>1-90 = crp_irrig_source
91 = crp_main_check
92-93 = crp_salesmain</t>
        </is>
      </c>
      <c r="K100" s="436" t="inlineStr">
        <is>
          <t>1)1.1
2)1.3
3)1.4
4)1.5
5)3.1
6)3.3
7)5.1
8)7.8
9)8.2
10)8.5
11)1.2
12)1.6
13)1.99
14)2.1
15)2.2
16)2.3
17)2.4
18)2.5
19)2.6
20)2.99
21)3.2
22)3.4
23)3.5
24)3.6
25)3.7
26)3.99
27)4.1
28)4.101
29)4.2
30)4.3
31)4.4
32)4.5
33)4.6
34)4.7
35)4.9
36)4.99
37)5.101
38)5.11
39)5.2
40)5.3
41)5.4
42)5.5
43)5.6
44)5.7
45)5.8
46)5.9
47)5.99
48)6.1
49)6.2
50)6.3
51)6.4
52)6.99
53)7.1
54)7.101
55)7.11
56)7.12
57)7.13
58)7.14
59)7.15
60)7.16
61)7.17
62)7.18
63)7.2
64)7.3
65)7.4
66)7.5
67)7.6
68)7.7
69)7.9
70)7.99
71)8.1
72)8.3
73)8.4
74)8.6
75)8.7
76)8.8
77)8.99
78)9.1
79)9.2
80)9.3
81)9.4
82)9.5
83)9.99
84)10.1
85)10.2
86)10.3
87)10.4
88)10.5
89)10.6
90)10.99
91)777
92)888
93)999</t>
        </is>
      </c>
      <c r="L100" s="432" t="inlineStr">
        <is>
          <t>if crp_main = any type of crop, go to crp_irrig_source;
if crp_main = "No crop production", go to crp_main_check
if crp_main = "Don't know" or "Refused", go to crp_salesmain</t>
        </is>
      </c>
      <c r="M100" s="232" t="n"/>
      <c r="N100" s="52" t="n"/>
      <c r="O100" s="392">
        <f>'Additional information'!$D$17</f>
        <v/>
      </c>
      <c r="P100" s="186" t="n"/>
      <c r="R100" s="467" t="inlineStr">
        <is>
          <t>yes</t>
        </is>
      </c>
      <c r="S100" s="193" t="n"/>
      <c r="V100" s="551" t="n">
        <v>23.44011688232422</v>
      </c>
      <c r="W100" s="551">
        <f>IF(V100="","",V100*O100)</f>
        <v/>
      </c>
      <c r="X100" s="186">
        <f>IF(R100="yes",W100,"")</f>
        <v/>
      </c>
    </row>
    <row r="101" ht="102" customFormat="1" customHeight="1" s="192">
      <c r="A101" s="102" t="n"/>
      <c r="B101" s="281" t="inlineStr">
        <is>
          <t>crp_main_check</t>
        </is>
      </c>
      <c r="C101" s="191" t="inlineStr">
        <is>
          <t>crp_main_check</t>
        </is>
      </c>
      <c r="D101" s="215" t="inlineStr">
        <is>
          <t>Why did you not produce any crops in Rainy season?
[OPERATOR: SINGLE RESPONSE.]
1)Don’t usually produce during this season 
2)Wasn't able to produce [e.g. due to difficulties]</t>
        </is>
      </c>
      <c r="E101" s="189">
        <f>LEN(D101)</f>
        <v/>
      </c>
      <c r="F101" s="199" t="inlineStr">
        <is>
          <t>Single Choice</t>
        </is>
      </c>
      <c r="G101" s="189" t="inlineStr">
        <is>
          <t>NA</t>
        </is>
      </c>
      <c r="H101" s="189" t="inlineStr">
        <is>
          <t>NA</t>
        </is>
      </c>
      <c r="I101" s="191" t="inlineStr">
        <is>
          <t>Form Type - Buttons</t>
        </is>
      </c>
      <c r="J101" s="214" t="inlineStr">
        <is>
          <t>1 = crp_salesmain
2 = crp_proddif</t>
        </is>
      </c>
      <c r="K101" s="266" t="inlineStr">
        <is>
          <t>NA</t>
        </is>
      </c>
      <c r="L101" s="233" t="inlineStr">
        <is>
          <t>if crp_main_check = 1, go to crp_salesmain
if crp_main_check = 2, go to crp_proddif</t>
        </is>
      </c>
      <c r="M101" s="232" t="n"/>
      <c r="N101" s="52" t="n"/>
      <c r="O101" s="392">
        <f>'Additional information'!$D$17</f>
        <v/>
      </c>
      <c r="P101" s="186" t="n"/>
      <c r="R101" s="467" t="inlineStr">
        <is>
          <t>yes</t>
        </is>
      </c>
      <c r="S101" s="193" t="n"/>
      <c r="V101" s="551" t="n">
        <v>7.765957355499268</v>
      </c>
      <c r="W101" s="551">
        <f>IF(V101="","",V101*O101)</f>
        <v/>
      </c>
      <c r="X101" s="186">
        <f>IF(R101="yes",W101,"")</f>
        <v/>
      </c>
    </row>
    <row r="102" customFormat="1" s="192">
      <c r="A102" s="102" t="n"/>
      <c r="B102" s="309" t="n"/>
      <c r="C102" s="103" t="n"/>
      <c r="D102" s="111" t="n"/>
      <c r="E102" s="109" t="n"/>
      <c r="F102" s="112" t="n"/>
      <c r="G102" s="109" t="n"/>
      <c r="H102" s="109" t="n"/>
      <c r="I102" s="103" t="n"/>
      <c r="J102" s="94" t="n"/>
      <c r="K102" s="83" t="n"/>
      <c r="L102" s="360" t="n"/>
      <c r="M102" s="232" t="n"/>
      <c r="N102" s="52" t="n"/>
      <c r="O102" s="392">
        <f>'Additional information'!$D$17</f>
        <v/>
      </c>
      <c r="P102" s="186" t="n"/>
      <c r="R102" s="194" t="n"/>
      <c r="S102" s="193" t="n"/>
      <c r="V102" s="552" t="n"/>
      <c r="W102" s="552">
        <f>IF(V102="","",V102*O102)</f>
        <v/>
      </c>
      <c r="X102" s="186">
        <f>IF(R102="yes",W102,"")</f>
        <v/>
      </c>
    </row>
    <row r="103" ht="204" customFormat="1" customHeight="1" s="192">
      <c r="A103" s="46">
        <f>A100+1</f>
        <v/>
      </c>
      <c r="B103" s="213" t="inlineStr">
        <is>
          <t>crp_irrig_source</t>
        </is>
      </c>
      <c r="C103" s="197" t="inlineStr">
        <is>
          <t>crp_irrig_source</t>
        </is>
      </c>
      <c r="D103" s="211"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3" s="197">
        <f>LEN(D103)</f>
        <v/>
      </c>
      <c r="F103" s="198" t="inlineStr">
        <is>
          <t>Open Ended - Single Choice</t>
        </is>
      </c>
      <c r="G103" s="197" t="inlineStr">
        <is>
          <t>NA</t>
        </is>
      </c>
      <c r="H103" s="197" t="inlineStr">
        <is>
          <t>NA</t>
        </is>
      </c>
      <c r="I103" s="197" t="inlineStr">
        <is>
          <t>Form Type - RadioList</t>
        </is>
      </c>
      <c r="J103" s="221" t="inlineStr">
        <is>
          <t>1-8 = crp_area_change OR optional question</t>
        </is>
      </c>
      <c r="K103" s="266" t="inlineStr">
        <is>
          <t>NA</t>
        </is>
      </c>
      <c r="L103" s="233" t="inlineStr">
        <is>
          <t>if crp_irrig_source = 1-8, go to [crp_area_change or optional question]</t>
        </is>
      </c>
      <c r="M103" s="72" t="n"/>
      <c r="N103" s="10" t="n"/>
      <c r="O103" s="392">
        <f>'Additional information'!$D$17</f>
        <v/>
      </c>
      <c r="P103" s="186" t="n"/>
      <c r="R103" s="467" t="inlineStr">
        <is>
          <t>yes</t>
        </is>
      </c>
      <c r="S103" s="193" t="n"/>
      <c r="V103" s="551" t="n">
        <v>16.48175621032715</v>
      </c>
      <c r="W103" s="551">
        <f>IF(V103="","",V103*O103)</f>
        <v/>
      </c>
      <c r="X103" s="186">
        <f>IF(R103="yes",W103,"")</f>
        <v/>
      </c>
    </row>
    <row r="104" ht="14.25" customFormat="1" customHeight="1" s="192">
      <c r="A104" s="46" t="n"/>
      <c r="B104" s="229" t="n"/>
      <c r="C104" s="228" t="n"/>
      <c r="D104" s="227" t="n"/>
      <c r="E104" s="48" t="n"/>
      <c r="F104" s="104" t="n"/>
      <c r="G104" s="48" t="n"/>
      <c r="H104" s="48" t="n"/>
      <c r="I104" s="48" t="n"/>
      <c r="J104" s="225" t="n"/>
      <c r="K104" s="83" t="n"/>
      <c r="L104" s="311" t="n"/>
      <c r="M104" s="225" t="n"/>
      <c r="N104" s="10" t="n"/>
      <c r="O104" s="392">
        <f>'Additional information'!$D$17</f>
        <v/>
      </c>
      <c r="P104" s="186" t="n"/>
      <c r="R104" s="194" t="n"/>
      <c r="S104" s="193" t="n"/>
      <c r="V104" s="552" t="n"/>
      <c r="W104" s="552">
        <f>IF(V104="","",V104*O104)</f>
        <v/>
      </c>
      <c r="X104" s="186">
        <f>IF(R104="yes",W104,"")</f>
        <v/>
      </c>
    </row>
    <row r="105" ht="238" customFormat="1" customHeight="1" s="192">
      <c r="A105" s="14">
        <f>A103+1</f>
        <v/>
      </c>
      <c r="B105" s="39" t="inlineStr">
        <is>
          <t>crp_seed_supply</t>
        </is>
      </c>
      <c r="C105" s="20" t="inlineStr">
        <is>
          <t>crp_seed_supply
1) crp_seed_ownprod
2) crp_seed_market
3) crp_seed_company
4) crp_seed_ngo
5) crp_seed_organized_community
6) crp_seed_gov
7) crp_seed_relatives_friends
8) crp_seed_other
9) crp_seed_dk
10) crp_seed_ref</t>
        </is>
      </c>
      <c r="D105" s="38"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05" s="20">
        <f>LEN(D105)</f>
        <v/>
      </c>
      <c r="F105" s="17" t="inlineStr">
        <is>
          <t xml:space="preserve">Select All That Apply </t>
        </is>
      </c>
      <c r="G105" s="16" t="inlineStr">
        <is>
          <t>NA</t>
        </is>
      </c>
      <c r="H105" s="16" t="inlineStr">
        <is>
          <t>NA</t>
        </is>
      </c>
      <c r="I105" s="16" t="inlineStr">
        <is>
          <t>Form Type - Checklist
9,10 = IsNone</t>
        </is>
      </c>
      <c r="J105" s="171" t="inlineStr">
        <is>
          <t>1-10 = crp_area_change</t>
        </is>
      </c>
      <c r="K105" s="84" t="inlineStr">
        <is>
          <t>1)crp_seed_ownprod
2)crp_seed_market
3)crp_seed_company
4)crp_seed_ngo
5)crp_seed_organized_community
6)crp_seed_gov
7)crp_seed_relatives_friends
8)crp_seed_other
9)crp_seed_dk
10)crp_seed_ref</t>
        </is>
      </c>
      <c r="L105" s="169" t="inlineStr">
        <is>
          <t>if crp_seed_supply = 1-10, go to crp_area_change</t>
        </is>
      </c>
      <c r="M105" s="64" t="n"/>
      <c r="N105" s="10" t="n"/>
      <c r="O105" s="392">
        <f>'Additional information'!$D$17</f>
        <v/>
      </c>
      <c r="P105" s="186" t="n"/>
      <c r="R105" s="194" t="inlineStr">
        <is>
          <t>no</t>
        </is>
      </c>
      <c r="S105" s="193" t="n"/>
      <c r="V105" s="552" t="n">
        <v>18.51111030578613</v>
      </c>
      <c r="W105" s="552">
        <f>IF(V105="","",V105*O105)</f>
        <v/>
      </c>
      <c r="X105" s="186">
        <f>IF(R105="yes",W105,"")</f>
        <v/>
      </c>
    </row>
    <row r="106" customFormat="1" s="192">
      <c r="A106" s="46" t="n"/>
      <c r="B106" s="229" t="n"/>
      <c r="C106" s="228" t="n"/>
      <c r="D106" s="227" t="n"/>
      <c r="E106" s="48" t="n"/>
      <c r="F106" s="104" t="n"/>
      <c r="G106" s="48" t="n"/>
      <c r="H106" s="48" t="n"/>
      <c r="I106" s="48" t="n"/>
      <c r="J106" s="225" t="n"/>
      <c r="K106" s="83" t="n"/>
      <c r="L106" s="226" t="n"/>
      <c r="M106" s="225" t="n"/>
      <c r="N106" s="10" t="n"/>
      <c r="O106" s="392">
        <f>'Additional information'!$D$17</f>
        <v/>
      </c>
      <c r="P106" s="186" t="n"/>
      <c r="R106" s="194" t="n"/>
      <c r="S106" s="193" t="n"/>
      <c r="V106" s="552" t="n"/>
      <c r="W106" s="552">
        <f>IF(V106="","",V106*O106)</f>
        <v/>
      </c>
      <c r="X106" s="186">
        <f>IF(R106="yes",W106,"")</f>
        <v/>
      </c>
    </row>
    <row r="107" ht="204" customFormat="1" customHeight="1" s="192">
      <c r="A107" s="46">
        <f>A105+1</f>
        <v/>
      </c>
      <c r="B107" s="231" t="inlineStr">
        <is>
          <t>crp_area_change</t>
        </is>
      </c>
      <c r="C107" s="230" t="inlineStr">
        <is>
          <t>crp_area_change</t>
        </is>
      </c>
      <c r="D107" s="211" t="inlineStr">
        <is>
          <t>How did the area planted for {crp_main} from Rainy season compare to a normal year?
[OPERATOR: SINGLE RESPONSE.]
1)A lot more [increased by more than 50%]
2)Slightly more
3)Same
4)Slightly less
5)A lot less [less than half as much]
6)DON'T KNOW
7)REFUSED</t>
        </is>
      </c>
      <c r="E107" s="197">
        <f>LEN(D107)</f>
        <v/>
      </c>
      <c r="F107" s="206" t="inlineStr">
        <is>
          <t>Single Choice</t>
        </is>
      </c>
      <c r="G107" s="197" t="inlineStr">
        <is>
          <t>NA</t>
        </is>
      </c>
      <c r="H107" s="197" t="inlineStr">
        <is>
          <t>NA</t>
        </is>
      </c>
      <c r="I107" s="197" t="inlineStr">
        <is>
          <t>Form Type - Buttons</t>
        </is>
      </c>
      <c r="J107" s="221" t="inlineStr">
        <is>
          <t>1-7 = crp_harv_change</t>
        </is>
      </c>
      <c r="K107" s="266" t="inlineStr">
        <is>
          <t>NA</t>
        </is>
      </c>
      <c r="L107" s="221" t="inlineStr">
        <is>
          <t>if crp_area_change = 1-7, go to crp_harv_change</t>
        </is>
      </c>
      <c r="M107" s="61" t="n"/>
      <c r="N107" s="10" t="n"/>
      <c r="O107" s="392">
        <f>'Additional information'!$D$17</f>
        <v/>
      </c>
      <c r="P107" s="186" t="n"/>
      <c r="R107" s="467" t="inlineStr">
        <is>
          <t>yes</t>
        </is>
      </c>
      <c r="S107" s="193" t="n"/>
      <c r="V107" s="551" t="n">
        <v>20.30868148803711</v>
      </c>
      <c r="W107" s="551">
        <f>IF(V107="","",V107*O107)</f>
        <v/>
      </c>
      <c r="X107" s="186">
        <f>IF(R107="yes",W107,"")</f>
        <v/>
      </c>
    </row>
    <row r="108" customFormat="1" s="192">
      <c r="A108" s="46" t="n"/>
      <c r="B108" s="229" t="n"/>
      <c r="C108" s="228" t="n"/>
      <c r="D108" s="227" t="n"/>
      <c r="E108" s="48" t="n"/>
      <c r="F108" s="104" t="n"/>
      <c r="G108" s="48" t="n"/>
      <c r="H108" s="48" t="n"/>
      <c r="I108" s="48" t="n"/>
      <c r="J108" s="225" t="n"/>
      <c r="K108" s="83" t="n"/>
      <c r="L108" s="226" t="n"/>
      <c r="M108" s="225" t="n"/>
      <c r="N108" s="10" t="n"/>
      <c r="O108" s="392">
        <f>'Additional information'!$D$17</f>
        <v/>
      </c>
      <c r="P108" s="186" t="n"/>
      <c r="R108" s="194" t="n"/>
      <c r="S108" s="193" t="n"/>
      <c r="V108" s="552" t="n"/>
      <c r="W108" s="552">
        <f>IF(V108="","",V108*O108)</f>
        <v/>
      </c>
      <c r="X108" s="186">
        <f>IF(R108="yes",W108,"")</f>
        <v/>
      </c>
    </row>
    <row r="109" ht="204" customFormat="1" customHeight="1" s="192">
      <c r="A109" s="46">
        <f>A107+1</f>
        <v/>
      </c>
      <c r="B109" s="213" t="inlineStr">
        <is>
          <t>crp_harv_change</t>
        </is>
      </c>
      <c r="C109" s="197" t="inlineStr">
        <is>
          <t>crp_harv_change</t>
        </is>
      </c>
      <c r="D109" s="211" t="inlineStr">
        <is>
          <t>How does the  harvest of {crp_main} in the Rainy season compare to a normal year? 
[OPERATOR: SINGLE RESPONSE.]
1)A lot more [increased by more than 50%]
2)Slightly more
3)Same
4)Slightly less
5)A lot less [less than half as much]
6)DON'T KNOW
7)REFUSED</t>
        </is>
      </c>
      <c r="E109" s="197">
        <f>LEN(D109)</f>
        <v/>
      </c>
      <c r="F109" s="206" t="inlineStr">
        <is>
          <t>Single Choice</t>
        </is>
      </c>
      <c r="G109" s="197" t="inlineStr">
        <is>
          <t>NA</t>
        </is>
      </c>
      <c r="H109" s="197" t="inlineStr">
        <is>
          <t>NA</t>
        </is>
      </c>
      <c r="I109" s="197" t="inlineStr">
        <is>
          <t>Form Type - Buttons</t>
        </is>
      </c>
      <c r="J109" s="196" t="inlineStr">
        <is>
          <t>1-7 = crp_proddif OR crp_harv_vol</t>
        </is>
      </c>
      <c r="K109" s="266" t="inlineStr">
        <is>
          <t>NA</t>
        </is>
      </c>
      <c r="L109" s="224" t="inlineStr">
        <is>
          <t>if crp_harv_change = 1-7, go to [crp_proddif or crp_harv_vol]</t>
        </is>
      </c>
      <c r="M109" s="223" t="n"/>
      <c r="N109" s="172" t="n"/>
      <c r="O109" s="392">
        <f>'Additional information'!$D$17</f>
        <v/>
      </c>
      <c r="P109" s="186" t="n"/>
      <c r="R109" s="467" t="inlineStr">
        <is>
          <t>yes</t>
        </is>
      </c>
      <c r="S109" s="193" t="n"/>
      <c r="V109" s="551" t="n">
        <v>15.44861221313477</v>
      </c>
      <c r="W109" s="551">
        <f>IF(V109="","",V109*O109)</f>
        <v/>
      </c>
      <c r="X109" s="186">
        <f>IF(R109="yes",W109,"")</f>
        <v/>
      </c>
    </row>
    <row r="110" ht="85" customFormat="1" customHeight="1" s="192">
      <c r="A110" s="14">
        <f>A109+1</f>
        <v/>
      </c>
      <c r="B110" s="54" t="inlineStr">
        <is>
          <t>crp_harv_vol</t>
        </is>
      </c>
      <c r="C110" s="55" t="inlineStr">
        <is>
          <t>crp_harv_vol</t>
        </is>
      </c>
      <c r="D110" s="19" t="inlineStr">
        <is>
          <t>How much [threshed] {crp_main} did you harvest this Rainy season?
[OPERATOR: RECORD THE RESPONSE GIVEN. UNIT OF MEASUREMENT TO BE SPECIFIED IN NEXT QUESTION. ENTER 8888888 FOR DON'T KNOW &amp; 9999999 FOR REFUSED, TO BE USED RARELY - PROBE!]</t>
        </is>
      </c>
      <c r="E110" s="20">
        <f>LEN(D110)</f>
        <v/>
      </c>
      <c r="F110" s="56" t="inlineStr">
        <is>
          <t>Range</t>
        </is>
      </c>
      <c r="G110" s="20" t="inlineStr">
        <is>
          <t>NA</t>
        </is>
      </c>
      <c r="H110" s="20" t="inlineStr">
        <is>
          <t>NA</t>
        </is>
      </c>
      <c r="I110" s="20" t="inlineStr">
        <is>
          <t>Form Type - TextBox</t>
        </is>
      </c>
      <c r="J110" s="22" t="inlineStr">
        <is>
          <t>1-1000000 = crp_harv_unit
8888888-8888888 =  crp_proddif
9999999-9999999 =  crp_proddif</t>
        </is>
      </c>
      <c r="K110" s="84" t="inlineStr">
        <is>
          <t>NA</t>
        </is>
      </c>
      <c r="L110" s="57" t="inlineStr">
        <is>
          <t>For any response, go to crp_harv_unit. For "Don't know" or "Refused", go to crp_proddif</t>
        </is>
      </c>
      <c r="M110" s="70" t="n"/>
      <c r="N110" s="560" t="inlineStr">
        <is>
          <t xml:space="preserve">Keep this block of questions together, if used.
</t>
        </is>
      </c>
      <c r="O110" s="392">
        <f>'Additional information'!$D$17</f>
        <v/>
      </c>
      <c r="P110" s="186" t="n"/>
      <c r="R110" s="194" t="inlineStr">
        <is>
          <t>no</t>
        </is>
      </c>
      <c r="S110" s="193" t="n"/>
      <c r="V110" s="552" t="n">
        <v>30.34391593933105</v>
      </c>
      <c r="W110" s="552">
        <f>IF(V110="","",V110*O110)</f>
        <v/>
      </c>
      <c r="X110" s="186">
        <f>IF(R110="yes",W110,"")</f>
        <v/>
      </c>
    </row>
    <row r="111" ht="221" customFormat="1" customHeight="1" s="192">
      <c r="A111" s="14">
        <f>A110+1</f>
        <v/>
      </c>
      <c r="B111" s="54" t="inlineStr">
        <is>
          <t>crp_harv_unit</t>
        </is>
      </c>
      <c r="C111" s="55" t="inlineStr">
        <is>
          <t>crp_harv_unit</t>
        </is>
      </c>
      <c r="D111" s="60" t="inlineStr">
        <is>
          <t>Unit of measurement for harvested {crp_main} :
[OPERATOR: SINGLE SELECTION]
1)Kilograms [kgs]
2)Tonnes
3)Ounces
4)Pounds
5)Bags
6)Boxes
7)Bundles
8)Packets
9)Other [specify]</t>
        </is>
      </c>
      <c r="E111" s="20">
        <f>LEN(D111)</f>
        <v/>
      </c>
      <c r="F111" s="56" t="inlineStr">
        <is>
          <t>Open Ended - Single Choice</t>
        </is>
      </c>
      <c r="G111" s="20" t="inlineStr">
        <is>
          <t>NA</t>
        </is>
      </c>
      <c r="H111" s="20" t="inlineStr">
        <is>
          <t>NA</t>
        </is>
      </c>
      <c r="I111" s="20" t="inlineStr">
        <is>
          <t>Form Type - RadioList
IsDemographic</t>
        </is>
      </c>
      <c r="J111" s="22" t="inlineStr">
        <is>
          <t>1-4 = crp_harv_lastyr
5-9 = crp_harv_unit_kg</t>
        </is>
      </c>
      <c r="K111" s="84" t="inlineStr">
        <is>
          <t>NA</t>
        </is>
      </c>
      <c r="L111" s="57" t="inlineStr">
        <is>
          <t>If crp_harv_unit = 1-4, go to crp_harv_lastyr
If crp_harv_unit = 5-9, go to crp_harv_unit_kg</t>
        </is>
      </c>
      <c r="M111" s="70" t="n"/>
      <c r="N111" s="561" t="n"/>
      <c r="O111" s="392">
        <f>'Additional information'!$D$17</f>
        <v/>
      </c>
      <c r="P111" s="186" t="n"/>
      <c r="R111" s="194" t="inlineStr">
        <is>
          <t>no</t>
        </is>
      </c>
      <c r="S111" s="193" t="n"/>
      <c r="V111" s="552" t="n">
        <v>5.47089958190918</v>
      </c>
      <c r="W111" s="552">
        <f>IF(V111="","",V111*O111)</f>
        <v/>
      </c>
      <c r="X111" s="186">
        <f>IF(R111="yes",W111,"")</f>
        <v/>
      </c>
    </row>
    <row r="112" ht="68" customFormat="1" customHeight="1" s="192">
      <c r="A112" s="14">
        <f>A111+1</f>
        <v/>
      </c>
      <c r="B112" s="54" t="inlineStr">
        <is>
          <t>crp_harv_unit_kg</t>
        </is>
      </c>
      <c r="C112" s="55" t="inlineStr">
        <is>
          <t>crp_harv_unit_kg</t>
        </is>
      </c>
      <c r="D112" s="60" t="inlineStr">
        <is>
          <t>How many kilograms [kgs] in each unit?
[OPERATOR: RECORD THE AMOUNT GIVEN. ENTER 88888 FOR DON'T KNOW &amp; 99999 FOR REFUSED]</t>
        </is>
      </c>
      <c r="E112" s="20">
        <f>LEN(D112)</f>
        <v/>
      </c>
      <c r="F112" s="56" t="inlineStr">
        <is>
          <t>Range</t>
        </is>
      </c>
      <c r="G112" s="20" t="inlineStr">
        <is>
          <t>NA</t>
        </is>
      </c>
      <c r="H112" s="20" t="inlineStr">
        <is>
          <t>NA</t>
        </is>
      </c>
      <c r="I112" s="20" t="inlineStr">
        <is>
          <t>Form Type - TextBox</t>
        </is>
      </c>
      <c r="J112" s="22" t="inlineStr">
        <is>
          <t>1-10000 = crp_harv_lastyr
88888-88888 =  crp_harv_lastyr
99999-99999 =  crp_harv_lastyr</t>
        </is>
      </c>
      <c r="K112" s="84" t="inlineStr">
        <is>
          <t>NA</t>
        </is>
      </c>
      <c r="L112" s="57" t="inlineStr">
        <is>
          <t>For any response, go to crp_harv_lastyr</t>
        </is>
      </c>
      <c r="M112" s="70" t="n"/>
      <c r="N112" s="561" t="n"/>
      <c r="O112" s="392">
        <f>'Additional information'!$D$17</f>
        <v/>
      </c>
      <c r="P112" s="186" t="n"/>
      <c r="R112" s="194" t="inlineStr">
        <is>
          <t>no</t>
        </is>
      </c>
      <c r="S112" s="193" t="n"/>
      <c r="V112" s="552" t="n">
        <v>7.905472755432129</v>
      </c>
      <c r="W112" s="552">
        <f>IF(V112="","",V112*O112)</f>
        <v/>
      </c>
      <c r="X112" s="186">
        <f>IF(R112="yes",W112,"")</f>
        <v/>
      </c>
    </row>
    <row r="113" ht="85" customFormat="1" customHeight="1" s="192">
      <c r="A113" s="14">
        <f>A112+1</f>
        <v/>
      </c>
      <c r="B113" s="54" t="inlineStr">
        <is>
          <t>crp_harv_lastyr</t>
        </is>
      </c>
      <c r="C113" s="55" t="inlineStr">
        <is>
          <t>crp_harv_lastyr</t>
        </is>
      </c>
      <c r="D113" s="58" t="inlineStr">
        <is>
          <t>How many {crp_harv_unit} of [threshed] {crp_main} did you harvest last year during the same season?
[OPERATOR: RECORD THE RESPONSE GIVEN. ENTER 8888888 FOR DON'T KNOW &amp; 9999999 FOR REFUSED, TO BE USED RARELY - PROBE!]</t>
        </is>
      </c>
      <c r="E113" s="20">
        <f>LEN(D113)</f>
        <v/>
      </c>
      <c r="F113" s="56" t="inlineStr">
        <is>
          <t>Range</t>
        </is>
      </c>
      <c r="G113" s="20" t="inlineStr">
        <is>
          <t>NA</t>
        </is>
      </c>
      <c r="H113" s="20" t="inlineStr">
        <is>
          <t>NA</t>
        </is>
      </c>
      <c r="I113" s="20" t="inlineStr">
        <is>
          <t>Form Type - TextBox</t>
        </is>
      </c>
      <c r="J113" s="22" t="inlineStr">
        <is>
          <t>1-1000000 = crp_proddif
8888888-8888888 = crp_proddif
9999999-9999999 = crp_proddif</t>
        </is>
      </c>
      <c r="K113" s="84" t="inlineStr">
        <is>
          <t>NA</t>
        </is>
      </c>
      <c r="L113" s="57" t="inlineStr">
        <is>
          <t>For any response, go to crp_proddif</t>
        </is>
      </c>
      <c r="M113" s="70" t="n"/>
      <c r="N113" s="558" t="n"/>
      <c r="O113" s="392">
        <f>'Additional information'!$D$17</f>
        <v/>
      </c>
      <c r="P113" s="186" t="n"/>
      <c r="R113" s="194" t="inlineStr">
        <is>
          <t>no</t>
        </is>
      </c>
      <c r="S113" s="193" t="n"/>
      <c r="V113" s="552" t="n">
        <v>16.43597793579102</v>
      </c>
      <c r="W113" s="552">
        <f>IF(V113="","",V113*O113)</f>
        <v/>
      </c>
      <c r="X113" s="186">
        <f>IF(R113="yes",W113,"")</f>
        <v/>
      </c>
    </row>
    <row r="114" customFormat="1" s="192">
      <c r="A114" s="46" t="n"/>
      <c r="B114" s="288" t="n"/>
      <c r="C114" s="103" t="n"/>
      <c r="D114" s="83" t="n"/>
      <c r="E114" s="48" t="n"/>
      <c r="F114" s="104" t="n"/>
      <c r="G114" s="48" t="n"/>
      <c r="H114" s="48" t="n"/>
      <c r="I114" s="48" t="n"/>
      <c r="J114" s="88" t="n"/>
      <c r="K114" s="88" t="n"/>
      <c r="L114" s="88" t="n"/>
      <c r="M114" s="88" t="n"/>
      <c r="N114" s="10" t="n"/>
      <c r="O114" s="392">
        <f>'Additional information'!$D$17</f>
        <v/>
      </c>
      <c r="P114" s="186" t="n"/>
      <c r="R114" s="194" t="n"/>
      <c r="S114" s="193" t="n"/>
      <c r="V114" s="552" t="n"/>
      <c r="W114" s="552">
        <f>IF(V114="","",V114*O114)</f>
        <v/>
      </c>
      <c r="X114" s="186">
        <f>IF(R114="yes",W114,"")</f>
        <v/>
      </c>
    </row>
    <row r="115" ht="153" customFormat="1" customHeight="1" s="192">
      <c r="A115" s="46">
        <f>A113+1</f>
        <v/>
      </c>
      <c r="B115" s="213" t="inlineStr">
        <is>
          <t>crp_proddif</t>
        </is>
      </c>
      <c r="C115" s="191" t="inlineStr">
        <is>
          <t>crp_proddif</t>
        </is>
      </c>
      <c r="D115" s="212" t="inlineStr">
        <is>
          <t>Has your household faced any significant difficulty in terms of crop production in Rainy season?
[OPERATOR: SINGLE RESPONSE.]
1)YES
2)NO
3)DON'T KNOW
4)REFUSED</t>
        </is>
      </c>
      <c r="E115" s="197">
        <f>LEN(D115)</f>
        <v/>
      </c>
      <c r="F115" s="206" t="inlineStr">
        <is>
          <t>Single Choice</t>
        </is>
      </c>
      <c r="G115" s="197" t="inlineStr">
        <is>
          <t>NA</t>
        </is>
      </c>
      <c r="H115" s="197" t="inlineStr">
        <is>
          <t>NA</t>
        </is>
      </c>
      <c r="I115" s="197" t="inlineStr">
        <is>
          <t>Form Type - Buttons</t>
        </is>
      </c>
      <c r="J115" s="196" t="inlineStr">
        <is>
          <t>1 = crp_proddif_2
2-4 = [crp_salesmain or optional question]</t>
        </is>
      </c>
      <c r="K115" s="266" t="inlineStr">
        <is>
          <t>NA</t>
        </is>
      </c>
      <c r="L115" s="196" t="inlineStr">
        <is>
          <t>if crp_proddif = 1, go to crp_proddif_2 ; 
if crp_proddif = 2-4, go to [crp_salesmain or optional question]</t>
        </is>
      </c>
      <c r="M115" s="62" t="n"/>
      <c r="N115" s="10" t="n"/>
      <c r="O115" s="392">
        <f>'Additional information'!$D$17</f>
        <v/>
      </c>
      <c r="P115" s="186" t="n"/>
      <c r="R115" s="467" t="inlineStr">
        <is>
          <t>yes</t>
        </is>
      </c>
      <c r="S115" s="193" t="n"/>
      <c r="V115" s="551" t="n">
        <v>11.37532997131348</v>
      </c>
      <c r="W115" s="551">
        <f>IF(V115="","",V115*O115)</f>
        <v/>
      </c>
      <c r="X115" s="186">
        <f>IF(R115="yes",W115,"")</f>
        <v/>
      </c>
    </row>
    <row r="116" ht="388" customFormat="1" customHeight="1" s="192">
      <c r="A116" s="116">
        <f>A115+1</f>
        <v/>
      </c>
      <c r="B116" s="283" t="inlineStr">
        <is>
          <t>crp_proddif_2</t>
        </is>
      </c>
      <c r="C116" s="198"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6" s="448"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6" s="180">
        <f>LEN(D116)</f>
        <v/>
      </c>
      <c r="F116" s="191" t="inlineStr">
        <is>
          <t xml:space="preserve">Select All That Apply </t>
        </is>
      </c>
      <c r="G116" s="180" t="inlineStr">
        <is>
          <t>NA</t>
        </is>
      </c>
      <c r="H116" s="180" t="inlineStr">
        <is>
          <t>NA</t>
        </is>
      </c>
      <c r="I116" s="180" t="inlineStr">
        <is>
          <t>Form Type - Checklist
17,18 = IsNone</t>
        </is>
      </c>
      <c r="J116" s="445" t="inlineStr">
        <is>
          <t>1-18 = crp_salesmain</t>
        </is>
      </c>
      <c r="K116" s="266"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L116" s="212" t="inlineStr">
        <is>
          <t>if crp_proddif_2 = 1-18, go to [crp_salesmain OR optional question]</t>
        </is>
      </c>
      <c r="M116" s="62" t="n"/>
      <c r="N116" s="10" t="n"/>
      <c r="O116" s="392">
        <f>'Additional information'!$D$17</f>
        <v/>
      </c>
      <c r="P116" s="186" t="n"/>
      <c r="R116" s="467" t="inlineStr">
        <is>
          <t>yes</t>
        </is>
      </c>
      <c r="S116" s="193" t="n"/>
      <c r="V116" s="551" t="n">
        <v>25.84499931335449</v>
      </c>
      <c r="W116" s="551">
        <f>IF(V116="","",V116*O116)</f>
        <v/>
      </c>
      <c r="X116" s="186">
        <f>IF(R116="yes",W116,"")</f>
        <v/>
      </c>
    </row>
    <row r="117" customFormat="1" s="192">
      <c r="A117" s="46" t="n"/>
      <c r="B117" s="288" t="n"/>
      <c r="C117" s="103" t="n"/>
      <c r="D117" s="83" t="n"/>
      <c r="E117" s="48" t="n"/>
      <c r="F117" s="104" t="n"/>
      <c r="G117" s="48" t="n"/>
      <c r="H117" s="48" t="n"/>
      <c r="I117" s="48" t="n"/>
      <c r="J117" s="88" t="n"/>
      <c r="K117" s="88" t="n"/>
      <c r="L117" s="88" t="n"/>
      <c r="M117" s="88" t="n"/>
      <c r="N117" s="10" t="n"/>
      <c r="O117" s="392">
        <f>'Additional information'!$D$17</f>
        <v/>
      </c>
      <c r="P117" s="186" t="n"/>
      <c r="R117" s="194" t="n"/>
      <c r="S117" s="193" t="n"/>
      <c r="V117" s="552" t="n"/>
      <c r="W117" s="552">
        <f>IF(V117="","",V117*O117)</f>
        <v/>
      </c>
      <c r="X117" s="186">
        <f>IF(R117="yes",W117,"")</f>
        <v/>
      </c>
    </row>
    <row r="118" ht="221" customFormat="1" customHeight="1" s="192">
      <c r="A118" s="113">
        <f>A116+1</f>
        <v/>
      </c>
      <c r="B118" s="282" t="inlineStr">
        <is>
          <t>crp_storage</t>
        </is>
      </c>
      <c r="C118" s="291" t="inlineStr">
        <is>
          <t>crp_storage</t>
        </is>
      </c>
      <c r="D118" s="22" t="inlineStr">
        <is>
          <t>Last year, what proportion of your {crp_main} stock did you lose [to pests, rotting, mould, etc.] after the harvest?
[OPERATOR: SINGLE RESPONSE.]
1)None
2)A little
3)An important part of it, but less than half
4)Most of it [half or more]
5)Almost everything 
6)Everything
7)DON'T KNOW
8)REFUSED</t>
        </is>
      </c>
      <c r="E118" s="20">
        <f>LEN(D118)</f>
        <v/>
      </c>
      <c r="F118" s="21" t="inlineStr">
        <is>
          <t>Single Choice</t>
        </is>
      </c>
      <c r="G118" s="20" t="inlineStr">
        <is>
          <t>NA</t>
        </is>
      </c>
      <c r="H118" s="446" t="inlineStr">
        <is>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is>
      </c>
      <c r="I118" s="20" t="inlineStr">
        <is>
          <t>Form Type - Buttons</t>
        </is>
      </c>
      <c r="J118" s="22" t="inlineStr">
        <is>
          <t>1-8 = crp_salesmain</t>
        </is>
      </c>
      <c r="K118" s="84" t="inlineStr">
        <is>
          <t>NA</t>
        </is>
      </c>
      <c r="L118" s="22" t="inlineStr">
        <is>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is>
      </c>
      <c r="M118" s="31" t="n"/>
      <c r="N118" s="10" t="n"/>
      <c r="O118" s="392">
        <f>'Additional information'!$D$17</f>
        <v/>
      </c>
      <c r="P118" s="186" t="n"/>
      <c r="R118" s="194" t="inlineStr">
        <is>
          <t>no</t>
        </is>
      </c>
      <c r="S118" s="193" t="n"/>
      <c r="V118" s="552" t="n">
        <v>12.18603706359863</v>
      </c>
      <c r="W118" s="552">
        <f>IF(V118="","",V118*O118)</f>
        <v/>
      </c>
      <c r="X118" s="186">
        <f>IF(R118="yes",W118,"")</f>
        <v/>
      </c>
    </row>
    <row r="119" ht="136" customFormat="1" customHeight="1" s="192">
      <c r="A119" s="59" t="n"/>
      <c r="B119" s="287" t="inlineStr">
        <is>
          <t>crp_all</t>
        </is>
      </c>
      <c r="C119" s="286" t="inlineStr">
        <is>
          <t>crp_all_[name of crop as per crop list]</t>
        </is>
      </c>
      <c r="D119" s="15" t="inlineStr">
        <is>
          <t>Do you cultivate any other crops aside from {crp_main}, and if so which ones?
[OPERATOR: "No other crop" APPEARS AT THE END OF THE LIST OF OPTIONS. SELECT ALL CROPS LISTED BY THE RESPONDENT.]
1)No other crops
2)DON'T KNOW
3)REFUSED</t>
        </is>
      </c>
      <c r="E119" s="24">
        <f>LEN(D119)</f>
        <v/>
      </c>
      <c r="F119" s="28" t="inlineStr">
        <is>
          <t>Select All That Apply</t>
        </is>
      </c>
      <c r="G119" s="24" t="inlineStr">
        <is>
          <t>NA</t>
        </is>
      </c>
      <c r="H119" s="447" t="inlineStr">
        <is>
          <t>NA</t>
        </is>
      </c>
      <c r="I119" s="24" t="inlineStr">
        <is>
          <t>Form Type - Checklist
Included unselected "crp_main"
1,2,3= IsNone</t>
        </is>
      </c>
      <c r="J119" s="29" t="inlineStr">
        <is>
          <t>Dynamics = crp_salesmain
1-3 = crp_salesmain</t>
        </is>
      </c>
      <c r="K119" s="84" t="inlineStr">
        <is>
          <t>NA</t>
        </is>
      </c>
      <c r="L119" s="65" t="inlineStr">
        <is>
          <t>For any response to crp_all, go to crp_salesmain</t>
        </is>
      </c>
      <c r="M119" s="65" t="n"/>
      <c r="N119" s="172" t="n"/>
      <c r="O119" s="392">
        <f>'Additional information'!$D$17</f>
        <v/>
      </c>
      <c r="P119" s="186" t="n"/>
      <c r="R119" s="194" t="inlineStr">
        <is>
          <t>no</t>
        </is>
      </c>
      <c r="S119" s="193" t="n"/>
      <c r="V119" s="552" t="n">
        <v>18.74472236633301</v>
      </c>
      <c r="W119" s="552">
        <f>IF(V119="","",V119*O119)</f>
        <v/>
      </c>
      <c r="X119" s="186">
        <f>IF(R119="yes",W119,"")</f>
        <v/>
      </c>
    </row>
    <row r="120" ht="17" customFormat="1" customHeight="1" s="192" thickBot="1">
      <c r="A120" s="116" t="n"/>
      <c r="B120" s="310" t="n"/>
      <c r="C120" s="117" t="n"/>
      <c r="D120" s="92" t="n"/>
      <c r="E120" s="106" t="n"/>
      <c r="F120" s="117" t="n"/>
      <c r="G120" s="106" t="n"/>
      <c r="H120" s="106" t="n"/>
      <c r="I120" s="106" t="n"/>
      <c r="J120" s="98" t="n"/>
      <c r="K120" s="88" t="n"/>
      <c r="L120" s="92" t="n"/>
      <c r="M120" s="98" t="n"/>
      <c r="N120" s="75" t="n"/>
      <c r="O120" s="392">
        <f>'Additional information'!$D$17</f>
        <v/>
      </c>
      <c r="P120" s="186" t="n"/>
      <c r="R120" s="194" t="n"/>
      <c r="S120" s="193" t="n"/>
      <c r="V120" s="552" t="n"/>
      <c r="W120" s="552">
        <f>IF(V120="","",V120*O120)</f>
        <v/>
      </c>
      <c r="X120" s="186">
        <f>IF(R120="yes",W120,"")</f>
        <v/>
      </c>
    </row>
    <row r="121" ht="17" customFormat="1" customHeight="1" s="464" thickBot="1">
      <c r="A121" s="548" t="inlineStr">
        <is>
          <t>D. CROP MARKETING</t>
        </is>
      </c>
      <c r="B121" s="549" t="n"/>
      <c r="C121" s="549" t="n"/>
      <c r="D121" s="549" t="n"/>
      <c r="E121" s="549" t="n"/>
      <c r="F121" s="549" t="n"/>
      <c r="G121" s="549" t="n"/>
      <c r="H121" s="549" t="n"/>
      <c r="I121" s="549" t="n"/>
      <c r="J121" s="549" t="n"/>
      <c r="K121" s="549" t="n"/>
      <c r="L121" s="549" t="n"/>
      <c r="M121" s="549" t="n"/>
      <c r="N121" s="550" t="n"/>
      <c r="O121" s="318" t="n"/>
      <c r="P121" s="469" t="n"/>
      <c r="R121" s="467" t="n"/>
      <c r="S121" s="470" t="n"/>
      <c r="V121" s="551" t="n"/>
      <c r="W121" s="551">
        <f>IF(V121="","",V121*O121)</f>
        <v/>
      </c>
      <c r="X121" s="469">
        <f>IF(R121="yes",W121,"")</f>
        <v/>
      </c>
    </row>
    <row r="122" ht="238" customFormat="1" customHeight="1" s="192">
      <c r="A122" s="46" t="n"/>
      <c r="B122" s="231" t="inlineStr">
        <is>
          <t>crp_salesmain</t>
        </is>
      </c>
      <c r="C122" s="230" t="inlineStr">
        <is>
          <t>crp_salesmain</t>
        </is>
      </c>
      <c r="D122" s="499" t="inlineStr">
        <is>
          <t>What has been the main crop that you have sold over the last 3 months?
[OPERATOR: "No crop sold in the last 3 months" APPEARS AT THE END OF THE LIST OF OPTIONS. SELECT ALL CROPS LISTED BY THE RESPONDENT.]
1)Rice
2)Millet
3)Sorghum
4)Maize
5)Beans
6)Peas
7)Tomatoes
8)Water Melon
9)Groundnut/peanut
10)Sesame
11)Wheat
12)Barley
13)Other Cereal
14)Cassava
15)Potatoe
16)Sweet Potatoes
17)Yams
18)Carrots
19)Cocoyam
20)Other tubers
21)Lentils
22)Soybeans
23)Chickpeas
24)Fava beans
25)Broad beans
26)Other pulses
27)Cabbage
28)Cauliflower
29)Lettuce
30)Spinach-Amaranth
31)Cassava leaves
32)Potatoe leaves
33)Moringa
34)Sorrel Hibiscus / Rosselle
35)Green salad herbs [thyme, parsley, mint, rocca, other]
36)Other leafy vegetables
37)Green peas
38)Fava beans green
39)Cucumber
40)Pumpkin
41)Eggplant/aubergine
42)Zucchini
43)Okra
44)Bell pepper
45)Onions
46)Haricot
47)Other non leafy vegs
48)Orange
49)Lemon
50)Grapefruit
51)Mandarins/clementines
52)Other citrus fruit
53)Sweet Banana
54)Figs
55)Grapes
56)Olives
57)Apple
58)Apricot
59)Cherries
60)Peach/nectarine
61)Strawberries
62)Melon [Cantaloupe]
63)Plantains
64)Papaya
65)Mango
66)Guava
67)Pineapple
68)Avocado
69)Dates
70)Other fruit
71)Coconuts
72)Cashew Nut
73)Kola Nut
74)Bambara nut
75)Almond
76)Walnut
77)Other nuts
78)Cocoa
79)Coffee
80)Tea
81)Sugarcane
82)Sunflower
83)Other food cash crop
84)Cotton
85)Rubber
86)Jute
87)Fodder
88)Tobacco
89)Qat
90)Other non-food cash crop
92)DON'T KNOW
93)REFUSED</t>
        </is>
      </c>
      <c r="E122" s="189">
        <f>LEN(D122)</f>
        <v/>
      </c>
      <c r="F122" s="199" t="inlineStr">
        <is>
          <t>Single Choice</t>
        </is>
      </c>
      <c r="G122" s="197" t="inlineStr">
        <is>
          <t>NA</t>
        </is>
      </c>
      <c r="H122" s="191"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I122" s="189" t="inlineStr">
        <is>
          <t>Form Type - Buttons</t>
        </is>
      </c>
      <c r="J122" s="196" t="inlineStr">
        <is>
          <t>1-90 = crp_salesdif
91-92 = ls_intro</t>
        </is>
      </c>
      <c r="K122" s="436" t="inlineStr">
        <is>
          <t>1)1.1
2)1.3
3)1.4
4)1.5
5)3.1
6)3.3
7)5.1
8)7.8
9)8.2
10)8.5
11)1.2
12)1.6
13)1.99
14)2.1
15)2.2
16)2.3
17)2.4
18)2.5
19)2.6
20)2.99
21)3.2
22)3.4
23)3.5
24)3.6
25)3.7
26)3.99
27)4.1
28)4.101
29)4.2
30)4.3
31)4.4
32)4.5
33)4.6
34)4.7
35)4.9
36)4.99
37)5.101
38)5.11
39)5.2
40)5.3
41)5.4
42)5.5
43)5.6
44)5.7
45)5.8
46)5.9
47)5.99
48)6.1
49)6.2
50)6.3
51)6.4
52)6.99
53)7.1
54)7.101
55)7.11
56)7.12
57)7.13
58)7.14
59)7.15
60)7.16
61)7.17
62)7.18
63)7.2
64)7.3
65)7.4
66)7.5
67)7.6
68)7.7
69)7.9
70)7.99
71)8.1
72)8.3
73)8.4
74)8.6
75)8.7
76)8.8
77)8.99
78)9.1
79)9.2
80)9.3
81)9.4
82)9.5
83)9.99
84)10.1
85)10.2
86)10.3
87)10.4
88)10.5
89)10.6
90)10.99
92)888
93)999</t>
        </is>
      </c>
      <c r="L122" s="196"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M122" s="88" t="n"/>
      <c r="N122" s="10" t="n"/>
      <c r="O122" s="392">
        <f>'Additional information'!$D$17</f>
        <v/>
      </c>
      <c r="P122" s="186" t="n"/>
      <c r="R122" s="467" t="inlineStr">
        <is>
          <t>yes</t>
        </is>
      </c>
      <c r="S122" s="193" t="n"/>
      <c r="V122" s="551" t="n">
        <v>17.61201477050781</v>
      </c>
      <c r="W122" s="551">
        <f>IF(V122="","",V122*O122)</f>
        <v/>
      </c>
      <c r="X122" s="186">
        <f>IF(R122="yes",W122,"")</f>
        <v/>
      </c>
    </row>
    <row r="123" customFormat="1" s="192">
      <c r="A123" s="46" t="n"/>
      <c r="B123" s="229" t="n"/>
      <c r="C123" s="103" t="n"/>
      <c r="D123" s="500" t="n"/>
      <c r="E123" s="109" t="n"/>
      <c r="F123" s="49" t="n"/>
      <c r="G123" s="48" t="n"/>
      <c r="H123" s="115" t="n"/>
      <c r="I123" s="48" t="n"/>
      <c r="J123" s="88" t="n"/>
      <c r="K123" s="88" t="n"/>
      <c r="L123" s="90" t="n"/>
      <c r="M123" s="90" t="n"/>
      <c r="N123" s="10" t="n"/>
      <c r="O123" s="392">
        <f>'Additional information'!$D$17</f>
        <v/>
      </c>
      <c r="P123" s="194" t="n"/>
      <c r="Q123" s="193" t="n"/>
      <c r="T123" s="200" t="n"/>
      <c r="U123" s="245" t="n"/>
      <c r="V123" s="552" t="n"/>
      <c r="W123" s="552">
        <f>IF(V123="","",V123*O123)</f>
        <v/>
      </c>
      <c r="X123" s="186">
        <f>IF(R123="yes",W123,"")</f>
        <v/>
      </c>
    </row>
    <row r="124" ht="222" customFormat="1" customHeight="1" s="192">
      <c r="A124" s="102">
        <f>A116+1</f>
        <v/>
      </c>
      <c r="B124" s="449" t="inlineStr">
        <is>
          <t>crp_salesdif</t>
        </is>
      </c>
      <c r="C124" s="191" t="inlineStr">
        <is>
          <t>crp_salesdif</t>
        </is>
      </c>
      <c r="D124" s="190" t="inlineStr">
        <is>
          <t>Has your household faced any significant difficulty in the last 3 months selling your {crp_salesmain}?
[OPERATOR: SINGLE RESPONSE.]
1)YES
2)NO
3)DON'T KNOW
4)REFUSED</t>
        </is>
      </c>
      <c r="E124" s="189">
        <f>LEN(D124)</f>
        <v/>
      </c>
      <c r="F124" s="199" t="inlineStr">
        <is>
          <t>Single Choice</t>
        </is>
      </c>
      <c r="G124" s="189" t="inlineStr">
        <is>
          <t>NA</t>
        </is>
      </c>
      <c r="H124" s="191" t="inlineStr">
        <is>
          <t>NA</t>
        </is>
      </c>
      <c r="I124" s="189" t="inlineStr">
        <is>
          <t>Form Type - Buttons</t>
        </is>
      </c>
      <c r="J124" s="188" t="inlineStr">
        <is>
          <t>1 = crp_salesdif_2
2-4 = crp_salesprice</t>
        </is>
      </c>
      <c r="K124" s="266" t="inlineStr">
        <is>
          <t>NA</t>
        </is>
      </c>
      <c r="L124" s="188" t="inlineStr">
        <is>
          <t>if crp_salesdif = 1, go to crp_salesdif_2 ; 
if crp_salesdif = 2-4, go to crp_salesprice</t>
        </is>
      </c>
      <c r="M124" s="90" t="n"/>
      <c r="N124" s="52" t="n"/>
      <c r="O124" s="392">
        <f>'Additional information'!$D$17</f>
        <v/>
      </c>
      <c r="P124" s="186" t="n"/>
      <c r="R124" s="467" t="inlineStr">
        <is>
          <t>yes</t>
        </is>
      </c>
      <c r="S124" s="193" t="n"/>
      <c r="V124" s="551" t="n">
        <v>10.45715618133545</v>
      </c>
      <c r="W124" s="551">
        <f>IF(V124="","",V124*O124)</f>
        <v/>
      </c>
      <c r="X124" s="186">
        <f>IF(R124="yes",W124,"")</f>
        <v/>
      </c>
    </row>
    <row r="125" ht="289" customFormat="1" customHeight="1" s="192">
      <c r="A125" s="46">
        <f>A124+1</f>
        <v/>
      </c>
      <c r="B125" s="231" t="inlineStr">
        <is>
          <t>crp_salesdif_2</t>
        </is>
      </c>
      <c r="C125" s="191" t="inlineStr">
        <is>
          <t>crp_saledif_
1) crp_saledif_marketing_cost
2) crp_saledif_damage_losses
3) crp_saledif_low_demand
4) crp_saledif_pay_delay
5) crp_saledif_low_price
6) crp_saledif_processing
7) crp_saledif_competition
8) crp_saledif_other
9) crp_saledif_dk
10) crp_saledif_ref</t>
        </is>
      </c>
      <c r="D125" s="448"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5" s="189">
        <f>LEN(D125)</f>
        <v/>
      </c>
      <c r="F125" s="191" t="inlineStr">
        <is>
          <t xml:space="preserve">Select All That Apply </t>
        </is>
      </c>
      <c r="G125" s="197" t="inlineStr">
        <is>
          <t>NA</t>
        </is>
      </c>
      <c r="H125" s="222" t="inlineStr">
        <is>
          <t>NA</t>
        </is>
      </c>
      <c r="I125" s="197" t="inlineStr">
        <is>
          <t>Form Type - Checklist
9,10 = IsNone</t>
        </is>
      </c>
      <c r="J125" s="196" t="inlineStr">
        <is>
          <t>1-10 = crp_salesprice</t>
        </is>
      </c>
      <c r="K125" s="266" t="inlineStr">
        <is>
          <t>1)crp_saledif_marketing_cost
2)crp_saledif_damage_losses
3)crp_saledif_low_demand
4)crp_saledif_pay_delay
5)crp_saledif_low_price
6)crp_saledif_processing
7)crp_saledif_competition
8)crp_saledif_other
9)crp_saledif_dk
10)crp_saledif_ref</t>
        </is>
      </c>
      <c r="L125" s="196" t="inlineStr">
        <is>
          <t>if crp_salesdif_2 = 1-10, go to crp_salesprice</t>
        </is>
      </c>
      <c r="M125" s="88" t="n"/>
      <c r="N125" s="10" t="n"/>
      <c r="O125" s="392">
        <f>'Additional information'!$D$17</f>
        <v/>
      </c>
      <c r="P125" s="186" t="n"/>
      <c r="R125" s="467" t="inlineStr">
        <is>
          <t>yes</t>
        </is>
      </c>
      <c r="S125" s="193" t="n"/>
      <c r="V125" s="551" t="n">
        <v>20.76996231079102</v>
      </c>
      <c r="W125" s="551">
        <f>IF(V125="","",V125*O125)</f>
        <v/>
      </c>
      <c r="X125" s="186">
        <f>IF(R125="yes",W125,"")</f>
        <v/>
      </c>
    </row>
    <row r="126" customFormat="1" s="192">
      <c r="A126" s="46" t="n"/>
      <c r="B126" s="229" t="n"/>
      <c r="C126" s="103" t="n"/>
      <c r="D126" s="500" t="n"/>
      <c r="E126" s="109" t="n"/>
      <c r="F126" s="49" t="n"/>
      <c r="G126" s="48" t="n"/>
      <c r="H126" s="114" t="n"/>
      <c r="I126" s="48" t="n"/>
      <c r="J126" s="88" t="n"/>
      <c r="K126" s="88" t="n"/>
      <c r="L126" s="90" t="n"/>
      <c r="M126" s="90" t="n"/>
      <c r="N126" s="10" t="n"/>
      <c r="O126" s="392">
        <f>'Additional information'!$D$17</f>
        <v/>
      </c>
      <c r="P126" s="186" t="n"/>
      <c r="R126" s="194" t="n"/>
      <c r="S126" s="193" t="n"/>
      <c r="V126" s="552" t="n"/>
      <c r="W126" s="552">
        <f>IF(V126="","",V126*O126)</f>
        <v/>
      </c>
      <c r="X126" s="186">
        <f>IF(R126="yes",W126,"")</f>
        <v/>
      </c>
    </row>
    <row r="127" ht="261" customFormat="1" customHeight="1" s="192">
      <c r="A127" s="46">
        <f>A125+1</f>
        <v/>
      </c>
      <c r="B127" s="231" t="inlineStr">
        <is>
          <t>crp_salesprice</t>
        </is>
      </c>
      <c r="C127" s="191" t="inlineStr">
        <is>
          <t>crp_salesprice</t>
        </is>
      </c>
      <c r="D127" s="212" t="inlineStr">
        <is>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is>
      </c>
      <c r="E127" s="197">
        <f>LEN(D127)</f>
        <v/>
      </c>
      <c r="F127" s="206" t="inlineStr">
        <is>
          <t>Single Choice</t>
        </is>
      </c>
      <c r="G127" s="197" t="inlineStr">
        <is>
          <t>NA</t>
        </is>
      </c>
      <c r="H127" s="197" t="inlineStr">
        <is>
          <t>NA</t>
        </is>
      </c>
      <c r="I127" s="197" t="inlineStr">
        <is>
          <t>Form Type - Buttons</t>
        </is>
      </c>
      <c r="J127" s="221" t="inlineStr">
        <is>
          <t xml:space="preserve">1-7 = ls_intro </t>
        </is>
      </c>
      <c r="K127" s="266" t="inlineStr">
        <is>
          <t>NA</t>
        </is>
      </c>
      <c r="L127" s="195" t="inlineStr">
        <is>
          <t>if crp_salesprice = 1-7, go to ls_intro</t>
        </is>
      </c>
      <c r="M127" s="220" t="n"/>
      <c r="N127" s="10" t="n"/>
      <c r="O127" s="392">
        <f>'Additional information'!$D$17</f>
        <v/>
      </c>
      <c r="P127" s="186" t="n"/>
      <c r="R127" s="467" t="inlineStr">
        <is>
          <t>yes</t>
        </is>
      </c>
      <c r="S127" s="193" t="n"/>
      <c r="V127" s="551" t="n">
        <v>23.56972122192383</v>
      </c>
      <c r="W127" s="551">
        <f>IF(V127="","",V127*O127)</f>
        <v/>
      </c>
      <c r="X127" s="186">
        <f>IF(R127="yes",W127,"")</f>
        <v/>
      </c>
    </row>
    <row r="128" ht="17" customFormat="1" customHeight="1" s="192" thickBot="1">
      <c r="A128" s="46" t="n"/>
      <c r="B128" s="229" t="n"/>
      <c r="C128" s="103" t="n"/>
      <c r="D128" s="500" t="n"/>
      <c r="E128" s="109" t="n"/>
      <c r="F128" s="49" t="n"/>
      <c r="G128" s="48" t="n"/>
      <c r="H128" s="114" t="n"/>
      <c r="I128" s="48" t="n"/>
      <c r="J128" s="88" t="n"/>
      <c r="K128" s="88" t="n"/>
      <c r="L128" s="90" t="n"/>
      <c r="M128" s="90" t="n"/>
      <c r="N128" s="10" t="n"/>
      <c r="O128" s="392">
        <f>'Additional information'!$D$17</f>
        <v/>
      </c>
      <c r="P128" s="186" t="n"/>
      <c r="R128" s="194" t="n"/>
      <c r="S128" s="193" t="n"/>
      <c r="V128" s="552" t="n"/>
      <c r="W128" s="552">
        <f>IF(V128="","",V128*O128)</f>
        <v/>
      </c>
      <c r="X128" s="186">
        <f>IF(R128="yes",W128,"")</f>
        <v/>
      </c>
    </row>
    <row r="129" ht="17" customFormat="1" customHeight="1" s="464" thickBot="1">
      <c r="A129" s="548" t="inlineStr">
        <is>
          <t>E. LIVESTOCK PRODUCTION</t>
        </is>
      </c>
      <c r="B129" s="549" t="n"/>
      <c r="C129" s="549" t="n"/>
      <c r="D129" s="549" t="n"/>
      <c r="E129" s="549" t="n"/>
      <c r="F129" s="549" t="n"/>
      <c r="G129" s="549" t="n"/>
      <c r="H129" s="549" t="n"/>
      <c r="I129" s="549" t="n"/>
      <c r="J129" s="549" t="n"/>
      <c r="K129" s="549" t="n"/>
      <c r="L129" s="549" t="n"/>
      <c r="M129" s="549" t="n"/>
      <c r="N129" s="550" t="n"/>
      <c r="O129" s="318" t="n"/>
      <c r="P129" s="469" t="n"/>
      <c r="R129" s="467" t="n"/>
      <c r="S129" s="470" t="n"/>
      <c r="V129" s="551" t="n"/>
      <c r="W129" s="551">
        <f>IF(V129="","",V129*O129)</f>
        <v/>
      </c>
      <c r="X129" s="469">
        <f>IF(R129="yes",W129,"")</f>
        <v/>
      </c>
    </row>
    <row r="130" ht="136" customFormat="1" customHeight="1" s="192">
      <c r="A130" s="102">
        <f>A127+1</f>
        <v/>
      </c>
      <c r="B130" s="451" t="inlineStr">
        <is>
          <t>ls_intro</t>
        </is>
      </c>
      <c r="C130" s="501" t="inlineStr">
        <is>
          <t>ls_intro</t>
        </is>
      </c>
      <c r="D130" s="502" t="inlineStr">
        <is>
          <t>We will now ask you some questions about livestock production which apply to you and anyone in your household that is involved in livestock production or sales. 
1)CONTINUE</t>
        </is>
      </c>
      <c r="E130" s="189">
        <f>LEN(D130)</f>
        <v/>
      </c>
      <c r="F130" s="189" t="inlineStr">
        <is>
          <t>Single Choice</t>
        </is>
      </c>
      <c r="G130" s="189" t="inlineStr">
        <is>
          <t>NA</t>
        </is>
      </c>
      <c r="H130" s="189"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I130" s="189" t="inlineStr">
        <is>
          <t>Form Type - Buttons</t>
        </is>
      </c>
      <c r="J130" s="188" t="inlineStr">
        <is>
          <t>1 = ls_main</t>
        </is>
      </c>
      <c r="K130" s="266" t="inlineStr">
        <is>
          <t>NA</t>
        </is>
      </c>
      <c r="L130" s="195"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M130" s="220" t="n"/>
      <c r="N130" s="9" t="n"/>
      <c r="O130" s="318">
        <f>'Additional information'!$D$18</f>
        <v/>
      </c>
      <c r="P130" s="186" t="n"/>
      <c r="R130" s="467" t="inlineStr">
        <is>
          <t>yes</t>
        </is>
      </c>
      <c r="S130" s="193" t="n"/>
      <c r="V130" s="551" t="n">
        <v>4.50195837020874</v>
      </c>
      <c r="W130" s="551">
        <f>IF(V130="","",V130*O130)</f>
        <v/>
      </c>
      <c r="X130" s="186">
        <f>IF(R130="yes",W130,"")</f>
        <v/>
      </c>
    </row>
    <row r="131" customFormat="1" s="192">
      <c r="A131" s="46" t="n"/>
      <c r="B131" s="229" t="n"/>
      <c r="C131" s="103" t="n"/>
      <c r="D131" s="500" t="n"/>
      <c r="E131" s="109" t="n"/>
      <c r="F131" s="49" t="n"/>
      <c r="G131" s="48" t="n"/>
      <c r="H131" s="115" t="n"/>
      <c r="I131" s="48" t="n"/>
      <c r="J131" s="88" t="n"/>
      <c r="K131" s="88" t="n"/>
      <c r="L131" s="90" t="n"/>
      <c r="M131" s="90" t="n"/>
      <c r="N131" s="10" t="n"/>
      <c r="O131" s="392">
        <f>'Additional information'!$D$18</f>
        <v/>
      </c>
      <c r="P131" s="186" t="n"/>
      <c r="R131" s="194" t="n"/>
      <c r="S131" s="193" t="n"/>
      <c r="V131" s="552" t="n"/>
      <c r="W131" s="552">
        <f>IF(V131="","",V131*O131)</f>
        <v/>
      </c>
      <c r="X131" s="186">
        <f>IF(R131="yes",W131,"")</f>
        <v/>
      </c>
    </row>
    <row r="132" ht="306" customFormat="1" customHeight="1" s="192">
      <c r="A132" s="102">
        <f>A130+1</f>
        <v/>
      </c>
      <c r="B132" s="281" t="inlineStr">
        <is>
          <t>ls_main</t>
        </is>
      </c>
      <c r="C132" s="191" t="inlineStr">
        <is>
          <t>ls_main</t>
        </is>
      </c>
      <c r="D132" s="190"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32" s="189">
        <f>LEN(D132)</f>
        <v/>
      </c>
      <c r="F132" s="189" t="inlineStr">
        <is>
          <t>Single Choice</t>
        </is>
      </c>
      <c r="G132" s="189" t="inlineStr">
        <is>
          <t>NA</t>
        </is>
      </c>
      <c r="H132" s="189" t="inlineStr">
        <is>
          <t>NA</t>
        </is>
      </c>
      <c r="I132" s="191" t="inlineStr">
        <is>
          <t>Form Type - Buttons
set demographic</t>
        </is>
      </c>
      <c r="J132" s="188" t="inlineStr">
        <is>
          <t>1-9 = ls_num_lastyr
10-11 = ls_proddif</t>
        </is>
      </c>
      <c r="K132" s="266" t="inlineStr">
        <is>
          <t>NA</t>
        </is>
      </c>
      <c r="L132" s="195" t="inlineStr">
        <is>
          <t>if ls_main = 1-9, go to ls_num_lastyr ; 
If ls_main = 10-11, go to ls_proddif</t>
        </is>
      </c>
      <c r="M132" s="220" t="n"/>
      <c r="N132" s="52" t="n"/>
      <c r="O132" s="318">
        <f>'Additional information'!$D$18</f>
        <v/>
      </c>
      <c r="P132" s="186" t="n"/>
      <c r="R132" s="467" t="inlineStr">
        <is>
          <t>yes</t>
        </is>
      </c>
      <c r="S132" s="193" t="n"/>
      <c r="V132" s="551" t="n">
        <v>17.40248489379883</v>
      </c>
      <c r="W132" s="551">
        <f>IF(V132="","",V132*O132)</f>
        <v/>
      </c>
      <c r="X132" s="186">
        <f>IF(R132="yes",W132,"")</f>
        <v/>
      </c>
    </row>
    <row r="133" customFormat="1" s="192">
      <c r="A133" s="102" t="n"/>
      <c r="B133" s="309" t="n"/>
      <c r="C133" s="103" t="n"/>
      <c r="D133" s="218" t="n"/>
      <c r="E133" s="109" t="n"/>
      <c r="F133" s="109" t="n"/>
      <c r="G133" s="109" t="n"/>
      <c r="H133" s="109" t="n"/>
      <c r="I133" s="103" t="n"/>
      <c r="J133" s="90" t="n"/>
      <c r="K133" s="88" t="n"/>
      <c r="L133" s="220" t="n"/>
      <c r="M133" s="220" t="n"/>
      <c r="N133" s="52" t="n"/>
      <c r="O133" s="392">
        <f>'Additional information'!$D$18</f>
        <v/>
      </c>
      <c r="P133" s="186" t="n"/>
      <c r="R133" s="194" t="n"/>
      <c r="S133" s="193" t="n"/>
      <c r="V133" s="552" t="n"/>
      <c r="W133" s="552">
        <f>IF(V133="","",V133*O133)</f>
        <v/>
      </c>
      <c r="X133" s="186">
        <f>IF(R133="yes",W133,"")</f>
        <v/>
      </c>
    </row>
    <row r="134" ht="68" customFormat="1" customHeight="1" s="192">
      <c r="A134" s="46">
        <f>A132+1</f>
        <v/>
      </c>
      <c r="B134" s="231" t="inlineStr">
        <is>
          <t>ls_num_lastyr</t>
        </is>
      </c>
      <c r="C134" s="191" t="inlineStr">
        <is>
          <t>ls_num_lastyr</t>
        </is>
      </c>
      <c r="D134" s="212" t="inlineStr">
        <is>
          <t>How many {ls_main] did you have at the same time last year?
[OPERATOR: RECORD THE NUMBER OF ANIMALS. ENTER 88888 FOR DON'T KNOW AND 99999 FOR REFUSED.]</t>
        </is>
      </c>
      <c r="E134" s="197">
        <f>LEN(D134)</f>
        <v/>
      </c>
      <c r="F134" s="206" t="inlineStr">
        <is>
          <t>Range</t>
        </is>
      </c>
      <c r="G134" s="197" t="inlineStr">
        <is>
          <t>NA</t>
        </is>
      </c>
      <c r="H134" s="197" t="inlineStr">
        <is>
          <t>NA</t>
        </is>
      </c>
      <c r="I134" s="197" t="inlineStr">
        <is>
          <t>Form Type - TextBox
demographic</t>
        </is>
      </c>
      <c r="J134" s="196" t="inlineStr">
        <is>
          <t>0-10000 = ls_num_now
88888-88888 = ls_num_now
99999-99999 = ls_num_now</t>
        </is>
      </c>
      <c r="K134" s="266" t="inlineStr">
        <is>
          <t>NA</t>
        </is>
      </c>
      <c r="L134" s="196" t="inlineStr">
        <is>
          <t>answers can range from 0-10000; any response goes to ls_num_now</t>
        </is>
      </c>
      <c r="M134" s="90" t="n"/>
      <c r="N134" s="10" t="n"/>
      <c r="O134" s="318">
        <f>'Additional information'!$D$18</f>
        <v/>
      </c>
      <c r="P134" s="186" t="n"/>
      <c r="R134" s="467" t="inlineStr">
        <is>
          <t>yes</t>
        </is>
      </c>
      <c r="S134" s="193" t="n"/>
      <c r="V134" s="551" t="n">
        <v>16.33288192749023</v>
      </c>
      <c r="W134" s="551">
        <f>IF(V134="","",V134*O134)</f>
        <v/>
      </c>
      <c r="X134" s="186">
        <f>IF(R134="yes",W134,"")</f>
        <v/>
      </c>
    </row>
    <row r="135" ht="68" customFormat="1" customHeight="1" s="192">
      <c r="A135" s="46">
        <f>A134+1</f>
        <v/>
      </c>
      <c r="B135" s="231" t="inlineStr">
        <is>
          <t>ls_num_now</t>
        </is>
      </c>
      <c r="C135" s="191" t="inlineStr">
        <is>
          <t>ls_num_now</t>
        </is>
      </c>
      <c r="D135" s="211" t="inlineStr">
        <is>
          <t>How many {ls_main} do you have now?
[OPERATOR: RECORD THE NUMBER OF ANIMALS. ENTER 88888 FOR DON'T KNOW AND 99999 FOR REFUSED.]</t>
        </is>
      </c>
      <c r="E135" s="197">
        <f>LEN(D135)</f>
        <v/>
      </c>
      <c r="F135" s="206" t="inlineStr">
        <is>
          <t>Range</t>
        </is>
      </c>
      <c r="G135" s="197" t="inlineStr">
        <is>
          <t>NA</t>
        </is>
      </c>
      <c r="H135" s="197" t="inlineStr">
        <is>
          <t>NA</t>
        </is>
      </c>
      <c r="I135" s="197" t="inlineStr">
        <is>
          <t>Form Type - TextBox
demographic</t>
        </is>
      </c>
      <c r="J135" s="196" t="inlineStr">
        <is>
          <t>0-10000 = ls_num_change
88888-88888 = ls_num_change
99999-99999 = ls_num_change</t>
        </is>
      </c>
      <c r="K135" s="266" t="inlineStr">
        <is>
          <t>NA</t>
        </is>
      </c>
      <c r="L135" s="196" t="inlineStr">
        <is>
          <t>answers can range from 0-10000; any response goes to ls_num_change</t>
        </is>
      </c>
      <c r="M135" s="90" t="n"/>
      <c r="N135" s="10" t="n"/>
      <c r="O135" s="318">
        <f>'Additional information'!$D$18</f>
        <v/>
      </c>
      <c r="P135" s="186" t="n"/>
      <c r="R135" s="467" t="inlineStr">
        <is>
          <t>yes</t>
        </is>
      </c>
      <c r="S135" s="193" t="n"/>
      <c r="V135" s="551" t="n">
        <v>7.41445255279541</v>
      </c>
      <c r="W135" s="551">
        <f>IF(V135="","",V135*O135)</f>
        <v/>
      </c>
      <c r="X135" s="186">
        <f>IF(R135="yes",W135,"")</f>
        <v/>
      </c>
    </row>
    <row r="136" ht="400" customFormat="1" customHeight="1" s="192">
      <c r="A136" s="46" t="n">
        <v>44</v>
      </c>
      <c r="B136" s="231" t="inlineStr">
        <is>
          <t>ls_num_change</t>
        </is>
      </c>
      <c r="C136" s="191"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6" s="44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36" s="197">
        <f>LEN(D136)</f>
        <v/>
      </c>
      <c r="F136" s="191" t="inlineStr">
        <is>
          <t xml:space="preserve">Select All That Apply </t>
        </is>
      </c>
      <c r="G136" s="197" t="inlineStr">
        <is>
          <t>NA</t>
        </is>
      </c>
      <c r="H136" s="197" t="inlineStr">
        <is>
          <t>NA</t>
        </is>
      </c>
      <c r="I136" s="197" t="inlineStr">
        <is>
          <t>Form Type - Checklist
1,13,14 = IsNone</t>
        </is>
      </c>
      <c r="J136" s="196" t="inlineStr">
        <is>
          <t>1-14 = [ls_proddif OR optional question]</t>
        </is>
      </c>
      <c r="K136" s="266"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L136" s="195" t="inlineStr">
        <is>
          <t>If ls_num_change 1-14 = [ls_proddif OR optional question]</t>
        </is>
      </c>
      <c r="M136" s="30" t="n"/>
      <c r="N136" s="10" t="n"/>
      <c r="O136" s="318">
        <f>'Additional information'!$D$18</f>
        <v/>
      </c>
      <c r="P136" s="186" t="n"/>
      <c r="R136" s="467" t="inlineStr">
        <is>
          <t>yes</t>
        </is>
      </c>
      <c r="S136" s="193" t="n"/>
      <c r="V136" s="551" t="n">
        <v>17.79113578796387</v>
      </c>
      <c r="W136" s="551">
        <f>IF(V136="","",V136*O136)</f>
        <v/>
      </c>
      <c r="X136" s="186">
        <f>IF(R136="yes",W136,"")</f>
        <v/>
      </c>
    </row>
    <row r="137" ht="238" customFormat="1" customHeight="1" s="192">
      <c r="A137" s="14" t="n">
        <v>45</v>
      </c>
      <c r="B137" s="282" t="inlineStr">
        <is>
          <t>ls_feed</t>
        </is>
      </c>
      <c r="C137" s="17" t="inlineStr">
        <is>
          <t>ls_feed
1) ls_feed_open_pasture
2) ls_feed_common_pasture
3) ls_feed_self_produced
4) ls_feed_purchased
5) ls_feed_free_dist
6) ls_feed_other
7) ls_feed_dk
8) ls_feed_ref</t>
        </is>
      </c>
      <c r="D137" s="22"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7" s="20">
        <f>LEN(D137)</f>
        <v/>
      </c>
      <c r="F137" s="427" t="inlineStr">
        <is>
          <t xml:space="preserve">Select All That Apply </t>
        </is>
      </c>
      <c r="G137" s="20" t="inlineStr">
        <is>
          <t>NA</t>
        </is>
      </c>
      <c r="H137" s="20" t="inlineStr">
        <is>
          <t>NA</t>
        </is>
      </c>
      <c r="I137" s="20" t="inlineStr">
        <is>
          <t>Form Type - Checklist
7,8 = IsNone</t>
        </is>
      </c>
      <c r="J137" s="31" t="inlineStr">
        <is>
          <t>1-8 = ls_proddif</t>
        </is>
      </c>
      <c r="K137" s="84" t="inlineStr">
        <is>
          <t>1)ls_feed_open_pasture
2)ls_feed_common_pasture
3)ls_feed_self_produced
4)ls_feed_purchased
5)ls_feed_free_dist
6)ls_feed_other
7)ls_feed_dk
8)ls_feed_ref</t>
        </is>
      </c>
      <c r="L137" s="169" t="inlineStr">
        <is>
          <t>For any response, go to ls_proddif</t>
        </is>
      </c>
      <c r="M137" s="64" t="n"/>
      <c r="N137" s="10" t="n"/>
      <c r="O137" s="392">
        <f>'Additional information'!$D$18</f>
        <v/>
      </c>
      <c r="P137" s="186" t="n"/>
      <c r="R137" s="194" t="inlineStr">
        <is>
          <t>no</t>
        </is>
      </c>
      <c r="S137" s="193" t="n"/>
      <c r="V137" s="552" t="n">
        <v>18.08681678771973</v>
      </c>
      <c r="W137" s="552">
        <f>IF(V137="","",V137*O137)</f>
        <v/>
      </c>
      <c r="X137" s="186">
        <f>IF(R137="yes",W137,"")</f>
        <v/>
      </c>
    </row>
    <row r="138" customFormat="1" s="192">
      <c r="A138" s="46" t="n"/>
      <c r="B138" s="229" t="n"/>
      <c r="C138" s="103" t="n"/>
      <c r="D138" s="83" t="n"/>
      <c r="E138" s="48" t="n"/>
      <c r="F138" s="104" t="n"/>
      <c r="G138" s="48" t="n"/>
      <c r="H138" s="48" t="n"/>
      <c r="I138" s="48" t="n"/>
      <c r="J138" s="88" t="n"/>
      <c r="K138" s="88" t="n"/>
      <c r="L138" s="88" t="n"/>
      <c r="M138" s="90" t="n"/>
      <c r="N138" s="10" t="n"/>
      <c r="O138" s="392">
        <f>'Additional information'!$D$18</f>
        <v/>
      </c>
      <c r="P138" s="186" t="n"/>
      <c r="R138" s="194" t="n"/>
      <c r="S138" s="193" t="n"/>
      <c r="V138" s="552" t="n"/>
      <c r="W138" s="552">
        <f>IF(V138="","",V138*O138)</f>
        <v/>
      </c>
      <c r="X138" s="186">
        <f>IF(R138="yes",W138,"")</f>
        <v/>
      </c>
    </row>
    <row r="139" ht="153" customFormat="1" customHeight="1" s="192">
      <c r="A139" s="46">
        <f>A137+1</f>
        <v/>
      </c>
      <c r="B139" s="231" t="inlineStr">
        <is>
          <t>ls_proddif</t>
        </is>
      </c>
      <c r="C139" s="191" t="inlineStr">
        <is>
          <t>ls_proddif</t>
        </is>
      </c>
      <c r="D139" s="212" t="inlineStr">
        <is>
          <t>Has your household faced any significant difficulty with livestock production over the last 3 months?
[OPERATOR: SINGLE RESPONSE.]
1)YES 
2)NO
3)DON'T KNOW
4)REFUSED</t>
        </is>
      </c>
      <c r="E139" s="197">
        <f>LEN(D139)</f>
        <v/>
      </c>
      <c r="F139" s="206" t="inlineStr">
        <is>
          <t>Single Choice</t>
        </is>
      </c>
      <c r="G139" s="197" t="inlineStr">
        <is>
          <t>NA</t>
        </is>
      </c>
      <c r="H139" s="197" t="inlineStr">
        <is>
          <t>NA</t>
        </is>
      </c>
      <c r="I139" s="197" t="inlineStr">
        <is>
          <t>Form Type - Buttons</t>
        </is>
      </c>
      <c r="J139" s="196" t="inlineStr">
        <is>
          <t>1=ls_proddif_2
2-4= [ls_salesmain OR optional question]</t>
        </is>
      </c>
      <c r="K139" s="266" t="inlineStr">
        <is>
          <t>NA</t>
        </is>
      </c>
      <c r="L139" s="196" t="inlineStr">
        <is>
          <t>if ls_proddif = 1, go to ls_proddif_2 ; 
if ls_proddif = 2-4, go to [ls_salesmain OR optional question]</t>
        </is>
      </c>
      <c r="M139" s="44" t="n"/>
      <c r="N139" s="10" t="n"/>
      <c r="O139" s="318">
        <f>'Additional information'!$D$18</f>
        <v/>
      </c>
      <c r="P139" s="186" t="n"/>
      <c r="R139" s="467" t="inlineStr">
        <is>
          <t>yes</t>
        </is>
      </c>
      <c r="S139" s="193" t="n"/>
      <c r="V139" s="551" t="n">
        <v>10.37455940246582</v>
      </c>
      <c r="W139" s="551">
        <f>IF(V139="","",V139*O139)</f>
        <v/>
      </c>
      <c r="X139" s="186">
        <f>IF(R139="yes",W139,"")</f>
        <v/>
      </c>
    </row>
    <row r="140" ht="323" customFormat="1" customHeight="1" s="192">
      <c r="A140" s="116">
        <f>A139+1</f>
        <v/>
      </c>
      <c r="B140" s="283" t="inlineStr">
        <is>
          <t>ls_proddif_2</t>
        </is>
      </c>
      <c r="C140" s="18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40" s="212"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40" s="197">
        <f>LEN(D140)</f>
        <v/>
      </c>
      <c r="F140" s="191" t="inlineStr">
        <is>
          <t xml:space="preserve">Select All That Apply </t>
        </is>
      </c>
      <c r="G140" s="197" t="inlineStr">
        <is>
          <t>NA</t>
        </is>
      </c>
      <c r="H140" s="197" t="inlineStr">
        <is>
          <t>NA</t>
        </is>
      </c>
      <c r="I140" s="197" t="inlineStr">
        <is>
          <t>Form Type - Checklist
12,13 = IsNone</t>
        </is>
      </c>
      <c r="J140" s="450" t="inlineStr">
        <is>
          <t>1-13 = [ls_salesmain OR optional question]</t>
        </is>
      </c>
      <c r="K140" s="266"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L140" s="212" t="inlineStr">
        <is>
          <t>if ls_proddif_2 = 1-13, go to ls_salesmain OR optional question</t>
        </is>
      </c>
      <c r="M140" s="62" t="n"/>
      <c r="N140" s="10" t="n"/>
      <c r="O140" s="318">
        <f>'Additional information'!$D$18</f>
        <v/>
      </c>
      <c r="P140" s="186" t="n"/>
      <c r="R140" s="467" t="inlineStr">
        <is>
          <t>yes</t>
        </is>
      </c>
      <c r="S140" s="193" t="n"/>
      <c r="V140" s="551" t="n">
        <v>19.61676216125488</v>
      </c>
      <c r="W140" s="551">
        <f>IF(V140="","",V140*O140)</f>
        <v/>
      </c>
      <c r="X140" s="186">
        <f>IF(R140="yes",W140,"")</f>
        <v/>
      </c>
    </row>
    <row r="141" ht="238" customFormat="1" customHeight="1" s="192">
      <c r="A141" s="14" t="n"/>
      <c r="B141" s="284" t="inlineStr">
        <is>
          <t>ls_all</t>
        </is>
      </c>
      <c r="C141" s="291" t="inlineStr">
        <is>
          <t>ls_all_
1) ls_all_cattle
2) ls_all_goats
3) ls_all_sheep
4) ls_all_swine
5) ls_all_equine
6) ls_all_smallmammals
7) ls_all_poultry
8) ls_all_camelids
9) ls_all_other
10) ls_all_none
11) ls_all_dk
12) ls_all_ref</t>
        </is>
      </c>
      <c r="D141" s="15" t="inlineStr">
        <is>
          <t>Do you own any other livestock aside from {ls_main}, and if so which ones?
[OPERATOR: "No other livestock" APPEARS AT THE END OF THE LIST OF OPTIONS. SELECT ALL ANIMALS LISTED BY THE RESPONDENT.]
1)No other livestock
2)DON'T KNOW
3)REFUSED</t>
        </is>
      </c>
      <c r="E141" s="24">
        <f>LEN(D141)</f>
        <v/>
      </c>
      <c r="F141" s="28" t="inlineStr">
        <is>
          <t>Select All That Apply</t>
        </is>
      </c>
      <c r="G141" s="24" t="inlineStr">
        <is>
          <t>NA</t>
        </is>
      </c>
      <c r="H141" s="24" t="inlineStr">
        <is>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is>
      </c>
      <c r="I141" s="24" t="inlineStr">
        <is>
          <t>Form Type - Checklist
Included unselected "ls_main"
1,2,3= IsNone</t>
        </is>
      </c>
      <c r="J141" s="29" t="inlineStr">
        <is>
          <t>Dynamic = ls_salesmain
1-3 = ls_salesmain</t>
        </is>
      </c>
      <c r="K141" s="84" t="inlineStr">
        <is>
          <t>1)ls_all_cattle
2)ls_all_goats
3)ls_all_sheep
4)ls_all_swine
5)ls_all_equine
6)ls_all_smallmammals
7)ls_all_poultry
8)ls_all_camelids
9)ls_all_other
10)ls_all_none
11)ls_all_dk
12)ls_all_ref</t>
        </is>
      </c>
      <c r="L141" s="65" t="inlineStr">
        <is>
          <t>The list of animals that were not selected at ls_main will appear here with programming. 
For any response to ls_all, go to ls_salesmain</t>
        </is>
      </c>
      <c r="M141" s="65" t="n"/>
      <c r="N141" s="172" t="n"/>
      <c r="O141" s="392">
        <f>'Additional information'!$D$18</f>
        <v/>
      </c>
      <c r="P141" s="186" t="n"/>
      <c r="R141" s="194" t="inlineStr">
        <is>
          <t>no</t>
        </is>
      </c>
      <c r="S141" s="193" t="n"/>
      <c r="V141" s="552" t="n">
        <v>7.249754905700684</v>
      </c>
      <c r="W141" s="552">
        <f>IF(V141="","",V141*O141)</f>
        <v/>
      </c>
      <c r="X141" s="186">
        <f>IF(R141="yes",W141,"")</f>
        <v/>
      </c>
    </row>
    <row r="142" ht="17" customFormat="1" customHeight="1" s="192" thickBot="1">
      <c r="A142" s="46" t="n"/>
      <c r="B142" s="229" t="n"/>
      <c r="C142" s="103" t="n"/>
      <c r="D142" s="83" t="n"/>
      <c r="E142" s="48" t="n"/>
      <c r="F142" s="104" t="n"/>
      <c r="G142" s="48" t="n"/>
      <c r="H142" s="48" t="n"/>
      <c r="I142" s="48" t="n"/>
      <c r="J142" s="88" t="n"/>
      <c r="K142" s="88" t="n"/>
      <c r="L142" s="88" t="n"/>
      <c r="M142" s="90" t="n"/>
      <c r="N142" s="52" t="n"/>
      <c r="O142" s="392">
        <f>'Additional information'!$D$18</f>
        <v/>
      </c>
      <c r="P142" s="186" t="n"/>
      <c r="R142" s="194" t="n"/>
      <c r="S142" s="193" t="n"/>
      <c r="V142" s="552" t="n"/>
      <c r="W142" s="552">
        <f>IF(V142="","",V142*O142)</f>
        <v/>
      </c>
      <c r="X142" s="186">
        <f>IF(R142="yes",W142,"")</f>
        <v/>
      </c>
    </row>
    <row r="143" ht="17" customFormat="1" customHeight="1" s="464" thickBot="1">
      <c r="A143" s="548" t="inlineStr">
        <is>
          <t>E. LIVESTOCK MARKETING</t>
        </is>
      </c>
      <c r="B143" s="549" t="n"/>
      <c r="C143" s="549" t="n"/>
      <c r="D143" s="549" t="n"/>
      <c r="E143" s="549" t="n"/>
      <c r="F143" s="549" t="n"/>
      <c r="G143" s="549" t="n"/>
      <c r="H143" s="549" t="n"/>
      <c r="I143" s="549" t="n"/>
      <c r="J143" s="549" t="n"/>
      <c r="K143" s="549" t="n"/>
      <c r="L143" s="549" t="n"/>
      <c r="M143" s="549" t="n"/>
      <c r="N143" s="550" t="n"/>
      <c r="O143" s="318" t="n"/>
      <c r="P143" s="469" t="n"/>
      <c r="R143" s="467" t="n"/>
      <c r="S143" s="470" t="n"/>
      <c r="V143" s="551" t="n"/>
      <c r="W143" s="551">
        <f>IF(V143="","",V143*O143)</f>
        <v/>
      </c>
      <c r="X143" s="469">
        <f>IF(R143="yes",W143,"")</f>
        <v/>
      </c>
    </row>
    <row r="144" ht="306" customFormat="1" customHeight="1" s="192">
      <c r="A144" s="102">
        <f>A140+1</f>
        <v/>
      </c>
      <c r="B144" s="281" t="inlineStr">
        <is>
          <t>ls_salesmain</t>
        </is>
      </c>
      <c r="C144" s="191" t="inlineStr">
        <is>
          <t>ls_salesmain</t>
        </is>
      </c>
      <c r="D144" s="215"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44" s="189">
        <f>LEN(D144)</f>
        <v/>
      </c>
      <c r="F144" s="199" t="inlineStr">
        <is>
          <t>Single Choice</t>
        </is>
      </c>
      <c r="G144" s="189" t="inlineStr">
        <is>
          <t>NA</t>
        </is>
      </c>
      <c r="H144" s="189"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I144" s="191" t="inlineStr">
        <is>
          <t>Form Type - Buttons
IsDemographic</t>
        </is>
      </c>
      <c r="J144" s="188" t="inlineStr">
        <is>
          <t>1-11 = ls_salesdif
12-13 = fish_intro</t>
        </is>
      </c>
      <c r="K144" s="266" t="inlineStr">
        <is>
          <t>NA</t>
        </is>
      </c>
      <c r="L144" s="188"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M144" s="90" t="n"/>
      <c r="N144" s="9" t="n"/>
      <c r="O144" s="318">
        <f>'Additional information'!$D$18</f>
        <v/>
      </c>
      <c r="P144" s="186" t="n"/>
      <c r="R144" s="467" t="inlineStr">
        <is>
          <t>yes</t>
        </is>
      </c>
      <c r="S144" s="193" t="n"/>
      <c r="V144" s="551" t="n">
        <v>12.99236297607422</v>
      </c>
      <c r="W144" s="551">
        <f>IF(V144="","",V144*O144)</f>
        <v/>
      </c>
      <c r="X144" s="186">
        <f>IF(R144="yes",W144,"")</f>
        <v/>
      </c>
    </row>
    <row r="145" customFormat="1" s="192">
      <c r="A145" s="102" t="n"/>
      <c r="B145" s="309" t="n"/>
      <c r="C145" s="103" t="n"/>
      <c r="D145" s="111" t="n"/>
      <c r="E145" s="109" t="n"/>
      <c r="F145" s="112" t="n"/>
      <c r="G145" s="109" t="n"/>
      <c r="H145" s="109" t="n"/>
      <c r="I145" s="103" t="n"/>
      <c r="J145" s="90" t="n"/>
      <c r="K145" s="88" t="n"/>
      <c r="L145" s="90" t="n"/>
      <c r="M145" s="90" t="n"/>
      <c r="N145" s="52" t="n"/>
      <c r="O145" s="392">
        <f>'Additional information'!$D$18</f>
        <v/>
      </c>
      <c r="P145" s="186" t="n"/>
      <c r="R145" s="194" t="n"/>
      <c r="S145" s="193" t="n"/>
      <c r="V145" s="552" t="n"/>
      <c r="W145" s="552">
        <f>IF(V145="","",V145*O145)</f>
        <v/>
      </c>
      <c r="X145" s="186">
        <f>IF(R145="yes",W145,"")</f>
        <v/>
      </c>
    </row>
    <row r="146" ht="153" customFormat="1" customHeight="1" s="192">
      <c r="A146" s="46">
        <f>A144+1</f>
        <v/>
      </c>
      <c r="B146" s="213" t="inlineStr">
        <is>
          <t>ls_salesdif</t>
        </is>
      </c>
      <c r="C146" s="191" t="inlineStr">
        <is>
          <t>ls_salesdif</t>
        </is>
      </c>
      <c r="D146" s="212" t="inlineStr">
        <is>
          <t>Has your household faced any significant difficulty in the last 3 months selling your {ls_salesmain}?
[OPERATOR: SINGLE RESPONSE.]
1)YES
2)NO
3)DON'T KNOW
4)REFUSED</t>
        </is>
      </c>
      <c r="E146" s="197">
        <f>LEN(D146)</f>
        <v/>
      </c>
      <c r="F146" s="206" t="inlineStr">
        <is>
          <t>Single Choice</t>
        </is>
      </c>
      <c r="G146" s="197" t="inlineStr">
        <is>
          <t>NA</t>
        </is>
      </c>
      <c r="H146" s="197" t="inlineStr">
        <is>
          <t>NA</t>
        </is>
      </c>
      <c r="I146" s="197" t="inlineStr">
        <is>
          <t>Form Type - Buttons</t>
        </is>
      </c>
      <c r="J146" s="196" t="inlineStr">
        <is>
          <t>1 = ls_salesdif_2
2-4 = ls_salesprice</t>
        </is>
      </c>
      <c r="K146" s="266" t="inlineStr">
        <is>
          <t>NA</t>
        </is>
      </c>
      <c r="L146" s="196" t="inlineStr">
        <is>
          <t>if ls_salesdif = 1, go to ls_salesdif_2 ; 
if ls_salesdif = 2-4, go to ls_salesprice</t>
        </is>
      </c>
      <c r="M146" s="88" t="n"/>
      <c r="N146" s="10" t="n"/>
      <c r="O146" s="318">
        <f>'Additional information'!$D$18</f>
        <v/>
      </c>
      <c r="P146" s="186" t="n"/>
      <c r="R146" s="467" t="inlineStr">
        <is>
          <t>yes</t>
        </is>
      </c>
      <c r="S146" s="193" t="n"/>
      <c r="V146" s="551" t="n">
        <v>8.629570960998535</v>
      </c>
      <c r="W146" s="551">
        <f>IF(V146="","",V146*O146)</f>
        <v/>
      </c>
      <c r="X146" s="186">
        <f>IF(R146="yes",W146,"")</f>
        <v/>
      </c>
    </row>
    <row r="147" ht="306" customFormat="1" customHeight="1" s="192">
      <c r="A147" s="46">
        <f>A146+1</f>
        <v/>
      </c>
      <c r="B147" s="231" t="inlineStr">
        <is>
          <t>ls_salesdif_2</t>
        </is>
      </c>
      <c r="C147" s="191"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7" s="448"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7" s="197">
        <f>LEN(D147)</f>
        <v/>
      </c>
      <c r="F147" s="191" t="inlineStr">
        <is>
          <t xml:space="preserve">Select All That Apply </t>
        </is>
      </c>
      <c r="G147" s="197" t="inlineStr">
        <is>
          <t>NA</t>
        </is>
      </c>
      <c r="H147" s="197" t="inlineStr">
        <is>
          <t>NA</t>
        </is>
      </c>
      <c r="I147" s="197" t="inlineStr">
        <is>
          <t>Form Type - Checklist
10,11 = IsNone</t>
        </is>
      </c>
      <c r="J147" s="196" t="inlineStr">
        <is>
          <t>1-11 = ls_salesprice</t>
        </is>
      </c>
      <c r="K147" s="266"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L147" s="196" t="inlineStr">
        <is>
          <t>if ls_salesdif_2 = 1-11, go to ls_salesprice</t>
        </is>
      </c>
      <c r="M147" s="88" t="n"/>
      <c r="N147" s="10" t="n"/>
      <c r="O147" s="318">
        <f>'Additional information'!$D$18</f>
        <v/>
      </c>
      <c r="P147" s="186" t="n"/>
      <c r="R147" s="467" t="inlineStr">
        <is>
          <t>yes</t>
        </is>
      </c>
      <c r="S147" s="193" t="n"/>
      <c r="V147" s="551" t="n">
        <v>18.25617218017578</v>
      </c>
      <c r="W147" s="551">
        <f>IF(V147="","",V147*O147)</f>
        <v/>
      </c>
      <c r="X147" s="186">
        <f>IF(R147="yes",W147,"")</f>
        <v/>
      </c>
    </row>
    <row r="148" customFormat="1" s="192">
      <c r="A148" s="46" t="n"/>
      <c r="B148" s="229" t="n"/>
      <c r="C148" s="103" t="n"/>
      <c r="D148" s="174" t="n"/>
      <c r="E148" s="48" t="n"/>
      <c r="F148" s="49" t="n"/>
      <c r="G148" s="48" t="n"/>
      <c r="H148" s="48" t="n"/>
      <c r="I148" s="48" t="n"/>
      <c r="J148" s="88" t="n"/>
      <c r="K148" s="88" t="n"/>
      <c r="L148" s="88" t="n"/>
      <c r="M148" s="88" t="n"/>
      <c r="N148" s="10" t="n"/>
      <c r="O148" s="392">
        <f>'Additional information'!$D$18</f>
        <v/>
      </c>
      <c r="P148" s="186" t="n"/>
      <c r="R148" s="194" t="n"/>
      <c r="S148" s="193" t="n"/>
      <c r="V148" s="552" t="n"/>
      <c r="W148" s="552">
        <f>IF(V148="","",V148*O148)</f>
        <v/>
      </c>
      <c r="X148" s="186">
        <f>IF(R148="yes",W148,"")</f>
        <v/>
      </c>
    </row>
    <row r="149" ht="204" customFormat="1" customHeight="1" s="192">
      <c r="A149" s="46">
        <f>A147+1</f>
        <v/>
      </c>
      <c r="B149" s="231" t="inlineStr">
        <is>
          <t>ls_salesprice</t>
        </is>
      </c>
      <c r="C149" s="191" t="inlineStr">
        <is>
          <t>ls_salesprice</t>
        </is>
      </c>
      <c r="D149" s="212" t="inlineStr">
        <is>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is>
      </c>
      <c r="E149" s="197">
        <f>LEN(D149)</f>
        <v/>
      </c>
      <c r="F149" s="206" t="inlineStr">
        <is>
          <t>Single Choice</t>
        </is>
      </c>
      <c r="G149" s="197" t="inlineStr">
        <is>
          <t>NA</t>
        </is>
      </c>
      <c r="H149" s="197" t="inlineStr">
        <is>
          <t>NA</t>
        </is>
      </c>
      <c r="I149" s="197" t="inlineStr">
        <is>
          <t>Form Type - Buttons</t>
        </is>
      </c>
      <c r="J149" s="221" t="inlineStr">
        <is>
          <t>1-7 = fish_intro</t>
        </is>
      </c>
      <c r="K149" s="266" t="inlineStr">
        <is>
          <t>NA</t>
        </is>
      </c>
      <c r="L149" s="221" t="inlineStr">
        <is>
          <t>For options #1-7, go to fish_intro</t>
        </is>
      </c>
      <c r="M149" s="61" t="n"/>
      <c r="N149" s="10" t="n"/>
      <c r="O149" s="318">
        <f>'Additional information'!$D$18</f>
        <v/>
      </c>
      <c r="P149" s="186" t="n"/>
      <c r="R149" s="467" t="inlineStr">
        <is>
          <t>yes</t>
        </is>
      </c>
      <c r="S149" s="193" t="n"/>
      <c r="V149" s="551" t="n">
        <v>15.45627975463867</v>
      </c>
      <c r="W149" s="551">
        <f>IF(V149="","",V149*O149)</f>
        <v/>
      </c>
      <c r="X149" s="186">
        <f>IF(R149="yes",W149,"")</f>
        <v/>
      </c>
    </row>
    <row r="150" ht="17" customFormat="1" customHeight="1" s="192" thickBot="1">
      <c r="A150" s="46" t="n"/>
      <c r="B150" s="229" t="n"/>
      <c r="C150" s="103" t="n"/>
      <c r="D150" s="83" t="n"/>
      <c r="E150" s="48" t="n"/>
      <c r="F150" s="104" t="n"/>
      <c r="G150" s="48" t="n"/>
      <c r="H150" s="48" t="n"/>
      <c r="I150" s="48" t="n"/>
      <c r="J150" s="61" t="n"/>
      <c r="K150" s="88" t="n"/>
      <c r="L150" s="61" t="n"/>
      <c r="M150" s="61" t="n"/>
      <c r="N150" s="10" t="n"/>
      <c r="O150" s="392">
        <f>'Additional information'!$D$18</f>
        <v/>
      </c>
      <c r="P150" s="186" t="n"/>
      <c r="R150" s="194" t="n"/>
      <c r="S150" s="193" t="n"/>
      <c r="V150" s="552" t="n"/>
      <c r="W150" s="552">
        <f>IF(V150="","",V150*O150)</f>
        <v/>
      </c>
      <c r="X150" s="186">
        <f>IF(R150="yes",W150,"")</f>
        <v/>
      </c>
    </row>
    <row r="151" ht="17" customFormat="1" customHeight="1" s="464" thickBot="1">
      <c r="A151" s="548" t="inlineStr">
        <is>
          <t>F. FISHERIES PRODUCTION</t>
        </is>
      </c>
      <c r="B151" s="549" t="n"/>
      <c r="C151" s="549" t="n"/>
      <c r="D151" s="549" t="n"/>
      <c r="E151" s="549" t="n"/>
      <c r="F151" s="549" t="n"/>
      <c r="G151" s="549" t="n"/>
      <c r="H151" s="549" t="n"/>
      <c r="I151" s="549" t="n"/>
      <c r="J151" s="549" t="n"/>
      <c r="K151" s="549" t="n"/>
      <c r="L151" s="549" t="n"/>
      <c r="M151" s="549" t="n"/>
      <c r="N151" s="550" t="n"/>
      <c r="O151" s="318" t="n"/>
      <c r="P151" s="469" t="n"/>
      <c r="R151" s="467" t="n"/>
      <c r="S151" s="470" t="n"/>
      <c r="V151" s="551" t="n"/>
      <c r="W151" s="551">
        <f>IF(V151="","",V151*O151)</f>
        <v/>
      </c>
      <c r="X151" s="469">
        <f>IF(R151="yes",W151,"")</f>
        <v/>
      </c>
    </row>
    <row r="152" ht="120" customFormat="1" customHeight="1" s="192">
      <c r="A152" s="102">
        <f>A149+1</f>
        <v/>
      </c>
      <c r="B152" s="281" t="inlineStr">
        <is>
          <t>fish_intro</t>
        </is>
      </c>
      <c r="C152" s="191" t="inlineStr">
        <is>
          <t>fish_intro</t>
        </is>
      </c>
      <c r="D152" s="492" t="inlineStr">
        <is>
          <t>We will now ask you some questions about fishing and aquaculture production which apply to you and anyone in your household that is involved in the capture, culture, or harvest of fish and aquatic products.
1)CONTINUE</t>
        </is>
      </c>
      <c r="E152" s="189">
        <f>LEN(D152)</f>
        <v/>
      </c>
      <c r="F152" s="189" t="inlineStr">
        <is>
          <t>Single Choice</t>
        </is>
      </c>
      <c r="G152" s="189" t="inlineStr">
        <is>
          <t>NA</t>
        </is>
      </c>
      <c r="H152" s="189" t="inlineStr">
        <is>
          <t>Send if "income_main_fish_check" "Equals" "YES" Or "income_sec_fish_check" "Equals" "YES Or "income_third_fish_check" "Equals" "YES" Or "hh_fish" "Equals" "YES" if not satisfied go to "fies"</t>
        </is>
      </c>
      <c r="I152" s="197" t="inlineStr">
        <is>
          <t>Form Type - Buttons</t>
        </is>
      </c>
      <c r="J152" s="188" t="inlineStr">
        <is>
          <t>1 = fish_main</t>
        </is>
      </c>
      <c r="K152" s="266" t="inlineStr">
        <is>
          <t>NA</t>
        </is>
      </c>
      <c r="L152" s="195"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M152" s="483" t="n"/>
      <c r="N152" s="9" t="n"/>
      <c r="O152" s="318">
        <f>'Additional information'!$D$19</f>
        <v/>
      </c>
      <c r="P152" s="186" t="n"/>
      <c r="R152" s="467" t="inlineStr">
        <is>
          <t>yes</t>
        </is>
      </c>
      <c r="S152" s="193" t="n"/>
      <c r="V152" s="551" t="n">
        <v>2.480132341384888</v>
      </c>
      <c r="W152" s="551">
        <f>IF(V152="","",V152*O152)</f>
        <v/>
      </c>
      <c r="X152" s="186">
        <f>IF(R152="yes",W152,"")</f>
        <v/>
      </c>
    </row>
    <row r="153" customFormat="1" s="192">
      <c r="A153" s="46" t="n"/>
      <c r="B153" s="229" t="n"/>
      <c r="C153" s="103" t="n"/>
      <c r="D153" s="83" t="n"/>
      <c r="E153" s="48" t="n"/>
      <c r="F153" s="104" t="n"/>
      <c r="G153" s="48" t="n"/>
      <c r="H153" s="48" t="n"/>
      <c r="I153" s="48" t="n"/>
      <c r="J153" s="61" t="n"/>
      <c r="K153" s="95" t="n"/>
      <c r="L153" s="61" t="n"/>
      <c r="M153" s="61" t="n"/>
      <c r="N153" s="10" t="n"/>
      <c r="O153" s="392">
        <f>'Additional information'!$D$19</f>
        <v/>
      </c>
      <c r="P153" s="186" t="n"/>
      <c r="R153" s="194" t="n"/>
      <c r="S153" s="193" t="n"/>
      <c r="V153" s="552" t="n"/>
      <c r="W153" s="552">
        <f>IF(V153="","",V153*O153)</f>
        <v/>
      </c>
      <c r="X153" s="186">
        <f>IF(R153="yes",W153,"")</f>
        <v/>
      </c>
    </row>
    <row r="154" ht="170" customFormat="1" customHeight="1" s="192">
      <c r="A154" s="102">
        <f>A152+1</f>
        <v/>
      </c>
      <c r="B154" s="281" t="inlineStr">
        <is>
          <t>fish_main</t>
        </is>
      </c>
      <c r="C154" s="452" t="inlineStr">
        <is>
          <t>fish_main_
1) fish_main_coastal
2) fish_main_offshore_sea
3) fish_main_freshwater
4) fish_main_aquaculture
5) fish_main_dk
6) fish_main_ref</t>
        </is>
      </c>
      <c r="D154" s="448"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54" s="189">
        <f>LEN(D154)</f>
        <v/>
      </c>
      <c r="F154" s="191" t="inlineStr">
        <is>
          <t>Select All That Apply</t>
        </is>
      </c>
      <c r="G154" s="189" t="inlineStr">
        <is>
          <t>NA</t>
        </is>
      </c>
      <c r="H154" s="189" t="inlineStr">
        <is>
          <t>NA</t>
        </is>
      </c>
      <c r="I154" s="189" t="inlineStr">
        <is>
          <t>Form Type - Checklist
5,6 = IsNone</t>
        </is>
      </c>
      <c r="J154" s="188" t="inlineStr">
        <is>
          <t>1-6 = fish_change</t>
        </is>
      </c>
      <c r="K154" s="266" t="inlineStr">
        <is>
          <t>1)fish_main_coastal
2)fish_main_offshore_sea
3)fish_main_freshwater
4)fish_main_aquaculture
5)fish_main_dk
6)fish_main_ref</t>
        </is>
      </c>
      <c r="L154" s="188" t="inlineStr">
        <is>
          <t>if fish_main = 1-6, go to fish_change</t>
        </is>
      </c>
      <c r="M154" s="90" t="n"/>
      <c r="N154" s="52" t="n"/>
      <c r="O154" s="318">
        <f>'Additional information'!$D$19</f>
        <v/>
      </c>
      <c r="P154" s="186" t="n"/>
      <c r="R154" s="467" t="inlineStr">
        <is>
          <t>yes</t>
        </is>
      </c>
      <c r="S154" s="193" t="n"/>
      <c r="V154" s="551" t="n">
        <v>12.71689510345459</v>
      </c>
      <c r="W154" s="551">
        <f>IF(V154="","",V154*O154)</f>
        <v/>
      </c>
      <c r="X154" s="186">
        <f>IF(R154="yes",W154,"")</f>
        <v/>
      </c>
    </row>
    <row r="155" customFormat="1" s="192">
      <c r="A155" s="102" t="n"/>
      <c r="B155" s="309" t="n"/>
      <c r="C155" s="103" t="n"/>
      <c r="D155" s="503" t="n"/>
      <c r="E155" s="109" t="n"/>
      <c r="F155" s="103" t="n"/>
      <c r="G155" s="109" t="n"/>
      <c r="H155" s="109" t="n"/>
      <c r="I155" s="109" t="n"/>
      <c r="J155" s="90" t="n"/>
      <c r="K155" s="95" t="n"/>
      <c r="L155" s="90" t="n"/>
      <c r="M155" s="90" t="n"/>
      <c r="N155" s="52" t="n"/>
      <c r="O155" s="392">
        <f>'Additional information'!$D$19</f>
        <v/>
      </c>
      <c r="P155" s="186" t="n"/>
      <c r="R155" s="194" t="n"/>
      <c r="S155" s="193" t="n"/>
      <c r="V155" s="552" t="n"/>
      <c r="W155" s="552">
        <f>IF(V155="","",V155*O155)</f>
        <v/>
      </c>
      <c r="X155" s="186">
        <f>IF(R155="yes",W155,"")</f>
        <v/>
      </c>
    </row>
    <row r="156" ht="204" customHeight="1">
      <c r="A156" s="102">
        <f>A154+1</f>
        <v/>
      </c>
      <c r="B156" s="453" t="inlineStr">
        <is>
          <t>fish_change</t>
        </is>
      </c>
      <c r="C156" s="454" t="inlineStr">
        <is>
          <t>fish_change</t>
        </is>
      </c>
      <c r="D156" s="448"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56" s="189">
        <f>LEN(D156)</f>
        <v/>
      </c>
      <c r="F156" s="454" t="inlineStr">
        <is>
          <t>Single Choice</t>
        </is>
      </c>
      <c r="G156" s="454" t="inlineStr">
        <is>
          <t>NA</t>
        </is>
      </c>
      <c r="H156" s="454" t="inlineStr">
        <is>
          <t>NA</t>
        </is>
      </c>
      <c r="I156" s="454" t="inlineStr">
        <is>
          <t>Form Type - Buttons</t>
        </is>
      </c>
      <c r="J156" s="455" t="inlineStr">
        <is>
          <t>1-7 = fish_proddif</t>
        </is>
      </c>
      <c r="K156" s="266" t="inlineStr">
        <is>
          <t>NA</t>
        </is>
      </c>
      <c r="L156" s="455" t="inlineStr">
        <is>
          <t>if fish_change = 1-7, go to fish_proddif</t>
        </is>
      </c>
      <c r="M156" s="95" t="n"/>
      <c r="N156" s="10" t="n"/>
      <c r="O156" s="318">
        <f>'Additional information'!$D$19</f>
        <v/>
      </c>
      <c r="P156" s="186" t="n"/>
      <c r="R156" s="467" t="inlineStr">
        <is>
          <t>yes</t>
        </is>
      </c>
      <c r="V156" s="551" t="n">
        <v>10.51750373840332</v>
      </c>
      <c r="W156" s="551">
        <f>IF(V156="","",V156*O156)</f>
        <v/>
      </c>
      <c r="X156" s="186">
        <f>IF(R156="yes",W156,"")</f>
        <v/>
      </c>
    </row>
    <row r="157">
      <c r="A157" s="102" t="n"/>
      <c r="B157" s="219" t="n"/>
      <c r="C157" s="217" t="n"/>
      <c r="D157" s="218" t="n"/>
      <c r="E157" s="109" t="n"/>
      <c r="F157" s="217" t="n"/>
      <c r="G157" s="217" t="n"/>
      <c r="H157" s="217" t="n"/>
      <c r="I157" s="217" t="n"/>
      <c r="J157" s="95" t="n"/>
      <c r="K157" s="95" t="n"/>
      <c r="L157" s="216" t="n"/>
      <c r="M157" s="95" t="n"/>
      <c r="N157" s="10" t="n"/>
      <c r="O157" s="392">
        <f>'Additional information'!$D$19</f>
        <v/>
      </c>
      <c r="P157" s="186" t="n"/>
      <c r="R157" s="194" t="n"/>
      <c r="V157" s="552" t="n"/>
      <c r="W157" s="552">
        <f>IF(V157="","",V157*O157)</f>
        <v/>
      </c>
      <c r="X157" s="186">
        <f>IF(R157="yes",W157,"")</f>
        <v/>
      </c>
    </row>
    <row r="158" ht="153" customFormat="1" customHeight="1" s="192">
      <c r="A158" s="102">
        <f>A156+1</f>
        <v/>
      </c>
      <c r="B158" s="281" t="inlineStr">
        <is>
          <t>fish_proddif</t>
        </is>
      </c>
      <c r="C158" s="191" t="inlineStr">
        <is>
          <t>fish_proddif</t>
        </is>
      </c>
      <c r="D158" s="448" t="inlineStr">
        <is>
          <t>Has your household faced any significant difficulty with fish catch / harvest / farming in the last 3 months?
[OPERATOR: SINGLE RESPONSE.]
1)YES
2)NO
3)DON'T KNOW
4)REFUSED</t>
        </is>
      </c>
      <c r="E158" s="189">
        <f>LEN(D158)</f>
        <v/>
      </c>
      <c r="F158" s="199" t="inlineStr">
        <is>
          <t>Single Choice</t>
        </is>
      </c>
      <c r="G158" s="189" t="inlineStr">
        <is>
          <t>NA</t>
        </is>
      </c>
      <c r="H158" s="189" t="inlineStr">
        <is>
          <t>NA</t>
        </is>
      </c>
      <c r="I158" s="189" t="inlineStr">
        <is>
          <t>Form Type - Buttons</t>
        </is>
      </c>
      <c r="J158" s="188" t="inlineStr">
        <is>
          <t>1=fish_proddif_2
2-4= [fish_salesmain OR optional question]</t>
        </is>
      </c>
      <c r="K158" s="266" t="inlineStr">
        <is>
          <t>NA</t>
        </is>
      </c>
      <c r="L158" s="196" t="inlineStr">
        <is>
          <t>if fish_proddif = 1, go to fish_proddif_2 ; 
if fish_proddif = 2-4, go to fish_salesmain OR optional question</t>
        </is>
      </c>
      <c r="M158" s="44" t="n"/>
      <c r="N158" s="10" t="n"/>
      <c r="O158" s="318">
        <f>'Additional information'!$D$19</f>
        <v/>
      </c>
      <c r="P158" s="186" t="n"/>
      <c r="R158" s="467" t="inlineStr">
        <is>
          <t>yes</t>
        </is>
      </c>
      <c r="S158" s="193" t="n"/>
      <c r="V158" s="551" t="n">
        <v>6.48249626159668</v>
      </c>
      <c r="W158" s="551">
        <f>IF(V158="","",V158*O158)</f>
        <v/>
      </c>
      <c r="X158" s="186">
        <f>IF(R158="yes",W158,"")</f>
        <v/>
      </c>
    </row>
    <row r="159" ht="289" customFormat="1" customHeight="1" s="192">
      <c r="A159" s="46">
        <f>A158+1</f>
        <v/>
      </c>
      <c r="B159" s="281" t="inlineStr">
        <is>
          <t>fish_proddif_2</t>
        </is>
      </c>
      <c r="C159" s="191"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59" s="448"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59" s="197">
        <f>LEN(D159)</f>
        <v/>
      </c>
      <c r="F159" s="191" t="inlineStr">
        <is>
          <t xml:space="preserve">Select All That Apply </t>
        </is>
      </c>
      <c r="G159" s="197" t="inlineStr">
        <is>
          <t>NA</t>
        </is>
      </c>
      <c r="H159" s="197" t="inlineStr">
        <is>
          <t>NA</t>
        </is>
      </c>
      <c r="I159" s="197" t="inlineStr">
        <is>
          <t>Form Type - Checklist
10,11 = IsNone</t>
        </is>
      </c>
      <c r="J159" s="456" t="inlineStr">
        <is>
          <t>1-11 = [fish_salesmain OR optional question]</t>
        </is>
      </c>
      <c r="K159" s="266" t="inlineStr">
        <is>
          <t>1)fish_proddif_find_fish
2)fish_proddif_pests
3)fish_proddif_access_area
4)fish_proddif_fuel
5)fish_proddif_input_access
6)fish_proddif_labour
7)fish_proddif_infrastructure
8)fish_proddif_damage_equip
9)fish_proddif_other
10)fish_proddif_dk
11)fish_proddif_ref</t>
        </is>
      </c>
      <c r="L159" s="196" t="inlineStr">
        <is>
          <t>If fish_proddif_2 = 1-11, go to fish_salesmain OR optional question</t>
        </is>
      </c>
      <c r="M159" s="62" t="n"/>
      <c r="N159" s="10" t="n"/>
      <c r="O159" s="318">
        <f>'Additional information'!$D$19</f>
        <v/>
      </c>
      <c r="P159" s="186" t="n"/>
      <c r="R159" s="467" t="inlineStr">
        <is>
          <t>yes</t>
        </is>
      </c>
      <c r="S159" s="193" t="n"/>
      <c r="V159" s="551" t="n">
        <v>23.64215660095215</v>
      </c>
      <c r="W159" s="551">
        <f>IF(V159="","",V159*O159)</f>
        <v/>
      </c>
      <c r="X159" s="186">
        <f>IF(R159="yes",W159,"")</f>
        <v/>
      </c>
    </row>
    <row r="160" ht="255" customFormat="1" customHeight="1" s="192">
      <c r="A160" s="14">
        <f>A159+1</f>
        <v/>
      </c>
      <c r="B160" s="282" t="inlineStr">
        <is>
          <t>fish_inputdif</t>
        </is>
      </c>
      <c r="C160" s="21" t="inlineStr">
        <is>
          <t>fish_inputdif_
1) fish_inputdif_bait_feed
2)fish_inputdif_fingerling
3) fish_inputdif_gear
4) fish_inputdif_ice
5) fish_inputdif_fuel
6) fish_inputdif_repairs
7) fish_inputdif_labour
8) fish_inputdif_other 
9)fish_inputdif_dk
10) fish_inputdif_ref</t>
        </is>
      </c>
      <c r="D160" s="428"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0" s="20">
        <f>LEN(D160)</f>
        <v/>
      </c>
      <c r="F160" s="21" t="inlineStr">
        <is>
          <t xml:space="preserve">Open Ended - Select All That Apply </t>
        </is>
      </c>
      <c r="G160" s="20" t="inlineStr">
        <is>
          <t>NA</t>
        </is>
      </c>
      <c r="H160" s="20" t="inlineStr">
        <is>
          <t>Send if "fish_proddif_2" "Contains" "Access to other fishing or culture inputs [prices higher or not available]" if not satisfied go to "fish_salesmain"</t>
        </is>
      </c>
      <c r="I160" s="20" t="inlineStr">
        <is>
          <t>Form Type - Checklist
9,10= IsNone</t>
        </is>
      </c>
      <c r="J160" s="31" t="inlineStr">
        <is>
          <t>1-10 = [fish_salesmain]</t>
        </is>
      </c>
      <c r="K160" s="84" t="inlineStr">
        <is>
          <t>1)fish_inputdif_bait_feed
2)fish_inputdif_fingerling
3)fish_inputdif_gear
4)fish_inputdif_ice
5)fish_inputdif_fuel
6)fish_inputdif_repairs
7)fish_inputdif_labour
8)fish_inputdif_other 
9)fish_inputdif_dk
10)fish_inputdif_ref</t>
        </is>
      </c>
      <c r="L160" s="31" t="inlineStr">
        <is>
          <t>Asked only to respondents that answered fish_proddif_2 = 4.
if fish_inputdif = 1-10, go to fish_salesmain</t>
        </is>
      </c>
      <c r="M160" s="31" t="n"/>
      <c r="N160" s="435" t="n"/>
      <c r="O160" s="392">
        <f>'Additional information'!$D$19</f>
        <v/>
      </c>
      <c r="P160" s="186" t="n"/>
      <c r="R160" s="194" t="inlineStr">
        <is>
          <t>no</t>
        </is>
      </c>
      <c r="S160" s="193" t="n"/>
      <c r="V160" s="552" t="n">
        <v>19.20000076293945</v>
      </c>
      <c r="W160" s="552">
        <f>IF(V160="","",V160*O160)</f>
        <v/>
      </c>
      <c r="X160" s="186">
        <f>IF(R160="yes",W160,"")</f>
        <v/>
      </c>
    </row>
    <row r="161" ht="17" customFormat="1" customHeight="1" s="192" thickBot="1">
      <c r="A161" s="102" t="n"/>
      <c r="B161" s="309" t="n"/>
      <c r="C161" s="103" t="n"/>
      <c r="D161" s="218" t="n"/>
      <c r="E161" s="109" t="n"/>
      <c r="F161" s="112" t="n"/>
      <c r="G161" s="109" t="n"/>
      <c r="H161" s="109" t="n"/>
      <c r="I161" s="109" t="n"/>
      <c r="J161" s="90" t="n"/>
      <c r="K161" s="95" t="n"/>
      <c r="L161" s="90" t="n"/>
      <c r="M161" s="90" t="n"/>
      <c r="N161" s="52" t="n"/>
      <c r="O161" s="392">
        <f>'Additional information'!$D$19</f>
        <v/>
      </c>
      <c r="P161" s="186" t="n"/>
      <c r="R161" s="194" t="n"/>
      <c r="S161" s="193" t="n"/>
      <c r="V161" s="552" t="n"/>
      <c r="W161" s="552">
        <f>IF(V161="","",V161*O161)</f>
        <v/>
      </c>
      <c r="X161" s="186">
        <f>IF(R161="yes",W161,"")</f>
        <v/>
      </c>
    </row>
    <row r="162" ht="17" customFormat="1" customHeight="1" s="464" thickBot="1">
      <c r="A162" s="548" t="inlineStr">
        <is>
          <t>F. FISHERIES MARKETING</t>
        </is>
      </c>
      <c r="B162" s="549" t="n"/>
      <c r="C162" s="549" t="n"/>
      <c r="D162" s="549" t="n"/>
      <c r="E162" s="549" t="n"/>
      <c r="F162" s="549" t="n"/>
      <c r="G162" s="549" t="n"/>
      <c r="H162" s="549" t="n"/>
      <c r="I162" s="549" t="n"/>
      <c r="J162" s="549" t="n"/>
      <c r="K162" s="549" t="n"/>
      <c r="L162" s="549" t="n"/>
      <c r="M162" s="549" t="n"/>
      <c r="N162" s="550" t="n"/>
      <c r="O162" s="318" t="n"/>
      <c r="P162" s="469" t="n"/>
      <c r="R162" s="467" t="n"/>
      <c r="S162" s="470" t="n"/>
      <c r="V162" s="551" t="n"/>
      <c r="W162" s="551">
        <f>IF(V162="","",V162*O162)</f>
        <v/>
      </c>
      <c r="X162" s="469">
        <f>IF(R162="yes",W162,"")</f>
        <v/>
      </c>
    </row>
    <row r="163" ht="204" customFormat="1" customHeight="1" s="192">
      <c r="A163" s="102">
        <f>A160+1</f>
        <v/>
      </c>
      <c r="B163" s="281" t="inlineStr">
        <is>
          <t>fish_salesmain</t>
        </is>
      </c>
      <c r="C163" s="191" t="inlineStr">
        <is>
          <t>fish_salesmain</t>
        </is>
      </c>
      <c r="D163" s="493"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3" s="189">
        <f>LEN(D163)</f>
        <v/>
      </c>
      <c r="F163" s="199" t="inlineStr">
        <is>
          <t>Open Ended - Single Choice</t>
        </is>
      </c>
      <c r="G163" s="189" t="inlineStr">
        <is>
          <t>NA</t>
        </is>
      </c>
      <c r="H163" s="494" t="inlineStr">
        <is>
          <t>Send if "income_main" "Equals" "Production and sale of fish or aquatic products" Or "income_sec" "Equals" "Production and sale of fish or aquatic products" Or "income_third" "Equals" "Production and sale of fish or aquatic products" if not satisfied go to "fies"</t>
        </is>
      </c>
      <c r="I163" s="189" t="inlineStr">
        <is>
          <t>Form Type - RadioList
IsDemographic</t>
        </is>
      </c>
      <c r="J163" s="214" t="inlineStr">
        <is>
          <t>1-5 = fish_salesdif
6-7 = fies</t>
        </is>
      </c>
      <c r="K163" s="266" t="inlineStr">
        <is>
          <t>NA</t>
        </is>
      </c>
      <c r="L163" s="495" t="inlineStr">
        <is>
          <t>If either income_main or income_sec or income_third = "Production and sale of fish or aquatic products", then this section will be asked to respondents.
Otherwise, skip to fies.
if fish_salesmain = 1-5, go to fish_salesdif
if fish_salesmain = 6-7, go to fies</t>
        </is>
      </c>
      <c r="M163" s="96" t="n"/>
      <c r="N163" s="9" t="n"/>
      <c r="O163" s="318">
        <f>'Additional information'!$D$19</f>
        <v/>
      </c>
      <c r="P163" s="186" t="n"/>
      <c r="R163" s="467" t="inlineStr">
        <is>
          <t>yes</t>
        </is>
      </c>
      <c r="S163" s="193" t="n"/>
      <c r="V163" s="551" t="n">
        <v>9.275494575500488</v>
      </c>
      <c r="W163" s="551">
        <f>IF(V163="","",V163*O163)</f>
        <v/>
      </c>
      <c r="X163" s="186">
        <f>IF(R163="yes",W163,"")</f>
        <v/>
      </c>
    </row>
    <row r="164" customFormat="1" s="192">
      <c r="A164" s="102" t="n"/>
      <c r="B164" s="309" t="n"/>
      <c r="C164" s="103" t="n"/>
      <c r="D164" s="111" t="n"/>
      <c r="E164" s="109" t="n"/>
      <c r="F164" s="112" t="n"/>
      <c r="G164" s="109" t="n"/>
      <c r="H164" s="109" t="n"/>
      <c r="I164" s="109" t="n"/>
      <c r="J164" s="94" t="n"/>
      <c r="K164" s="83" t="n"/>
      <c r="L164" s="91" t="n"/>
      <c r="M164" s="91" t="n"/>
      <c r="N164" s="52" t="n"/>
      <c r="O164" s="392">
        <f>'Additional information'!$D$19</f>
        <v/>
      </c>
      <c r="P164" s="186" t="n"/>
      <c r="R164" s="194" t="n"/>
      <c r="S164" s="193" t="n"/>
      <c r="V164" s="552" t="n"/>
      <c r="W164" s="552">
        <f>IF(V164="","",V164*O164)</f>
        <v/>
      </c>
      <c r="X164" s="186">
        <f>IF(R164="yes",W164,"")</f>
        <v/>
      </c>
    </row>
    <row r="165" ht="153" customFormat="1" customHeight="1" s="192">
      <c r="A165" s="46">
        <f>A163+1</f>
        <v/>
      </c>
      <c r="B165" s="213" t="inlineStr">
        <is>
          <t>fish_salesdif</t>
        </is>
      </c>
      <c r="C165" s="197" t="inlineStr">
        <is>
          <t>fish_salesdif</t>
        </is>
      </c>
      <c r="D165" s="448" t="inlineStr">
        <is>
          <t>Has your household faced any significant difficulty marketing / selling your {fish_salesmain} in the last 3 months?
[OPERATOR: SINGLE RESPONSE]
1)YES
2)NO
3)DON'T KNOW
4)REFUSED</t>
        </is>
      </c>
      <c r="E165" s="197">
        <f>LEN(D165)</f>
        <v/>
      </c>
      <c r="F165" s="206" t="inlineStr">
        <is>
          <t>Single Choice</t>
        </is>
      </c>
      <c r="G165" s="197" t="inlineStr">
        <is>
          <t>NA</t>
        </is>
      </c>
      <c r="H165" s="197" t="inlineStr">
        <is>
          <t>NA</t>
        </is>
      </c>
      <c r="I165" s="197" t="inlineStr">
        <is>
          <t>Form Type - Buttons</t>
        </is>
      </c>
      <c r="J165" s="196" t="inlineStr">
        <is>
          <t>1 = fish_salesdif_2
2-4 = fish_salesprice</t>
        </is>
      </c>
      <c r="K165" s="266" t="inlineStr">
        <is>
          <t>NA</t>
        </is>
      </c>
      <c r="L165" s="457" t="inlineStr">
        <is>
          <t>if fish_salesdif = 1, go to fish_salesdif_2 ;
if fish_salesdif = 2-4, go to fish_salesprice</t>
        </is>
      </c>
      <c r="M165" s="97" t="n"/>
      <c r="N165" s="10" t="n"/>
      <c r="O165" s="318">
        <f>'Additional information'!$D$19</f>
        <v/>
      </c>
      <c r="P165" s="186" t="n"/>
      <c r="R165" s="467" t="inlineStr">
        <is>
          <t>yes</t>
        </is>
      </c>
      <c r="S165" s="193" t="n"/>
      <c r="V165" s="551" t="n">
        <v>6.415841579437256</v>
      </c>
      <c r="W165" s="551">
        <f>IF(V165="","",V165*O165)</f>
        <v/>
      </c>
      <c r="X165" s="186">
        <f>IF(R165="yes",W165,"")</f>
        <v/>
      </c>
    </row>
    <row r="166" ht="306" customFormat="1" customHeight="1" s="192">
      <c r="A166" s="46">
        <f>A165+1</f>
        <v/>
      </c>
      <c r="B166" s="231" t="inlineStr">
        <is>
          <t>fish_salesdif_2</t>
        </is>
      </c>
      <c r="C166" s="191" t="inlineStr">
        <is>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is>
      </c>
      <c r="D166" s="448"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6" s="197">
        <f>LEN(D166)</f>
        <v/>
      </c>
      <c r="F166" s="191" t="inlineStr">
        <is>
          <t xml:space="preserve">Select All That Apply </t>
        </is>
      </c>
      <c r="G166" s="197" t="inlineStr">
        <is>
          <t>NA</t>
        </is>
      </c>
      <c r="H166" s="197" t="inlineStr">
        <is>
          <t>NA</t>
        </is>
      </c>
      <c r="I166" s="197" t="inlineStr">
        <is>
          <t>Form Type - Checklist
9,10 = IsNone</t>
        </is>
      </c>
      <c r="J166" s="196" t="inlineStr">
        <is>
          <t>1-10 = fish_salesprice</t>
        </is>
      </c>
      <c r="K166" s="266" t="inlineStr">
        <is>
          <t>1)fish_saledif_marketing_cost
2)fish_saledif_damage_losses
3)fish_saledif_low_demand
4)fish_saledif_pay_delay
5)fish_saledif_low_prices
6)fish_saledif_processing
7)fish_saledif_competition
8)fish_saledif_other
9)fish_saledif_dk
10)fish_saledif_ref</t>
        </is>
      </c>
      <c r="L166" s="445" t="inlineStr">
        <is>
          <t>if fish_salesdif = 1-10, go to fish_salesprice</t>
        </is>
      </c>
      <c r="M166" s="98" t="n"/>
      <c r="N166" s="10" t="n"/>
      <c r="O166" s="318">
        <f>'Additional information'!$D$19</f>
        <v/>
      </c>
      <c r="P166" s="186" t="n"/>
      <c r="R166" s="467" t="inlineStr">
        <is>
          <t>yes</t>
        </is>
      </c>
      <c r="S166" s="193" t="n"/>
      <c r="V166" s="551" t="n">
        <v>20.53435134887695</v>
      </c>
      <c r="W166" s="551">
        <f>IF(V166="","",V166*O166)</f>
        <v/>
      </c>
      <c r="X166" s="186">
        <f>IF(R166="yes",W166,"")</f>
        <v/>
      </c>
    </row>
    <row r="167" customFormat="1" s="192">
      <c r="A167" s="116" t="n"/>
      <c r="B167" s="310" t="n"/>
      <c r="C167" s="49" t="n"/>
      <c r="D167" s="504" t="n"/>
      <c r="E167" s="106" t="n"/>
      <c r="F167" s="117" t="n"/>
      <c r="G167" s="106" t="n"/>
      <c r="H167" s="106" t="n"/>
      <c r="I167" s="106" t="n"/>
      <c r="J167" s="98" t="n"/>
      <c r="K167" s="83" t="n"/>
      <c r="L167" s="98" t="n"/>
      <c r="M167" s="98" t="n"/>
      <c r="N167" s="25" t="n"/>
      <c r="O167" s="392">
        <f>'Additional information'!$D$19</f>
        <v/>
      </c>
      <c r="P167" s="186" t="n"/>
      <c r="R167" s="194" t="n"/>
      <c r="S167" s="193" t="n"/>
      <c r="V167" s="552" t="n"/>
      <c r="W167" s="552">
        <f>IF(V167="","",V167*O167)</f>
        <v/>
      </c>
      <c r="X167" s="186">
        <f>IF(R167="yes",W167,"")</f>
        <v/>
      </c>
    </row>
    <row r="168" ht="204" customFormat="1" customHeight="1" s="192">
      <c r="A168" s="116">
        <f>A166+1</f>
        <v/>
      </c>
      <c r="B168" s="283" t="inlineStr">
        <is>
          <t>fish_salesprice</t>
        </is>
      </c>
      <c r="C168" s="198" t="inlineStr">
        <is>
          <t>fish_salesprice</t>
        </is>
      </c>
      <c r="D168" s="458" t="inlineStr">
        <is>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is>
      </c>
      <c r="E168" s="180">
        <f>LEN(D168)</f>
        <v/>
      </c>
      <c r="F168" s="444" t="inlineStr">
        <is>
          <t>Single Choice</t>
        </is>
      </c>
      <c r="G168" s="180" t="inlineStr">
        <is>
          <t>NA</t>
        </is>
      </c>
      <c r="H168" s="180" t="inlineStr">
        <is>
          <t>NA</t>
        </is>
      </c>
      <c r="I168" s="180" t="inlineStr">
        <is>
          <t>Form Type - Buttons</t>
        </is>
      </c>
      <c r="J168" s="445" t="inlineStr">
        <is>
          <t>1-7 = fies</t>
        </is>
      </c>
      <c r="K168" s="266" t="inlineStr">
        <is>
          <t>NA</t>
        </is>
      </c>
      <c r="L168" s="445" t="inlineStr">
        <is>
          <t>if fish_salesprice = 1-7, go to fies</t>
        </is>
      </c>
      <c r="M168" s="98" t="n"/>
      <c r="N168" s="10" t="n"/>
      <c r="O168" s="318">
        <f>'Additional information'!$D$19</f>
        <v/>
      </c>
      <c r="P168" s="186" t="n"/>
      <c r="R168" s="467" t="inlineStr">
        <is>
          <t>yes</t>
        </is>
      </c>
      <c r="S168" s="193" t="n"/>
      <c r="V168" s="551" t="n">
        <v>8.306930541992188</v>
      </c>
      <c r="W168" s="551">
        <f>IF(V168="","",V168*O168)</f>
        <v/>
      </c>
      <c r="X168" s="186">
        <f>IF(R168="yes",W168,"")</f>
        <v/>
      </c>
    </row>
    <row r="169" ht="17" customFormat="1" customHeight="1" s="192" thickBot="1">
      <c r="A169" s="116" t="n"/>
      <c r="B169" s="310" t="n"/>
      <c r="C169" s="118" t="n"/>
      <c r="D169" s="504" t="n"/>
      <c r="E169" s="106" t="n"/>
      <c r="F169" s="117" t="n"/>
      <c r="G169" s="106" t="n"/>
      <c r="H169" s="106" t="n"/>
      <c r="I169" s="106" t="n"/>
      <c r="J169" s="98" t="n"/>
      <c r="K169" s="98" t="n"/>
      <c r="L169" s="98" t="n"/>
      <c r="M169" s="98" t="n"/>
      <c r="N169" s="75" t="n"/>
      <c r="O169" s="392">
        <f>'Additional information'!$D$19</f>
        <v/>
      </c>
      <c r="P169" s="186" t="n"/>
      <c r="R169" s="194" t="n"/>
      <c r="S169" s="193" t="n"/>
      <c r="V169" s="552" t="n"/>
      <c r="W169" s="552">
        <f>IF(V169="","",V169*O169)</f>
        <v/>
      </c>
      <c r="X169" s="186">
        <f>IF(R169="yes",W169,"")</f>
        <v/>
      </c>
    </row>
    <row r="170" ht="17" customFormat="1" customHeight="1" s="464" thickBot="1">
      <c r="A170" s="548" t="inlineStr">
        <is>
          <t>G. FOOD SECURITY AND CONSUMPTION</t>
        </is>
      </c>
      <c r="B170" s="549" t="n"/>
      <c r="C170" s="549" t="n"/>
      <c r="D170" s="549" t="n"/>
      <c r="E170" s="549" t="n"/>
      <c r="F170" s="549" t="n"/>
      <c r="G170" s="549" t="n"/>
      <c r="H170" s="549" t="n"/>
      <c r="I170" s="549" t="n"/>
      <c r="J170" s="549" t="n"/>
      <c r="K170" s="549" t="n"/>
      <c r="L170" s="549" t="n"/>
      <c r="M170" s="549" t="n"/>
      <c r="N170" s="550" t="n"/>
      <c r="O170" s="318" t="n"/>
      <c r="P170" s="469" t="n"/>
      <c r="R170" s="467" t="n"/>
      <c r="S170" s="470" t="n"/>
      <c r="V170" s="551" t="n"/>
      <c r="W170" s="551">
        <f>IF(V170="","",V170*O170)</f>
        <v/>
      </c>
      <c r="X170" s="469">
        <f>IF(R170="yes",W170,"")</f>
        <v/>
      </c>
    </row>
    <row r="171" ht="136" customFormat="1" customHeight="1" s="192">
      <c r="A171" s="102">
        <f>A168+1</f>
        <v/>
      </c>
      <c r="B171" s="281" t="inlineStr">
        <is>
          <t>fies_intro</t>
        </is>
      </c>
      <c r="C171" s="292" t="inlineStr">
        <is>
          <t>fies_intro</t>
        </is>
      </c>
      <c r="D171" s="190"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1" s="189">
        <f>LEN(D171)</f>
        <v/>
      </c>
      <c r="F171" s="199" t="inlineStr">
        <is>
          <t>Single Choice</t>
        </is>
      </c>
      <c r="G171" s="189" t="inlineStr">
        <is>
          <t>NA</t>
        </is>
      </c>
      <c r="H171" s="189" t="inlineStr">
        <is>
          <t>NA</t>
        </is>
      </c>
      <c r="I171" s="189" t="inlineStr">
        <is>
          <t>Form Type - Buttons</t>
        </is>
      </c>
      <c r="J171" s="188" t="inlineStr">
        <is>
          <t>1 = fies_worried</t>
        </is>
      </c>
      <c r="K171" s="266" t="inlineStr">
        <is>
          <t>NA</t>
        </is>
      </c>
      <c r="L171" s="188" t="inlineStr">
        <is>
          <t>if fies = 1, go to fies_worried</t>
        </is>
      </c>
      <c r="M171" s="90" t="n"/>
      <c r="N171" s="429" t="inlineStr">
        <is>
          <t>Check if the ESS team has an official translation.</t>
        </is>
      </c>
      <c r="O171" s="318" t="n">
        <v>1</v>
      </c>
      <c r="P171" s="186" t="n"/>
      <c r="R171" s="467" t="inlineStr">
        <is>
          <t>yes</t>
        </is>
      </c>
      <c r="S171" s="193" t="n"/>
      <c r="V171" s="551" t="n">
        <v>8.088166236877441</v>
      </c>
      <c r="W171" s="551">
        <f>IF(V171="","",V171*O171)</f>
        <v/>
      </c>
      <c r="X171" s="186">
        <f>IF(R171="yes",W171,"")</f>
        <v/>
      </c>
    </row>
    <row r="172" ht="170" customFormat="1" customHeight="1" s="192">
      <c r="A172" s="46">
        <f>A171+1</f>
        <v/>
      </c>
      <c r="B172" s="231" t="inlineStr">
        <is>
          <t>fies_worried</t>
        </is>
      </c>
      <c r="C172" s="191" t="inlineStr">
        <is>
          <t>fies_worried</t>
        </is>
      </c>
      <c r="D172" s="211" t="inlineStr">
        <is>
          <t>During the last 30 days, was there a time when you or others in your household were worried about not having enough food to eat because of lack of money or other resources?
[OPERATOR: SINGLE RESPONSE]
1)YES
2)NO
3)DON'T KNOW
4)REFUSED</t>
        </is>
      </c>
      <c r="E172" s="197">
        <f>LEN(D172)</f>
        <v/>
      </c>
      <c r="F172" s="206" t="inlineStr">
        <is>
          <t>Single Choice</t>
        </is>
      </c>
      <c r="G172" s="197" t="inlineStr">
        <is>
          <t>NA</t>
        </is>
      </c>
      <c r="H172" s="197" t="inlineStr">
        <is>
          <t>NA</t>
        </is>
      </c>
      <c r="I172" s="197" t="inlineStr">
        <is>
          <t>Form Type - Buttons</t>
        </is>
      </c>
      <c r="J172" s="196" t="inlineStr">
        <is>
          <t>1-4 = fies_healthy</t>
        </is>
      </c>
      <c r="K172" s="266" t="inlineStr">
        <is>
          <t>NA</t>
        </is>
      </c>
      <c r="L172" s="208" t="inlineStr">
        <is>
          <t>if fies_worried = 1-4, go to fies_healthy</t>
        </is>
      </c>
      <c r="M172" s="99" t="n"/>
      <c r="N172" s="10" t="n"/>
      <c r="O172" s="318" t="n">
        <v>1</v>
      </c>
      <c r="P172" s="186" t="n"/>
      <c r="R172" s="467" t="inlineStr">
        <is>
          <t>yes</t>
        </is>
      </c>
      <c r="S172" s="193" t="n"/>
      <c r="V172" s="551" t="n">
        <v>20.22456741333008</v>
      </c>
      <c r="W172" s="551">
        <f>IF(V172="","",V172*O172)</f>
        <v/>
      </c>
      <c r="X172" s="186">
        <f>IF(R172="yes",W172,"")</f>
        <v/>
      </c>
    </row>
    <row r="173" ht="170" customFormat="1" customHeight="1" s="192">
      <c r="A173" s="46">
        <f>A172+1</f>
        <v/>
      </c>
      <c r="B173" s="231" t="inlineStr">
        <is>
          <t>fies_healthy</t>
        </is>
      </c>
      <c r="C173" s="191" t="inlineStr">
        <is>
          <t>fies_healthy</t>
        </is>
      </c>
      <c r="D173" s="211" t="inlineStr">
        <is>
          <t>During the last 30 days, was there a time when you or others in your household were unable to eat healthy and nutritious food because of lack of money or other resources?
[OPERATOR: SINGLE RESPONSE]
1)YES
2)NO
3)DON'T KNOW
4)REFUSED</t>
        </is>
      </c>
      <c r="E173" s="197">
        <f>LEN(D173)</f>
        <v/>
      </c>
      <c r="F173" s="206" t="inlineStr">
        <is>
          <t>Single Choice</t>
        </is>
      </c>
      <c r="G173" s="197" t="inlineStr">
        <is>
          <t>NA</t>
        </is>
      </c>
      <c r="H173" s="197" t="inlineStr">
        <is>
          <t>NA</t>
        </is>
      </c>
      <c r="I173" s="197" t="inlineStr">
        <is>
          <t>Form Type - Buttons</t>
        </is>
      </c>
      <c r="J173" s="196" t="inlineStr">
        <is>
          <t>1-4 = fies_fewfoods</t>
        </is>
      </c>
      <c r="K173" s="266" t="inlineStr">
        <is>
          <t>NA</t>
        </is>
      </c>
      <c r="L173" s="208" t="inlineStr">
        <is>
          <t>if fies_healthy = 1-4, go to fies_fewfoods</t>
        </is>
      </c>
      <c r="M173" s="99" t="n"/>
      <c r="N173" s="10" t="n"/>
      <c r="O173" s="318" t="n">
        <v>1</v>
      </c>
      <c r="P173" s="186" t="n"/>
      <c r="R173" s="467" t="inlineStr">
        <is>
          <t>yes</t>
        </is>
      </c>
      <c r="S173" s="193" t="n"/>
      <c r="V173" s="551" t="n">
        <v>14.02606105804443</v>
      </c>
      <c r="W173" s="551">
        <f>IF(V173="","",V173*O173)</f>
        <v/>
      </c>
      <c r="X173" s="186">
        <f>IF(R173="yes",W173,"")</f>
        <v/>
      </c>
    </row>
    <row r="174" ht="153" customFormat="1" customHeight="1" s="192">
      <c r="A174" s="46">
        <f>A173+1</f>
        <v/>
      </c>
      <c r="B174" s="231" t="inlineStr">
        <is>
          <t>fies_fewfoods</t>
        </is>
      </c>
      <c r="C174" s="191" t="inlineStr">
        <is>
          <t>fies_fewfoods</t>
        </is>
      </c>
      <c r="D174" s="211" t="inlineStr">
        <is>
          <t>During the last 30 days, was there a time when you or others in your household ate only a few kinds of foods because of lack of money or other resources?
[OPERATOR: SINGLE RESPONSE]
1)YES
2)NO
3)DON'T KNOW
4)REFUSED</t>
        </is>
      </c>
      <c r="E174" s="197">
        <f>LEN(D174)</f>
        <v/>
      </c>
      <c r="F174" s="206" t="inlineStr">
        <is>
          <t>Single Choice</t>
        </is>
      </c>
      <c r="G174" s="197" t="inlineStr">
        <is>
          <t>NA</t>
        </is>
      </c>
      <c r="H174" s="197" t="inlineStr">
        <is>
          <t>NA</t>
        </is>
      </c>
      <c r="I174" s="197" t="inlineStr">
        <is>
          <t>Form Type - Buttons</t>
        </is>
      </c>
      <c r="J174" s="196" t="inlineStr">
        <is>
          <t>1-4 = fies_skipped</t>
        </is>
      </c>
      <c r="K174" s="266" t="inlineStr">
        <is>
          <t>NA</t>
        </is>
      </c>
      <c r="L174" s="208" t="inlineStr">
        <is>
          <t>if fies_fewfoods = 1-4, go to fies_skipped</t>
        </is>
      </c>
      <c r="M174" s="99" t="n"/>
      <c r="N174" s="10" t="n"/>
      <c r="O174" s="318" t="n">
        <v>1</v>
      </c>
      <c r="P174" s="186" t="n"/>
      <c r="R174" s="467" t="inlineStr">
        <is>
          <t>yes</t>
        </is>
      </c>
      <c r="S174" s="193" t="n"/>
      <c r="V174" s="551" t="n">
        <v>11.55850505828857</v>
      </c>
      <c r="W174" s="551">
        <f>IF(V174="","",V174*O174)</f>
        <v/>
      </c>
      <c r="X174" s="186">
        <f>IF(R174="yes",W174,"")</f>
        <v/>
      </c>
    </row>
    <row r="175" ht="153" customFormat="1" customHeight="1" s="192">
      <c r="A175" s="46">
        <f>A174+1</f>
        <v/>
      </c>
      <c r="B175" s="231" t="inlineStr">
        <is>
          <t>fies_skipped</t>
        </is>
      </c>
      <c r="C175" s="191" t="inlineStr">
        <is>
          <t>fies_skipped</t>
        </is>
      </c>
      <c r="D175" s="211" t="inlineStr">
        <is>
          <t>During the last 30 days, was there a time when you or others in your household had to skip a meal because of lack of money or other resources to get food?
[OPERATOR: SINGLE RESPONSE]
1)YES
2)NO
3)DON'T KNOW
4)REFUSED</t>
        </is>
      </c>
      <c r="E175" s="197">
        <f>LEN(D175)</f>
        <v/>
      </c>
      <c r="F175" s="206" t="inlineStr">
        <is>
          <t>Single Choice</t>
        </is>
      </c>
      <c r="G175" s="197" t="inlineStr">
        <is>
          <t>NA</t>
        </is>
      </c>
      <c r="H175" s="197" t="inlineStr">
        <is>
          <t>NA</t>
        </is>
      </c>
      <c r="I175" s="197" t="inlineStr">
        <is>
          <t>Form Type - Buttons</t>
        </is>
      </c>
      <c r="J175" s="196" t="inlineStr">
        <is>
          <t>1-4 = fies_ateless</t>
        </is>
      </c>
      <c r="K175" s="266" t="inlineStr">
        <is>
          <t>NA</t>
        </is>
      </c>
      <c r="L175" s="196" t="inlineStr">
        <is>
          <t>if fies_skipped = 1-4, go to fies_ateless</t>
        </is>
      </c>
      <c r="M175" s="88" t="n"/>
      <c r="N175" s="10" t="n"/>
      <c r="O175" s="318" t="n">
        <v>1</v>
      </c>
      <c r="P175" s="186" t="n"/>
      <c r="R175" s="467" t="inlineStr">
        <is>
          <t>yes</t>
        </is>
      </c>
      <c r="S175" s="193" t="n"/>
      <c r="V175" s="551" t="n">
        <v>11.37925720214844</v>
      </c>
      <c r="W175" s="551">
        <f>IF(V175="","",V175*O175)</f>
        <v/>
      </c>
      <c r="X175" s="186">
        <f>IF(R175="yes",W175,"")</f>
        <v/>
      </c>
    </row>
    <row r="176" ht="153" customFormat="1" customHeight="1" s="192">
      <c r="A176" s="46">
        <f>A175+1</f>
        <v/>
      </c>
      <c r="B176" s="231" t="inlineStr">
        <is>
          <t>fies_ateless</t>
        </is>
      </c>
      <c r="C176" s="191" t="inlineStr">
        <is>
          <t>fies_ateless</t>
        </is>
      </c>
      <c r="D176" s="211" t="inlineStr">
        <is>
          <t>During the last 30 days, was there a time when you or others in your household ate less than you thought you should because of lack of money or other resources?
[OPERATOR: SINGLE RESPONSE]
1)YES
2)NO
3)DON'T KNOW
4)REFUSED</t>
        </is>
      </c>
      <c r="E176" s="197">
        <f>LEN(D176)</f>
        <v/>
      </c>
      <c r="F176" s="206" t="inlineStr">
        <is>
          <t>Single Choice</t>
        </is>
      </c>
      <c r="G176" s="197" t="inlineStr">
        <is>
          <t>NA</t>
        </is>
      </c>
      <c r="H176" s="197" t="inlineStr">
        <is>
          <t>NA</t>
        </is>
      </c>
      <c r="I176" s="197" t="inlineStr">
        <is>
          <t>Form Type - Buttons</t>
        </is>
      </c>
      <c r="J176" s="196" t="inlineStr">
        <is>
          <t>1-4 = fies_ranout</t>
        </is>
      </c>
      <c r="K176" s="266" t="inlineStr">
        <is>
          <t>NA</t>
        </is>
      </c>
      <c r="L176" s="196" t="inlineStr">
        <is>
          <t>if fies_ateless = 1-4, go to fies_ranout</t>
        </is>
      </c>
      <c r="M176" s="88" t="n"/>
      <c r="N176" s="10" t="n"/>
      <c r="O176" s="318" t="n">
        <v>1</v>
      </c>
      <c r="P176" s="186" t="n"/>
      <c r="R176" s="467" t="inlineStr">
        <is>
          <t>yes</t>
        </is>
      </c>
      <c r="S176" s="193" t="n"/>
      <c r="V176" s="551" t="n">
        <v>10.44321727752686</v>
      </c>
      <c r="W176" s="551">
        <f>IF(V176="","",V176*O176)</f>
        <v/>
      </c>
      <c r="X176" s="186">
        <f>IF(R176="yes",W176,"")</f>
        <v/>
      </c>
    </row>
    <row r="177" ht="146" customFormat="1" customHeight="1" s="192">
      <c r="A177" s="46">
        <f>A176+1</f>
        <v/>
      </c>
      <c r="B177" s="231" t="inlineStr">
        <is>
          <t>fies_ranout</t>
        </is>
      </c>
      <c r="C177" s="230" t="inlineStr">
        <is>
          <t>fies_ranout</t>
        </is>
      </c>
      <c r="D177" s="210" t="inlineStr">
        <is>
          <t>In the past 30 days, was there ever no food to eat of any kind in your house because of lack of resources to get food?
[OPERATOR: SINGLE RESPONSE]
1)YES
2)NO
3)DON'T KNOW
4)REFUSED</t>
        </is>
      </c>
      <c r="E177" s="197">
        <f>LEN(D177)</f>
        <v/>
      </c>
      <c r="F177" s="206" t="inlineStr">
        <is>
          <t>Single Choice</t>
        </is>
      </c>
      <c r="G177" s="197" t="inlineStr">
        <is>
          <t>NA</t>
        </is>
      </c>
      <c r="H177" s="197" t="inlineStr">
        <is>
          <t>NA</t>
        </is>
      </c>
      <c r="I177" s="197" t="inlineStr">
        <is>
          <t>Form Type - Buttons</t>
        </is>
      </c>
      <c r="J177" s="196" t="inlineStr">
        <is>
          <t>1=fies_ranout_hhs
2-4 = fies_hungry</t>
        </is>
      </c>
      <c r="K177" s="266" t="inlineStr">
        <is>
          <t>NA</t>
        </is>
      </c>
      <c r="L177" s="208" t="inlineStr">
        <is>
          <t>if fies_ranout = 1, go to fies_ranout_hhs. Otherwise, go to fies_hungry</t>
        </is>
      </c>
      <c r="M177" s="99" t="n"/>
      <c r="N177" s="10" t="n"/>
      <c r="O177" s="318" t="n">
        <v>1</v>
      </c>
      <c r="P177" s="186" t="n"/>
      <c r="R177" s="467" t="inlineStr">
        <is>
          <t>yes</t>
        </is>
      </c>
      <c r="S177" s="193" t="n"/>
      <c r="V177" s="551" t="n">
        <v>10.73201084136963</v>
      </c>
      <c r="W177" s="551">
        <f>IF(V177="","",V177*O177)</f>
        <v/>
      </c>
      <c r="X177" s="186">
        <f>IF(R177="yes",W177,"")</f>
        <v/>
      </c>
    </row>
    <row r="178" ht="147" customFormat="1" customHeight="1" s="387">
      <c r="A178" s="46">
        <f>A177+1</f>
        <v/>
      </c>
      <c r="B178" s="231" t="inlineStr">
        <is>
          <t>fies_ranout_hhs</t>
        </is>
      </c>
      <c r="C178" s="230" t="inlineStr">
        <is>
          <t>fies_ranout_hhs</t>
        </is>
      </c>
      <c r="D178" s="209" t="inlineStr">
        <is>
          <t>How often did this happen?
[OPERATOR: SINGLE RESPONSE]
1)Rarely [1-2 times in the past 30 days]
2)Sometimes [3-10 times in the past 30 days]
3)Often [more than 10 times in the last 30 days]
4)DON'T KNOW
5)REFUSED</t>
        </is>
      </c>
      <c r="E178" s="197">
        <f>LEN(D178)</f>
        <v/>
      </c>
      <c r="F178" s="206" t="inlineStr">
        <is>
          <t>Single Choice</t>
        </is>
      </c>
      <c r="G178" s="197" t="inlineStr">
        <is>
          <t>NA</t>
        </is>
      </c>
      <c r="H178" s="197" t="inlineStr">
        <is>
          <t>NA</t>
        </is>
      </c>
      <c r="I178" s="197" t="inlineStr">
        <is>
          <t>Form Type - Buttons</t>
        </is>
      </c>
      <c r="J178" s="196" t="inlineStr">
        <is>
          <t xml:space="preserve">1-5 = fies_hungry </t>
        </is>
      </c>
      <c r="K178" s="266" t="inlineStr">
        <is>
          <t>NA</t>
        </is>
      </c>
      <c r="L178" s="196" t="inlineStr">
        <is>
          <t>if fies_ranout_hhs = 1-5, go to fies_hungry</t>
        </is>
      </c>
      <c r="M178" s="88" t="n"/>
      <c r="N178" s="10" t="n"/>
      <c r="O178" s="318" t="n">
        <v>1</v>
      </c>
      <c r="P178" s="186" t="n"/>
      <c r="R178" s="467" t="inlineStr">
        <is>
          <t>yes</t>
        </is>
      </c>
      <c r="S178" s="193" t="n"/>
      <c r="V178" s="551" t="n">
        <v>11.58613967895508</v>
      </c>
      <c r="W178" s="551">
        <f>IF(V178="","",V178*O178)</f>
        <v/>
      </c>
      <c r="X178" s="186">
        <f>IF(R178="yes",W178,"")</f>
        <v/>
      </c>
    </row>
    <row r="179" ht="146" customFormat="1" customHeight="1" s="192">
      <c r="A179" s="46">
        <f>A178+1</f>
        <v/>
      </c>
      <c r="B179" s="231" t="inlineStr">
        <is>
          <t>fies_hungry</t>
        </is>
      </c>
      <c r="C179" s="191" t="inlineStr">
        <is>
          <t>fies_hungry</t>
        </is>
      </c>
      <c r="D179" s="210" t="inlineStr">
        <is>
          <t>In the past 30 days, did you or any household member ever go to sleep at night hungry because there was not enough food?
[OPERATOR: SINGLE RESPONSE]
1)YES
2)NO
3)DON'T KNOW
4)REFUSED</t>
        </is>
      </c>
      <c r="E179" s="197">
        <f>LEN(D179)</f>
        <v/>
      </c>
      <c r="F179" s="206" t="inlineStr">
        <is>
          <t>Single Choice</t>
        </is>
      </c>
      <c r="G179" s="197" t="inlineStr">
        <is>
          <t>NA</t>
        </is>
      </c>
      <c r="H179" s="197" t="inlineStr">
        <is>
          <t>NA</t>
        </is>
      </c>
      <c r="I179" s="197" t="inlineStr">
        <is>
          <t>Form Type - Buttons</t>
        </is>
      </c>
      <c r="J179" s="196" t="inlineStr">
        <is>
          <t>1=fies_hungry_hhs
2-4 = fies_whlday</t>
        </is>
      </c>
      <c r="K179" s="266" t="inlineStr">
        <is>
          <t>NA</t>
        </is>
      </c>
      <c r="L179" s="208" t="inlineStr">
        <is>
          <t>if fies_hungry = 1, go to fies_hungry_hhs. Otherwise, go to fies_whlday</t>
        </is>
      </c>
      <c r="M179" s="99" t="n"/>
      <c r="N179" s="10" t="n"/>
      <c r="O179" s="318" t="n">
        <v>1</v>
      </c>
      <c r="P179" s="186" t="n"/>
      <c r="R179" s="467" t="inlineStr">
        <is>
          <t>yes</t>
        </is>
      </c>
      <c r="S179" s="193" t="n"/>
      <c r="V179" s="551" t="n">
        <v>9.75520133972168</v>
      </c>
      <c r="W179" s="551">
        <f>IF(V179="","",V179*O179)</f>
        <v/>
      </c>
      <c r="X179" s="186">
        <f>IF(R179="yes",W179,"")</f>
        <v/>
      </c>
    </row>
    <row r="180" ht="147" customFormat="1" customHeight="1" s="192">
      <c r="A180" s="46">
        <f>A179+1</f>
        <v/>
      </c>
      <c r="B180" s="231" t="inlineStr">
        <is>
          <t>fies_hungry_hhs</t>
        </is>
      </c>
      <c r="C180" s="230" t="inlineStr">
        <is>
          <t>fies_hungry_hhs</t>
        </is>
      </c>
      <c r="D180" s="209" t="inlineStr">
        <is>
          <t>How often did this happen?
[OPERATOR: SINGLE RESPONSE]
1)Rarely [1-2 times in the past 30 days]
2)Sometimes [3-10 times in the past 30 days]
3)Often [more than 10 times in the last 30 days]
4)DON'T KNOW
5)REFUSED</t>
        </is>
      </c>
      <c r="E180" s="197">
        <f>LEN(D180)</f>
        <v/>
      </c>
      <c r="F180" s="206" t="inlineStr">
        <is>
          <t>Single Choice</t>
        </is>
      </c>
      <c r="G180" s="197" t="inlineStr">
        <is>
          <t>NA</t>
        </is>
      </c>
      <c r="H180" s="197" t="inlineStr">
        <is>
          <t>NA</t>
        </is>
      </c>
      <c r="I180" s="197" t="inlineStr">
        <is>
          <t>Form Type - Buttons</t>
        </is>
      </c>
      <c r="J180" s="196" t="inlineStr">
        <is>
          <t>1-5 = fies_whlday</t>
        </is>
      </c>
      <c r="K180" s="266" t="inlineStr">
        <is>
          <t>NA</t>
        </is>
      </c>
      <c r="L180" s="196" t="inlineStr">
        <is>
          <t>if fies_hungry_hhs = 1-5, go to fies_whlday</t>
        </is>
      </c>
      <c r="M180" s="88" t="n"/>
      <c r="N180" s="10" t="n"/>
      <c r="O180" s="318" t="n">
        <v>1</v>
      </c>
      <c r="P180" s="186" t="n"/>
      <c r="R180" s="467" t="inlineStr">
        <is>
          <t>yes</t>
        </is>
      </c>
      <c r="S180" s="193" t="n"/>
      <c r="V180" s="551" t="n">
        <v>7.94479513168335</v>
      </c>
      <c r="W180" s="551">
        <f>IF(V180="","",V180*O180)</f>
        <v/>
      </c>
      <c r="X180" s="186">
        <f>IF(R180="yes",W180,"")</f>
        <v/>
      </c>
    </row>
    <row r="181" ht="146" customFormat="1" customHeight="1" s="192">
      <c r="A181" s="46">
        <f>A180+1</f>
        <v/>
      </c>
      <c r="B181" s="231" t="inlineStr">
        <is>
          <t>fies_whlday</t>
        </is>
      </c>
      <c r="C181" s="191" t="inlineStr">
        <is>
          <t>fies_whlday</t>
        </is>
      </c>
      <c r="D181" s="210" t="inlineStr">
        <is>
          <t>In the past 30 days, did you or any household member ever go a whole day and night without eating anything at all because there was not enough food?
[OPERATOR: SINGLE RESPONSE]
1)YES
2)NO
3)DON'T KNOW
4)REFUSED</t>
        </is>
      </c>
      <c r="E181" s="197">
        <f>LEN(D181)</f>
        <v/>
      </c>
      <c r="F181" s="206" t="inlineStr">
        <is>
          <t>Single Choice</t>
        </is>
      </c>
      <c r="G181" s="197" t="inlineStr">
        <is>
          <t>NA</t>
        </is>
      </c>
      <c r="H181" s="197" t="inlineStr">
        <is>
          <t>NA</t>
        </is>
      </c>
      <c r="I181" s="197" t="inlineStr">
        <is>
          <t>Form Type - Buttons</t>
        </is>
      </c>
      <c r="J181" s="196" t="inlineStr">
        <is>
          <t>1=fies_whlday_hhs
2-4 = [lcsi_intro OR hdds]</t>
        </is>
      </c>
      <c r="K181" s="266" t="inlineStr">
        <is>
          <t>NA</t>
        </is>
      </c>
      <c r="L181" s="208" t="inlineStr">
        <is>
          <t>if fies_whlday = 1, go to fies_whlday_hhs. Otherwise, go to lcsi_intro OR hdds</t>
        </is>
      </c>
      <c r="M181" s="43" t="n"/>
      <c r="N181" s="10" t="n"/>
      <c r="O181" s="318" t="n">
        <v>1</v>
      </c>
      <c r="P181" s="186" t="n"/>
      <c r="R181" s="467" t="inlineStr">
        <is>
          <t>yes</t>
        </is>
      </c>
      <c r="S181" s="193" t="n"/>
      <c r="V181" s="551" t="n">
        <v>7.931224822998047</v>
      </c>
      <c r="W181" s="551">
        <f>IF(V181="","",V181*O181)</f>
        <v/>
      </c>
      <c r="X181" s="186">
        <f>IF(R181="yes",W181,"")</f>
        <v/>
      </c>
    </row>
    <row r="182" ht="147" customFormat="1" customHeight="1" s="192">
      <c r="A182" s="46">
        <f>A181+1</f>
        <v/>
      </c>
      <c r="B182" s="231" t="inlineStr">
        <is>
          <t>fies_whlday_hhs</t>
        </is>
      </c>
      <c r="C182" s="230" t="inlineStr">
        <is>
          <t>fies_whlday_hhs</t>
        </is>
      </c>
      <c r="D182" s="209" t="inlineStr">
        <is>
          <t>How often did this happen?
[OPERATOR: SINGLE RESPONSE]
1)Rarely [1-2 times in the past 30 days]
2)Sometimes [3-10 times in the past 30 days]
3)Often [more than 10 times in the last 30 days]
4)DON'T KNOW
5)REFUSED</t>
        </is>
      </c>
      <c r="E182" s="197">
        <f>LEN(D182)</f>
        <v/>
      </c>
      <c r="F182" s="206" t="inlineStr">
        <is>
          <t>Single Choice</t>
        </is>
      </c>
      <c r="G182" s="197" t="inlineStr">
        <is>
          <t>NA</t>
        </is>
      </c>
      <c r="H182" s="197" t="inlineStr">
        <is>
          <t>NA</t>
        </is>
      </c>
      <c r="I182" s="197" t="inlineStr">
        <is>
          <t>Form Type - Buttons</t>
        </is>
      </c>
      <c r="J182" s="196" t="inlineStr">
        <is>
          <t>1-5 = [lcsi_intro OR hdds]</t>
        </is>
      </c>
      <c r="K182" s="266" t="inlineStr">
        <is>
          <t>NA</t>
        </is>
      </c>
      <c r="L182" s="208" t="inlineStr">
        <is>
          <t>if fies_whlday_hhs = 1-5, go to lcsi_intro OR hdds</t>
        </is>
      </c>
      <c r="M182" s="43" t="n"/>
      <c r="N182" s="10" t="n"/>
      <c r="O182" s="318" t="n">
        <v>1</v>
      </c>
      <c r="P182" s="186" t="n"/>
      <c r="R182" s="467" t="inlineStr">
        <is>
          <t>yes</t>
        </is>
      </c>
      <c r="S182" s="193" t="n"/>
      <c r="V182" s="551" t="n">
        <v>5.339005947113037</v>
      </c>
      <c r="W182" s="551">
        <f>IF(V182="","",V182*O182)</f>
        <v/>
      </c>
      <c r="X182" s="186">
        <f>IF(R182="yes",W182,"")</f>
        <v/>
      </c>
    </row>
    <row r="183" ht="153" customFormat="1" customHeight="1" s="192">
      <c r="A183" s="14">
        <f>A182+1</f>
        <v/>
      </c>
      <c r="B183" s="282" t="inlineStr">
        <is>
          <t>lcsi_intro</t>
        </is>
      </c>
      <c r="C183" s="17" t="inlineStr">
        <is>
          <t>lcsi_intro</t>
        </is>
      </c>
      <c r="D183" s="38" t="inlineStr">
        <is>
          <t>Now I would like to ask you another set of questions on coping strategies, referring to the past 30 days.
[OPERATOR: SINGLE RESPONSE]
1)NEXT</t>
        </is>
      </c>
      <c r="E183" s="20">
        <f>LEN(D183)</f>
        <v/>
      </c>
      <c r="F183" s="36" t="inlineStr">
        <is>
          <t>Single Choice</t>
        </is>
      </c>
      <c r="G183" s="20" t="inlineStr">
        <is>
          <t>NA</t>
        </is>
      </c>
      <c r="H183" s="20" t="inlineStr">
        <is>
          <t>NA</t>
        </is>
      </c>
      <c r="I183" s="20" t="inlineStr">
        <is>
          <t>Form Type - Buttons</t>
        </is>
      </c>
      <c r="J183" s="31" t="inlineStr">
        <is>
          <t>1 = [next question]</t>
        </is>
      </c>
      <c r="K183" s="84" t="inlineStr">
        <is>
          <t>NA</t>
        </is>
      </c>
      <c r="L183" s="394" t="n"/>
      <c r="M183" s="395" t="n"/>
      <c r="N183" s="168"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O183" s="392" t="n">
        <v>1</v>
      </c>
      <c r="P183" s="186" t="n"/>
      <c r="R183" s="194" t="inlineStr">
        <is>
          <t>no</t>
        </is>
      </c>
      <c r="S183" s="193" t="n"/>
      <c r="V183" s="552" t="n">
        <v>3.816555500030518</v>
      </c>
      <c r="W183" s="552">
        <f>IF(V183="","",V183*O183)</f>
        <v/>
      </c>
      <c r="X183" s="186">
        <f>IF(R183="yes",W183,"")</f>
        <v/>
      </c>
    </row>
    <row r="184" ht="204" customFormat="1" customHeight="1" s="192">
      <c r="A184" s="14">
        <f>A183+1</f>
        <v/>
      </c>
      <c r="B184" s="521" t="inlineStr">
        <is>
          <t>cs_stress_hh_assets</t>
        </is>
      </c>
      <c r="C184" s="17" t="inlineStr">
        <is>
          <t xml:space="preserve"> cs_stress_hh_assets</t>
        </is>
      </c>
      <c r="D184" s="2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4" s="20">
        <f>LEN(D184)</f>
        <v/>
      </c>
      <c r="F184" s="36" t="inlineStr">
        <is>
          <t>Single Choice</t>
        </is>
      </c>
      <c r="G184" s="20" t="inlineStr">
        <is>
          <t>NA</t>
        </is>
      </c>
      <c r="H184" s="20" t="inlineStr">
        <is>
          <t>NA</t>
        </is>
      </c>
      <c r="I184" s="20" t="inlineStr">
        <is>
          <t>Form Type - Buttons</t>
        </is>
      </c>
      <c r="J184" s="31" t="inlineStr">
        <is>
          <t>1-6 = [next question]</t>
        </is>
      </c>
      <c r="K184" s="84" t="inlineStr">
        <is>
          <t>NA</t>
        </is>
      </c>
      <c r="L184" s="42" t="n"/>
      <c r="M184" s="42" t="n"/>
      <c r="N184" s="10" t="n"/>
      <c r="O184" s="392" t="n">
        <v>1</v>
      </c>
      <c r="P184" s="186" t="n"/>
      <c r="R184" s="194" t="inlineStr">
        <is>
          <t>no</t>
        </is>
      </c>
      <c r="S184" s="193" t="n"/>
      <c r="V184" s="552" t="n">
        <v>16.82703018188477</v>
      </c>
      <c r="W184" s="552">
        <f>IF(V184="","",V184*O184)</f>
        <v/>
      </c>
      <c r="X184" s="186">
        <f>IF(R184="yes",W184,"")</f>
        <v/>
      </c>
    </row>
    <row r="185" ht="204" customFormat="1" customHeight="1" s="192">
      <c r="A185" s="14">
        <f>A184+1</f>
        <v/>
      </c>
      <c r="B185" s="521" t="inlineStr">
        <is>
          <t>cs_stress_spent_savings</t>
        </is>
      </c>
      <c r="C185" s="17" t="inlineStr">
        <is>
          <t xml:space="preserve"> cs_stress_spent_savings</t>
        </is>
      </c>
      <c r="D185" s="2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5" s="20">
        <f>LEN(D185)</f>
        <v/>
      </c>
      <c r="F185" s="36" t="inlineStr">
        <is>
          <t>Single Choice</t>
        </is>
      </c>
      <c r="G185" s="20" t="inlineStr">
        <is>
          <t>NA</t>
        </is>
      </c>
      <c r="H185" s="20" t="inlineStr">
        <is>
          <t>NA</t>
        </is>
      </c>
      <c r="I185" s="20" t="inlineStr">
        <is>
          <t>Form Type - Buttons</t>
        </is>
      </c>
      <c r="J185" s="31" t="inlineStr">
        <is>
          <t>1-6 = [next question]</t>
        </is>
      </c>
      <c r="K185" s="84" t="inlineStr">
        <is>
          <t>NA</t>
        </is>
      </c>
      <c r="L185" s="42" t="n"/>
      <c r="M185" s="42" t="n"/>
      <c r="N185" s="10" t="n"/>
      <c r="O185" s="392" t="n">
        <v>1</v>
      </c>
      <c r="P185" s="186" t="n"/>
      <c r="R185" s="194" t="inlineStr">
        <is>
          <t>no</t>
        </is>
      </c>
      <c r="S185" s="193" t="n"/>
      <c r="V185" s="552" t="n">
        <v>12.21140480041504</v>
      </c>
      <c r="W185" s="552">
        <f>IF(V185="","",V185*O185)</f>
        <v/>
      </c>
      <c r="X185" s="186">
        <f>IF(R185="yes",W185,"")</f>
        <v/>
      </c>
    </row>
    <row r="186" ht="204" customFormat="1" customHeight="1" s="192">
      <c r="A186" s="14">
        <f>#REF!+1</f>
        <v/>
      </c>
      <c r="B186" s="521" t="inlineStr">
        <is>
          <t>cs_stress_borrowed_money</t>
        </is>
      </c>
      <c r="C186" s="17" t="inlineStr">
        <is>
          <t>cs_stress_borrowed_money</t>
        </is>
      </c>
      <c r="D186" s="2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86" s="20">
        <f>LEN(D186)</f>
        <v/>
      </c>
      <c r="F186" s="36" t="inlineStr">
        <is>
          <t>Single Choice</t>
        </is>
      </c>
      <c r="G186" s="20" t="inlineStr">
        <is>
          <t>NA</t>
        </is>
      </c>
      <c r="H186" s="20" t="inlineStr">
        <is>
          <t>NA</t>
        </is>
      </c>
      <c r="I186" s="20" t="inlineStr">
        <is>
          <t>Form Type - Buttons</t>
        </is>
      </c>
      <c r="J186" s="31" t="inlineStr">
        <is>
          <t>1-6 = [next question]</t>
        </is>
      </c>
      <c r="K186" s="84" t="inlineStr">
        <is>
          <t>NA</t>
        </is>
      </c>
      <c r="L186" s="42" t="n"/>
      <c r="M186" s="42" t="n"/>
      <c r="N186" s="10" t="n"/>
      <c r="O186" s="392" t="n">
        <v>1</v>
      </c>
      <c r="P186" s="186" t="n"/>
      <c r="R186" s="194" t="inlineStr">
        <is>
          <t>no</t>
        </is>
      </c>
      <c r="S186" s="193" t="n"/>
      <c r="V186" s="552" t="n">
        <v>8.231814384460449</v>
      </c>
      <c r="W186" s="552">
        <f>IF(V186="","",V186*O186)</f>
        <v/>
      </c>
      <c r="X186" s="186">
        <f>IF(R186="yes",W186,"")</f>
        <v/>
      </c>
    </row>
    <row r="187" ht="221" customFormat="1" customHeight="1" s="192">
      <c r="A187" s="14">
        <f>#REF!+1</f>
        <v/>
      </c>
      <c r="B187" s="521" t="inlineStr">
        <is>
          <t>cs_crisis_sold_prod_assets</t>
        </is>
      </c>
      <c r="C187" s="17" t="inlineStr">
        <is>
          <t>cs_crisis_sold_prod_assets</t>
        </is>
      </c>
      <c r="D187" s="2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87" s="20">
        <f>LEN(D187)</f>
        <v/>
      </c>
      <c r="F187" s="36" t="inlineStr">
        <is>
          <t>Single Choice</t>
        </is>
      </c>
      <c r="G187" s="20" t="inlineStr">
        <is>
          <t>NA</t>
        </is>
      </c>
      <c r="H187" s="20" t="inlineStr">
        <is>
          <t>NA</t>
        </is>
      </c>
      <c r="I187" s="20" t="inlineStr">
        <is>
          <t>Form Type - Buttons</t>
        </is>
      </c>
      <c r="J187" s="31" t="inlineStr">
        <is>
          <t>1-6 = [next question]</t>
        </is>
      </c>
      <c r="K187" s="84" t="inlineStr">
        <is>
          <t>NA</t>
        </is>
      </c>
      <c r="L187" s="42" t="n"/>
      <c r="M187" s="42" t="n"/>
      <c r="N187" s="10" t="n"/>
      <c r="O187" s="392" t="n">
        <v>1</v>
      </c>
      <c r="P187" s="186" t="n"/>
      <c r="R187" s="194" t="inlineStr">
        <is>
          <t>no</t>
        </is>
      </c>
      <c r="S187" s="193" t="n"/>
      <c r="V187" s="552" t="n">
        <v>11.93405628204346</v>
      </c>
      <c r="W187" s="552">
        <f>IF(V187="","",V187*O187)</f>
        <v/>
      </c>
      <c r="X187" s="186">
        <f>IF(R187="yes",W187,"")</f>
        <v/>
      </c>
    </row>
    <row r="188" ht="204" customFormat="1" customHeight="1" s="192">
      <c r="A188" s="14">
        <f>A187+1</f>
        <v/>
      </c>
      <c r="B188" s="521" t="inlineStr">
        <is>
          <t>cs_crisis_no_school</t>
        </is>
      </c>
      <c r="C188" s="17" t="inlineStr">
        <is>
          <t>cs_crisis_no_school</t>
        </is>
      </c>
      <c r="D188" s="22"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88" s="20">
        <f>LEN(D188)</f>
        <v/>
      </c>
      <c r="F188" s="36" t="inlineStr">
        <is>
          <t>Single Choice</t>
        </is>
      </c>
      <c r="G188" s="20" t="inlineStr">
        <is>
          <t>NA</t>
        </is>
      </c>
      <c r="H188" s="20" t="inlineStr">
        <is>
          <t>NA</t>
        </is>
      </c>
      <c r="I188" s="20" t="inlineStr">
        <is>
          <t>Form Type - Buttons</t>
        </is>
      </c>
      <c r="J188" s="31" t="inlineStr">
        <is>
          <t>1-6 = [next question]</t>
        </is>
      </c>
      <c r="K188" s="84" t="inlineStr">
        <is>
          <t>NA</t>
        </is>
      </c>
      <c r="L188" s="22" t="n"/>
      <c r="M188" s="31" t="n"/>
      <c r="N188" s="10" t="n"/>
      <c r="O188" s="392" t="n">
        <v>1</v>
      </c>
      <c r="P188" s="186" t="n"/>
      <c r="R188" s="194" t="inlineStr">
        <is>
          <t>no</t>
        </is>
      </c>
      <c r="S188" s="193" t="n"/>
      <c r="V188" s="552" t="n">
        <v>11.36098480224609</v>
      </c>
      <c r="W188" s="552">
        <f>IF(V188="","",V188*O188)</f>
        <v/>
      </c>
      <c r="X188" s="186">
        <f>IF(R188="yes",W188,"")</f>
        <v/>
      </c>
    </row>
    <row r="189" ht="204" customFormat="1" customHeight="1" s="192">
      <c r="A189" s="14">
        <f>A188+1</f>
        <v/>
      </c>
      <c r="B189" s="522" t="inlineStr">
        <is>
          <t>cs_stress_reduced_health_exp</t>
        </is>
      </c>
      <c r="C189" s="17" t="inlineStr">
        <is>
          <t>cs_crisis_reduced_health_exp</t>
        </is>
      </c>
      <c r="D189" s="2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89" s="20">
        <f>LEN(D189)</f>
        <v/>
      </c>
      <c r="F189" s="36" t="inlineStr">
        <is>
          <t>Single Choice</t>
        </is>
      </c>
      <c r="G189" s="20" t="inlineStr">
        <is>
          <t>NA</t>
        </is>
      </c>
      <c r="H189" s="20" t="inlineStr">
        <is>
          <t>NA</t>
        </is>
      </c>
      <c r="I189" s="20" t="inlineStr">
        <is>
          <t>Form Type - Buttons</t>
        </is>
      </c>
      <c r="J189" s="31" t="inlineStr">
        <is>
          <t>1-6 = [next question]</t>
        </is>
      </c>
      <c r="K189" s="84" t="inlineStr">
        <is>
          <t>NA</t>
        </is>
      </c>
      <c r="L189" s="396" t="n"/>
      <c r="M189" s="397" t="n"/>
      <c r="N189" s="10" t="n"/>
      <c r="O189" s="392" t="n">
        <v>1</v>
      </c>
      <c r="P189" s="186" t="n"/>
      <c r="R189" s="194" t="inlineStr">
        <is>
          <t>no</t>
        </is>
      </c>
      <c r="S189" s="193" t="n"/>
      <c r="V189" s="552" t="n">
        <v>12.7567195892334</v>
      </c>
      <c r="W189" s="552">
        <f>IF(V189="","",V189*O189)</f>
        <v/>
      </c>
      <c r="X189" s="186">
        <f>IF(R189="yes",W189,"")</f>
        <v/>
      </c>
    </row>
    <row r="190" ht="204" customFormat="1" customHeight="1" s="192">
      <c r="A190" s="14">
        <f>A189+1</f>
        <v/>
      </c>
      <c r="B190" s="521" t="inlineStr">
        <is>
          <t>cs_crisis_harv_immature_crops</t>
        </is>
      </c>
      <c r="C190" s="17" t="inlineStr">
        <is>
          <t>cs_crisis_harv_immature_crops</t>
        </is>
      </c>
      <c r="D190" s="2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0" s="20">
        <f>LEN(D190)</f>
        <v/>
      </c>
      <c r="F190" s="36" t="inlineStr">
        <is>
          <t>Single Choice</t>
        </is>
      </c>
      <c r="G190" s="20" t="inlineStr">
        <is>
          <t>NA</t>
        </is>
      </c>
      <c r="H190" s="20" t="inlineStr">
        <is>
          <t>NA</t>
        </is>
      </c>
      <c r="I190" s="20" t="inlineStr">
        <is>
          <t>Form Type - Buttons</t>
        </is>
      </c>
      <c r="J190" s="31" t="inlineStr">
        <is>
          <t>1-6 = [next question]</t>
        </is>
      </c>
      <c r="K190" s="84" t="inlineStr">
        <is>
          <t>NA</t>
        </is>
      </c>
      <c r="L190" s="398" t="n"/>
      <c r="M190" s="399" t="n"/>
      <c r="N190" s="10" t="n"/>
      <c r="O190" s="392" t="n">
        <v>1</v>
      </c>
      <c r="P190" s="186" t="n"/>
      <c r="R190" s="194" t="inlineStr">
        <is>
          <t>no</t>
        </is>
      </c>
      <c r="S190" s="193" t="n"/>
      <c r="V190" s="552" t="n">
        <v>7.892221450805664</v>
      </c>
      <c r="W190" s="552">
        <f>IF(V190="","",V190*O190)</f>
        <v/>
      </c>
      <c r="X190" s="186">
        <f>IF(R190="yes",W190,"")</f>
        <v/>
      </c>
    </row>
    <row r="191" ht="204" customFormat="1" customHeight="1" s="192">
      <c r="A191" s="14">
        <f>#REF!+1</f>
        <v/>
      </c>
      <c r="B191" s="521" t="inlineStr">
        <is>
          <t>cs_emergency_sold_house</t>
        </is>
      </c>
      <c r="C191" s="17" t="inlineStr">
        <is>
          <t>cs_emergency_sold_house</t>
        </is>
      </c>
      <c r="D191" s="22"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91" s="20">
        <f>LEN(D191)</f>
        <v/>
      </c>
      <c r="F191" s="36" t="inlineStr">
        <is>
          <t>Single Choice</t>
        </is>
      </c>
      <c r="G191" s="20" t="inlineStr">
        <is>
          <t>NA</t>
        </is>
      </c>
      <c r="H191" s="20" t="inlineStr">
        <is>
          <t>NA</t>
        </is>
      </c>
      <c r="I191" s="20" t="inlineStr">
        <is>
          <t>Form Type - Buttons</t>
        </is>
      </c>
      <c r="J191" s="31" t="inlineStr">
        <is>
          <t>1-6 = [next question]</t>
        </is>
      </c>
      <c r="K191" s="84" t="inlineStr">
        <is>
          <t>NA</t>
        </is>
      </c>
      <c r="L191" s="398" t="n"/>
      <c r="M191" s="399" t="n"/>
      <c r="N191" s="10" t="n"/>
      <c r="O191" s="392" t="n">
        <v>1</v>
      </c>
      <c r="P191" s="186" t="n"/>
      <c r="R191" s="194" t="inlineStr">
        <is>
          <t>no</t>
        </is>
      </c>
      <c r="S191" s="193" t="n"/>
      <c r="V191" s="552" t="n">
        <v>9.063239097595215</v>
      </c>
      <c r="W191" s="552">
        <f>IF(V191="","",V191*O191)</f>
        <v/>
      </c>
      <c r="X191" s="186">
        <f>IF(R191="yes",W191,"")</f>
        <v/>
      </c>
    </row>
    <row r="192" ht="204" customFormat="1" customHeight="1" s="192">
      <c r="A192" s="14">
        <f>A191+1</f>
        <v/>
      </c>
      <c r="B192" s="521" t="inlineStr">
        <is>
          <t>cs_emergency_begged</t>
        </is>
      </c>
      <c r="C192" s="17" t="inlineStr">
        <is>
          <t>cs_emergency_begged</t>
        </is>
      </c>
      <c r="D192" s="2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2" s="20">
        <f>LEN(D192)</f>
        <v/>
      </c>
      <c r="F192" s="36" t="inlineStr">
        <is>
          <t>Single Choice</t>
        </is>
      </c>
      <c r="G192" s="20" t="inlineStr">
        <is>
          <t>NA</t>
        </is>
      </c>
      <c r="H192" s="20" t="inlineStr">
        <is>
          <t>NA</t>
        </is>
      </c>
      <c r="I192" s="20" t="inlineStr">
        <is>
          <t>Form Type - Buttons</t>
        </is>
      </c>
      <c r="J192" s="31" t="inlineStr">
        <is>
          <t>1-6 = [next question]</t>
        </is>
      </c>
      <c r="K192" s="84" t="inlineStr">
        <is>
          <t>NA</t>
        </is>
      </c>
      <c r="L192" s="398" t="n"/>
      <c r="M192" s="399" t="n"/>
      <c r="N192" s="10" t="n"/>
      <c r="O192" s="392" t="n">
        <v>1</v>
      </c>
      <c r="P192" s="186" t="n"/>
      <c r="R192" s="194" t="inlineStr">
        <is>
          <t>no</t>
        </is>
      </c>
      <c r="S192" s="193" t="n"/>
      <c r="V192" s="552" t="n">
        <v>9.105807304382324</v>
      </c>
      <c r="W192" s="552">
        <f>IF(V192="","",V192*O192)</f>
        <v/>
      </c>
      <c r="X192" s="186">
        <f>IF(R192="yes",W192,"")</f>
        <v/>
      </c>
    </row>
    <row r="193" ht="204" customFormat="1" customHeight="1" s="192">
      <c r="A193" s="14">
        <f>A192+1</f>
        <v/>
      </c>
      <c r="B193" s="521" t="inlineStr">
        <is>
          <t>cs_emergency_illegal</t>
        </is>
      </c>
      <c r="C193" s="17" t="inlineStr">
        <is>
          <t>cs_emergency_illegal</t>
        </is>
      </c>
      <c r="D193" s="2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3" s="20">
        <f>LEN(D193)</f>
        <v/>
      </c>
      <c r="F193" s="36" t="inlineStr">
        <is>
          <t>Single Choice</t>
        </is>
      </c>
      <c r="G193" s="20" t="inlineStr">
        <is>
          <t>NA</t>
        </is>
      </c>
      <c r="H193" s="20" t="inlineStr">
        <is>
          <t>NA</t>
        </is>
      </c>
      <c r="I193" s="20" t="inlineStr">
        <is>
          <t>Form Type - Buttons</t>
        </is>
      </c>
      <c r="J193" s="31" t="inlineStr">
        <is>
          <t>1-6 = [next question]</t>
        </is>
      </c>
      <c r="K193" s="84" t="inlineStr">
        <is>
          <t>NA</t>
        </is>
      </c>
      <c r="L193" s="398" t="n"/>
      <c r="M193" s="399" t="n"/>
      <c r="N193" s="10" t="n"/>
      <c r="O193" s="392" t="n">
        <v>1</v>
      </c>
      <c r="P193" s="186" t="n"/>
      <c r="R193" s="194" t="inlineStr">
        <is>
          <t>no</t>
        </is>
      </c>
      <c r="S193" s="193" t="n"/>
      <c r="V193" s="552" t="n">
        <v>11.21794319152832</v>
      </c>
      <c r="W193" s="552">
        <f>IF(V193="","",V193*O193)</f>
        <v/>
      </c>
      <c r="X193" s="186">
        <f>IF(R193="yes",W193,"")</f>
        <v/>
      </c>
    </row>
    <row r="194" ht="220" customFormat="1" customHeight="1" s="192">
      <c r="A194" s="14">
        <f>A193+1</f>
        <v/>
      </c>
      <c r="B194" s="522" t="inlineStr">
        <is>
          <t>cs_crisis_sold_last_female</t>
        </is>
      </c>
      <c r="C194" s="17" t="inlineStr">
        <is>
          <t>cs_emergency_sold_last_female</t>
        </is>
      </c>
      <c r="D194" s="22"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94" s="20">
        <f>LEN(D194)</f>
        <v/>
      </c>
      <c r="F194" s="36" t="inlineStr">
        <is>
          <t>Single Choice</t>
        </is>
      </c>
      <c r="G194" s="20" t="inlineStr">
        <is>
          <t>NA</t>
        </is>
      </c>
      <c r="H194" s="20" t="inlineStr">
        <is>
          <t>NA</t>
        </is>
      </c>
      <c r="I194" s="20" t="inlineStr">
        <is>
          <t>Form Type - Buttons</t>
        </is>
      </c>
      <c r="J194" s="31" t="inlineStr">
        <is>
          <t>1-6 = [next question]</t>
        </is>
      </c>
      <c r="K194" s="84" t="inlineStr">
        <is>
          <t>NA</t>
        </is>
      </c>
      <c r="L194" s="398" t="n"/>
      <c r="M194" s="399" t="n"/>
      <c r="N194" s="10" t="n"/>
      <c r="O194" s="392" t="n">
        <v>1</v>
      </c>
      <c r="P194" s="186" t="n"/>
      <c r="R194" s="194" t="inlineStr">
        <is>
          <t>no</t>
        </is>
      </c>
      <c r="S194" s="193" t="n"/>
      <c r="U194" s="207" t="n"/>
      <c r="V194" s="552" t="n">
        <v>6.293689727783203</v>
      </c>
      <c r="W194" s="552">
        <f>IF(V194="","",V194*O194)</f>
        <v/>
      </c>
      <c r="X194" s="186">
        <f>IF(R194="yes",W194,"")</f>
        <v/>
      </c>
    </row>
    <row r="195" ht="409.6" customFormat="1" customHeight="1" s="192">
      <c r="A195" s="46">
        <f>#REF!+1</f>
        <v/>
      </c>
      <c r="B195" s="231" t="inlineStr">
        <is>
          <t>hdds</t>
        </is>
      </c>
      <c r="C195" s="191" t="inlineStr">
        <is>
          <t>hdds
1) hdds_cereals
2) hdds_rootstubers
3) hdds_vegetables
4) hdds_fruits
5) hdds_meat
6) hdds_eggs
7) hdds_fish
8) hdds_legumes
9) hdds_milkdairy
10) hdds_oils
11)hdds_sugar
12) hdds_condiments</t>
        </is>
      </c>
      <c r="D195" s="505"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5" s="197">
        <f>LEN(D195)</f>
        <v/>
      </c>
      <c r="F195" s="206" t="inlineStr">
        <is>
          <t>Select All That Apply</t>
        </is>
      </c>
      <c r="G195" s="197" t="inlineStr">
        <is>
          <t>NA</t>
        </is>
      </c>
      <c r="H195" s="197" t="inlineStr">
        <is>
          <t>NA</t>
        </is>
      </c>
      <c r="I195" s="197" t="inlineStr">
        <is>
          <t>Form Type - Checklist</t>
        </is>
      </c>
      <c r="J195" s="196" t="inlineStr">
        <is>
          <t>1-12 = hdds_confirmation</t>
        </is>
      </c>
      <c r="K195" s="266" t="inlineStr">
        <is>
          <t>1)hdds_cereals
2)hdds_rootstubers
3)hdds_vegetables
4)hdds_fruits
5)hdds_meat
6)hdds_eggs
7)hdds_fish
8)hdds_legumes
9)hdds_milkdairy
10)hdds_oils
11)hdds_sugar
12)hdds_condiments</t>
        </is>
      </c>
      <c r="L195" s="196" t="inlineStr">
        <is>
          <t>if hdds = 1-12, go to hdds_confirmation</t>
        </is>
      </c>
      <c r="M195" s="88" t="n"/>
      <c r="N195" s="205" t="n"/>
      <c r="O195" s="318" t="n">
        <v>1</v>
      </c>
      <c r="P195" s="186" t="n"/>
      <c r="R195" s="467" t="inlineStr">
        <is>
          <t>yes</t>
        </is>
      </c>
      <c r="S195" s="193" t="n"/>
      <c r="V195" s="551" t="n">
        <v>52.17435836791992</v>
      </c>
      <c r="W195" s="551">
        <f>IF(V195="","",V195*O195)</f>
        <v/>
      </c>
      <c r="X195" s="186">
        <f>IF(R195="yes",W195,"")</f>
        <v/>
      </c>
    </row>
    <row r="196" ht="153" customFormat="1" customHeight="1" s="192">
      <c r="A196" s="386">
        <f>A195+1</f>
        <v/>
      </c>
      <c r="B196" s="283" t="inlineStr">
        <is>
          <t>hdds_confirmation</t>
        </is>
      </c>
      <c r="C196" s="230" t="inlineStr">
        <is>
          <t>hdds_confirmation</t>
        </is>
      </c>
      <c r="D196" s="204"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96" s="180">
        <f>LEN(D196)</f>
        <v/>
      </c>
      <c r="F196" s="203" t="inlineStr">
        <is>
          <t>Single Choice</t>
        </is>
      </c>
      <c r="G196" s="181" t="inlineStr">
        <is>
          <t>NA</t>
        </is>
      </c>
      <c r="H196" s="181" t="inlineStr">
        <is>
          <t>NA</t>
        </is>
      </c>
      <c r="I196" s="181" t="inlineStr">
        <is>
          <t>Form Type - Buttons</t>
        </is>
      </c>
      <c r="J196" s="202" t="inlineStr">
        <is>
          <t>1 = need or next question</t>
        </is>
      </c>
      <c r="K196" s="266" t="inlineStr">
        <is>
          <t>NA</t>
        </is>
      </c>
      <c r="L196" s="202" t="inlineStr">
        <is>
          <t>if hdds_confirmation = 1, go to need or optional question</t>
        </is>
      </c>
      <c r="M196" s="45" t="n"/>
      <c r="N196" s="201" t="n"/>
      <c r="O196" s="318" t="n">
        <v>1</v>
      </c>
      <c r="P196" s="186" t="n"/>
      <c r="R196" s="467" t="inlineStr">
        <is>
          <t>yes</t>
        </is>
      </c>
      <c r="S196" s="193" t="n"/>
      <c r="V196" s="551" t="n">
        <v>1.287102341651917</v>
      </c>
      <c r="W196" s="551">
        <f>IF(V196="","",V196*O196)</f>
        <v/>
      </c>
      <c r="X196" s="186">
        <f>IF(R196="yes",W196,"")</f>
        <v/>
      </c>
    </row>
    <row r="197" ht="85" customFormat="1" customHeight="1" s="192">
      <c r="A197" s="14">
        <f>A196+1</f>
        <v/>
      </c>
      <c r="B197" s="282" t="inlineStr">
        <is>
          <t>fcs_intro</t>
        </is>
      </c>
      <c r="C197" s="291" t="inlineStr">
        <is>
          <t>fcs_intro</t>
        </is>
      </c>
      <c r="D197" s="506" t="inlineStr">
        <is>
          <t xml:space="preserve">Now I would like to ask you about the foods and drinks your household ate or drank in the last 7 days during the day and at night [breakfast, lunch, dinner, snacks]. 
1)CONTINUE
</t>
        </is>
      </c>
      <c r="E197" s="20">
        <f>LEN(D197)</f>
        <v/>
      </c>
      <c r="F197" s="36" t="inlineStr">
        <is>
          <t>Single Choice</t>
        </is>
      </c>
      <c r="G197" s="20" t="inlineStr">
        <is>
          <t>NA</t>
        </is>
      </c>
      <c r="H197" s="20" t="inlineStr">
        <is>
          <t>NA</t>
        </is>
      </c>
      <c r="I197" s="20" t="inlineStr">
        <is>
          <t>Form Type - Buttons</t>
        </is>
      </c>
      <c r="J197" s="31" t="inlineStr">
        <is>
          <t>1 = fcs_staple_days</t>
        </is>
      </c>
      <c r="K197" s="84" t="inlineStr">
        <is>
          <t>NA</t>
        </is>
      </c>
      <c r="L197" s="31" t="inlineStr">
        <is>
          <t>if fcs_intro = 1, go to fcs_staple_days</t>
        </is>
      </c>
      <c r="M197" s="31" t="n"/>
      <c r="N197" s="173" t="n"/>
      <c r="O197" s="392" t="n">
        <v>1</v>
      </c>
      <c r="P197" s="186" t="n"/>
      <c r="R197" s="194" t="inlineStr">
        <is>
          <t>no</t>
        </is>
      </c>
      <c r="S197" s="193" t="n"/>
      <c r="V197" s="552" t="n">
        <v>5.644973278045654</v>
      </c>
      <c r="W197" s="552">
        <f>IF(V197="","",V197*O197)</f>
        <v/>
      </c>
      <c r="X197" s="186">
        <f>IF(R197="yes",W197,"")</f>
        <v/>
      </c>
    </row>
    <row r="198" ht="102" customFormat="1" customHeight="1" s="192">
      <c r="A198" s="14">
        <f>A197+1</f>
        <v/>
      </c>
      <c r="B198" s="282" t="inlineStr">
        <is>
          <t>fcs_staple_days</t>
        </is>
      </c>
      <c r="C198" s="291" t="inlineStr">
        <is>
          <t>fcs_staple_days</t>
        </is>
      </c>
      <c r="D198" s="506"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98" s="20">
        <f>LEN(D198)</f>
        <v/>
      </c>
      <c r="F198" s="36" t="inlineStr">
        <is>
          <t>Range</t>
        </is>
      </c>
      <c r="G198" s="20" t="inlineStr">
        <is>
          <t>NA</t>
        </is>
      </c>
      <c r="H198" s="20" t="inlineStr">
        <is>
          <t>NA</t>
        </is>
      </c>
      <c r="I198" s="20" t="inlineStr">
        <is>
          <t>Form Type - TextBox</t>
        </is>
      </c>
      <c r="J198" s="31" t="inlineStr">
        <is>
          <t>0-7 = fcs_pulses_days</t>
        </is>
      </c>
      <c r="K198" s="84" t="inlineStr">
        <is>
          <t>NA</t>
        </is>
      </c>
      <c r="L198" s="31" t="inlineStr">
        <is>
          <t>For any response, go to fcs_pulses_days</t>
        </is>
      </c>
      <c r="M198" s="31" t="n"/>
      <c r="N198" s="172" t="n"/>
      <c r="O198" s="392" t="n">
        <v>1</v>
      </c>
      <c r="P198" s="186" t="n"/>
      <c r="R198" s="194" t="inlineStr">
        <is>
          <t>no</t>
        </is>
      </c>
      <c r="S198" s="193" t="n"/>
      <c r="V198" s="552" t="n">
        <v>26.99896049499512</v>
      </c>
      <c r="W198" s="552">
        <f>IF(V198="","",V198*O198)</f>
        <v/>
      </c>
      <c r="X198" s="186">
        <f>IF(R198="yes",W198,"")</f>
        <v/>
      </c>
    </row>
    <row r="199" ht="102" customFormat="1" customHeight="1" s="192">
      <c r="A199" s="14">
        <f>A198+1</f>
        <v/>
      </c>
      <c r="B199" s="282" t="inlineStr">
        <is>
          <t>fcs_pulses_days</t>
        </is>
      </c>
      <c r="C199" s="291" t="inlineStr">
        <is>
          <t>fcs_pulses_days</t>
        </is>
      </c>
      <c r="D199" s="506" t="inlineStr">
        <is>
          <t>How many days over the last 7 days, did members of your household eat pulses and nuts such as beans, lentils, cowpeas, soybean, pigeon peas and peanuts or other nuts?
[OPERATOR: RECORD NUMBER OF DAYS 0 - 7]
[HINT: IF CONSUMED ONLY IN SMALL QUANTITY, DO NOT INCLUDE.]</t>
        </is>
      </c>
      <c r="E199" s="20">
        <f>LEN(D199)</f>
        <v/>
      </c>
      <c r="F199" s="36" t="inlineStr">
        <is>
          <t>Range</t>
        </is>
      </c>
      <c r="G199" s="20" t="inlineStr">
        <is>
          <t>NA</t>
        </is>
      </c>
      <c r="H199" s="20" t="inlineStr">
        <is>
          <t>NA</t>
        </is>
      </c>
      <c r="I199" s="20" t="inlineStr">
        <is>
          <t>Form Type - TextBox</t>
        </is>
      </c>
      <c r="J199" s="31" t="inlineStr">
        <is>
          <t>0-7 = fcs_vegetables_days</t>
        </is>
      </c>
      <c r="K199" s="84" t="inlineStr">
        <is>
          <t>NA</t>
        </is>
      </c>
      <c r="L199" s="31" t="inlineStr">
        <is>
          <t>For any response, go to fcs_vegetables_days</t>
        </is>
      </c>
      <c r="M199" s="31" t="n"/>
      <c r="N199" s="172" t="n"/>
      <c r="O199" s="392" t="n">
        <v>1</v>
      </c>
      <c r="P199" s="186" t="n"/>
      <c r="R199" s="194" t="inlineStr">
        <is>
          <t>no</t>
        </is>
      </c>
      <c r="S199" s="193" t="n"/>
      <c r="V199" s="552" t="n">
        <v>18.27383232116699</v>
      </c>
      <c r="W199" s="552">
        <f>IF(V199="","",V199*O199)</f>
        <v/>
      </c>
      <c r="X199" s="186">
        <f>IF(R199="yes",W199,"")</f>
        <v/>
      </c>
    </row>
    <row r="200" ht="85" customFormat="1" customHeight="1" s="192">
      <c r="A200" s="14">
        <f>A199+1</f>
        <v/>
      </c>
      <c r="B200" s="282" t="inlineStr">
        <is>
          <t>fcs_vegetables_days</t>
        </is>
      </c>
      <c r="C200" s="291" t="inlineStr">
        <is>
          <t>fcs_vegetables_days</t>
        </is>
      </c>
      <c r="D200" s="506" t="inlineStr">
        <is>
          <t>How many days over the last 7 days, did members of your household eat vegetables or leaves such as Moringa, Spinach, Lettuce and/or other leaves/vegetables?
[OPERATOR: RECORD NUMBER OF DAYS 0 - 7] 
[HINT: IF CONSUMED ONLY IN SMALL QUANTITY, DO NOT INCLUDE.]</t>
        </is>
      </c>
      <c r="E200" s="20">
        <f>LEN(D200)</f>
        <v/>
      </c>
      <c r="F200" s="36" t="inlineStr">
        <is>
          <t>Range</t>
        </is>
      </c>
      <c r="G200" s="20" t="inlineStr">
        <is>
          <t>NA</t>
        </is>
      </c>
      <c r="H200" s="20" t="inlineStr">
        <is>
          <t>NA</t>
        </is>
      </c>
      <c r="I200" s="20" t="inlineStr">
        <is>
          <t>Form Type - TextBox</t>
        </is>
      </c>
      <c r="J200" s="31" t="inlineStr">
        <is>
          <t>0-7 = fcs_fruit_days</t>
        </is>
      </c>
      <c r="K200" s="84" t="inlineStr">
        <is>
          <t>NA</t>
        </is>
      </c>
      <c r="L200" s="31" t="inlineStr">
        <is>
          <t>For any response, go to fcs_fruit_days</t>
        </is>
      </c>
      <c r="M200" s="31" t="n"/>
      <c r="N200" s="172" t="n"/>
      <c r="O200" s="392" t="n">
        <v>1</v>
      </c>
      <c r="P200" s="186" t="n"/>
      <c r="R200" s="194" t="inlineStr">
        <is>
          <t>no</t>
        </is>
      </c>
      <c r="S200" s="193" t="n"/>
      <c r="V200" s="552" t="n">
        <v>16.35211563110352</v>
      </c>
      <c r="W200" s="552">
        <f>IF(V200="","",V200*O200)</f>
        <v/>
      </c>
      <c r="X200" s="186">
        <f>IF(R200="yes",W200,"")</f>
        <v/>
      </c>
    </row>
    <row r="201" ht="85" customFormat="1" customHeight="1" s="192">
      <c r="A201" s="14">
        <f>A200+1</f>
        <v/>
      </c>
      <c r="B201" s="282" t="inlineStr">
        <is>
          <t>fcs_fruit_days</t>
        </is>
      </c>
      <c r="C201" s="291" t="inlineStr">
        <is>
          <t>fcs_fruit_days</t>
        </is>
      </c>
      <c r="D201" s="506" t="inlineStr">
        <is>
          <t>How many days over the last 7 days, did members of your household eat fruit such as Oranges, Mangoes,  and/or other fruits?
[OPERATOR: RECORD NUMBER OF DAYS 0 - 7]
[HINT: IF CONSUMED ONLY IN SMALL QUANTITY, DO NOT INCLUDE.]</t>
        </is>
      </c>
      <c r="E201" s="20">
        <f>LEN(D201)</f>
        <v/>
      </c>
      <c r="F201" s="36" t="inlineStr">
        <is>
          <t>Range</t>
        </is>
      </c>
      <c r="G201" s="20" t="inlineStr">
        <is>
          <t>NA</t>
        </is>
      </c>
      <c r="H201" s="20" t="inlineStr">
        <is>
          <t>NA</t>
        </is>
      </c>
      <c r="I201" s="20" t="inlineStr">
        <is>
          <t>Form Type - TextBox</t>
        </is>
      </c>
      <c r="J201" s="31" t="inlineStr">
        <is>
          <t>0-7 = fcs_meat_fish_days</t>
        </is>
      </c>
      <c r="K201" s="84" t="inlineStr">
        <is>
          <t>NA</t>
        </is>
      </c>
      <c r="L201" s="31" t="inlineStr">
        <is>
          <t>For any response, go to fcs_meat_fish_days</t>
        </is>
      </c>
      <c r="M201" s="31" t="n"/>
      <c r="N201" s="172" t="n"/>
      <c r="O201" s="392" t="n">
        <v>1</v>
      </c>
      <c r="P201" s="186" t="n"/>
      <c r="R201" s="194" t="inlineStr">
        <is>
          <t>no</t>
        </is>
      </c>
      <c r="S201" s="193" t="n"/>
      <c r="V201" s="552" t="n">
        <v>14.01507568359375</v>
      </c>
      <c r="W201" s="552">
        <f>IF(V201="","",V201*O201)</f>
        <v/>
      </c>
      <c r="X201" s="186">
        <f>IF(R201="yes",W201,"")</f>
        <v/>
      </c>
    </row>
    <row r="202" ht="102" customFormat="1" customHeight="1" s="192">
      <c r="A202" s="14">
        <f>A201+1</f>
        <v/>
      </c>
      <c r="B202" s="282" t="inlineStr">
        <is>
          <t>fcs_meat_fish_days</t>
        </is>
      </c>
      <c r="C202" s="291" t="inlineStr">
        <is>
          <t>fcs_meat_fish_days</t>
        </is>
      </c>
      <c r="D202" s="506"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2" s="20">
        <f>LEN(D202)</f>
        <v/>
      </c>
      <c r="F202" s="36" t="inlineStr">
        <is>
          <t>Range</t>
        </is>
      </c>
      <c r="G202" s="20" t="inlineStr">
        <is>
          <t>NA</t>
        </is>
      </c>
      <c r="H202" s="20" t="inlineStr">
        <is>
          <t>NA</t>
        </is>
      </c>
      <c r="I202" s="20" t="inlineStr">
        <is>
          <t>Form Type - TextBox</t>
        </is>
      </c>
      <c r="J202" s="31" t="inlineStr">
        <is>
          <t>0-7 = fcs_dairy_days</t>
        </is>
      </c>
      <c r="K202" s="84" t="inlineStr">
        <is>
          <t>NA</t>
        </is>
      </c>
      <c r="L202" s="31" t="inlineStr">
        <is>
          <t>For any response, go to fcs_dairy_days</t>
        </is>
      </c>
      <c r="M202" s="31" t="n"/>
      <c r="N202" s="172" t="n"/>
      <c r="O202" s="392" t="n">
        <v>1</v>
      </c>
      <c r="P202" s="186" t="n"/>
      <c r="R202" s="194" t="inlineStr">
        <is>
          <t>no</t>
        </is>
      </c>
      <c r="S202" s="193" t="n"/>
      <c r="V202" s="552" t="n">
        <v>17.22746658325195</v>
      </c>
      <c r="W202" s="552">
        <f>IF(V202="","",V202*O202)</f>
        <v/>
      </c>
      <c r="X202" s="186">
        <f>IF(R202="yes",W202,"")</f>
        <v/>
      </c>
    </row>
    <row r="203" ht="102" customFormat="1" customHeight="1" s="192">
      <c r="A203" s="14">
        <f>A202+1</f>
        <v/>
      </c>
      <c r="B203" s="282" t="inlineStr">
        <is>
          <t>fcs_dairy_days</t>
        </is>
      </c>
      <c r="C203" s="291" t="inlineStr">
        <is>
          <t>fcs_dairy_days</t>
        </is>
      </c>
      <c r="D203" s="506"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3" s="20">
        <f>LEN(D203)</f>
        <v/>
      </c>
      <c r="F203" s="36" t="inlineStr">
        <is>
          <t>Range</t>
        </is>
      </c>
      <c r="G203" s="20" t="inlineStr">
        <is>
          <t>NA</t>
        </is>
      </c>
      <c r="H203" s="20" t="inlineStr">
        <is>
          <t>NA</t>
        </is>
      </c>
      <c r="I203" s="20" t="inlineStr">
        <is>
          <t>Form Type - TextBox</t>
        </is>
      </c>
      <c r="J203" s="31" t="inlineStr">
        <is>
          <t>0-7 = fcs_sugar_days</t>
        </is>
      </c>
      <c r="K203" s="84" t="inlineStr">
        <is>
          <t>NA</t>
        </is>
      </c>
      <c r="L203" s="31" t="inlineStr">
        <is>
          <t>For any response, go to fcs_sugar_days</t>
        </is>
      </c>
      <c r="M203" s="31" t="n"/>
      <c r="N203" s="172" t="n"/>
      <c r="O203" s="392" t="n">
        <v>1</v>
      </c>
      <c r="P203" s="186" t="n"/>
      <c r="R203" s="194" t="inlineStr">
        <is>
          <t>no</t>
        </is>
      </c>
      <c r="S203" s="193" t="n"/>
      <c r="V203" s="552" t="n">
        <v>19.49277471670652</v>
      </c>
      <c r="W203" s="552">
        <f>IF(V203="","",V203*O203)</f>
        <v/>
      </c>
      <c r="X203" s="186">
        <f>IF(R203="yes",W203,"")</f>
        <v/>
      </c>
    </row>
    <row r="204" ht="102" customFormat="1" customHeight="1" s="192">
      <c r="A204" s="14">
        <f>A203+1</f>
        <v/>
      </c>
      <c r="B204" s="282" t="inlineStr">
        <is>
          <t>fcs_sugar_days</t>
        </is>
      </c>
      <c r="C204" s="291" t="inlineStr">
        <is>
          <t>fcs_sugar_days</t>
        </is>
      </c>
      <c r="D204" s="506"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4" s="20">
        <f>LEN(D204)</f>
        <v/>
      </c>
      <c r="F204" s="36" t="inlineStr">
        <is>
          <t>Range</t>
        </is>
      </c>
      <c r="G204" s="20" t="inlineStr">
        <is>
          <t>NA</t>
        </is>
      </c>
      <c r="H204" s="20" t="inlineStr">
        <is>
          <t>NA</t>
        </is>
      </c>
      <c r="I204" s="20" t="inlineStr">
        <is>
          <t>Form Type - TextBox</t>
        </is>
      </c>
      <c r="J204" s="31" t="inlineStr">
        <is>
          <t>0-7 = fcs_oil_days</t>
        </is>
      </c>
      <c r="K204" s="84" t="inlineStr">
        <is>
          <t>NA</t>
        </is>
      </c>
      <c r="L204" s="31" t="inlineStr">
        <is>
          <t>For any response, go to fcs_oil_days</t>
        </is>
      </c>
      <c r="M204" s="31" t="n"/>
      <c r="N204" s="172" t="n"/>
      <c r="O204" s="392" t="n">
        <v>1</v>
      </c>
      <c r="P204" s="186" t="n"/>
      <c r="R204" s="194" t="inlineStr">
        <is>
          <t>no</t>
        </is>
      </c>
      <c r="S204" s="193" t="n"/>
      <c r="V204" s="552" t="n">
        <v>14.17413425445557</v>
      </c>
      <c r="W204" s="552">
        <f>IF(V204="","",V204*O204)</f>
        <v/>
      </c>
      <c r="X204" s="186">
        <f>IF(R204="yes",W204,"")</f>
        <v/>
      </c>
    </row>
    <row r="205" ht="102" customFormat="1" customHeight="1" s="192">
      <c r="A205" s="14">
        <f>A204+1</f>
        <v/>
      </c>
      <c r="B205" s="282" t="inlineStr">
        <is>
          <t>fcs_oil_days</t>
        </is>
      </c>
      <c r="C205" s="291" t="inlineStr">
        <is>
          <t>fcs_oil_days</t>
        </is>
      </c>
      <c r="D205" s="506" t="inlineStr">
        <is>
          <t>How many days over the last 7 days, did members of your household eat oil/fat/butter such as vegetable oil, palm oil, groundnut oil, margarine, other fats / oil?
[OPERATOR: RECORD NUMBER OF DAYS 0 - 7]
[HINT: IF CONSUMED ONLY IN SMALL QUANTITY, DO NOT INCLUDE.]</t>
        </is>
      </c>
      <c r="E205" s="20">
        <f>LEN(D205)</f>
        <v/>
      </c>
      <c r="F205" s="36" t="inlineStr">
        <is>
          <t>Range</t>
        </is>
      </c>
      <c r="G205" s="20" t="inlineStr">
        <is>
          <t>NA</t>
        </is>
      </c>
      <c r="H205" s="20" t="inlineStr">
        <is>
          <t>NA</t>
        </is>
      </c>
      <c r="I205" s="20" t="inlineStr">
        <is>
          <t>Form Type - TextBox</t>
        </is>
      </c>
      <c r="J205" s="31" t="inlineStr">
        <is>
          <t>0-7 = fcs_condiments_days</t>
        </is>
      </c>
      <c r="K205" s="84" t="inlineStr">
        <is>
          <t>NA</t>
        </is>
      </c>
      <c r="L205" s="31" t="inlineStr">
        <is>
          <t>For any response, go to fcs_condiments_days</t>
        </is>
      </c>
      <c r="M205" s="31" t="n"/>
      <c r="N205" s="172" t="n"/>
      <c r="O205" s="392" t="n">
        <v>1</v>
      </c>
      <c r="P205" s="186" t="n"/>
      <c r="R205" s="194" t="inlineStr">
        <is>
          <t>no</t>
        </is>
      </c>
      <c r="S205" s="193" t="n"/>
      <c r="V205" s="552" t="n">
        <v>13.37862586975098</v>
      </c>
      <c r="W205" s="552">
        <f>IF(V205="","",V205*O205)</f>
        <v/>
      </c>
      <c r="X205" s="186">
        <f>IF(R205="yes",W205,"")</f>
        <v/>
      </c>
    </row>
    <row r="206" ht="85" customFormat="1" customHeight="1" s="192">
      <c r="A206" s="14" t="n"/>
      <c r="B206" s="282" t="inlineStr">
        <is>
          <t>fcs_condiments_days</t>
        </is>
      </c>
      <c r="C206" s="291" t="inlineStr">
        <is>
          <t>fcs_condiments_days</t>
        </is>
      </c>
      <c r="D206" s="506" t="inlineStr">
        <is>
          <t>How many days over the last 7 days, did members of your household eat spices or condiments such as tea, coffee, cocoa, salt, garlic, spices, yeast, meat fish as a condiment or small amounts of milk for tea or coffee?
[OPERATOR: RECORD NUMBER OF DAYS 0 - 7]</t>
        </is>
      </c>
      <c r="E206" s="20">
        <f>LEN(D206)</f>
        <v/>
      </c>
      <c r="F206" s="36" t="inlineStr">
        <is>
          <t>Range</t>
        </is>
      </c>
      <c r="G206" s="20" t="inlineStr">
        <is>
          <t>NA</t>
        </is>
      </c>
      <c r="H206" s="20" t="inlineStr">
        <is>
          <t>NA</t>
        </is>
      </c>
      <c r="I206" s="20" t="inlineStr">
        <is>
          <t>Form Type - TextBox</t>
        </is>
      </c>
      <c r="J206" s="31" t="inlineStr">
        <is>
          <t>0-7 = rcsi_intro</t>
        </is>
      </c>
      <c r="K206" s="84" t="inlineStr">
        <is>
          <t>NA</t>
        </is>
      </c>
      <c r="L206" s="31" t="inlineStr">
        <is>
          <t>For any response, go to rcsi_intro</t>
        </is>
      </c>
      <c r="M206" s="31" t="n"/>
      <c r="N206" s="172" t="n"/>
      <c r="O206" s="392" t="n">
        <v>1</v>
      </c>
      <c r="P206" s="186" t="n"/>
      <c r="R206" s="194" t="inlineStr">
        <is>
          <t>no</t>
        </is>
      </c>
      <c r="S206" s="193" t="n"/>
      <c r="V206" s="552" t="n">
        <v>12.75652313232422</v>
      </c>
      <c r="W206" s="552">
        <f>IF(V206="","",V206*O206)</f>
        <v/>
      </c>
      <c r="X206" s="186">
        <f>IF(R206="yes",W206,"")</f>
        <v/>
      </c>
    </row>
    <row r="207" ht="85" customFormat="1" customHeight="1" s="192">
      <c r="A207" s="14">
        <f>A205+1</f>
        <v/>
      </c>
      <c r="B207" s="282" t="inlineStr">
        <is>
          <t>rcsi_intro</t>
        </is>
      </c>
      <c r="C207" s="291" t="inlineStr">
        <is>
          <t>rcsi_intro</t>
        </is>
      </c>
      <c r="D207" s="506" t="inlineStr">
        <is>
          <t>Now I will ask you about the number of days, in the last 7 days, during which the household has done some of the actions that I will mention to cope with the lack of food or money to buy food.
1)CONTINUE</t>
        </is>
      </c>
      <c r="E207" s="20">
        <f>LEN(D207)</f>
        <v/>
      </c>
      <c r="F207" s="36" t="inlineStr">
        <is>
          <t>Single Choice</t>
        </is>
      </c>
      <c r="G207" s="20" t="inlineStr">
        <is>
          <t>NA</t>
        </is>
      </c>
      <c r="H207" s="20" t="inlineStr">
        <is>
          <t>NA</t>
        </is>
      </c>
      <c r="I207" s="20" t="inlineStr">
        <is>
          <t>Form Type - Buttons</t>
        </is>
      </c>
      <c r="J207" s="31" t="inlineStr">
        <is>
          <t>1 = rcsi_less_preferred_foods</t>
        </is>
      </c>
      <c r="K207" s="84" t="inlineStr">
        <is>
          <t>NA</t>
        </is>
      </c>
      <c r="L207" s="31" t="inlineStr">
        <is>
          <t>For any response, go to rcsi_less_preferred_foods</t>
        </is>
      </c>
      <c r="M207" s="31" t="n"/>
      <c r="N207" s="172" t="n"/>
      <c r="O207" s="392" t="n">
        <v>1</v>
      </c>
      <c r="P207" s="186" t="n"/>
      <c r="R207" s="194" t="inlineStr">
        <is>
          <t>no</t>
        </is>
      </c>
      <c r="S207" s="193" t="n"/>
      <c r="V207" s="552" t="n">
        <v>5.834917068481445</v>
      </c>
      <c r="W207" s="552">
        <f>IF(V207="","",V207*O207)</f>
        <v/>
      </c>
      <c r="X207" s="186">
        <f>IF(R207="yes",W207,"")</f>
        <v/>
      </c>
    </row>
    <row r="208" ht="68" customFormat="1" customHeight="1" s="192">
      <c r="A208" s="14">
        <f>A207+1</f>
        <v/>
      </c>
      <c r="B208" s="282" t="inlineStr">
        <is>
          <t>rcsi_less_preferred_foods</t>
        </is>
      </c>
      <c r="C208" s="291" t="inlineStr">
        <is>
          <t>rcsi_less_preferred_foods</t>
        </is>
      </c>
      <c r="D208" s="506" t="inlineStr">
        <is>
          <t>In the past 7 days, how many days did your household rely on less preferred or less expensive food due to lack of food/money?  
[OPERATOR: RECORD NUMBER OF DAYS 0 - 7 ]</t>
        </is>
      </c>
      <c r="E208" s="20">
        <f>LEN(D208)</f>
        <v/>
      </c>
      <c r="F208" s="119" t="inlineStr">
        <is>
          <t>Range</t>
        </is>
      </c>
      <c r="G208" s="20" t="inlineStr">
        <is>
          <t>NA</t>
        </is>
      </c>
      <c r="H208" s="20" t="inlineStr">
        <is>
          <t>NA</t>
        </is>
      </c>
      <c r="I208" s="20" t="inlineStr">
        <is>
          <t>Form Type - TextBox</t>
        </is>
      </c>
      <c r="J208" s="31" t="inlineStr">
        <is>
          <t>0-7 = rcsi_borrowed_food</t>
        </is>
      </c>
      <c r="K208" s="84" t="inlineStr">
        <is>
          <t>NA</t>
        </is>
      </c>
      <c r="L208" s="31" t="inlineStr">
        <is>
          <t>For any response, go to rcsi_borrowed_food</t>
        </is>
      </c>
      <c r="M208" s="31" t="n"/>
      <c r="N208" s="172" t="n"/>
      <c r="O208" s="392" t="n">
        <v>1</v>
      </c>
      <c r="P208" s="186" t="n"/>
      <c r="R208" s="194" t="inlineStr">
        <is>
          <t>no</t>
        </is>
      </c>
      <c r="S208" s="193" t="n"/>
      <c r="V208" s="552" t="n">
        <v>28.60844549470872</v>
      </c>
      <c r="W208" s="552">
        <f>IF(V208="","",V208*O208)</f>
        <v/>
      </c>
      <c r="X208" s="186">
        <f>IF(R208="yes",W208,"")</f>
        <v/>
      </c>
    </row>
    <row r="209" ht="68" customFormat="1" customHeight="1" s="192">
      <c r="A209" s="14">
        <f>A208+1</f>
        <v/>
      </c>
      <c r="B209" s="282" t="inlineStr">
        <is>
          <t>rcsi_borrowed_food</t>
        </is>
      </c>
      <c r="C209" s="291" t="inlineStr">
        <is>
          <t>rcsi_borrowed_food</t>
        </is>
      </c>
      <c r="D209" s="506" t="inlineStr">
        <is>
          <t>In the past 7 days, how many days did your household borrow food, or rely on help from a friend or relative due to lack of food or money to buy food? 
[OPERATOR: RECORD NUMBER OF DAYS 0 - 7 ]</t>
        </is>
      </c>
      <c r="E209" s="20">
        <f>LEN(D209)</f>
        <v/>
      </c>
      <c r="F209" s="119" t="inlineStr">
        <is>
          <t>Range</t>
        </is>
      </c>
      <c r="G209" s="20" t="inlineStr">
        <is>
          <t>NA</t>
        </is>
      </c>
      <c r="H209" s="20" t="inlineStr">
        <is>
          <t>NA</t>
        </is>
      </c>
      <c r="I209" s="20" t="inlineStr">
        <is>
          <t>Form Type - TextBox</t>
        </is>
      </c>
      <c r="J209" s="31" t="inlineStr">
        <is>
          <t>0-7 = rcsi_reduce_number_meals</t>
        </is>
      </c>
      <c r="K209" s="84" t="inlineStr">
        <is>
          <t>NA</t>
        </is>
      </c>
      <c r="L209" s="31" t="inlineStr">
        <is>
          <t>For any response, go to rcsi_reduce_number_meals</t>
        </is>
      </c>
      <c r="M209" s="31" t="n"/>
      <c r="N209" s="172" t="n"/>
      <c r="O209" s="392" t="n">
        <v>1</v>
      </c>
      <c r="P209" s="186" t="n"/>
      <c r="R209" s="194" t="inlineStr">
        <is>
          <t>no</t>
        </is>
      </c>
      <c r="S209" s="193" t="n"/>
      <c r="V209" s="552" t="n">
        <v>14.61820602416992</v>
      </c>
      <c r="W209" s="552">
        <f>IF(V209="","",V209*O209)</f>
        <v/>
      </c>
      <c r="X209" s="186">
        <f>IF(R209="yes",W209,"")</f>
        <v/>
      </c>
    </row>
    <row r="210" ht="68" customFormat="1" customHeight="1" s="192">
      <c r="A210" s="14">
        <f>A209+1</f>
        <v/>
      </c>
      <c r="B210" s="284" t="inlineStr">
        <is>
          <t>rcsi_reduce_number_meals</t>
        </is>
      </c>
      <c r="C210" s="285" t="inlineStr">
        <is>
          <t>rcsi_reduce_number_meals</t>
        </is>
      </c>
      <c r="D210" s="506" t="inlineStr">
        <is>
          <t>In the past 7 days, how many days did your household reduce the number of meals eaten in a day due to lack of food or money to buy food?
[OPERATOR: RECORD NUMBER OF DAYS 0 - 7 ]</t>
        </is>
      </c>
      <c r="E210" s="20">
        <f>LEN(D210)</f>
        <v/>
      </c>
      <c r="F210" s="119" t="inlineStr">
        <is>
          <t>Range</t>
        </is>
      </c>
      <c r="G210" s="20" t="inlineStr">
        <is>
          <t>NA</t>
        </is>
      </c>
      <c r="H210" s="20" t="inlineStr">
        <is>
          <t>NA</t>
        </is>
      </c>
      <c r="I210" s="20" t="inlineStr">
        <is>
          <t>Form Type - TextBox</t>
        </is>
      </c>
      <c r="J210" s="31" t="inlineStr">
        <is>
          <t>0-7 = rcsi_limit_portions</t>
        </is>
      </c>
      <c r="K210" s="84" t="inlineStr">
        <is>
          <t>NA</t>
        </is>
      </c>
      <c r="L210" s="31" t="inlineStr">
        <is>
          <t>For any response, go to rcsi_limit_portions</t>
        </is>
      </c>
      <c r="M210" s="31" t="n"/>
      <c r="N210" s="172" t="n"/>
      <c r="O210" s="392" t="n">
        <v>1</v>
      </c>
      <c r="P210" s="186" t="n"/>
      <c r="R210" s="194" t="inlineStr">
        <is>
          <t>no</t>
        </is>
      </c>
      <c r="S210" s="193" t="n"/>
      <c r="V210" s="552" t="n">
        <v>13.777663230896</v>
      </c>
      <c r="W210" s="552">
        <f>IF(V210="","",V210*O210)</f>
        <v/>
      </c>
      <c r="X210" s="186">
        <f>IF(R210="yes",W210,"")</f>
        <v/>
      </c>
    </row>
    <row r="211" ht="68" customFormat="1" customHeight="1" s="192">
      <c r="A211" s="14">
        <f>A210+1</f>
        <v/>
      </c>
      <c r="B211" s="282" t="inlineStr">
        <is>
          <t>rcsi_limit_portions</t>
        </is>
      </c>
      <c r="C211" s="291" t="inlineStr">
        <is>
          <t>rcsi_limit_portions</t>
        </is>
      </c>
      <c r="D211" s="506" t="inlineStr">
        <is>
          <t>In the past 7 days, how many days did your household limit portion sizes at mealtime due to lack of food or money to buy food? 
[OPERATOR: RECORD NUMBER OF DAYS 0 - 7 ]</t>
        </is>
      </c>
      <c r="E211" s="20">
        <f>LEN(D211)</f>
        <v/>
      </c>
      <c r="F211" s="119" t="inlineStr">
        <is>
          <t>Range</t>
        </is>
      </c>
      <c r="G211" s="20" t="inlineStr">
        <is>
          <t>NA</t>
        </is>
      </c>
      <c r="H211" s="20" t="inlineStr">
        <is>
          <t>NA</t>
        </is>
      </c>
      <c r="I211" s="20" t="inlineStr">
        <is>
          <t>Form Type - TextBox</t>
        </is>
      </c>
      <c r="J211" s="31" t="inlineStr">
        <is>
          <t>0-7 = rcsi_restrict_adult_consumpt</t>
        </is>
      </c>
      <c r="K211" s="84" t="inlineStr">
        <is>
          <t>NA</t>
        </is>
      </c>
      <c r="L211" s="31" t="inlineStr">
        <is>
          <t>For any response, go to rcsi_restrict_adult_consumpt</t>
        </is>
      </c>
      <c r="M211" s="31" t="n"/>
      <c r="N211" s="173" t="n"/>
      <c r="O211" s="392" t="n">
        <v>1</v>
      </c>
      <c r="P211" s="186" t="n"/>
      <c r="R211" s="194" t="inlineStr">
        <is>
          <t>no</t>
        </is>
      </c>
      <c r="S211" s="193" t="n"/>
      <c r="V211" s="552" t="n">
        <v>12.39977359771729</v>
      </c>
      <c r="W211" s="552">
        <f>IF(V211="","",V211*O211)</f>
        <v/>
      </c>
      <c r="X211" s="186">
        <f>IF(R211="yes",W211,"")</f>
        <v/>
      </c>
    </row>
    <row r="212" ht="69" customFormat="1" customHeight="1" s="192" thickBot="1">
      <c r="A212" s="14">
        <f>A211+1</f>
        <v/>
      </c>
      <c r="B212" s="282" t="inlineStr">
        <is>
          <t>rcsi_restrict_adult_consumpt</t>
        </is>
      </c>
      <c r="C212" s="291" t="inlineStr">
        <is>
          <t>rcsi_restrict_adult_consumpt</t>
        </is>
      </c>
      <c r="D212" s="41" t="inlineStr">
        <is>
          <t>In the past 7 days, how many days did your household restrict consumption by adults so children could eat, due to lack of food or money to buy food?
[OPERATOR: RECORD NUMBER OF DAYS 0 - 7 ]</t>
        </is>
      </c>
      <c r="E212" s="20">
        <f>LEN(D212)</f>
        <v/>
      </c>
      <c r="F212" s="119" t="inlineStr">
        <is>
          <t>Range</t>
        </is>
      </c>
      <c r="G212" s="24" t="inlineStr">
        <is>
          <t>NA</t>
        </is>
      </c>
      <c r="H212" s="24" t="inlineStr">
        <is>
          <t>NA</t>
        </is>
      </c>
      <c r="I212" s="20" t="inlineStr">
        <is>
          <t>Form Type - TextBox</t>
        </is>
      </c>
      <c r="J212" s="29" t="inlineStr">
        <is>
          <t>0-7 = need</t>
        </is>
      </c>
      <c r="K212" s="84" t="inlineStr">
        <is>
          <t>NA</t>
        </is>
      </c>
      <c r="L212" s="29" t="inlineStr">
        <is>
          <t>For any response, go to need</t>
        </is>
      </c>
      <c r="M212" s="29" t="n"/>
      <c r="N212" s="173" t="n"/>
      <c r="O212" s="392" t="n">
        <v>1</v>
      </c>
      <c r="P212" s="186" t="n"/>
      <c r="R212" s="194" t="inlineStr">
        <is>
          <t>no</t>
        </is>
      </c>
      <c r="S212" s="193" t="n"/>
      <c r="V212" s="552" t="n">
        <v>13.34388160705566</v>
      </c>
      <c r="W212" s="552">
        <f>IF(V212="","",V212*O212)</f>
        <v/>
      </c>
      <c r="X212" s="186">
        <f>IF(R212="yes",W212,"")</f>
        <v/>
      </c>
    </row>
    <row r="213" ht="17" customFormat="1" customHeight="1" s="464" thickBot="1">
      <c r="A213" s="548" t="inlineStr">
        <is>
          <t>H. NEEDS ASSISTANCE</t>
        </is>
      </c>
      <c r="B213" s="549" t="n"/>
      <c r="C213" s="549" t="n"/>
      <c r="D213" s="549" t="n"/>
      <c r="E213" s="549" t="n"/>
      <c r="F213" s="549" t="n"/>
      <c r="G213" s="549" t="n"/>
      <c r="H213" s="549" t="n"/>
      <c r="I213" s="549" t="n"/>
      <c r="J213" s="549" t="n"/>
      <c r="K213" s="549" t="n"/>
      <c r="L213" s="549" t="n"/>
      <c r="M213" s="549" t="n"/>
      <c r="N213" s="550" t="n"/>
      <c r="O213" s="318" t="n"/>
      <c r="P213" s="469" t="n"/>
      <c r="R213" s="467" t="n"/>
      <c r="S213" s="470" t="n"/>
      <c r="V213" s="551" t="n"/>
      <c r="W213" s="551">
        <f>IF(V213="","",V213*O213)</f>
        <v/>
      </c>
      <c r="X213" s="469">
        <f>IF(R213="yes",W213,"")</f>
        <v/>
      </c>
    </row>
    <row r="214" ht="255" customFormat="1" customHeight="1" s="279">
      <c r="A214" s="385">
        <f>A212+1</f>
        <v/>
      </c>
      <c r="B214" s="281" t="inlineStr">
        <is>
          <t>need</t>
        </is>
      </c>
      <c r="C214" s="191" t="inlineStr">
        <is>
          <t>need</t>
        </is>
      </c>
      <c r="D214" s="190" t="inlineStr">
        <is>
          <t>Does your household need assistance for agricultural activities [including crop, livestock and fisheries/aquaculture activities] over the next 3 to 6 months?
[OPERATOR: SINGLE RESPONSE.]
1)YES
2)NO
3)DON'T KNOW
4)REFUSED</t>
        </is>
      </c>
      <c r="E214" s="189">
        <f>LEN(D214)</f>
        <v/>
      </c>
      <c r="F214" s="199" t="inlineStr">
        <is>
          <t>Single Choice</t>
        </is>
      </c>
      <c r="G214" s="189" t="inlineStr">
        <is>
          <t>NA</t>
        </is>
      </c>
      <c r="H214" s="197"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is>
      </c>
      <c r="I214" s="197" t="inlineStr">
        <is>
          <t>Form Type - Buttons</t>
        </is>
      </c>
      <c r="J214" s="188" t="inlineStr">
        <is>
          <t>1 = need_2
2-4= need_received</t>
        </is>
      </c>
      <c r="K214" s="266" t="inlineStr">
        <is>
          <t>NA</t>
        </is>
      </c>
      <c r="L214" s="188" t="inlineStr">
        <is>
          <t>Only administered to households involved in agricultural production [crop, livestock and/or fish]. Otherwise, go to "callback". 
if need = 1, go to need_2
if need = 2-4, go to need_received</t>
        </is>
      </c>
      <c r="M214" s="90" t="n"/>
      <c r="N214" s="9" t="n"/>
      <c r="O214" s="318" t="n">
        <v>1</v>
      </c>
      <c r="P214" s="187" t="n"/>
      <c r="R214" s="471" t="inlineStr">
        <is>
          <t>yes</t>
        </is>
      </c>
      <c r="S214" s="273" t="n"/>
      <c r="V214" s="559" t="n">
        <v>14.47277355194092</v>
      </c>
      <c r="W214" s="551">
        <f>IF(V214="","",V214*O214)</f>
        <v/>
      </c>
      <c r="X214" s="186">
        <f>IF(R214="yes",W214,"")</f>
        <v/>
      </c>
    </row>
    <row r="215" ht="409.6" customFormat="1" customHeight="1" s="192">
      <c r="A215" s="46">
        <f>A214+1</f>
        <v/>
      </c>
      <c r="B215" s="281" t="inlineStr">
        <is>
          <t>need_2</t>
        </is>
      </c>
      <c r="C215" s="459"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5" s="448"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is>
      </c>
      <c r="E215" s="197">
        <f>LEN(D215)</f>
        <v/>
      </c>
      <c r="F215" s="198" t="inlineStr">
        <is>
          <t xml:space="preserve">Open Ended - Select All That Apply </t>
        </is>
      </c>
      <c r="G215" s="197" t="inlineStr">
        <is>
          <t>NA</t>
        </is>
      </c>
      <c r="H215" s="197" t="inlineStr">
        <is>
          <t>NA</t>
        </is>
      </c>
      <c r="I215" s="197" t="inlineStr">
        <is>
          <t>Form Type - Checklist
18,19 = IsNone</t>
        </is>
      </c>
      <c r="J215" s="196" t="inlineStr">
        <is>
          <t>1-19 = need_received</t>
        </is>
      </c>
      <c r="K215" s="266"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L215" s="195" t="inlineStr">
        <is>
          <t>if need_2 = 1-19, go to need_received</t>
        </is>
      </c>
      <c r="M215" s="220" t="n"/>
      <c r="N215" s="10" t="n"/>
      <c r="O215" s="318" t="n">
        <v>1</v>
      </c>
      <c r="P215" s="186" t="n"/>
      <c r="R215" s="467" t="inlineStr">
        <is>
          <t>yes</t>
        </is>
      </c>
      <c r="S215" s="193" t="n"/>
      <c r="V215" s="551" t="n">
        <v>33.74076461791992</v>
      </c>
      <c r="W215" s="551">
        <f>IF(V215="","",V215*O215)</f>
        <v/>
      </c>
      <c r="X215" s="186">
        <f>IF(R215="yes",W215,"")</f>
        <v/>
      </c>
    </row>
    <row r="216" customFormat="1" s="192">
      <c r="A216" s="116" t="n"/>
      <c r="B216" s="309" t="n"/>
      <c r="C216" s="103" t="n"/>
      <c r="D216" s="166" t="n"/>
      <c r="E216" s="106" t="n"/>
      <c r="F216" s="117" t="n"/>
      <c r="G216" s="106" t="n"/>
      <c r="H216" s="106" t="n"/>
      <c r="I216" s="106" t="n"/>
      <c r="J216" s="98" t="n"/>
      <c r="K216" s="83" t="n"/>
      <c r="L216" s="308" t="n"/>
      <c r="M216" s="308" t="n"/>
      <c r="N216" s="10" t="n"/>
      <c r="O216" s="392" t="n">
        <v>1</v>
      </c>
      <c r="P216" s="186" t="n"/>
      <c r="R216" s="194" t="n"/>
      <c r="S216" s="193" t="n"/>
      <c r="V216" s="552" t="n"/>
      <c r="W216" s="552">
        <f>IF(V216="","",V216*O216)</f>
        <v/>
      </c>
      <c r="X216" s="186">
        <f>IF(R216="yes",W216,"")</f>
        <v/>
      </c>
    </row>
    <row r="217" ht="289" customFormat="1" customHeight="1" s="192">
      <c r="A217" s="404">
        <f>A215+1</f>
        <v/>
      </c>
      <c r="B217" s="231" t="inlineStr">
        <is>
          <t>need_received</t>
        </is>
      </c>
      <c r="C217" s="198"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17" s="448"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17" s="180">
        <f>LEN(D217)</f>
        <v/>
      </c>
      <c r="F217" s="460" t="inlineStr">
        <is>
          <t xml:space="preserve">Open Ended - Select All That Apply </t>
        </is>
      </c>
      <c r="G217" s="180" t="inlineStr">
        <is>
          <t>NA</t>
        </is>
      </c>
      <c r="H217" s="180" t="inlineStr">
        <is>
          <t>NA</t>
        </is>
      </c>
      <c r="I217" s="180" t="inlineStr">
        <is>
          <t>Form Type - Checklist
10,11,12 = IsNone</t>
        </is>
      </c>
      <c r="J217" s="445" t="inlineStr">
        <is>
          <t>1-9 = assistance_quality 
10-12 = callback</t>
        </is>
      </c>
      <c r="K217" s="266"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L217" s="445" t="inlineStr">
        <is>
          <t xml:space="preserve">if need_received = 1-9, go to assistance_quality.
Otherwise, go to callback. </t>
        </is>
      </c>
      <c r="M217" s="98" t="n"/>
      <c r="N217" s="10" t="n"/>
      <c r="O217" s="392" t="n">
        <v>1</v>
      </c>
      <c r="P217" s="186" t="n"/>
      <c r="R217" s="467" t="inlineStr">
        <is>
          <t>yes</t>
        </is>
      </c>
      <c r="S217" s="193" t="n"/>
      <c r="V217" s="551" t="n">
        <v>14.55059909820557</v>
      </c>
      <c r="W217" s="551">
        <f>IF(V217="","",V217*O217)</f>
        <v/>
      </c>
      <c r="X217" s="186">
        <f>IF(R217="yes",W217,"")</f>
        <v/>
      </c>
    </row>
    <row r="218" ht="238" customFormat="1" customHeight="1" s="192">
      <c r="A218" s="404">
        <f>A217+1</f>
        <v/>
      </c>
      <c r="B218" s="461" t="inlineStr">
        <is>
          <t>assistance_quality</t>
        </is>
      </c>
      <c r="C218" s="462" t="inlineStr">
        <is>
          <t>assistance_quality</t>
        </is>
      </c>
      <c r="D218" s="448"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18" s="180">
        <f>LEN(D218)</f>
        <v/>
      </c>
      <c r="F218" s="460" t="inlineStr">
        <is>
          <t>Single Choice</t>
        </is>
      </c>
      <c r="G218" s="180" t="inlineStr">
        <is>
          <t>NA</t>
        </is>
      </c>
      <c r="H218" s="463" t="inlineStr">
        <is>
          <t>NA</t>
        </is>
      </c>
      <c r="I218" s="180" t="inlineStr">
        <is>
          <t>Form Type - Buttons</t>
        </is>
      </c>
      <c r="J218" s="457" t="inlineStr">
        <is>
          <t>1-8 = [callback or optional question]</t>
        </is>
      </c>
      <c r="K218" s="480" t="inlineStr">
        <is>
          <t>NA</t>
        </is>
      </c>
      <c r="L218" s="208" t="inlineStr">
        <is>
          <t>if assistance_quality = 1-8, go to callback or assistance_provider</t>
        </is>
      </c>
      <c r="M218" s="83" t="n"/>
      <c r="N218" s="10" t="n"/>
      <c r="O218" s="392" t="n">
        <v>1</v>
      </c>
      <c r="P218" s="186" t="n"/>
      <c r="R218" s="467" t="inlineStr">
        <is>
          <t>yes</t>
        </is>
      </c>
      <c r="S218" s="193" t="n"/>
      <c r="V218" s="551" t="n">
        <v>10.81245613098145</v>
      </c>
      <c r="W218" s="551">
        <f>IF(V218="","",V218*O218)</f>
        <v/>
      </c>
      <c r="X218" s="186">
        <f>IF(R218="yes",W218,"")</f>
        <v/>
      </c>
    </row>
    <row r="219" customFormat="1" s="192">
      <c r="A219" s="116" t="n"/>
      <c r="B219" s="309" t="n"/>
      <c r="C219" s="103" t="n"/>
      <c r="D219" s="166" t="n"/>
      <c r="E219" s="106" t="n"/>
      <c r="F219" s="117" t="n"/>
      <c r="G219" s="106" t="n"/>
      <c r="H219" s="106" t="n"/>
      <c r="I219" s="106" t="n"/>
      <c r="J219" s="98" t="n"/>
      <c r="K219" s="83" t="n"/>
      <c r="L219" s="308" t="n"/>
      <c r="M219" s="406" t="n"/>
      <c r="N219" s="52" t="n"/>
      <c r="O219" s="392" t="n">
        <v>1</v>
      </c>
      <c r="P219" s="186" t="n"/>
      <c r="R219" s="194" t="n"/>
      <c r="S219" s="193" t="n"/>
      <c r="V219" s="552" t="n"/>
      <c r="W219" s="552">
        <f>IF(V219="","",V219*O219)</f>
        <v/>
      </c>
      <c r="X219" s="186">
        <f>IF(R219="yes",W219,"")</f>
        <v/>
      </c>
    </row>
    <row r="220" ht="187" customFormat="1" customHeight="1" s="192">
      <c r="A220" s="40" t="n"/>
      <c r="B220" s="54" t="inlineStr">
        <is>
          <t>assistance_provider</t>
        </is>
      </c>
      <c r="C220" s="465" t="inlineStr">
        <is>
          <t>assistance_provider
1) assistance_fao
2) assistance_wfp
3) assistance_otherun
4) assistance_gov
5) assistance_ngo
6) assistance_dk
7) assistance_ref</t>
        </is>
      </c>
      <c r="D220" s="428" t="inlineStr">
        <is>
          <t>Who provided your household with this assistance?
[OPERATOR: MULTIPLE RESPONSE.]
1)FAO
2)WFP
3)Other UN agencies
4)Government
5)Non-governmental/local organization
6)DON'T KNOW
7)REFUSED</t>
        </is>
      </c>
      <c r="E220" s="23">
        <f>LEN(D220)</f>
        <v/>
      </c>
      <c r="F220" s="431" t="inlineStr">
        <is>
          <t>Select All That Apply</t>
        </is>
      </c>
      <c r="G220" s="23" t="inlineStr">
        <is>
          <t>NA</t>
        </is>
      </c>
      <c r="H220" s="466" t="inlineStr">
        <is>
          <t>NA</t>
        </is>
      </c>
      <c r="I220" s="23" t="inlineStr">
        <is>
          <t>Form Type - Checklist
6,7 = IsNone</t>
        </is>
      </c>
      <c r="J220" s="42" t="inlineStr">
        <is>
          <t>1-7 = callback</t>
        </is>
      </c>
      <c r="K220" s="84" t="inlineStr">
        <is>
          <t>1)assistance_fao
2)assistance_wfp
3)assistance_otherun
4)assistance_gov
5)assistance_ngo
6)assistance_dk
7)assistance_ref</t>
        </is>
      </c>
      <c r="L220" s="31" t="inlineStr">
        <is>
          <t xml:space="preserve">if assistance_provider = 1-7, go to callback </t>
        </is>
      </c>
      <c r="M220" s="407" t="n"/>
      <c r="N220" s="75" t="n"/>
      <c r="O220" s="392" t="n">
        <v>1</v>
      </c>
      <c r="P220" s="186" t="n"/>
      <c r="R220" s="194" t="inlineStr">
        <is>
          <t>no</t>
        </is>
      </c>
      <c r="S220" s="193" t="n"/>
      <c r="V220" s="552" t="n">
        <v>10.81245613098145</v>
      </c>
      <c r="W220" s="552">
        <f>IF(V220="","",V220*O220)</f>
        <v/>
      </c>
      <c r="X220" s="186">
        <f>IF(R220="yes",W220,"")</f>
        <v/>
      </c>
    </row>
    <row r="221" ht="17" customFormat="1" customHeight="1" s="192" thickBot="1">
      <c r="A221" s="116" t="n"/>
      <c r="B221" s="309" t="n"/>
      <c r="C221" s="103" t="n"/>
      <c r="D221" s="166" t="n"/>
      <c r="E221" s="106" t="n"/>
      <c r="F221" s="117" t="n"/>
      <c r="G221" s="106" t="n"/>
      <c r="H221" s="106" t="n"/>
      <c r="I221" s="106" t="n"/>
      <c r="J221" s="98" t="n"/>
      <c r="K221" s="83" t="n"/>
      <c r="L221" s="308" t="n"/>
      <c r="M221" s="308" t="n"/>
      <c r="N221" s="10" t="n"/>
      <c r="O221" s="392" t="n">
        <v>1</v>
      </c>
      <c r="P221" s="186" t="n"/>
      <c r="R221" s="194" t="n"/>
      <c r="S221" s="193" t="n"/>
      <c r="V221" s="552" t="n"/>
      <c r="W221" s="552">
        <f>IF(V221="","",V221*O221)</f>
        <v/>
      </c>
      <c r="X221" s="186">
        <f>IF(R221="yes",W221,"")</f>
        <v/>
      </c>
    </row>
    <row r="222" ht="17" customFormat="1" customHeight="1" s="464" thickBot="1">
      <c r="A222" s="548" t="inlineStr">
        <is>
          <t>I. CLOSING</t>
        </is>
      </c>
      <c r="B222" s="549" t="n"/>
      <c r="C222" s="549" t="n"/>
      <c r="D222" s="549" t="n"/>
      <c r="E222" s="549" t="n"/>
      <c r="F222" s="549" t="n"/>
      <c r="G222" s="549" t="n"/>
      <c r="H222" s="549" t="n"/>
      <c r="I222" s="549" t="n"/>
      <c r="J222" s="549" t="n"/>
      <c r="K222" s="549" t="n"/>
      <c r="L222" s="549" t="n"/>
      <c r="M222" s="549" t="n"/>
      <c r="N222" s="550" t="n"/>
      <c r="O222" s="318" t="n"/>
      <c r="P222" s="469" t="n"/>
      <c r="R222" s="467" t="n"/>
      <c r="S222" s="470" t="n"/>
      <c r="V222" s="551" t="n"/>
      <c r="W222" s="551">
        <f>IF(V222="","",V222*O222)</f>
        <v/>
      </c>
      <c r="X222" s="469">
        <f>IF(R222="yes",W222,"")</f>
        <v/>
      </c>
    </row>
    <row r="223" ht="119" customFormat="1" customHeight="1" s="192">
      <c r="A223" s="102" t="inlineStr">
        <is>
          <t>NA</t>
        </is>
      </c>
      <c r="B223" s="281" t="inlineStr">
        <is>
          <t>callback</t>
        </is>
      </c>
      <c r="C223" s="191" t="inlineStr">
        <is>
          <t>callback</t>
        </is>
      </c>
      <c r="D223" s="190" t="inlineStr">
        <is>
          <t>Your answers will help us to understand and respond to your community needs. May we call you back again in a few months?
[OPERATOR: SINGLE RESPONSE.]
1)YES
2)NO</t>
        </is>
      </c>
      <c r="E223" s="189">
        <f>LEN(D223)</f>
        <v/>
      </c>
      <c r="F223" s="189" t="inlineStr">
        <is>
          <t>Single Choice</t>
        </is>
      </c>
      <c r="G223" s="189" t="inlineStr">
        <is>
          <t>NA</t>
        </is>
      </c>
      <c r="H223" s="189" t="inlineStr">
        <is>
          <t>NA</t>
        </is>
      </c>
      <c r="I223" s="189" t="inlineStr">
        <is>
          <t>Form Type - Buttons</t>
        </is>
      </c>
      <c r="J223" s="188" t="inlineStr">
        <is>
          <t>1 = leader_contact
2 = language2</t>
        </is>
      </c>
      <c r="K223" s="266" t="inlineStr">
        <is>
          <t>NA</t>
        </is>
      </c>
      <c r="L223" s="188" t="inlineStr">
        <is>
          <t>if callback = 1, go to leader_contact
if 2, go to language2</t>
        </is>
      </c>
      <c r="M223" s="90" t="n"/>
      <c r="N223" s="9" t="n"/>
      <c r="O223" s="318" t="n">
        <v>1</v>
      </c>
      <c r="P223" s="186" t="n"/>
      <c r="R223" s="467" t="inlineStr">
        <is>
          <t>yes</t>
        </is>
      </c>
      <c r="S223" s="193" t="n"/>
      <c r="V223" s="551" t="n">
        <v>14.94646453857422</v>
      </c>
      <c r="W223" s="551">
        <f>IF(V223="","",V223*O223)</f>
        <v/>
      </c>
      <c r="X223" s="186">
        <f>IF(R223="yes",W223,"")</f>
        <v/>
      </c>
    </row>
    <row r="224" ht="187" customFormat="1" customHeight="1" s="335">
      <c r="A224" s="384" t="n"/>
      <c r="B224" s="336" t="inlineStr">
        <is>
          <t>future_int_day</t>
        </is>
      </c>
      <c r="C224" s="337" t="inlineStr">
        <is>
          <t>future_int_day_
1) future_int_day_mon
2) future_int_day_tues
3) future_int_day_wed
4) future_int_day_thurs
5) future_int_day_fri
6) future_int_day_sat
7) future_int_day_sun</t>
        </is>
      </c>
      <c r="D224" s="430" t="inlineStr">
        <is>
          <t>For future interviews, in which day[s] can I call you?
[OPERATOR: MULTIPLE ANSWERS POSSIBLE.]
1)Monday
2)Tuesday
3)Wednesday
4)Thursday
5)Friday
6)Saturday
7)Sunday</t>
        </is>
      </c>
      <c r="E224" s="339">
        <f>LEN(D224)</f>
        <v/>
      </c>
      <c r="F224" s="339" t="inlineStr">
        <is>
          <t>Select All That Apply</t>
        </is>
      </c>
      <c r="G224" s="339" t="inlineStr">
        <is>
          <t>NA</t>
        </is>
      </c>
      <c r="H224" s="339" t="inlineStr">
        <is>
          <t>NA</t>
        </is>
      </c>
      <c r="I224" s="339" t="inlineStr">
        <is>
          <t>Form Type - Checklist</t>
        </is>
      </c>
      <c r="J224" s="340" t="inlineStr">
        <is>
          <t>1-7 = future_int_time</t>
        </is>
      </c>
      <c r="K224" s="266" t="inlineStr">
        <is>
          <t>NA</t>
        </is>
      </c>
      <c r="L224" s="341" t="inlineStr">
        <is>
          <t>if l_future_int_day = 1-7, go to future_int_time</t>
        </is>
      </c>
      <c r="M224" s="329" t="n"/>
      <c r="N224" s="342" t="n"/>
      <c r="O224" s="330" t="n">
        <v>1</v>
      </c>
      <c r="P224" s="333" t="n"/>
      <c r="R224" s="468" t="inlineStr">
        <is>
          <t>yes - panel</t>
        </is>
      </c>
      <c r="V224" s="562" t="n">
        <v>19.35491371154785</v>
      </c>
      <c r="W224" s="551">
        <f>IF(V224="","",V224*O224)</f>
        <v/>
      </c>
      <c r="X224" s="186">
        <f>IF(R224="yes",W224,"")</f>
        <v/>
      </c>
    </row>
    <row r="225" ht="120" customFormat="1" customHeight="1" s="335">
      <c r="A225" s="384" t="n"/>
      <c r="B225" s="336" t="inlineStr">
        <is>
          <t>future_int_time</t>
        </is>
      </c>
      <c r="C225" s="337" t="inlineStr">
        <is>
          <t>future_int_time_ 
1) future_int_time_morn
2) future_int_time_aft
3) future_int_time_eve</t>
        </is>
      </c>
      <c r="D225" s="338" t="inlineStr">
        <is>
          <t>For future interviews, at what time[s] can I call you?
[OPERATOR: MULTIPLE ANSWERS POSSIBLE.]
1)Mornings
2)Afternoons
3)Evenings</t>
        </is>
      </c>
      <c r="E225" s="339">
        <f>LEN(D225)</f>
        <v/>
      </c>
      <c r="F225" s="339" t="inlineStr">
        <is>
          <t>Select All That Apply</t>
        </is>
      </c>
      <c r="G225" s="339" t="inlineStr">
        <is>
          <t>NA</t>
        </is>
      </c>
      <c r="H225" s="339" t="inlineStr">
        <is>
          <t>NA</t>
        </is>
      </c>
      <c r="I225" s="339" t="inlineStr">
        <is>
          <t>Form Type - Checklist</t>
        </is>
      </c>
      <c r="J225" s="340" t="inlineStr">
        <is>
          <t>1-3 = language2</t>
        </is>
      </c>
      <c r="K225" s="266" t="inlineStr">
        <is>
          <t>NA</t>
        </is>
      </c>
      <c r="L225" s="341" t="inlineStr">
        <is>
          <t>if future_int_time = 1-3, go to language2</t>
        </is>
      </c>
      <c r="M225" s="329" t="n"/>
      <c r="N225" s="342" t="n"/>
      <c r="O225" s="330" t="n">
        <v>1</v>
      </c>
      <c r="P225" s="333" t="n"/>
      <c r="R225" s="468" t="inlineStr">
        <is>
          <t>yes - panel</t>
        </is>
      </c>
      <c r="V225" s="562" t="n">
        <v>15.88939952850342</v>
      </c>
      <c r="W225" s="551">
        <f>IF(V225="","",V225*O225)</f>
        <v/>
      </c>
      <c r="X225" s="186">
        <f>IF(R225="yes",W225,"")</f>
        <v/>
      </c>
    </row>
    <row r="226" customFormat="1" s="184">
      <c r="A226" s="307" t="n"/>
      <c r="B226" s="306" t="n"/>
      <c r="C226" s="305" t="n"/>
      <c r="D226" s="304" t="n"/>
      <c r="E226" s="303" t="n"/>
      <c r="F226" s="303" t="n"/>
      <c r="G226" s="302" t="n"/>
      <c r="H226" s="302" t="n"/>
      <c r="I226" s="302" t="n"/>
      <c r="J226" s="301" t="n"/>
      <c r="K226" s="88" t="n"/>
      <c r="L226" s="301" t="n"/>
      <c r="M226" s="300" t="n"/>
      <c r="N226" s="299" t="n"/>
      <c r="O226" s="392" t="n">
        <v>1</v>
      </c>
      <c r="P226" s="186" t="n"/>
      <c r="R226" s="185" t="n"/>
      <c r="V226" s="563" t="n"/>
      <c r="W226" s="552">
        <f>IF(V226="","",V226*O226)</f>
        <v/>
      </c>
      <c r="X226" s="186">
        <f>IF(R226="yes",W226,"")</f>
        <v/>
      </c>
    </row>
    <row r="227" ht="103" customFormat="1" customHeight="1" s="279" thickBot="1">
      <c r="A227" s="383" t="inlineStr">
        <is>
          <t>NA</t>
        </is>
      </c>
      <c r="B227" s="280" t="inlineStr">
        <is>
          <t>language2</t>
        </is>
      </c>
      <c r="C227" s="182" t="inlineStr">
        <is>
          <t>language2</t>
        </is>
      </c>
      <c r="D227" s="507" t="inlineStr">
        <is>
          <t>Select the language that was mostly used to complete the interview.
[OPERATOR: SINGLE RESPONSE.]
1)English
2)other languages [consistent with resp_language]</t>
        </is>
      </c>
      <c r="E227" s="181">
        <f>LEN(D227)</f>
        <v/>
      </c>
      <c r="F227" s="181" t="inlineStr">
        <is>
          <t>Single Choice</t>
        </is>
      </c>
      <c r="G227" s="181" t="inlineStr">
        <is>
          <t>NA</t>
        </is>
      </c>
      <c r="H227" s="181" t="inlineStr">
        <is>
          <t>NA</t>
        </is>
      </c>
      <c r="I227" s="181" t="inlineStr">
        <is>
          <t>Form Type - Buttons</t>
        </is>
      </c>
      <c r="J227" s="202" t="inlineStr">
        <is>
          <t>1-2 = closeout</t>
        </is>
      </c>
      <c r="K227" s="266" t="inlineStr">
        <is>
          <t>NA</t>
        </is>
      </c>
      <c r="L227" s="298" t="inlineStr">
        <is>
          <t>NA</t>
        </is>
      </c>
      <c r="M227" s="167" t="n"/>
      <c r="N227" s="297" t="n"/>
      <c r="O227" s="318" t="n">
        <v>1</v>
      </c>
      <c r="P227" s="186" t="n"/>
      <c r="R227" s="467" t="inlineStr">
        <is>
          <t>yes</t>
        </is>
      </c>
      <c r="S227" s="193" t="n"/>
      <c r="V227" s="551" t="n">
        <v>17.30915408839179</v>
      </c>
      <c r="W227" s="551">
        <f>IF(V227="","",V227*O227)</f>
        <v/>
      </c>
      <c r="X227" s="186">
        <f>IF(R227="yes",W227,"")</f>
        <v/>
      </c>
    </row>
    <row r="228" ht="35" customFormat="1" customHeight="1" s="192" thickBot="1">
      <c r="A228" s="382" t="inlineStr">
        <is>
          <t>NA</t>
        </is>
      </c>
      <c r="B228" s="278" t="inlineStr">
        <is>
          <t>closeout</t>
        </is>
      </c>
      <c r="C228" s="179" t="inlineStr">
        <is>
          <t>closeout</t>
        </is>
      </c>
      <c r="D228" s="178" t="inlineStr">
        <is>
          <t>Thank you for your time. The interview has come to an end. You will receive your #TOPUP# airtime credit on this phone within the next 2 days.</t>
        </is>
      </c>
      <c r="E228" s="177">
        <f>LEN(D228)</f>
        <v/>
      </c>
      <c r="F228" s="177" t="inlineStr">
        <is>
          <t>NA</t>
        </is>
      </c>
      <c r="G228" s="177" t="inlineStr">
        <is>
          <t>NA</t>
        </is>
      </c>
      <c r="H228" s="177" t="inlineStr">
        <is>
          <t>NA</t>
        </is>
      </c>
      <c r="I228" s="177" t="inlineStr">
        <is>
          <t>NA</t>
        </is>
      </c>
      <c r="J228" s="176" t="inlineStr">
        <is>
          <t>NA</t>
        </is>
      </c>
      <c r="K228" s="176" t="n"/>
      <c r="L228" s="175" t="inlineStr">
        <is>
          <t>NA</t>
        </is>
      </c>
      <c r="M228" s="100" t="n"/>
      <c r="N228" s="101" t="n"/>
      <c r="O228" s="318" t="n">
        <v>1</v>
      </c>
      <c r="P228" s="193" t="n"/>
      <c r="R228" s="194" t="inlineStr">
        <is>
          <t>no</t>
        </is>
      </c>
      <c r="S228" s="193" t="n"/>
      <c r="V228" s="564" t="n"/>
      <c r="W228" s="551">
        <f>IF(V228="","",V228*O228)</f>
        <v/>
      </c>
      <c r="X228" s="186">
        <f>IF(R228="yes",W228,"")</f>
        <v/>
      </c>
    </row>
    <row r="229">
      <c r="V229" s="565" t="n"/>
    </row>
    <row r="230" ht="17" customHeight="1" thickBot="1"/>
    <row r="231" ht="18" customHeight="1" thickBot="1">
      <c r="D231" s="277" t="inlineStr">
        <is>
          <t xml:space="preserve">AVERAGE ESTIMATED DURATION </t>
        </is>
      </c>
      <c r="E231" s="276" t="n"/>
      <c r="F231" s="276" t="n"/>
      <c r="G231" s="276" t="n"/>
      <c r="H231" s="276" t="n"/>
      <c r="I231" s="276" t="n"/>
      <c r="J231" s="276" t="n"/>
      <c r="K231" s="276" t="n"/>
      <c r="L231" s="276" t="n"/>
      <c r="M231" s="276" t="n"/>
      <c r="N231" s="276" t="n"/>
      <c r="O231" s="375" t="n"/>
      <c r="V231" s="376" t="n"/>
      <c r="W231" s="475">
        <f>(SUM(W5:W229))/60</f>
        <v/>
      </c>
      <c r="X231" s="474">
        <f>SUM(X2:X228)/60</f>
        <v/>
      </c>
    </row>
    <row r="232" ht="18" customHeight="1" thickBot="1">
      <c r="D232" s="380" t="inlineStr">
        <is>
          <t>AVERAGE ESTIMATED DURATION (without fisheries section)</t>
        </is>
      </c>
      <c r="E232" s="379" t="n"/>
      <c r="F232" s="379" t="n"/>
      <c r="G232" s="379" t="n"/>
      <c r="H232" s="379" t="n"/>
      <c r="I232" s="379" t="n"/>
      <c r="J232" s="379" t="n"/>
      <c r="K232" s="379" t="n"/>
      <c r="L232" s="379" t="n"/>
      <c r="M232" s="379" t="n"/>
      <c r="N232" s="379" t="n"/>
      <c r="O232" s="377" t="n"/>
      <c r="V232" s="378" t="n"/>
      <c r="W232" s="476">
        <f>(SUM(W6:W150)+SUM(W171:W229))/60</f>
        <v/>
      </c>
    </row>
    <row r="233" ht="18" customHeight="1" thickBot="1">
      <c r="D233" s="277" t="inlineStr">
        <is>
          <t>AVERAGE ESTIMATED DURATION (without fisheries section or panel)</t>
        </is>
      </c>
      <c r="E233" s="276" t="n"/>
      <c r="F233" s="276" t="n"/>
      <c r="G233" s="276" t="n"/>
      <c r="H233" s="276" t="n"/>
      <c r="I233" s="276" t="n"/>
      <c r="J233" s="276" t="n"/>
      <c r="K233" s="276" t="n"/>
      <c r="L233" s="276" t="n"/>
      <c r="M233" s="276" t="n"/>
      <c r="N233" s="276" t="n"/>
      <c r="O233" s="375" t="n"/>
      <c r="V233" s="376" t="n"/>
      <c r="W233" s="477">
        <f>(SUM(W6:W26)+SUM(W35:W150)+SUM(W170:W223)+SUM(W226:W229))/60</f>
        <v/>
      </c>
    </row>
  </sheetData>
  <sheetProtection selectLockedCells="0" selectUnlockedCells="0" algorithmName="SHA-512" sheet="1" objects="0" insertRows="0" insertHyperlinks="1" autoFilter="1" scenarios="0" formatColumns="1" deleteColumns="1" insertColumns="1" pivotTables="1" deleteRows="0" formatCells="0" saltValue="kxq0qULOXFZ95TXeadr5bQ==" formatRows="0" sort="1" spinCount="100000" hashValue="DRCRkG5MpgOvKvx12UagCeWfCpNoIEdNLXXDV0NQWO2tN4lSJeMEeyFJegcqRvXYHhdWKBYblIDVr/4VfBbxXQ=="/>
  <autoFilter ref="A3:XEN3"/>
  <mergeCells count="20">
    <mergeCell ref="A1:N1"/>
    <mergeCell ref="A2:M2"/>
    <mergeCell ref="N2:N3"/>
    <mergeCell ref="A4:N4"/>
    <mergeCell ref="A21:N21"/>
    <mergeCell ref="A57:N57"/>
    <mergeCell ref="N64:N65"/>
    <mergeCell ref="N76:N77"/>
    <mergeCell ref="A162:N162"/>
    <mergeCell ref="L36:L37"/>
    <mergeCell ref="A42:N42"/>
    <mergeCell ref="A213:N213"/>
    <mergeCell ref="A222:N222"/>
    <mergeCell ref="A94:N94"/>
    <mergeCell ref="A121:N121"/>
    <mergeCell ref="A129:N129"/>
    <mergeCell ref="A143:N143"/>
    <mergeCell ref="A151:N151"/>
    <mergeCell ref="A170:N170"/>
    <mergeCell ref="N110:N113"/>
  </mergeCells>
  <conditionalFormatting sqref="B14 B16:B19">
    <cfRule type="duplicateValues" priority="589" dxfId="0"/>
  </conditionalFormatting>
  <conditionalFormatting sqref="B15">
    <cfRule type="duplicateValues" priority="192" dxfId="0"/>
    <cfRule type="duplicateValues" priority="193" dxfId="0"/>
  </conditionalFormatting>
  <conditionalFormatting sqref="B20">
    <cfRule type="duplicateValues" priority="588" dxfId="0"/>
  </conditionalFormatting>
  <conditionalFormatting sqref="B28">
    <cfRule type="duplicateValues" priority="446" dxfId="0"/>
  </conditionalFormatting>
  <conditionalFormatting sqref="B34:B35">
    <cfRule type="duplicateValues" priority="439" dxfId="0"/>
  </conditionalFormatting>
  <conditionalFormatting sqref="B36:B37">
    <cfRule type="duplicateValues" priority="209" dxfId="0"/>
  </conditionalFormatting>
  <conditionalFormatting sqref="B38">
    <cfRule type="duplicateValues" priority="198" dxfId="0"/>
  </conditionalFormatting>
  <conditionalFormatting sqref="B49">
    <cfRule type="duplicateValues" priority="602" dxfId="0"/>
  </conditionalFormatting>
  <conditionalFormatting sqref="B50">
    <cfRule type="duplicateValues" priority="917" dxfId="0"/>
  </conditionalFormatting>
  <conditionalFormatting sqref="B53:B54">
    <cfRule type="duplicateValues" priority="558" dxfId="0"/>
  </conditionalFormatting>
  <conditionalFormatting sqref="B60:B62">
    <cfRule type="duplicateValues" priority="208" dxfId="0"/>
  </conditionalFormatting>
  <conditionalFormatting sqref="B65 B68">
    <cfRule type="duplicateValues" priority="586" dxfId="0"/>
  </conditionalFormatting>
  <conditionalFormatting sqref="B66">
    <cfRule type="duplicateValues" priority="224" dxfId="0"/>
  </conditionalFormatting>
  <conditionalFormatting sqref="B67">
    <cfRule type="duplicateValues" priority="226" dxfId="0"/>
  </conditionalFormatting>
  <conditionalFormatting sqref="B72:B74">
    <cfRule type="duplicateValues" priority="204" dxfId="0"/>
  </conditionalFormatting>
  <conditionalFormatting sqref="B75">
    <cfRule type="duplicateValues" priority="7" dxfId="0"/>
  </conditionalFormatting>
  <conditionalFormatting sqref="B76">
    <cfRule type="duplicateValues" priority="553" dxfId="0"/>
  </conditionalFormatting>
  <conditionalFormatting sqref="B77 B80">
    <cfRule type="duplicateValues" priority="584" dxfId="0"/>
  </conditionalFormatting>
  <conditionalFormatting sqref="B78">
    <cfRule type="duplicateValues" priority="217" dxfId="0"/>
  </conditionalFormatting>
  <conditionalFormatting sqref="B79">
    <cfRule type="duplicateValues" priority="218" dxfId="0"/>
  </conditionalFormatting>
  <conditionalFormatting sqref="B84:B86">
    <cfRule type="duplicateValues" priority="200" dxfId="0"/>
  </conditionalFormatting>
  <conditionalFormatting sqref="B87">
    <cfRule type="duplicateValues" priority="759" dxfId="0"/>
  </conditionalFormatting>
  <conditionalFormatting sqref="B88">
    <cfRule type="duplicateValues" priority="213" dxfId="0"/>
  </conditionalFormatting>
  <conditionalFormatting sqref="B89">
    <cfRule type="duplicateValues" priority="214" dxfId="0"/>
  </conditionalFormatting>
  <conditionalFormatting sqref="B90">
    <cfRule type="duplicateValues" priority="406" dxfId="0"/>
  </conditionalFormatting>
  <conditionalFormatting sqref="B93">
    <cfRule type="duplicateValues" priority="546" dxfId="0"/>
  </conditionalFormatting>
  <conditionalFormatting sqref="B104">
    <cfRule type="duplicateValues" priority="210" dxfId="0"/>
  </conditionalFormatting>
  <conditionalFormatting sqref="B106">
    <cfRule type="duplicateValues" priority="399" dxfId="0"/>
  </conditionalFormatting>
  <conditionalFormatting sqref="B107:B109">
    <cfRule type="duplicateValues" priority="579" dxfId="0"/>
  </conditionalFormatting>
  <conditionalFormatting sqref="B114">
    <cfRule type="duplicateValues" priority="405" dxfId="0"/>
  </conditionalFormatting>
  <conditionalFormatting sqref="B116">
    <cfRule type="duplicateValues" priority="592" dxfId="0"/>
  </conditionalFormatting>
  <conditionalFormatting sqref="B117">
    <cfRule type="duplicateValues" priority="395" dxfId="0"/>
  </conditionalFormatting>
  <conditionalFormatting sqref="B118">
    <cfRule type="duplicateValues" priority="550" dxfId="0"/>
  </conditionalFormatting>
  <conditionalFormatting sqref="B119">
    <cfRule type="duplicateValues" priority="597" dxfId="0"/>
  </conditionalFormatting>
  <conditionalFormatting sqref="B120">
    <cfRule type="duplicateValues" priority="404" dxfId="0"/>
  </conditionalFormatting>
  <conditionalFormatting sqref="B122:B123">
    <cfRule type="duplicateValues" priority="639" dxfId="0"/>
  </conditionalFormatting>
  <conditionalFormatting sqref="B126">
    <cfRule type="duplicateValues" priority="443" dxfId="0"/>
  </conditionalFormatting>
  <conditionalFormatting sqref="B128">
    <cfRule type="duplicateValues" priority="197" dxfId="0"/>
  </conditionalFormatting>
  <conditionalFormatting sqref="B131">
    <cfRule type="duplicateValues" priority="442" dxfId="0"/>
  </conditionalFormatting>
  <conditionalFormatting sqref="B137">
    <cfRule type="duplicateValues" priority="593" dxfId="0"/>
  </conditionalFormatting>
  <conditionalFormatting sqref="B138">
    <cfRule type="duplicateValues" priority="403" dxfId="0"/>
  </conditionalFormatting>
  <conditionalFormatting sqref="B140">
    <cfRule type="duplicateValues" priority="590" dxfId="0"/>
    <cfRule type="duplicateValues" priority="591" dxfId="0"/>
  </conditionalFormatting>
  <conditionalFormatting sqref="B141">
    <cfRule type="duplicateValues" priority="596" dxfId="0"/>
  </conditionalFormatting>
  <conditionalFormatting sqref="B142">
    <cfRule type="duplicateValues" priority="402" dxfId="0"/>
  </conditionalFormatting>
  <conditionalFormatting sqref="B147:B148">
    <cfRule type="duplicateValues" priority="577" dxfId="0"/>
  </conditionalFormatting>
  <conditionalFormatting sqref="B150">
    <cfRule type="duplicateValues" priority="547" dxfId="0"/>
  </conditionalFormatting>
  <conditionalFormatting sqref="B152">
    <cfRule type="duplicateValues" priority="548" dxfId="0"/>
  </conditionalFormatting>
  <conditionalFormatting sqref="B153">
    <cfRule type="duplicateValues" priority="441" dxfId="0"/>
  </conditionalFormatting>
  <conditionalFormatting sqref="B154:B155">
    <cfRule type="duplicateValues" priority="576" dxfId="0"/>
  </conditionalFormatting>
  <conditionalFormatting sqref="B161">
    <cfRule type="duplicateValues" priority="401" dxfId="0"/>
  </conditionalFormatting>
  <conditionalFormatting sqref="B165:B168">
    <cfRule type="duplicateValues" priority="575" dxfId="0"/>
  </conditionalFormatting>
  <conditionalFormatting sqref="B169">
    <cfRule type="duplicateValues" priority="440" dxfId="0"/>
  </conditionalFormatting>
  <conditionalFormatting sqref="B171">
    <cfRule type="duplicateValues" priority="196" dxfId="0"/>
  </conditionalFormatting>
  <conditionalFormatting sqref="B177">
    <cfRule type="duplicateValues" priority="573" dxfId="0"/>
  </conditionalFormatting>
  <conditionalFormatting sqref="B178">
    <cfRule type="duplicateValues" priority="571" dxfId="0"/>
  </conditionalFormatting>
  <conditionalFormatting sqref="B180">
    <cfRule type="duplicateValues" priority="569" dxfId="0"/>
  </conditionalFormatting>
  <conditionalFormatting sqref="B182">
    <cfRule type="duplicateValues" priority="567" dxfId="0"/>
  </conditionalFormatting>
  <conditionalFormatting sqref="B183">
    <cfRule type="duplicateValues" priority="194" dxfId="0"/>
  </conditionalFormatting>
  <conditionalFormatting sqref="B196">
    <cfRule type="duplicateValues" priority="565" dxfId="0"/>
  </conditionalFormatting>
  <conditionalFormatting sqref="B197:B205 B207:B209">
    <cfRule type="duplicateValues" priority="598" dxfId="0"/>
  </conditionalFormatting>
  <conditionalFormatting sqref="B206">
    <cfRule type="duplicateValues" priority="453" dxfId="0"/>
  </conditionalFormatting>
  <conditionalFormatting sqref="B210">
    <cfRule type="duplicateValues" priority="451" dxfId="0"/>
  </conditionalFormatting>
  <conditionalFormatting sqref="B211 C197:C205 C207:C209">
    <cfRule type="duplicateValues" priority="884" dxfId="0"/>
  </conditionalFormatting>
  <conditionalFormatting sqref="B212">
    <cfRule type="duplicateValues" priority="452" dxfId="0"/>
  </conditionalFormatting>
  <conditionalFormatting sqref="B219">
    <cfRule type="duplicateValues" priority="362" dxfId="0"/>
  </conditionalFormatting>
  <conditionalFormatting sqref="B221">
    <cfRule type="duplicateValues" priority="400" dxfId="0"/>
  </conditionalFormatting>
  <conditionalFormatting sqref="B227:B232 B223 B214:B217 B179 B163:B164 B124:B125 B127 B2:B3 B144:B146 B69:B71 B81:B83 B115 B132:B136 B139:B140 B149 B156:B160 B172:B176 B181 B45 B51:B52 B5 B24:B27 B195 B55:B56 B91:B92 B100:B102 B7:B14 B29:B33 B47:B48 B234:B1048576 B59 B63:B64 B16:B20 B39:B41">
    <cfRule type="duplicateValues" priority="595" dxfId="0"/>
  </conditionalFormatting>
  <conditionalFormatting sqref="B233">
    <cfRule type="duplicateValues" priority="363" dxfId="0"/>
  </conditionalFormatting>
  <conditionalFormatting sqref="C27">
    <cfRule type="duplicateValues" priority="893" dxfId="0"/>
  </conditionalFormatting>
  <conditionalFormatting sqref="C28">
    <cfRule type="duplicateValues" priority="894" dxfId="0"/>
  </conditionalFormatting>
  <conditionalFormatting sqref="C29:C30 C32:C33">
    <cfRule type="duplicateValues" priority="895" dxfId="0"/>
  </conditionalFormatting>
  <conditionalFormatting sqref="C31">
    <cfRule type="duplicateValues" priority="900" dxfId="0"/>
  </conditionalFormatting>
  <conditionalFormatting sqref="C34:C35">
    <cfRule type="duplicateValues" priority="899" dxfId="0"/>
  </conditionalFormatting>
  <conditionalFormatting sqref="C39 C41">
    <cfRule type="duplicateValues" priority="865" dxfId="0"/>
  </conditionalFormatting>
  <conditionalFormatting sqref="C49">
    <cfRule type="duplicateValues" priority="898" dxfId="0"/>
  </conditionalFormatting>
  <conditionalFormatting sqref="C50">
    <cfRule type="duplicateValues" priority="957" dxfId="0"/>
  </conditionalFormatting>
  <conditionalFormatting sqref="C53">
    <cfRule type="duplicateValues" priority="44" dxfId="0"/>
  </conditionalFormatting>
  <conditionalFormatting sqref="C55">
    <cfRule type="duplicateValues" priority="879" dxfId="0"/>
  </conditionalFormatting>
  <conditionalFormatting sqref="C56">
    <cfRule type="duplicateValues" priority="880" dxfId="0"/>
  </conditionalFormatting>
  <conditionalFormatting sqref="C60">
    <cfRule type="duplicateValues" priority="206" dxfId="0"/>
  </conditionalFormatting>
  <conditionalFormatting sqref="C61">
    <cfRule type="duplicateValues" priority="205" dxfId="0"/>
  </conditionalFormatting>
  <conditionalFormatting sqref="C62">
    <cfRule type="duplicateValues" priority="207" dxfId="0"/>
  </conditionalFormatting>
  <conditionalFormatting sqref="C63">
    <cfRule type="duplicateValues" priority="905" dxfId="0"/>
  </conditionalFormatting>
  <conditionalFormatting sqref="C65 C68">
    <cfRule type="duplicateValues" priority="866" dxfId="0"/>
  </conditionalFormatting>
  <conditionalFormatting sqref="C66">
    <cfRule type="duplicateValues" priority="913" dxfId="0"/>
  </conditionalFormatting>
  <conditionalFormatting sqref="C67">
    <cfRule type="duplicateValues" priority="912" dxfId="0"/>
  </conditionalFormatting>
  <conditionalFormatting sqref="C72">
    <cfRule type="duplicateValues" priority="202" dxfId="0"/>
  </conditionalFormatting>
  <conditionalFormatting sqref="C73">
    <cfRule type="duplicateValues" priority="201" dxfId="0"/>
  </conditionalFormatting>
  <conditionalFormatting sqref="C74">
    <cfRule type="duplicateValues" priority="203" dxfId="0"/>
  </conditionalFormatting>
  <conditionalFormatting sqref="C75">
    <cfRule type="duplicateValues" priority="8" dxfId="0"/>
  </conditionalFormatting>
  <conditionalFormatting sqref="C77 C80">
    <cfRule type="duplicateValues" priority="868" dxfId="0"/>
  </conditionalFormatting>
  <conditionalFormatting sqref="C78">
    <cfRule type="duplicateValues" priority="915" dxfId="0"/>
  </conditionalFormatting>
  <conditionalFormatting sqref="C79">
    <cfRule type="duplicateValues" priority="914" dxfId="0"/>
  </conditionalFormatting>
  <conditionalFormatting sqref="C84:C86">
    <cfRule type="duplicateValues" priority="199" dxfId="0"/>
  </conditionalFormatting>
  <conditionalFormatting sqref="C87">
    <cfRule type="duplicateValues" priority="909" dxfId="0"/>
  </conditionalFormatting>
  <conditionalFormatting sqref="C88">
    <cfRule type="duplicateValues" priority="916" dxfId="0"/>
  </conditionalFormatting>
  <conditionalFormatting sqref="C92">
    <cfRule type="duplicateValues" priority="871" dxfId="0"/>
  </conditionalFormatting>
  <conditionalFormatting sqref="C104">
    <cfRule type="duplicateValues" priority="902" dxfId="0"/>
  </conditionalFormatting>
  <conditionalFormatting sqref="C106">
    <cfRule type="duplicateValues" priority="901" dxfId="0"/>
  </conditionalFormatting>
  <conditionalFormatting sqref="C107:C109">
    <cfRule type="duplicateValues" priority="872" dxfId="0"/>
  </conditionalFormatting>
  <conditionalFormatting sqref="C118">
    <cfRule type="duplicateValues" priority="883" dxfId="0"/>
  </conditionalFormatting>
  <conditionalFormatting sqref="C119">
    <cfRule type="duplicateValues" priority="888" dxfId="0"/>
  </conditionalFormatting>
  <conditionalFormatting sqref="C122">
    <cfRule type="duplicateValues" priority="903" dxfId="0"/>
  </conditionalFormatting>
  <conditionalFormatting sqref="C141">
    <cfRule type="duplicateValues" priority="887" dxfId="0"/>
  </conditionalFormatting>
  <conditionalFormatting sqref="C165">
    <cfRule type="duplicateValues" priority="873" dxfId="0"/>
  </conditionalFormatting>
  <conditionalFormatting sqref="C171">
    <cfRule type="duplicateValues" priority="195" dxfId="0"/>
  </conditionalFormatting>
  <conditionalFormatting sqref="C177">
    <cfRule type="duplicateValues" priority="874" dxfId="0"/>
  </conditionalFormatting>
  <conditionalFormatting sqref="C178">
    <cfRule type="duplicateValues" priority="875" dxfId="0"/>
  </conditionalFormatting>
  <conditionalFormatting sqref="C180">
    <cfRule type="duplicateValues" priority="876" dxfId="0"/>
  </conditionalFormatting>
  <conditionalFormatting sqref="C182">
    <cfRule type="duplicateValues" priority="877" dxfId="0"/>
  </conditionalFormatting>
  <conditionalFormatting sqref="C196">
    <cfRule type="duplicateValues" priority="878" dxfId="0"/>
  </conditionalFormatting>
  <conditionalFormatting sqref="C206">
    <cfRule type="duplicateValues" priority="889" dxfId="0"/>
  </conditionalFormatting>
  <conditionalFormatting sqref="C210">
    <cfRule type="duplicateValues" priority="892" dxfId="0"/>
  </conditionalFormatting>
  <conditionalFormatting sqref="C211">
    <cfRule type="duplicateValues" priority="890" dxfId="0"/>
  </conditionalFormatting>
  <conditionalFormatting sqref="C212">
    <cfRule type="duplicateValues" priority="891" dxfId="0"/>
  </conditionalFormatting>
  <conditionalFormatting sqref="D27:D35 D224:D226">
    <cfRule type="expression" priority="9" dxfId="31" stopIfTrue="1">
      <formula>OR($A27="audio", $A27="video")</formula>
    </cfRule>
    <cfRule type="expression" priority="10" dxfId="30" stopIfTrue="1">
      <formula>OR($A27="audio", $A27="video")</formula>
    </cfRule>
    <cfRule type="expression" priority="11" dxfId="29" stopIfTrue="1">
      <formula>$A27="image"</formula>
    </cfRule>
    <cfRule type="expression" priority="12" dxfId="28" stopIfTrue="1">
      <formula>$A27="image"</formula>
    </cfRule>
    <cfRule type="expression" priority="13" dxfId="27" stopIfTrue="1">
      <formula>OR($A27="date", $A27="datetime")</formula>
    </cfRule>
    <cfRule type="expression" priority="24" dxfId="26" stopIfTrue="1">
      <formula>OR(AND(LEFT($A27, 16)="select_multiple ", LEN($A27)&gt;16, NOT(ISNUMBER(SEARCH(" ", $A27, 17)))), AND(LEFT($A27, 11)="select_one ", LEN($A27)&gt;11, NOT(ISNUMBER(SEARCH(" ", $A27, 12)))))</formula>
    </cfRule>
    <cfRule type="expression" priority="23" dxfId="25" stopIfTrue="1">
      <formula>OR($A27="username", $A27="phonenumber", $A27="start", $A27="end", $A27="deviceid", $A27="subscriberid", $A27="simserial")</formula>
    </cfRule>
    <cfRule type="expression" priority="14" dxfId="24" stopIfTrue="1">
      <formula>OR($A27="date", $A27="datetime")</formula>
    </cfRule>
    <cfRule type="expression" priority="15" dxfId="23" stopIfTrue="1">
      <formula>OR($A27="calculate", $A27="calculate_here")</formula>
    </cfRule>
    <cfRule type="expression" priority="16" dxfId="22" stopIfTrue="1">
      <formula>$A27="note"</formula>
    </cfRule>
    <cfRule type="expression" priority="17" dxfId="21" stopIfTrue="1">
      <formula>$A27="note"</formula>
    </cfRule>
    <cfRule type="expression" priority="18" dxfId="20" stopIfTrue="1">
      <formula>$A27="barcode"</formula>
    </cfRule>
    <cfRule type="expression" priority="19" dxfId="19" stopIfTrue="1">
      <formula>$A27="barcode"</formula>
    </cfRule>
    <cfRule type="expression" priority="20" dxfId="18" stopIfTrue="1">
      <formula>$A27="geopoint"</formula>
    </cfRule>
    <cfRule type="expression" priority="21" dxfId="17" stopIfTrue="1">
      <formula>$A27="geopoint"</formula>
    </cfRule>
    <cfRule type="expression" priority="22" dxfId="16" stopIfTrue="1">
      <formula>OR($A27="audio audit", $A27="text audit")</formula>
    </cfRule>
    <cfRule type="expression" priority="37" dxfId="13" stopIfTrue="1">
      <formula>$A27="begin group"</formula>
    </cfRule>
    <cfRule type="expression" priority="36" dxfId="14" stopIfTrue="1">
      <formula>$A27="begin group"</formula>
    </cfRule>
    <cfRule type="expression" priority="35" dxfId="13" stopIfTrue="1">
      <formula>$A27="end group"</formula>
    </cfRule>
    <cfRule type="expression" priority="34" dxfId="10" stopIfTrue="1">
      <formula>$A27="begin repeat"</formula>
    </cfRule>
    <cfRule type="expression" priority="33" dxfId="11" stopIfTrue="1">
      <formula>$A27="begin repeat"</formula>
    </cfRule>
    <cfRule type="expression" priority="32" dxfId="10" stopIfTrue="1">
      <formula>$A27="end repeat"</formula>
    </cfRule>
    <cfRule type="expression" priority="31" dxfId="9" stopIfTrue="1">
      <formula>$A27="text"</formula>
    </cfRule>
    <cfRule type="expression" priority="30" dxfId="8" stopIfTrue="1">
      <formula>$A27="text"</formula>
    </cfRule>
    <cfRule type="expression" priority="29" dxfId="7" stopIfTrue="1">
      <formula>$A27="integer"</formula>
    </cfRule>
    <cfRule type="expression" priority="28" dxfId="6" stopIfTrue="1">
      <formula>$A27="integer"</formula>
    </cfRule>
    <cfRule type="expression" priority="27" dxfId="5" stopIfTrue="1">
      <formula>$A27="decimal"</formula>
    </cfRule>
    <cfRule type="expression" priority="26" dxfId="4" stopIfTrue="1">
      <formula>$A27="decimal"</formula>
    </cfRule>
    <cfRule type="expression" priority="25" dxfId="3" stopIfTrue="1">
      <formula>OR(AND(LEFT($A27, 16)="select_multiple ", LEN($A27)&gt;16, NOT(ISNUMBER(SEARCH(" ", $A27, 17)))), AND(LEFT($A27, 11)="select_one ", LEN($A27)&gt;11, NOT(ISNUMBER(SEARCH(" ", $A27, 12)))))</formula>
    </cfRule>
  </conditionalFormatting>
  <conditionalFormatting sqref="D45">
    <cfRule type="cellIs" priority="559" operator="notEqual" dxfId="0">
      <formula>$D$45</formula>
    </cfRule>
  </conditionalFormatting>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10" defaultColWidth="11.5" defaultRowHeight="15"/>
  <sheetData>
    <row r="1">
      <c r="A1" t="inlineStr">
        <is>
          <t>question</t>
        </is>
      </c>
      <c r="B1" t="inlineStr">
        <is>
          <t>duration</t>
        </is>
      </c>
      <c r="C1" t="inlineStr">
        <is>
          <t>responded %</t>
        </is>
      </c>
      <c r="D1" t="inlineStr">
        <is>
          <t>weighted time</t>
        </is>
      </c>
    </row>
    <row r="2">
      <c r="A2" t="inlineStr">
        <is>
          <t>introduction</t>
        </is>
      </c>
      <c r="B2" s="66" t="n">
        <v>50.82254028320312</v>
      </c>
      <c r="C2" s="67" t="n">
        <v>1</v>
      </c>
      <c r="D2" s="66" t="n">
        <v>50.82254028320312</v>
      </c>
    </row>
    <row r="3">
      <c r="A3" t="inlineStr">
        <is>
          <t>agree</t>
        </is>
      </c>
      <c r="B3" s="66" t="n">
        <v>3.496473789215088</v>
      </c>
      <c r="C3" s="67" t="n">
        <v>0.7969874100719424</v>
      </c>
      <c r="D3" s="66" t="n">
        <v>2.786645589650964</v>
      </c>
    </row>
    <row r="4">
      <c r="A4" t="inlineStr">
        <is>
          <t>resp_age</t>
        </is>
      </c>
      <c r="B4" s="66" t="n">
        <v>13.75307273864746</v>
      </c>
      <c r="C4" s="67" t="n">
        <v>1</v>
      </c>
      <c r="D4" s="66" t="n">
        <v>13.75307273864746</v>
      </c>
    </row>
    <row r="5">
      <c r="A5" t="inlineStr">
        <is>
          <t>resp_gender</t>
        </is>
      </c>
      <c r="B5" s="66" t="n">
        <v>2.117356061935425</v>
      </c>
      <c r="C5" s="67" t="n">
        <v>1</v>
      </c>
      <c r="D5" s="66" t="n">
        <v>2.117356061935425</v>
      </c>
    </row>
    <row r="6">
      <c r="A6" t="inlineStr">
        <is>
          <t>quotareached</t>
        </is>
      </c>
      <c r="B6" s="66" t="n">
        <v>2.284250020980835</v>
      </c>
      <c r="C6" s="67" t="n">
        <v>0.7969874100719424</v>
      </c>
      <c r="D6" s="66" t="n">
        <v>1.820518508178296</v>
      </c>
    </row>
    <row r="7">
      <c r="A7" t="inlineStr">
        <is>
          <t>hh_agricactivity</t>
        </is>
      </c>
      <c r="B7" s="66" t="n">
        <v>31.37237739562988</v>
      </c>
      <c r="C7" s="67" t="n">
        <v>1</v>
      </c>
      <c r="D7" s="66" t="n">
        <v>31.37237739562988</v>
      </c>
    </row>
    <row r="8">
      <c r="A8" t="inlineStr">
        <is>
          <t>hh_milieu</t>
        </is>
      </c>
      <c r="B8" s="66" t="n">
        <v>7.922545433044434</v>
      </c>
      <c r="C8" s="67" t="n">
        <v>0.1519034772182254</v>
      </c>
      <c r="D8" s="66" t="n">
        <v>1.203462199698821</v>
      </c>
    </row>
    <row r="9">
      <c r="A9" t="inlineStr">
        <is>
          <t>hh_gender</t>
        </is>
      </c>
      <c r="B9" s="66" t="n">
        <v>10.08573150634766</v>
      </c>
      <c r="C9" s="67" t="n">
        <v>1</v>
      </c>
      <c r="D9" s="66" t="n">
        <v>10.08573150634766</v>
      </c>
    </row>
    <row r="10">
      <c r="A10" t="inlineStr">
        <is>
          <t>hh_education</t>
        </is>
      </c>
      <c r="B10" s="66" t="n">
        <v>12.89403438568115</v>
      </c>
      <c r="C10" s="67" t="n">
        <v>1</v>
      </c>
      <c r="D10" s="66" t="n">
        <v>12.89403438568115</v>
      </c>
    </row>
    <row r="11">
      <c r="A11" t="inlineStr">
        <is>
          <t>hh_wealth_water</t>
        </is>
      </c>
      <c r="B11" s="66" t="n">
        <v>15.26582908630371</v>
      </c>
      <c r="C11" s="67" t="n">
        <v>0.6379646282973621</v>
      </c>
      <c r="D11" s="66" t="n">
        <v>9.739058978694805</v>
      </c>
    </row>
    <row r="12">
      <c r="A12" t="inlineStr">
        <is>
          <t>hh_wealth_toilet</t>
        </is>
      </c>
      <c r="B12" s="66" t="n">
        <v>15.12371826171875</v>
      </c>
      <c r="C12" s="67" t="n">
        <v>0.5918015587529976</v>
      </c>
      <c r="D12" s="66" t="n">
        <v>8.950240041426332</v>
      </c>
    </row>
    <row r="13">
      <c r="A13" t="inlineStr">
        <is>
          <t>hh_wealthwall</t>
        </is>
      </c>
      <c r="B13" s="66" t="n">
        <v>12.8214111328125</v>
      </c>
      <c r="C13" s="67" t="n">
        <v>0.1519034772182254</v>
      </c>
      <c r="D13" s="66" t="n">
        <v>1.947616933918685</v>
      </c>
    </row>
    <row r="14">
      <c r="A14" t="inlineStr">
        <is>
          <t>hh_size</t>
        </is>
      </c>
      <c r="B14" s="66" t="n">
        <v>15.21184825897217</v>
      </c>
      <c r="C14" s="67" t="n">
        <v>0.5161121103117506</v>
      </c>
      <c r="D14" s="66" t="n">
        <v>7.851019106680256</v>
      </c>
    </row>
    <row r="15">
      <c r="A15" t="inlineStr">
        <is>
          <t>hh_reprwomen</t>
        </is>
      </c>
      <c r="B15" s="66" t="n">
        <v>19.31031036376953</v>
      </c>
      <c r="C15" s="67" t="n">
        <v>0.1519034772182254</v>
      </c>
      <c r="D15" s="66" t="n">
        <v>2.933303290419727</v>
      </c>
    </row>
    <row r="16">
      <c r="A16" t="inlineStr">
        <is>
          <t>income_main</t>
        </is>
      </c>
      <c r="B16" s="66" t="n">
        <v>36.92873382568359</v>
      </c>
      <c r="C16" s="67" t="n">
        <v>1</v>
      </c>
      <c r="D16" s="66" t="n">
        <v>36.92873382568359</v>
      </c>
    </row>
    <row r="17">
      <c r="A17" t="inlineStr">
        <is>
          <t>income_main_amount</t>
        </is>
      </c>
      <c r="B17" s="66" t="n">
        <v>40.04731750488281</v>
      </c>
      <c r="C17" s="67" t="n">
        <v>0.7554706235011991</v>
      </c>
      <c r="D17" s="66" t="n">
        <v>30.2545719249643</v>
      </c>
    </row>
    <row r="18">
      <c r="A18" t="inlineStr">
        <is>
          <t>income_main_amount_conf</t>
        </is>
      </c>
      <c r="B18" s="66" t="n">
        <v>3.687011003494263</v>
      </c>
      <c r="C18" s="67" t="n">
        <v>0.04788669064748202</v>
      </c>
      <c r="D18" s="66" t="n">
        <v>0.176558755338192</v>
      </c>
    </row>
    <row r="19">
      <c r="A19" t="inlineStr">
        <is>
          <t>income_main_comp</t>
        </is>
      </c>
      <c r="B19" s="66" t="n">
        <v>27.24216651916504</v>
      </c>
      <c r="C19" s="67" t="n">
        <v>0.9447691846522782</v>
      </c>
      <c r="D19" s="66" t="n">
        <v>25.73755945047315</v>
      </c>
    </row>
    <row r="20">
      <c r="A20" t="inlineStr">
        <is>
          <t>income_sec</t>
        </is>
      </c>
      <c r="B20" s="66" t="n">
        <v>25.30800437927246</v>
      </c>
      <c r="C20" s="67" t="n">
        <v>0.9447691846522782</v>
      </c>
      <c r="D20" s="66" t="n">
        <v>23.91022266258153</v>
      </c>
    </row>
    <row r="21">
      <c r="A21" t="inlineStr">
        <is>
          <t>income_sec_amount</t>
        </is>
      </c>
      <c r="B21" s="66" t="n">
        <v>30.82847023010254</v>
      </c>
      <c r="C21" s="67" t="n">
        <v>0.3390287769784173</v>
      </c>
      <c r="D21" s="66" t="n">
        <v>10.45173855822721</v>
      </c>
    </row>
    <row r="22">
      <c r="A22" t="inlineStr">
        <is>
          <t>income_sec_amount_conf</t>
        </is>
      </c>
      <c r="B22" s="66" t="n">
        <v>2.29411768913269</v>
      </c>
      <c r="C22" s="67" t="n">
        <v>0.0114658273381295</v>
      </c>
      <c r="D22" s="66" t="n">
        <v>0.02630395731694407</v>
      </c>
    </row>
    <row r="23">
      <c r="A23" t="inlineStr">
        <is>
          <t>income_sec_comp</t>
        </is>
      </c>
      <c r="B23" s="66" t="n">
        <v>21.19325637817383</v>
      </c>
      <c r="C23" s="67" t="n">
        <v>0.431205035971223</v>
      </c>
      <c r="D23" s="66" t="n">
        <v>9.138638878897797</v>
      </c>
    </row>
    <row r="24">
      <c r="A24" t="inlineStr">
        <is>
          <t>income_third</t>
        </is>
      </c>
      <c r="B24" s="66" t="n">
        <v>20.22992706298828</v>
      </c>
      <c r="C24" s="67" t="n">
        <v>0.431205035971223</v>
      </c>
      <c r="D24" s="66" t="n">
        <v>8.72324642689108</v>
      </c>
    </row>
    <row r="25">
      <c r="A25" t="inlineStr">
        <is>
          <t>income_third_amount</t>
        </is>
      </c>
      <c r="B25" s="66" t="n">
        <v>29.42983245849609</v>
      </c>
      <c r="C25" s="67" t="n">
        <v>0.07636390887290168</v>
      </c>
      <c r="D25" s="66" t="n">
        <v>2.24737704400536</v>
      </c>
    </row>
    <row r="26">
      <c r="A26" t="inlineStr">
        <is>
          <t>income_third_amount_conf</t>
        </is>
      </c>
      <c r="B26" s="66" t="n">
        <v>1.555555582046509</v>
      </c>
      <c r="C26" s="67" t="n">
        <v>0.002023381294964029</v>
      </c>
      <c r="D26" s="66" t="n">
        <v>0.003147482067989788</v>
      </c>
    </row>
    <row r="27">
      <c r="A27" t="inlineStr">
        <is>
          <t>income_third_comp</t>
        </is>
      </c>
      <c r="B27" s="66" t="n">
        <v>16.34839630126953</v>
      </c>
      <c r="C27" s="67" t="n">
        <v>0.1144334532374101</v>
      </c>
      <c r="D27" s="66" t="n">
        <v>1.870803443647975</v>
      </c>
    </row>
    <row r="28">
      <c r="A28" t="inlineStr">
        <is>
          <t>covid_policy</t>
        </is>
      </c>
      <c r="B28" s="66" t="n">
        <v>39.025390625</v>
      </c>
      <c r="C28" s="67" t="n">
        <v>0.7969124700239808</v>
      </c>
      <c r="D28" s="66" t="n">
        <v>31.09982043661945</v>
      </c>
    </row>
    <row r="29">
      <c r="A29" t="inlineStr">
        <is>
          <t>wagecompar</t>
        </is>
      </c>
      <c r="B29" s="66" t="n">
        <v>10.04008483886719</v>
      </c>
      <c r="C29" s="67" t="n">
        <v>0.03552158273381295</v>
      </c>
      <c r="D29" s="66" t="n">
        <v>0.3566397042583219</v>
      </c>
    </row>
    <row r="30">
      <c r="A30" t="inlineStr">
        <is>
          <t>hh_explanation</t>
        </is>
      </c>
      <c r="B30" s="66" t="n">
        <v>26.11878204345703</v>
      </c>
      <c r="C30" s="67" t="n">
        <v>0.3570893285371702</v>
      </c>
      <c r="D30" s="66" t="n">
        <v>9.32673834210677</v>
      </c>
    </row>
    <row r="31">
      <c r="A31" t="inlineStr">
        <is>
          <t>crp_main</t>
        </is>
      </c>
      <c r="B31" s="66" t="n">
        <v>27.05755233764648</v>
      </c>
      <c r="C31" s="67" t="n">
        <v>0.5065197841726619</v>
      </c>
      <c r="D31" s="66" t="n">
        <v>13.7051855703052</v>
      </c>
    </row>
    <row r="32">
      <c r="A32" t="inlineStr">
        <is>
          <t>crp_landsize</t>
        </is>
      </c>
      <c r="B32" s="66" t="n">
        <v>15.98350524902344</v>
      </c>
      <c r="C32" s="67" t="n">
        <v>0.3770983213429256</v>
      </c>
      <c r="D32" s="66" t="n">
        <v>6.027352998582579</v>
      </c>
    </row>
    <row r="33">
      <c r="A33" t="inlineStr">
        <is>
          <t>crp_landsmall</t>
        </is>
      </c>
      <c r="B33" s="66" t="n">
        <v>3.411157131195068</v>
      </c>
      <c r="C33" s="67" t="n">
        <v>0.03627098321342925</v>
      </c>
      <c r="D33" s="66" t="n">
        <v>0.1237260230439458</v>
      </c>
    </row>
    <row r="34">
      <c r="A34" t="inlineStr">
        <is>
          <t>crp_landmedium</t>
        </is>
      </c>
      <c r="B34" s="66" t="n">
        <v>5.63265323638916</v>
      </c>
      <c r="C34" s="67" t="n">
        <v>0.003672062350119904</v>
      </c>
      <c r="D34" s="66" t="n">
        <v>0.02068345388062566</v>
      </c>
    </row>
    <row r="35">
      <c r="A35" t="inlineStr">
        <is>
          <t>crp_irrigation</t>
        </is>
      </c>
      <c r="B35" s="66" t="n">
        <v>15.95429515838623</v>
      </c>
      <c r="C35" s="67" t="n">
        <v>0.2590677458033573</v>
      </c>
      <c r="D35" s="66" t="n">
        <v>4.133243282564539</v>
      </c>
    </row>
    <row r="36">
      <c r="A36" t="inlineStr">
        <is>
          <t>crp_seed_supply</t>
        </is>
      </c>
      <c r="B36" s="66" t="n">
        <v>17.92890930175781</v>
      </c>
      <c r="C36" s="67" t="n">
        <v>0.1423111510791367</v>
      </c>
      <c r="D36" s="66" t="n">
        <v>2.551483720326595</v>
      </c>
    </row>
    <row r="37">
      <c r="A37" t="inlineStr">
        <is>
          <t>crp_area_change</t>
        </is>
      </c>
      <c r="B37" s="66" t="n">
        <v>25.43687438964844</v>
      </c>
      <c r="C37" s="67" t="n">
        <v>0.4938549160671463</v>
      </c>
      <c r="D37" s="66" t="n">
        <v>12.56212546671037</v>
      </c>
    </row>
    <row r="38">
      <c r="A38" t="inlineStr">
        <is>
          <t>crp_harv_change</t>
        </is>
      </c>
      <c r="B38" s="66" t="n">
        <v>19.36494636535645</v>
      </c>
      <c r="C38" s="67" t="n">
        <v>0.4938549160671463</v>
      </c>
      <c r="D38" s="66" t="n">
        <v>9.563473961907896</v>
      </c>
    </row>
    <row r="39">
      <c r="A39" t="inlineStr">
        <is>
          <t>crp_proddif_1</t>
        </is>
      </c>
      <c r="B39" s="66" t="n">
        <v>13.45886421203613</v>
      </c>
      <c r="C39" s="67" t="n">
        <v>0.3880395683453237</v>
      </c>
      <c r="D39" s="66" t="n">
        <v>5.222571859256826</v>
      </c>
    </row>
    <row r="40">
      <c r="A40" t="inlineStr">
        <is>
          <t>crp_proddif_2</t>
        </is>
      </c>
      <c r="B40" s="66" t="n">
        <v>37.52328872680664</v>
      </c>
      <c r="C40" s="67" t="n">
        <v>0.3073291366906475</v>
      </c>
      <c r="D40" s="66" t="n">
        <v>11.53199993020339</v>
      </c>
    </row>
    <row r="41">
      <c r="A41" t="inlineStr">
        <is>
          <t>crp_salesdif_1</t>
        </is>
      </c>
      <c r="B41" s="66" t="n">
        <v>12.68148708343506</v>
      </c>
      <c r="C41" s="67" t="n">
        <v>0.2983363309352518</v>
      </c>
      <c r="D41" s="66" t="n">
        <v>3.783348327274803</v>
      </c>
    </row>
    <row r="42">
      <c r="A42" t="inlineStr">
        <is>
          <t>crp_salesdif_2</t>
        </is>
      </c>
      <c r="B42" s="66" t="n">
        <v>22.61360931396484</v>
      </c>
      <c r="C42" s="67" t="n">
        <v>0.1233513189448441</v>
      </c>
      <c r="D42" s="66" t="n">
        <v>2.789418534980975</v>
      </c>
    </row>
    <row r="43">
      <c r="A43" t="inlineStr">
        <is>
          <t>crp_salesprice</t>
        </is>
      </c>
      <c r="B43" s="66" t="n">
        <v>21.70190811157227</v>
      </c>
      <c r="C43" s="67" t="n">
        <v>0.3848920863309352</v>
      </c>
      <c r="D43" s="66" t="n">
        <v>8.352892690425296</v>
      </c>
    </row>
    <row r="44">
      <c r="A44" t="inlineStr">
        <is>
          <t>mrk_inno</t>
        </is>
      </c>
      <c r="B44" s="66" t="n">
        <v>12.12575531005859</v>
      </c>
      <c r="C44" s="67" t="n">
        <v>0.06197541966426859</v>
      </c>
      <c r="D44" s="66" t="n">
        <v>0.7514987740871146</v>
      </c>
    </row>
    <row r="45">
      <c r="A45" t="inlineStr">
        <is>
          <t>crp_proc</t>
        </is>
      </c>
      <c r="B45" s="66" t="n">
        <v>13.56026268005371</v>
      </c>
      <c r="C45" s="67" t="n">
        <v>0.1486061151079137</v>
      </c>
      <c r="D45" s="66" t="n">
        <v>2.015137956725607</v>
      </c>
    </row>
    <row r="46">
      <c r="A46" t="inlineStr">
        <is>
          <t>crp_proc_mach</t>
        </is>
      </c>
      <c r="B46" s="66" t="n">
        <v>14.0656566619873</v>
      </c>
      <c r="C46" s="67" t="n">
        <v>0.01483812949640288</v>
      </c>
      <c r="D46" s="66" t="n">
        <v>0.2087080350025095</v>
      </c>
    </row>
    <row r="47">
      <c r="A47" t="inlineStr">
        <is>
          <t>crp_proc_owner</t>
        </is>
      </c>
      <c r="B47" s="66" t="n">
        <v>11.01092910766602</v>
      </c>
      <c r="C47" s="67" t="n">
        <v>0.01371402877697842</v>
      </c>
      <c r="D47" s="66" t="n">
        <v>0.151004198643801</v>
      </c>
    </row>
    <row r="48">
      <c r="A48" t="inlineStr">
        <is>
          <t>crp_proc_state</t>
        </is>
      </c>
      <c r="B48" s="66" t="n">
        <v>4.896174907684326</v>
      </c>
      <c r="C48" s="67" t="n">
        <v>0.01371402877697842</v>
      </c>
      <c r="D48" s="66" t="n">
        <v>0.06714628358110249</v>
      </c>
    </row>
    <row r="49">
      <c r="A49" t="inlineStr">
        <is>
          <t>ls_main</t>
        </is>
      </c>
      <c r="B49" s="66" t="n">
        <v>20.2944221496582</v>
      </c>
      <c r="C49" s="67" t="n">
        <v>0.4057254196642686</v>
      </c>
      <c r="D49" s="66" t="n">
        <v>8.233962943513902</v>
      </c>
    </row>
    <row r="50">
      <c r="A50" t="inlineStr">
        <is>
          <t>ls_num_lastyr</t>
        </is>
      </c>
      <c r="B50" s="66" t="n">
        <v>18.53907775878906</v>
      </c>
      <c r="C50" s="67" t="n">
        <v>0.4027278177458034</v>
      </c>
      <c r="D50" s="66" t="n">
        <v>7.466202328816878</v>
      </c>
    </row>
    <row r="51">
      <c r="A51" t="inlineStr">
        <is>
          <t>ls_num_now</t>
        </is>
      </c>
      <c r="B51" s="66" t="n">
        <v>8.915891647338867</v>
      </c>
      <c r="C51" s="67" t="n">
        <v>0.4027278177458034</v>
      </c>
      <c r="D51" s="66" t="n">
        <v>3.590677586390818</v>
      </c>
    </row>
    <row r="52">
      <c r="A52" t="inlineStr">
        <is>
          <t>ls_num_change</t>
        </is>
      </c>
      <c r="B52" s="66" t="n">
        <v>25.81001091003418</v>
      </c>
      <c r="C52" s="67" t="n">
        <v>0.4027278177458034</v>
      </c>
      <c r="D52" s="66" t="n">
        <v>10.39440936979344</v>
      </c>
    </row>
    <row r="53">
      <c r="A53" t="inlineStr">
        <is>
          <t>ls_food_supply</t>
        </is>
      </c>
      <c r="B53" s="66" t="n">
        <v>19.55319786071777</v>
      </c>
      <c r="C53" s="67" t="n">
        <v>0.293015587529976</v>
      </c>
      <c r="D53" s="66" t="n">
        <v>5.729391759248089</v>
      </c>
    </row>
    <row r="54">
      <c r="A54" t="inlineStr">
        <is>
          <t>ls_proddif_1</t>
        </is>
      </c>
      <c r="B54" s="66" t="n">
        <v>13.61331653594971</v>
      </c>
      <c r="C54" s="67" t="n">
        <v>0.3038818944844125</v>
      </c>
      <c r="D54" s="66" t="n">
        <v>4.136840419160377</v>
      </c>
    </row>
    <row r="55">
      <c r="A55" t="inlineStr">
        <is>
          <t>ls_proddif_2</t>
        </is>
      </c>
      <c r="B55" s="66" t="n">
        <v>27.75464820861816</v>
      </c>
      <c r="C55" s="67" t="n">
        <v>0.205560551558753</v>
      </c>
      <c r="D55" s="66" t="n">
        <v>5.705260794082705</v>
      </c>
    </row>
    <row r="56">
      <c r="A56" t="inlineStr">
        <is>
          <t>ls_salesmain</t>
        </is>
      </c>
      <c r="B56" s="66" t="n">
        <v>13.99939060211182</v>
      </c>
      <c r="C56" s="67" t="n">
        <v>0.2460281774580336</v>
      </c>
      <c r="D56" s="66" t="n">
        <v>3.444244555360693</v>
      </c>
    </row>
    <row r="57">
      <c r="A57" t="inlineStr">
        <is>
          <t>ls_salesdif_1</t>
        </is>
      </c>
      <c r="B57" s="66" t="n">
        <v>10.25279426574707</v>
      </c>
      <c r="C57" s="67" t="n">
        <v>0.174310551558753</v>
      </c>
      <c r="D57" s="66" t="n">
        <v>1.787170223480792</v>
      </c>
    </row>
    <row r="58">
      <c r="A58" t="inlineStr">
        <is>
          <t>ls_salesdif_2</t>
        </is>
      </c>
      <c r="B58" s="66" t="n">
        <v>24.19434356689453</v>
      </c>
      <c r="C58" s="67" t="n">
        <v>0.1033423261390887</v>
      </c>
      <c r="D58" s="66" t="n">
        <v>2.500299743611178</v>
      </c>
    </row>
    <row r="59">
      <c r="A59" t="inlineStr">
        <is>
          <t>ls_salesprice</t>
        </is>
      </c>
      <c r="B59" s="66" t="n">
        <v>19.32173728942871</v>
      </c>
      <c r="C59" s="67" t="n">
        <v>0.234787170263789</v>
      </c>
      <c r="D59" s="66" t="n">
        <v>4.5364960227653</v>
      </c>
    </row>
    <row r="60">
      <c r="A60" t="inlineStr">
        <is>
          <t>ls_proc_1</t>
        </is>
      </c>
      <c r="B60" s="66" t="n">
        <v>6.094890594482422</v>
      </c>
      <c r="C60" s="67" t="n">
        <v>0.01026678657074341</v>
      </c>
      <c r="D60" s="66" t="n">
        <v>0.06257494090558242</v>
      </c>
    </row>
    <row r="61">
      <c r="A61" t="inlineStr">
        <is>
          <t>ls_proc_2</t>
        </is>
      </c>
      <c r="B61" s="66" t="n">
        <v>17.53424644470215</v>
      </c>
      <c r="C61" s="67" t="n">
        <v>0.01641187050359712</v>
      </c>
      <c r="D61" s="66" t="n">
        <v>0.2877697820286099</v>
      </c>
    </row>
    <row r="62">
      <c r="A62" t="inlineStr">
        <is>
          <t>ls_proc_fac</t>
        </is>
      </c>
      <c r="B62" s="66" t="n">
        <v>31.45833396911621</v>
      </c>
      <c r="C62" s="67" t="n">
        <v>0.001798561151079137</v>
      </c>
      <c r="D62" s="66" t="n">
        <v>0.05657973735452556</v>
      </c>
    </row>
    <row r="63">
      <c r="A63" t="inlineStr">
        <is>
          <t>ls_proc_fac_statedairyprocess</t>
        </is>
      </c>
      <c r="B63" s="66" t="n">
        <v>2.5</v>
      </c>
      <c r="C63" s="67" t="n">
        <v>0.0001498800959232614</v>
      </c>
      <c r="D63" s="66" t="n">
        <v>0.0003747002398081534</v>
      </c>
    </row>
    <row r="64">
      <c r="A64" t="inlineStr">
        <is>
          <t>ls_proc_fac_statecoldtranspor</t>
        </is>
      </c>
      <c r="B64" s="66" t="n">
        <v>5.75</v>
      </c>
      <c r="C64" s="67" t="n">
        <v>0.0002997601918465228</v>
      </c>
      <c r="D64" s="66" t="n">
        <v>0.001723621103117506</v>
      </c>
    </row>
    <row r="65">
      <c r="A65" t="inlineStr">
        <is>
          <t>ls_proc_fac_statedontknow</t>
        </is>
      </c>
      <c r="B65" s="66" t="n">
        <v>4.5</v>
      </c>
      <c r="C65" s="67" t="n">
        <v>0.0001498800959232614</v>
      </c>
      <c r="D65" s="66" t="n">
        <v>0.0006744604316546762</v>
      </c>
    </row>
    <row r="66">
      <c r="A66" t="inlineStr">
        <is>
          <t>cg</t>
        </is>
      </c>
      <c r="B66" s="66" t="n">
        <v>3</v>
      </c>
      <c r="C66" s="67" t="n">
        <v>7.494004796163069e-05</v>
      </c>
      <c r="D66" s="66" t="n">
        <v>0.0002248201438848921</v>
      </c>
    </row>
    <row r="67">
      <c r="A67" t="inlineStr">
        <is>
          <t>ls_proc_fac_statepurchasepriv</t>
        </is>
      </c>
      <c r="B67" s="66" t="n">
        <v>2</v>
      </c>
      <c r="C67" s="67" t="n">
        <v>7.494004796163069e-05</v>
      </c>
      <c r="D67" s="66" t="n">
        <v>0.0001498800959232614</v>
      </c>
    </row>
    <row r="68">
      <c r="A68" t="inlineStr">
        <is>
          <t>fish_main</t>
        </is>
      </c>
      <c r="B68" s="66" t="n">
        <v>19.09011650085449</v>
      </c>
      <c r="C68" s="67" t="n">
        <v>0.02577937649880096</v>
      </c>
      <c r="D68" s="66" t="n">
        <v>0.4921313006815007</v>
      </c>
    </row>
    <row r="69">
      <c r="A69" t="inlineStr">
        <is>
          <t>fish_change</t>
        </is>
      </c>
      <c r="B69" s="66" t="n">
        <v>17.6569766998291</v>
      </c>
      <c r="C69" s="67" t="n">
        <v>0.02577937649880096</v>
      </c>
      <c r="D69" s="66" t="n">
        <v>0.4551858501754504</v>
      </c>
    </row>
    <row r="70">
      <c r="A70" t="inlineStr">
        <is>
          <t>fish_proddif_1</t>
        </is>
      </c>
      <c r="B70" s="66" t="n">
        <v>8.764705657958984</v>
      </c>
      <c r="C70" s="67" t="n">
        <v>0.02420563549160671</v>
      </c>
      <c r="D70" s="66" t="n">
        <v>0.2121552703477782</v>
      </c>
    </row>
    <row r="71">
      <c r="A71" t="inlineStr">
        <is>
          <t>fish_proddif_2</t>
        </is>
      </c>
      <c r="B71" s="66" t="n">
        <v>27.9538459777832</v>
      </c>
      <c r="C71" s="67" t="n">
        <v>0.009742206235011991</v>
      </c>
      <c r="D71" s="66" t="n">
        <v>0.2723321325773244</v>
      </c>
    </row>
    <row r="72">
      <c r="A72" t="inlineStr">
        <is>
          <t>fish_inputdif</t>
        </is>
      </c>
      <c r="B72" s="66" t="n">
        <v>21.25</v>
      </c>
      <c r="C72" s="67" t="n">
        <v>0.001798561151079137</v>
      </c>
      <c r="D72" s="66" t="n">
        <v>0.03821942446043166</v>
      </c>
    </row>
    <row r="73">
      <c r="A73" t="inlineStr">
        <is>
          <t>fish_salesmain</t>
        </is>
      </c>
      <c r="B73" s="66" t="n">
        <v>14.38495540618896</v>
      </c>
      <c r="C73" s="67" t="n">
        <v>0.03387290167865707</v>
      </c>
      <c r="D73" s="66" t="n">
        <v>0.4872601801257053</v>
      </c>
    </row>
    <row r="74">
      <c r="A74" t="inlineStr">
        <is>
          <t>fish_salesdif_1</t>
        </is>
      </c>
      <c r="B74" s="66" t="n">
        <v>9.438053131103516</v>
      </c>
      <c r="C74" s="67" t="n">
        <v>0.03387290167865707</v>
      </c>
      <c r="D74" s="66" t="n">
        <v>0.3196942457478109</v>
      </c>
    </row>
    <row r="75">
      <c r="A75" t="inlineStr">
        <is>
          <t>fish_salesdif</t>
        </is>
      </c>
      <c r="B75" s="66" t="n">
        <v>27.76699066162109</v>
      </c>
      <c r="C75" s="67" t="n">
        <v>0.007718824940047961</v>
      </c>
      <c r="D75" s="66" t="n">
        <v>0.2143285400289997</v>
      </c>
    </row>
    <row r="76">
      <c r="A76" t="inlineStr">
        <is>
          <t>fish_salesprice</t>
        </is>
      </c>
      <c r="B76" s="66" t="n">
        <v>13.7057523727417</v>
      </c>
      <c r="C76" s="67" t="n">
        <v>0.03387290167865707</v>
      </c>
      <c r="D76" s="66" t="n">
        <v>0.4642536025539005</v>
      </c>
    </row>
    <row r="77">
      <c r="A77" t="inlineStr">
        <is>
          <t>fies</t>
        </is>
      </c>
      <c r="B77" s="66" t="n">
        <v>12.77690315246582</v>
      </c>
      <c r="C77" s="67" t="n">
        <v>1</v>
      </c>
      <c r="D77" s="66" t="n">
        <v>12.77690315246582</v>
      </c>
    </row>
    <row r="78">
      <c r="A78" t="inlineStr">
        <is>
          <t>fies_worried</t>
        </is>
      </c>
      <c r="B78" s="66" t="n">
        <v>21.39860534667969</v>
      </c>
      <c r="C78" s="67" t="n">
        <v>1</v>
      </c>
      <c r="D78" s="66" t="n">
        <v>21.39860534667969</v>
      </c>
    </row>
    <row r="79">
      <c r="A79" t="inlineStr">
        <is>
          <t>fies_healthy</t>
        </is>
      </c>
      <c r="B79" s="66" t="n">
        <v>14.98074054718018</v>
      </c>
      <c r="C79" s="67" t="n">
        <v>1</v>
      </c>
      <c r="D79" s="66" t="n">
        <v>14.98074054718018</v>
      </c>
    </row>
    <row r="80">
      <c r="A80" t="inlineStr">
        <is>
          <t>fies_fewfoods</t>
        </is>
      </c>
      <c r="B80" s="66" t="n">
        <v>13.72302150726318</v>
      </c>
      <c r="C80" s="67" t="n">
        <v>1</v>
      </c>
      <c r="D80" s="66" t="n">
        <v>13.72302150726318</v>
      </c>
    </row>
    <row r="81">
      <c r="A81" t="inlineStr">
        <is>
          <t>fies_skipped</t>
        </is>
      </c>
      <c r="B81" s="66" t="n">
        <v>13.06220054626465</v>
      </c>
      <c r="C81" s="67" t="n">
        <v>1</v>
      </c>
      <c r="D81" s="66" t="n">
        <v>13.06220054626465</v>
      </c>
    </row>
    <row r="82">
      <c r="A82" t="inlineStr">
        <is>
          <t>fies_ateless</t>
        </is>
      </c>
      <c r="B82" s="66" t="n">
        <v>13.09532356262207</v>
      </c>
      <c r="C82" s="67" t="n">
        <v>1</v>
      </c>
      <c r="D82" s="66" t="n">
        <v>13.09532356262207</v>
      </c>
    </row>
    <row r="83">
      <c r="A83" t="inlineStr">
        <is>
          <t>fies_ranout</t>
        </is>
      </c>
      <c r="B83" s="66" t="n">
        <v>16.10101918465228</v>
      </c>
      <c r="C83" s="67" t="n">
        <v>1</v>
      </c>
      <c r="D83" s="66" t="n">
        <v>16.10101918465228</v>
      </c>
    </row>
    <row r="84">
      <c r="A84" t="inlineStr">
        <is>
          <t>fies_ranout_hhs</t>
        </is>
      </c>
      <c r="B84" s="66" t="n">
        <v>11.76504325866699</v>
      </c>
      <c r="C84" s="67" t="n">
        <v>0.3262889688249401</v>
      </c>
      <c r="D84" s="66" t="n">
        <v>3.838803833051266</v>
      </c>
    </row>
    <row r="85">
      <c r="A85" t="inlineStr">
        <is>
          <t>fies_hungry</t>
        </is>
      </c>
      <c r="B85" s="66" t="n">
        <v>12.43247890472412</v>
      </c>
      <c r="C85" s="67" t="n">
        <v>1</v>
      </c>
      <c r="D85" s="66" t="n">
        <v>12.43247890472412</v>
      </c>
    </row>
    <row r="86">
      <c r="A86" t="inlineStr">
        <is>
          <t>fies_hungry_hhs</t>
        </is>
      </c>
      <c r="B86" s="66" t="n">
        <v>8.980183601379395</v>
      </c>
      <c r="C86" s="67" t="n">
        <v>0.2533723021582734</v>
      </c>
      <c r="D86" s="66" t="n">
        <v>2.275329792885472</v>
      </c>
    </row>
    <row r="87">
      <c r="A87" t="inlineStr">
        <is>
          <t>fies_whlday</t>
        </is>
      </c>
      <c r="B87" s="66" t="n">
        <v>11.08932876586914</v>
      </c>
      <c r="C87" s="67" t="n">
        <v>1</v>
      </c>
      <c r="D87" s="66" t="n">
        <v>11.08932876586914</v>
      </c>
    </row>
    <row r="88">
      <c r="A88" t="inlineStr">
        <is>
          <t>fies_whlday_hhs</t>
        </is>
      </c>
      <c r="B88" s="66" t="n">
        <v>8.06833553314209</v>
      </c>
      <c r="C88" s="67" t="n">
        <v>0.143660071942446</v>
      </c>
      <c r="D88" s="66" t="n">
        <v>1.159097663146986</v>
      </c>
    </row>
    <row r="89">
      <c r="A89" t="inlineStr">
        <is>
          <t>copingstrategies</t>
        </is>
      </c>
      <c r="B89" s="66" t="n">
        <v>5.711253643035889</v>
      </c>
      <c r="C89" s="67" t="n">
        <v>0.8050809352517986</v>
      </c>
      <c r="D89" s="66" t="n">
        <v>4.598021424395575</v>
      </c>
    </row>
    <row r="90">
      <c r="A90" t="inlineStr">
        <is>
          <t>cs_stress_hh_assets</t>
        </is>
      </c>
      <c r="B90" s="66" t="n">
        <v>19.85153007507324</v>
      </c>
      <c r="C90" s="67" t="n">
        <v>0.3109262589928057</v>
      </c>
      <c r="D90" s="66" t="n">
        <v>6.172361981525695</v>
      </c>
    </row>
    <row r="91">
      <c r="A91" t="inlineStr">
        <is>
          <t>cs_stress_spent_savings</t>
        </is>
      </c>
      <c r="B91" s="66" t="n">
        <v>15.43667125701904</v>
      </c>
      <c r="C91" s="67" t="n">
        <v>0.7969874100719424</v>
      </c>
      <c r="D91" s="66" t="n">
        <v>12.3028326452636</v>
      </c>
    </row>
    <row r="92">
      <c r="A92" t="inlineStr">
        <is>
          <t>cs_stress_credit</t>
        </is>
      </c>
      <c r="B92" s="66" t="n">
        <v>12.4080867767334</v>
      </c>
      <c r="C92" s="67" t="n">
        <v>0.7969874100719424</v>
      </c>
      <c r="D92" s="66" t="n">
        <v>9.889088944136667</v>
      </c>
    </row>
    <row r="93">
      <c r="A93" t="inlineStr">
        <is>
          <t>cs_stress_borrowed_money</t>
        </is>
      </c>
      <c r="B93" s="66" t="n">
        <v>9.289467811584473</v>
      </c>
      <c r="C93" s="67" t="n">
        <v>0.3109262589928057</v>
      </c>
      <c r="D93" s="66" t="n">
        <v>2.888339474690046</v>
      </c>
    </row>
    <row r="94">
      <c r="A94" t="inlineStr">
        <is>
          <t>cs_crisis_sold_productive_asset</t>
        </is>
      </c>
      <c r="B94" s="66" t="n">
        <v>15.05952072143555</v>
      </c>
      <c r="C94" s="67" t="n">
        <v>0.7969874100719424</v>
      </c>
      <c r="D94" s="66" t="n">
        <v>12.00224841670167</v>
      </c>
    </row>
    <row r="95">
      <c r="A95" t="inlineStr">
        <is>
          <t>cs_crisis_reduced_health_exp</t>
        </is>
      </c>
      <c r="B95" s="66" t="n">
        <v>15.54398632049561</v>
      </c>
      <c r="C95" s="67" t="n">
        <v>0.3109262589928057</v>
      </c>
      <c r="D95" s="66" t="n">
        <v>4.833033516467046</v>
      </c>
    </row>
    <row r="96">
      <c r="A96" t="inlineStr">
        <is>
          <t>cs_crisis_consumed_seed_stocks</t>
        </is>
      </c>
      <c r="B96" s="66" t="n">
        <v>12.99618148803711</v>
      </c>
      <c r="C96" s="67" t="n">
        <v>0.7850719424460432</v>
      </c>
      <c r="D96" s="66" t="n">
        <v>10.2029374451946</v>
      </c>
    </row>
    <row r="97">
      <c r="A97" t="inlineStr">
        <is>
          <t>cs_emergency_sold_house</t>
        </is>
      </c>
      <c r="B97" s="66" t="n">
        <v>10.66811275482178</v>
      </c>
      <c r="C97" s="67" t="n">
        <v>0.3109262589928057</v>
      </c>
      <c r="D97" s="66" t="n">
        <v>3.31699638937017</v>
      </c>
    </row>
    <row r="98">
      <c r="A98" t="inlineStr">
        <is>
          <t>cs_emergency_begged</t>
        </is>
      </c>
      <c r="B98" s="66" t="n">
        <v>9.716710090637207</v>
      </c>
      <c r="C98" s="67" t="n">
        <v>0.4327787769784173</v>
      </c>
      <c r="D98" s="66" t="n">
        <v>4.205185909279816</v>
      </c>
    </row>
    <row r="99">
      <c r="A99" t="inlineStr">
        <is>
          <t>cs_emergency_illegal</t>
        </is>
      </c>
      <c r="B99" s="66" t="n">
        <v>10.95336532592773</v>
      </c>
      <c r="C99" s="67" t="n">
        <v>0.6379646282973621</v>
      </c>
      <c r="D99" s="66" t="n">
        <v>6.987859638760701</v>
      </c>
    </row>
    <row r="100">
      <c r="A100" t="inlineStr">
        <is>
          <t>cs_emergency_sold_last_female</t>
        </is>
      </c>
      <c r="B100" s="66" t="n">
        <v>10.11413192749023</v>
      </c>
      <c r="C100" s="67" t="n">
        <v>0.2370353717026379</v>
      </c>
      <c r="D100" s="66" t="n">
        <v>2.397407020882165</v>
      </c>
    </row>
    <row r="101">
      <c r="A101" t="inlineStr">
        <is>
          <t>cs_emergency_sold_till</t>
        </is>
      </c>
      <c r="B101" s="66" t="n">
        <v>3.657512187957764</v>
      </c>
      <c r="C101" s="67" t="n">
        <v>0.0463878896882494</v>
      </c>
      <c r="D101" s="66" t="n">
        <v>0.1696642719084125</v>
      </c>
    </row>
    <row r="102">
      <c r="A102" t="inlineStr">
        <is>
          <t>cs_emergency_hh_migration</t>
        </is>
      </c>
      <c r="B102" s="66" t="n">
        <v>10.86770534515381</v>
      </c>
      <c r="C102" s="67" t="n">
        <v>0.7936151079136691</v>
      </c>
      <c r="D102" s="66" t="n">
        <v>8.624775150268198</v>
      </c>
    </row>
    <row r="103">
      <c r="A103" t="inlineStr">
        <is>
          <t>food_exp</t>
        </is>
      </c>
      <c r="B103" s="66" t="n">
        <v>21.53330039978027</v>
      </c>
      <c r="C103" s="67" t="n">
        <v>0.1519034772182254</v>
      </c>
      <c r="D103" s="66" t="n">
        <v>3.270983206711227</v>
      </c>
    </row>
    <row r="104">
      <c r="A104" t="inlineStr">
        <is>
          <t>hdds</t>
        </is>
      </c>
      <c r="B104" s="66" t="n">
        <v>72.29513549804688</v>
      </c>
      <c r="C104" s="67" t="n">
        <v>0.8409772182254197</v>
      </c>
      <c r="D104" s="66" t="n">
        <v>60.79856194237725</v>
      </c>
    </row>
    <row r="105">
      <c r="A105" t="inlineStr">
        <is>
          <t>hdds_confirmation</t>
        </is>
      </c>
      <c r="B105" s="66" t="n">
        <v>3.705221891403198</v>
      </c>
      <c r="C105" s="67" t="n">
        <v>0.8409772182254197</v>
      </c>
      <c r="D105" s="66" t="n">
        <v>3.11600719914019</v>
      </c>
    </row>
    <row r="106">
      <c r="A106" t="inlineStr">
        <is>
          <t>mdds_w</t>
        </is>
      </c>
      <c r="B106" s="66" t="n">
        <v>2.702905893325806</v>
      </c>
      <c r="C106" s="67" t="n">
        <v>0.1495803357314149</v>
      </c>
      <c r="D106" s="66" t="n">
        <v>0.4043015709740939</v>
      </c>
    </row>
    <row r="107">
      <c r="A107" t="inlineStr">
        <is>
          <t>mdds_w1</t>
        </is>
      </c>
      <c r="B107" s="66" t="n">
        <v>18.14660263061523</v>
      </c>
      <c r="C107" s="67" t="n">
        <v>0.06287470023980815</v>
      </c>
      <c r="D107" s="66" t="n">
        <v>1.140962200770847</v>
      </c>
    </row>
    <row r="108">
      <c r="A108" t="inlineStr">
        <is>
          <t>mdds_w2</t>
        </is>
      </c>
      <c r="B108" s="66" t="n">
        <v>14.3241138458252</v>
      </c>
      <c r="C108" s="67" t="n">
        <v>0.08670563549160672</v>
      </c>
      <c r="D108" s="66" t="n">
        <v>1.241981393856396</v>
      </c>
    </row>
    <row r="109">
      <c r="A109" t="inlineStr">
        <is>
          <t>mdds_w3</t>
        </is>
      </c>
      <c r="B109" s="66" t="n">
        <v>7.969749450683594</v>
      </c>
      <c r="C109" s="67" t="n">
        <v>0.08670563549160672</v>
      </c>
      <c r="D109" s="66" t="n">
        <v>0.6910221908304045</v>
      </c>
    </row>
    <row r="110">
      <c r="A110" t="inlineStr">
        <is>
          <t>mdds_w4</t>
        </is>
      </c>
      <c r="B110" s="66" t="n">
        <v>7.60927152633667</v>
      </c>
      <c r="C110" s="67" t="n">
        <v>0.0339478417266187</v>
      </c>
      <c r="D110" s="66" t="n">
        <v>0.2583183454309436</v>
      </c>
    </row>
    <row r="111">
      <c r="A111" t="inlineStr">
        <is>
          <t>mdds_w5</t>
        </is>
      </c>
      <c r="B111" s="66" t="n">
        <v>7.341614723205566</v>
      </c>
      <c r="C111" s="67" t="n">
        <v>0.01206534772182254</v>
      </c>
      <c r="D111" s="66" t="n">
        <v>0.08857913447512711</v>
      </c>
    </row>
    <row r="112">
      <c r="A112" t="inlineStr">
        <is>
          <t>mdds_w6</t>
        </is>
      </c>
      <c r="B112" s="66" t="n">
        <v>7.516666889190674</v>
      </c>
      <c r="C112" s="67" t="n">
        <v>0.004496402877697842</v>
      </c>
      <c r="D112" s="66" t="n">
        <v>0.03379796263125303</v>
      </c>
    </row>
    <row r="113">
      <c r="A113" t="inlineStr">
        <is>
          <t>mdds_w7</t>
        </is>
      </c>
      <c r="B113" s="66" t="n">
        <v>8.307692527770996</v>
      </c>
      <c r="C113" s="67" t="n">
        <v>0.001948441247002398</v>
      </c>
      <c r="D113" s="66" t="n">
        <v>0.01618705078852262</v>
      </c>
    </row>
    <row r="114">
      <c r="A114" t="inlineStr">
        <is>
          <t>mdds_w8</t>
        </is>
      </c>
      <c r="B114" s="66" t="n">
        <v>7.769230842590332</v>
      </c>
      <c r="C114" s="67" t="n">
        <v>0.0009742206235011991</v>
      </c>
      <c r="D114" s="66" t="n">
        <v>0.0075689449155931</v>
      </c>
    </row>
    <row r="115">
      <c r="A115" t="inlineStr">
        <is>
          <t>mdds_w9</t>
        </is>
      </c>
      <c r="B115" s="66" t="n">
        <v>9.333333015441895</v>
      </c>
      <c r="C115" s="67" t="n">
        <v>0.0004496402877697842</v>
      </c>
      <c r="D115" s="66" t="n">
        <v>0.004196642542914521</v>
      </c>
    </row>
    <row r="116">
      <c r="A116" t="inlineStr">
        <is>
          <t>mdds_w10</t>
        </is>
      </c>
      <c r="B116" s="66" t="n">
        <v>6.199999809265137</v>
      </c>
      <c r="C116" s="67" t="n">
        <v>0.0003747002398081535</v>
      </c>
      <c r="D116" s="66" t="n">
        <v>0.002323141415342153</v>
      </c>
    </row>
    <row r="117">
      <c r="A117" t="inlineStr">
        <is>
          <t>mdds_w11</t>
        </is>
      </c>
      <c r="B117" s="66" t="n">
        <v>15.66666698455811</v>
      </c>
      <c r="C117" s="67" t="n">
        <v>0.0002248201438848921</v>
      </c>
      <c r="D117" s="66" t="n">
        <v>0.003522182325665042</v>
      </c>
    </row>
    <row r="118">
      <c r="A118" t="inlineStr">
        <is>
          <t>need_1</t>
        </is>
      </c>
      <c r="B118" s="66" t="n">
        <v>19.82824516296387</v>
      </c>
      <c r="C118" s="67" t="n">
        <v>0.6309202637889688</v>
      </c>
      <c r="D118" s="66" t="n">
        <v>12.51004166868951</v>
      </c>
    </row>
    <row r="119">
      <c r="A119" t="inlineStr">
        <is>
          <t>need_2</t>
        </is>
      </c>
      <c r="B119" s="66" t="n">
        <v>49.52969360351562</v>
      </c>
      <c r="C119" s="67" t="n">
        <v>0.6738609112709832</v>
      </c>
      <c r="D119" s="66" t="n">
        <v>33.37612446663763</v>
      </c>
    </row>
    <row r="120">
      <c r="A120" t="inlineStr">
        <is>
          <t>info_needs</t>
        </is>
      </c>
      <c r="B120" s="66" t="n">
        <v>10.34935474395752</v>
      </c>
      <c r="C120" s="67" t="n">
        <v>0.06392386091127099</v>
      </c>
      <c r="D120" s="66" t="n">
        <v>0.6615707131741431</v>
      </c>
    </row>
    <row r="121">
      <c r="A121" t="inlineStr">
        <is>
          <t>info_needstype</t>
        </is>
      </c>
      <c r="B121" s="66" t="n">
        <v>9.912161827087402</v>
      </c>
      <c r="C121" s="67" t="n">
        <v>0.02218225419664269</v>
      </c>
      <c r="D121" s="66" t="n">
        <v>0.219874093286711</v>
      </c>
    </row>
    <row r="122">
      <c r="A122" t="inlineStr">
        <is>
          <t>info_needsmedium</t>
        </is>
      </c>
      <c r="B122" s="66" t="n">
        <v>12.81756782531738</v>
      </c>
      <c r="C122" s="67" t="n">
        <v>0.02218225419664269</v>
      </c>
      <c r="D122" s="66" t="n">
        <v>0.2843225476838988</v>
      </c>
    </row>
    <row r="123">
      <c r="A123" t="inlineStr">
        <is>
          <t>need_received</t>
        </is>
      </c>
      <c r="B123" s="66" t="n">
        <v>22.02975082397461</v>
      </c>
      <c r="C123" s="67" t="n">
        <v>1</v>
      </c>
      <c r="D123" s="66" t="n">
        <v>22.02975082397461</v>
      </c>
    </row>
    <row r="124">
      <c r="A124" t="inlineStr">
        <is>
          <t>callback</t>
        </is>
      </c>
      <c r="B124" s="66" t="n">
        <v>36.78304672241211</v>
      </c>
      <c r="C124" s="67" t="n">
        <v>1</v>
      </c>
      <c r="D124" s="66" t="n">
        <v>36.78304672241211</v>
      </c>
    </row>
    <row r="125">
      <c r="A125" t="inlineStr">
        <is>
          <t>hh_wealth_light</t>
        </is>
      </c>
      <c r="B125" s="66" t="n">
        <v>13.76013851165771</v>
      </c>
      <c r="C125" s="67" t="n">
        <v>0.2808752997601918</v>
      </c>
      <c r="D125" s="66" t="n">
        <v>3.86488302920362</v>
      </c>
    </row>
    <row r="126">
      <c r="A126" t="inlineStr">
        <is>
          <t>cs_stress_sold_more_animals</t>
        </is>
      </c>
      <c r="B126" s="66" t="n">
        <v>13.39993858337402</v>
      </c>
      <c r="C126" s="67" t="n">
        <v>0.4860611510791367</v>
      </c>
      <c r="D126" s="66" t="n">
        <v>6.513189572224514</v>
      </c>
    </row>
    <row r="127">
      <c r="A127" t="inlineStr">
        <is>
          <t>cs_stress_eat_elsewhere</t>
        </is>
      </c>
      <c r="B127" s="66" t="n">
        <v>14.62593364715576</v>
      </c>
      <c r="C127" s="67" t="n">
        <v>0.2808752997601918</v>
      </c>
      <c r="D127" s="66" t="n">
        <v>4.10806349741755</v>
      </c>
    </row>
    <row r="128">
      <c r="A128" t="inlineStr">
        <is>
          <t>cs_crisis_decr_agric_input_exp</t>
        </is>
      </c>
      <c r="B128" s="66" t="n">
        <v>14.75238990783691</v>
      </c>
      <c r="C128" s="67" t="n">
        <v>0.4860611510791367</v>
      </c>
      <c r="D128" s="66" t="n">
        <v>7.17056361977145</v>
      </c>
    </row>
    <row r="129">
      <c r="A129" t="inlineStr">
        <is>
          <t>covid_assistance</t>
        </is>
      </c>
      <c r="B129" s="66" t="n">
        <v>14.0825023651123</v>
      </c>
      <c r="C129" s="67" t="n">
        <v>0.1653177458033573</v>
      </c>
      <c r="D129" s="66" t="n">
        <v>2.328087546270814</v>
      </c>
    </row>
    <row r="130">
      <c r="A130" t="inlineStr">
        <is>
          <t>what_covid_assistance</t>
        </is>
      </c>
      <c r="B130" s="66" t="n">
        <v>15.48122882843018</v>
      </c>
      <c r="C130" s="67" t="n">
        <v>0.02195743405275779</v>
      </c>
      <c r="D130" s="66" t="n">
        <v>0.3399280610559084</v>
      </c>
    </row>
    <row r="131">
      <c r="A131" t="inlineStr">
        <is>
          <t>resp_language</t>
        </is>
      </c>
      <c r="B131" s="66" t="n">
        <v>3.062232494354248</v>
      </c>
      <c r="C131" s="67" t="n">
        <v>0.6827787769784173</v>
      </c>
      <c r="D131" s="66" t="n">
        <v>2.090827357318762</v>
      </c>
    </row>
    <row r="132">
      <c r="A132" t="inlineStr">
        <is>
          <t>ruralurban</t>
        </is>
      </c>
      <c r="B132" s="66" t="n">
        <v>10.03063106536865</v>
      </c>
      <c r="C132" s="67" t="n">
        <v>0.1590227817745803</v>
      </c>
      <c r="D132" s="66" t="n">
        <v>1.595098854969446</v>
      </c>
    </row>
    <row r="133">
      <c r="A133" t="inlineStr">
        <is>
          <t>formal_informal</t>
        </is>
      </c>
      <c r="B133" s="66" t="n">
        <v>11.38066482543945</v>
      </c>
      <c r="C133" s="67" t="n">
        <v>0.02480515587529976</v>
      </c>
      <c r="D133" s="66" t="n">
        <v>0.2822991649595668</v>
      </c>
    </row>
    <row r="134">
      <c r="A134" t="inlineStr">
        <is>
          <t>hh_residencetype</t>
        </is>
      </c>
      <c r="B134" s="66" t="n">
        <v>30.64618873596191</v>
      </c>
      <c r="C134" s="67" t="n">
        <v>0.5672212230215827</v>
      </c>
      <c r="D134" s="66" t="n">
        <v>17.38316865576257</v>
      </c>
    </row>
    <row r="135">
      <c r="A135" t="inlineStr">
        <is>
          <t>hhsize04</t>
        </is>
      </c>
      <c r="B135" s="66" t="n">
        <v>10.11262989044189</v>
      </c>
      <c r="C135" s="67" t="n">
        <v>0.1590227817745803</v>
      </c>
      <c r="D135" s="66" t="n">
        <v>1.60813853623484</v>
      </c>
    </row>
    <row r="136">
      <c r="A136" t="inlineStr">
        <is>
          <t>hhdisability</t>
        </is>
      </c>
      <c r="B136" s="66" t="n">
        <v>13.9000940322876</v>
      </c>
      <c r="C136" s="67" t="n">
        <v>0.1590227817745803</v>
      </c>
      <c r="D136" s="66" t="n">
        <v>2.210431619942617</v>
      </c>
    </row>
    <row r="137">
      <c r="A137" t="inlineStr">
        <is>
          <t>hh_age</t>
        </is>
      </c>
      <c r="B137" s="66" t="n">
        <v>8.228806495666504</v>
      </c>
      <c r="C137" s="67" t="n">
        <v>0.3642086330935252</v>
      </c>
      <c r="D137" s="66" t="n">
        <v>2.997002365777818</v>
      </c>
    </row>
    <row r="138">
      <c r="A138" t="inlineStr">
        <is>
          <t>hhincearners</t>
        </is>
      </c>
      <c r="B138" s="66" t="n">
        <v>32.26673126220703</v>
      </c>
      <c r="C138" s="67" t="n">
        <v>0.1590227817745803</v>
      </c>
      <c r="D138" s="66" t="n">
        <v>5.131145364088979</v>
      </c>
    </row>
    <row r="139">
      <c r="A139" t="inlineStr">
        <is>
          <t>incomechangereduced</t>
        </is>
      </c>
      <c r="B139" s="66" t="n">
        <v>11.01242256164551</v>
      </c>
      <c r="C139" s="67" t="n">
        <v>0.0844574340527578</v>
      </c>
      <c r="D139" s="66" t="n">
        <v>0.9300809522612775</v>
      </c>
    </row>
    <row r="140">
      <c r="A140" t="inlineStr">
        <is>
          <t>hhexptotal30d</t>
        </is>
      </c>
      <c r="B140" s="66" t="n">
        <v>59.44533538818359</v>
      </c>
      <c r="C140" s="67" t="n">
        <v>0.1590227817745803</v>
      </c>
      <c r="D140" s="66" t="n">
        <v>9.453162596951858</v>
      </c>
    </row>
    <row r="141">
      <c r="A141" t="inlineStr">
        <is>
          <t>expensefood30d</t>
        </is>
      </c>
      <c r="B141" s="66" t="n">
        <v>31.69651222229004</v>
      </c>
      <c r="C141" s="67" t="n">
        <v>0.1590227817745803</v>
      </c>
      <c r="D141" s="66" t="n">
        <v>5.040467546140547</v>
      </c>
    </row>
    <row r="142">
      <c r="A142" t="inlineStr">
        <is>
          <t>cropdifficultyunrest</t>
        </is>
      </c>
      <c r="B142" s="66" t="n">
        <v>18.78832054138184</v>
      </c>
      <c r="C142" s="67" t="n">
        <v>0.03080035971223022</v>
      </c>
      <c r="D142" s="66" t="n">
        <v>0.5786870310632445</v>
      </c>
    </row>
    <row r="143">
      <c r="A143" t="inlineStr">
        <is>
          <t>cropsalesdifficultyunrest</t>
        </is>
      </c>
      <c r="B143" s="66" t="n">
        <v>14.18000030517578</v>
      </c>
      <c r="C143" s="67" t="n">
        <v>0.0112410071942446</v>
      </c>
      <c r="D143" s="66" t="n">
        <v>0.1593974854448716</v>
      </c>
    </row>
    <row r="144">
      <c r="A144" t="inlineStr">
        <is>
          <t>lsdifficultyunrest</t>
        </is>
      </c>
      <c r="B144" s="66" t="n">
        <v>14.37356281280518</v>
      </c>
      <c r="C144" s="67" t="n">
        <v>0.01303956834532374</v>
      </c>
      <c r="D144" s="66" t="n">
        <v>0.1874250546633769</v>
      </c>
    </row>
    <row r="145">
      <c r="A145" t="inlineStr">
        <is>
          <t>ls_salesdifficultyunrest</t>
        </is>
      </c>
      <c r="B145" s="66" t="n">
        <v>13.63888931274414</v>
      </c>
      <c r="C145" s="67" t="n">
        <v>0.002697841726618705</v>
      </c>
      <c r="D145" s="66" t="n">
        <v>0.03679556469265505</v>
      </c>
    </row>
    <row r="146">
      <c r="A146" t="inlineStr">
        <is>
          <t>cs_crisis_no_school</t>
        </is>
      </c>
      <c r="B146" s="66" t="n">
        <v>15.40838527679443</v>
      </c>
      <c r="C146" s="67" t="n">
        <v>0.1447841726618705</v>
      </c>
      <c r="D146" s="66" t="n">
        <v>2.230890314356028</v>
      </c>
    </row>
    <row r="147">
      <c r="A147" t="inlineStr">
        <is>
          <t>cs_emergency_sold_last_drought</t>
        </is>
      </c>
      <c r="B147" s="66" t="n">
        <v>13.42893505096436</v>
      </c>
      <c r="C147" s="67" t="n">
        <v>0.1471073141486811</v>
      </c>
      <c r="D147" s="66" t="n">
        <v>1.975494567224448</v>
      </c>
    </row>
    <row r="148">
      <c r="A148" t="inlineStr">
        <is>
          <t>cs_emergency_hh_risk</t>
        </is>
      </c>
      <c r="B148" s="66" t="n">
        <v>16.11875534057617</v>
      </c>
      <c r="C148" s="67" t="n">
        <v>0.1590227817745803</v>
      </c>
      <c r="D148" s="66" t="n">
        <v>2.563249313002296</v>
      </c>
    </row>
    <row r="149">
      <c r="A149" t="inlineStr">
        <is>
          <t>wheremigration</t>
        </is>
      </c>
      <c r="B149" s="66" t="n">
        <v>24.20000076293945</v>
      </c>
      <c r="C149" s="67" t="n">
        <v>0.003372302158273381</v>
      </c>
      <c r="D149" s="66" t="n">
        <v>0.08160971480307819</v>
      </c>
    </row>
    <row r="150">
      <c r="A150" t="inlineStr">
        <is>
          <t>meals</t>
        </is>
      </c>
      <c r="B150" s="66" t="n">
        <v>15.13949108123779</v>
      </c>
      <c r="C150" s="67" t="n">
        <v>0.1590227817745803</v>
      </c>
      <c r="D150" s="66" t="n">
        <v>2.407523986389883</v>
      </c>
    </row>
    <row r="151">
      <c r="A151" t="inlineStr">
        <is>
          <t>fcsstap</t>
        </is>
      </c>
      <c r="B151" s="66" t="n">
        <v>17.90150833129883</v>
      </c>
      <c r="C151" s="67" t="n">
        <v>0.1590227817745803</v>
      </c>
      <c r="D151" s="66" t="n">
        <v>2.846747652803966</v>
      </c>
    </row>
    <row r="152">
      <c r="A152" t="inlineStr">
        <is>
          <t>fcspulse</t>
        </is>
      </c>
      <c r="B152" s="66" t="n">
        <v>27.1998119354248</v>
      </c>
      <c r="C152" s="67" t="n">
        <v>0.1590227817745803</v>
      </c>
      <c r="D152" s="66" t="n">
        <v>4.325389757716684</v>
      </c>
    </row>
    <row r="153">
      <c r="A153" t="inlineStr">
        <is>
          <t>fcsdairy</t>
        </is>
      </c>
      <c r="B153" s="66" t="n">
        <v>20.64844512939453</v>
      </c>
      <c r="C153" s="67" t="n">
        <v>0.1590227817745803</v>
      </c>
      <c r="D153" s="66" t="n">
        <v>3.283573183796103</v>
      </c>
    </row>
    <row r="154">
      <c r="A154" t="inlineStr">
        <is>
          <t>fcspr</t>
        </is>
      </c>
      <c r="B154" s="66" t="n">
        <v>55.30207443237305</v>
      </c>
      <c r="C154" s="67" t="n">
        <v>0.1590227817745803</v>
      </c>
      <c r="D154" s="66" t="n">
        <v>8.794289714140858</v>
      </c>
    </row>
    <row r="155">
      <c r="A155" t="inlineStr">
        <is>
          <t>fcsveg</t>
        </is>
      </c>
      <c r="B155" s="66" t="n">
        <v>24.5004711151123</v>
      </c>
      <c r="C155" s="67" t="n">
        <v>0.1590227817745803</v>
      </c>
      <c r="D155" s="66" t="n">
        <v>3.896133071512913</v>
      </c>
    </row>
    <row r="156">
      <c r="A156" t="inlineStr">
        <is>
          <t>fcsfruit</t>
        </is>
      </c>
      <c r="B156" s="66" t="n">
        <v>24.92459869384766</v>
      </c>
      <c r="C156" s="67" t="n">
        <v>0.1590227817745803</v>
      </c>
      <c r="D156" s="66" t="n">
        <v>3.963579018910726</v>
      </c>
    </row>
    <row r="157">
      <c r="A157" t="inlineStr">
        <is>
          <t>fcsfat</t>
        </is>
      </c>
      <c r="B157" s="66" t="n">
        <v>17.52591896057129</v>
      </c>
      <c r="C157" s="67" t="n">
        <v>0.1590227817745803</v>
      </c>
      <c r="D157" s="66" t="n">
        <v>2.787020386265908</v>
      </c>
    </row>
    <row r="158">
      <c r="A158" t="inlineStr">
        <is>
          <t>fcssugar</t>
        </is>
      </c>
      <c r="B158" s="66" t="n">
        <v>28.03440093994141</v>
      </c>
      <c r="C158" s="67" t="n">
        <v>0.1590227817745803</v>
      </c>
      <c r="D158" s="66" t="n">
        <v>4.458108422853392</v>
      </c>
    </row>
    <row r="159">
      <c r="A159" t="inlineStr">
        <is>
          <t>accessmarket</t>
        </is>
      </c>
      <c r="B159" s="66" t="n">
        <v>15.68897247314453</v>
      </c>
      <c r="C159" s="67" t="n">
        <v>0.1590227817745803</v>
      </c>
      <c r="D159" s="66" t="n">
        <v>2.494904045864261</v>
      </c>
    </row>
    <row r="160">
      <c r="A160" t="inlineStr">
        <is>
          <t>sourcewater</t>
        </is>
      </c>
      <c r="B160" s="66" t="n">
        <v>21.18803024291992</v>
      </c>
      <c r="C160" s="67" t="n">
        <v>0.1590227817745803</v>
      </c>
      <c r="D160" s="66" t="n">
        <v>3.369379509553063</v>
      </c>
    </row>
    <row r="161">
      <c r="A161" t="inlineStr">
        <is>
          <t>othersourcewater</t>
        </is>
      </c>
      <c r="B161" s="66" t="n">
        <v>10.56944465637207</v>
      </c>
      <c r="C161" s="67" t="n">
        <v>0.00539568345323741</v>
      </c>
      <c r="D161" s="66" t="n">
        <v>0.05702937764229535</v>
      </c>
    </row>
    <row r="162">
      <c r="A162" t="inlineStr">
        <is>
          <t>language2</t>
        </is>
      </c>
      <c r="B162" s="66" t="n">
        <v>17.50784683227539</v>
      </c>
      <c r="C162" s="67" t="n">
        <v>0.6827787769784173</v>
      </c>
      <c r="D162" s="66" t="n">
        <v>11.95398624766645</v>
      </c>
    </row>
    <row r="163">
      <c r="A163" t="inlineStr">
        <is>
          <t>resp_agree</t>
        </is>
      </c>
      <c r="B163" s="66" t="n">
        <v>4.624076843261719</v>
      </c>
      <c r="C163" s="67" t="n">
        <v>0.2029376498800959</v>
      </c>
      <c r="D163" s="66" t="n">
        <v>0.9383992874365058</v>
      </c>
    </row>
    <row r="164">
      <c r="A164" t="inlineStr">
        <is>
          <t>adm1_name</t>
        </is>
      </c>
      <c r="B164" s="66" t="n">
        <v>10.74381732940674</v>
      </c>
      <c r="C164" s="67" t="n">
        <v>0.2030125899280575</v>
      </c>
      <c r="D164" s="66" t="n">
        <v>2.181130181756808</v>
      </c>
    </row>
    <row r="165">
      <c r="A165" t="inlineStr">
        <is>
          <t>adm2_name</t>
        </is>
      </c>
      <c r="B165" s="66" t="n"/>
      <c r="C165" s="67" t="n">
        <v>0</v>
      </c>
      <c r="D165" s="66" t="n">
        <v>0</v>
      </c>
    </row>
    <row r="166">
      <c r="A166" t="inlineStr">
        <is>
          <t>covid</t>
        </is>
      </c>
      <c r="B166" s="66" t="n">
        <v>56.47102355957031</v>
      </c>
      <c r="C166" s="67" t="n">
        <v>0.2030125899280575</v>
      </c>
      <c r="D166" s="66" t="n">
        <v>11.46432874871672</v>
      </c>
    </row>
    <row r="167">
      <c r="A167" t="inlineStr">
        <is>
          <t>crp_landright</t>
        </is>
      </c>
      <c r="B167" s="66" t="n">
        <v>31</v>
      </c>
      <c r="C167" s="67" t="n">
        <v>0.004046762589928058</v>
      </c>
      <c r="D167" s="66" t="n">
        <v>0.1254496402877698</v>
      </c>
    </row>
    <row r="168">
      <c r="A168" t="inlineStr">
        <is>
          <t>crp_seed</t>
        </is>
      </c>
      <c r="B168" s="66" t="n">
        <v>30.83333396911621</v>
      </c>
      <c r="C168" s="67" t="n">
        <v>0.004046762589928058</v>
      </c>
      <c r="D168" s="66" t="n">
        <v>0.1247751824289775</v>
      </c>
    </row>
    <row r="169">
      <c r="A169" t="inlineStr">
        <is>
          <t>crp_proddif</t>
        </is>
      </c>
      <c r="B169" s="66" t="n">
        <v>16.88298606872559</v>
      </c>
      <c r="C169" s="67" t="n">
        <v>0.1184802158273381</v>
      </c>
      <c r="D169" s="66" t="n">
        <v>2.00029983323255</v>
      </c>
    </row>
    <row r="170">
      <c r="A170" t="inlineStr">
        <is>
          <t>crp_salesdif</t>
        </is>
      </c>
      <c r="B170" s="66" t="n">
        <v>16.82699012756348</v>
      </c>
      <c r="C170" s="67" t="n">
        <v>0.08663069544364509</v>
      </c>
      <c r="D170" s="66" t="n">
        <v>1.457733856974174</v>
      </c>
    </row>
    <row r="171">
      <c r="A171" t="inlineStr">
        <is>
          <t>crp_saledif_2</t>
        </is>
      </c>
      <c r="B171" s="66" t="n">
        <v>39.48687362670898</v>
      </c>
      <c r="C171" s="67" t="n">
        <v>0.03139988009592326</v>
      </c>
      <c r="D171" s="66" t="n">
        <v>1.239883097241537</v>
      </c>
    </row>
    <row r="172">
      <c r="A172" t="inlineStr">
        <is>
          <t>ls_proddif</t>
        </is>
      </c>
      <c r="B172" s="66" t="n">
        <v>15.9380989074707</v>
      </c>
      <c r="C172" s="67" t="n">
        <v>0.1016936450839329</v>
      </c>
      <c r="D172" s="66" t="n">
        <v>1.620803373608944</v>
      </c>
    </row>
    <row r="173">
      <c r="A173" t="inlineStr">
        <is>
          <t>ls_salesdif</t>
        </is>
      </c>
      <c r="B173" s="66" t="n">
        <v>13.33085536956787</v>
      </c>
      <c r="C173" s="67" t="n">
        <v>0.06047661870503597</v>
      </c>
      <c r="D173" s="66" t="n">
        <v>0.8062050571973375</v>
      </c>
    </row>
    <row r="174">
      <c r="A174" t="inlineStr">
        <is>
          <t>ls_proc</t>
        </is>
      </c>
      <c r="B174" s="66" t="n">
        <v>16.43765068054199</v>
      </c>
      <c r="C174" s="67" t="n">
        <v>0.0625</v>
      </c>
      <c r="D174" s="66" t="n">
        <v>1.027353167533875</v>
      </c>
    </row>
    <row r="175">
      <c r="A175" t="inlineStr">
        <is>
          <t>ls_proc_fac_state</t>
        </is>
      </c>
      <c r="B175" s="66" t="n">
        <v>8.666666984558105</v>
      </c>
      <c r="C175" s="67" t="n">
        <v>0.0006744604316546763</v>
      </c>
      <c r="D175" s="66" t="n">
        <v>0.005845323955412392</v>
      </c>
    </row>
    <row r="176">
      <c r="A176" t="inlineStr">
        <is>
          <t>fish_proddif</t>
        </is>
      </c>
      <c r="B176" s="66" t="n">
        <v>12.5238094329834</v>
      </c>
      <c r="C176" s="67" t="n">
        <v>0.001573741007194245</v>
      </c>
      <c r="D176" s="66" t="n">
        <v>0.01970923247097207</v>
      </c>
    </row>
    <row r="177">
      <c r="A177" t="inlineStr">
        <is>
          <t>cs_spentsavings</t>
        </is>
      </c>
      <c r="B177" s="66" t="n">
        <v>22.22018432617188</v>
      </c>
      <c r="C177" s="67" t="n">
        <v>0.008168465227817745</v>
      </c>
      <c r="D177" s="66" t="n">
        <v>0.1815048030240358</v>
      </c>
    </row>
    <row r="178">
      <c r="A178" t="inlineStr">
        <is>
          <t>cs_borrowmoney</t>
        </is>
      </c>
      <c r="B178" s="66" t="n">
        <v>12.88990783691406</v>
      </c>
      <c r="C178" s="67" t="n">
        <v>0.008168465227817745</v>
      </c>
      <c r="D178" s="66" t="n">
        <v>0.105290763955608</v>
      </c>
    </row>
    <row r="179">
      <c r="A179" t="inlineStr">
        <is>
          <t>cs_purchasedfoodcredit</t>
        </is>
      </c>
      <c r="B179" s="66" t="n">
        <v>14.84403705596924</v>
      </c>
      <c r="C179" s="67" t="n">
        <v>0.008168465227817745</v>
      </c>
      <c r="D179" s="66" t="n">
        <v>0.1212530005321228</v>
      </c>
    </row>
    <row r="180">
      <c r="A180" t="inlineStr">
        <is>
          <t>cs_soldhhassetsgoods</t>
        </is>
      </c>
      <c r="B180" s="66" t="n">
        <v>18.51376152038574</v>
      </c>
      <c r="C180" s="67" t="n">
        <v>0.008168465227817745</v>
      </c>
      <c r="D180" s="66" t="n">
        <v>0.1512290172153811</v>
      </c>
    </row>
    <row r="181">
      <c r="A181" t="inlineStr">
        <is>
          <t>cs_soldprodassets</t>
        </is>
      </c>
      <c r="B181" s="66" t="n">
        <v>16.88073348999023</v>
      </c>
      <c r="C181" s="67" t="n">
        <v>0.008168465227817745</v>
      </c>
      <c r="D181" s="66" t="n">
        <v>0.1378896845330437</v>
      </c>
    </row>
    <row r="182">
      <c r="A182" t="inlineStr">
        <is>
          <t>cs_eatplantingseeds</t>
        </is>
      </c>
      <c r="B182" s="66" t="n">
        <v>17.43119239807129</v>
      </c>
      <c r="C182" s="67" t="n">
        <v>0.008168465227817745</v>
      </c>
      <c r="D182" s="66" t="n">
        <v>0.1423860889830463</v>
      </c>
    </row>
    <row r="183">
      <c r="A183" t="inlineStr">
        <is>
          <t>cs_withdrewchild</t>
        </is>
      </c>
      <c r="B183" s="66" t="n">
        <v>14.11009216308594</v>
      </c>
      <c r="C183" s="67" t="n">
        <v>0.008168465227817745</v>
      </c>
      <c r="D183" s="66" t="n">
        <v>0.1152577971954712</v>
      </c>
    </row>
    <row r="184">
      <c r="A184" t="inlineStr">
        <is>
          <t>cs_soldlandhouse</t>
        </is>
      </c>
      <c r="B184" s="66" t="n">
        <v>15.25688076019287</v>
      </c>
      <c r="C184" s="67" t="n">
        <v>0.008168465227817745</v>
      </c>
      <c r="D184" s="66" t="n">
        <v>0.124625299974597</v>
      </c>
    </row>
    <row r="185">
      <c r="A185" t="inlineStr">
        <is>
          <t>cs_begging</t>
        </is>
      </c>
      <c r="B185" s="66" t="n">
        <v>12.28440380096436</v>
      </c>
      <c r="C185" s="67" t="n">
        <v>0.008168465227817745</v>
      </c>
      <c r="D185" s="66" t="n">
        <v>0.1003447252926495</v>
      </c>
    </row>
    <row r="186">
      <c r="A186" t="inlineStr">
        <is>
          <t>cs_soldfemanimals</t>
        </is>
      </c>
      <c r="B186" s="66" t="n">
        <v>12.57798194885254</v>
      </c>
      <c r="C186" s="67" t="n">
        <v>0.008168465227817745</v>
      </c>
      <c r="D186" s="66" t="n">
        <v>0.1027428081853212</v>
      </c>
    </row>
    <row r="187">
      <c r="A187" t="inlineStr">
        <is>
          <t>need</t>
        </is>
      </c>
      <c r="B187" s="66" t="n">
        <v>16.78225135803223</v>
      </c>
      <c r="C187" s="67" t="n">
        <v>0.1638189448441247</v>
      </c>
      <c r="D187" s="66" t="n">
        <v>2.749250709581718</v>
      </c>
    </row>
    <row r="188">
      <c r="A188" t="inlineStr">
        <is>
          <t>cs_stress_borrowed_or_helped</t>
        </is>
      </c>
      <c r="B188" s="66" t="n">
        <v>11.78780174255371</v>
      </c>
      <c r="C188" s="67" t="n">
        <v>0.2051858513189448</v>
      </c>
      <c r="D188" s="66" t="n">
        <v>2.418690135724824</v>
      </c>
    </row>
    <row r="189">
      <c r="A189" t="inlineStr">
        <is>
          <t>shock</t>
        </is>
      </c>
      <c r="B189" s="66" t="n">
        <v>46.24752807617188</v>
      </c>
      <c r="C189" s="67" t="n">
        <v>1</v>
      </c>
      <c r="D189" s="66" t="n">
        <v>46.24752807617188</v>
      </c>
    </row>
    <row r="190">
      <c r="A190" t="inlineStr">
        <is>
          <t>reasonsmigration</t>
        </is>
      </c>
      <c r="B190" s="66" t="n">
        <v>0.1537020355463028</v>
      </c>
      <c r="C190" s="67" t="n">
        <v>1</v>
      </c>
      <c r="D190" s="66" t="n">
        <v>0.1537020355463028</v>
      </c>
    </row>
    <row r="191">
      <c r="A191" t="inlineStr">
        <is>
          <t>need_received_agent</t>
        </is>
      </c>
      <c r="B191" s="66" t="n">
        <v>0.6796312928199768</v>
      </c>
      <c r="C191" s="67" t="n">
        <v>1</v>
      </c>
      <c r="D191" s="66" t="n">
        <v>0.6796312928199768</v>
      </c>
    </row>
    <row r="192">
      <c r="A192" t="inlineStr">
        <is>
          <t>crp_area_change_covid19</t>
        </is>
      </c>
      <c r="B192" s="66" t="n">
        <v>2.892535924911499</v>
      </c>
      <c r="C192" s="67" t="n">
        <v>1</v>
      </c>
      <c r="D192" s="66" t="n">
        <v>2.892535924911499</v>
      </c>
    </row>
    <row r="193">
      <c r="A193" t="inlineStr">
        <is>
          <t>ls_proddif_2_covid19</t>
        </is>
      </c>
      <c r="B193" s="66" t="n">
        <v>3.343824863433838</v>
      </c>
      <c r="C193" s="67" t="n">
        <v>1</v>
      </c>
      <c r="D193" s="66"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F94"/>
  <sheetViews>
    <sheetView zoomScale="112" workbookViewId="0">
      <pane ySplit="3" topLeftCell="A4" activePane="bottomLeft" state="frozen"/>
      <selection activeCell="D69" sqref="D69"/>
      <selection pane="bottomLeft" activeCell="C38" sqref="C38"/>
    </sheetView>
  </sheetViews>
  <sheetFormatPr baseColWidth="10" defaultColWidth="10.83203125" defaultRowHeight="15"/>
  <cols>
    <col width="10.83203125" customWidth="1" style="1" min="1" max="2"/>
    <col width="15.1640625" customWidth="1" style="2" min="3" max="3"/>
    <col hidden="1" width="10.83203125" customWidth="1" style="366" min="4" max="4"/>
    <col width="10.83203125" customWidth="1" style="366" min="5" max="5"/>
    <col width="41.6640625" customWidth="1" style="1" min="6" max="6"/>
    <col width="10.83203125" customWidth="1" style="1" min="7" max="16384"/>
  </cols>
  <sheetData>
    <row r="2">
      <c r="C2" s="4" t="n"/>
      <c r="D2" s="363" t="n"/>
      <c r="E2" s="363" t="n"/>
      <c r="F2" s="5" t="n"/>
    </row>
    <row r="3" ht="32" customHeight="1">
      <c r="B3" s="3" t="n"/>
      <c r="C3" s="364" t="inlineStr">
        <is>
          <t xml:space="preserve">Select top 10 crops </t>
        </is>
      </c>
      <c r="D3" s="361" t="inlineStr">
        <is>
          <t>GeoPoll code</t>
        </is>
      </c>
      <c r="E3" s="361" t="inlineStr">
        <is>
          <t>Dataset code</t>
        </is>
      </c>
      <c r="F3" s="361" t="inlineStr">
        <is>
          <t>Label (EN)</t>
        </is>
      </c>
    </row>
    <row r="4" ht="16" customHeight="1">
      <c r="B4" s="3" t="n"/>
      <c r="C4" s="51" t="inlineStr">
        <is>
          <t>x</t>
        </is>
      </c>
      <c r="D4" s="8">
        <f t="array" ref="D4:D93">_xlfn.SEQUENCE(90,1,1,1)</f>
        <v/>
      </c>
      <c r="E4" s="362" t="inlineStr">
        <is>
          <t>1.1</t>
        </is>
      </c>
      <c r="F4" s="8" t="inlineStr">
        <is>
          <t>Rice</t>
        </is>
      </c>
    </row>
    <row r="5" ht="16" customHeight="1">
      <c r="B5" s="3" t="n"/>
      <c r="C5" s="51" t="n"/>
      <c r="D5" s="8" t="n">
        <v>2</v>
      </c>
      <c r="E5" s="362" t="inlineStr">
        <is>
          <t>1.2</t>
        </is>
      </c>
      <c r="F5" s="8" t="inlineStr">
        <is>
          <t>Wheat</t>
        </is>
      </c>
    </row>
    <row r="6" ht="16" customHeight="1">
      <c r="B6" s="3" t="n"/>
      <c r="C6" s="51" t="inlineStr">
        <is>
          <t>x</t>
        </is>
      </c>
      <c r="D6" s="8" t="n">
        <v>3</v>
      </c>
      <c r="E6" s="362" t="inlineStr">
        <is>
          <t>1.3</t>
        </is>
      </c>
      <c r="F6" s="8" t="inlineStr">
        <is>
          <t>Millet</t>
        </is>
      </c>
    </row>
    <row r="7" ht="16" customHeight="1">
      <c r="B7" s="3" t="n"/>
      <c r="C7" s="51" t="inlineStr">
        <is>
          <t>x</t>
        </is>
      </c>
      <c r="D7" s="8" t="n">
        <v>4</v>
      </c>
      <c r="E7" s="362" t="inlineStr">
        <is>
          <t>1.4</t>
        </is>
      </c>
      <c r="F7" s="8" t="inlineStr">
        <is>
          <t>Sorghum</t>
        </is>
      </c>
    </row>
    <row r="8" ht="16" customHeight="1">
      <c r="B8" s="3" t="n"/>
      <c r="C8" s="51" t="inlineStr">
        <is>
          <t>x</t>
        </is>
      </c>
      <c r="D8" s="8" t="n">
        <v>5</v>
      </c>
      <c r="E8" s="362" t="inlineStr">
        <is>
          <t>1.5</t>
        </is>
      </c>
      <c r="F8" s="8" t="inlineStr">
        <is>
          <t>Maize</t>
        </is>
      </c>
    </row>
    <row r="9" ht="16" customHeight="1">
      <c r="B9" s="3" t="n"/>
      <c r="C9" s="51" t="n"/>
      <c r="D9" s="8" t="n">
        <v>6</v>
      </c>
      <c r="E9" s="362" t="inlineStr">
        <is>
          <t>1.6</t>
        </is>
      </c>
      <c r="F9" s="8" t="inlineStr">
        <is>
          <t>Barley</t>
        </is>
      </c>
    </row>
    <row r="10" ht="16" customHeight="1">
      <c r="B10" s="3" t="n"/>
      <c r="C10" s="401" t="n"/>
      <c r="D10" s="8" t="n">
        <v>7</v>
      </c>
      <c r="E10" s="362" t="inlineStr">
        <is>
          <t>1.99</t>
        </is>
      </c>
      <c r="F10" s="50" t="inlineStr">
        <is>
          <t>Other Cereal</t>
        </is>
      </c>
    </row>
    <row r="11" ht="16" customHeight="1">
      <c r="B11" s="3" t="n"/>
      <c r="C11" s="51" t="n"/>
      <c r="D11" s="8" t="n">
        <v>8</v>
      </c>
      <c r="E11" s="362" t="inlineStr">
        <is>
          <t>2.1</t>
        </is>
      </c>
      <c r="F11" s="8" t="inlineStr">
        <is>
          <t>Cassava</t>
        </is>
      </c>
    </row>
    <row r="12" ht="16" customHeight="1">
      <c r="B12" s="3" t="n"/>
      <c r="C12" s="51" t="n"/>
      <c r="D12" s="8" t="n">
        <v>9</v>
      </c>
      <c r="E12" s="362" t="inlineStr">
        <is>
          <t>2.2</t>
        </is>
      </c>
      <c r="F12" s="8" t="inlineStr">
        <is>
          <t>Potatoe</t>
        </is>
      </c>
    </row>
    <row r="13" ht="16" customHeight="1">
      <c r="B13" s="3" t="n"/>
      <c r="C13" s="51" t="n"/>
      <c r="D13" s="8" t="n">
        <v>10</v>
      </c>
      <c r="E13" s="362" t="inlineStr">
        <is>
          <t>2.3</t>
        </is>
      </c>
      <c r="F13" s="8" t="inlineStr">
        <is>
          <t>Sweet Potatoes</t>
        </is>
      </c>
    </row>
    <row r="14" ht="16" customHeight="1">
      <c r="B14" s="3" t="n"/>
      <c r="C14" s="51" t="n"/>
      <c r="D14" s="8" t="n">
        <v>11</v>
      </c>
      <c r="E14" s="362" t="inlineStr">
        <is>
          <t>2.4</t>
        </is>
      </c>
      <c r="F14" s="8" t="inlineStr">
        <is>
          <t>Yams</t>
        </is>
      </c>
    </row>
    <row r="15" ht="16" customHeight="1">
      <c r="B15" s="3" t="n"/>
      <c r="C15" s="51" t="n"/>
      <c r="D15" s="8" t="n">
        <v>12</v>
      </c>
      <c r="E15" s="362" t="inlineStr">
        <is>
          <t>2.5</t>
        </is>
      </c>
      <c r="F15" s="8" t="inlineStr">
        <is>
          <t>Carrots</t>
        </is>
      </c>
    </row>
    <row r="16" ht="16" customHeight="1">
      <c r="B16" s="3" t="n"/>
      <c r="C16" s="51" t="n"/>
      <c r="D16" s="8" t="n">
        <v>13</v>
      </c>
      <c r="E16" s="362" t="inlineStr">
        <is>
          <t>2.6</t>
        </is>
      </c>
      <c r="F16" s="8" t="inlineStr">
        <is>
          <t>Cocoyam</t>
        </is>
      </c>
    </row>
    <row r="17" ht="16" customHeight="1">
      <c r="B17" s="3" t="n"/>
      <c r="C17" s="401" t="n"/>
      <c r="D17" s="8" t="n">
        <v>14</v>
      </c>
      <c r="E17" s="362" t="inlineStr">
        <is>
          <t>2.99</t>
        </is>
      </c>
      <c r="F17" s="50" t="inlineStr">
        <is>
          <t>Other tubers</t>
        </is>
      </c>
    </row>
    <row r="18" ht="16" customHeight="1">
      <c r="B18" s="3" t="n"/>
      <c r="C18" s="51" t="inlineStr">
        <is>
          <t>x</t>
        </is>
      </c>
      <c r="D18" s="8" t="n">
        <v>15</v>
      </c>
      <c r="E18" s="362" t="inlineStr">
        <is>
          <t>3.1</t>
        </is>
      </c>
      <c r="F18" s="8" t="inlineStr">
        <is>
          <t>Beans</t>
        </is>
      </c>
    </row>
    <row r="19" ht="16" customHeight="1">
      <c r="B19" s="3" t="n"/>
      <c r="C19" s="51" t="n"/>
      <c r="D19" s="8" t="n">
        <v>16</v>
      </c>
      <c r="E19" s="362" t="inlineStr">
        <is>
          <t>3.2</t>
        </is>
      </c>
      <c r="F19" s="8" t="inlineStr">
        <is>
          <t>Lentils</t>
        </is>
      </c>
    </row>
    <row r="20" ht="16" customHeight="1">
      <c r="B20" s="3" t="n"/>
      <c r="C20" s="51" t="inlineStr">
        <is>
          <t>x</t>
        </is>
      </c>
      <c r="D20" s="8" t="n">
        <v>17</v>
      </c>
      <c r="E20" s="362" t="inlineStr">
        <is>
          <t>3.3</t>
        </is>
      </c>
      <c r="F20" s="8" t="inlineStr">
        <is>
          <t>Peas</t>
        </is>
      </c>
    </row>
    <row r="21" ht="16" customHeight="1">
      <c r="B21" s="3" t="n"/>
      <c r="C21" s="51" t="n"/>
      <c r="D21" s="8" t="n">
        <v>18</v>
      </c>
      <c r="E21" s="362" t="inlineStr">
        <is>
          <t>3.4</t>
        </is>
      </c>
      <c r="F21" s="8" t="inlineStr">
        <is>
          <t>Soybeans</t>
        </is>
      </c>
    </row>
    <row r="22" ht="16" customHeight="1">
      <c r="B22" s="3" t="n"/>
      <c r="C22" s="51" t="n"/>
      <c r="D22" s="8" t="n">
        <v>19</v>
      </c>
      <c r="E22" s="362" t="inlineStr">
        <is>
          <t>3.5</t>
        </is>
      </c>
      <c r="F22" s="8" t="inlineStr">
        <is>
          <t>Chickpeas</t>
        </is>
      </c>
    </row>
    <row r="23" ht="16" customHeight="1">
      <c r="B23" s="3" t="n"/>
      <c r="C23" s="51" t="n"/>
      <c r="D23" s="8" t="n">
        <v>20</v>
      </c>
      <c r="E23" s="362" t="inlineStr">
        <is>
          <t>3.6</t>
        </is>
      </c>
      <c r="F23" s="8" t="inlineStr">
        <is>
          <t>Fava beans</t>
        </is>
      </c>
    </row>
    <row r="24" ht="16" customHeight="1">
      <c r="B24" s="3" t="n"/>
      <c r="C24" s="51" t="n"/>
      <c r="D24" s="8" t="n">
        <v>21</v>
      </c>
      <c r="E24" s="362" t="inlineStr">
        <is>
          <t>3.7</t>
        </is>
      </c>
      <c r="F24" s="8" t="inlineStr">
        <is>
          <t>Broad beans</t>
        </is>
      </c>
    </row>
    <row r="25" ht="16" customHeight="1">
      <c r="B25" s="3" t="n"/>
      <c r="C25" s="401" t="n"/>
      <c r="D25" s="8" t="n">
        <v>22</v>
      </c>
      <c r="E25" s="362" t="inlineStr">
        <is>
          <t>3.99</t>
        </is>
      </c>
      <c r="F25" s="50" t="inlineStr">
        <is>
          <t>Other pulses</t>
        </is>
      </c>
    </row>
    <row r="26" ht="16" customHeight="1">
      <c r="B26" s="3" t="n"/>
      <c r="C26" s="51" t="n"/>
      <c r="D26" s="8" t="n">
        <v>23</v>
      </c>
      <c r="E26" s="362" t="inlineStr">
        <is>
          <t>4.1</t>
        </is>
      </c>
      <c r="F26" s="8" t="inlineStr">
        <is>
          <t>Cabbage</t>
        </is>
      </c>
    </row>
    <row r="27" ht="16" customHeight="1">
      <c r="B27" s="3" t="n"/>
      <c r="C27" s="51" t="n"/>
      <c r="D27" s="8" t="n">
        <v>24</v>
      </c>
      <c r="E27" s="362" t="inlineStr">
        <is>
          <t>4.2</t>
        </is>
      </c>
      <c r="F27" s="8" t="inlineStr">
        <is>
          <t>Lettuce</t>
        </is>
      </c>
    </row>
    <row r="28" ht="16" customHeight="1">
      <c r="B28" s="3" t="n"/>
      <c r="C28" s="51" t="n"/>
      <c r="D28" s="8" t="n">
        <v>25</v>
      </c>
      <c r="E28" s="362" t="inlineStr">
        <is>
          <t>4.3</t>
        </is>
      </c>
      <c r="F28" s="8" t="inlineStr">
        <is>
          <t>Spinach-Amaranth</t>
        </is>
      </c>
    </row>
    <row r="29" ht="16" customHeight="1">
      <c r="B29" s="3" t="n"/>
      <c r="C29" s="51" t="n"/>
      <c r="D29" s="8" t="n">
        <v>26</v>
      </c>
      <c r="E29" s="362" t="inlineStr">
        <is>
          <t>4.4</t>
        </is>
      </c>
      <c r="F29" s="8" t="inlineStr">
        <is>
          <t>Cassava leaves</t>
        </is>
      </c>
    </row>
    <row r="30" ht="16" customHeight="1">
      <c r="B30" s="3" t="n"/>
      <c r="C30" s="51" t="n"/>
      <c r="D30" s="8" t="n">
        <v>27</v>
      </c>
      <c r="E30" s="362" t="inlineStr">
        <is>
          <t>4.5</t>
        </is>
      </c>
      <c r="F30" s="8" t="inlineStr">
        <is>
          <t>Potatoe leaves</t>
        </is>
      </c>
    </row>
    <row r="31" ht="16" customHeight="1">
      <c r="B31" s="3" t="n"/>
      <c r="C31" s="51" t="n"/>
      <c r="D31" s="8" t="n">
        <v>28</v>
      </c>
      <c r="E31" s="362" t="inlineStr">
        <is>
          <t>4.6</t>
        </is>
      </c>
      <c r="F31" s="8" t="inlineStr">
        <is>
          <t>Moringa</t>
        </is>
      </c>
    </row>
    <row r="32" ht="16" customHeight="1">
      <c r="B32" s="3" t="n"/>
      <c r="C32" s="51" t="n"/>
      <c r="D32" s="8" t="n">
        <v>29</v>
      </c>
      <c r="E32" s="362" t="inlineStr">
        <is>
          <t>4.7</t>
        </is>
      </c>
      <c r="F32" s="8" t="inlineStr">
        <is>
          <t>Sorrel Hibiscus / Rosselle</t>
        </is>
      </c>
    </row>
    <row r="33" ht="16" customHeight="1">
      <c r="B33" s="3" t="n"/>
      <c r="C33" s="51" t="n"/>
      <c r="D33" s="8" t="n">
        <v>30</v>
      </c>
      <c r="E33" s="362" t="inlineStr">
        <is>
          <t>4.9</t>
        </is>
      </c>
      <c r="F33" s="8" t="inlineStr">
        <is>
          <t>Green salad herbs [thyme, parsley, mint, rocca, other]</t>
        </is>
      </c>
    </row>
    <row r="34" ht="16" customHeight="1">
      <c r="B34" s="3" t="n"/>
      <c r="C34" s="51" t="n"/>
      <c r="D34" s="8" t="n">
        <v>31</v>
      </c>
      <c r="E34" s="362" t="inlineStr">
        <is>
          <t>4.101</t>
        </is>
      </c>
      <c r="F34" s="8" t="inlineStr">
        <is>
          <t>Cauliflower</t>
        </is>
      </c>
    </row>
    <row r="35" ht="16" customHeight="1">
      <c r="B35" s="3" t="n"/>
      <c r="C35" s="401" t="n"/>
      <c r="D35" s="8" t="n">
        <v>32</v>
      </c>
      <c r="E35" s="362" t="inlineStr">
        <is>
          <t>4.99</t>
        </is>
      </c>
      <c r="F35" s="50" t="inlineStr">
        <is>
          <t>Other leafy vegetables</t>
        </is>
      </c>
    </row>
    <row r="36" ht="16" customHeight="1">
      <c r="B36" s="3" t="n"/>
      <c r="C36" s="51" t="inlineStr">
        <is>
          <t>x</t>
        </is>
      </c>
      <c r="D36" s="8" t="n">
        <v>33</v>
      </c>
      <c r="E36" s="362" t="inlineStr">
        <is>
          <t>5.1</t>
        </is>
      </c>
      <c r="F36" s="8" t="inlineStr">
        <is>
          <t>Tomatoes</t>
        </is>
      </c>
    </row>
    <row r="37" ht="16" customHeight="1">
      <c r="B37" s="3" t="n"/>
      <c r="C37" s="51" t="n"/>
      <c r="D37" s="8" t="n">
        <v>34</v>
      </c>
      <c r="E37" s="362" t="inlineStr">
        <is>
          <t>5.2</t>
        </is>
      </c>
      <c r="F37" s="8" t="inlineStr">
        <is>
          <t>Cucumber</t>
        </is>
      </c>
    </row>
    <row r="38" ht="16" customHeight="1">
      <c r="B38" s="3" t="n"/>
      <c r="C38" s="51" t="n"/>
      <c r="D38" s="8" t="n">
        <v>35</v>
      </c>
      <c r="E38" s="362" t="inlineStr">
        <is>
          <t>5.3</t>
        </is>
      </c>
      <c r="F38" s="8" t="inlineStr">
        <is>
          <t>Pumpkin</t>
        </is>
      </c>
    </row>
    <row r="39" ht="16" customHeight="1">
      <c r="B39" s="3" t="n"/>
      <c r="C39" s="51" t="n"/>
      <c r="D39" s="8" t="n">
        <v>36</v>
      </c>
      <c r="E39" s="362" t="inlineStr">
        <is>
          <t>5.4</t>
        </is>
      </c>
      <c r="F39" s="8" t="inlineStr">
        <is>
          <t>Eggplant/aubergine</t>
        </is>
      </c>
    </row>
    <row r="40" ht="16" customHeight="1">
      <c r="B40" s="3" t="n"/>
      <c r="C40" s="51" t="n"/>
      <c r="D40" s="8" t="n">
        <v>37</v>
      </c>
      <c r="E40" s="362" t="inlineStr">
        <is>
          <t>5.5</t>
        </is>
      </c>
      <c r="F40" s="8" t="inlineStr">
        <is>
          <t>Zucchini</t>
        </is>
      </c>
    </row>
    <row r="41" ht="16" customHeight="1">
      <c r="B41" s="3" t="n"/>
      <c r="C41" s="51" t="n"/>
      <c r="D41" s="8" t="n">
        <v>38</v>
      </c>
      <c r="E41" s="362" t="inlineStr">
        <is>
          <t>5.6</t>
        </is>
      </c>
      <c r="F41" s="8" t="inlineStr">
        <is>
          <t>Okra</t>
        </is>
      </c>
    </row>
    <row r="42" ht="16" customHeight="1">
      <c r="B42" s="3" t="n"/>
      <c r="C42" s="51" t="n"/>
      <c r="D42" s="8" t="n">
        <v>39</v>
      </c>
      <c r="E42" s="362" t="inlineStr">
        <is>
          <t>5.7</t>
        </is>
      </c>
      <c r="F42" s="8" t="inlineStr">
        <is>
          <t>Bell pepper</t>
        </is>
      </c>
    </row>
    <row r="43" ht="16" customHeight="1">
      <c r="B43" s="3" t="n"/>
      <c r="C43" s="51" t="n"/>
      <c r="D43" s="8" t="n">
        <v>40</v>
      </c>
      <c r="E43" s="362" t="inlineStr">
        <is>
          <t>5.8</t>
        </is>
      </c>
      <c r="F43" s="8" t="inlineStr">
        <is>
          <t>Onions</t>
        </is>
      </c>
    </row>
    <row r="44" ht="16" customHeight="1">
      <c r="B44" s="3" t="n"/>
      <c r="C44" s="51" t="n"/>
      <c r="D44" s="8" t="n">
        <v>41</v>
      </c>
      <c r="E44" s="362" t="inlineStr">
        <is>
          <t>5.9</t>
        </is>
      </c>
      <c r="F44" s="8" t="inlineStr">
        <is>
          <t>Haricot</t>
        </is>
      </c>
    </row>
    <row r="45" ht="16" customHeight="1">
      <c r="B45" s="3" t="n"/>
      <c r="C45" s="51" t="n"/>
      <c r="D45" s="8" t="n">
        <v>42</v>
      </c>
      <c r="E45" s="362" t="inlineStr">
        <is>
          <t>5.101</t>
        </is>
      </c>
      <c r="F45" s="8" t="inlineStr">
        <is>
          <t>Green peas</t>
        </is>
      </c>
    </row>
    <row r="46" ht="16" customHeight="1">
      <c r="B46" s="3" t="n"/>
      <c r="C46" s="51" t="n"/>
      <c r="D46" s="8" t="n">
        <v>43</v>
      </c>
      <c r="E46" s="362" t="inlineStr">
        <is>
          <t>5.11</t>
        </is>
      </c>
      <c r="F46" s="8" t="inlineStr">
        <is>
          <t>Fava beans green</t>
        </is>
      </c>
    </row>
    <row r="47" ht="16" customHeight="1">
      <c r="B47" s="3" t="n"/>
      <c r="C47" s="401" t="n"/>
      <c r="D47" s="8" t="n">
        <v>44</v>
      </c>
      <c r="E47" s="362" t="inlineStr">
        <is>
          <t>5.99</t>
        </is>
      </c>
      <c r="F47" s="50" t="inlineStr">
        <is>
          <t>Other non leafy vegs</t>
        </is>
      </c>
    </row>
    <row r="48" ht="16" customHeight="1">
      <c r="B48" s="3" t="n"/>
      <c r="C48" s="51" t="n"/>
      <c r="D48" s="8" t="n">
        <v>45</v>
      </c>
      <c r="E48" s="362" t="inlineStr">
        <is>
          <t>6.1</t>
        </is>
      </c>
      <c r="F48" s="8" t="inlineStr">
        <is>
          <t>Orange</t>
        </is>
      </c>
    </row>
    <row r="49" ht="16" customHeight="1">
      <c r="B49" s="3" t="n"/>
      <c r="C49" s="51" t="n"/>
      <c r="D49" s="8" t="n">
        <v>46</v>
      </c>
      <c r="E49" s="362" t="inlineStr">
        <is>
          <t>6.2</t>
        </is>
      </c>
      <c r="F49" s="8" t="inlineStr">
        <is>
          <t>Lemon</t>
        </is>
      </c>
    </row>
    <row r="50" ht="16" customHeight="1">
      <c r="B50" s="3" t="n"/>
      <c r="C50" s="51" t="n"/>
      <c r="D50" s="8" t="n">
        <v>47</v>
      </c>
      <c r="E50" s="362" t="inlineStr">
        <is>
          <t>6.3</t>
        </is>
      </c>
      <c r="F50" s="8" t="inlineStr">
        <is>
          <t>Grapefruit</t>
        </is>
      </c>
    </row>
    <row r="51" ht="16" customHeight="1">
      <c r="B51" s="3" t="n"/>
      <c r="C51" s="51" t="n"/>
      <c r="D51" s="8" t="n">
        <v>48</v>
      </c>
      <c r="E51" s="362" t="inlineStr">
        <is>
          <t>6.4</t>
        </is>
      </c>
      <c r="F51" s="8" t="inlineStr">
        <is>
          <t>Mandarins/clementines</t>
        </is>
      </c>
    </row>
    <row r="52" ht="16" customHeight="1">
      <c r="B52" s="3" t="n"/>
      <c r="C52" s="401" t="n"/>
      <c r="D52" s="8" t="n">
        <v>49</v>
      </c>
      <c r="E52" s="362" t="inlineStr">
        <is>
          <t>6.99</t>
        </is>
      </c>
      <c r="F52" s="50" t="inlineStr">
        <is>
          <t>Other citrus fruit</t>
        </is>
      </c>
    </row>
    <row r="53" ht="16" customHeight="1">
      <c r="B53" s="3" t="n"/>
      <c r="C53" s="51" t="n"/>
      <c r="D53" s="8" t="n">
        <v>50</v>
      </c>
      <c r="E53" s="362" t="inlineStr">
        <is>
          <t>7.1</t>
        </is>
      </c>
      <c r="F53" s="8" t="inlineStr">
        <is>
          <t>Sweet Banana</t>
        </is>
      </c>
    </row>
    <row r="54" ht="16" customHeight="1">
      <c r="B54" s="3" t="n"/>
      <c r="C54" s="51" t="n"/>
      <c r="D54" s="8" t="n">
        <v>51</v>
      </c>
      <c r="E54" s="362" t="inlineStr">
        <is>
          <t>7.2</t>
        </is>
      </c>
      <c r="F54" s="8" t="inlineStr">
        <is>
          <t>Plantains</t>
        </is>
      </c>
    </row>
    <row r="55" ht="16" customHeight="1">
      <c r="B55" s="3" t="n"/>
      <c r="C55" s="51" t="n"/>
      <c r="D55" s="8" t="n">
        <v>52</v>
      </c>
      <c r="E55" s="362" t="inlineStr">
        <is>
          <t>7.3</t>
        </is>
      </c>
      <c r="F55" s="8" t="inlineStr">
        <is>
          <t>Papaya</t>
        </is>
      </c>
    </row>
    <row r="56" ht="16" customHeight="1">
      <c r="B56" s="3" t="n"/>
      <c r="C56" s="51" t="n"/>
      <c r="D56" s="8" t="n">
        <v>53</v>
      </c>
      <c r="E56" s="362" t="inlineStr">
        <is>
          <t>7.4</t>
        </is>
      </c>
      <c r="F56" s="8" t="inlineStr">
        <is>
          <t>Mango</t>
        </is>
      </c>
    </row>
    <row r="57" ht="16" customHeight="1">
      <c r="B57" s="3" t="n"/>
      <c r="C57" s="51" t="n"/>
      <c r="D57" s="8" t="n">
        <v>54</v>
      </c>
      <c r="E57" s="362" t="inlineStr">
        <is>
          <t>7.5</t>
        </is>
      </c>
      <c r="F57" s="8" t="inlineStr">
        <is>
          <t>Guava</t>
        </is>
      </c>
    </row>
    <row r="58" ht="16" customHeight="1">
      <c r="B58" s="3" t="n"/>
      <c r="C58" s="51" t="n"/>
      <c r="D58" s="8" t="n">
        <v>55</v>
      </c>
      <c r="E58" s="362" t="inlineStr">
        <is>
          <t>7.6</t>
        </is>
      </c>
      <c r="F58" s="8" t="inlineStr">
        <is>
          <t>Pineapple</t>
        </is>
      </c>
    </row>
    <row r="59" ht="16" customHeight="1">
      <c r="B59" s="3" t="n"/>
      <c r="C59" s="51" t="n"/>
      <c r="D59" s="8" t="n">
        <v>56</v>
      </c>
      <c r="E59" s="362" t="inlineStr">
        <is>
          <t>7.7</t>
        </is>
      </c>
      <c r="F59" s="8" t="inlineStr">
        <is>
          <t>Avocado</t>
        </is>
      </c>
    </row>
    <row r="60" ht="16" customHeight="1">
      <c r="B60" s="3" t="n"/>
      <c r="C60" s="51" t="inlineStr">
        <is>
          <t>x</t>
        </is>
      </c>
      <c r="D60" s="8" t="n">
        <v>57</v>
      </c>
      <c r="E60" s="362" t="inlineStr">
        <is>
          <t>7.8</t>
        </is>
      </c>
      <c r="F60" s="8" t="inlineStr">
        <is>
          <t>Water Melon</t>
        </is>
      </c>
    </row>
    <row r="61" ht="16" customHeight="1">
      <c r="B61" s="3" t="n"/>
      <c r="C61" s="51" t="n"/>
      <c r="D61" s="8" t="n">
        <v>58</v>
      </c>
      <c r="E61" s="362" t="inlineStr">
        <is>
          <t>7.9</t>
        </is>
      </c>
      <c r="F61" s="8" t="inlineStr">
        <is>
          <t>Dates</t>
        </is>
      </c>
    </row>
    <row r="62" ht="16" customHeight="1">
      <c r="B62" s="3" t="n"/>
      <c r="C62" s="51" t="n"/>
      <c r="D62" s="8" t="n">
        <v>59</v>
      </c>
      <c r="E62" s="362" t="inlineStr">
        <is>
          <t>7.101</t>
        </is>
      </c>
      <c r="F62" s="8" t="inlineStr">
        <is>
          <t>Figs</t>
        </is>
      </c>
    </row>
    <row r="63" ht="16" customHeight="1">
      <c r="B63" s="3" t="n"/>
      <c r="C63" s="51" t="n"/>
      <c r="D63" s="8" t="n">
        <v>60</v>
      </c>
      <c r="E63" s="362" t="inlineStr">
        <is>
          <t>7.11</t>
        </is>
      </c>
      <c r="F63" s="8" t="inlineStr">
        <is>
          <t>Grapes</t>
        </is>
      </c>
    </row>
    <row r="64" ht="16" customHeight="1">
      <c r="B64" s="3" t="n"/>
      <c r="C64" s="51" t="n"/>
      <c r="D64" s="8" t="n">
        <v>61</v>
      </c>
      <c r="E64" s="362" t="inlineStr">
        <is>
          <t>7.12</t>
        </is>
      </c>
      <c r="F64" s="8" t="inlineStr">
        <is>
          <t>Olives</t>
        </is>
      </c>
    </row>
    <row r="65" ht="16" customHeight="1">
      <c r="B65" s="3" t="n"/>
      <c r="C65" s="51" t="n"/>
      <c r="D65" s="8" t="n">
        <v>62</v>
      </c>
      <c r="E65" s="362" t="inlineStr">
        <is>
          <t>7.13</t>
        </is>
      </c>
      <c r="F65" s="8" t="inlineStr">
        <is>
          <t>Apple</t>
        </is>
      </c>
    </row>
    <row r="66" ht="16" customHeight="1">
      <c r="B66" s="3" t="n"/>
      <c r="C66" s="51" t="n"/>
      <c r="D66" s="8" t="n">
        <v>63</v>
      </c>
      <c r="E66" s="362" t="inlineStr">
        <is>
          <t>7.14</t>
        </is>
      </c>
      <c r="F66" s="8" t="inlineStr">
        <is>
          <t>Apricot</t>
        </is>
      </c>
    </row>
    <row r="67" ht="16" customHeight="1">
      <c r="B67" s="3" t="n"/>
      <c r="C67" s="51" t="n"/>
      <c r="D67" s="8" t="n">
        <v>64</v>
      </c>
      <c r="E67" s="362" t="inlineStr">
        <is>
          <t>7.15</t>
        </is>
      </c>
      <c r="F67" s="8" t="inlineStr">
        <is>
          <t>Cherries</t>
        </is>
      </c>
    </row>
    <row r="68" ht="16" customHeight="1">
      <c r="B68" s="3" t="n"/>
      <c r="C68" s="51" t="n"/>
      <c r="D68" s="8" t="n">
        <v>65</v>
      </c>
      <c r="E68" s="362" t="inlineStr">
        <is>
          <t>7.16</t>
        </is>
      </c>
      <c r="F68" s="8" t="inlineStr">
        <is>
          <t>Peach/nectarine</t>
        </is>
      </c>
    </row>
    <row r="69" ht="16" customHeight="1">
      <c r="B69" s="3" t="n"/>
      <c r="C69" s="51" t="n"/>
      <c r="D69" s="8" t="n">
        <v>66</v>
      </c>
      <c r="E69" s="362" t="inlineStr">
        <is>
          <t>7.17</t>
        </is>
      </c>
      <c r="F69" s="8" t="inlineStr">
        <is>
          <t>Strawberries</t>
        </is>
      </c>
    </row>
    <row r="70" ht="16" customHeight="1">
      <c r="B70" s="3" t="n"/>
      <c r="C70" s="51" t="n"/>
      <c r="D70" s="8" t="n">
        <v>67</v>
      </c>
      <c r="E70" s="362" t="inlineStr">
        <is>
          <t>7.18</t>
        </is>
      </c>
      <c r="F70" s="8" t="inlineStr">
        <is>
          <t>Melon [Cantaloupe]</t>
        </is>
      </c>
    </row>
    <row r="71" ht="16" customHeight="1">
      <c r="B71" s="3" t="n"/>
      <c r="C71" s="401" t="n"/>
      <c r="D71" s="8" t="n">
        <v>68</v>
      </c>
      <c r="E71" s="362" t="inlineStr">
        <is>
          <t>7.99</t>
        </is>
      </c>
      <c r="F71" s="50" t="inlineStr">
        <is>
          <t>Other fruit</t>
        </is>
      </c>
    </row>
    <row r="72" ht="16" customHeight="1">
      <c r="B72" s="3" t="n"/>
      <c r="C72" s="51" t="n"/>
      <c r="D72" s="8" t="n">
        <v>69</v>
      </c>
      <c r="E72" s="362" t="inlineStr">
        <is>
          <t>8.1</t>
        </is>
      </c>
      <c r="F72" s="8" t="inlineStr">
        <is>
          <t>Coconuts</t>
        </is>
      </c>
    </row>
    <row r="73" ht="16" customHeight="1">
      <c r="B73" s="3" t="n"/>
      <c r="C73" s="51" t="inlineStr">
        <is>
          <t>x</t>
        </is>
      </c>
      <c r="D73" s="8" t="n">
        <v>70</v>
      </c>
      <c r="E73" s="362" t="inlineStr">
        <is>
          <t>8.2</t>
        </is>
      </c>
      <c r="F73" s="8" t="inlineStr">
        <is>
          <t>Groundnut/peanut</t>
        </is>
      </c>
    </row>
    <row r="74" ht="16" customHeight="1">
      <c r="B74" s="3" t="n"/>
      <c r="C74" s="51" t="n"/>
      <c r="D74" s="8" t="n">
        <v>71</v>
      </c>
      <c r="E74" s="362" t="inlineStr">
        <is>
          <t>8.3</t>
        </is>
      </c>
      <c r="F74" s="8" t="inlineStr">
        <is>
          <t>Cashew Nut</t>
        </is>
      </c>
    </row>
    <row r="75" ht="16" customHeight="1">
      <c r="B75" s="3" t="n"/>
      <c r="C75" s="51" t="n"/>
      <c r="D75" s="8" t="n">
        <v>72</v>
      </c>
      <c r="E75" s="362" t="inlineStr">
        <is>
          <t>8.4</t>
        </is>
      </c>
      <c r="F75" s="8" t="inlineStr">
        <is>
          <t>Kola Nut</t>
        </is>
      </c>
    </row>
    <row r="76" ht="16" customHeight="1">
      <c r="B76" s="3" t="n"/>
      <c r="C76" s="51" t="inlineStr">
        <is>
          <t>x</t>
        </is>
      </c>
      <c r="D76" s="8" t="n">
        <v>73</v>
      </c>
      <c r="E76" s="362" t="inlineStr">
        <is>
          <t>8.5</t>
        </is>
      </c>
      <c r="F76" s="8" t="inlineStr">
        <is>
          <t>Sesame</t>
        </is>
      </c>
    </row>
    <row r="77" ht="16" customHeight="1">
      <c r="B77" s="3" t="n"/>
      <c r="C77" s="51" t="n"/>
      <c r="D77" s="8" t="n">
        <v>74</v>
      </c>
      <c r="E77" s="362" t="inlineStr">
        <is>
          <t>8.6</t>
        </is>
      </c>
      <c r="F77" s="8" t="inlineStr">
        <is>
          <t>Bambara nut</t>
        </is>
      </c>
    </row>
    <row r="78" ht="16" customHeight="1">
      <c r="B78" s="3" t="n"/>
      <c r="C78" s="51" t="n"/>
      <c r="D78" s="8" t="n">
        <v>75</v>
      </c>
      <c r="E78" s="362" t="inlineStr">
        <is>
          <t>8.7</t>
        </is>
      </c>
      <c r="F78" s="8" t="inlineStr">
        <is>
          <t>Almond</t>
        </is>
      </c>
    </row>
    <row r="79" ht="16" customHeight="1">
      <c r="B79" s="3" t="n"/>
      <c r="C79" s="51" t="n"/>
      <c r="D79" s="8" t="n">
        <v>76</v>
      </c>
      <c r="E79" s="362" t="inlineStr">
        <is>
          <t>8.8</t>
        </is>
      </c>
      <c r="F79" s="8" t="inlineStr">
        <is>
          <t>Walnut</t>
        </is>
      </c>
    </row>
    <row r="80" ht="16" customHeight="1">
      <c r="B80" s="3" t="n"/>
      <c r="C80" s="401" t="n"/>
      <c r="D80" s="8" t="n">
        <v>77</v>
      </c>
      <c r="E80" s="362" t="inlineStr">
        <is>
          <t>8.99</t>
        </is>
      </c>
      <c r="F80" s="50" t="inlineStr">
        <is>
          <t>Other nuts</t>
        </is>
      </c>
    </row>
    <row r="81" ht="16" customHeight="1">
      <c r="B81" s="3" t="n"/>
      <c r="C81" s="51" t="n"/>
      <c r="D81" s="8" t="n">
        <v>78</v>
      </c>
      <c r="E81" s="362" t="inlineStr">
        <is>
          <t>9.1</t>
        </is>
      </c>
      <c r="F81" s="8" t="inlineStr">
        <is>
          <t>Cocoa</t>
        </is>
      </c>
    </row>
    <row r="82" ht="16" customHeight="1">
      <c r="B82" s="3" t="n"/>
      <c r="C82" s="51" t="n"/>
      <c r="D82" s="8" t="n">
        <v>79</v>
      </c>
      <c r="E82" s="362" t="inlineStr">
        <is>
          <t>9.2</t>
        </is>
      </c>
      <c r="F82" s="8" t="inlineStr">
        <is>
          <t>Coffee</t>
        </is>
      </c>
    </row>
    <row r="83" ht="16" customHeight="1">
      <c r="B83" s="3" t="n"/>
      <c r="C83" s="51" t="n"/>
      <c r="D83" s="8" t="n">
        <v>80</v>
      </c>
      <c r="E83" s="362" t="inlineStr">
        <is>
          <t>9.3</t>
        </is>
      </c>
      <c r="F83" s="8" t="inlineStr">
        <is>
          <t>Tea</t>
        </is>
      </c>
    </row>
    <row r="84" ht="16" customHeight="1">
      <c r="B84" s="3" t="n"/>
      <c r="C84" s="51" t="n"/>
      <c r="D84" s="8" t="n">
        <v>81</v>
      </c>
      <c r="E84" s="362" t="inlineStr">
        <is>
          <t>9.4</t>
        </is>
      </c>
      <c r="F84" s="8" t="inlineStr">
        <is>
          <t>Sugarcane</t>
        </is>
      </c>
    </row>
    <row r="85" ht="16" customHeight="1">
      <c r="B85" s="3" t="n"/>
      <c r="C85" s="51" t="n"/>
      <c r="D85" s="8" t="n">
        <v>82</v>
      </c>
      <c r="E85" s="362" t="inlineStr">
        <is>
          <t>9.5</t>
        </is>
      </c>
      <c r="F85" s="8" t="inlineStr">
        <is>
          <t>Sunflower</t>
        </is>
      </c>
    </row>
    <row r="86" ht="16" customHeight="1">
      <c r="B86" s="3" t="n"/>
      <c r="C86" s="401" t="n"/>
      <c r="D86" s="8" t="n">
        <v>83</v>
      </c>
      <c r="E86" s="362" t="inlineStr">
        <is>
          <t>9.99</t>
        </is>
      </c>
      <c r="F86" s="50" t="inlineStr">
        <is>
          <t>Other food cash crop</t>
        </is>
      </c>
    </row>
    <row r="87" ht="16" customHeight="1">
      <c r="B87" s="3" t="n"/>
      <c r="C87" s="51" t="n"/>
      <c r="D87" s="8" t="n">
        <v>84</v>
      </c>
      <c r="E87" s="362" t="inlineStr">
        <is>
          <t>10.1</t>
        </is>
      </c>
      <c r="F87" s="8" t="inlineStr">
        <is>
          <t>Cotton</t>
        </is>
      </c>
    </row>
    <row r="88" ht="16" customHeight="1">
      <c r="B88" s="3" t="n"/>
      <c r="C88" s="51" t="n"/>
      <c r="D88" s="8" t="n">
        <v>85</v>
      </c>
      <c r="E88" s="362" t="inlineStr">
        <is>
          <t>10.2</t>
        </is>
      </c>
      <c r="F88" s="8" t="inlineStr">
        <is>
          <t>Rubber</t>
        </is>
      </c>
    </row>
    <row r="89" ht="16" customHeight="1">
      <c r="B89" s="3" t="n"/>
      <c r="C89" s="51" t="n"/>
      <c r="D89" s="8" t="n">
        <v>86</v>
      </c>
      <c r="E89" s="362" t="inlineStr">
        <is>
          <t>10.3</t>
        </is>
      </c>
      <c r="F89" s="8" t="inlineStr">
        <is>
          <t>Jute</t>
        </is>
      </c>
    </row>
    <row r="90" ht="16" customHeight="1">
      <c r="B90" s="3" t="n"/>
      <c r="C90" s="51" t="n"/>
      <c r="D90" s="8" t="n">
        <v>87</v>
      </c>
      <c r="E90" s="362" t="inlineStr">
        <is>
          <t>10.4</t>
        </is>
      </c>
      <c r="F90" s="8" t="inlineStr">
        <is>
          <t>Fodder</t>
        </is>
      </c>
    </row>
    <row r="91" ht="16" customHeight="1">
      <c r="B91" s="3" t="n"/>
      <c r="C91" s="51" t="n"/>
      <c r="D91" s="8" t="n">
        <v>88</v>
      </c>
      <c r="E91" s="362" t="inlineStr">
        <is>
          <t>10.5</t>
        </is>
      </c>
      <c r="F91" s="8" t="inlineStr">
        <is>
          <t>Tobacco</t>
        </is>
      </c>
    </row>
    <row r="92" ht="16" customHeight="1">
      <c r="B92" s="3" t="n"/>
      <c r="C92" s="51" t="n"/>
      <c r="D92" s="8" t="n">
        <v>89</v>
      </c>
      <c r="E92" s="362" t="inlineStr">
        <is>
          <t>10.6</t>
        </is>
      </c>
      <c r="F92" s="8" t="inlineStr">
        <is>
          <t>Qat</t>
        </is>
      </c>
    </row>
    <row r="93" ht="16" customHeight="1">
      <c r="B93" s="3" t="n"/>
      <c r="C93" s="401" t="n"/>
      <c r="D93" s="8" t="n">
        <v>90</v>
      </c>
      <c r="E93" s="362" t="inlineStr">
        <is>
          <t>10.99</t>
        </is>
      </c>
      <c r="F93" s="50" t="inlineStr">
        <is>
          <t>Other non-food cash crop</t>
        </is>
      </c>
    </row>
    <row r="94">
      <c r="C94" s="6" t="n"/>
      <c r="D94" s="365" t="n"/>
      <c r="E94" s="365" t="n"/>
      <c r="F94" s="7" t="n"/>
    </row>
  </sheetData>
  <sheetProtection selectLockedCells="1" selectUnlockedCells="0" algorithmName="SHA-512" sheet="1" objects="0" insertRows="1" insertHyperlinks="1" autoFilter="1" scenarios="0" formatColumns="1" deleteColumns="1" insertColumns="1" pivotTables="1" deleteRows="1" formatCells="1" saltValue="3rytHyRKSHNjHTY05+X/Ug==" formatRows="1" sort="1" spinCount="100000" hashValue="8W6xvTwwwCeUOLf1n5pI0ajNkuWE8Dd5ozY0kcc6X3x4W6f8yZ2fkjcIaB7SB2maxNjLqvcLYRUhK6dxTUH8uw=="/>
  <autoFilter ref="C3:F93"/>
  <conditionalFormatting sqref="D85">
    <cfRule type="duplicateValues" priority="1" dxfId="0"/>
  </conditionalFormatting>
  <conditionalFormatting sqref="D86:D1048576 D1:D84">
    <cfRule type="duplicateValues" priority="2" dxfId="0"/>
  </conditionalFormatting>
  <dataValidations count="1">
    <dataValidation sqref="C87:C92 C81:C85 C72:C79 C53:C70 C48:C51 C36:C46 C26:C34 C18:C24 C4:C9 C11:C16" showErrorMessage="1" showInput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0"/>
  <sheetViews>
    <sheetView tabSelected="1" zoomScale="109" zoomScaleNormal="90" workbookViewId="0">
      <selection activeCell="E7" sqref="E7"/>
    </sheetView>
  </sheetViews>
  <sheetFormatPr baseColWidth="10" defaultColWidth="10.83203125" defaultRowHeight="16"/>
  <cols>
    <col width="10.83203125" customWidth="1" style="121" min="1" max="1"/>
    <col width="8.83203125" customWidth="1" style="121" min="2" max="2"/>
    <col width="27.6640625" customWidth="1" style="121" min="3" max="3"/>
    <col width="28" customWidth="1" style="121" min="4" max="4"/>
    <col width="51.1640625" customWidth="1" style="161" min="5" max="5"/>
    <col width="22.83203125" customWidth="1" style="121" min="6" max="6"/>
    <col width="10.83203125" customWidth="1" style="121" min="7" max="8"/>
    <col width="44" customWidth="1" style="121" min="9" max="9"/>
    <col width="10.83203125" customWidth="1" style="121" min="10" max="16384"/>
  </cols>
  <sheetData>
    <row r="1" ht="40" customHeight="1" thickBot="1">
      <c r="C1" s="122" t="n"/>
      <c r="D1" s="122" t="n"/>
      <c r="E1" s="149" t="n"/>
      <c r="F1" s="122" t="n"/>
    </row>
    <row r="2" ht="17" customHeight="1" thickBot="1">
      <c r="A2" s="123" t="n"/>
      <c r="B2" s="124" t="n"/>
      <c r="C2" s="125" t="inlineStr">
        <is>
          <t>Original</t>
        </is>
      </c>
      <c r="D2" s="126" t="inlineStr">
        <is>
          <t>Replacement</t>
        </is>
      </c>
      <c r="E2" s="150" t="inlineStr">
        <is>
          <t>Comment</t>
        </is>
      </c>
      <c r="F2" s="127" t="inlineStr">
        <is>
          <t>Examples</t>
        </is>
      </c>
      <c r="G2" s="128" t="n"/>
    </row>
    <row r="3" ht="32.25" customHeight="1">
      <c r="A3" s="123" t="n"/>
      <c r="B3" s="566" t="inlineStr">
        <is>
          <t>FOR CORE QUESTIONS    .
(Mandatory to fill out)    .</t>
        </is>
      </c>
      <c r="C3" s="129" t="inlineStr">
        <is>
          <t>ADMIN1</t>
        </is>
      </c>
      <c r="D3" s="508" t="inlineStr">
        <is>
          <t>State</t>
        </is>
      </c>
      <c r="E3" s="151" t="inlineStr">
        <is>
          <t>The first subdivision of the country, after national level; region; province; governorate; etc.</t>
        </is>
      </c>
      <c r="F3" s="130" t="inlineStr">
        <is>
          <t>region</t>
        </is>
      </c>
      <c r="G3" s="128" t="n"/>
    </row>
    <row r="4" ht="32" customHeight="1">
      <c r="A4" s="123" t="n"/>
      <c r="B4" s="561" t="n"/>
      <c r="C4" s="131" t="inlineStr">
        <is>
          <t>ADMIN2</t>
        </is>
      </c>
      <c r="D4" s="509" t="inlineStr">
        <is>
          <t>LGA</t>
        </is>
      </c>
      <c r="E4" s="152" t="inlineStr">
        <is>
          <t>The second subdivision of the country; district; municipality; LGA; etc.</t>
        </is>
      </c>
      <c r="F4" s="132" t="inlineStr">
        <is>
          <t>district</t>
        </is>
      </c>
      <c r="G4" s="128" t="n"/>
    </row>
    <row r="5" ht="64" customHeight="1">
      <c r="A5" s="123" t="n"/>
      <c r="B5" s="561" t="n"/>
      <c r="C5" s="131" t="inlineStr">
        <is>
          <t>reference year</t>
        </is>
      </c>
      <c r="D5" s="509" t="inlineStr">
        <is>
          <t>a normal year</t>
        </is>
      </c>
      <c r="E5" s="152"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5" s="132" t="inlineStr">
        <is>
          <t>a normal year</t>
        </is>
      </c>
      <c r="G5" s="128" t="n"/>
    </row>
    <row r="6" ht="76" customHeight="1">
      <c r="A6" s="123" t="n"/>
      <c r="B6" s="561" t="n"/>
      <c r="C6" s="131" t="inlineStr">
        <is>
          <t>season</t>
        </is>
      </c>
      <c r="D6" s="509" t="inlineStr">
        <is>
          <t>Rainy season</t>
        </is>
      </c>
      <c r="E6" s="153" t="inlineStr">
        <is>
          <t>Name the crop season(s) of interest if there are several cropping seasons in the country (e.g. Meher and Belg in Ethiopia, rainy season / flood-recession cropping / irrigated dry season in the Sahel). You can refer to the “last season” or “ongoing season".</t>
        </is>
      </c>
      <c r="F6" s="133" t="inlineStr">
        <is>
          <t>wet season</t>
        </is>
      </c>
      <c r="G6" s="128" t="n"/>
      <c r="H6" s="510" t="n"/>
    </row>
    <row r="7" ht="76" customHeight="1">
      <c r="A7" s="123" t="n"/>
      <c r="B7" s="561" t="n"/>
      <c r="C7" s="131" t="inlineStr">
        <is>
          <t>season phase</t>
        </is>
      </c>
      <c r="D7" s="509" t="inlineStr">
        <is>
          <t>Harvesting</t>
        </is>
      </c>
      <c r="E7" s="153"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7" s="133" t="inlineStr">
        <is>
          <t>Harvesting</t>
        </is>
      </c>
      <c r="G7" s="128" t="n"/>
    </row>
    <row r="8" ht="76" customHeight="1">
      <c r="A8" s="123" t="n"/>
      <c r="B8" s="561" t="n"/>
      <c r="C8" s="137" t="inlineStr">
        <is>
          <t>local measurement unit</t>
        </is>
      </c>
      <c r="D8" s="509" t="inlineStr">
        <is>
          <t>Hectares</t>
        </is>
      </c>
      <c r="E8" s="371" t="inlineStr">
        <is>
          <t xml:space="preserve">Specify the local measurement unit for land size, other than acres, hectares, square meters and square feet. If no other unit of measurement is needed, keep this cell blank. </t>
        </is>
      </c>
      <c r="F8" s="133" t="inlineStr">
        <is>
          <t>Jeribs</t>
        </is>
      </c>
      <c r="G8" s="128" t="n"/>
    </row>
    <row r="9" ht="50.25" customHeight="1" thickBot="1">
      <c r="A9" s="123" t="n"/>
      <c r="B9" s="547" t="n"/>
      <c r="C9" s="403" t="inlineStr">
        <is>
          <t>local measurement unit conversion</t>
        </is>
      </c>
      <c r="D9" s="511" t="n">
        <v>1</v>
      </c>
      <c r="E9" s="367" t="inlineStr">
        <is>
          <t xml:space="preserve">Include the conversion of the local measurement unit to hectares. In other words, how many local measurement units are in 1 ha. </t>
        </is>
      </c>
      <c r="F9" s="402" t="n">
        <v>0.2</v>
      </c>
      <c r="G9" s="128" t="n"/>
    </row>
    <row r="10" ht="32.25" customHeight="1">
      <c r="A10" s="123" t="n"/>
      <c r="B10" s="566" t="inlineStr">
        <is>
          <t>FOR OPTIONAL QUESTIONS    .
(Fill out if applicable)    .</t>
        </is>
      </c>
      <c r="C10" s="135" t="inlineStr">
        <is>
          <t>currency</t>
        </is>
      </c>
      <c r="D10" s="512" t="n"/>
      <c r="E10" s="155" t="inlineStr">
        <is>
          <t xml:space="preserve">The name of the main currency used nationally; USD; Naira; Rial; Pesos; etc. </t>
        </is>
      </c>
      <c r="F10" s="136" t="inlineStr">
        <is>
          <t>Naira</t>
        </is>
      </c>
      <c r="G10" s="128" t="n"/>
    </row>
    <row r="11" ht="94" customHeight="1">
      <c r="A11" s="123" t="n"/>
      <c r="B11" s="561" t="n"/>
      <c r="C11" s="368" t="inlineStr">
        <is>
          <t>MIN AMOUNT</t>
        </is>
      </c>
      <c r="D11" s="162" t="n">
        <v>500</v>
      </c>
      <c r="E11" s="36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1" s="370" t="n">
        <v>5</v>
      </c>
      <c r="G11" s="128" t="n"/>
      <c r="I11" s="122" t="n"/>
    </row>
    <row r="12" ht="158.25" customHeight="1">
      <c r="A12" s="123" t="n"/>
      <c r="B12" s="561" t="n"/>
      <c r="C12" s="131" t="inlineStr">
        <is>
          <t>MAX AMOUNT</t>
        </is>
      </c>
      <c r="D12" s="513" t="n">
        <v>100000</v>
      </c>
      <c r="E12" s="153"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F12" s="163" t="n">
        <v>5000000</v>
      </c>
      <c r="G12" s="128" t="n"/>
      <c r="H12" s="123" t="n"/>
      <c r="I12" s="164" t="n"/>
      <c r="J12" s="128" t="n"/>
    </row>
    <row r="13" ht="116.25" customHeight="1">
      <c r="A13" s="123" t="n"/>
      <c r="B13" s="561" t="n"/>
      <c r="C13" s="368" t="inlineStr">
        <is>
          <t>THRESHOLD</t>
        </is>
      </c>
      <c r="D13" s="162" t="n">
        <v>50000</v>
      </c>
      <c r="E13" s="371"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3" s="163" t="n">
        <v>1200000</v>
      </c>
      <c r="G13" s="128" t="n"/>
      <c r="I13" s="148" t="n"/>
    </row>
    <row r="14" ht="50.25" customHeight="1">
      <c r="A14" s="123" t="n"/>
      <c r="B14" s="561" t="n"/>
      <c r="C14" s="137" t="inlineStr">
        <is>
          <t>local vegetables</t>
        </is>
      </c>
      <c r="D14" s="509" t="inlineStr">
        <is>
          <t>Moringa, Spinach, Lettuce</t>
        </is>
      </c>
      <c r="E14" s="153" t="inlineStr">
        <is>
          <t>Input some common local vegetables [to be used as examples in the food consumption score indicator].</t>
        </is>
      </c>
      <c r="F14" s="133" t="inlineStr">
        <is>
          <t>eggplants, zucchini, cauliflower</t>
        </is>
      </c>
      <c r="G14" s="128" t="n"/>
    </row>
    <row r="15" ht="50.25" customHeight="1" thickBot="1">
      <c r="A15" s="123" t="n"/>
      <c r="B15" s="547" t="n"/>
      <c r="C15" s="138" t="inlineStr">
        <is>
          <t>local fruits</t>
        </is>
      </c>
      <c r="D15" s="514" t="inlineStr">
        <is>
          <t xml:space="preserve">Oranges, Mangoes, </t>
        </is>
      </c>
      <c r="E15" s="156" t="inlineStr">
        <is>
          <t>Input some common local fruits [to be used as examples in the food consumption score indicator].</t>
        </is>
      </c>
      <c r="F15" s="134" t="inlineStr">
        <is>
          <t>apples, bananas, oranges</t>
        </is>
      </c>
      <c r="G15" s="128" t="n"/>
    </row>
    <row r="16" ht="5.5" customHeight="1" thickBot="1">
      <c r="A16" s="123" t="n"/>
      <c r="B16" s="139" t="n"/>
      <c r="C16" s="140" t="n"/>
      <c r="D16" s="515" t="n"/>
      <c r="E16" s="154" t="n"/>
      <c r="F16" s="141" t="n"/>
      <c r="G16" s="128" t="n"/>
    </row>
    <row r="17" ht="144" customHeight="1">
      <c r="A17" s="123" t="n"/>
      <c r="B17" s="567" t="inlineStr">
        <is>
          <t>FILL OUT FOR QUESTIONNAIRE DURATION ESTIMATION    .</t>
        </is>
      </c>
      <c r="C17" s="142" t="inlineStr">
        <is>
          <t>Expected percentage of respondents cultivating crops</t>
        </is>
      </c>
      <c r="D17" s="568" t="n">
        <v>0.91</v>
      </c>
      <c r="E17" s="157"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7" s="143" t="n">
        <v>0.91</v>
      </c>
      <c r="G17" s="128" t="n"/>
    </row>
    <row r="18" ht="144" customHeight="1">
      <c r="A18" s="123" t="n"/>
      <c r="B18" s="561" t="n"/>
      <c r="C18" s="144" t="inlineStr">
        <is>
          <t>Expected percentage of respondents raising livestock</t>
        </is>
      </c>
      <c r="D18" s="569" t="n">
        <v>0.91</v>
      </c>
      <c r="E18" s="15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8" s="145" t="n">
        <v>0.91</v>
      </c>
      <c r="G18" s="128" t="n"/>
    </row>
    <row r="19" ht="129" customHeight="1" thickBot="1">
      <c r="A19" s="123" t="n"/>
      <c r="B19" s="547" t="n"/>
      <c r="C19" s="146" t="inlineStr">
        <is>
          <t>Expected percentage of respondents involved in fishery</t>
        </is>
      </c>
      <c r="D19" s="570" t="n">
        <v>0.05</v>
      </c>
      <c r="E19" s="159"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19" s="147" t="n">
        <v>0.05</v>
      </c>
      <c r="G19" s="128" t="n"/>
    </row>
    <row r="20">
      <c r="B20" s="148" t="n"/>
      <c r="C20" s="148" t="n"/>
      <c r="D20" s="148" t="n"/>
      <c r="E20" s="160" t="n"/>
      <c r="F20" s="148" t="n"/>
    </row>
  </sheetData>
  <sheetProtection selectLockedCells="0" selectUnlockedCells="0" algorithmName="SHA-512" sheet="1" objects="0" insertRows="1" insertHyperlinks="1" autoFilter="1" scenarios="0" formatColumns="1" deleteColumns="1" insertColumns="1" pivotTables="1" deleteRows="1" formatCells="0" saltValue="ZItfXca2FqD9bLvgyCCOAg==" formatRows="1" sort="1" spinCount="100000" hashValue="CdvLnQOY8o+ziHme3dCGOtXl8lyYebn9y2nk/IKyWBrW8M2xeNl2S7BOCnPwqWaAMLyC3CB458Y4riYteIKNBw=="/>
  <mergeCells count="3">
    <mergeCell ref="B17:B19"/>
    <mergeCell ref="B3:B9"/>
    <mergeCell ref="B10:B15"/>
  </mergeCells>
  <dataValidations count="2">
    <dataValidation sqref="D7" showErrorMessage="1" showInputMessage="1" allowBlank="0" type="list">
      <formula1>"Not yet in season,Land preparation,Planting,Early growing,Growing,Maturing,Harvesting,Recently finished "</formula1>
    </dataValidation>
    <dataValidation sqref="D5" showErrorMessage="1" showInputMessage="1" allowBlank="0" type="list">
      <formula1>"last year, a normal year"</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775"/>
  <sheetViews>
    <sheetView workbookViewId="0">
      <selection activeCell="A1" sqref="A1"/>
    </sheetView>
  </sheetViews>
  <sheetFormatPr baseColWidth="8" defaultRowHeight="15"/>
  <sheetData>
    <row r="1">
      <c r="A1" s="571" t="inlineStr">
        <is>
          <t>adm2_name</t>
        </is>
      </c>
      <c r="B1" s="571" t="inlineStr">
        <is>
          <t>adm2_name_local</t>
        </is>
      </c>
      <c r="C1" s="571" t="inlineStr">
        <is>
          <t>adm2_pcode</t>
        </is>
      </c>
      <c r="D1" s="571" t="inlineStr">
        <is>
          <t>adm1_name</t>
        </is>
      </c>
      <c r="E1" s="571" t="inlineStr">
        <is>
          <t>adm1_pcode</t>
        </is>
      </c>
      <c r="F1" s="571" t="inlineStr">
        <is>
          <t>adm0_name</t>
        </is>
      </c>
      <c r="G1" s="571" t="inlineStr">
        <is>
          <t>adm0_ISO3</t>
        </is>
      </c>
    </row>
    <row r="2">
      <c r="A2" t="inlineStr">
        <is>
          <t>Kaga</t>
        </is>
      </c>
      <c r="B2" t="inlineStr">
        <is>
          <t xml:space="preserve"> </t>
        </is>
      </c>
      <c r="C2" t="inlineStr">
        <is>
          <t>NG008014</t>
        </is>
      </c>
      <c r="D2" t="inlineStr">
        <is>
          <t>Borno</t>
        </is>
      </c>
      <c r="E2" t="inlineStr">
        <is>
          <t>NG008</t>
        </is>
      </c>
      <c r="F2" t="inlineStr">
        <is>
          <t>Nigeria</t>
        </is>
      </c>
      <c r="G2" t="inlineStr">
        <is>
          <t>NGA</t>
        </is>
      </c>
    </row>
    <row r="3">
      <c r="A3" t="inlineStr">
        <is>
          <t>Kafur</t>
        </is>
      </c>
      <c r="B3" t="inlineStr">
        <is>
          <t xml:space="preserve"> </t>
        </is>
      </c>
      <c r="C3" t="inlineStr">
        <is>
          <t>NG021017</t>
        </is>
      </c>
      <c r="D3" t="inlineStr">
        <is>
          <t>Katsina</t>
        </is>
      </c>
      <c r="E3" t="inlineStr">
        <is>
          <t>NG021</t>
        </is>
      </c>
      <c r="F3" t="inlineStr">
        <is>
          <t>Nigeria</t>
        </is>
      </c>
      <c r="G3" t="inlineStr">
        <is>
          <t>NGA</t>
        </is>
      </c>
    </row>
    <row r="4">
      <c r="A4" t="inlineStr">
        <is>
          <t>Kafin Hausa</t>
        </is>
      </c>
      <c r="B4" t="inlineStr">
        <is>
          <t xml:space="preserve"> </t>
        </is>
      </c>
      <c r="C4" t="inlineStr">
        <is>
          <t>NG018015</t>
        </is>
      </c>
      <c r="D4" t="inlineStr">
        <is>
          <t>Jigawa</t>
        </is>
      </c>
      <c r="E4" t="inlineStr">
        <is>
          <t>NG018</t>
        </is>
      </c>
      <c r="F4" t="inlineStr">
        <is>
          <t>Nigeria</t>
        </is>
      </c>
      <c r="G4" t="inlineStr">
        <is>
          <t>NGA</t>
        </is>
      </c>
    </row>
    <row r="5">
      <c r="A5" t="inlineStr">
        <is>
          <t>Kaduna South</t>
        </is>
      </c>
      <c r="B5" t="inlineStr">
        <is>
          <t xml:space="preserve"> </t>
        </is>
      </c>
      <c r="C5" t="inlineStr">
        <is>
          <t>NG019010</t>
        </is>
      </c>
      <c r="D5" t="inlineStr">
        <is>
          <t>Kaduna</t>
        </is>
      </c>
      <c r="E5" t="inlineStr">
        <is>
          <t>NG019</t>
        </is>
      </c>
      <c r="F5" t="inlineStr">
        <is>
          <t>Nigeria</t>
        </is>
      </c>
      <c r="G5" t="inlineStr">
        <is>
          <t>NGA</t>
        </is>
      </c>
    </row>
    <row r="6">
      <c r="A6" t="inlineStr">
        <is>
          <t>Kaduna North</t>
        </is>
      </c>
      <c r="B6" t="inlineStr">
        <is>
          <t xml:space="preserve"> </t>
        </is>
      </c>
      <c r="C6" t="inlineStr">
        <is>
          <t>NG019009</t>
        </is>
      </c>
      <c r="D6" t="inlineStr">
        <is>
          <t>Kaduna</t>
        </is>
      </c>
      <c r="E6" t="inlineStr">
        <is>
          <t>NG019</t>
        </is>
      </c>
      <c r="F6" t="inlineStr">
        <is>
          <t>Nigeria</t>
        </is>
      </c>
      <c r="G6" t="inlineStr">
        <is>
          <t>NGA</t>
        </is>
      </c>
    </row>
    <row r="7">
      <c r="A7" t="inlineStr">
        <is>
          <t>Kachia</t>
        </is>
      </c>
      <c r="B7" t="inlineStr">
        <is>
          <t xml:space="preserve"> </t>
        </is>
      </c>
      <c r="C7" t="inlineStr">
        <is>
          <t>NG019008</t>
        </is>
      </c>
      <c r="D7" t="inlineStr">
        <is>
          <t>Kaduna</t>
        </is>
      </c>
      <c r="E7" t="inlineStr">
        <is>
          <t>NG019</t>
        </is>
      </c>
      <c r="F7" t="inlineStr">
        <is>
          <t>Nigeria</t>
        </is>
      </c>
      <c r="G7" t="inlineStr">
        <is>
          <t>NGA</t>
        </is>
      </c>
    </row>
    <row r="8">
      <c r="A8" t="inlineStr">
        <is>
          <t>Kabo</t>
        </is>
      </c>
      <c r="B8" t="inlineStr">
        <is>
          <t xml:space="preserve"> </t>
        </is>
      </c>
      <c r="C8" t="inlineStr">
        <is>
          <t>NG020020</t>
        </is>
      </c>
      <c r="D8" t="inlineStr">
        <is>
          <t>Kano</t>
        </is>
      </c>
      <c r="E8" t="inlineStr">
        <is>
          <t>NG020</t>
        </is>
      </c>
      <c r="F8" t="inlineStr">
        <is>
          <t>Nigeria</t>
        </is>
      </c>
      <c r="G8" t="inlineStr">
        <is>
          <t>NGA</t>
        </is>
      </c>
    </row>
    <row r="9">
      <c r="A9" t="inlineStr">
        <is>
          <t>Kabba/Bunu</t>
        </is>
      </c>
      <c r="B9" t="inlineStr">
        <is>
          <t xml:space="preserve"> </t>
        </is>
      </c>
      <c r="C9" t="inlineStr">
        <is>
          <t>NG023010</t>
        </is>
      </c>
      <c r="D9" t="inlineStr">
        <is>
          <t>Kogi</t>
        </is>
      </c>
      <c r="E9" t="inlineStr">
        <is>
          <t>NG023</t>
        </is>
      </c>
      <c r="F9" t="inlineStr">
        <is>
          <t>Nigeria</t>
        </is>
      </c>
      <c r="G9" t="inlineStr">
        <is>
          <t>NGA</t>
        </is>
      </c>
    </row>
    <row r="10">
      <c r="A10" t="inlineStr">
        <is>
          <t>Jos South</t>
        </is>
      </c>
      <c r="B10" t="inlineStr">
        <is>
          <t xml:space="preserve"> </t>
        </is>
      </c>
      <c r="C10" t="inlineStr">
        <is>
          <t>NG032006</t>
        </is>
      </c>
      <c r="D10" t="inlineStr">
        <is>
          <t>Plateau</t>
        </is>
      </c>
      <c r="E10" t="inlineStr">
        <is>
          <t>NG032</t>
        </is>
      </c>
      <c r="F10" t="inlineStr">
        <is>
          <t>Nigeria</t>
        </is>
      </c>
      <c r="G10" t="inlineStr">
        <is>
          <t>NGA</t>
        </is>
      </c>
    </row>
    <row r="11">
      <c r="A11" t="inlineStr">
        <is>
          <t>Jos North</t>
        </is>
      </c>
      <c r="B11" t="inlineStr">
        <is>
          <t xml:space="preserve"> </t>
        </is>
      </c>
      <c r="C11" t="inlineStr">
        <is>
          <t>NG032005</t>
        </is>
      </c>
      <c r="D11" t="inlineStr">
        <is>
          <t>Plateau</t>
        </is>
      </c>
      <c r="E11" t="inlineStr">
        <is>
          <t>NG032</t>
        </is>
      </c>
      <c r="F11" t="inlineStr">
        <is>
          <t>Nigeria</t>
        </is>
      </c>
      <c r="G11" t="inlineStr">
        <is>
          <t>NGA</t>
        </is>
      </c>
    </row>
    <row r="12">
      <c r="A12" t="inlineStr">
        <is>
          <t>Jos East</t>
        </is>
      </c>
      <c r="B12" t="inlineStr">
        <is>
          <t xml:space="preserve"> </t>
        </is>
      </c>
      <c r="C12" t="inlineStr">
        <is>
          <t>NG032004</t>
        </is>
      </c>
      <c r="D12" t="inlineStr">
        <is>
          <t>Plateau</t>
        </is>
      </c>
      <c r="E12" t="inlineStr">
        <is>
          <t>NG032</t>
        </is>
      </c>
      <c r="F12" t="inlineStr">
        <is>
          <t>Nigeria</t>
        </is>
      </c>
      <c r="G12" t="inlineStr">
        <is>
          <t>NGA</t>
        </is>
      </c>
    </row>
    <row r="13">
      <c r="A13" t="inlineStr">
        <is>
          <t>Jibia</t>
        </is>
      </c>
      <c r="B13" t="inlineStr">
        <is>
          <t xml:space="preserve"> </t>
        </is>
      </c>
      <c r="C13" t="inlineStr">
        <is>
          <t>NG021016</t>
        </is>
      </c>
      <c r="D13" t="inlineStr">
        <is>
          <t>Katsina</t>
        </is>
      </c>
      <c r="E13" t="inlineStr">
        <is>
          <t>NG021</t>
        </is>
      </c>
      <c r="F13" t="inlineStr">
        <is>
          <t>Nigeria</t>
        </is>
      </c>
      <c r="G13" t="inlineStr">
        <is>
          <t>NGA</t>
        </is>
      </c>
    </row>
    <row r="14">
      <c r="A14" t="inlineStr">
        <is>
          <t>Jere</t>
        </is>
      </c>
      <c r="B14" t="inlineStr">
        <is>
          <t xml:space="preserve"> </t>
        </is>
      </c>
      <c r="C14" t="inlineStr">
        <is>
          <t>NG008013</t>
        </is>
      </c>
      <c r="D14" t="inlineStr">
        <is>
          <t>Borno</t>
        </is>
      </c>
      <c r="E14" t="inlineStr">
        <is>
          <t>NG008</t>
        </is>
      </c>
      <c r="F14" t="inlineStr">
        <is>
          <t>Nigeria</t>
        </is>
      </c>
      <c r="G14" t="inlineStr">
        <is>
          <t>NGA</t>
        </is>
      </c>
    </row>
    <row r="15">
      <c r="A15" t="inlineStr">
        <is>
          <t>Jema'a</t>
        </is>
      </c>
      <c r="B15" t="inlineStr">
        <is>
          <t xml:space="preserve"> </t>
        </is>
      </c>
      <c r="C15" t="inlineStr">
        <is>
          <t>NG019007</t>
        </is>
      </c>
      <c r="D15" t="inlineStr">
        <is>
          <t>Kaduna</t>
        </is>
      </c>
      <c r="E15" t="inlineStr">
        <is>
          <t>NG019</t>
        </is>
      </c>
      <c r="F15" t="inlineStr">
        <is>
          <t>Nigeria</t>
        </is>
      </c>
      <c r="G15" t="inlineStr">
        <is>
          <t>NGA</t>
        </is>
      </c>
    </row>
    <row r="16">
      <c r="A16" t="inlineStr">
        <is>
          <t>Jega</t>
        </is>
      </c>
      <c r="B16" t="inlineStr">
        <is>
          <t xml:space="preserve"> </t>
        </is>
      </c>
      <c r="C16" t="inlineStr">
        <is>
          <t>NG022011</t>
        </is>
      </c>
      <c r="D16" t="inlineStr">
        <is>
          <t>Kebbi</t>
        </is>
      </c>
      <c r="E16" t="inlineStr">
        <is>
          <t>NG022</t>
        </is>
      </c>
      <c r="F16" t="inlineStr">
        <is>
          <t>Nigeria</t>
        </is>
      </c>
      <c r="G16" t="inlineStr">
        <is>
          <t>NGA</t>
        </is>
      </c>
    </row>
    <row r="17">
      <c r="A17" t="inlineStr">
        <is>
          <t>Jama'are</t>
        </is>
      </c>
      <c r="B17" t="inlineStr">
        <is>
          <t xml:space="preserve"> </t>
        </is>
      </c>
      <c r="C17" t="inlineStr">
        <is>
          <t>NG005011</t>
        </is>
      </c>
      <c r="D17" t="inlineStr">
        <is>
          <t>Bauchi</t>
        </is>
      </c>
      <c r="E17" t="inlineStr">
        <is>
          <t>NG005</t>
        </is>
      </c>
      <c r="F17" t="inlineStr">
        <is>
          <t>Nigeria</t>
        </is>
      </c>
      <c r="G17" t="inlineStr">
        <is>
          <t>NGA</t>
        </is>
      </c>
    </row>
    <row r="18">
      <c r="A18" t="inlineStr">
        <is>
          <t>Jalingo</t>
        </is>
      </c>
      <c r="B18" t="inlineStr">
        <is>
          <t xml:space="preserve"> </t>
        </is>
      </c>
      <c r="C18" t="inlineStr">
        <is>
          <t>NG035007</t>
        </is>
      </c>
      <c r="D18" t="inlineStr">
        <is>
          <t>Taraba</t>
        </is>
      </c>
      <c r="E18" t="inlineStr">
        <is>
          <t>NG035</t>
        </is>
      </c>
      <c r="F18" t="inlineStr">
        <is>
          <t>Nigeria</t>
        </is>
      </c>
      <c r="G18" t="inlineStr">
        <is>
          <t>NGA</t>
        </is>
      </c>
    </row>
    <row r="19">
      <c r="A19" t="inlineStr">
        <is>
          <t>Jakusko</t>
        </is>
      </c>
      <c r="B19" t="inlineStr">
        <is>
          <t xml:space="preserve"> </t>
        </is>
      </c>
      <c r="C19" t="inlineStr">
        <is>
          <t>NG036009</t>
        </is>
      </c>
      <c r="D19" t="inlineStr">
        <is>
          <t>Yobe</t>
        </is>
      </c>
      <c r="E19" t="inlineStr">
        <is>
          <t>NG036</t>
        </is>
      </c>
      <c r="F19" t="inlineStr">
        <is>
          <t>Nigeria</t>
        </is>
      </c>
      <c r="G19" t="inlineStr">
        <is>
          <t>NGA</t>
        </is>
      </c>
    </row>
    <row r="20">
      <c r="A20" t="inlineStr">
        <is>
          <t>Jahun</t>
        </is>
      </c>
      <c r="B20" t="inlineStr">
        <is>
          <t xml:space="preserve"> </t>
        </is>
      </c>
      <c r="C20" t="inlineStr">
        <is>
          <t>NG018014</t>
        </is>
      </c>
      <c r="D20" t="inlineStr">
        <is>
          <t>Jigawa</t>
        </is>
      </c>
      <c r="E20" t="inlineStr">
        <is>
          <t>NG018</t>
        </is>
      </c>
      <c r="F20" t="inlineStr">
        <is>
          <t>Nigeria</t>
        </is>
      </c>
      <c r="G20" t="inlineStr">
        <is>
          <t>NGA</t>
        </is>
      </c>
    </row>
    <row r="21">
      <c r="A21" t="inlineStr">
        <is>
          <t>Jada</t>
        </is>
      </c>
      <c r="B21" t="inlineStr">
        <is>
          <t xml:space="preserve"> </t>
        </is>
      </c>
      <c r="C21" t="inlineStr">
        <is>
          <t>NG002008</t>
        </is>
      </c>
      <c r="D21" t="inlineStr">
        <is>
          <t>Adamawa</t>
        </is>
      </c>
      <c r="E21" t="inlineStr">
        <is>
          <t>NG002</t>
        </is>
      </c>
      <c r="F21" t="inlineStr">
        <is>
          <t>Nigeria</t>
        </is>
      </c>
      <c r="G21" t="inlineStr">
        <is>
          <t>NGA</t>
        </is>
      </c>
    </row>
    <row r="22">
      <c r="A22" t="inlineStr">
        <is>
          <t>Jaba</t>
        </is>
      </c>
      <c r="B22" t="inlineStr">
        <is>
          <t xml:space="preserve"> </t>
        </is>
      </c>
      <c r="C22" t="inlineStr">
        <is>
          <t>NG019006</t>
        </is>
      </c>
      <c r="D22" t="inlineStr">
        <is>
          <t>Kaduna</t>
        </is>
      </c>
      <c r="E22" t="inlineStr">
        <is>
          <t>NG019</t>
        </is>
      </c>
      <c r="F22" t="inlineStr">
        <is>
          <t>Nigeria</t>
        </is>
      </c>
      <c r="G22" t="inlineStr">
        <is>
          <t>NGA</t>
        </is>
      </c>
    </row>
    <row r="23">
      <c r="A23" t="inlineStr">
        <is>
          <t>Izzi</t>
        </is>
      </c>
      <c r="B23" t="inlineStr">
        <is>
          <t xml:space="preserve"> </t>
        </is>
      </c>
      <c r="C23" t="inlineStr">
        <is>
          <t>NG011010</t>
        </is>
      </c>
      <c r="D23" t="inlineStr">
        <is>
          <t>Ebonyi</t>
        </is>
      </c>
      <c r="E23" t="inlineStr">
        <is>
          <t>NG011</t>
        </is>
      </c>
      <c r="F23" t="inlineStr">
        <is>
          <t>Nigeria</t>
        </is>
      </c>
      <c r="G23" t="inlineStr">
        <is>
          <t>NGA</t>
        </is>
      </c>
    </row>
    <row r="24">
      <c r="A24" t="inlineStr">
        <is>
          <t>Iwo</t>
        </is>
      </c>
      <c r="B24" t="inlineStr">
        <is>
          <t xml:space="preserve"> </t>
        </is>
      </c>
      <c r="C24" t="inlineStr">
        <is>
          <t>NG030023</t>
        </is>
      </c>
      <c r="D24" t="inlineStr">
        <is>
          <t>Osun</t>
        </is>
      </c>
      <c r="E24" t="inlineStr">
        <is>
          <t>NG030</t>
        </is>
      </c>
      <c r="F24" t="inlineStr">
        <is>
          <t>Nigeria</t>
        </is>
      </c>
      <c r="G24" t="inlineStr">
        <is>
          <t>NGA</t>
        </is>
      </c>
    </row>
    <row r="25">
      <c r="A25" t="inlineStr">
        <is>
          <t>Iwajowa</t>
        </is>
      </c>
      <c r="B25" t="inlineStr">
        <is>
          <t xml:space="preserve"> </t>
        </is>
      </c>
      <c r="C25" t="inlineStr">
        <is>
          <t>NG031018</t>
        </is>
      </c>
      <c r="D25" t="inlineStr">
        <is>
          <t>Oyo</t>
        </is>
      </c>
      <c r="E25" t="inlineStr">
        <is>
          <t>NG031</t>
        </is>
      </c>
      <c r="F25" t="inlineStr">
        <is>
          <t>Nigeria</t>
        </is>
      </c>
      <c r="G25" t="inlineStr">
        <is>
          <t>NGA</t>
        </is>
      </c>
    </row>
    <row r="26">
      <c r="A26" t="inlineStr">
        <is>
          <t>Ivo</t>
        </is>
      </c>
      <c r="B26" t="inlineStr">
        <is>
          <t xml:space="preserve"> </t>
        </is>
      </c>
      <c r="C26" t="inlineStr">
        <is>
          <t>NG011009</t>
        </is>
      </c>
      <c r="D26" t="inlineStr">
        <is>
          <t>Ebonyi</t>
        </is>
      </c>
      <c r="E26" t="inlineStr">
        <is>
          <t>NG011</t>
        </is>
      </c>
      <c r="F26" t="inlineStr">
        <is>
          <t>Nigeria</t>
        </is>
      </c>
      <c r="G26" t="inlineStr">
        <is>
          <t>NGA</t>
        </is>
      </c>
    </row>
    <row r="27">
      <c r="A27" t="inlineStr">
        <is>
          <t>Itu</t>
        </is>
      </c>
      <c r="B27" t="inlineStr">
        <is>
          <t xml:space="preserve"> </t>
        </is>
      </c>
      <c r="C27" t="inlineStr">
        <is>
          <t>NG003016</t>
        </is>
      </c>
      <c r="D27" t="inlineStr">
        <is>
          <t>Akwa Ibom</t>
        </is>
      </c>
      <c r="E27" t="inlineStr">
        <is>
          <t>NG003</t>
        </is>
      </c>
      <c r="F27" t="inlineStr">
        <is>
          <t>Nigeria</t>
        </is>
      </c>
      <c r="G27" t="inlineStr">
        <is>
          <t>NGA</t>
        </is>
      </c>
    </row>
    <row r="28">
      <c r="A28" t="inlineStr">
        <is>
          <t>Itesiwaju</t>
        </is>
      </c>
      <c r="B28" t="inlineStr">
        <is>
          <t xml:space="preserve"> </t>
        </is>
      </c>
      <c r="C28" t="inlineStr">
        <is>
          <t>NG031017</t>
        </is>
      </c>
      <c r="D28" t="inlineStr">
        <is>
          <t>Oyo</t>
        </is>
      </c>
      <c r="E28" t="inlineStr">
        <is>
          <t>NG031</t>
        </is>
      </c>
      <c r="F28" t="inlineStr">
        <is>
          <t>Nigeria</t>
        </is>
      </c>
      <c r="G28" t="inlineStr">
        <is>
          <t>NGA</t>
        </is>
      </c>
    </row>
    <row r="29">
      <c r="A29" t="inlineStr">
        <is>
          <t>Itas/Gadau</t>
        </is>
      </c>
      <c r="B29" t="inlineStr">
        <is>
          <t xml:space="preserve"> </t>
        </is>
      </c>
      <c r="C29" t="inlineStr">
        <is>
          <t>NG005010</t>
        </is>
      </c>
      <c r="D29" t="inlineStr">
        <is>
          <t>Bauchi</t>
        </is>
      </c>
      <c r="E29" t="inlineStr">
        <is>
          <t>NG005</t>
        </is>
      </c>
      <c r="F29" t="inlineStr">
        <is>
          <t>Nigeria</t>
        </is>
      </c>
      <c r="G29" t="inlineStr">
        <is>
          <t>NGA</t>
        </is>
      </c>
    </row>
    <row r="30">
      <c r="A30" t="inlineStr">
        <is>
          <t>Isu</t>
        </is>
      </c>
      <c r="B30" t="inlineStr">
        <is>
          <t xml:space="preserve"> </t>
        </is>
      </c>
      <c r="C30" t="inlineStr">
        <is>
          <t>NG017010</t>
        </is>
      </c>
      <c r="D30" t="inlineStr">
        <is>
          <t>Imo</t>
        </is>
      </c>
      <c r="E30" t="inlineStr">
        <is>
          <t>NG017</t>
        </is>
      </c>
      <c r="F30" t="inlineStr">
        <is>
          <t>Nigeria</t>
        </is>
      </c>
      <c r="G30" t="inlineStr">
        <is>
          <t>NGA</t>
        </is>
      </c>
    </row>
    <row r="31">
      <c r="A31" t="inlineStr">
        <is>
          <t>Isoko South</t>
        </is>
      </c>
      <c r="B31" t="inlineStr">
        <is>
          <t xml:space="preserve"> </t>
        </is>
      </c>
      <c r="C31" t="inlineStr">
        <is>
          <t>NG010010</t>
        </is>
      </c>
      <c r="D31" t="inlineStr">
        <is>
          <t>Delta</t>
        </is>
      </c>
      <c r="E31" t="inlineStr">
        <is>
          <t>NG010</t>
        </is>
      </c>
      <c r="F31" t="inlineStr">
        <is>
          <t>Nigeria</t>
        </is>
      </c>
      <c r="G31" t="inlineStr">
        <is>
          <t>NGA</t>
        </is>
      </c>
    </row>
    <row r="32">
      <c r="A32" t="inlineStr">
        <is>
          <t>Isoko North</t>
        </is>
      </c>
      <c r="B32" t="inlineStr">
        <is>
          <t xml:space="preserve"> </t>
        </is>
      </c>
      <c r="C32" t="inlineStr">
        <is>
          <t>NG010009</t>
        </is>
      </c>
      <c r="D32" t="inlineStr">
        <is>
          <t>Delta</t>
        </is>
      </c>
      <c r="E32" t="inlineStr">
        <is>
          <t>NG010</t>
        </is>
      </c>
      <c r="F32" t="inlineStr">
        <is>
          <t>Nigeria</t>
        </is>
      </c>
      <c r="G32" t="inlineStr">
        <is>
          <t>NGA</t>
        </is>
      </c>
    </row>
    <row r="33">
      <c r="A33" t="inlineStr">
        <is>
          <t>Isokan</t>
        </is>
      </c>
      <c r="B33" t="inlineStr">
        <is>
          <t xml:space="preserve"> </t>
        </is>
      </c>
      <c r="C33" t="inlineStr">
        <is>
          <t>NG030022</t>
        </is>
      </c>
      <c r="D33" t="inlineStr">
        <is>
          <t>Osun</t>
        </is>
      </c>
      <c r="E33" t="inlineStr">
        <is>
          <t>NG030</t>
        </is>
      </c>
      <c r="F33" t="inlineStr">
        <is>
          <t>Nigeria</t>
        </is>
      </c>
      <c r="G33" t="inlineStr">
        <is>
          <t>NGA</t>
        </is>
      </c>
    </row>
    <row r="34">
      <c r="A34" t="inlineStr">
        <is>
          <t>Isiukwuato</t>
        </is>
      </c>
      <c r="B34" t="inlineStr">
        <is>
          <t xml:space="preserve"> </t>
        </is>
      </c>
      <c r="C34" t="inlineStr">
        <is>
          <t>NG001008</t>
        </is>
      </c>
      <c r="D34" t="inlineStr">
        <is>
          <t>Abia</t>
        </is>
      </c>
      <c r="E34" t="inlineStr">
        <is>
          <t>NG001</t>
        </is>
      </c>
      <c r="F34" t="inlineStr">
        <is>
          <t>Nigeria</t>
        </is>
      </c>
      <c r="G34" t="inlineStr">
        <is>
          <t>NGA</t>
        </is>
      </c>
    </row>
    <row r="35">
      <c r="A35" t="inlineStr">
        <is>
          <t>Isin</t>
        </is>
      </c>
      <c r="B35" t="inlineStr">
        <is>
          <t xml:space="preserve"> </t>
        </is>
      </c>
      <c r="C35" t="inlineStr">
        <is>
          <t>NG024010</t>
        </is>
      </c>
      <c r="D35" t="inlineStr">
        <is>
          <t>Kwara</t>
        </is>
      </c>
      <c r="E35" t="inlineStr">
        <is>
          <t>NG024</t>
        </is>
      </c>
      <c r="F35" t="inlineStr">
        <is>
          <t>Nigeria</t>
        </is>
      </c>
      <c r="G35" t="inlineStr">
        <is>
          <t>NGA</t>
        </is>
      </c>
    </row>
    <row r="36">
      <c r="A36" t="inlineStr">
        <is>
          <t>Isiala Mbano</t>
        </is>
      </c>
      <c r="B36" t="inlineStr">
        <is>
          <t xml:space="preserve"> </t>
        </is>
      </c>
      <c r="C36" t="inlineStr">
        <is>
          <t>NG017009</t>
        </is>
      </c>
      <c r="D36" t="inlineStr">
        <is>
          <t>Imo</t>
        </is>
      </c>
      <c r="E36" t="inlineStr">
        <is>
          <t>NG017</t>
        </is>
      </c>
      <c r="F36" t="inlineStr">
        <is>
          <t>Nigeria</t>
        </is>
      </c>
      <c r="G36" t="inlineStr">
        <is>
          <t>NGA</t>
        </is>
      </c>
    </row>
    <row r="37">
      <c r="A37" t="inlineStr">
        <is>
          <t>Isiala-Ngwa South</t>
        </is>
      </c>
      <c r="B37" t="inlineStr">
        <is>
          <t xml:space="preserve"> </t>
        </is>
      </c>
      <c r="C37" t="inlineStr">
        <is>
          <t>NG001007</t>
        </is>
      </c>
      <c r="D37" t="inlineStr">
        <is>
          <t>Abia</t>
        </is>
      </c>
      <c r="E37" t="inlineStr">
        <is>
          <t>NG001</t>
        </is>
      </c>
      <c r="F37" t="inlineStr">
        <is>
          <t>Nigeria</t>
        </is>
      </c>
      <c r="G37" t="inlineStr">
        <is>
          <t>NGA</t>
        </is>
      </c>
    </row>
    <row r="38">
      <c r="A38" t="inlineStr">
        <is>
          <t>Isiala-Ngwa North</t>
        </is>
      </c>
      <c r="B38" t="inlineStr">
        <is>
          <t xml:space="preserve"> </t>
        </is>
      </c>
      <c r="C38" t="inlineStr">
        <is>
          <t>NG001006</t>
        </is>
      </c>
      <c r="D38" t="inlineStr">
        <is>
          <t>Abia</t>
        </is>
      </c>
      <c r="E38" t="inlineStr">
        <is>
          <t>NG001</t>
        </is>
      </c>
      <c r="F38" t="inlineStr">
        <is>
          <t>Nigeria</t>
        </is>
      </c>
      <c r="G38" t="inlineStr">
        <is>
          <t>NGA</t>
        </is>
      </c>
    </row>
    <row r="39">
      <c r="A39" t="inlineStr">
        <is>
          <t>Isi-Uzo</t>
        </is>
      </c>
      <c r="B39" t="inlineStr">
        <is>
          <t xml:space="preserve"> </t>
        </is>
      </c>
      <c r="C39" t="inlineStr">
        <is>
          <t>NG014010</t>
        </is>
      </c>
      <c r="D39" t="inlineStr">
        <is>
          <t>Enugu</t>
        </is>
      </c>
      <c r="E39" t="inlineStr">
        <is>
          <t>NG014</t>
        </is>
      </c>
      <c r="F39" t="inlineStr">
        <is>
          <t>Nigeria</t>
        </is>
      </c>
      <c r="G39" t="inlineStr">
        <is>
          <t>NGA</t>
        </is>
      </c>
    </row>
    <row r="40">
      <c r="A40" t="inlineStr">
        <is>
          <t>Ishielu</t>
        </is>
      </c>
      <c r="B40" t="inlineStr">
        <is>
          <t xml:space="preserve"> </t>
        </is>
      </c>
      <c r="C40" t="inlineStr">
        <is>
          <t>NG011008</t>
        </is>
      </c>
      <c r="D40" t="inlineStr">
        <is>
          <t>Ebonyi</t>
        </is>
      </c>
      <c r="E40" t="inlineStr">
        <is>
          <t>NG011</t>
        </is>
      </c>
      <c r="F40" t="inlineStr">
        <is>
          <t>Nigeria</t>
        </is>
      </c>
      <c r="G40" t="inlineStr">
        <is>
          <t>NGA</t>
        </is>
      </c>
    </row>
    <row r="41">
      <c r="A41" t="inlineStr">
        <is>
          <t>Iseyin</t>
        </is>
      </c>
      <c r="B41" t="inlineStr">
        <is>
          <t xml:space="preserve"> </t>
        </is>
      </c>
      <c r="C41" t="inlineStr">
        <is>
          <t>NG031016</t>
        </is>
      </c>
      <c r="D41" t="inlineStr">
        <is>
          <t>Oyo</t>
        </is>
      </c>
      <c r="E41" t="inlineStr">
        <is>
          <t>NG031</t>
        </is>
      </c>
      <c r="F41" t="inlineStr">
        <is>
          <t>Nigeria</t>
        </is>
      </c>
      <c r="G41" t="inlineStr">
        <is>
          <t>NGA</t>
        </is>
      </c>
    </row>
    <row r="42">
      <c r="A42" t="inlineStr">
        <is>
          <t>Ise/Orun</t>
        </is>
      </c>
      <c r="B42" t="inlineStr">
        <is>
          <t xml:space="preserve"> </t>
        </is>
      </c>
      <c r="C42" t="inlineStr">
        <is>
          <t>NG013014</t>
        </is>
      </c>
      <c r="D42" t="inlineStr">
        <is>
          <t>Ekiti</t>
        </is>
      </c>
      <c r="E42" t="inlineStr">
        <is>
          <t>NG013</t>
        </is>
      </c>
      <c r="F42" t="inlineStr">
        <is>
          <t>Nigeria</t>
        </is>
      </c>
      <c r="G42" t="inlineStr">
        <is>
          <t>NGA</t>
        </is>
      </c>
    </row>
    <row r="43">
      <c r="A43" t="inlineStr">
        <is>
          <t>Isa</t>
        </is>
      </c>
      <c r="B43" t="inlineStr">
        <is>
          <t xml:space="preserve"> </t>
        </is>
      </c>
      <c r="C43" t="inlineStr">
        <is>
          <t>NG034009</t>
        </is>
      </c>
      <c r="D43" t="inlineStr">
        <is>
          <t>Sokoto</t>
        </is>
      </c>
      <c r="E43" t="inlineStr">
        <is>
          <t>NG034</t>
        </is>
      </c>
      <c r="F43" t="inlineStr">
        <is>
          <t>Nigeria</t>
        </is>
      </c>
      <c r="G43" t="inlineStr">
        <is>
          <t>NGA</t>
        </is>
      </c>
    </row>
    <row r="44">
      <c r="A44" t="inlineStr">
        <is>
          <t>Irewole</t>
        </is>
      </c>
      <c r="B44" t="inlineStr">
        <is>
          <t xml:space="preserve"> </t>
        </is>
      </c>
      <c r="C44" t="inlineStr">
        <is>
          <t>NG030021</t>
        </is>
      </c>
      <c r="D44" t="inlineStr">
        <is>
          <t>Osun</t>
        </is>
      </c>
      <c r="E44" t="inlineStr">
        <is>
          <t>NG030</t>
        </is>
      </c>
      <c r="F44" t="inlineStr">
        <is>
          <t>Nigeria</t>
        </is>
      </c>
      <c r="G44" t="inlineStr">
        <is>
          <t>NGA</t>
        </is>
      </c>
    </row>
    <row r="45">
      <c r="A45" t="inlineStr">
        <is>
          <t>Irepodun/Ifelodun</t>
        </is>
      </c>
      <c r="B45" t="inlineStr">
        <is>
          <t xml:space="preserve"> </t>
        </is>
      </c>
      <c r="C45" t="inlineStr">
        <is>
          <t>NG013013</t>
        </is>
      </c>
      <c r="D45" t="inlineStr">
        <is>
          <t>Ekiti</t>
        </is>
      </c>
      <c r="E45" t="inlineStr">
        <is>
          <t>NG013</t>
        </is>
      </c>
      <c r="F45" t="inlineStr">
        <is>
          <t>Nigeria</t>
        </is>
      </c>
      <c r="G45" t="inlineStr">
        <is>
          <t>NGA</t>
        </is>
      </c>
    </row>
    <row r="46">
      <c r="A46" t="inlineStr">
        <is>
          <t>Irepodun</t>
        </is>
      </c>
      <c r="B46" t="inlineStr">
        <is>
          <t xml:space="preserve"> </t>
        </is>
      </c>
      <c r="C46" t="inlineStr">
        <is>
          <t>NG030020</t>
        </is>
      </c>
      <c r="D46" t="inlineStr">
        <is>
          <t>Osun</t>
        </is>
      </c>
      <c r="E46" t="inlineStr">
        <is>
          <t>NG030</t>
        </is>
      </c>
      <c r="F46" t="inlineStr">
        <is>
          <t>Nigeria</t>
        </is>
      </c>
      <c r="G46" t="inlineStr">
        <is>
          <t>NGA</t>
        </is>
      </c>
    </row>
    <row r="47">
      <c r="A47" t="inlineStr">
        <is>
          <t>Irepodun</t>
        </is>
      </c>
      <c r="B47" t="inlineStr">
        <is>
          <t xml:space="preserve"> </t>
        </is>
      </c>
      <c r="C47" t="inlineStr">
        <is>
          <t>NG024009</t>
        </is>
      </c>
      <c r="D47" t="inlineStr">
        <is>
          <t>Kwara</t>
        </is>
      </c>
      <c r="E47" t="inlineStr">
        <is>
          <t>NG024</t>
        </is>
      </c>
      <c r="F47" t="inlineStr">
        <is>
          <t>Nigeria</t>
        </is>
      </c>
      <c r="G47" t="inlineStr">
        <is>
          <t>NGA</t>
        </is>
      </c>
    </row>
    <row r="48">
      <c r="A48" t="inlineStr">
        <is>
          <t>Irepo</t>
        </is>
      </c>
      <c r="B48" t="inlineStr">
        <is>
          <t xml:space="preserve"> </t>
        </is>
      </c>
      <c r="C48" t="inlineStr">
        <is>
          <t>NG031015</t>
        </is>
      </c>
      <c r="D48" t="inlineStr">
        <is>
          <t>Oyo</t>
        </is>
      </c>
      <c r="E48" t="inlineStr">
        <is>
          <t>NG031</t>
        </is>
      </c>
      <c r="F48" t="inlineStr">
        <is>
          <t>Nigeria</t>
        </is>
      </c>
      <c r="G48" t="inlineStr">
        <is>
          <t>NGA</t>
        </is>
      </c>
    </row>
    <row r="49">
      <c r="A49" t="inlineStr">
        <is>
          <t>Irele</t>
        </is>
      </c>
      <c r="B49" t="inlineStr">
        <is>
          <t xml:space="preserve"> </t>
        </is>
      </c>
      <c r="C49" t="inlineStr">
        <is>
          <t>NG029012</t>
        </is>
      </c>
      <c r="D49" t="inlineStr">
        <is>
          <t>Ondo</t>
        </is>
      </c>
      <c r="E49" t="inlineStr">
        <is>
          <t>NG029</t>
        </is>
      </c>
      <c r="F49" t="inlineStr">
        <is>
          <t>Nigeria</t>
        </is>
      </c>
      <c r="G49" t="inlineStr">
        <is>
          <t>NGA</t>
        </is>
      </c>
    </row>
    <row r="50">
      <c r="A50" t="inlineStr">
        <is>
          <t>Ipokia</t>
        </is>
      </c>
      <c r="B50" t="inlineStr">
        <is>
          <t xml:space="preserve"> </t>
        </is>
      </c>
      <c r="C50" t="inlineStr">
        <is>
          <t>NG028014</t>
        </is>
      </c>
      <c r="D50" t="inlineStr">
        <is>
          <t>Ogun</t>
        </is>
      </c>
      <c r="E50" t="inlineStr">
        <is>
          <t>NG028</t>
        </is>
      </c>
      <c r="F50" t="inlineStr">
        <is>
          <t>Nigeria</t>
        </is>
      </c>
      <c r="G50" t="inlineStr">
        <is>
          <t>NGA</t>
        </is>
      </c>
    </row>
    <row r="51">
      <c r="A51" t="inlineStr">
        <is>
          <t>Ini</t>
        </is>
      </c>
      <c r="B51" t="inlineStr">
        <is>
          <t xml:space="preserve"> </t>
        </is>
      </c>
      <c r="C51" t="inlineStr">
        <is>
          <t>NG003015</t>
        </is>
      </c>
      <c r="D51" t="inlineStr">
        <is>
          <t>Akwa Ibom</t>
        </is>
      </c>
      <c r="E51" t="inlineStr">
        <is>
          <t>NG003</t>
        </is>
      </c>
      <c r="F51" t="inlineStr">
        <is>
          <t>Nigeria</t>
        </is>
      </c>
      <c r="G51" t="inlineStr">
        <is>
          <t>NGA</t>
        </is>
      </c>
    </row>
    <row r="52">
      <c r="A52" t="inlineStr">
        <is>
          <t>Ingawa</t>
        </is>
      </c>
      <c r="B52" t="inlineStr">
        <is>
          <t xml:space="preserve"> </t>
        </is>
      </c>
      <c r="C52" t="inlineStr">
        <is>
          <t>NG021015</t>
        </is>
      </c>
      <c r="D52" t="inlineStr">
        <is>
          <t>Katsina</t>
        </is>
      </c>
      <c r="E52" t="inlineStr">
        <is>
          <t>NG021</t>
        </is>
      </c>
      <c r="F52" t="inlineStr">
        <is>
          <t>Nigeria</t>
        </is>
      </c>
      <c r="G52" t="inlineStr">
        <is>
          <t>NGA</t>
        </is>
      </c>
    </row>
    <row r="53">
      <c r="A53" t="inlineStr">
        <is>
          <t>Imeko-Afon</t>
        </is>
      </c>
      <c r="B53" t="inlineStr">
        <is>
          <t xml:space="preserve"> </t>
        </is>
      </c>
      <c r="C53" t="inlineStr">
        <is>
          <t>NG028013</t>
        </is>
      </c>
      <c r="D53" t="inlineStr">
        <is>
          <t>Ogun</t>
        </is>
      </c>
      <c r="E53" t="inlineStr">
        <is>
          <t>NG028</t>
        </is>
      </c>
      <c r="F53" t="inlineStr">
        <is>
          <t>Nigeria</t>
        </is>
      </c>
      <c r="G53" t="inlineStr">
        <is>
          <t>NGA</t>
        </is>
      </c>
    </row>
    <row r="54">
      <c r="A54" t="inlineStr">
        <is>
          <t>Ilorin West</t>
        </is>
      </c>
      <c r="B54" t="inlineStr">
        <is>
          <t xml:space="preserve"> </t>
        </is>
      </c>
      <c r="C54" t="inlineStr">
        <is>
          <t>NG024008</t>
        </is>
      </c>
      <c r="D54" t="inlineStr">
        <is>
          <t>Kwara</t>
        </is>
      </c>
      <c r="E54" t="inlineStr">
        <is>
          <t>NG024</t>
        </is>
      </c>
      <c r="F54" t="inlineStr">
        <is>
          <t>Nigeria</t>
        </is>
      </c>
      <c r="G54" t="inlineStr">
        <is>
          <t>NGA</t>
        </is>
      </c>
    </row>
    <row r="55">
      <c r="A55" t="inlineStr">
        <is>
          <t>Ilorin South</t>
        </is>
      </c>
      <c r="B55" t="inlineStr">
        <is>
          <t xml:space="preserve"> </t>
        </is>
      </c>
      <c r="C55" t="inlineStr">
        <is>
          <t>NG024007</t>
        </is>
      </c>
      <c r="D55" t="inlineStr">
        <is>
          <t>Kwara</t>
        </is>
      </c>
      <c r="E55" t="inlineStr">
        <is>
          <t>NG024</t>
        </is>
      </c>
      <c r="F55" t="inlineStr">
        <is>
          <t>Nigeria</t>
        </is>
      </c>
      <c r="G55" t="inlineStr">
        <is>
          <t>NGA</t>
        </is>
      </c>
    </row>
    <row r="56">
      <c r="A56" t="inlineStr">
        <is>
          <t>Ilorin East</t>
        </is>
      </c>
      <c r="B56" t="inlineStr">
        <is>
          <t xml:space="preserve"> </t>
        </is>
      </c>
      <c r="C56" t="inlineStr">
        <is>
          <t>NG024006</t>
        </is>
      </c>
      <c r="D56" t="inlineStr">
        <is>
          <t>Kwara</t>
        </is>
      </c>
      <c r="E56" t="inlineStr">
        <is>
          <t>NG024</t>
        </is>
      </c>
      <c r="F56" t="inlineStr">
        <is>
          <t>Nigeria</t>
        </is>
      </c>
      <c r="G56" t="inlineStr">
        <is>
          <t>NGA</t>
        </is>
      </c>
    </row>
    <row r="57">
      <c r="A57" t="inlineStr">
        <is>
          <t>Illela</t>
        </is>
      </c>
      <c r="B57" t="inlineStr">
        <is>
          <t xml:space="preserve"> </t>
        </is>
      </c>
      <c r="C57" t="inlineStr">
        <is>
          <t>NG034008</t>
        </is>
      </c>
      <c r="D57" t="inlineStr">
        <is>
          <t>Sokoto</t>
        </is>
      </c>
      <c r="E57" t="inlineStr">
        <is>
          <t>NG034</t>
        </is>
      </c>
      <c r="F57" t="inlineStr">
        <is>
          <t>Nigeria</t>
        </is>
      </c>
      <c r="G57" t="inlineStr">
        <is>
          <t>NGA</t>
        </is>
      </c>
    </row>
    <row r="58">
      <c r="A58" t="inlineStr">
        <is>
          <t>Ilesha West</t>
        </is>
      </c>
      <c r="B58" t="inlineStr">
        <is>
          <t xml:space="preserve"> </t>
        </is>
      </c>
      <c r="C58" t="inlineStr">
        <is>
          <t>NG030019</t>
        </is>
      </c>
      <c r="D58" t="inlineStr">
        <is>
          <t>Osun</t>
        </is>
      </c>
      <c r="E58" t="inlineStr">
        <is>
          <t>NG030</t>
        </is>
      </c>
      <c r="F58" t="inlineStr">
        <is>
          <t>Nigeria</t>
        </is>
      </c>
      <c r="G58" t="inlineStr">
        <is>
          <t>NGA</t>
        </is>
      </c>
    </row>
    <row r="59">
      <c r="A59" t="inlineStr">
        <is>
          <t>Ilesha East</t>
        </is>
      </c>
      <c r="B59" t="inlineStr">
        <is>
          <t xml:space="preserve"> </t>
        </is>
      </c>
      <c r="C59" t="inlineStr">
        <is>
          <t>NG030018</t>
        </is>
      </c>
      <c r="D59" t="inlineStr">
        <is>
          <t>Osun</t>
        </is>
      </c>
      <c r="E59" t="inlineStr">
        <is>
          <t>NG030</t>
        </is>
      </c>
      <c r="F59" t="inlineStr">
        <is>
          <t>Nigeria</t>
        </is>
      </c>
      <c r="G59" t="inlineStr">
        <is>
          <t>NGA</t>
        </is>
      </c>
    </row>
    <row r="60">
      <c r="A60" t="inlineStr">
        <is>
          <t>Ilejemeji</t>
        </is>
      </c>
      <c r="B60" t="inlineStr">
        <is>
          <t xml:space="preserve"> </t>
        </is>
      </c>
      <c r="C60" t="inlineStr">
        <is>
          <t>NG013012</t>
        </is>
      </c>
      <c r="D60" t="inlineStr">
        <is>
          <t>Ekiti</t>
        </is>
      </c>
      <c r="E60" t="inlineStr">
        <is>
          <t>NG013</t>
        </is>
      </c>
      <c r="F60" t="inlineStr">
        <is>
          <t>Nigeria</t>
        </is>
      </c>
      <c r="G60" t="inlineStr">
        <is>
          <t>NGA</t>
        </is>
      </c>
    </row>
    <row r="61">
      <c r="A61" t="inlineStr">
        <is>
          <t>Ile-Oluji-Okeigbo</t>
        </is>
      </c>
      <c r="B61" t="inlineStr">
        <is>
          <t xml:space="preserve"> </t>
        </is>
      </c>
      <c r="C61" t="inlineStr">
        <is>
          <t>NG029011</t>
        </is>
      </c>
      <c r="D61" t="inlineStr">
        <is>
          <t>Ondo</t>
        </is>
      </c>
      <c r="E61" t="inlineStr">
        <is>
          <t>NG029</t>
        </is>
      </c>
      <c r="F61" t="inlineStr">
        <is>
          <t>Nigeria</t>
        </is>
      </c>
      <c r="G61" t="inlineStr">
        <is>
          <t>NGA</t>
        </is>
      </c>
    </row>
    <row r="62">
      <c r="A62" t="inlineStr">
        <is>
          <t>Ilaje</t>
        </is>
      </c>
      <c r="B62" t="inlineStr">
        <is>
          <t xml:space="preserve"> </t>
        </is>
      </c>
      <c r="C62" t="inlineStr">
        <is>
          <t>NG029010</t>
        </is>
      </c>
      <c r="D62" t="inlineStr">
        <is>
          <t>Ondo</t>
        </is>
      </c>
      <c r="E62" t="inlineStr">
        <is>
          <t>NG029</t>
        </is>
      </c>
      <c r="F62" t="inlineStr">
        <is>
          <t>Nigeria</t>
        </is>
      </c>
      <c r="G62" t="inlineStr">
        <is>
          <t>NGA</t>
        </is>
      </c>
    </row>
    <row r="63">
      <c r="A63" t="inlineStr">
        <is>
          <t>Ila</t>
        </is>
      </c>
      <c r="B63" t="inlineStr">
        <is>
          <t xml:space="preserve"> </t>
        </is>
      </c>
      <c r="C63" t="inlineStr">
        <is>
          <t>NG030017</t>
        </is>
      </c>
      <c r="D63" t="inlineStr">
        <is>
          <t>Osun</t>
        </is>
      </c>
      <c r="E63" t="inlineStr">
        <is>
          <t>NG030</t>
        </is>
      </c>
      <c r="F63" t="inlineStr">
        <is>
          <t>Nigeria</t>
        </is>
      </c>
      <c r="G63" t="inlineStr">
        <is>
          <t>NGA</t>
        </is>
      </c>
    </row>
    <row r="64">
      <c r="A64" t="inlineStr">
        <is>
          <t>Ikwuano</t>
        </is>
      </c>
      <c r="B64" t="inlineStr">
        <is>
          <t xml:space="preserve"> </t>
        </is>
      </c>
      <c r="C64" t="inlineStr">
        <is>
          <t>NG001005</t>
        </is>
      </c>
      <c r="D64" t="inlineStr">
        <is>
          <t>Abia</t>
        </is>
      </c>
      <c r="E64" t="inlineStr">
        <is>
          <t>NG001</t>
        </is>
      </c>
      <c r="F64" t="inlineStr">
        <is>
          <t>Nigeria</t>
        </is>
      </c>
      <c r="G64" t="inlineStr">
        <is>
          <t>NGA</t>
        </is>
      </c>
    </row>
    <row r="65">
      <c r="A65" t="inlineStr">
        <is>
          <t>Ikwo</t>
        </is>
      </c>
      <c r="B65" t="inlineStr">
        <is>
          <t xml:space="preserve"> </t>
        </is>
      </c>
      <c r="C65" t="inlineStr">
        <is>
          <t>NG011007</t>
        </is>
      </c>
      <c r="D65" t="inlineStr">
        <is>
          <t>Ebonyi</t>
        </is>
      </c>
      <c r="E65" t="inlineStr">
        <is>
          <t>NG011</t>
        </is>
      </c>
      <c r="F65" t="inlineStr">
        <is>
          <t>Nigeria</t>
        </is>
      </c>
      <c r="G65" t="inlineStr">
        <is>
          <t>NGA</t>
        </is>
      </c>
    </row>
    <row r="66">
      <c r="A66" t="inlineStr">
        <is>
          <t>Ikwerre</t>
        </is>
      </c>
      <c r="B66" t="inlineStr">
        <is>
          <t xml:space="preserve"> </t>
        </is>
      </c>
      <c r="C66" t="inlineStr">
        <is>
          <t>NG033013</t>
        </is>
      </c>
      <c r="D66" t="inlineStr">
        <is>
          <t>Rivers</t>
        </is>
      </c>
      <c r="E66" t="inlineStr">
        <is>
          <t>NG033</t>
        </is>
      </c>
      <c r="F66" t="inlineStr">
        <is>
          <t>Nigeria</t>
        </is>
      </c>
      <c r="G66" t="inlineStr">
        <is>
          <t>NGA</t>
        </is>
      </c>
    </row>
    <row r="67">
      <c r="A67" t="inlineStr">
        <is>
          <t>Ikpoba-Okha</t>
        </is>
      </c>
      <c r="B67" t="inlineStr">
        <is>
          <t xml:space="preserve"> </t>
        </is>
      </c>
      <c r="C67" t="inlineStr">
        <is>
          <t>NG012011</t>
        </is>
      </c>
      <c r="D67" t="inlineStr">
        <is>
          <t>Edo</t>
        </is>
      </c>
      <c r="E67" t="inlineStr">
        <is>
          <t>NG012</t>
        </is>
      </c>
      <c r="F67" t="inlineStr">
        <is>
          <t>Nigeria</t>
        </is>
      </c>
      <c r="G67" t="inlineStr">
        <is>
          <t>NGA</t>
        </is>
      </c>
    </row>
    <row r="68">
      <c r="A68" t="inlineStr">
        <is>
          <t>Ikot Ekpene</t>
        </is>
      </c>
      <c r="B68" t="inlineStr">
        <is>
          <t xml:space="preserve"> </t>
        </is>
      </c>
      <c r="C68" t="inlineStr">
        <is>
          <t>NG003014</t>
        </is>
      </c>
      <c r="D68" t="inlineStr">
        <is>
          <t>Akwa Ibom</t>
        </is>
      </c>
      <c r="E68" t="inlineStr">
        <is>
          <t>NG003</t>
        </is>
      </c>
      <c r="F68" t="inlineStr">
        <is>
          <t>Nigeria</t>
        </is>
      </c>
      <c r="G68" t="inlineStr">
        <is>
          <t>NGA</t>
        </is>
      </c>
    </row>
    <row r="69">
      <c r="A69" t="inlineStr">
        <is>
          <t>Ikot Abasi</t>
        </is>
      </c>
      <c r="B69" t="inlineStr">
        <is>
          <t xml:space="preserve"> </t>
        </is>
      </c>
      <c r="C69" t="inlineStr">
        <is>
          <t>NG003013</t>
        </is>
      </c>
      <c r="D69" t="inlineStr">
        <is>
          <t>Akwa Ibom</t>
        </is>
      </c>
      <c r="E69" t="inlineStr">
        <is>
          <t>NG003</t>
        </is>
      </c>
      <c r="F69" t="inlineStr">
        <is>
          <t>Nigeria</t>
        </is>
      </c>
      <c r="G69" t="inlineStr">
        <is>
          <t>NGA</t>
        </is>
      </c>
    </row>
    <row r="70">
      <c r="A70" t="inlineStr">
        <is>
          <t>Ikorodu</t>
        </is>
      </c>
      <c r="B70" t="inlineStr">
        <is>
          <t xml:space="preserve"> </t>
        </is>
      </c>
      <c r="C70" t="inlineStr">
        <is>
          <t>NG025012</t>
        </is>
      </c>
      <c r="D70" t="inlineStr">
        <is>
          <t>Lagos</t>
        </is>
      </c>
      <c r="E70" t="inlineStr">
        <is>
          <t>NG025</t>
        </is>
      </c>
      <c r="F70" t="inlineStr">
        <is>
          <t>Nigeria</t>
        </is>
      </c>
      <c r="G70" t="inlineStr">
        <is>
          <t>NGA</t>
        </is>
      </c>
    </row>
    <row r="71">
      <c r="A71" t="inlineStr">
        <is>
          <t>Ikono</t>
        </is>
      </c>
      <c r="B71" t="inlineStr">
        <is>
          <t xml:space="preserve"> </t>
        </is>
      </c>
      <c r="C71" t="inlineStr">
        <is>
          <t>NG003012</t>
        </is>
      </c>
      <c r="D71" t="inlineStr">
        <is>
          <t>Akwa Ibom</t>
        </is>
      </c>
      <c r="E71" t="inlineStr">
        <is>
          <t>NG003</t>
        </is>
      </c>
      <c r="F71" t="inlineStr">
        <is>
          <t>Nigeria</t>
        </is>
      </c>
      <c r="G71" t="inlineStr">
        <is>
          <t>NGA</t>
        </is>
      </c>
    </row>
    <row r="72">
      <c r="A72" t="inlineStr">
        <is>
          <t>Ikom</t>
        </is>
      </c>
      <c r="B72" t="inlineStr">
        <is>
          <t xml:space="preserve"> </t>
        </is>
      </c>
      <c r="C72" t="inlineStr">
        <is>
          <t>NG009012</t>
        </is>
      </c>
      <c r="D72" t="inlineStr">
        <is>
          <t>Cross River</t>
        </is>
      </c>
      <c r="E72" t="inlineStr">
        <is>
          <t>NG009</t>
        </is>
      </c>
      <c r="F72" t="inlineStr">
        <is>
          <t>Nigeria</t>
        </is>
      </c>
      <c r="G72" t="inlineStr">
        <is>
          <t>NGA</t>
        </is>
      </c>
    </row>
    <row r="73">
      <c r="A73" t="inlineStr">
        <is>
          <t>Ikole</t>
        </is>
      </c>
      <c r="B73" t="inlineStr">
        <is>
          <t xml:space="preserve"> </t>
        </is>
      </c>
      <c r="C73" t="inlineStr">
        <is>
          <t>NG013011</t>
        </is>
      </c>
      <c r="D73" t="inlineStr">
        <is>
          <t>Ekiti</t>
        </is>
      </c>
      <c r="E73" t="inlineStr">
        <is>
          <t>NG013</t>
        </is>
      </c>
      <c r="F73" t="inlineStr">
        <is>
          <t>Nigeria</t>
        </is>
      </c>
      <c r="G73" t="inlineStr">
        <is>
          <t>NGA</t>
        </is>
      </c>
    </row>
    <row r="74">
      <c r="A74" t="inlineStr">
        <is>
          <t>Ikere</t>
        </is>
      </c>
      <c r="B74" t="inlineStr">
        <is>
          <t xml:space="preserve"> </t>
        </is>
      </c>
      <c r="C74" t="inlineStr">
        <is>
          <t>NG013010</t>
        </is>
      </c>
      <c r="D74" t="inlineStr">
        <is>
          <t>Ekiti</t>
        </is>
      </c>
      <c r="E74" t="inlineStr">
        <is>
          <t>NG013</t>
        </is>
      </c>
      <c r="F74" t="inlineStr">
        <is>
          <t>Nigeria</t>
        </is>
      </c>
      <c r="G74" t="inlineStr">
        <is>
          <t>NGA</t>
        </is>
      </c>
    </row>
    <row r="75">
      <c r="A75" t="inlineStr">
        <is>
          <t>Ikenne</t>
        </is>
      </c>
      <c r="B75" t="inlineStr">
        <is>
          <t xml:space="preserve"> </t>
        </is>
      </c>
      <c r="C75" t="inlineStr">
        <is>
          <t>NG028012</t>
        </is>
      </c>
      <c r="D75" t="inlineStr">
        <is>
          <t>Ogun</t>
        </is>
      </c>
      <c r="E75" t="inlineStr">
        <is>
          <t>NG028</t>
        </is>
      </c>
      <c r="F75" t="inlineStr">
        <is>
          <t>Nigeria</t>
        </is>
      </c>
      <c r="G75" t="inlineStr">
        <is>
          <t>NGA</t>
        </is>
      </c>
    </row>
    <row r="76">
      <c r="A76" t="inlineStr">
        <is>
          <t>Ikeja</t>
        </is>
      </c>
      <c r="B76" t="inlineStr">
        <is>
          <t xml:space="preserve"> </t>
        </is>
      </c>
      <c r="C76" t="inlineStr">
        <is>
          <t>NG025011</t>
        </is>
      </c>
      <c r="D76" t="inlineStr">
        <is>
          <t>Lagos</t>
        </is>
      </c>
      <c r="E76" t="inlineStr">
        <is>
          <t>NG025</t>
        </is>
      </c>
      <c r="F76" t="inlineStr">
        <is>
          <t>Nigeria</t>
        </is>
      </c>
      <c r="G76" t="inlineStr">
        <is>
          <t>NGA</t>
        </is>
      </c>
    </row>
    <row r="77">
      <c r="A77" t="inlineStr">
        <is>
          <t>Ikeduru</t>
        </is>
      </c>
      <c r="B77" t="inlineStr">
        <is>
          <t xml:space="preserve"> </t>
        </is>
      </c>
      <c r="C77" t="inlineStr">
        <is>
          <t>NG017008</t>
        </is>
      </c>
      <c r="D77" t="inlineStr">
        <is>
          <t>Imo</t>
        </is>
      </c>
      <c r="E77" t="inlineStr">
        <is>
          <t>NG017</t>
        </is>
      </c>
      <c r="F77" t="inlineStr">
        <is>
          <t>Nigeria</t>
        </is>
      </c>
      <c r="G77" t="inlineStr">
        <is>
          <t>NGA</t>
        </is>
      </c>
    </row>
    <row r="78">
      <c r="A78" t="inlineStr">
        <is>
          <t>Ikara</t>
        </is>
      </c>
      <c r="B78" t="inlineStr">
        <is>
          <t xml:space="preserve"> </t>
        </is>
      </c>
      <c r="C78" t="inlineStr">
        <is>
          <t>NG019005</t>
        </is>
      </c>
      <c r="D78" t="inlineStr">
        <is>
          <t>Kaduna</t>
        </is>
      </c>
      <c r="E78" t="inlineStr">
        <is>
          <t>NG019</t>
        </is>
      </c>
      <c r="F78" t="inlineStr">
        <is>
          <t>Nigeria</t>
        </is>
      </c>
      <c r="G78" t="inlineStr">
        <is>
          <t>NGA</t>
        </is>
      </c>
    </row>
    <row r="79">
      <c r="A79" t="inlineStr">
        <is>
          <t>Ika South</t>
        </is>
      </c>
      <c r="B79" t="inlineStr">
        <is>
          <t xml:space="preserve"> </t>
        </is>
      </c>
      <c r="C79" t="inlineStr">
        <is>
          <t>NG010008</t>
        </is>
      </c>
      <c r="D79" t="inlineStr">
        <is>
          <t>Delta</t>
        </is>
      </c>
      <c r="E79" t="inlineStr">
        <is>
          <t>NG010</t>
        </is>
      </c>
      <c r="F79" t="inlineStr">
        <is>
          <t>Nigeria</t>
        </is>
      </c>
      <c r="G79" t="inlineStr">
        <is>
          <t>NGA</t>
        </is>
      </c>
    </row>
    <row r="80">
      <c r="A80" t="inlineStr">
        <is>
          <t>Ika North East</t>
        </is>
      </c>
      <c r="B80" t="inlineStr">
        <is>
          <t xml:space="preserve"> </t>
        </is>
      </c>
      <c r="C80" t="inlineStr">
        <is>
          <t>NG010007</t>
        </is>
      </c>
      <c r="D80" t="inlineStr">
        <is>
          <t>Delta</t>
        </is>
      </c>
      <c r="E80" t="inlineStr">
        <is>
          <t>NG010</t>
        </is>
      </c>
      <c r="F80" t="inlineStr">
        <is>
          <t>Nigeria</t>
        </is>
      </c>
      <c r="G80" t="inlineStr">
        <is>
          <t>NGA</t>
        </is>
      </c>
    </row>
    <row r="81">
      <c r="A81" t="inlineStr">
        <is>
          <t>Ika</t>
        </is>
      </c>
      <c r="B81" t="inlineStr">
        <is>
          <t xml:space="preserve"> </t>
        </is>
      </c>
      <c r="C81" t="inlineStr">
        <is>
          <t>NG003011</t>
        </is>
      </c>
      <c r="D81" t="inlineStr">
        <is>
          <t>Akwa Ibom</t>
        </is>
      </c>
      <c r="E81" t="inlineStr">
        <is>
          <t>NG003</t>
        </is>
      </c>
      <c r="F81" t="inlineStr">
        <is>
          <t>Nigeria</t>
        </is>
      </c>
      <c r="G81" t="inlineStr">
        <is>
          <t>NGA</t>
        </is>
      </c>
    </row>
    <row r="82">
      <c r="A82" t="inlineStr">
        <is>
          <t>Ijumu</t>
        </is>
      </c>
      <c r="B82" t="inlineStr">
        <is>
          <t xml:space="preserve"> </t>
        </is>
      </c>
      <c r="C82" t="inlineStr">
        <is>
          <t>NG023009</t>
        </is>
      </c>
      <c r="D82" t="inlineStr">
        <is>
          <t>Kogi</t>
        </is>
      </c>
      <c r="E82" t="inlineStr">
        <is>
          <t>NG023</t>
        </is>
      </c>
      <c r="F82" t="inlineStr">
        <is>
          <t>Nigeria</t>
        </is>
      </c>
      <c r="G82" t="inlineStr">
        <is>
          <t>NGA</t>
        </is>
      </c>
    </row>
    <row r="83">
      <c r="A83" t="inlineStr">
        <is>
          <t>Ijero</t>
        </is>
      </c>
      <c r="B83" t="inlineStr">
        <is>
          <t xml:space="preserve"> </t>
        </is>
      </c>
      <c r="C83" t="inlineStr">
        <is>
          <t>NG013009</t>
        </is>
      </c>
      <c r="D83" t="inlineStr">
        <is>
          <t>Ekiti</t>
        </is>
      </c>
      <c r="E83" t="inlineStr">
        <is>
          <t>NG013</t>
        </is>
      </c>
      <c r="F83" t="inlineStr">
        <is>
          <t>Nigeria</t>
        </is>
      </c>
      <c r="G83" t="inlineStr">
        <is>
          <t>NGA</t>
        </is>
      </c>
    </row>
    <row r="84">
      <c r="A84" t="inlineStr">
        <is>
          <t>Ijebu Ode</t>
        </is>
      </c>
      <c r="B84" t="inlineStr">
        <is>
          <t xml:space="preserve"> </t>
        </is>
      </c>
      <c r="C84" t="inlineStr">
        <is>
          <t>NG028011</t>
        </is>
      </c>
      <c r="D84" t="inlineStr">
        <is>
          <t>Ogun</t>
        </is>
      </c>
      <c r="E84" t="inlineStr">
        <is>
          <t>NG028</t>
        </is>
      </c>
      <c r="F84" t="inlineStr">
        <is>
          <t>Nigeria</t>
        </is>
      </c>
      <c r="G84" t="inlineStr">
        <is>
          <t>NGA</t>
        </is>
      </c>
    </row>
    <row r="85">
      <c r="A85" t="inlineStr">
        <is>
          <t>Ijebu North East</t>
        </is>
      </c>
      <c r="B85" t="inlineStr">
        <is>
          <t xml:space="preserve"> </t>
        </is>
      </c>
      <c r="C85" t="inlineStr">
        <is>
          <t>NG028010</t>
        </is>
      </c>
      <c r="D85" t="inlineStr">
        <is>
          <t>Ogun</t>
        </is>
      </c>
      <c r="E85" t="inlineStr">
        <is>
          <t>NG028</t>
        </is>
      </c>
      <c r="F85" t="inlineStr">
        <is>
          <t>Nigeria</t>
        </is>
      </c>
      <c r="G85" t="inlineStr">
        <is>
          <t>NGA</t>
        </is>
      </c>
    </row>
    <row r="86">
      <c r="A86" t="inlineStr">
        <is>
          <t>Ijebu North</t>
        </is>
      </c>
      <c r="B86" t="inlineStr">
        <is>
          <t xml:space="preserve"> </t>
        </is>
      </c>
      <c r="C86" t="inlineStr">
        <is>
          <t>NG028009</t>
        </is>
      </c>
      <c r="D86" t="inlineStr">
        <is>
          <t>Ogun</t>
        </is>
      </c>
      <c r="E86" t="inlineStr">
        <is>
          <t>NG028</t>
        </is>
      </c>
      <c r="F86" t="inlineStr">
        <is>
          <t>Nigeria</t>
        </is>
      </c>
      <c r="G86" t="inlineStr">
        <is>
          <t>NGA</t>
        </is>
      </c>
    </row>
    <row r="87">
      <c r="A87" t="inlineStr">
        <is>
          <t>Ijebu East</t>
        </is>
      </c>
      <c r="B87" t="inlineStr">
        <is>
          <t xml:space="preserve"> </t>
        </is>
      </c>
      <c r="C87" t="inlineStr">
        <is>
          <t>NG028008</t>
        </is>
      </c>
      <c r="D87" t="inlineStr">
        <is>
          <t>Ogun</t>
        </is>
      </c>
      <c r="E87" t="inlineStr">
        <is>
          <t>NG028</t>
        </is>
      </c>
      <c r="F87" t="inlineStr">
        <is>
          <t>Nigeria</t>
        </is>
      </c>
      <c r="G87" t="inlineStr">
        <is>
          <t>NGA</t>
        </is>
      </c>
    </row>
    <row r="88">
      <c r="A88" t="inlineStr">
        <is>
          <t>Ihitte/Uboma</t>
        </is>
      </c>
      <c r="B88" t="inlineStr">
        <is>
          <t xml:space="preserve"> </t>
        </is>
      </c>
      <c r="C88" t="inlineStr">
        <is>
          <t>NG017007</t>
        </is>
      </c>
      <c r="D88" t="inlineStr">
        <is>
          <t>Imo</t>
        </is>
      </c>
      <c r="E88" t="inlineStr">
        <is>
          <t>NG017</t>
        </is>
      </c>
      <c r="F88" t="inlineStr">
        <is>
          <t>Nigeria</t>
        </is>
      </c>
      <c r="G88" t="inlineStr">
        <is>
          <t>NGA</t>
        </is>
      </c>
    </row>
    <row r="89">
      <c r="A89" t="inlineStr">
        <is>
          <t>Ihiala</t>
        </is>
      </c>
      <c r="B89" t="inlineStr">
        <is>
          <t xml:space="preserve"> </t>
        </is>
      </c>
      <c r="C89" t="inlineStr">
        <is>
          <t>NG004012</t>
        </is>
      </c>
      <c r="D89" t="inlineStr">
        <is>
          <t>Anambra</t>
        </is>
      </c>
      <c r="E89" t="inlineStr">
        <is>
          <t>NG004</t>
        </is>
      </c>
      <c r="F89" t="inlineStr">
        <is>
          <t>Nigeria</t>
        </is>
      </c>
      <c r="G89" t="inlineStr">
        <is>
          <t>NGA</t>
        </is>
      </c>
    </row>
    <row r="90">
      <c r="A90" t="inlineStr">
        <is>
          <t>Igueben</t>
        </is>
      </c>
      <c r="B90" t="inlineStr">
        <is>
          <t xml:space="preserve"> </t>
        </is>
      </c>
      <c r="C90" t="inlineStr">
        <is>
          <t>NG012010</t>
        </is>
      </c>
      <c r="D90" t="inlineStr">
        <is>
          <t>Edo</t>
        </is>
      </c>
      <c r="E90" t="inlineStr">
        <is>
          <t>NG012</t>
        </is>
      </c>
      <c r="F90" t="inlineStr">
        <is>
          <t>Nigeria</t>
        </is>
      </c>
      <c r="G90" t="inlineStr">
        <is>
          <t>NGA</t>
        </is>
      </c>
    </row>
    <row r="91">
      <c r="A91" t="inlineStr">
        <is>
          <t>Igbo-Eze South</t>
        </is>
      </c>
      <c r="B91" t="inlineStr">
        <is>
          <t xml:space="preserve"> </t>
        </is>
      </c>
      <c r="C91" t="inlineStr">
        <is>
          <t>NG014009</t>
        </is>
      </c>
      <c r="D91" t="inlineStr">
        <is>
          <t>Enugu</t>
        </is>
      </c>
      <c r="E91" t="inlineStr">
        <is>
          <t>NG014</t>
        </is>
      </c>
      <c r="F91" t="inlineStr">
        <is>
          <t>Nigeria</t>
        </is>
      </c>
      <c r="G91" t="inlineStr">
        <is>
          <t>NGA</t>
        </is>
      </c>
    </row>
    <row r="92">
      <c r="A92" t="inlineStr">
        <is>
          <t>Igbo-Eze North</t>
        </is>
      </c>
      <c r="B92" t="inlineStr">
        <is>
          <t xml:space="preserve"> </t>
        </is>
      </c>
      <c r="C92" t="inlineStr">
        <is>
          <t>NG014008</t>
        </is>
      </c>
      <c r="D92" t="inlineStr">
        <is>
          <t>Enugu</t>
        </is>
      </c>
      <c r="E92" t="inlineStr">
        <is>
          <t>NG014</t>
        </is>
      </c>
      <c r="F92" t="inlineStr">
        <is>
          <t>Nigeria</t>
        </is>
      </c>
      <c r="G92" t="inlineStr">
        <is>
          <t>NGA</t>
        </is>
      </c>
    </row>
    <row r="93">
      <c r="A93" t="inlineStr">
        <is>
          <t>Igbo-Etiti</t>
        </is>
      </c>
      <c r="B93" t="inlineStr">
        <is>
          <t xml:space="preserve"> </t>
        </is>
      </c>
      <c r="C93" t="inlineStr">
        <is>
          <t>NG014007</t>
        </is>
      </c>
      <c r="D93" t="inlineStr">
        <is>
          <t>Enugu</t>
        </is>
      </c>
      <c r="E93" t="inlineStr">
        <is>
          <t>NG014</t>
        </is>
      </c>
      <c r="F93" t="inlineStr">
        <is>
          <t>Nigeria</t>
        </is>
      </c>
      <c r="G93" t="inlineStr">
        <is>
          <t>NGA</t>
        </is>
      </c>
    </row>
    <row r="94">
      <c r="A94" t="inlineStr">
        <is>
          <t>Igalamela-Odolu</t>
        </is>
      </c>
      <c r="B94" t="inlineStr">
        <is>
          <t xml:space="preserve"> </t>
        </is>
      </c>
      <c r="C94" t="inlineStr">
        <is>
          <t>NG023008</t>
        </is>
      </c>
      <c r="D94" t="inlineStr">
        <is>
          <t>Kogi</t>
        </is>
      </c>
      <c r="E94" t="inlineStr">
        <is>
          <t>NG023</t>
        </is>
      </c>
      <c r="F94" t="inlineStr">
        <is>
          <t>Nigeria</t>
        </is>
      </c>
      <c r="G94" t="inlineStr">
        <is>
          <t>NGA</t>
        </is>
      </c>
    </row>
    <row r="95">
      <c r="A95" t="inlineStr">
        <is>
          <t>Igabi</t>
        </is>
      </c>
      <c r="B95" t="inlineStr">
        <is>
          <t xml:space="preserve"> </t>
        </is>
      </c>
      <c r="C95" t="inlineStr">
        <is>
          <t>NG019004</t>
        </is>
      </c>
      <c r="D95" t="inlineStr">
        <is>
          <t>Kaduna</t>
        </is>
      </c>
      <c r="E95" t="inlineStr">
        <is>
          <t>NG019</t>
        </is>
      </c>
      <c r="F95" t="inlineStr">
        <is>
          <t>Nigeria</t>
        </is>
      </c>
      <c r="G95" t="inlineStr">
        <is>
          <t>NGA</t>
        </is>
      </c>
    </row>
    <row r="96">
      <c r="A96" t="inlineStr">
        <is>
          <t>Ifo</t>
        </is>
      </c>
      <c r="B96" t="inlineStr">
        <is>
          <t xml:space="preserve"> </t>
        </is>
      </c>
      <c r="C96" t="inlineStr">
        <is>
          <t>NG028007</t>
        </is>
      </c>
      <c r="D96" t="inlineStr">
        <is>
          <t>Ogun</t>
        </is>
      </c>
      <c r="E96" t="inlineStr">
        <is>
          <t>NG028</t>
        </is>
      </c>
      <c r="F96" t="inlineStr">
        <is>
          <t>Nigeria</t>
        </is>
      </c>
      <c r="G96" t="inlineStr">
        <is>
          <t>NGA</t>
        </is>
      </c>
    </row>
    <row r="97">
      <c r="A97" t="inlineStr">
        <is>
          <t>Ifelodun</t>
        </is>
      </c>
      <c r="B97" t="inlineStr">
        <is>
          <t xml:space="preserve"> </t>
        </is>
      </c>
      <c r="C97" t="inlineStr">
        <is>
          <t>NG030016</t>
        </is>
      </c>
      <c r="D97" t="inlineStr">
        <is>
          <t>Osun</t>
        </is>
      </c>
      <c r="E97" t="inlineStr">
        <is>
          <t>NG030</t>
        </is>
      </c>
      <c r="F97" t="inlineStr">
        <is>
          <t>Nigeria</t>
        </is>
      </c>
      <c r="G97" t="inlineStr">
        <is>
          <t>NGA</t>
        </is>
      </c>
    </row>
    <row r="98">
      <c r="A98" t="inlineStr">
        <is>
          <t>Ifelodun</t>
        </is>
      </c>
      <c r="B98" t="inlineStr">
        <is>
          <t xml:space="preserve"> </t>
        </is>
      </c>
      <c r="C98" t="inlineStr">
        <is>
          <t>NG024005</t>
        </is>
      </c>
      <c r="D98" t="inlineStr">
        <is>
          <t>Kwara</t>
        </is>
      </c>
      <c r="E98" t="inlineStr">
        <is>
          <t>NG024</t>
        </is>
      </c>
      <c r="F98" t="inlineStr">
        <is>
          <t>Nigeria</t>
        </is>
      </c>
      <c r="G98" t="inlineStr">
        <is>
          <t>NGA</t>
        </is>
      </c>
    </row>
    <row r="99">
      <c r="A99" t="inlineStr">
        <is>
          <t>Ifedore</t>
        </is>
      </c>
      <c r="B99" t="inlineStr">
        <is>
          <t xml:space="preserve"> </t>
        </is>
      </c>
      <c r="C99" t="inlineStr">
        <is>
          <t>NG029009</t>
        </is>
      </c>
      <c r="D99" t="inlineStr">
        <is>
          <t>Ondo</t>
        </is>
      </c>
      <c r="E99" t="inlineStr">
        <is>
          <t>NG029</t>
        </is>
      </c>
      <c r="F99" t="inlineStr">
        <is>
          <t>Nigeria</t>
        </is>
      </c>
      <c r="G99" t="inlineStr">
        <is>
          <t>NGA</t>
        </is>
      </c>
    </row>
    <row r="100">
      <c r="A100" t="inlineStr">
        <is>
          <t>Ifedayo</t>
        </is>
      </c>
      <c r="B100" t="inlineStr">
        <is>
          <t xml:space="preserve"> </t>
        </is>
      </c>
      <c r="C100" t="inlineStr">
        <is>
          <t>NG030015</t>
        </is>
      </c>
      <c r="D100" t="inlineStr">
        <is>
          <t>Osun</t>
        </is>
      </c>
      <c r="E100" t="inlineStr">
        <is>
          <t>NG030</t>
        </is>
      </c>
      <c r="F100" t="inlineStr">
        <is>
          <t>Nigeria</t>
        </is>
      </c>
      <c r="G100" t="inlineStr">
        <is>
          <t>NGA</t>
        </is>
      </c>
    </row>
    <row r="101">
      <c r="A101" t="inlineStr">
        <is>
          <t>Ife South</t>
        </is>
      </c>
      <c r="B101" t="inlineStr">
        <is>
          <t xml:space="preserve"> </t>
        </is>
      </c>
      <c r="C101" t="inlineStr">
        <is>
          <t>NG030014</t>
        </is>
      </c>
      <c r="D101" t="inlineStr">
        <is>
          <t>Osun</t>
        </is>
      </c>
      <c r="E101" t="inlineStr">
        <is>
          <t>NG030</t>
        </is>
      </c>
      <c r="F101" t="inlineStr">
        <is>
          <t>Nigeria</t>
        </is>
      </c>
      <c r="G101" t="inlineStr">
        <is>
          <t>NGA</t>
        </is>
      </c>
    </row>
    <row r="102">
      <c r="A102" t="inlineStr">
        <is>
          <t>Ife North</t>
        </is>
      </c>
      <c r="B102" t="inlineStr">
        <is>
          <t xml:space="preserve"> </t>
        </is>
      </c>
      <c r="C102" t="inlineStr">
        <is>
          <t>NG030013</t>
        </is>
      </c>
      <c r="D102" t="inlineStr">
        <is>
          <t>Osun</t>
        </is>
      </c>
      <c r="E102" t="inlineStr">
        <is>
          <t>NG030</t>
        </is>
      </c>
      <c r="F102" t="inlineStr">
        <is>
          <t>Nigeria</t>
        </is>
      </c>
      <c r="G102" t="inlineStr">
        <is>
          <t>NGA</t>
        </is>
      </c>
    </row>
    <row r="103">
      <c r="A103" t="inlineStr">
        <is>
          <t>Ife East</t>
        </is>
      </c>
      <c r="B103" t="inlineStr">
        <is>
          <t xml:space="preserve"> </t>
        </is>
      </c>
      <c r="C103" t="inlineStr">
        <is>
          <t>NG030012</t>
        </is>
      </c>
      <c r="D103" t="inlineStr">
        <is>
          <t>Osun</t>
        </is>
      </c>
      <c r="E103" t="inlineStr">
        <is>
          <t>NG030</t>
        </is>
      </c>
      <c r="F103" t="inlineStr">
        <is>
          <t>Nigeria</t>
        </is>
      </c>
      <c r="G103" t="inlineStr">
        <is>
          <t>NGA</t>
        </is>
      </c>
    </row>
    <row r="104">
      <c r="A104" t="inlineStr">
        <is>
          <t>Ife Central</t>
        </is>
      </c>
      <c r="B104" t="inlineStr">
        <is>
          <t xml:space="preserve"> </t>
        </is>
      </c>
      <c r="C104" t="inlineStr">
        <is>
          <t>NG030011</t>
        </is>
      </c>
      <c r="D104" t="inlineStr">
        <is>
          <t>Osun</t>
        </is>
      </c>
      <c r="E104" t="inlineStr">
        <is>
          <t>NG030</t>
        </is>
      </c>
      <c r="F104" t="inlineStr">
        <is>
          <t>Nigeria</t>
        </is>
      </c>
      <c r="G104" t="inlineStr">
        <is>
          <t>NGA</t>
        </is>
      </c>
    </row>
    <row r="105">
      <c r="A105" t="inlineStr">
        <is>
          <t>Ifako-Ijaye</t>
        </is>
      </c>
      <c r="B105" t="inlineStr">
        <is>
          <t xml:space="preserve"> </t>
        </is>
      </c>
      <c r="C105" t="inlineStr">
        <is>
          <t>NG025010</t>
        </is>
      </c>
      <c r="D105" t="inlineStr">
        <is>
          <t>Lagos</t>
        </is>
      </c>
      <c r="E105" t="inlineStr">
        <is>
          <t>NG025</t>
        </is>
      </c>
      <c r="F105" t="inlineStr">
        <is>
          <t>Nigeria</t>
        </is>
      </c>
      <c r="G105" t="inlineStr">
        <is>
          <t>NGA</t>
        </is>
      </c>
    </row>
    <row r="106">
      <c r="A106" t="inlineStr">
        <is>
          <t>Ido-Osi</t>
        </is>
      </c>
      <c r="B106" t="inlineStr">
        <is>
          <t xml:space="preserve"> </t>
        </is>
      </c>
      <c r="C106" t="inlineStr">
        <is>
          <t>NG013008</t>
        </is>
      </c>
      <c r="D106" t="inlineStr">
        <is>
          <t>Ekiti</t>
        </is>
      </c>
      <c r="E106" t="inlineStr">
        <is>
          <t>NG013</t>
        </is>
      </c>
      <c r="F106" t="inlineStr">
        <is>
          <t>Nigeria</t>
        </is>
      </c>
      <c r="G106" t="inlineStr">
        <is>
          <t>NGA</t>
        </is>
      </c>
    </row>
    <row r="107">
      <c r="A107" t="inlineStr">
        <is>
          <t>Ido</t>
        </is>
      </c>
      <c r="B107" t="inlineStr">
        <is>
          <t xml:space="preserve"> </t>
        </is>
      </c>
      <c r="C107" t="inlineStr">
        <is>
          <t>NG031014</t>
        </is>
      </c>
      <c r="D107" t="inlineStr">
        <is>
          <t>Oyo</t>
        </is>
      </c>
      <c r="E107" t="inlineStr">
        <is>
          <t>NG031</t>
        </is>
      </c>
      <c r="F107" t="inlineStr">
        <is>
          <t>Nigeria</t>
        </is>
      </c>
      <c r="G107" t="inlineStr">
        <is>
          <t>NGA</t>
        </is>
      </c>
    </row>
    <row r="108">
      <c r="A108" t="inlineStr">
        <is>
          <t>Idemili South</t>
        </is>
      </c>
      <c r="B108" t="inlineStr">
        <is>
          <t xml:space="preserve"> </t>
        </is>
      </c>
      <c r="C108" t="inlineStr">
        <is>
          <t>NG004011</t>
        </is>
      </c>
      <c r="D108" t="inlineStr">
        <is>
          <t>Anambra</t>
        </is>
      </c>
      <c r="E108" t="inlineStr">
        <is>
          <t>NG004</t>
        </is>
      </c>
      <c r="F108" t="inlineStr">
        <is>
          <t>Nigeria</t>
        </is>
      </c>
      <c r="G108" t="inlineStr">
        <is>
          <t>NGA</t>
        </is>
      </c>
    </row>
    <row r="109">
      <c r="A109" t="inlineStr">
        <is>
          <t>Idemili North</t>
        </is>
      </c>
      <c r="B109" t="inlineStr">
        <is>
          <t xml:space="preserve"> </t>
        </is>
      </c>
      <c r="C109" t="inlineStr">
        <is>
          <t>NG004010</t>
        </is>
      </c>
      <c r="D109" t="inlineStr">
        <is>
          <t>Anambra</t>
        </is>
      </c>
      <c r="E109" t="inlineStr">
        <is>
          <t>NG004</t>
        </is>
      </c>
      <c r="F109" t="inlineStr">
        <is>
          <t>Nigeria</t>
        </is>
      </c>
      <c r="G109" t="inlineStr">
        <is>
          <t>NGA</t>
        </is>
      </c>
    </row>
    <row r="110">
      <c r="A110" t="inlineStr">
        <is>
          <t>Ideato South</t>
        </is>
      </c>
      <c r="B110" t="inlineStr">
        <is>
          <t xml:space="preserve"> </t>
        </is>
      </c>
      <c r="C110" t="inlineStr">
        <is>
          <t>NG017006</t>
        </is>
      </c>
      <c r="D110" t="inlineStr">
        <is>
          <t>Imo</t>
        </is>
      </c>
      <c r="E110" t="inlineStr">
        <is>
          <t>NG017</t>
        </is>
      </c>
      <c r="F110" t="inlineStr">
        <is>
          <t>Nigeria</t>
        </is>
      </c>
      <c r="G110" t="inlineStr">
        <is>
          <t>NGA</t>
        </is>
      </c>
    </row>
    <row r="111">
      <c r="A111" t="inlineStr">
        <is>
          <t>Ideato North</t>
        </is>
      </c>
      <c r="B111" t="inlineStr">
        <is>
          <t xml:space="preserve"> </t>
        </is>
      </c>
      <c r="C111" t="inlineStr">
        <is>
          <t>NG017005</t>
        </is>
      </c>
      <c r="D111" t="inlineStr">
        <is>
          <t>Imo</t>
        </is>
      </c>
      <c r="E111" t="inlineStr">
        <is>
          <t>NG017</t>
        </is>
      </c>
      <c r="F111" t="inlineStr">
        <is>
          <t>Nigeria</t>
        </is>
      </c>
      <c r="G111" t="inlineStr">
        <is>
          <t>NGA</t>
        </is>
      </c>
    </row>
    <row r="112">
      <c r="A112" t="inlineStr">
        <is>
          <t>Idanre</t>
        </is>
      </c>
      <c r="B112" t="inlineStr">
        <is>
          <t xml:space="preserve"> </t>
        </is>
      </c>
      <c r="C112" t="inlineStr">
        <is>
          <t>NG029008</t>
        </is>
      </c>
      <c r="D112" t="inlineStr">
        <is>
          <t>Ondo</t>
        </is>
      </c>
      <c r="E112" t="inlineStr">
        <is>
          <t>NG029</t>
        </is>
      </c>
      <c r="F112" t="inlineStr">
        <is>
          <t>Nigeria</t>
        </is>
      </c>
      <c r="G112" t="inlineStr">
        <is>
          <t>NGA</t>
        </is>
      </c>
    </row>
    <row r="113">
      <c r="A113" t="inlineStr">
        <is>
          <t>Idah</t>
        </is>
      </c>
      <c r="B113" t="inlineStr">
        <is>
          <t xml:space="preserve"> </t>
        </is>
      </c>
      <c r="C113" t="inlineStr">
        <is>
          <t>NG023007</t>
        </is>
      </c>
      <c r="D113" t="inlineStr">
        <is>
          <t>Kogi</t>
        </is>
      </c>
      <c r="E113" t="inlineStr">
        <is>
          <t>NG023</t>
        </is>
      </c>
      <c r="F113" t="inlineStr">
        <is>
          <t>Nigeria</t>
        </is>
      </c>
      <c r="G113" t="inlineStr">
        <is>
          <t>NGA</t>
        </is>
      </c>
    </row>
    <row r="114">
      <c r="A114" t="inlineStr">
        <is>
          <t>Ibiono Ibom</t>
        </is>
      </c>
      <c r="B114" t="inlineStr">
        <is>
          <t xml:space="preserve"> </t>
        </is>
      </c>
      <c r="C114" t="inlineStr">
        <is>
          <t>NG003010</t>
        </is>
      </c>
      <c r="D114" t="inlineStr">
        <is>
          <t>Akwa Ibom</t>
        </is>
      </c>
      <c r="E114" t="inlineStr">
        <is>
          <t>NG003</t>
        </is>
      </c>
      <c r="F114" t="inlineStr">
        <is>
          <t>Nigeria</t>
        </is>
      </c>
      <c r="G114" t="inlineStr">
        <is>
          <t>NGA</t>
        </is>
      </c>
    </row>
    <row r="115">
      <c r="A115" t="inlineStr">
        <is>
          <t>Ibi</t>
        </is>
      </c>
      <c r="B115" t="inlineStr">
        <is>
          <t xml:space="preserve"> </t>
        </is>
      </c>
      <c r="C115" t="inlineStr">
        <is>
          <t>NG035006</t>
        </is>
      </c>
      <c r="D115" t="inlineStr">
        <is>
          <t>Taraba</t>
        </is>
      </c>
      <c r="E115" t="inlineStr">
        <is>
          <t>NG035</t>
        </is>
      </c>
      <c r="F115" t="inlineStr">
        <is>
          <t>Nigeria</t>
        </is>
      </c>
      <c r="G115" t="inlineStr">
        <is>
          <t>NGA</t>
        </is>
      </c>
    </row>
    <row r="116">
      <c r="A116" t="inlineStr">
        <is>
          <t>Ibesikpo Asutan</t>
        </is>
      </c>
      <c r="B116" t="inlineStr">
        <is>
          <t xml:space="preserve"> </t>
        </is>
      </c>
      <c r="C116" t="inlineStr">
        <is>
          <t>NG003009</t>
        </is>
      </c>
      <c r="D116" t="inlineStr">
        <is>
          <t>Akwa Ibom</t>
        </is>
      </c>
      <c r="E116" t="inlineStr">
        <is>
          <t>NG003</t>
        </is>
      </c>
      <c r="F116" t="inlineStr">
        <is>
          <t>Nigeria</t>
        </is>
      </c>
      <c r="G116" t="inlineStr">
        <is>
          <t>NGA</t>
        </is>
      </c>
    </row>
    <row r="117">
      <c r="A117" t="inlineStr">
        <is>
          <t>Ibeno</t>
        </is>
      </c>
      <c r="B117" t="inlineStr">
        <is>
          <t xml:space="preserve"> </t>
        </is>
      </c>
      <c r="C117" t="inlineStr">
        <is>
          <t>NG003008</t>
        </is>
      </c>
      <c r="D117" t="inlineStr">
        <is>
          <t>Akwa Ibom</t>
        </is>
      </c>
      <c r="E117" t="inlineStr">
        <is>
          <t>NG003</t>
        </is>
      </c>
      <c r="F117" t="inlineStr">
        <is>
          <t>Nigeria</t>
        </is>
      </c>
      <c r="G117" t="inlineStr">
        <is>
          <t>NGA</t>
        </is>
      </c>
    </row>
    <row r="118">
      <c r="A118" t="inlineStr">
        <is>
          <t>Ibeju/Lekki</t>
        </is>
      </c>
      <c r="B118" t="inlineStr">
        <is>
          <t xml:space="preserve"> </t>
        </is>
      </c>
      <c r="C118" t="inlineStr">
        <is>
          <t>NG025009</t>
        </is>
      </c>
      <c r="D118" t="inlineStr">
        <is>
          <t>Lagos</t>
        </is>
      </c>
      <c r="E118" t="inlineStr">
        <is>
          <t>NG025</t>
        </is>
      </c>
      <c r="F118" t="inlineStr">
        <is>
          <t>Nigeria</t>
        </is>
      </c>
      <c r="G118" t="inlineStr">
        <is>
          <t>NGA</t>
        </is>
      </c>
    </row>
    <row r="119">
      <c r="A119" t="inlineStr">
        <is>
          <t>Ibarapa North</t>
        </is>
      </c>
      <c r="B119" t="inlineStr">
        <is>
          <t xml:space="preserve"> </t>
        </is>
      </c>
      <c r="C119" t="inlineStr">
        <is>
          <t>NG031013</t>
        </is>
      </c>
      <c r="D119" t="inlineStr">
        <is>
          <t>Oyo</t>
        </is>
      </c>
      <c r="E119" t="inlineStr">
        <is>
          <t>NG031</t>
        </is>
      </c>
      <c r="F119" t="inlineStr">
        <is>
          <t>Nigeria</t>
        </is>
      </c>
      <c r="G119" t="inlineStr">
        <is>
          <t>NGA</t>
        </is>
      </c>
    </row>
    <row r="120">
      <c r="A120" t="inlineStr">
        <is>
          <t>Ibarapa East</t>
        </is>
      </c>
      <c r="B120" t="inlineStr">
        <is>
          <t xml:space="preserve"> </t>
        </is>
      </c>
      <c r="C120" t="inlineStr">
        <is>
          <t>NG031012</t>
        </is>
      </c>
      <c r="D120" t="inlineStr">
        <is>
          <t>Oyo</t>
        </is>
      </c>
      <c r="E120" t="inlineStr">
        <is>
          <t>NG031</t>
        </is>
      </c>
      <c r="F120" t="inlineStr">
        <is>
          <t>Nigeria</t>
        </is>
      </c>
      <c r="G120" t="inlineStr">
        <is>
          <t>NGA</t>
        </is>
      </c>
    </row>
    <row r="121">
      <c r="A121" t="inlineStr">
        <is>
          <t>Ibarapa Central</t>
        </is>
      </c>
      <c r="B121" t="inlineStr">
        <is>
          <t xml:space="preserve"> </t>
        </is>
      </c>
      <c r="C121" t="inlineStr">
        <is>
          <t>NG031011</t>
        </is>
      </c>
      <c r="D121" t="inlineStr">
        <is>
          <t>Oyo</t>
        </is>
      </c>
      <c r="E121" t="inlineStr">
        <is>
          <t>NG031</t>
        </is>
      </c>
      <c r="F121" t="inlineStr">
        <is>
          <t>Nigeria</t>
        </is>
      </c>
      <c r="G121" t="inlineStr">
        <is>
          <t>NGA</t>
        </is>
      </c>
    </row>
    <row r="122">
      <c r="A122" t="inlineStr">
        <is>
          <t>Ibaji</t>
        </is>
      </c>
      <c r="B122" t="inlineStr">
        <is>
          <t xml:space="preserve"> </t>
        </is>
      </c>
      <c r="C122" t="inlineStr">
        <is>
          <t>NG023006</t>
        </is>
      </c>
      <c r="D122" t="inlineStr">
        <is>
          <t>Kogi</t>
        </is>
      </c>
      <c r="E122" t="inlineStr">
        <is>
          <t>NG023</t>
        </is>
      </c>
      <c r="F122" t="inlineStr">
        <is>
          <t>Nigeria</t>
        </is>
      </c>
      <c r="G122" t="inlineStr">
        <is>
          <t>NGA</t>
        </is>
      </c>
    </row>
    <row r="123">
      <c r="A123" t="inlineStr">
        <is>
          <t>Ibadan South West</t>
        </is>
      </c>
      <c r="B123" t="inlineStr">
        <is>
          <t xml:space="preserve"> </t>
        </is>
      </c>
      <c r="C123" t="inlineStr">
        <is>
          <t>NG031010</t>
        </is>
      </c>
      <c r="D123" t="inlineStr">
        <is>
          <t>Oyo</t>
        </is>
      </c>
      <c r="E123" t="inlineStr">
        <is>
          <t>NG031</t>
        </is>
      </c>
      <c r="F123" t="inlineStr">
        <is>
          <t>Nigeria</t>
        </is>
      </c>
      <c r="G123" t="inlineStr">
        <is>
          <t>NGA</t>
        </is>
      </c>
    </row>
    <row r="124">
      <c r="A124" t="inlineStr">
        <is>
          <t>Ibadan South East</t>
        </is>
      </c>
      <c r="B124" t="inlineStr">
        <is>
          <t xml:space="preserve"> </t>
        </is>
      </c>
      <c r="C124" t="inlineStr">
        <is>
          <t>NG031009</t>
        </is>
      </c>
      <c r="D124" t="inlineStr">
        <is>
          <t>Oyo</t>
        </is>
      </c>
      <c r="E124" t="inlineStr">
        <is>
          <t>NG031</t>
        </is>
      </c>
      <c r="F124" t="inlineStr">
        <is>
          <t>Nigeria</t>
        </is>
      </c>
      <c r="G124" t="inlineStr">
        <is>
          <t>NGA</t>
        </is>
      </c>
    </row>
    <row r="125">
      <c r="A125" t="inlineStr">
        <is>
          <t>Ibadan North West</t>
        </is>
      </c>
      <c r="B125" t="inlineStr">
        <is>
          <t xml:space="preserve"> </t>
        </is>
      </c>
      <c r="C125" t="inlineStr">
        <is>
          <t>NG031008</t>
        </is>
      </c>
      <c r="D125" t="inlineStr">
        <is>
          <t>Oyo</t>
        </is>
      </c>
      <c r="E125" t="inlineStr">
        <is>
          <t>NG031</t>
        </is>
      </c>
      <c r="F125" t="inlineStr">
        <is>
          <t>Nigeria</t>
        </is>
      </c>
      <c r="G125" t="inlineStr">
        <is>
          <t>NGA</t>
        </is>
      </c>
    </row>
    <row r="126">
      <c r="A126" t="inlineStr">
        <is>
          <t>Ibadan North East</t>
        </is>
      </c>
      <c r="B126" t="inlineStr">
        <is>
          <t xml:space="preserve"> </t>
        </is>
      </c>
      <c r="C126" t="inlineStr">
        <is>
          <t>NG031007</t>
        </is>
      </c>
      <c r="D126" t="inlineStr">
        <is>
          <t>Oyo</t>
        </is>
      </c>
      <c r="E126" t="inlineStr">
        <is>
          <t>NG031</t>
        </is>
      </c>
      <c r="F126" t="inlineStr">
        <is>
          <t>Nigeria</t>
        </is>
      </c>
      <c r="G126" t="inlineStr">
        <is>
          <t>NGA</t>
        </is>
      </c>
    </row>
    <row r="127">
      <c r="A127" t="inlineStr">
        <is>
          <t>Ibadan North</t>
        </is>
      </c>
      <c r="B127" t="inlineStr">
        <is>
          <t xml:space="preserve"> </t>
        </is>
      </c>
      <c r="C127" t="inlineStr">
        <is>
          <t>NG031006</t>
        </is>
      </c>
      <c r="D127" t="inlineStr">
        <is>
          <t>Oyo</t>
        </is>
      </c>
      <c r="E127" t="inlineStr">
        <is>
          <t>NG031</t>
        </is>
      </c>
      <c r="F127" t="inlineStr">
        <is>
          <t>Nigeria</t>
        </is>
      </c>
      <c r="G127" t="inlineStr">
        <is>
          <t>NGA</t>
        </is>
      </c>
    </row>
    <row r="128">
      <c r="A128" t="inlineStr">
        <is>
          <t>Hong</t>
        </is>
      </c>
      <c r="B128" t="inlineStr">
        <is>
          <t xml:space="preserve"> </t>
        </is>
      </c>
      <c r="C128" t="inlineStr">
        <is>
          <t>NG002007</t>
        </is>
      </c>
      <c r="D128" t="inlineStr">
        <is>
          <t>Adamawa</t>
        </is>
      </c>
      <c r="E128" t="inlineStr">
        <is>
          <t>NG002</t>
        </is>
      </c>
      <c r="F128" t="inlineStr">
        <is>
          <t>Nigeria</t>
        </is>
      </c>
      <c r="G128" t="inlineStr">
        <is>
          <t>NGA</t>
        </is>
      </c>
    </row>
    <row r="129">
      <c r="A129" t="inlineStr">
        <is>
          <t>Hawul</t>
        </is>
      </c>
      <c r="B129" t="inlineStr">
        <is>
          <t xml:space="preserve"> </t>
        </is>
      </c>
      <c r="C129" t="inlineStr">
        <is>
          <t>NG008012</t>
        </is>
      </c>
      <c r="D129" t="inlineStr">
        <is>
          <t>Borno</t>
        </is>
      </c>
      <c r="E129" t="inlineStr">
        <is>
          <t>NG008</t>
        </is>
      </c>
      <c r="F129" t="inlineStr">
        <is>
          <t>Nigeria</t>
        </is>
      </c>
      <c r="G129" t="inlineStr">
        <is>
          <t>NGA</t>
        </is>
      </c>
    </row>
    <row r="130">
      <c r="A130" t="inlineStr">
        <is>
          <t>Hadejia</t>
        </is>
      </c>
      <c r="B130" t="inlineStr">
        <is>
          <t xml:space="preserve"> </t>
        </is>
      </c>
      <c r="C130" t="inlineStr">
        <is>
          <t>NG018013</t>
        </is>
      </c>
      <c r="D130" t="inlineStr">
        <is>
          <t>Jigawa</t>
        </is>
      </c>
      <c r="E130" t="inlineStr">
        <is>
          <t>NG018</t>
        </is>
      </c>
      <c r="F130" t="inlineStr">
        <is>
          <t>Nigeria</t>
        </is>
      </c>
      <c r="G130" t="inlineStr">
        <is>
          <t>NGA</t>
        </is>
      </c>
    </row>
    <row r="131">
      <c r="A131" t="inlineStr">
        <is>
          <t>Gwoza</t>
        </is>
      </c>
      <c r="B131" t="inlineStr">
        <is>
          <t xml:space="preserve"> </t>
        </is>
      </c>
      <c r="C131" t="inlineStr">
        <is>
          <t>NG008011</t>
        </is>
      </c>
      <c r="D131" t="inlineStr">
        <is>
          <t>Borno</t>
        </is>
      </c>
      <c r="E131" t="inlineStr">
        <is>
          <t>NG008</t>
        </is>
      </c>
      <c r="F131" t="inlineStr">
        <is>
          <t>Nigeria</t>
        </is>
      </c>
      <c r="G131" t="inlineStr">
        <is>
          <t>NGA</t>
        </is>
      </c>
    </row>
    <row r="132">
      <c r="A132" t="inlineStr">
        <is>
          <t>Gwiwa</t>
        </is>
      </c>
      <c r="B132" t="inlineStr">
        <is>
          <t xml:space="preserve"> </t>
        </is>
      </c>
      <c r="C132" t="inlineStr">
        <is>
          <t>NG018012</t>
        </is>
      </c>
      <c r="D132" t="inlineStr">
        <is>
          <t>Jigawa</t>
        </is>
      </c>
      <c r="E132" t="inlineStr">
        <is>
          <t>NG018</t>
        </is>
      </c>
      <c r="F132" t="inlineStr">
        <is>
          <t>Nigeria</t>
        </is>
      </c>
      <c r="G132" t="inlineStr">
        <is>
          <t>NGA</t>
        </is>
      </c>
    </row>
    <row r="133">
      <c r="A133" t="inlineStr">
        <is>
          <t>Gwer West</t>
        </is>
      </c>
      <c r="B133" t="inlineStr">
        <is>
          <t xml:space="preserve"> </t>
        </is>
      </c>
      <c r="C133" t="inlineStr">
        <is>
          <t>NG007008</t>
        </is>
      </c>
      <c r="D133" t="inlineStr">
        <is>
          <t>Benue</t>
        </is>
      </c>
      <c r="E133" t="inlineStr">
        <is>
          <t>NG007</t>
        </is>
      </c>
      <c r="F133" t="inlineStr">
        <is>
          <t>Nigeria</t>
        </is>
      </c>
      <c r="G133" t="inlineStr">
        <is>
          <t>NGA</t>
        </is>
      </c>
    </row>
    <row r="134">
      <c r="A134" t="inlineStr">
        <is>
          <t>Gwer East</t>
        </is>
      </c>
      <c r="B134" t="inlineStr">
        <is>
          <t xml:space="preserve"> </t>
        </is>
      </c>
      <c r="C134" t="inlineStr">
        <is>
          <t>NG007007</t>
        </is>
      </c>
      <c r="D134" t="inlineStr">
        <is>
          <t>Benue</t>
        </is>
      </c>
      <c r="E134" t="inlineStr">
        <is>
          <t>NG007</t>
        </is>
      </c>
      <c r="F134" t="inlineStr">
        <is>
          <t>Nigeria</t>
        </is>
      </c>
      <c r="G134" t="inlineStr">
        <is>
          <t>NGA</t>
        </is>
      </c>
    </row>
    <row r="135">
      <c r="A135" t="inlineStr">
        <is>
          <t>Gwarzo</t>
        </is>
      </c>
      <c r="B135" t="inlineStr">
        <is>
          <t xml:space="preserve"> </t>
        </is>
      </c>
      <c r="C135" t="inlineStr">
        <is>
          <t>NG020019</t>
        </is>
      </c>
      <c r="D135" t="inlineStr">
        <is>
          <t>Kano</t>
        </is>
      </c>
      <c r="E135" t="inlineStr">
        <is>
          <t>NG020</t>
        </is>
      </c>
      <c r="F135" t="inlineStr">
        <is>
          <t>Nigeria</t>
        </is>
      </c>
      <c r="G135" t="inlineStr">
        <is>
          <t>NGA</t>
        </is>
      </c>
    </row>
    <row r="136">
      <c r="A136" t="inlineStr">
        <is>
          <t>Gwaram</t>
        </is>
      </c>
      <c r="B136" t="inlineStr">
        <is>
          <t xml:space="preserve"> </t>
        </is>
      </c>
      <c r="C136" t="inlineStr">
        <is>
          <t>NG018011</t>
        </is>
      </c>
      <c r="D136" t="inlineStr">
        <is>
          <t>Jigawa</t>
        </is>
      </c>
      <c r="E136" t="inlineStr">
        <is>
          <t>NG018</t>
        </is>
      </c>
      <c r="F136" t="inlineStr">
        <is>
          <t>Nigeria</t>
        </is>
      </c>
      <c r="G136" t="inlineStr">
        <is>
          <t>NGA</t>
        </is>
      </c>
    </row>
    <row r="137">
      <c r="A137" t="inlineStr">
        <is>
          <t>Gwandu</t>
        </is>
      </c>
      <c r="B137" t="inlineStr">
        <is>
          <t xml:space="preserve"> </t>
        </is>
      </c>
      <c r="C137" t="inlineStr">
        <is>
          <t>NG022010</t>
        </is>
      </c>
      <c r="D137" t="inlineStr">
        <is>
          <t>Kebbi</t>
        </is>
      </c>
      <c r="E137" t="inlineStr">
        <is>
          <t>NG022</t>
        </is>
      </c>
      <c r="F137" t="inlineStr">
        <is>
          <t>Nigeria</t>
        </is>
      </c>
      <c r="G137" t="inlineStr">
        <is>
          <t>NGA</t>
        </is>
      </c>
    </row>
    <row r="138">
      <c r="A138" t="inlineStr">
        <is>
          <t>Gwale</t>
        </is>
      </c>
      <c r="B138" t="inlineStr">
        <is>
          <t xml:space="preserve"> </t>
        </is>
      </c>
      <c r="C138" t="inlineStr">
        <is>
          <t>NG020018</t>
        </is>
      </c>
      <c r="D138" t="inlineStr">
        <is>
          <t>Kano</t>
        </is>
      </c>
      <c r="E138" t="inlineStr">
        <is>
          <t>NG020</t>
        </is>
      </c>
      <c r="F138" t="inlineStr">
        <is>
          <t>Nigeria</t>
        </is>
      </c>
      <c r="G138" t="inlineStr">
        <is>
          <t>NGA</t>
        </is>
      </c>
    </row>
    <row r="139">
      <c r="A139" t="inlineStr">
        <is>
          <t>Gwagwalada</t>
        </is>
      </c>
      <c r="B139" t="inlineStr">
        <is>
          <t xml:space="preserve"> </t>
        </is>
      </c>
      <c r="C139" t="inlineStr">
        <is>
          <t>NG015004</t>
        </is>
      </c>
      <c r="D139" t="inlineStr">
        <is>
          <t>Federal Capital Territory</t>
        </is>
      </c>
      <c r="E139" t="inlineStr">
        <is>
          <t>NG015</t>
        </is>
      </c>
      <c r="F139" t="inlineStr">
        <is>
          <t>Nigeria</t>
        </is>
      </c>
      <c r="G139" t="inlineStr">
        <is>
          <t>NGA</t>
        </is>
      </c>
    </row>
    <row r="140">
      <c r="A140" t="inlineStr">
        <is>
          <t>Gwadabawa</t>
        </is>
      </c>
      <c r="B140" t="inlineStr">
        <is>
          <t xml:space="preserve"> </t>
        </is>
      </c>
      <c r="C140" t="inlineStr">
        <is>
          <t>NG034005</t>
        </is>
      </c>
      <c r="D140" t="inlineStr">
        <is>
          <t>Sokoto</t>
        </is>
      </c>
      <c r="E140" t="inlineStr">
        <is>
          <t>NG034</t>
        </is>
      </c>
      <c r="F140" t="inlineStr">
        <is>
          <t>Nigeria</t>
        </is>
      </c>
      <c r="G140" t="inlineStr">
        <is>
          <t>NGA</t>
        </is>
      </c>
    </row>
    <row r="141">
      <c r="A141" t="inlineStr">
        <is>
          <t>Guzamala</t>
        </is>
      </c>
      <c r="B141" t="inlineStr">
        <is>
          <t xml:space="preserve"> </t>
        </is>
      </c>
      <c r="C141" t="inlineStr">
        <is>
          <t>NG008010</t>
        </is>
      </c>
      <c r="D141" t="inlineStr">
        <is>
          <t>Borno</t>
        </is>
      </c>
      <c r="E141" t="inlineStr">
        <is>
          <t>NG008</t>
        </is>
      </c>
      <c r="F141" t="inlineStr">
        <is>
          <t>Nigeria</t>
        </is>
      </c>
      <c r="G141" t="inlineStr">
        <is>
          <t>NGA</t>
        </is>
      </c>
    </row>
    <row r="142">
      <c r="A142" t="inlineStr">
        <is>
          <t>Guyuk</t>
        </is>
      </c>
      <c r="B142" t="inlineStr">
        <is>
          <t xml:space="preserve"> </t>
        </is>
      </c>
      <c r="C142" t="inlineStr">
        <is>
          <t>NG002006</t>
        </is>
      </c>
      <c r="D142" t="inlineStr">
        <is>
          <t>Adamawa</t>
        </is>
      </c>
      <c r="E142" t="inlineStr">
        <is>
          <t>NG002</t>
        </is>
      </c>
      <c r="F142" t="inlineStr">
        <is>
          <t>Nigeria</t>
        </is>
      </c>
      <c r="G142" t="inlineStr">
        <is>
          <t>NGA</t>
        </is>
      </c>
    </row>
    <row r="143">
      <c r="A143" t="inlineStr">
        <is>
          <t>Gusau</t>
        </is>
      </c>
      <c r="B143" t="inlineStr">
        <is>
          <t xml:space="preserve"> </t>
        </is>
      </c>
      <c r="C143" t="inlineStr">
        <is>
          <t>NG037007</t>
        </is>
      </c>
      <c r="D143" t="inlineStr">
        <is>
          <t>Zamfara</t>
        </is>
      </c>
      <c r="E143" t="inlineStr">
        <is>
          <t>NG037</t>
        </is>
      </c>
      <c r="F143" t="inlineStr">
        <is>
          <t>Nigeria</t>
        </is>
      </c>
      <c r="G143" t="inlineStr">
        <is>
          <t>NGA</t>
        </is>
      </c>
    </row>
    <row r="144">
      <c r="A144" t="inlineStr">
        <is>
          <t>Guri</t>
        </is>
      </c>
      <c r="B144" t="inlineStr">
        <is>
          <t xml:space="preserve"> </t>
        </is>
      </c>
      <c r="C144" t="inlineStr">
        <is>
          <t>NG018010</t>
        </is>
      </c>
      <c r="D144" t="inlineStr">
        <is>
          <t>Jigawa</t>
        </is>
      </c>
      <c r="E144" t="inlineStr">
        <is>
          <t>NG018</t>
        </is>
      </c>
      <c r="F144" t="inlineStr">
        <is>
          <t>Nigeria</t>
        </is>
      </c>
      <c r="G144" t="inlineStr">
        <is>
          <t>NGA</t>
        </is>
      </c>
    </row>
    <row r="145">
      <c r="A145" t="inlineStr">
        <is>
          <t>Gurara</t>
        </is>
      </c>
      <c r="B145" t="inlineStr">
        <is>
          <t xml:space="preserve"> </t>
        </is>
      </c>
      <c r="C145" t="inlineStr">
        <is>
          <t>NG027009</t>
        </is>
      </c>
      <c r="D145" t="inlineStr">
        <is>
          <t>Niger</t>
        </is>
      </c>
      <c r="E145" t="inlineStr">
        <is>
          <t>NG027</t>
        </is>
      </c>
      <c r="F145" t="inlineStr">
        <is>
          <t>Nigeria</t>
        </is>
      </c>
      <c r="G145" t="inlineStr">
        <is>
          <t>NGA</t>
        </is>
      </c>
    </row>
    <row r="146">
      <c r="A146" t="inlineStr">
        <is>
          <t>Gummi</t>
        </is>
      </c>
      <c r="B146" t="inlineStr">
        <is>
          <t xml:space="preserve"> </t>
        </is>
      </c>
      <c r="C146" t="inlineStr">
        <is>
          <t>NG037006</t>
        </is>
      </c>
      <c r="D146" t="inlineStr">
        <is>
          <t>Zamfara</t>
        </is>
      </c>
      <c r="E146" t="inlineStr">
        <is>
          <t>NG037</t>
        </is>
      </c>
      <c r="F146" t="inlineStr">
        <is>
          <t>Nigeria</t>
        </is>
      </c>
      <c r="G146" t="inlineStr">
        <is>
          <t>NGA</t>
        </is>
      </c>
    </row>
    <row r="147">
      <c r="A147" t="inlineStr">
        <is>
          <t>Gumel</t>
        </is>
      </c>
      <c r="B147" t="inlineStr">
        <is>
          <t xml:space="preserve"> </t>
        </is>
      </c>
      <c r="C147" t="inlineStr">
        <is>
          <t>NG018009</t>
        </is>
      </c>
      <c r="D147" t="inlineStr">
        <is>
          <t>Jigawa</t>
        </is>
      </c>
      <c r="E147" t="inlineStr">
        <is>
          <t>NG018</t>
        </is>
      </c>
      <c r="F147" t="inlineStr">
        <is>
          <t>Nigeria</t>
        </is>
      </c>
      <c r="G147" t="inlineStr">
        <is>
          <t>NGA</t>
        </is>
      </c>
    </row>
    <row r="148">
      <c r="A148" t="inlineStr">
        <is>
          <t>Guma</t>
        </is>
      </c>
      <c r="B148" t="inlineStr">
        <is>
          <t xml:space="preserve"> </t>
        </is>
      </c>
      <c r="C148" t="inlineStr">
        <is>
          <t>NG007006</t>
        </is>
      </c>
      <c r="D148" t="inlineStr">
        <is>
          <t>Benue</t>
        </is>
      </c>
      <c r="E148" t="inlineStr">
        <is>
          <t>NG007</t>
        </is>
      </c>
      <c r="F148" t="inlineStr">
        <is>
          <t>Nigeria</t>
        </is>
      </c>
      <c r="G148" t="inlineStr">
        <is>
          <t>NGA</t>
        </is>
      </c>
    </row>
    <row r="149">
      <c r="A149" t="inlineStr">
        <is>
          <t>Gulani</t>
        </is>
      </c>
      <c r="B149" t="inlineStr">
        <is>
          <t xml:space="preserve"> </t>
        </is>
      </c>
      <c r="C149" t="inlineStr">
        <is>
          <t>NG036008</t>
        </is>
      </c>
      <c r="D149" t="inlineStr">
        <is>
          <t>Yobe</t>
        </is>
      </c>
      <c r="E149" t="inlineStr">
        <is>
          <t>NG036</t>
        </is>
      </c>
      <c r="F149" t="inlineStr">
        <is>
          <t>Nigeria</t>
        </is>
      </c>
      <c r="G149" t="inlineStr">
        <is>
          <t>NGA</t>
        </is>
      </c>
    </row>
    <row r="150">
      <c r="A150" t="inlineStr">
        <is>
          <t>Gujba</t>
        </is>
      </c>
      <c r="B150" t="inlineStr">
        <is>
          <t xml:space="preserve"> </t>
        </is>
      </c>
      <c r="C150" t="inlineStr">
        <is>
          <t>NG036007</t>
        </is>
      </c>
      <c r="D150" t="inlineStr">
        <is>
          <t>Yobe</t>
        </is>
      </c>
      <c r="E150" t="inlineStr">
        <is>
          <t>NG036</t>
        </is>
      </c>
      <c r="F150" t="inlineStr">
        <is>
          <t>Nigeria</t>
        </is>
      </c>
      <c r="G150" t="inlineStr">
        <is>
          <t>NGA</t>
        </is>
      </c>
    </row>
    <row r="151">
      <c r="A151" t="inlineStr">
        <is>
          <t>Gudu</t>
        </is>
      </c>
      <c r="B151" t="inlineStr">
        <is>
          <t xml:space="preserve"> </t>
        </is>
      </c>
      <c r="C151" t="inlineStr">
        <is>
          <t>NG034007</t>
        </is>
      </c>
      <c r="D151" t="inlineStr">
        <is>
          <t>Sokoto</t>
        </is>
      </c>
      <c r="E151" t="inlineStr">
        <is>
          <t>NG034</t>
        </is>
      </c>
      <c r="F151" t="inlineStr">
        <is>
          <t>Nigeria</t>
        </is>
      </c>
      <c r="G151" t="inlineStr">
        <is>
          <t>NGA</t>
        </is>
      </c>
    </row>
    <row r="152">
      <c r="A152" t="inlineStr">
        <is>
          <t>Gubio</t>
        </is>
      </c>
      <c r="B152" t="inlineStr">
        <is>
          <t xml:space="preserve"> </t>
        </is>
      </c>
      <c r="C152" t="inlineStr">
        <is>
          <t>NG008009</t>
        </is>
      </c>
      <c r="D152" t="inlineStr">
        <is>
          <t>Borno</t>
        </is>
      </c>
      <c r="E152" t="inlineStr">
        <is>
          <t>NG008</t>
        </is>
      </c>
      <c r="F152" t="inlineStr">
        <is>
          <t>Nigeria</t>
        </is>
      </c>
      <c r="G152" t="inlineStr">
        <is>
          <t>NGA</t>
        </is>
      </c>
    </row>
    <row r="153">
      <c r="A153" t="inlineStr">
        <is>
          <t>Goronyo</t>
        </is>
      </c>
      <c r="B153" t="inlineStr">
        <is>
          <t xml:space="preserve"> </t>
        </is>
      </c>
      <c r="C153" t="inlineStr">
        <is>
          <t>NG034006</t>
        </is>
      </c>
      <c r="D153" t="inlineStr">
        <is>
          <t>Sokoto</t>
        </is>
      </c>
      <c r="E153" t="inlineStr">
        <is>
          <t>NG034</t>
        </is>
      </c>
      <c r="F153" t="inlineStr">
        <is>
          <t>Nigeria</t>
        </is>
      </c>
      <c r="G153" t="inlineStr">
        <is>
          <t>NGA</t>
        </is>
      </c>
    </row>
    <row r="154">
      <c r="A154" t="inlineStr">
        <is>
          <t>Gombi</t>
        </is>
      </c>
      <c r="B154" t="inlineStr">
        <is>
          <t xml:space="preserve"> </t>
        </is>
      </c>
      <c r="C154" t="inlineStr">
        <is>
          <t>NG002004</t>
        </is>
      </c>
      <c r="D154" t="inlineStr">
        <is>
          <t>Adamawa</t>
        </is>
      </c>
      <c r="E154" t="inlineStr">
        <is>
          <t>NG002</t>
        </is>
      </c>
      <c r="F154" t="inlineStr">
        <is>
          <t>Nigeria</t>
        </is>
      </c>
      <c r="G154" t="inlineStr">
        <is>
          <t>NGA</t>
        </is>
      </c>
    </row>
    <row r="155">
      <c r="A155" t="inlineStr">
        <is>
          <t>Gombe</t>
        </is>
      </c>
      <c r="B155" t="inlineStr">
        <is>
          <t xml:space="preserve"> </t>
        </is>
      </c>
      <c r="C155" t="inlineStr">
        <is>
          <t>NG016006</t>
        </is>
      </c>
      <c r="D155" t="inlineStr">
        <is>
          <t>Gombe</t>
        </is>
      </c>
      <c r="E155" t="inlineStr">
        <is>
          <t>NG016</t>
        </is>
      </c>
      <c r="F155" t="inlineStr">
        <is>
          <t>Nigeria</t>
        </is>
      </c>
      <c r="G155" t="inlineStr">
        <is>
          <t>NGA</t>
        </is>
      </c>
    </row>
    <row r="156">
      <c r="A156" t="inlineStr">
        <is>
          <t>Gokana</t>
        </is>
      </c>
      <c r="B156" t="inlineStr">
        <is>
          <t xml:space="preserve"> </t>
        </is>
      </c>
      <c r="C156" t="inlineStr">
        <is>
          <t>NG033012</t>
        </is>
      </c>
      <c r="D156" t="inlineStr">
        <is>
          <t>Rivers</t>
        </is>
      </c>
      <c r="E156" t="inlineStr">
        <is>
          <t>NG033</t>
        </is>
      </c>
      <c r="F156" t="inlineStr">
        <is>
          <t>Nigeria</t>
        </is>
      </c>
      <c r="G156" t="inlineStr">
        <is>
          <t>NGA</t>
        </is>
      </c>
    </row>
    <row r="157">
      <c r="A157" t="inlineStr">
        <is>
          <t>Giwa</t>
        </is>
      </c>
      <c r="B157" t="inlineStr">
        <is>
          <t xml:space="preserve"> </t>
        </is>
      </c>
      <c r="C157" t="inlineStr">
        <is>
          <t>NG019003</t>
        </is>
      </c>
      <c r="D157" t="inlineStr">
        <is>
          <t>Kaduna</t>
        </is>
      </c>
      <c r="E157" t="inlineStr">
        <is>
          <t>NG019</t>
        </is>
      </c>
      <c r="F157" t="inlineStr">
        <is>
          <t>Nigeria</t>
        </is>
      </c>
      <c r="G157" t="inlineStr">
        <is>
          <t>NGA</t>
        </is>
      </c>
    </row>
    <row r="158">
      <c r="A158" t="inlineStr">
        <is>
          <t>Girei</t>
        </is>
      </c>
      <c r="B158" t="inlineStr">
        <is>
          <t xml:space="preserve"> </t>
        </is>
      </c>
      <c r="C158" t="inlineStr">
        <is>
          <t>NG002005</t>
        </is>
      </c>
      <c r="D158" t="inlineStr">
        <is>
          <t>Adamawa</t>
        </is>
      </c>
      <c r="E158" t="inlineStr">
        <is>
          <t>NG002</t>
        </is>
      </c>
      <c r="F158" t="inlineStr">
        <is>
          <t>Nigeria</t>
        </is>
      </c>
      <c r="G158" t="inlineStr">
        <is>
          <t>NGA</t>
        </is>
      </c>
    </row>
    <row r="159">
      <c r="A159" t="inlineStr">
        <is>
          <t>Giade</t>
        </is>
      </c>
      <c r="B159" t="inlineStr">
        <is>
          <t xml:space="preserve"> </t>
        </is>
      </c>
      <c r="C159" t="inlineStr">
        <is>
          <t>NG005009</t>
        </is>
      </c>
      <c r="D159" t="inlineStr">
        <is>
          <t>Bauchi</t>
        </is>
      </c>
      <c r="E159" t="inlineStr">
        <is>
          <t>NG005</t>
        </is>
      </c>
      <c r="F159" t="inlineStr">
        <is>
          <t>Nigeria</t>
        </is>
      </c>
      <c r="G159" t="inlineStr">
        <is>
          <t>NGA</t>
        </is>
      </c>
    </row>
    <row r="160">
      <c r="A160" t="inlineStr">
        <is>
          <t>Gezawa</t>
        </is>
      </c>
      <c r="B160" t="inlineStr">
        <is>
          <t xml:space="preserve"> </t>
        </is>
      </c>
      <c r="C160" t="inlineStr">
        <is>
          <t>NG020017</t>
        </is>
      </c>
      <c r="D160" t="inlineStr">
        <is>
          <t>Kano</t>
        </is>
      </c>
      <c r="E160" t="inlineStr">
        <is>
          <t>NG020</t>
        </is>
      </c>
      <c r="F160" t="inlineStr">
        <is>
          <t>Nigeria</t>
        </is>
      </c>
      <c r="G160" t="inlineStr">
        <is>
          <t>NGA</t>
        </is>
      </c>
    </row>
    <row r="161">
      <c r="A161" t="inlineStr">
        <is>
          <t>Geidam</t>
        </is>
      </c>
      <c r="B161" t="inlineStr">
        <is>
          <t xml:space="preserve"> </t>
        </is>
      </c>
      <c r="C161" t="inlineStr">
        <is>
          <t>NG036006</t>
        </is>
      </c>
      <c r="D161" t="inlineStr">
        <is>
          <t>Yobe</t>
        </is>
      </c>
      <c r="E161" t="inlineStr">
        <is>
          <t>NG036</t>
        </is>
      </c>
      <c r="F161" t="inlineStr">
        <is>
          <t>Nigeria</t>
        </is>
      </c>
      <c r="G161" t="inlineStr">
        <is>
          <t>NGA</t>
        </is>
      </c>
    </row>
    <row r="162">
      <c r="A162" t="inlineStr">
        <is>
          <t>Gboko</t>
        </is>
      </c>
      <c r="B162" t="inlineStr">
        <is>
          <t xml:space="preserve"> </t>
        </is>
      </c>
      <c r="C162" t="inlineStr">
        <is>
          <t>NG007005</t>
        </is>
      </c>
      <c r="D162" t="inlineStr">
        <is>
          <t>Benue</t>
        </is>
      </c>
      <c r="E162" t="inlineStr">
        <is>
          <t>NG007</t>
        </is>
      </c>
      <c r="F162" t="inlineStr">
        <is>
          <t>Nigeria</t>
        </is>
      </c>
      <c r="G162" t="inlineStr">
        <is>
          <t>NGA</t>
        </is>
      </c>
    </row>
    <row r="163">
      <c r="A163" t="inlineStr">
        <is>
          <t>Gbako</t>
        </is>
      </c>
      <c r="B163" t="inlineStr">
        <is>
          <t xml:space="preserve"> </t>
        </is>
      </c>
      <c r="C163" t="inlineStr">
        <is>
          <t>NG027008</t>
        </is>
      </c>
      <c r="D163" t="inlineStr">
        <is>
          <t>Niger</t>
        </is>
      </c>
      <c r="E163" t="inlineStr">
        <is>
          <t>NG027</t>
        </is>
      </c>
      <c r="F163" t="inlineStr">
        <is>
          <t>Nigeria</t>
        </is>
      </c>
      <c r="G163" t="inlineStr">
        <is>
          <t>NGA</t>
        </is>
      </c>
    </row>
    <row r="164">
      <c r="A164" t="inlineStr">
        <is>
          <t>Gaya</t>
        </is>
      </c>
      <c r="B164" t="inlineStr">
        <is>
          <t xml:space="preserve"> </t>
        </is>
      </c>
      <c r="C164" t="inlineStr">
        <is>
          <t>NG020016</t>
        </is>
      </c>
      <c r="D164" t="inlineStr">
        <is>
          <t>Kano</t>
        </is>
      </c>
      <c r="E164" t="inlineStr">
        <is>
          <t>NG020</t>
        </is>
      </c>
      <c r="F164" t="inlineStr">
        <is>
          <t>Nigeria</t>
        </is>
      </c>
      <c r="G164" t="inlineStr">
        <is>
          <t>NGA</t>
        </is>
      </c>
    </row>
    <row r="165">
      <c r="A165" t="inlineStr">
        <is>
          <t>Gassol</t>
        </is>
      </c>
      <c r="B165" t="inlineStr">
        <is>
          <t xml:space="preserve"> </t>
        </is>
      </c>
      <c r="C165" t="inlineStr">
        <is>
          <t>NG035005</t>
        </is>
      </c>
      <c r="D165" t="inlineStr">
        <is>
          <t>Taraba</t>
        </is>
      </c>
      <c r="E165" t="inlineStr">
        <is>
          <t>NG035</t>
        </is>
      </c>
      <c r="F165" t="inlineStr">
        <is>
          <t>Nigeria</t>
        </is>
      </c>
      <c r="G165" t="inlineStr">
        <is>
          <t>NGA</t>
        </is>
      </c>
    </row>
    <row r="166">
      <c r="A166" t="inlineStr">
        <is>
          <t>Gashaka</t>
        </is>
      </c>
      <c r="B166" t="inlineStr">
        <is>
          <t xml:space="preserve"> </t>
        </is>
      </c>
      <c r="C166" t="inlineStr">
        <is>
          <t>NG035004</t>
        </is>
      </c>
      <c r="D166" t="inlineStr">
        <is>
          <t>Taraba</t>
        </is>
      </c>
      <c r="E166" t="inlineStr">
        <is>
          <t>NG035</t>
        </is>
      </c>
      <c r="F166" t="inlineStr">
        <is>
          <t>Nigeria</t>
        </is>
      </c>
      <c r="G166" t="inlineStr">
        <is>
          <t>NGA</t>
        </is>
      </c>
    </row>
    <row r="167">
      <c r="A167" t="inlineStr">
        <is>
          <t>Garum Mallam</t>
        </is>
      </c>
      <c r="B167" t="inlineStr">
        <is>
          <t xml:space="preserve"> </t>
        </is>
      </c>
      <c r="C167" t="inlineStr">
        <is>
          <t>NG020015</t>
        </is>
      </c>
      <c r="D167" t="inlineStr">
        <is>
          <t>Kano</t>
        </is>
      </c>
      <c r="E167" t="inlineStr">
        <is>
          <t>NG020</t>
        </is>
      </c>
      <c r="F167" t="inlineStr">
        <is>
          <t>Nigeria</t>
        </is>
      </c>
      <c r="G167" t="inlineStr">
        <is>
          <t>NGA</t>
        </is>
      </c>
    </row>
    <row r="168">
      <c r="A168" t="inlineStr">
        <is>
          <t>Garko</t>
        </is>
      </c>
      <c r="B168" t="inlineStr">
        <is>
          <t xml:space="preserve"> </t>
        </is>
      </c>
      <c r="C168" t="inlineStr">
        <is>
          <t>NG020014</t>
        </is>
      </c>
      <c r="D168" t="inlineStr">
        <is>
          <t>Kano</t>
        </is>
      </c>
      <c r="E168" t="inlineStr">
        <is>
          <t>NG020</t>
        </is>
      </c>
      <c r="F168" t="inlineStr">
        <is>
          <t>Nigeria</t>
        </is>
      </c>
      <c r="G168" t="inlineStr">
        <is>
          <t>NGA</t>
        </is>
      </c>
    </row>
    <row r="169">
      <c r="A169" t="inlineStr">
        <is>
          <t>Garki</t>
        </is>
      </c>
      <c r="B169" t="inlineStr">
        <is>
          <t xml:space="preserve"> </t>
        </is>
      </c>
      <c r="C169" t="inlineStr">
        <is>
          <t>NG018008</t>
        </is>
      </c>
      <c r="D169" t="inlineStr">
        <is>
          <t>Jigawa</t>
        </is>
      </c>
      <c r="E169" t="inlineStr">
        <is>
          <t>NG018</t>
        </is>
      </c>
      <c r="F169" t="inlineStr">
        <is>
          <t>Nigeria</t>
        </is>
      </c>
      <c r="G169" t="inlineStr">
        <is>
          <t>NGA</t>
        </is>
      </c>
    </row>
    <row r="170">
      <c r="A170" t="inlineStr">
        <is>
          <t>Ganye</t>
        </is>
      </c>
      <c r="B170" t="inlineStr">
        <is>
          <t xml:space="preserve"> </t>
        </is>
      </c>
      <c r="C170" t="inlineStr">
        <is>
          <t>NG002003</t>
        </is>
      </c>
      <c r="D170" t="inlineStr">
        <is>
          <t>Adamawa</t>
        </is>
      </c>
      <c r="E170" t="inlineStr">
        <is>
          <t>NG002</t>
        </is>
      </c>
      <c r="F170" t="inlineStr">
        <is>
          <t>Nigeria</t>
        </is>
      </c>
      <c r="G170" t="inlineStr">
        <is>
          <t>NGA</t>
        </is>
      </c>
    </row>
    <row r="171">
      <c r="A171" t="inlineStr">
        <is>
          <t>Ganjuwa</t>
        </is>
      </c>
      <c r="B171" t="inlineStr">
        <is>
          <t xml:space="preserve"> </t>
        </is>
      </c>
      <c r="C171" t="inlineStr">
        <is>
          <t>NG005008</t>
        </is>
      </c>
      <c r="D171" t="inlineStr">
        <is>
          <t>Bauchi</t>
        </is>
      </c>
      <c r="E171" t="inlineStr">
        <is>
          <t>NG005</t>
        </is>
      </c>
      <c r="F171" t="inlineStr">
        <is>
          <t>Nigeria</t>
        </is>
      </c>
      <c r="G171" t="inlineStr">
        <is>
          <t>NGA</t>
        </is>
      </c>
    </row>
    <row r="172">
      <c r="A172" t="inlineStr">
        <is>
          <t>Gamawa</t>
        </is>
      </c>
      <c r="B172" t="inlineStr">
        <is>
          <t xml:space="preserve"> </t>
        </is>
      </c>
      <c r="C172" t="inlineStr">
        <is>
          <t>NG005007</t>
        </is>
      </c>
      <c r="D172" t="inlineStr">
        <is>
          <t>Bauchi</t>
        </is>
      </c>
      <c r="E172" t="inlineStr">
        <is>
          <t>NG005</t>
        </is>
      </c>
      <c r="F172" t="inlineStr">
        <is>
          <t>Nigeria</t>
        </is>
      </c>
      <c r="G172" t="inlineStr">
        <is>
          <t>NGA</t>
        </is>
      </c>
    </row>
    <row r="173">
      <c r="A173" t="inlineStr">
        <is>
          <t>Gagarawa</t>
        </is>
      </c>
      <c r="B173" t="inlineStr">
        <is>
          <t xml:space="preserve"> </t>
        </is>
      </c>
      <c r="C173" t="inlineStr">
        <is>
          <t>NG018007</t>
        </is>
      </c>
      <c r="D173" t="inlineStr">
        <is>
          <t>Jigawa</t>
        </is>
      </c>
      <c r="E173" t="inlineStr">
        <is>
          <t>NG018</t>
        </is>
      </c>
      <c r="F173" t="inlineStr">
        <is>
          <t>Nigeria</t>
        </is>
      </c>
      <c r="G173" t="inlineStr">
        <is>
          <t>NGA</t>
        </is>
      </c>
    </row>
    <row r="174">
      <c r="A174" t="inlineStr">
        <is>
          <t>Gada</t>
        </is>
      </c>
      <c r="B174" t="inlineStr">
        <is>
          <t xml:space="preserve"> </t>
        </is>
      </c>
      <c r="C174" t="inlineStr">
        <is>
          <t>NG034004</t>
        </is>
      </c>
      <c r="D174" t="inlineStr">
        <is>
          <t>Sokoto</t>
        </is>
      </c>
      <c r="E174" t="inlineStr">
        <is>
          <t>NG034</t>
        </is>
      </c>
      <c r="F174" t="inlineStr">
        <is>
          <t>Nigeria</t>
        </is>
      </c>
      <c r="G174" t="inlineStr">
        <is>
          <t>NGA</t>
        </is>
      </c>
    </row>
    <row r="175">
      <c r="A175" t="inlineStr">
        <is>
          <t>Gabasawa</t>
        </is>
      </c>
      <c r="B175" t="inlineStr">
        <is>
          <t xml:space="preserve"> </t>
        </is>
      </c>
      <c r="C175" t="inlineStr">
        <is>
          <t>NG020013</t>
        </is>
      </c>
      <c r="D175" t="inlineStr">
        <is>
          <t>Kano</t>
        </is>
      </c>
      <c r="E175" t="inlineStr">
        <is>
          <t>NG020</t>
        </is>
      </c>
      <c r="F175" t="inlineStr">
        <is>
          <t>Nigeria</t>
        </is>
      </c>
      <c r="G175" t="inlineStr">
        <is>
          <t>NGA</t>
        </is>
      </c>
    </row>
    <row r="176">
      <c r="A176" t="inlineStr">
        <is>
          <t>Funtua</t>
        </is>
      </c>
      <c r="B176" t="inlineStr">
        <is>
          <t xml:space="preserve"> </t>
        </is>
      </c>
      <c r="C176" t="inlineStr">
        <is>
          <t>NG021014</t>
        </is>
      </c>
      <c r="D176" t="inlineStr">
        <is>
          <t>Katsina</t>
        </is>
      </c>
      <c r="E176" t="inlineStr">
        <is>
          <t>NG021</t>
        </is>
      </c>
      <c r="F176" t="inlineStr">
        <is>
          <t>Nigeria</t>
        </is>
      </c>
      <c r="G176" t="inlineStr">
        <is>
          <t>NGA</t>
        </is>
      </c>
    </row>
    <row r="177">
      <c r="A177" t="inlineStr">
        <is>
          <t>Fune</t>
        </is>
      </c>
      <c r="B177" t="inlineStr">
        <is>
          <t xml:space="preserve"> </t>
        </is>
      </c>
      <c r="C177" t="inlineStr">
        <is>
          <t>NG036005</t>
        </is>
      </c>
      <c r="D177" t="inlineStr">
        <is>
          <t>Yobe</t>
        </is>
      </c>
      <c r="E177" t="inlineStr">
        <is>
          <t>NG036</t>
        </is>
      </c>
      <c r="F177" t="inlineStr">
        <is>
          <t>Nigeria</t>
        </is>
      </c>
      <c r="G177" t="inlineStr">
        <is>
          <t>NGA</t>
        </is>
      </c>
    </row>
    <row r="178">
      <c r="A178" t="inlineStr">
        <is>
          <t>Funakaye</t>
        </is>
      </c>
      <c r="B178" t="inlineStr">
        <is>
          <t xml:space="preserve"> </t>
        </is>
      </c>
      <c r="C178" t="inlineStr">
        <is>
          <t>NG016005</t>
        </is>
      </c>
      <c r="D178" t="inlineStr">
        <is>
          <t>Gombe</t>
        </is>
      </c>
      <c r="E178" t="inlineStr">
        <is>
          <t>NG016</t>
        </is>
      </c>
      <c r="F178" t="inlineStr">
        <is>
          <t>Nigeria</t>
        </is>
      </c>
      <c r="G178" t="inlineStr">
        <is>
          <t>NGA</t>
        </is>
      </c>
    </row>
    <row r="179">
      <c r="A179" t="inlineStr">
        <is>
          <t>Fufore</t>
        </is>
      </c>
      <c r="B179" t="inlineStr">
        <is>
          <t xml:space="preserve"> </t>
        </is>
      </c>
      <c r="C179" t="inlineStr">
        <is>
          <t>NG002002</t>
        </is>
      </c>
      <c r="D179" t="inlineStr">
        <is>
          <t>Adamawa</t>
        </is>
      </c>
      <c r="E179" t="inlineStr">
        <is>
          <t>NG002</t>
        </is>
      </c>
      <c r="F179" t="inlineStr">
        <is>
          <t>Nigeria</t>
        </is>
      </c>
      <c r="G179" t="inlineStr">
        <is>
          <t>NGA</t>
        </is>
      </c>
    </row>
    <row r="180">
      <c r="A180" t="inlineStr">
        <is>
          <t>Fika</t>
        </is>
      </c>
      <c r="B180" t="inlineStr">
        <is>
          <t xml:space="preserve"> </t>
        </is>
      </c>
      <c r="C180" t="inlineStr">
        <is>
          <t>NG036004</t>
        </is>
      </c>
      <c r="D180" t="inlineStr">
        <is>
          <t>Yobe</t>
        </is>
      </c>
      <c r="E180" t="inlineStr">
        <is>
          <t>NG036</t>
        </is>
      </c>
      <c r="F180" t="inlineStr">
        <is>
          <t>Nigeria</t>
        </is>
      </c>
      <c r="G180" t="inlineStr">
        <is>
          <t>NGA</t>
        </is>
      </c>
    </row>
    <row r="181">
      <c r="A181" t="inlineStr">
        <is>
          <t>Faskari</t>
        </is>
      </c>
      <c r="B181" t="inlineStr">
        <is>
          <t xml:space="preserve"> </t>
        </is>
      </c>
      <c r="C181" t="inlineStr">
        <is>
          <t>NG021013</t>
        </is>
      </c>
      <c r="D181" t="inlineStr">
        <is>
          <t>Katsina</t>
        </is>
      </c>
      <c r="E181" t="inlineStr">
        <is>
          <t>NG021</t>
        </is>
      </c>
      <c r="F181" t="inlineStr">
        <is>
          <t>Nigeria</t>
        </is>
      </c>
      <c r="G181" t="inlineStr">
        <is>
          <t>NGA</t>
        </is>
      </c>
    </row>
    <row r="182">
      <c r="A182" t="inlineStr">
        <is>
          <t>Fakai</t>
        </is>
      </c>
      <c r="B182" t="inlineStr">
        <is>
          <t xml:space="preserve"> </t>
        </is>
      </c>
      <c r="C182" t="inlineStr">
        <is>
          <t>NG022009</t>
        </is>
      </c>
      <c r="D182" t="inlineStr">
        <is>
          <t>Kebbi</t>
        </is>
      </c>
      <c r="E182" t="inlineStr">
        <is>
          <t>NG022</t>
        </is>
      </c>
      <c r="F182" t="inlineStr">
        <is>
          <t>Nigeria</t>
        </is>
      </c>
      <c r="G182" t="inlineStr">
        <is>
          <t>NGA</t>
        </is>
      </c>
    </row>
    <row r="183">
      <c r="A183" t="inlineStr">
        <is>
          <t>Fagge</t>
        </is>
      </c>
      <c r="B183" t="inlineStr">
        <is>
          <t xml:space="preserve"> </t>
        </is>
      </c>
      <c r="C183" t="inlineStr">
        <is>
          <t>NG020012</t>
        </is>
      </c>
      <c r="D183" t="inlineStr">
        <is>
          <t>Kano</t>
        </is>
      </c>
      <c r="E183" t="inlineStr">
        <is>
          <t>NG020</t>
        </is>
      </c>
      <c r="F183" t="inlineStr">
        <is>
          <t>Nigeria</t>
        </is>
      </c>
      <c r="G183" t="inlineStr">
        <is>
          <t>NGA</t>
        </is>
      </c>
    </row>
    <row r="184">
      <c r="A184" t="inlineStr">
        <is>
          <t>Ezza South</t>
        </is>
      </c>
      <c r="B184" t="inlineStr">
        <is>
          <t xml:space="preserve"> </t>
        </is>
      </c>
      <c r="C184" t="inlineStr">
        <is>
          <t>NG011006</t>
        </is>
      </c>
      <c r="D184" t="inlineStr">
        <is>
          <t>Ebonyi</t>
        </is>
      </c>
      <c r="E184" t="inlineStr">
        <is>
          <t>NG011</t>
        </is>
      </c>
      <c r="F184" t="inlineStr">
        <is>
          <t>Nigeria</t>
        </is>
      </c>
      <c r="G184" t="inlineStr">
        <is>
          <t>NGA</t>
        </is>
      </c>
    </row>
    <row r="185">
      <c r="A185" t="inlineStr">
        <is>
          <t>Ezza North</t>
        </is>
      </c>
      <c r="B185" t="inlineStr">
        <is>
          <t xml:space="preserve"> </t>
        </is>
      </c>
      <c r="C185" t="inlineStr">
        <is>
          <t>NG011005</t>
        </is>
      </c>
      <c r="D185" t="inlineStr">
        <is>
          <t>Ebonyi</t>
        </is>
      </c>
      <c r="E185" t="inlineStr">
        <is>
          <t>NG011</t>
        </is>
      </c>
      <c r="F185" t="inlineStr">
        <is>
          <t>Nigeria</t>
        </is>
      </c>
      <c r="G185" t="inlineStr">
        <is>
          <t>NGA</t>
        </is>
      </c>
    </row>
    <row r="186">
      <c r="A186" t="inlineStr">
        <is>
          <t>Ezinihitte</t>
        </is>
      </c>
      <c r="B186" t="inlineStr">
        <is>
          <t xml:space="preserve"> </t>
        </is>
      </c>
      <c r="C186" t="inlineStr">
        <is>
          <t>NG017004</t>
        </is>
      </c>
      <c r="D186" t="inlineStr">
        <is>
          <t>Imo</t>
        </is>
      </c>
      <c r="E186" t="inlineStr">
        <is>
          <t>NG017</t>
        </is>
      </c>
      <c r="F186" t="inlineStr">
        <is>
          <t>Nigeria</t>
        </is>
      </c>
      <c r="G186" t="inlineStr">
        <is>
          <t>NGA</t>
        </is>
      </c>
    </row>
    <row r="187">
      <c r="A187" t="inlineStr">
        <is>
          <t>Ezeagu</t>
        </is>
      </c>
      <c r="B187" t="inlineStr">
        <is>
          <t xml:space="preserve"> </t>
        </is>
      </c>
      <c r="C187" t="inlineStr">
        <is>
          <t>NG014006</t>
        </is>
      </c>
      <c r="D187" t="inlineStr">
        <is>
          <t>Enugu</t>
        </is>
      </c>
      <c r="E187" t="inlineStr">
        <is>
          <t>NG014</t>
        </is>
      </c>
      <c r="F187" t="inlineStr">
        <is>
          <t>Nigeria</t>
        </is>
      </c>
      <c r="G187" t="inlineStr">
        <is>
          <t>NGA</t>
        </is>
      </c>
    </row>
    <row r="188">
      <c r="A188" t="inlineStr">
        <is>
          <t>Ewekoro</t>
        </is>
      </c>
      <c r="B188" t="inlineStr">
        <is>
          <t xml:space="preserve"> </t>
        </is>
      </c>
      <c r="C188" t="inlineStr">
        <is>
          <t>NG028006</t>
        </is>
      </c>
      <c r="D188" t="inlineStr">
        <is>
          <t>Ogun</t>
        </is>
      </c>
      <c r="E188" t="inlineStr">
        <is>
          <t>NG028</t>
        </is>
      </c>
      <c r="F188" t="inlineStr">
        <is>
          <t>Nigeria</t>
        </is>
      </c>
      <c r="G188" t="inlineStr">
        <is>
          <t>NGA</t>
        </is>
      </c>
    </row>
    <row r="189">
      <c r="A189" t="inlineStr">
        <is>
          <t>Etung</t>
        </is>
      </c>
      <c r="B189" t="inlineStr">
        <is>
          <t xml:space="preserve"> </t>
        </is>
      </c>
      <c r="C189" t="inlineStr">
        <is>
          <t>NG009011</t>
        </is>
      </c>
      <c r="D189" t="inlineStr">
        <is>
          <t>Cross River</t>
        </is>
      </c>
      <c r="E189" t="inlineStr">
        <is>
          <t>NG009</t>
        </is>
      </c>
      <c r="F189" t="inlineStr">
        <is>
          <t>Nigeria</t>
        </is>
      </c>
      <c r="G189" t="inlineStr">
        <is>
          <t>NGA</t>
        </is>
      </c>
    </row>
    <row r="190">
      <c r="A190" t="inlineStr">
        <is>
          <t>Etsako West</t>
        </is>
      </c>
      <c r="B190" t="inlineStr">
        <is>
          <t xml:space="preserve"> </t>
        </is>
      </c>
      <c r="C190" t="inlineStr">
        <is>
          <t>NG012009</t>
        </is>
      </c>
      <c r="D190" t="inlineStr">
        <is>
          <t>Edo</t>
        </is>
      </c>
      <c r="E190" t="inlineStr">
        <is>
          <t>NG012</t>
        </is>
      </c>
      <c r="F190" t="inlineStr">
        <is>
          <t>Nigeria</t>
        </is>
      </c>
      <c r="G190" t="inlineStr">
        <is>
          <t>NGA</t>
        </is>
      </c>
    </row>
    <row r="191">
      <c r="A191" t="inlineStr">
        <is>
          <t>Etsako East</t>
        </is>
      </c>
      <c r="B191" t="inlineStr">
        <is>
          <t xml:space="preserve"> </t>
        </is>
      </c>
      <c r="C191" t="inlineStr">
        <is>
          <t>NG012008</t>
        </is>
      </c>
      <c r="D191" t="inlineStr">
        <is>
          <t>Edo</t>
        </is>
      </c>
      <c r="E191" t="inlineStr">
        <is>
          <t>NG012</t>
        </is>
      </c>
      <c r="F191" t="inlineStr">
        <is>
          <t>Nigeria</t>
        </is>
      </c>
      <c r="G191" t="inlineStr">
        <is>
          <t>NGA</t>
        </is>
      </c>
    </row>
    <row r="192">
      <c r="A192" t="inlineStr">
        <is>
          <t>Etsako Central</t>
        </is>
      </c>
      <c r="B192" t="inlineStr">
        <is>
          <t xml:space="preserve"> </t>
        </is>
      </c>
      <c r="C192" t="inlineStr">
        <is>
          <t>NG012007</t>
        </is>
      </c>
      <c r="D192" t="inlineStr">
        <is>
          <t>Edo</t>
        </is>
      </c>
      <c r="E192" t="inlineStr">
        <is>
          <t>NG012</t>
        </is>
      </c>
      <c r="F192" t="inlineStr">
        <is>
          <t>Nigeria</t>
        </is>
      </c>
      <c r="G192" t="inlineStr">
        <is>
          <t>NGA</t>
        </is>
      </c>
    </row>
    <row r="193">
      <c r="A193" t="inlineStr">
        <is>
          <t>Etinan</t>
        </is>
      </c>
      <c r="B193" t="inlineStr">
        <is>
          <t xml:space="preserve"> </t>
        </is>
      </c>
      <c r="C193" t="inlineStr">
        <is>
          <t>NG003007</t>
        </is>
      </c>
      <c r="D193" t="inlineStr">
        <is>
          <t>Akwa Ibom</t>
        </is>
      </c>
      <c r="E193" t="inlineStr">
        <is>
          <t>NG003</t>
        </is>
      </c>
      <c r="F193" t="inlineStr">
        <is>
          <t>Nigeria</t>
        </is>
      </c>
      <c r="G193" t="inlineStr">
        <is>
          <t>NGA</t>
        </is>
      </c>
    </row>
    <row r="194">
      <c r="A194" t="inlineStr">
        <is>
          <t>Etim Ekpo</t>
        </is>
      </c>
      <c r="B194" t="inlineStr">
        <is>
          <t xml:space="preserve"> </t>
        </is>
      </c>
      <c r="C194" t="inlineStr">
        <is>
          <t>NG003006</t>
        </is>
      </c>
      <c r="D194" t="inlineStr">
        <is>
          <t>Akwa Ibom</t>
        </is>
      </c>
      <c r="E194" t="inlineStr">
        <is>
          <t>NG003</t>
        </is>
      </c>
      <c r="F194" t="inlineStr">
        <is>
          <t>Nigeria</t>
        </is>
      </c>
      <c r="G194" t="inlineStr">
        <is>
          <t>NGA</t>
        </is>
      </c>
    </row>
    <row r="195">
      <c r="A195" t="inlineStr">
        <is>
          <t>Eti-Osa</t>
        </is>
      </c>
      <c r="B195" t="inlineStr">
        <is>
          <t xml:space="preserve"> </t>
        </is>
      </c>
      <c r="C195" t="inlineStr">
        <is>
          <t>NG025008</t>
        </is>
      </c>
      <c r="D195" t="inlineStr">
        <is>
          <t>Lagos</t>
        </is>
      </c>
      <c r="E195" t="inlineStr">
        <is>
          <t>NG025</t>
        </is>
      </c>
      <c r="F195" t="inlineStr">
        <is>
          <t>Nigeria</t>
        </is>
      </c>
      <c r="G195" t="inlineStr">
        <is>
          <t>NGA</t>
        </is>
      </c>
    </row>
    <row r="196">
      <c r="A196" t="inlineStr">
        <is>
          <t>Ethiope West</t>
        </is>
      </c>
      <c r="B196" t="inlineStr">
        <is>
          <t xml:space="preserve"> </t>
        </is>
      </c>
      <c r="C196" t="inlineStr">
        <is>
          <t>NG010006</t>
        </is>
      </c>
      <c r="D196" t="inlineStr">
        <is>
          <t>Delta</t>
        </is>
      </c>
      <c r="E196" t="inlineStr">
        <is>
          <t>NG010</t>
        </is>
      </c>
      <c r="F196" t="inlineStr">
        <is>
          <t>Nigeria</t>
        </is>
      </c>
      <c r="G196" t="inlineStr">
        <is>
          <t>NGA</t>
        </is>
      </c>
    </row>
    <row r="197">
      <c r="A197" t="inlineStr">
        <is>
          <t>Ethiope East</t>
        </is>
      </c>
      <c r="B197" t="inlineStr">
        <is>
          <t xml:space="preserve"> </t>
        </is>
      </c>
      <c r="C197" t="inlineStr">
        <is>
          <t>NG010005</t>
        </is>
      </c>
      <c r="D197" t="inlineStr">
        <is>
          <t>Delta</t>
        </is>
      </c>
      <c r="E197" t="inlineStr">
        <is>
          <t>NG010</t>
        </is>
      </c>
      <c r="F197" t="inlineStr">
        <is>
          <t>Nigeria</t>
        </is>
      </c>
      <c r="G197" t="inlineStr">
        <is>
          <t>NGA</t>
        </is>
      </c>
    </row>
    <row r="198">
      <c r="A198" t="inlineStr">
        <is>
          <t>Etche</t>
        </is>
      </c>
      <c r="B198" t="inlineStr">
        <is>
          <t xml:space="preserve"> </t>
        </is>
      </c>
      <c r="C198" t="inlineStr">
        <is>
          <t>NG033011</t>
        </is>
      </c>
      <c r="D198" t="inlineStr">
        <is>
          <t>Rivers</t>
        </is>
      </c>
      <c r="E198" t="inlineStr">
        <is>
          <t>NG033</t>
        </is>
      </c>
      <c r="F198" t="inlineStr">
        <is>
          <t>Nigeria</t>
        </is>
      </c>
      <c r="G198" t="inlineStr">
        <is>
          <t>NGA</t>
        </is>
      </c>
    </row>
    <row r="199">
      <c r="A199" t="inlineStr">
        <is>
          <t>Essien Udim</t>
        </is>
      </c>
      <c r="B199" t="inlineStr">
        <is>
          <t xml:space="preserve"> </t>
        </is>
      </c>
      <c r="C199" t="inlineStr">
        <is>
          <t>NG003005</t>
        </is>
      </c>
      <c r="D199" t="inlineStr">
        <is>
          <t>Akwa Ibom</t>
        </is>
      </c>
      <c r="E199" t="inlineStr">
        <is>
          <t>NG003</t>
        </is>
      </c>
      <c r="F199" t="inlineStr">
        <is>
          <t>Nigeria</t>
        </is>
      </c>
      <c r="G199" t="inlineStr">
        <is>
          <t>NGA</t>
        </is>
      </c>
    </row>
    <row r="200">
      <c r="A200" t="inlineStr">
        <is>
          <t>Esit - Eket</t>
        </is>
      </c>
      <c r="B200" t="inlineStr">
        <is>
          <t xml:space="preserve"> </t>
        </is>
      </c>
      <c r="C200" t="inlineStr">
        <is>
          <t>NG003004</t>
        </is>
      </c>
      <c r="D200" t="inlineStr">
        <is>
          <t>Akwa Ibom</t>
        </is>
      </c>
      <c r="E200" t="inlineStr">
        <is>
          <t>NG003</t>
        </is>
      </c>
      <c r="F200" t="inlineStr">
        <is>
          <t>Nigeria</t>
        </is>
      </c>
      <c r="G200" t="inlineStr">
        <is>
          <t>NGA</t>
        </is>
      </c>
    </row>
    <row r="201">
      <c r="A201" t="inlineStr">
        <is>
          <t>Ese-Odo</t>
        </is>
      </c>
      <c r="B201" t="inlineStr">
        <is>
          <t xml:space="preserve"> </t>
        </is>
      </c>
      <c r="C201" t="inlineStr">
        <is>
          <t>NG029007</t>
        </is>
      </c>
      <c r="D201" t="inlineStr">
        <is>
          <t>Ondo</t>
        </is>
      </c>
      <c r="E201" t="inlineStr">
        <is>
          <t>NG029</t>
        </is>
      </c>
      <c r="F201" t="inlineStr">
        <is>
          <t>Nigeria</t>
        </is>
      </c>
      <c r="G201" t="inlineStr">
        <is>
          <t>NGA</t>
        </is>
      </c>
    </row>
    <row r="202">
      <c r="A202" t="inlineStr">
        <is>
          <t>Esan West</t>
        </is>
      </c>
      <c r="B202" t="inlineStr">
        <is>
          <t xml:space="preserve"> </t>
        </is>
      </c>
      <c r="C202" t="inlineStr">
        <is>
          <t>NG012006</t>
        </is>
      </c>
      <c r="D202" t="inlineStr">
        <is>
          <t>Edo</t>
        </is>
      </c>
      <c r="E202" t="inlineStr">
        <is>
          <t>NG012</t>
        </is>
      </c>
      <c r="F202" t="inlineStr">
        <is>
          <t>Nigeria</t>
        </is>
      </c>
      <c r="G202" t="inlineStr">
        <is>
          <t>NGA</t>
        </is>
      </c>
    </row>
    <row r="203">
      <c r="A203" t="inlineStr">
        <is>
          <t>Esan South East</t>
        </is>
      </c>
      <c r="B203" t="inlineStr">
        <is>
          <t xml:space="preserve"> </t>
        </is>
      </c>
      <c r="C203" t="inlineStr">
        <is>
          <t>NG012005</t>
        </is>
      </c>
      <c r="D203" t="inlineStr">
        <is>
          <t>Edo</t>
        </is>
      </c>
      <c r="E203" t="inlineStr">
        <is>
          <t>NG012</t>
        </is>
      </c>
      <c r="F203" t="inlineStr">
        <is>
          <t>Nigeria</t>
        </is>
      </c>
      <c r="G203" t="inlineStr">
        <is>
          <t>NGA</t>
        </is>
      </c>
    </row>
    <row r="204">
      <c r="A204" t="inlineStr">
        <is>
          <t>Esan North East</t>
        </is>
      </c>
      <c r="B204" t="inlineStr">
        <is>
          <t xml:space="preserve"> </t>
        </is>
      </c>
      <c r="C204" t="inlineStr">
        <is>
          <t>NG012004</t>
        </is>
      </c>
      <c r="D204" t="inlineStr">
        <is>
          <t>Edo</t>
        </is>
      </c>
      <c r="E204" t="inlineStr">
        <is>
          <t>NG012</t>
        </is>
      </c>
      <c r="F204" t="inlineStr">
        <is>
          <t>Nigeria</t>
        </is>
      </c>
      <c r="G204" t="inlineStr">
        <is>
          <t>NGA</t>
        </is>
      </c>
    </row>
    <row r="205">
      <c r="A205" t="inlineStr">
        <is>
          <t>Esan Central</t>
        </is>
      </c>
      <c r="B205" t="inlineStr">
        <is>
          <t xml:space="preserve"> </t>
        </is>
      </c>
      <c r="C205" t="inlineStr">
        <is>
          <t>NG012003</t>
        </is>
      </c>
      <c r="D205" t="inlineStr">
        <is>
          <t>Edo</t>
        </is>
      </c>
      <c r="E205" t="inlineStr">
        <is>
          <t>NG012</t>
        </is>
      </c>
      <c r="F205" t="inlineStr">
        <is>
          <t>Nigeria</t>
        </is>
      </c>
      <c r="G205" t="inlineStr">
        <is>
          <t>NGA</t>
        </is>
      </c>
    </row>
    <row r="206">
      <c r="A206" t="inlineStr">
        <is>
          <t>Epe</t>
        </is>
      </c>
      <c r="B206" t="inlineStr">
        <is>
          <t xml:space="preserve"> </t>
        </is>
      </c>
      <c r="C206" t="inlineStr">
        <is>
          <t>NG025007</t>
        </is>
      </c>
      <c r="D206" t="inlineStr">
        <is>
          <t>Lagos</t>
        </is>
      </c>
      <c r="E206" t="inlineStr">
        <is>
          <t>NG025</t>
        </is>
      </c>
      <c r="F206" t="inlineStr">
        <is>
          <t>Nigeria</t>
        </is>
      </c>
      <c r="G206" t="inlineStr">
        <is>
          <t>NGA</t>
        </is>
      </c>
    </row>
    <row r="207">
      <c r="A207" t="inlineStr">
        <is>
          <t>Enugu South</t>
        </is>
      </c>
      <c r="B207" t="inlineStr">
        <is>
          <t xml:space="preserve"> </t>
        </is>
      </c>
      <c r="C207" t="inlineStr">
        <is>
          <t>NG014005</t>
        </is>
      </c>
      <c r="D207" t="inlineStr">
        <is>
          <t>Enugu</t>
        </is>
      </c>
      <c r="E207" t="inlineStr">
        <is>
          <t>NG014</t>
        </is>
      </c>
      <c r="F207" t="inlineStr">
        <is>
          <t>Nigeria</t>
        </is>
      </c>
      <c r="G207" t="inlineStr">
        <is>
          <t>NGA</t>
        </is>
      </c>
    </row>
    <row r="208">
      <c r="A208" t="inlineStr">
        <is>
          <t>Enugu North</t>
        </is>
      </c>
      <c r="B208" t="inlineStr">
        <is>
          <t xml:space="preserve"> </t>
        </is>
      </c>
      <c r="C208" t="inlineStr">
        <is>
          <t>NG014004</t>
        </is>
      </c>
      <c r="D208" t="inlineStr">
        <is>
          <t>Enugu</t>
        </is>
      </c>
      <c r="E208" t="inlineStr">
        <is>
          <t>NG014</t>
        </is>
      </c>
      <c r="F208" t="inlineStr">
        <is>
          <t>Nigeria</t>
        </is>
      </c>
      <c r="G208" t="inlineStr">
        <is>
          <t>NGA</t>
        </is>
      </c>
    </row>
    <row r="209">
      <c r="A209" t="inlineStr">
        <is>
          <t>Enugu East</t>
        </is>
      </c>
      <c r="B209" t="inlineStr">
        <is>
          <t xml:space="preserve"> </t>
        </is>
      </c>
      <c r="C209" t="inlineStr">
        <is>
          <t>NG014003</t>
        </is>
      </c>
      <c r="D209" t="inlineStr">
        <is>
          <t>Enugu</t>
        </is>
      </c>
      <c r="E209" t="inlineStr">
        <is>
          <t>NG014</t>
        </is>
      </c>
      <c r="F209" t="inlineStr">
        <is>
          <t>Nigeria</t>
        </is>
      </c>
      <c r="G209" t="inlineStr">
        <is>
          <t>NGA</t>
        </is>
      </c>
    </row>
    <row r="210">
      <c r="A210" t="inlineStr">
        <is>
          <t>Emure</t>
        </is>
      </c>
      <c r="B210" t="inlineStr">
        <is>
          <t xml:space="preserve"> </t>
        </is>
      </c>
      <c r="C210" t="inlineStr">
        <is>
          <t>NG013007</t>
        </is>
      </c>
      <c r="D210" t="inlineStr">
        <is>
          <t>Ekiti</t>
        </is>
      </c>
      <c r="E210" t="inlineStr">
        <is>
          <t>NG013</t>
        </is>
      </c>
      <c r="F210" t="inlineStr">
        <is>
          <t>Nigeria</t>
        </is>
      </c>
      <c r="G210" t="inlineStr">
        <is>
          <t>NGA</t>
        </is>
      </c>
    </row>
    <row r="211">
      <c r="A211" t="inlineStr">
        <is>
          <t>Emohua</t>
        </is>
      </c>
      <c r="B211" t="inlineStr">
        <is>
          <t xml:space="preserve"> </t>
        </is>
      </c>
      <c r="C211" t="inlineStr">
        <is>
          <t>NG033010</t>
        </is>
      </c>
      <c r="D211" t="inlineStr">
        <is>
          <t>Rivers</t>
        </is>
      </c>
      <c r="E211" t="inlineStr">
        <is>
          <t>NG033</t>
        </is>
      </c>
      <c r="F211" t="inlineStr">
        <is>
          <t>Nigeria</t>
        </is>
      </c>
      <c r="G211" t="inlineStr">
        <is>
          <t>NGA</t>
        </is>
      </c>
    </row>
    <row r="212">
      <c r="A212" t="inlineStr">
        <is>
          <t>Eleme</t>
        </is>
      </c>
      <c r="B212" t="inlineStr">
        <is>
          <t xml:space="preserve"> </t>
        </is>
      </c>
      <c r="C212" t="inlineStr">
        <is>
          <t>NG033009</t>
        </is>
      </c>
      <c r="D212" t="inlineStr">
        <is>
          <t>Rivers</t>
        </is>
      </c>
      <c r="E212" t="inlineStr">
        <is>
          <t>NG033</t>
        </is>
      </c>
      <c r="F212" t="inlineStr">
        <is>
          <t>Nigeria</t>
        </is>
      </c>
      <c r="G212" t="inlineStr">
        <is>
          <t>NGA</t>
        </is>
      </c>
    </row>
    <row r="213">
      <c r="A213" t="inlineStr">
        <is>
          <t>Ekwusigo</t>
        </is>
      </c>
      <c r="B213" t="inlineStr">
        <is>
          <t xml:space="preserve"> </t>
        </is>
      </c>
      <c r="C213" t="inlineStr">
        <is>
          <t>NG004009</t>
        </is>
      </c>
      <c r="D213" t="inlineStr">
        <is>
          <t>Anambra</t>
        </is>
      </c>
      <c r="E213" t="inlineStr">
        <is>
          <t>NG004</t>
        </is>
      </c>
      <c r="F213" t="inlineStr">
        <is>
          <t>Nigeria</t>
        </is>
      </c>
      <c r="G213" t="inlineStr">
        <is>
          <t>NGA</t>
        </is>
      </c>
    </row>
    <row r="214">
      <c r="A214" t="inlineStr">
        <is>
          <t>Ekiti West</t>
        </is>
      </c>
      <c r="B214" t="inlineStr">
        <is>
          <t xml:space="preserve"> </t>
        </is>
      </c>
      <c r="C214" t="inlineStr">
        <is>
          <t>NG013006</t>
        </is>
      </c>
      <c r="D214" t="inlineStr">
        <is>
          <t>Ekiti</t>
        </is>
      </c>
      <c r="E214" t="inlineStr">
        <is>
          <t>NG013</t>
        </is>
      </c>
      <c r="F214" t="inlineStr">
        <is>
          <t>Nigeria</t>
        </is>
      </c>
      <c r="G214" t="inlineStr">
        <is>
          <t>NGA</t>
        </is>
      </c>
    </row>
    <row r="215">
      <c r="A215" t="inlineStr">
        <is>
          <t>Ekiti South West</t>
        </is>
      </c>
      <c r="B215" t="inlineStr">
        <is>
          <t xml:space="preserve"> </t>
        </is>
      </c>
      <c r="C215" t="inlineStr">
        <is>
          <t>NG013005</t>
        </is>
      </c>
      <c r="D215" t="inlineStr">
        <is>
          <t>Ekiti</t>
        </is>
      </c>
      <c r="E215" t="inlineStr">
        <is>
          <t>NG013</t>
        </is>
      </c>
      <c r="F215" t="inlineStr">
        <is>
          <t>Nigeria</t>
        </is>
      </c>
      <c r="G215" t="inlineStr">
        <is>
          <t>NGA</t>
        </is>
      </c>
    </row>
    <row r="216">
      <c r="A216" t="inlineStr">
        <is>
          <t>Ekiti East</t>
        </is>
      </c>
      <c r="B216" t="inlineStr">
        <is>
          <t xml:space="preserve"> </t>
        </is>
      </c>
      <c r="C216" t="inlineStr">
        <is>
          <t>NG013004</t>
        </is>
      </c>
      <c r="D216" t="inlineStr">
        <is>
          <t>Ekiti</t>
        </is>
      </c>
      <c r="E216" t="inlineStr">
        <is>
          <t>NG013</t>
        </is>
      </c>
      <c r="F216" t="inlineStr">
        <is>
          <t>Nigeria</t>
        </is>
      </c>
      <c r="G216" t="inlineStr">
        <is>
          <t>NGA</t>
        </is>
      </c>
    </row>
    <row r="217">
      <c r="A217" t="inlineStr">
        <is>
          <t>Ekiti</t>
        </is>
      </c>
      <c r="B217" t="inlineStr">
        <is>
          <t xml:space="preserve"> </t>
        </is>
      </c>
      <c r="C217" t="inlineStr">
        <is>
          <t>NG024004</t>
        </is>
      </c>
      <c r="D217" t="inlineStr">
        <is>
          <t>Kwara</t>
        </is>
      </c>
      <c r="E217" t="inlineStr">
        <is>
          <t>NG024</t>
        </is>
      </c>
      <c r="F217" t="inlineStr">
        <is>
          <t>Nigeria</t>
        </is>
      </c>
      <c r="G217" t="inlineStr">
        <is>
          <t>NGA</t>
        </is>
      </c>
    </row>
    <row r="218">
      <c r="A218" t="inlineStr">
        <is>
          <t>Eket</t>
        </is>
      </c>
      <c r="B218" t="inlineStr">
        <is>
          <t xml:space="preserve"> </t>
        </is>
      </c>
      <c r="C218" t="inlineStr">
        <is>
          <t>NG003003</t>
        </is>
      </c>
      <c r="D218" t="inlineStr">
        <is>
          <t>Akwa Ibom</t>
        </is>
      </c>
      <c r="E218" t="inlineStr">
        <is>
          <t>NG003</t>
        </is>
      </c>
      <c r="F218" t="inlineStr">
        <is>
          <t>Nigeria</t>
        </is>
      </c>
      <c r="G218" t="inlineStr">
        <is>
          <t>NGA</t>
        </is>
      </c>
    </row>
    <row r="219">
      <c r="A219" t="inlineStr">
        <is>
          <t>Ekeremor</t>
        </is>
      </c>
      <c r="B219" t="inlineStr">
        <is>
          <t xml:space="preserve"> </t>
        </is>
      </c>
      <c r="C219" t="inlineStr">
        <is>
          <t>NG006002</t>
        </is>
      </c>
      <c r="D219" t="inlineStr">
        <is>
          <t>Bayelsa</t>
        </is>
      </c>
      <c r="E219" t="inlineStr">
        <is>
          <t>NG006</t>
        </is>
      </c>
      <c r="F219" t="inlineStr">
        <is>
          <t>Nigeria</t>
        </is>
      </c>
      <c r="G219" t="inlineStr">
        <is>
          <t>NGA</t>
        </is>
      </c>
    </row>
    <row r="220">
      <c r="A220" t="inlineStr">
        <is>
          <t>Ejigbo</t>
        </is>
      </c>
      <c r="B220" t="inlineStr">
        <is>
          <t xml:space="preserve"> </t>
        </is>
      </c>
      <c r="C220" t="inlineStr">
        <is>
          <t>NG030010</t>
        </is>
      </c>
      <c r="D220" t="inlineStr">
        <is>
          <t>Osun</t>
        </is>
      </c>
      <c r="E220" t="inlineStr">
        <is>
          <t>NG030</t>
        </is>
      </c>
      <c r="F220" t="inlineStr">
        <is>
          <t>Nigeria</t>
        </is>
      </c>
      <c r="G220" t="inlineStr">
        <is>
          <t>NGA</t>
        </is>
      </c>
    </row>
    <row r="221">
      <c r="A221" t="inlineStr">
        <is>
          <t>Ehime-Mbano</t>
        </is>
      </c>
      <c r="B221" t="inlineStr">
        <is>
          <t xml:space="preserve"> </t>
        </is>
      </c>
      <c r="C221" t="inlineStr">
        <is>
          <t>NG017003</t>
        </is>
      </c>
      <c r="D221" t="inlineStr">
        <is>
          <t>Imo</t>
        </is>
      </c>
      <c r="E221" t="inlineStr">
        <is>
          <t>NG017</t>
        </is>
      </c>
      <c r="F221" t="inlineStr">
        <is>
          <t>Nigeria</t>
        </is>
      </c>
      <c r="G221" t="inlineStr">
        <is>
          <t>NGA</t>
        </is>
      </c>
    </row>
    <row r="222">
      <c r="A222" t="inlineStr">
        <is>
          <t>Egor</t>
        </is>
      </c>
      <c r="B222" t="inlineStr">
        <is>
          <t xml:space="preserve"> </t>
        </is>
      </c>
      <c r="C222" t="inlineStr">
        <is>
          <t>NG012002</t>
        </is>
      </c>
      <c r="D222" t="inlineStr">
        <is>
          <t>Edo</t>
        </is>
      </c>
      <c r="E222" t="inlineStr">
        <is>
          <t>NG012</t>
        </is>
      </c>
      <c r="F222" t="inlineStr">
        <is>
          <t>Nigeria</t>
        </is>
      </c>
      <c r="G222" t="inlineStr">
        <is>
          <t>NGA</t>
        </is>
      </c>
    </row>
    <row r="223">
      <c r="A223" t="inlineStr">
        <is>
          <t>Egbedore</t>
        </is>
      </c>
      <c r="B223" t="inlineStr">
        <is>
          <t xml:space="preserve"> </t>
        </is>
      </c>
      <c r="C223" t="inlineStr">
        <is>
          <t>NG030009</t>
        </is>
      </c>
      <c r="D223" t="inlineStr">
        <is>
          <t>Osun</t>
        </is>
      </c>
      <c r="E223" t="inlineStr">
        <is>
          <t>NG030</t>
        </is>
      </c>
      <c r="F223" t="inlineStr">
        <is>
          <t>Nigeria</t>
        </is>
      </c>
      <c r="G223" t="inlineStr">
        <is>
          <t>NGA</t>
        </is>
      </c>
    </row>
    <row r="224">
      <c r="A224" t="inlineStr">
        <is>
          <t>Egbeda</t>
        </is>
      </c>
      <c r="B224" t="inlineStr">
        <is>
          <t xml:space="preserve"> </t>
        </is>
      </c>
      <c r="C224" t="inlineStr">
        <is>
          <t>NG031005</t>
        </is>
      </c>
      <c r="D224" t="inlineStr">
        <is>
          <t>Oyo</t>
        </is>
      </c>
      <c r="E224" t="inlineStr">
        <is>
          <t>NG031</t>
        </is>
      </c>
      <c r="F224" t="inlineStr">
        <is>
          <t>Nigeria</t>
        </is>
      </c>
      <c r="G224" t="inlineStr">
        <is>
          <t>NGA</t>
        </is>
      </c>
    </row>
    <row r="225">
      <c r="A225" t="inlineStr">
        <is>
          <t>Egbado South</t>
        </is>
      </c>
      <c r="B225" t="inlineStr">
        <is>
          <t xml:space="preserve"> </t>
        </is>
      </c>
      <c r="C225" t="inlineStr">
        <is>
          <t>NG028005</t>
        </is>
      </c>
      <c r="D225" t="inlineStr">
        <is>
          <t>Ogun</t>
        </is>
      </c>
      <c r="E225" t="inlineStr">
        <is>
          <t>NG028</t>
        </is>
      </c>
      <c r="F225" t="inlineStr">
        <is>
          <t>Nigeria</t>
        </is>
      </c>
      <c r="G225" t="inlineStr">
        <is>
          <t>NGA</t>
        </is>
      </c>
    </row>
    <row r="226">
      <c r="A226" t="inlineStr">
        <is>
          <t>Egbado North</t>
        </is>
      </c>
      <c r="B226" t="inlineStr">
        <is>
          <t xml:space="preserve"> </t>
        </is>
      </c>
      <c r="C226" t="inlineStr">
        <is>
          <t>NG028004</t>
        </is>
      </c>
      <c r="D226" t="inlineStr">
        <is>
          <t>Ogun</t>
        </is>
      </c>
      <c r="E226" t="inlineStr">
        <is>
          <t>NG028</t>
        </is>
      </c>
      <c r="F226" t="inlineStr">
        <is>
          <t>Nigeria</t>
        </is>
      </c>
      <c r="G226" t="inlineStr">
        <is>
          <t>NGA</t>
        </is>
      </c>
    </row>
    <row r="227">
      <c r="A227" t="inlineStr">
        <is>
          <t>Efon</t>
        </is>
      </c>
      <c r="B227" t="inlineStr">
        <is>
          <t xml:space="preserve"> </t>
        </is>
      </c>
      <c r="C227" t="inlineStr">
        <is>
          <t>NG013003</t>
        </is>
      </c>
      <c r="D227" t="inlineStr">
        <is>
          <t>Ekiti</t>
        </is>
      </c>
      <c r="E227" t="inlineStr">
        <is>
          <t>NG013</t>
        </is>
      </c>
      <c r="F227" t="inlineStr">
        <is>
          <t>Nigeria</t>
        </is>
      </c>
      <c r="G227" t="inlineStr">
        <is>
          <t>NGA</t>
        </is>
      </c>
    </row>
    <row r="228">
      <c r="A228" t="inlineStr">
        <is>
          <t>Edu</t>
        </is>
      </c>
      <c r="B228" t="inlineStr">
        <is>
          <t xml:space="preserve"> </t>
        </is>
      </c>
      <c r="C228" t="inlineStr">
        <is>
          <t>NG024003</t>
        </is>
      </c>
      <c r="D228" t="inlineStr">
        <is>
          <t>Kwara</t>
        </is>
      </c>
      <c r="E228" t="inlineStr">
        <is>
          <t>NG024</t>
        </is>
      </c>
      <c r="F228" t="inlineStr">
        <is>
          <t>Nigeria</t>
        </is>
      </c>
      <c r="G228" t="inlineStr">
        <is>
          <t>NGA</t>
        </is>
      </c>
    </row>
    <row r="229">
      <c r="A229" t="inlineStr">
        <is>
          <t>Ede South</t>
        </is>
      </c>
      <c r="B229" t="inlineStr">
        <is>
          <t xml:space="preserve"> </t>
        </is>
      </c>
      <c r="C229" t="inlineStr">
        <is>
          <t>NG030008</t>
        </is>
      </c>
      <c r="D229" t="inlineStr">
        <is>
          <t>Osun</t>
        </is>
      </c>
      <c r="E229" t="inlineStr">
        <is>
          <t>NG030</t>
        </is>
      </c>
      <c r="F229" t="inlineStr">
        <is>
          <t>Nigeria</t>
        </is>
      </c>
      <c r="G229" t="inlineStr">
        <is>
          <t>NGA</t>
        </is>
      </c>
    </row>
    <row r="230">
      <c r="A230" t="inlineStr">
        <is>
          <t>Ede North</t>
        </is>
      </c>
      <c r="B230" t="inlineStr">
        <is>
          <t xml:space="preserve"> </t>
        </is>
      </c>
      <c r="C230" t="inlineStr">
        <is>
          <t>NG030007</t>
        </is>
      </c>
      <c r="D230" t="inlineStr">
        <is>
          <t>Osun</t>
        </is>
      </c>
      <c r="E230" t="inlineStr">
        <is>
          <t>NG030</t>
        </is>
      </c>
      <c r="F230" t="inlineStr">
        <is>
          <t>Nigeria</t>
        </is>
      </c>
      <c r="G230" t="inlineStr">
        <is>
          <t>NGA</t>
        </is>
      </c>
    </row>
    <row r="231">
      <c r="A231" t="inlineStr">
        <is>
          <t>Edati</t>
        </is>
      </c>
      <c r="B231" t="inlineStr">
        <is>
          <t xml:space="preserve"> </t>
        </is>
      </c>
      <c r="C231" t="inlineStr">
        <is>
          <t>NG027007</t>
        </is>
      </c>
      <c r="D231" t="inlineStr">
        <is>
          <t>Niger</t>
        </is>
      </c>
      <c r="E231" t="inlineStr">
        <is>
          <t>NG027</t>
        </is>
      </c>
      <c r="F231" t="inlineStr">
        <is>
          <t>Nigeria</t>
        </is>
      </c>
      <c r="G231" t="inlineStr">
        <is>
          <t>NGA</t>
        </is>
      </c>
    </row>
    <row r="232">
      <c r="A232" t="inlineStr">
        <is>
          <t>Ebonyi</t>
        </is>
      </c>
      <c r="B232" t="inlineStr">
        <is>
          <t xml:space="preserve"> </t>
        </is>
      </c>
      <c r="C232" t="inlineStr">
        <is>
          <t>NG011004</t>
        </is>
      </c>
      <c r="D232" t="inlineStr">
        <is>
          <t>Ebonyi</t>
        </is>
      </c>
      <c r="E232" t="inlineStr">
        <is>
          <t>NG011</t>
        </is>
      </c>
      <c r="F232" t="inlineStr">
        <is>
          <t>Nigeria</t>
        </is>
      </c>
      <c r="G232" t="inlineStr">
        <is>
          <t>NGA</t>
        </is>
      </c>
    </row>
    <row r="233">
      <c r="A233" t="inlineStr">
        <is>
          <t>Eastern Obolo</t>
        </is>
      </c>
      <c r="B233" t="inlineStr">
        <is>
          <t xml:space="preserve"> </t>
        </is>
      </c>
      <c r="C233" t="inlineStr">
        <is>
          <t>NG003002</t>
        </is>
      </c>
      <c r="D233" t="inlineStr">
        <is>
          <t>Akwa Ibom</t>
        </is>
      </c>
      <c r="E233" t="inlineStr">
        <is>
          <t>NG003</t>
        </is>
      </c>
      <c r="F233" t="inlineStr">
        <is>
          <t>Nigeria</t>
        </is>
      </c>
      <c r="G233" t="inlineStr">
        <is>
          <t>NGA</t>
        </is>
      </c>
    </row>
    <row r="234">
      <c r="A234" t="inlineStr">
        <is>
          <t>Dutsin-Ma</t>
        </is>
      </c>
      <c r="B234" t="inlineStr">
        <is>
          <t xml:space="preserve"> </t>
        </is>
      </c>
      <c r="C234" t="inlineStr">
        <is>
          <t>NG021012</t>
        </is>
      </c>
      <c r="D234" t="inlineStr">
        <is>
          <t>Katsina</t>
        </is>
      </c>
      <c r="E234" t="inlineStr">
        <is>
          <t>NG021</t>
        </is>
      </c>
      <c r="F234" t="inlineStr">
        <is>
          <t>Nigeria</t>
        </is>
      </c>
      <c r="G234" t="inlineStr">
        <is>
          <t>NGA</t>
        </is>
      </c>
    </row>
    <row r="235">
      <c r="A235" t="inlineStr">
        <is>
          <t>Dutsi</t>
        </is>
      </c>
      <c r="B235" t="inlineStr">
        <is>
          <t xml:space="preserve"> </t>
        </is>
      </c>
      <c r="C235" t="inlineStr">
        <is>
          <t>NG021011</t>
        </is>
      </c>
      <c r="D235" t="inlineStr">
        <is>
          <t>Katsina</t>
        </is>
      </c>
      <c r="E235" t="inlineStr">
        <is>
          <t>NG021</t>
        </is>
      </c>
      <c r="F235" t="inlineStr">
        <is>
          <t>Nigeria</t>
        </is>
      </c>
      <c r="G235" t="inlineStr">
        <is>
          <t>NGA</t>
        </is>
      </c>
    </row>
    <row r="236">
      <c r="A236" t="inlineStr">
        <is>
          <t>Dutse</t>
        </is>
      </c>
      <c r="B236" t="inlineStr">
        <is>
          <t xml:space="preserve"> </t>
        </is>
      </c>
      <c r="C236" t="inlineStr">
        <is>
          <t>NG018006</t>
        </is>
      </c>
      <c r="D236" t="inlineStr">
        <is>
          <t>Jigawa</t>
        </is>
      </c>
      <c r="E236" t="inlineStr">
        <is>
          <t>NG018</t>
        </is>
      </c>
      <c r="F236" t="inlineStr">
        <is>
          <t>Nigeria</t>
        </is>
      </c>
      <c r="G236" t="inlineStr">
        <is>
          <t>NGA</t>
        </is>
      </c>
    </row>
    <row r="237">
      <c r="A237" t="inlineStr">
        <is>
          <t>Dunukofia</t>
        </is>
      </c>
      <c r="B237" t="inlineStr">
        <is>
          <t xml:space="preserve"> </t>
        </is>
      </c>
      <c r="C237" t="inlineStr">
        <is>
          <t>NG004008</t>
        </is>
      </c>
      <c r="D237" t="inlineStr">
        <is>
          <t>Anambra</t>
        </is>
      </c>
      <c r="E237" t="inlineStr">
        <is>
          <t>NG004</t>
        </is>
      </c>
      <c r="F237" t="inlineStr">
        <is>
          <t>Nigeria</t>
        </is>
      </c>
      <c r="G237" t="inlineStr">
        <is>
          <t>NGA</t>
        </is>
      </c>
    </row>
    <row r="238">
      <c r="A238" t="inlineStr">
        <is>
          <t>Dukku</t>
        </is>
      </c>
      <c r="B238" t="inlineStr">
        <is>
          <t xml:space="preserve"> </t>
        </is>
      </c>
      <c r="C238" t="inlineStr">
        <is>
          <t>NG016004</t>
        </is>
      </c>
      <c r="D238" t="inlineStr">
        <is>
          <t>Gombe</t>
        </is>
      </c>
      <c r="E238" t="inlineStr">
        <is>
          <t>NG016</t>
        </is>
      </c>
      <c r="F238" t="inlineStr">
        <is>
          <t>Nigeria</t>
        </is>
      </c>
      <c r="G238" t="inlineStr">
        <is>
          <t>NGA</t>
        </is>
      </c>
    </row>
    <row r="239">
      <c r="A239" t="inlineStr">
        <is>
          <t>Donga</t>
        </is>
      </c>
      <c r="B239" t="inlineStr">
        <is>
          <t xml:space="preserve"> </t>
        </is>
      </c>
      <c r="C239" t="inlineStr">
        <is>
          <t>NG035003</t>
        </is>
      </c>
      <c r="D239" t="inlineStr">
        <is>
          <t>Taraba</t>
        </is>
      </c>
      <c r="E239" t="inlineStr">
        <is>
          <t>NG035</t>
        </is>
      </c>
      <c r="F239" t="inlineStr">
        <is>
          <t>Nigeria</t>
        </is>
      </c>
      <c r="G239" t="inlineStr">
        <is>
          <t>NGA</t>
        </is>
      </c>
    </row>
    <row r="240">
      <c r="A240" t="inlineStr">
        <is>
          <t>Doma</t>
        </is>
      </c>
      <c r="B240" t="inlineStr">
        <is>
          <t xml:space="preserve"> </t>
        </is>
      </c>
      <c r="C240" t="inlineStr">
        <is>
          <t>NG026003</t>
        </is>
      </c>
      <c r="D240" t="inlineStr">
        <is>
          <t>Nasarawa</t>
        </is>
      </c>
      <c r="E240" t="inlineStr">
        <is>
          <t>NG026</t>
        </is>
      </c>
      <c r="F240" t="inlineStr">
        <is>
          <t>Nigeria</t>
        </is>
      </c>
      <c r="G240" t="inlineStr">
        <is>
          <t>NGA</t>
        </is>
      </c>
    </row>
    <row r="241">
      <c r="A241" t="inlineStr">
        <is>
          <t>Doguwa</t>
        </is>
      </c>
      <c r="B241" t="inlineStr">
        <is>
          <t xml:space="preserve"> </t>
        </is>
      </c>
      <c r="C241" t="inlineStr">
        <is>
          <t>NG020011</t>
        </is>
      </c>
      <c r="D241" t="inlineStr">
        <is>
          <t>Kano</t>
        </is>
      </c>
      <c r="E241" t="inlineStr">
        <is>
          <t>NG020</t>
        </is>
      </c>
      <c r="F241" t="inlineStr">
        <is>
          <t>Nigeria</t>
        </is>
      </c>
      <c r="G241" t="inlineStr">
        <is>
          <t>NGA</t>
        </is>
      </c>
    </row>
    <row r="242">
      <c r="A242" t="inlineStr">
        <is>
          <t>Dikwa</t>
        </is>
      </c>
      <c r="B242" t="inlineStr">
        <is>
          <t xml:space="preserve"> </t>
        </is>
      </c>
      <c r="C242" t="inlineStr">
        <is>
          <t>NG008008</t>
        </is>
      </c>
      <c r="D242" t="inlineStr">
        <is>
          <t>Borno</t>
        </is>
      </c>
      <c r="E242" t="inlineStr">
        <is>
          <t>NG008</t>
        </is>
      </c>
      <c r="F242" t="inlineStr">
        <is>
          <t>Nigeria</t>
        </is>
      </c>
      <c r="G242" t="inlineStr">
        <is>
          <t>NGA</t>
        </is>
      </c>
    </row>
    <row r="243">
      <c r="A243" t="inlineStr">
        <is>
          <t>Demsa</t>
        </is>
      </c>
      <c r="B243" t="inlineStr">
        <is>
          <t xml:space="preserve"> </t>
        </is>
      </c>
      <c r="C243" t="inlineStr">
        <is>
          <t>NG002001</t>
        </is>
      </c>
      <c r="D243" t="inlineStr">
        <is>
          <t>Adamawa</t>
        </is>
      </c>
      <c r="E243" t="inlineStr">
        <is>
          <t>NG002</t>
        </is>
      </c>
      <c r="F243" t="inlineStr">
        <is>
          <t>Nigeria</t>
        </is>
      </c>
      <c r="G243" t="inlineStr">
        <is>
          <t>NGA</t>
        </is>
      </c>
    </row>
    <row r="244">
      <c r="A244" t="inlineStr">
        <is>
          <t>Dekina</t>
        </is>
      </c>
      <c r="B244" t="inlineStr">
        <is>
          <t xml:space="preserve"> </t>
        </is>
      </c>
      <c r="C244" t="inlineStr">
        <is>
          <t>NG023005</t>
        </is>
      </c>
      <c r="D244" t="inlineStr">
        <is>
          <t>Kogi</t>
        </is>
      </c>
      <c r="E244" t="inlineStr">
        <is>
          <t>NG023</t>
        </is>
      </c>
      <c r="F244" t="inlineStr">
        <is>
          <t>Nigeria</t>
        </is>
      </c>
      <c r="G244" t="inlineStr">
        <is>
          <t>NGA</t>
        </is>
      </c>
    </row>
    <row r="245">
      <c r="A245" t="inlineStr">
        <is>
          <t>Degema</t>
        </is>
      </c>
      <c r="B245" t="inlineStr">
        <is>
          <t xml:space="preserve"> </t>
        </is>
      </c>
      <c r="C245" t="inlineStr">
        <is>
          <t>NG033008</t>
        </is>
      </c>
      <c r="D245" t="inlineStr">
        <is>
          <t>Rivers</t>
        </is>
      </c>
      <c r="E245" t="inlineStr">
        <is>
          <t>NG033</t>
        </is>
      </c>
      <c r="F245" t="inlineStr">
        <is>
          <t>Nigeria</t>
        </is>
      </c>
      <c r="G245" t="inlineStr">
        <is>
          <t>NGA</t>
        </is>
      </c>
    </row>
    <row r="246">
      <c r="A246" t="inlineStr">
        <is>
          <t>Dawakin Tofa</t>
        </is>
      </c>
      <c r="B246" t="inlineStr">
        <is>
          <t xml:space="preserve"> </t>
        </is>
      </c>
      <c r="C246" t="inlineStr">
        <is>
          <t>NG020010</t>
        </is>
      </c>
      <c r="D246" t="inlineStr">
        <is>
          <t>Kano</t>
        </is>
      </c>
      <c r="E246" t="inlineStr">
        <is>
          <t>NG020</t>
        </is>
      </c>
      <c r="F246" t="inlineStr">
        <is>
          <t>Nigeria</t>
        </is>
      </c>
      <c r="G246" t="inlineStr">
        <is>
          <t>NGA</t>
        </is>
      </c>
    </row>
    <row r="247">
      <c r="A247" t="inlineStr">
        <is>
          <t>Dawakin Kudu</t>
        </is>
      </c>
      <c r="B247" t="inlineStr">
        <is>
          <t xml:space="preserve"> </t>
        </is>
      </c>
      <c r="C247" t="inlineStr">
        <is>
          <t>NG020009</t>
        </is>
      </c>
      <c r="D247" t="inlineStr">
        <is>
          <t>Kano</t>
        </is>
      </c>
      <c r="E247" t="inlineStr">
        <is>
          <t>NG020</t>
        </is>
      </c>
      <c r="F247" t="inlineStr">
        <is>
          <t>Nigeria</t>
        </is>
      </c>
      <c r="G247" t="inlineStr">
        <is>
          <t>NGA</t>
        </is>
      </c>
    </row>
    <row r="248">
      <c r="A248" t="inlineStr">
        <is>
          <t>Daura</t>
        </is>
      </c>
      <c r="B248" t="inlineStr">
        <is>
          <t xml:space="preserve"> </t>
        </is>
      </c>
      <c r="C248" t="inlineStr">
        <is>
          <t>NG021010</t>
        </is>
      </c>
      <c r="D248" t="inlineStr">
        <is>
          <t>Katsina</t>
        </is>
      </c>
      <c r="E248" t="inlineStr">
        <is>
          <t>NG021</t>
        </is>
      </c>
      <c r="F248" t="inlineStr">
        <is>
          <t>Nigeria</t>
        </is>
      </c>
      <c r="G248" t="inlineStr">
        <is>
          <t>NGA</t>
        </is>
      </c>
    </row>
    <row r="249">
      <c r="A249" t="inlineStr">
        <is>
          <t>Dass</t>
        </is>
      </c>
      <c r="B249" t="inlineStr">
        <is>
          <t xml:space="preserve"> </t>
        </is>
      </c>
      <c r="C249" t="inlineStr">
        <is>
          <t>NG005006</t>
        </is>
      </c>
      <c r="D249" t="inlineStr">
        <is>
          <t>Bauchi</t>
        </is>
      </c>
      <c r="E249" t="inlineStr">
        <is>
          <t>NG005</t>
        </is>
      </c>
      <c r="F249" t="inlineStr">
        <is>
          <t>Nigeria</t>
        </is>
      </c>
      <c r="G249" t="inlineStr">
        <is>
          <t>NGA</t>
        </is>
      </c>
    </row>
    <row r="250">
      <c r="A250" t="inlineStr">
        <is>
          <t>Darazo</t>
        </is>
      </c>
      <c r="B250" t="inlineStr">
        <is>
          <t xml:space="preserve"> </t>
        </is>
      </c>
      <c r="C250" t="inlineStr">
        <is>
          <t>NG005005</t>
        </is>
      </c>
      <c r="D250" t="inlineStr">
        <is>
          <t>Bauchi</t>
        </is>
      </c>
      <c r="E250" t="inlineStr">
        <is>
          <t>NG005</t>
        </is>
      </c>
      <c r="F250" t="inlineStr">
        <is>
          <t>Nigeria</t>
        </is>
      </c>
      <c r="G250" t="inlineStr">
        <is>
          <t>NGA</t>
        </is>
      </c>
    </row>
    <row r="251">
      <c r="A251" t="inlineStr">
        <is>
          <t>Danja</t>
        </is>
      </c>
      <c r="B251" t="inlineStr">
        <is>
          <t xml:space="preserve"> </t>
        </is>
      </c>
      <c r="C251" t="inlineStr">
        <is>
          <t>NG021009</t>
        </is>
      </c>
      <c r="D251" t="inlineStr">
        <is>
          <t>Katsina</t>
        </is>
      </c>
      <c r="E251" t="inlineStr">
        <is>
          <t>NG021</t>
        </is>
      </c>
      <c r="F251" t="inlineStr">
        <is>
          <t>Nigeria</t>
        </is>
      </c>
      <c r="G251" t="inlineStr">
        <is>
          <t>NGA</t>
        </is>
      </c>
    </row>
    <row r="252">
      <c r="A252" t="inlineStr">
        <is>
          <t>Dange-Shuni</t>
        </is>
      </c>
      <c r="B252" t="inlineStr">
        <is>
          <t xml:space="preserve"> </t>
        </is>
      </c>
      <c r="C252" t="inlineStr">
        <is>
          <t>NG034003</t>
        </is>
      </c>
      <c r="D252" t="inlineStr">
        <is>
          <t>Sokoto</t>
        </is>
      </c>
      <c r="E252" t="inlineStr">
        <is>
          <t>NG034</t>
        </is>
      </c>
      <c r="F252" t="inlineStr">
        <is>
          <t>Nigeria</t>
        </is>
      </c>
      <c r="G252" t="inlineStr">
        <is>
          <t>NGA</t>
        </is>
      </c>
    </row>
    <row r="253">
      <c r="A253" t="inlineStr">
        <is>
          <t>Dandume</t>
        </is>
      </c>
      <c r="B253" t="inlineStr">
        <is>
          <t xml:space="preserve"> </t>
        </is>
      </c>
      <c r="C253" t="inlineStr">
        <is>
          <t>NG021008</t>
        </is>
      </c>
      <c r="D253" t="inlineStr">
        <is>
          <t>Katsina</t>
        </is>
      </c>
      <c r="E253" t="inlineStr">
        <is>
          <t>NG021</t>
        </is>
      </c>
      <c r="F253" t="inlineStr">
        <is>
          <t>Nigeria</t>
        </is>
      </c>
      <c r="G253" t="inlineStr">
        <is>
          <t>NGA</t>
        </is>
      </c>
    </row>
    <row r="254">
      <c r="A254" t="inlineStr">
        <is>
          <t>Dandi</t>
        </is>
      </c>
      <c r="B254" t="inlineStr">
        <is>
          <t xml:space="preserve"> </t>
        </is>
      </c>
      <c r="C254" t="inlineStr">
        <is>
          <t>NG022008</t>
        </is>
      </c>
      <c r="D254" t="inlineStr">
        <is>
          <t>Kebbi</t>
        </is>
      </c>
      <c r="E254" t="inlineStr">
        <is>
          <t>NG022</t>
        </is>
      </c>
      <c r="F254" t="inlineStr">
        <is>
          <t>Nigeria</t>
        </is>
      </c>
      <c r="G254" t="inlineStr">
        <is>
          <t>NGA</t>
        </is>
      </c>
    </row>
    <row r="255">
      <c r="A255" t="inlineStr">
        <is>
          <t>Dan Musa</t>
        </is>
      </c>
      <c r="B255" t="inlineStr">
        <is>
          <t xml:space="preserve"> </t>
        </is>
      </c>
      <c r="C255" t="inlineStr">
        <is>
          <t>NG021007</t>
        </is>
      </c>
      <c r="D255" t="inlineStr">
        <is>
          <t>Katsina</t>
        </is>
      </c>
      <c r="E255" t="inlineStr">
        <is>
          <t>NG021</t>
        </is>
      </c>
      <c r="F255" t="inlineStr">
        <is>
          <t>Nigeria</t>
        </is>
      </c>
      <c r="G255" t="inlineStr">
        <is>
          <t>NGA</t>
        </is>
      </c>
    </row>
    <row r="256">
      <c r="A256" t="inlineStr">
        <is>
          <t>Damboa</t>
        </is>
      </c>
      <c r="B256" t="inlineStr">
        <is>
          <t xml:space="preserve"> </t>
        </is>
      </c>
      <c r="C256" t="inlineStr">
        <is>
          <t>NG008007</t>
        </is>
      </c>
      <c r="D256" t="inlineStr">
        <is>
          <t>Borno</t>
        </is>
      </c>
      <c r="E256" t="inlineStr">
        <is>
          <t>NG008</t>
        </is>
      </c>
      <c r="F256" t="inlineStr">
        <is>
          <t>Nigeria</t>
        </is>
      </c>
      <c r="G256" t="inlineStr">
        <is>
          <t>NGA</t>
        </is>
      </c>
    </row>
    <row r="257">
      <c r="A257" t="inlineStr">
        <is>
          <t>Dambatta</t>
        </is>
      </c>
      <c r="B257" t="inlineStr">
        <is>
          <t xml:space="preserve"> </t>
        </is>
      </c>
      <c r="C257" t="inlineStr">
        <is>
          <t>NG020008</t>
        </is>
      </c>
      <c r="D257" t="inlineStr">
        <is>
          <t>Kano</t>
        </is>
      </c>
      <c r="E257" t="inlineStr">
        <is>
          <t>NG020</t>
        </is>
      </c>
      <c r="F257" t="inlineStr">
        <is>
          <t>Nigeria</t>
        </is>
      </c>
      <c r="G257" t="inlineStr">
        <is>
          <t>NGA</t>
        </is>
      </c>
    </row>
    <row r="258">
      <c r="A258" t="inlineStr">
        <is>
          <t>Damban</t>
        </is>
      </c>
      <c r="B258" t="inlineStr">
        <is>
          <t xml:space="preserve"> </t>
        </is>
      </c>
      <c r="C258" t="inlineStr">
        <is>
          <t>NG005004</t>
        </is>
      </c>
      <c r="D258" t="inlineStr">
        <is>
          <t>Bauchi</t>
        </is>
      </c>
      <c r="E258" t="inlineStr">
        <is>
          <t>NG005</t>
        </is>
      </c>
      <c r="F258" t="inlineStr">
        <is>
          <t>Nigeria</t>
        </is>
      </c>
      <c r="G258" t="inlineStr">
        <is>
          <t>NGA</t>
        </is>
      </c>
    </row>
    <row r="259">
      <c r="A259" t="inlineStr">
        <is>
          <t>Damaturu</t>
        </is>
      </c>
      <c r="B259" t="inlineStr">
        <is>
          <t xml:space="preserve"> </t>
        </is>
      </c>
      <c r="C259" t="inlineStr">
        <is>
          <t>NG036003</t>
        </is>
      </c>
      <c r="D259" t="inlineStr">
        <is>
          <t>Yobe</t>
        </is>
      </c>
      <c r="E259" t="inlineStr">
        <is>
          <t>NG036</t>
        </is>
      </c>
      <c r="F259" t="inlineStr">
        <is>
          <t>Nigeria</t>
        </is>
      </c>
      <c r="G259" t="inlineStr">
        <is>
          <t>NGA</t>
        </is>
      </c>
    </row>
    <row r="260">
      <c r="A260" t="inlineStr">
        <is>
          <t>Dala</t>
        </is>
      </c>
      <c r="B260" t="inlineStr">
        <is>
          <t xml:space="preserve"> </t>
        </is>
      </c>
      <c r="C260" t="inlineStr">
        <is>
          <t>NG020007</t>
        </is>
      </c>
      <c r="D260" t="inlineStr">
        <is>
          <t>Kano</t>
        </is>
      </c>
      <c r="E260" t="inlineStr">
        <is>
          <t>NG020</t>
        </is>
      </c>
      <c r="F260" t="inlineStr">
        <is>
          <t>Nigeria</t>
        </is>
      </c>
      <c r="G260" t="inlineStr">
        <is>
          <t>NGA</t>
        </is>
      </c>
    </row>
    <row r="261">
      <c r="A261" t="inlineStr">
        <is>
          <t>Chikun</t>
        </is>
      </c>
      <c r="B261" t="inlineStr">
        <is>
          <t xml:space="preserve"> </t>
        </is>
      </c>
      <c r="C261" t="inlineStr">
        <is>
          <t>NG019002</t>
        </is>
      </c>
      <c r="D261" t="inlineStr">
        <is>
          <t>Kaduna</t>
        </is>
      </c>
      <c r="E261" t="inlineStr">
        <is>
          <t>NG019</t>
        </is>
      </c>
      <c r="F261" t="inlineStr">
        <is>
          <t>Nigeria</t>
        </is>
      </c>
      <c r="G261" t="inlineStr">
        <is>
          <t>NGA</t>
        </is>
      </c>
    </row>
    <row r="262">
      <c r="A262" t="inlineStr">
        <is>
          <t>Chibok</t>
        </is>
      </c>
      <c r="B262" t="inlineStr">
        <is>
          <t xml:space="preserve"> </t>
        </is>
      </c>
      <c r="C262" t="inlineStr">
        <is>
          <t>NG008006</t>
        </is>
      </c>
      <c r="D262" t="inlineStr">
        <is>
          <t>Borno</t>
        </is>
      </c>
      <c r="E262" t="inlineStr">
        <is>
          <t>NG008</t>
        </is>
      </c>
      <c r="F262" t="inlineStr">
        <is>
          <t>Nigeria</t>
        </is>
      </c>
      <c r="G262" t="inlineStr">
        <is>
          <t>NGA</t>
        </is>
      </c>
    </row>
    <row r="263">
      <c r="A263" t="inlineStr">
        <is>
          <t>Charanchi</t>
        </is>
      </c>
      <c r="B263" t="inlineStr">
        <is>
          <t xml:space="preserve"> </t>
        </is>
      </c>
      <c r="C263" t="inlineStr">
        <is>
          <t>NG021006</t>
        </is>
      </c>
      <c r="D263" t="inlineStr">
        <is>
          <t>Katsina</t>
        </is>
      </c>
      <c r="E263" t="inlineStr">
        <is>
          <t>NG021</t>
        </is>
      </c>
      <c r="F263" t="inlineStr">
        <is>
          <t>Nigeria</t>
        </is>
      </c>
      <c r="G263" t="inlineStr">
        <is>
          <t>NGA</t>
        </is>
      </c>
    </row>
    <row r="264">
      <c r="A264" t="inlineStr">
        <is>
          <t>Chanchaga</t>
        </is>
      </c>
      <c r="B264" t="inlineStr">
        <is>
          <t xml:space="preserve"> </t>
        </is>
      </c>
      <c r="C264" t="inlineStr">
        <is>
          <t>NG027006</t>
        </is>
      </c>
      <c r="D264" t="inlineStr">
        <is>
          <t>Niger</t>
        </is>
      </c>
      <c r="E264" t="inlineStr">
        <is>
          <t>NG027</t>
        </is>
      </c>
      <c r="F264" t="inlineStr">
        <is>
          <t>Nigeria</t>
        </is>
      </c>
      <c r="G264" t="inlineStr">
        <is>
          <t>NGA</t>
        </is>
      </c>
    </row>
    <row r="265">
      <c r="A265" t="inlineStr">
        <is>
          <t>Calabar South</t>
        </is>
      </c>
      <c r="B265" t="inlineStr">
        <is>
          <t xml:space="preserve"> </t>
        </is>
      </c>
      <c r="C265" t="inlineStr">
        <is>
          <t>NG009009</t>
        </is>
      </c>
      <c r="D265" t="inlineStr">
        <is>
          <t>Cross River</t>
        </is>
      </c>
      <c r="E265" t="inlineStr">
        <is>
          <t>NG009</t>
        </is>
      </c>
      <c r="F265" t="inlineStr">
        <is>
          <t>Nigeria</t>
        </is>
      </c>
      <c r="G265" t="inlineStr">
        <is>
          <t>NGA</t>
        </is>
      </c>
    </row>
    <row r="266">
      <c r="A266" t="inlineStr">
        <is>
          <t>Calabar-Municipal</t>
        </is>
      </c>
      <c r="B266" t="inlineStr">
        <is>
          <t xml:space="preserve"> </t>
        </is>
      </c>
      <c r="C266" t="inlineStr">
        <is>
          <t>NG009010</t>
        </is>
      </c>
      <c r="D266" t="inlineStr">
        <is>
          <t>Cross River</t>
        </is>
      </c>
      <c r="E266" t="inlineStr">
        <is>
          <t>NG009</t>
        </is>
      </c>
      <c r="F266" t="inlineStr">
        <is>
          <t>Nigeria</t>
        </is>
      </c>
      <c r="G266" t="inlineStr">
        <is>
          <t>NGA</t>
        </is>
      </c>
    </row>
    <row r="267">
      <c r="A267" t="inlineStr">
        <is>
          <t>Bwari</t>
        </is>
      </c>
      <c r="B267" t="inlineStr">
        <is>
          <t xml:space="preserve"> </t>
        </is>
      </c>
      <c r="C267" t="inlineStr">
        <is>
          <t>NG015003</t>
        </is>
      </c>
      <c r="D267" t="inlineStr">
        <is>
          <t>Federal Capital Territory</t>
        </is>
      </c>
      <c r="E267" t="inlineStr">
        <is>
          <t>NG015</t>
        </is>
      </c>
      <c r="F267" t="inlineStr">
        <is>
          <t>Nigeria</t>
        </is>
      </c>
      <c r="G267" t="inlineStr">
        <is>
          <t>NGA</t>
        </is>
      </c>
    </row>
    <row r="268">
      <c r="A268" t="inlineStr">
        <is>
          <t>Burutu</t>
        </is>
      </c>
      <c r="B268" t="inlineStr">
        <is>
          <t xml:space="preserve"> </t>
        </is>
      </c>
      <c r="C268" t="inlineStr">
        <is>
          <t>NG010004</t>
        </is>
      </c>
      <c r="D268" t="inlineStr">
        <is>
          <t>Delta</t>
        </is>
      </c>
      <c r="E268" t="inlineStr">
        <is>
          <t>NG010</t>
        </is>
      </c>
      <c r="F268" t="inlineStr">
        <is>
          <t>Nigeria</t>
        </is>
      </c>
      <c r="G268" t="inlineStr">
        <is>
          <t>NGA</t>
        </is>
      </c>
    </row>
    <row r="269">
      <c r="A269" t="inlineStr">
        <is>
          <t>Buruku</t>
        </is>
      </c>
      <c r="B269" t="inlineStr">
        <is>
          <t xml:space="preserve"> </t>
        </is>
      </c>
      <c r="C269" t="inlineStr">
        <is>
          <t>NG007004</t>
        </is>
      </c>
      <c r="D269" t="inlineStr">
        <is>
          <t>Benue</t>
        </is>
      </c>
      <c r="E269" t="inlineStr">
        <is>
          <t>NG007</t>
        </is>
      </c>
      <c r="F269" t="inlineStr">
        <is>
          <t>Nigeria</t>
        </is>
      </c>
      <c r="G269" t="inlineStr">
        <is>
          <t>NGA</t>
        </is>
      </c>
    </row>
    <row r="270">
      <c r="A270" t="inlineStr">
        <is>
          <t>Bursari</t>
        </is>
      </c>
      <c r="B270" t="inlineStr">
        <is>
          <t xml:space="preserve"> </t>
        </is>
      </c>
      <c r="C270" t="inlineStr">
        <is>
          <t>NG036002</t>
        </is>
      </c>
      <c r="D270" t="inlineStr">
        <is>
          <t>Yobe</t>
        </is>
      </c>
      <c r="E270" t="inlineStr">
        <is>
          <t>NG036</t>
        </is>
      </c>
      <c r="F270" t="inlineStr">
        <is>
          <t>Nigeria</t>
        </is>
      </c>
      <c r="G270" t="inlineStr">
        <is>
          <t>NGA</t>
        </is>
      </c>
    </row>
    <row r="271">
      <c r="A271" t="inlineStr">
        <is>
          <t>Bunza</t>
        </is>
      </c>
      <c r="B271" t="inlineStr">
        <is>
          <t xml:space="preserve"> </t>
        </is>
      </c>
      <c r="C271" t="inlineStr">
        <is>
          <t>NG022007</t>
        </is>
      </c>
      <c r="D271" t="inlineStr">
        <is>
          <t>Kebbi</t>
        </is>
      </c>
      <c r="E271" t="inlineStr">
        <is>
          <t>NG022</t>
        </is>
      </c>
      <c r="F271" t="inlineStr">
        <is>
          <t>Nigeria</t>
        </is>
      </c>
      <c r="G271" t="inlineStr">
        <is>
          <t>NGA</t>
        </is>
      </c>
    </row>
    <row r="272">
      <c r="A272" t="inlineStr">
        <is>
          <t>Bunkure</t>
        </is>
      </c>
      <c r="B272" t="inlineStr">
        <is>
          <t xml:space="preserve"> </t>
        </is>
      </c>
      <c r="C272" t="inlineStr">
        <is>
          <t>NG020006</t>
        </is>
      </c>
      <c r="D272" t="inlineStr">
        <is>
          <t>Kano</t>
        </is>
      </c>
      <c r="E272" t="inlineStr">
        <is>
          <t>NG020</t>
        </is>
      </c>
      <c r="F272" t="inlineStr">
        <is>
          <t>Nigeria</t>
        </is>
      </c>
      <c r="G272" t="inlineStr">
        <is>
          <t>NGA</t>
        </is>
      </c>
    </row>
    <row r="273">
      <c r="A273" t="inlineStr">
        <is>
          <t>Bungudu</t>
        </is>
      </c>
      <c r="B273" t="inlineStr">
        <is>
          <t xml:space="preserve"> </t>
        </is>
      </c>
      <c r="C273" t="inlineStr">
        <is>
          <t>NG037005</t>
        </is>
      </c>
      <c r="D273" t="inlineStr">
        <is>
          <t>Zamfara</t>
        </is>
      </c>
      <c r="E273" t="inlineStr">
        <is>
          <t>NG037</t>
        </is>
      </c>
      <c r="F273" t="inlineStr">
        <is>
          <t>Nigeria</t>
        </is>
      </c>
      <c r="G273" t="inlineStr">
        <is>
          <t>NGA</t>
        </is>
      </c>
    </row>
    <row r="274">
      <c r="A274" t="inlineStr">
        <is>
          <t>Bukkuyum</t>
        </is>
      </c>
      <c r="B274" t="inlineStr">
        <is>
          <t xml:space="preserve"> </t>
        </is>
      </c>
      <c r="C274" t="inlineStr">
        <is>
          <t>NG037004</t>
        </is>
      </c>
      <c r="D274" t="inlineStr">
        <is>
          <t>Zamfara</t>
        </is>
      </c>
      <c r="E274" t="inlineStr">
        <is>
          <t>NG037</t>
        </is>
      </c>
      <c r="F274" t="inlineStr">
        <is>
          <t>Nigeria</t>
        </is>
      </c>
      <c r="G274" t="inlineStr">
        <is>
          <t>NGA</t>
        </is>
      </c>
    </row>
    <row r="275">
      <c r="A275" t="inlineStr">
        <is>
          <t>Buji</t>
        </is>
      </c>
      <c r="B275" t="inlineStr">
        <is>
          <t xml:space="preserve"> </t>
        </is>
      </c>
      <c r="C275" t="inlineStr">
        <is>
          <t>NG018005</t>
        </is>
      </c>
      <c r="D275" t="inlineStr">
        <is>
          <t>Jigawa</t>
        </is>
      </c>
      <c r="E275" t="inlineStr">
        <is>
          <t>NG018</t>
        </is>
      </c>
      <c r="F275" t="inlineStr">
        <is>
          <t>Nigeria</t>
        </is>
      </c>
      <c r="G275" t="inlineStr">
        <is>
          <t>NGA</t>
        </is>
      </c>
    </row>
    <row r="276">
      <c r="A276" t="inlineStr">
        <is>
          <t>Brass</t>
        </is>
      </c>
      <c r="B276" t="inlineStr">
        <is>
          <t xml:space="preserve"> </t>
        </is>
      </c>
      <c r="C276" t="inlineStr">
        <is>
          <t>NG006001</t>
        </is>
      </c>
      <c r="D276" t="inlineStr">
        <is>
          <t>Bayelsa</t>
        </is>
      </c>
      <c r="E276" t="inlineStr">
        <is>
          <t>NG006</t>
        </is>
      </c>
      <c r="F276" t="inlineStr">
        <is>
          <t>Nigeria</t>
        </is>
      </c>
      <c r="G276" t="inlineStr">
        <is>
          <t>NGA</t>
        </is>
      </c>
    </row>
    <row r="277">
      <c r="A277" t="inlineStr">
        <is>
          <t>Bosso</t>
        </is>
      </c>
      <c r="B277" t="inlineStr">
        <is>
          <t xml:space="preserve"> </t>
        </is>
      </c>
      <c r="C277" t="inlineStr">
        <is>
          <t>NG027005</t>
        </is>
      </c>
      <c r="D277" t="inlineStr">
        <is>
          <t>Niger</t>
        </is>
      </c>
      <c r="E277" t="inlineStr">
        <is>
          <t>NG027</t>
        </is>
      </c>
      <c r="F277" t="inlineStr">
        <is>
          <t>Nigeria</t>
        </is>
      </c>
      <c r="G277" t="inlineStr">
        <is>
          <t>NGA</t>
        </is>
      </c>
    </row>
    <row r="278">
      <c r="A278" t="inlineStr">
        <is>
          <t>Boripe</t>
        </is>
      </c>
      <c r="B278" t="inlineStr">
        <is>
          <t xml:space="preserve"> </t>
        </is>
      </c>
      <c r="C278" t="inlineStr">
        <is>
          <t>NG030006</t>
        </is>
      </c>
      <c r="D278" t="inlineStr">
        <is>
          <t>Osun</t>
        </is>
      </c>
      <c r="E278" t="inlineStr">
        <is>
          <t>NG030</t>
        </is>
      </c>
      <c r="F278" t="inlineStr">
        <is>
          <t>Nigeria</t>
        </is>
      </c>
      <c r="G278" t="inlineStr">
        <is>
          <t>NGA</t>
        </is>
      </c>
    </row>
    <row r="279">
      <c r="A279" t="inlineStr">
        <is>
          <t>Borgu</t>
        </is>
      </c>
      <c r="B279" t="inlineStr">
        <is>
          <t xml:space="preserve"> </t>
        </is>
      </c>
      <c r="C279" t="inlineStr">
        <is>
          <t>NG027004</t>
        </is>
      </c>
      <c r="D279" t="inlineStr">
        <is>
          <t>Niger</t>
        </is>
      </c>
      <c r="E279" t="inlineStr">
        <is>
          <t>NG027</t>
        </is>
      </c>
      <c r="F279" t="inlineStr">
        <is>
          <t>Nigeria</t>
        </is>
      </c>
      <c r="G279" t="inlineStr">
        <is>
          <t>NGA</t>
        </is>
      </c>
    </row>
    <row r="280">
      <c r="A280" t="inlineStr">
        <is>
          <t>Bonny</t>
        </is>
      </c>
      <c r="B280" t="inlineStr">
        <is>
          <t xml:space="preserve"> </t>
        </is>
      </c>
      <c r="C280" t="inlineStr">
        <is>
          <t>NG033007</t>
        </is>
      </c>
      <c r="D280" t="inlineStr">
        <is>
          <t>Rivers</t>
        </is>
      </c>
      <c r="E280" t="inlineStr">
        <is>
          <t>NG033</t>
        </is>
      </c>
      <c r="F280" t="inlineStr">
        <is>
          <t>Nigeria</t>
        </is>
      </c>
      <c r="G280" t="inlineStr">
        <is>
          <t>NGA</t>
        </is>
      </c>
    </row>
    <row r="281">
      <c r="A281" t="inlineStr">
        <is>
          <t>Bomadi</t>
        </is>
      </c>
      <c r="B281" t="inlineStr">
        <is>
          <t xml:space="preserve"> </t>
        </is>
      </c>
      <c r="C281" t="inlineStr">
        <is>
          <t>NG010003</t>
        </is>
      </c>
      <c r="D281" t="inlineStr">
        <is>
          <t>Delta</t>
        </is>
      </c>
      <c r="E281" t="inlineStr">
        <is>
          <t>NG010</t>
        </is>
      </c>
      <c r="F281" t="inlineStr">
        <is>
          <t>Nigeria</t>
        </is>
      </c>
      <c r="G281" t="inlineStr">
        <is>
          <t>NGA</t>
        </is>
      </c>
    </row>
    <row r="282">
      <c r="A282" t="inlineStr">
        <is>
          <t>Boluwaduro</t>
        </is>
      </c>
      <c r="B282" t="inlineStr">
        <is>
          <t xml:space="preserve"> </t>
        </is>
      </c>
      <c r="C282" t="inlineStr">
        <is>
          <t>NG030005</t>
        </is>
      </c>
      <c r="D282" t="inlineStr">
        <is>
          <t>Osun</t>
        </is>
      </c>
      <c r="E282" t="inlineStr">
        <is>
          <t>NG030</t>
        </is>
      </c>
      <c r="F282" t="inlineStr">
        <is>
          <t>Nigeria</t>
        </is>
      </c>
      <c r="G282" t="inlineStr">
        <is>
          <t>NGA</t>
        </is>
      </c>
    </row>
    <row r="283">
      <c r="A283" t="inlineStr">
        <is>
          <t>Bokkos</t>
        </is>
      </c>
      <c r="B283" t="inlineStr">
        <is>
          <t xml:space="preserve"> </t>
        </is>
      </c>
      <c r="C283" t="inlineStr">
        <is>
          <t>NG032003</t>
        </is>
      </c>
      <c r="D283" t="inlineStr">
        <is>
          <t>Plateau</t>
        </is>
      </c>
      <c r="E283" t="inlineStr">
        <is>
          <t>NG032</t>
        </is>
      </c>
      <c r="F283" t="inlineStr">
        <is>
          <t>Nigeria</t>
        </is>
      </c>
      <c r="G283" t="inlineStr">
        <is>
          <t>NGA</t>
        </is>
      </c>
    </row>
    <row r="284">
      <c r="A284" t="inlineStr">
        <is>
          <t>Boki</t>
        </is>
      </c>
      <c r="B284" t="inlineStr">
        <is>
          <t xml:space="preserve"> </t>
        </is>
      </c>
      <c r="C284" t="inlineStr">
        <is>
          <t>NG009008</t>
        </is>
      </c>
      <c r="D284" t="inlineStr">
        <is>
          <t>Cross River</t>
        </is>
      </c>
      <c r="E284" t="inlineStr">
        <is>
          <t>NG009</t>
        </is>
      </c>
      <c r="F284" t="inlineStr">
        <is>
          <t>Nigeria</t>
        </is>
      </c>
      <c r="G284" t="inlineStr">
        <is>
          <t>NGA</t>
        </is>
      </c>
    </row>
    <row r="285">
      <c r="A285" t="inlineStr">
        <is>
          <t>Bogoro</t>
        </is>
      </c>
      <c r="B285" t="inlineStr">
        <is>
          <t xml:space="preserve"> </t>
        </is>
      </c>
      <c r="C285" t="inlineStr">
        <is>
          <t>NG005003</t>
        </is>
      </c>
      <c r="D285" t="inlineStr">
        <is>
          <t>Bauchi</t>
        </is>
      </c>
      <c r="E285" t="inlineStr">
        <is>
          <t>NG005</t>
        </is>
      </c>
      <c r="F285" t="inlineStr">
        <is>
          <t>Nigeria</t>
        </is>
      </c>
      <c r="G285" t="inlineStr">
        <is>
          <t>NGA</t>
        </is>
      </c>
    </row>
    <row r="286">
      <c r="A286" t="inlineStr">
        <is>
          <t>Bodinga</t>
        </is>
      </c>
      <c r="B286" t="inlineStr">
        <is>
          <t xml:space="preserve"> </t>
        </is>
      </c>
      <c r="C286" t="inlineStr">
        <is>
          <t>NG034002</t>
        </is>
      </c>
      <c r="D286" t="inlineStr">
        <is>
          <t>Sokoto</t>
        </is>
      </c>
      <c r="E286" t="inlineStr">
        <is>
          <t>NG034</t>
        </is>
      </c>
      <c r="F286" t="inlineStr">
        <is>
          <t>Nigeria</t>
        </is>
      </c>
      <c r="G286" t="inlineStr">
        <is>
          <t>NGA</t>
        </is>
      </c>
    </row>
    <row r="287">
      <c r="A287" t="inlineStr">
        <is>
          <t>Biu</t>
        </is>
      </c>
      <c r="B287" t="inlineStr">
        <is>
          <t xml:space="preserve"> </t>
        </is>
      </c>
      <c r="C287" t="inlineStr">
        <is>
          <t>NG008005</t>
        </is>
      </c>
      <c r="D287" t="inlineStr">
        <is>
          <t>Borno</t>
        </is>
      </c>
      <c r="E287" t="inlineStr">
        <is>
          <t>NG008</t>
        </is>
      </c>
      <c r="F287" t="inlineStr">
        <is>
          <t>Nigeria</t>
        </is>
      </c>
      <c r="G287" t="inlineStr">
        <is>
          <t>NGA</t>
        </is>
      </c>
    </row>
    <row r="288">
      <c r="A288" t="inlineStr">
        <is>
          <t>Birnin Magaji</t>
        </is>
      </c>
      <c r="B288" t="inlineStr">
        <is>
          <t xml:space="preserve"> </t>
        </is>
      </c>
      <c r="C288" t="inlineStr">
        <is>
          <t>NG037003</t>
        </is>
      </c>
      <c r="D288" t="inlineStr">
        <is>
          <t>Zamfara</t>
        </is>
      </c>
      <c r="E288" t="inlineStr">
        <is>
          <t>NG037</t>
        </is>
      </c>
      <c r="F288" t="inlineStr">
        <is>
          <t>Nigeria</t>
        </is>
      </c>
      <c r="G288" t="inlineStr">
        <is>
          <t>NGA</t>
        </is>
      </c>
    </row>
    <row r="289">
      <c r="A289" t="inlineStr">
        <is>
          <t>Birnin Kebbi</t>
        </is>
      </c>
      <c r="B289" t="inlineStr">
        <is>
          <t xml:space="preserve"> </t>
        </is>
      </c>
      <c r="C289" t="inlineStr">
        <is>
          <t>NG022006</t>
        </is>
      </c>
      <c r="D289" t="inlineStr">
        <is>
          <t>Kebbi</t>
        </is>
      </c>
      <c r="E289" t="inlineStr">
        <is>
          <t>NG022</t>
        </is>
      </c>
      <c r="F289" t="inlineStr">
        <is>
          <t>Nigeria</t>
        </is>
      </c>
      <c r="G289" t="inlineStr">
        <is>
          <t>NGA</t>
        </is>
      </c>
    </row>
    <row r="290">
      <c r="A290" t="inlineStr">
        <is>
          <t>Birnin-Gwari</t>
        </is>
      </c>
      <c r="B290" t="inlineStr">
        <is>
          <t xml:space="preserve"> </t>
        </is>
      </c>
      <c r="C290" t="inlineStr">
        <is>
          <t>NG019001</t>
        </is>
      </c>
      <c r="D290" t="inlineStr">
        <is>
          <t>Kaduna</t>
        </is>
      </c>
      <c r="E290" t="inlineStr">
        <is>
          <t>NG019</t>
        </is>
      </c>
      <c r="F290" t="inlineStr">
        <is>
          <t>Nigeria</t>
        </is>
      </c>
      <c r="G290" t="inlineStr">
        <is>
          <t>NGA</t>
        </is>
      </c>
    </row>
    <row r="291">
      <c r="A291" t="inlineStr">
        <is>
          <t>Birni Kudu</t>
        </is>
      </c>
      <c r="B291" t="inlineStr">
        <is>
          <t xml:space="preserve"> </t>
        </is>
      </c>
      <c r="C291" t="inlineStr">
        <is>
          <t>NG018004</t>
        </is>
      </c>
      <c r="D291" t="inlineStr">
        <is>
          <t>Jigawa</t>
        </is>
      </c>
      <c r="E291" t="inlineStr">
        <is>
          <t>NG018</t>
        </is>
      </c>
      <c r="F291" t="inlineStr">
        <is>
          <t>Nigeria</t>
        </is>
      </c>
      <c r="G291" t="inlineStr">
        <is>
          <t>NGA</t>
        </is>
      </c>
    </row>
    <row r="292">
      <c r="A292" t="inlineStr">
        <is>
          <t>Biriniwa</t>
        </is>
      </c>
      <c r="B292" t="inlineStr">
        <is>
          <t xml:space="preserve"> </t>
        </is>
      </c>
      <c r="C292" t="inlineStr">
        <is>
          <t>NG018003</t>
        </is>
      </c>
      <c r="D292" t="inlineStr">
        <is>
          <t>Jigawa</t>
        </is>
      </c>
      <c r="E292" t="inlineStr">
        <is>
          <t>NG018</t>
        </is>
      </c>
      <c r="F292" t="inlineStr">
        <is>
          <t>Nigeria</t>
        </is>
      </c>
      <c r="G292" t="inlineStr">
        <is>
          <t>NGA</t>
        </is>
      </c>
    </row>
    <row r="293">
      <c r="A293" t="inlineStr">
        <is>
          <t>Binji</t>
        </is>
      </c>
      <c r="B293" t="inlineStr">
        <is>
          <t xml:space="preserve"> </t>
        </is>
      </c>
      <c r="C293" t="inlineStr">
        <is>
          <t>NG034001</t>
        </is>
      </c>
      <c r="D293" t="inlineStr">
        <is>
          <t>Sokoto</t>
        </is>
      </c>
      <c r="E293" t="inlineStr">
        <is>
          <t>NG034</t>
        </is>
      </c>
      <c r="F293" t="inlineStr">
        <is>
          <t>Nigeria</t>
        </is>
      </c>
      <c r="G293" t="inlineStr">
        <is>
          <t>NGA</t>
        </is>
      </c>
    </row>
    <row r="294">
      <c r="A294" t="inlineStr">
        <is>
          <t>Bindawa</t>
        </is>
      </c>
      <c r="B294" t="inlineStr">
        <is>
          <t xml:space="preserve"> </t>
        </is>
      </c>
      <c r="C294" t="inlineStr">
        <is>
          <t>NG021005</t>
        </is>
      </c>
      <c r="D294" t="inlineStr">
        <is>
          <t>Katsina</t>
        </is>
      </c>
      <c r="E294" t="inlineStr">
        <is>
          <t>NG021</t>
        </is>
      </c>
      <c r="F294" t="inlineStr">
        <is>
          <t>Nigeria</t>
        </is>
      </c>
      <c r="G294" t="inlineStr">
        <is>
          <t>NGA</t>
        </is>
      </c>
    </row>
    <row r="295">
      <c r="A295" t="inlineStr">
        <is>
          <t>Billiri</t>
        </is>
      </c>
      <c r="B295" t="inlineStr">
        <is>
          <t xml:space="preserve"> </t>
        </is>
      </c>
      <c r="C295" t="inlineStr">
        <is>
          <t>NG016003</t>
        </is>
      </c>
      <c r="D295" t="inlineStr">
        <is>
          <t>Gombe</t>
        </is>
      </c>
      <c r="E295" t="inlineStr">
        <is>
          <t>NG016</t>
        </is>
      </c>
      <c r="F295" t="inlineStr">
        <is>
          <t>Nigeria</t>
        </is>
      </c>
      <c r="G295" t="inlineStr">
        <is>
          <t>NGA</t>
        </is>
      </c>
    </row>
    <row r="296">
      <c r="A296" t="inlineStr">
        <is>
          <t>Bida</t>
        </is>
      </c>
      <c r="B296" t="inlineStr">
        <is>
          <t xml:space="preserve"> </t>
        </is>
      </c>
      <c r="C296" t="inlineStr">
        <is>
          <t>NG027003</t>
        </is>
      </c>
      <c r="D296" t="inlineStr">
        <is>
          <t>Niger</t>
        </is>
      </c>
      <c r="E296" t="inlineStr">
        <is>
          <t>NG027</t>
        </is>
      </c>
      <c r="F296" t="inlineStr">
        <is>
          <t>Nigeria</t>
        </is>
      </c>
      <c r="G296" t="inlineStr">
        <is>
          <t>NGA</t>
        </is>
      </c>
    </row>
    <row r="297">
      <c r="A297" t="inlineStr">
        <is>
          <t>Bichi</t>
        </is>
      </c>
      <c r="B297" t="inlineStr">
        <is>
          <t xml:space="preserve"> </t>
        </is>
      </c>
      <c r="C297" t="inlineStr">
        <is>
          <t>NG020005</t>
        </is>
      </c>
      <c r="D297" t="inlineStr">
        <is>
          <t>Kano</t>
        </is>
      </c>
      <c r="E297" t="inlineStr">
        <is>
          <t>NG020</t>
        </is>
      </c>
      <c r="F297" t="inlineStr">
        <is>
          <t>Nigeria</t>
        </is>
      </c>
      <c r="G297" t="inlineStr">
        <is>
          <t>NGA</t>
        </is>
      </c>
    </row>
    <row r="298">
      <c r="A298" t="inlineStr">
        <is>
          <t>Biase</t>
        </is>
      </c>
      <c r="B298" t="inlineStr">
        <is>
          <t xml:space="preserve"> </t>
        </is>
      </c>
      <c r="C298" t="inlineStr">
        <is>
          <t>NG009007</t>
        </is>
      </c>
      <c r="D298" t="inlineStr">
        <is>
          <t>Cross River</t>
        </is>
      </c>
      <c r="E298" t="inlineStr">
        <is>
          <t>NG009</t>
        </is>
      </c>
      <c r="F298" t="inlineStr">
        <is>
          <t>Nigeria</t>
        </is>
      </c>
      <c r="G298" t="inlineStr">
        <is>
          <t>NGA</t>
        </is>
      </c>
    </row>
    <row r="299">
      <c r="A299" t="inlineStr">
        <is>
          <t>Bende</t>
        </is>
      </c>
      <c r="B299" t="inlineStr">
        <is>
          <t xml:space="preserve"> </t>
        </is>
      </c>
      <c r="C299" t="inlineStr">
        <is>
          <t>NG001004</t>
        </is>
      </c>
      <c r="D299" t="inlineStr">
        <is>
          <t>Abia</t>
        </is>
      </c>
      <c r="E299" t="inlineStr">
        <is>
          <t>NG001</t>
        </is>
      </c>
      <c r="F299" t="inlineStr">
        <is>
          <t>Nigeria</t>
        </is>
      </c>
      <c r="G299" t="inlineStr">
        <is>
          <t>NGA</t>
        </is>
      </c>
    </row>
    <row r="300">
      <c r="A300" t="inlineStr">
        <is>
          <t>Bekwara</t>
        </is>
      </c>
      <c r="B300" t="inlineStr">
        <is>
          <t xml:space="preserve"> </t>
        </is>
      </c>
      <c r="C300" t="inlineStr">
        <is>
          <t>NG009006</t>
        </is>
      </c>
      <c r="D300" t="inlineStr">
        <is>
          <t>Cross River</t>
        </is>
      </c>
      <c r="E300" t="inlineStr">
        <is>
          <t>NG009</t>
        </is>
      </c>
      <c r="F300" t="inlineStr">
        <is>
          <t>Nigeria</t>
        </is>
      </c>
      <c r="G300" t="inlineStr">
        <is>
          <t>NGA</t>
        </is>
      </c>
    </row>
    <row r="301">
      <c r="A301" t="inlineStr">
        <is>
          <t>Bebeji</t>
        </is>
      </c>
      <c r="B301" t="inlineStr">
        <is>
          <t xml:space="preserve"> </t>
        </is>
      </c>
      <c r="C301" t="inlineStr">
        <is>
          <t>NG020004</t>
        </is>
      </c>
      <c r="D301" t="inlineStr">
        <is>
          <t>Kano</t>
        </is>
      </c>
      <c r="E301" t="inlineStr">
        <is>
          <t>NG020</t>
        </is>
      </c>
      <c r="F301" t="inlineStr">
        <is>
          <t>Nigeria</t>
        </is>
      </c>
      <c r="G301" t="inlineStr">
        <is>
          <t>NGA</t>
        </is>
      </c>
    </row>
    <row r="302">
      <c r="A302" t="inlineStr">
        <is>
          <t>Bayo</t>
        </is>
      </c>
      <c r="B302" t="inlineStr">
        <is>
          <t xml:space="preserve"> </t>
        </is>
      </c>
      <c r="C302" t="inlineStr">
        <is>
          <t>NG008004</t>
        </is>
      </c>
      <c r="D302" t="inlineStr">
        <is>
          <t>Borno</t>
        </is>
      </c>
      <c r="E302" t="inlineStr">
        <is>
          <t>NG008</t>
        </is>
      </c>
      <c r="F302" t="inlineStr">
        <is>
          <t>Nigeria</t>
        </is>
      </c>
      <c r="G302" t="inlineStr">
        <is>
          <t>NGA</t>
        </is>
      </c>
    </row>
    <row r="303">
      <c r="A303" t="inlineStr">
        <is>
          <t>Baure</t>
        </is>
      </c>
      <c r="B303" t="inlineStr">
        <is>
          <t xml:space="preserve"> </t>
        </is>
      </c>
      <c r="C303" t="inlineStr">
        <is>
          <t>NG021004</t>
        </is>
      </c>
      <c r="D303" t="inlineStr">
        <is>
          <t>Katsina</t>
        </is>
      </c>
      <c r="E303" t="inlineStr">
        <is>
          <t>NG021</t>
        </is>
      </c>
      <c r="F303" t="inlineStr">
        <is>
          <t>Nigeria</t>
        </is>
      </c>
      <c r="G303" t="inlineStr">
        <is>
          <t>NGA</t>
        </is>
      </c>
    </row>
    <row r="304">
      <c r="A304" t="inlineStr">
        <is>
          <t>Bauchi</t>
        </is>
      </c>
      <c r="B304" t="inlineStr">
        <is>
          <t xml:space="preserve"> </t>
        </is>
      </c>
      <c r="C304" t="inlineStr">
        <is>
          <t>NG005002</t>
        </is>
      </c>
      <c r="D304" t="inlineStr">
        <is>
          <t>Bauchi</t>
        </is>
      </c>
      <c r="E304" t="inlineStr">
        <is>
          <t>NG005</t>
        </is>
      </c>
      <c r="F304" t="inlineStr">
        <is>
          <t>Nigeria</t>
        </is>
      </c>
      <c r="G304" t="inlineStr">
        <is>
          <t>NGA</t>
        </is>
      </c>
    </row>
    <row r="305">
      <c r="A305" t="inlineStr">
        <is>
          <t>Batsari</t>
        </is>
      </c>
      <c r="B305" t="inlineStr">
        <is>
          <t xml:space="preserve"> </t>
        </is>
      </c>
      <c r="C305" t="inlineStr">
        <is>
          <t>NG021003</t>
        </is>
      </c>
      <c r="D305" t="inlineStr">
        <is>
          <t>Katsina</t>
        </is>
      </c>
      <c r="E305" t="inlineStr">
        <is>
          <t>NG021</t>
        </is>
      </c>
      <c r="F305" t="inlineStr">
        <is>
          <t>Nigeria</t>
        </is>
      </c>
      <c r="G305" t="inlineStr">
        <is>
          <t>NGA</t>
        </is>
      </c>
    </row>
    <row r="306">
      <c r="A306" t="inlineStr">
        <is>
          <t>Batagarawa</t>
        </is>
      </c>
      <c r="B306" t="inlineStr">
        <is>
          <t xml:space="preserve"> </t>
        </is>
      </c>
      <c r="C306" t="inlineStr">
        <is>
          <t>NG021002</t>
        </is>
      </c>
      <c r="D306" t="inlineStr">
        <is>
          <t>Katsina</t>
        </is>
      </c>
      <c r="E306" t="inlineStr">
        <is>
          <t>NG021</t>
        </is>
      </c>
      <c r="F306" t="inlineStr">
        <is>
          <t>Nigeria</t>
        </is>
      </c>
      <c r="G306" t="inlineStr">
        <is>
          <t>NGA</t>
        </is>
      </c>
    </row>
    <row r="307">
      <c r="A307" t="inlineStr">
        <is>
          <t>Bassa</t>
        </is>
      </c>
      <c r="B307" t="inlineStr">
        <is>
          <t xml:space="preserve"> </t>
        </is>
      </c>
      <c r="C307" t="inlineStr">
        <is>
          <t>NG032002</t>
        </is>
      </c>
      <c r="D307" t="inlineStr">
        <is>
          <t>Plateau</t>
        </is>
      </c>
      <c r="E307" t="inlineStr">
        <is>
          <t>NG032</t>
        </is>
      </c>
      <c r="F307" t="inlineStr">
        <is>
          <t>Nigeria</t>
        </is>
      </c>
      <c r="G307" t="inlineStr">
        <is>
          <t>NGA</t>
        </is>
      </c>
    </row>
    <row r="308">
      <c r="A308" t="inlineStr">
        <is>
          <t>Bassa</t>
        </is>
      </c>
      <c r="B308" t="inlineStr">
        <is>
          <t xml:space="preserve"> </t>
        </is>
      </c>
      <c r="C308" t="inlineStr">
        <is>
          <t>NG023004</t>
        </is>
      </c>
      <c r="D308" t="inlineStr">
        <is>
          <t>Kogi</t>
        </is>
      </c>
      <c r="E308" t="inlineStr">
        <is>
          <t>NG023</t>
        </is>
      </c>
      <c r="F308" t="inlineStr">
        <is>
          <t>Nigeria</t>
        </is>
      </c>
      <c r="G308" t="inlineStr">
        <is>
          <t>NGA</t>
        </is>
      </c>
    </row>
    <row r="309">
      <c r="A309" t="inlineStr">
        <is>
          <t>Baruten</t>
        </is>
      </c>
      <c r="B309" t="inlineStr">
        <is>
          <t xml:space="preserve"> </t>
        </is>
      </c>
      <c r="C309" t="inlineStr">
        <is>
          <t>NG024002</t>
        </is>
      </c>
      <c r="D309" t="inlineStr">
        <is>
          <t>Kwara</t>
        </is>
      </c>
      <c r="E309" t="inlineStr">
        <is>
          <t>NG024</t>
        </is>
      </c>
      <c r="F309" t="inlineStr">
        <is>
          <t>Nigeria</t>
        </is>
      </c>
      <c r="G309" t="inlineStr">
        <is>
          <t>NGA</t>
        </is>
      </c>
    </row>
    <row r="310">
      <c r="A310" t="inlineStr">
        <is>
          <t>Barikin Ladi</t>
        </is>
      </c>
      <c r="B310" t="inlineStr">
        <is>
          <t xml:space="preserve"> </t>
        </is>
      </c>
      <c r="C310" t="inlineStr">
        <is>
          <t>NG032001</t>
        </is>
      </c>
      <c r="D310" t="inlineStr">
        <is>
          <t>Plateau</t>
        </is>
      </c>
      <c r="E310" t="inlineStr">
        <is>
          <t>NG032</t>
        </is>
      </c>
      <c r="F310" t="inlineStr">
        <is>
          <t>Nigeria</t>
        </is>
      </c>
      <c r="G310" t="inlineStr">
        <is>
          <t>NGA</t>
        </is>
      </c>
    </row>
    <row r="311">
      <c r="A311" t="inlineStr">
        <is>
          <t>Bama</t>
        </is>
      </c>
      <c r="B311" t="inlineStr">
        <is>
          <t xml:space="preserve"> </t>
        </is>
      </c>
      <c r="C311" t="inlineStr">
        <is>
          <t>NG008003</t>
        </is>
      </c>
      <c r="D311" t="inlineStr">
        <is>
          <t>Borno</t>
        </is>
      </c>
      <c r="E311" t="inlineStr">
        <is>
          <t>NG008</t>
        </is>
      </c>
      <c r="F311" t="inlineStr">
        <is>
          <t>Nigeria</t>
        </is>
      </c>
      <c r="G311" t="inlineStr">
        <is>
          <t>NGA</t>
        </is>
      </c>
    </row>
    <row r="312">
      <c r="A312" t="inlineStr">
        <is>
          <t>Bali</t>
        </is>
      </c>
      <c r="B312" t="inlineStr">
        <is>
          <t xml:space="preserve"> </t>
        </is>
      </c>
      <c r="C312" t="inlineStr">
        <is>
          <t>NG035002</t>
        </is>
      </c>
      <c r="D312" t="inlineStr">
        <is>
          <t>Taraba</t>
        </is>
      </c>
      <c r="E312" t="inlineStr">
        <is>
          <t>NG035</t>
        </is>
      </c>
      <c r="F312" t="inlineStr">
        <is>
          <t>Nigeria</t>
        </is>
      </c>
      <c r="G312" t="inlineStr">
        <is>
          <t>NGA</t>
        </is>
      </c>
    </row>
    <row r="313">
      <c r="A313" t="inlineStr">
        <is>
          <t>Balanga</t>
        </is>
      </c>
      <c r="B313" t="inlineStr">
        <is>
          <t xml:space="preserve"> </t>
        </is>
      </c>
      <c r="C313" t="inlineStr">
        <is>
          <t>NG016002</t>
        </is>
      </c>
      <c r="D313" t="inlineStr">
        <is>
          <t>Gombe</t>
        </is>
      </c>
      <c r="E313" t="inlineStr">
        <is>
          <t>NG016</t>
        </is>
      </c>
      <c r="F313" t="inlineStr">
        <is>
          <t>Nigeria</t>
        </is>
      </c>
      <c r="G313" t="inlineStr">
        <is>
          <t>NGA</t>
        </is>
      </c>
    </row>
    <row r="314">
      <c r="A314" t="inlineStr">
        <is>
          <t>Bakura</t>
        </is>
      </c>
      <c r="B314" t="inlineStr">
        <is>
          <t xml:space="preserve"> </t>
        </is>
      </c>
      <c r="C314" t="inlineStr">
        <is>
          <t>NG037002</t>
        </is>
      </c>
      <c r="D314" t="inlineStr">
        <is>
          <t>Zamfara</t>
        </is>
      </c>
      <c r="E314" t="inlineStr">
        <is>
          <t>NG037</t>
        </is>
      </c>
      <c r="F314" t="inlineStr">
        <is>
          <t>Nigeria</t>
        </is>
      </c>
      <c r="G314" t="inlineStr">
        <is>
          <t>NGA</t>
        </is>
      </c>
    </row>
    <row r="315">
      <c r="A315" t="inlineStr">
        <is>
          <t>Bakori</t>
        </is>
      </c>
      <c r="B315" t="inlineStr">
        <is>
          <t xml:space="preserve"> </t>
        </is>
      </c>
      <c r="C315" t="inlineStr">
        <is>
          <t>NG021001</t>
        </is>
      </c>
      <c r="D315" t="inlineStr">
        <is>
          <t>Katsina</t>
        </is>
      </c>
      <c r="E315" t="inlineStr">
        <is>
          <t>NG021</t>
        </is>
      </c>
      <c r="F315" t="inlineStr">
        <is>
          <t>Nigeria</t>
        </is>
      </c>
      <c r="G315" t="inlineStr">
        <is>
          <t>NGA</t>
        </is>
      </c>
    </row>
    <row r="316">
      <c r="A316" t="inlineStr">
        <is>
          <t>Bakassi</t>
        </is>
      </c>
      <c r="B316" t="inlineStr">
        <is>
          <t xml:space="preserve"> </t>
        </is>
      </c>
      <c r="C316" t="inlineStr">
        <is>
          <t>NG009005</t>
        </is>
      </c>
      <c r="D316" t="inlineStr">
        <is>
          <t>Cross River</t>
        </is>
      </c>
      <c r="E316" t="inlineStr">
        <is>
          <t>NG009</t>
        </is>
      </c>
      <c r="F316" t="inlineStr">
        <is>
          <t>Nigeria</t>
        </is>
      </c>
      <c r="G316" t="inlineStr">
        <is>
          <t>NGA</t>
        </is>
      </c>
    </row>
    <row r="317">
      <c r="A317" t="inlineStr">
        <is>
          <t>Bagwai</t>
        </is>
      </c>
      <c r="B317" t="inlineStr">
        <is>
          <t xml:space="preserve"> </t>
        </is>
      </c>
      <c r="C317" t="inlineStr">
        <is>
          <t>NG020003</t>
        </is>
      </c>
      <c r="D317" t="inlineStr">
        <is>
          <t>Kano</t>
        </is>
      </c>
      <c r="E317" t="inlineStr">
        <is>
          <t>NG020</t>
        </is>
      </c>
      <c r="F317" t="inlineStr">
        <is>
          <t>Nigeria</t>
        </is>
      </c>
      <c r="G317" t="inlineStr">
        <is>
          <t>NGA</t>
        </is>
      </c>
    </row>
    <row r="318">
      <c r="A318" t="inlineStr">
        <is>
          <t>Bagudo</t>
        </is>
      </c>
      <c r="B318" t="inlineStr">
        <is>
          <t xml:space="preserve"> </t>
        </is>
      </c>
      <c r="C318" t="inlineStr">
        <is>
          <t>NG022005</t>
        </is>
      </c>
      <c r="D318" t="inlineStr">
        <is>
          <t>Kebbi</t>
        </is>
      </c>
      <c r="E318" t="inlineStr">
        <is>
          <t>NG022</t>
        </is>
      </c>
      <c r="F318" t="inlineStr">
        <is>
          <t>Nigeria</t>
        </is>
      </c>
      <c r="G318" t="inlineStr">
        <is>
          <t>NGA</t>
        </is>
      </c>
    </row>
    <row r="319">
      <c r="A319" t="inlineStr">
        <is>
          <t>Bade</t>
        </is>
      </c>
      <c r="B319" t="inlineStr">
        <is>
          <t xml:space="preserve"> </t>
        </is>
      </c>
      <c r="C319" t="inlineStr">
        <is>
          <t>NG036001</t>
        </is>
      </c>
      <c r="D319" t="inlineStr">
        <is>
          <t>Yobe</t>
        </is>
      </c>
      <c r="E319" t="inlineStr">
        <is>
          <t>NG036</t>
        </is>
      </c>
      <c r="F319" t="inlineStr">
        <is>
          <t>Nigeria</t>
        </is>
      </c>
      <c r="G319" t="inlineStr">
        <is>
          <t>NGA</t>
        </is>
      </c>
    </row>
    <row r="320">
      <c r="A320" t="inlineStr">
        <is>
          <t>Badagry</t>
        </is>
      </c>
      <c r="B320" t="inlineStr">
        <is>
          <t xml:space="preserve"> </t>
        </is>
      </c>
      <c r="C320" t="inlineStr">
        <is>
          <t>NG025006</t>
        </is>
      </c>
      <c r="D320" t="inlineStr">
        <is>
          <t>Lagos</t>
        </is>
      </c>
      <c r="E320" t="inlineStr">
        <is>
          <t>NG025</t>
        </is>
      </c>
      <c r="F320" t="inlineStr">
        <is>
          <t>Nigeria</t>
        </is>
      </c>
      <c r="G320" t="inlineStr">
        <is>
          <t>NGA</t>
        </is>
      </c>
    </row>
    <row r="321">
      <c r="A321" t="inlineStr">
        <is>
          <t>Babura</t>
        </is>
      </c>
      <c r="B321" t="inlineStr">
        <is>
          <t xml:space="preserve"> </t>
        </is>
      </c>
      <c r="C321" t="inlineStr">
        <is>
          <t>NG018002</t>
        </is>
      </c>
      <c r="D321" t="inlineStr">
        <is>
          <t>Jigawa</t>
        </is>
      </c>
      <c r="E321" t="inlineStr">
        <is>
          <t>NG018</t>
        </is>
      </c>
      <c r="F321" t="inlineStr">
        <is>
          <t>Nigeria</t>
        </is>
      </c>
      <c r="G321" t="inlineStr">
        <is>
          <t>NGA</t>
        </is>
      </c>
    </row>
    <row r="322">
      <c r="A322" t="inlineStr">
        <is>
          <t>Ayamelum</t>
        </is>
      </c>
      <c r="B322" t="inlineStr">
        <is>
          <t xml:space="preserve"> </t>
        </is>
      </c>
      <c r="C322" t="inlineStr">
        <is>
          <t>NG004007</t>
        </is>
      </c>
      <c r="D322" t="inlineStr">
        <is>
          <t>Anambra</t>
        </is>
      </c>
      <c r="E322" t="inlineStr">
        <is>
          <t>NG004</t>
        </is>
      </c>
      <c r="F322" t="inlineStr">
        <is>
          <t>Nigeria</t>
        </is>
      </c>
      <c r="G322" t="inlineStr">
        <is>
          <t>NGA</t>
        </is>
      </c>
    </row>
    <row r="323">
      <c r="A323" t="inlineStr">
        <is>
          <t>Awka South</t>
        </is>
      </c>
      <c r="B323" t="inlineStr">
        <is>
          <t xml:space="preserve"> </t>
        </is>
      </c>
      <c r="C323" t="inlineStr">
        <is>
          <t>NG004006</t>
        </is>
      </c>
      <c r="D323" t="inlineStr">
        <is>
          <t>Anambra</t>
        </is>
      </c>
      <c r="E323" t="inlineStr">
        <is>
          <t>NG004</t>
        </is>
      </c>
      <c r="F323" t="inlineStr">
        <is>
          <t>Nigeria</t>
        </is>
      </c>
      <c r="G323" t="inlineStr">
        <is>
          <t>NGA</t>
        </is>
      </c>
    </row>
    <row r="324">
      <c r="A324" t="inlineStr">
        <is>
          <t>Awka North</t>
        </is>
      </c>
      <c r="B324" t="inlineStr">
        <is>
          <t xml:space="preserve"> </t>
        </is>
      </c>
      <c r="C324" t="inlineStr">
        <is>
          <t>NG004005</t>
        </is>
      </c>
      <c r="D324" t="inlineStr">
        <is>
          <t>Anambra</t>
        </is>
      </c>
      <c r="E324" t="inlineStr">
        <is>
          <t>NG004</t>
        </is>
      </c>
      <c r="F324" t="inlineStr">
        <is>
          <t>Nigeria</t>
        </is>
      </c>
      <c r="G324" t="inlineStr">
        <is>
          <t>NGA</t>
        </is>
      </c>
    </row>
    <row r="325">
      <c r="A325" t="inlineStr">
        <is>
          <t>Awgu</t>
        </is>
      </c>
      <c r="B325" t="inlineStr">
        <is>
          <t xml:space="preserve"> </t>
        </is>
      </c>
      <c r="C325" t="inlineStr">
        <is>
          <t>NG014002</t>
        </is>
      </c>
      <c r="D325" t="inlineStr">
        <is>
          <t>Enugu</t>
        </is>
      </c>
      <c r="E325" t="inlineStr">
        <is>
          <t>NG014</t>
        </is>
      </c>
      <c r="F325" t="inlineStr">
        <is>
          <t>Nigeria</t>
        </is>
      </c>
      <c r="G325" t="inlineStr">
        <is>
          <t>NGA</t>
        </is>
      </c>
    </row>
    <row r="326">
      <c r="A326" t="inlineStr">
        <is>
          <t>Awe</t>
        </is>
      </c>
      <c r="B326" t="inlineStr">
        <is>
          <t xml:space="preserve"> </t>
        </is>
      </c>
      <c r="C326" t="inlineStr">
        <is>
          <t>NG026002</t>
        </is>
      </c>
      <c r="D326" t="inlineStr">
        <is>
          <t>Nasarawa</t>
        </is>
      </c>
      <c r="E326" t="inlineStr">
        <is>
          <t>NG026</t>
        </is>
      </c>
      <c r="F326" t="inlineStr">
        <is>
          <t>Nigeria</t>
        </is>
      </c>
      <c r="G326" t="inlineStr">
        <is>
          <t>NGA</t>
        </is>
      </c>
    </row>
    <row r="327">
      <c r="A327" t="inlineStr">
        <is>
          <t>Auyo</t>
        </is>
      </c>
      <c r="B327" t="inlineStr">
        <is>
          <t xml:space="preserve"> </t>
        </is>
      </c>
      <c r="C327" t="inlineStr">
        <is>
          <t>NG018001</t>
        </is>
      </c>
      <c r="D327" t="inlineStr">
        <is>
          <t>Jigawa</t>
        </is>
      </c>
      <c r="E327" t="inlineStr">
        <is>
          <t>NG018</t>
        </is>
      </c>
      <c r="F327" t="inlineStr">
        <is>
          <t>Nigeria</t>
        </is>
      </c>
      <c r="G327" t="inlineStr">
        <is>
          <t>NGA</t>
        </is>
      </c>
    </row>
    <row r="328">
      <c r="A328" t="inlineStr">
        <is>
          <t>Augie</t>
        </is>
      </c>
      <c r="B328" t="inlineStr">
        <is>
          <t xml:space="preserve"> </t>
        </is>
      </c>
      <c r="C328" t="inlineStr">
        <is>
          <t>NG022004</t>
        </is>
      </c>
      <c r="D328" t="inlineStr">
        <is>
          <t>Kebbi</t>
        </is>
      </c>
      <c r="E328" t="inlineStr">
        <is>
          <t>NG022</t>
        </is>
      </c>
      <c r="F328" t="inlineStr">
        <is>
          <t>Nigeria</t>
        </is>
      </c>
      <c r="G328" t="inlineStr">
        <is>
          <t>NGA</t>
        </is>
      </c>
    </row>
    <row r="329">
      <c r="A329" t="inlineStr">
        <is>
          <t>Atigbo</t>
        </is>
      </c>
      <c r="B329" t="inlineStr">
        <is>
          <t xml:space="preserve"> </t>
        </is>
      </c>
      <c r="C329" t="inlineStr">
        <is>
          <t>NG031004</t>
        </is>
      </c>
      <c r="D329" t="inlineStr">
        <is>
          <t>Oyo</t>
        </is>
      </c>
      <c r="E329" t="inlineStr">
        <is>
          <t>NG031</t>
        </is>
      </c>
      <c r="F329" t="inlineStr">
        <is>
          <t>Nigeria</t>
        </is>
      </c>
      <c r="G329" t="inlineStr">
        <is>
          <t>NGA</t>
        </is>
      </c>
    </row>
    <row r="330">
      <c r="A330" t="inlineStr">
        <is>
          <t>Atiba</t>
        </is>
      </c>
      <c r="B330" t="inlineStr">
        <is>
          <t xml:space="preserve"> </t>
        </is>
      </c>
      <c r="C330" t="inlineStr">
        <is>
          <t>NG031003</t>
        </is>
      </c>
      <c r="D330" t="inlineStr">
        <is>
          <t>Oyo</t>
        </is>
      </c>
      <c r="E330" t="inlineStr">
        <is>
          <t>NG031</t>
        </is>
      </c>
      <c r="F330" t="inlineStr">
        <is>
          <t>Nigeria</t>
        </is>
      </c>
      <c r="G330" t="inlineStr">
        <is>
          <t>NGA</t>
        </is>
      </c>
    </row>
    <row r="331">
      <c r="A331" t="inlineStr">
        <is>
          <t>Atakumosa West</t>
        </is>
      </c>
      <c r="B331" t="inlineStr">
        <is>
          <t xml:space="preserve"> </t>
        </is>
      </c>
      <c r="C331" t="inlineStr">
        <is>
          <t>NG030004</t>
        </is>
      </c>
      <c r="D331" t="inlineStr">
        <is>
          <t>Osun</t>
        </is>
      </c>
      <c r="E331" t="inlineStr">
        <is>
          <t>NG030</t>
        </is>
      </c>
      <c r="F331" t="inlineStr">
        <is>
          <t>Nigeria</t>
        </is>
      </c>
      <c r="G331" t="inlineStr">
        <is>
          <t>NGA</t>
        </is>
      </c>
    </row>
    <row r="332">
      <c r="A332" t="inlineStr">
        <is>
          <t>Atakumosa East</t>
        </is>
      </c>
      <c r="B332" t="inlineStr">
        <is>
          <t xml:space="preserve"> </t>
        </is>
      </c>
      <c r="C332" t="inlineStr">
        <is>
          <t>NG030003</t>
        </is>
      </c>
      <c r="D332" t="inlineStr">
        <is>
          <t>Osun</t>
        </is>
      </c>
      <c r="E332" t="inlineStr">
        <is>
          <t>NG030</t>
        </is>
      </c>
      <c r="F332" t="inlineStr">
        <is>
          <t>Nigeria</t>
        </is>
      </c>
      <c r="G332" t="inlineStr">
        <is>
          <t>NGA</t>
        </is>
      </c>
    </row>
    <row r="333">
      <c r="A333" t="inlineStr">
        <is>
          <t>Askira/Uba</t>
        </is>
      </c>
      <c r="B333" t="inlineStr">
        <is>
          <t xml:space="preserve"> </t>
        </is>
      </c>
      <c r="C333" t="inlineStr">
        <is>
          <t>NG008002</t>
        </is>
      </c>
      <c r="D333" t="inlineStr">
        <is>
          <t>Borno</t>
        </is>
      </c>
      <c r="E333" t="inlineStr">
        <is>
          <t>NG008</t>
        </is>
      </c>
      <c r="F333" t="inlineStr">
        <is>
          <t>Nigeria</t>
        </is>
      </c>
      <c r="G333" t="inlineStr">
        <is>
          <t>NGA</t>
        </is>
      </c>
    </row>
    <row r="334">
      <c r="A334" t="inlineStr">
        <is>
          <t>Asari-Toru</t>
        </is>
      </c>
      <c r="B334" t="inlineStr">
        <is>
          <t xml:space="preserve"> </t>
        </is>
      </c>
      <c r="C334" t="inlineStr">
        <is>
          <t>NG033006</t>
        </is>
      </c>
      <c r="D334" t="inlineStr">
        <is>
          <t>Rivers</t>
        </is>
      </c>
      <c r="E334" t="inlineStr">
        <is>
          <t>NG033</t>
        </is>
      </c>
      <c r="F334" t="inlineStr">
        <is>
          <t>Nigeria</t>
        </is>
      </c>
      <c r="G334" t="inlineStr">
        <is>
          <t>NGA</t>
        </is>
      </c>
    </row>
    <row r="335">
      <c r="A335" t="inlineStr">
        <is>
          <t>Asa</t>
        </is>
      </c>
      <c r="B335" t="inlineStr">
        <is>
          <t xml:space="preserve"> </t>
        </is>
      </c>
      <c r="C335" t="inlineStr">
        <is>
          <t>NG024001</t>
        </is>
      </c>
      <c r="D335" t="inlineStr">
        <is>
          <t>Kwara</t>
        </is>
      </c>
      <c r="E335" t="inlineStr">
        <is>
          <t>NG024</t>
        </is>
      </c>
      <c r="F335" t="inlineStr">
        <is>
          <t>Nigeria</t>
        </is>
      </c>
      <c r="G335" t="inlineStr">
        <is>
          <t>NGA</t>
        </is>
      </c>
    </row>
    <row r="336">
      <c r="A336" t="inlineStr">
        <is>
          <t>Arochukwu</t>
        </is>
      </c>
      <c r="B336" t="inlineStr">
        <is>
          <t xml:space="preserve"> </t>
        </is>
      </c>
      <c r="C336" t="inlineStr">
        <is>
          <t>NG001003</t>
        </is>
      </c>
      <c r="D336" t="inlineStr">
        <is>
          <t>Abia</t>
        </is>
      </c>
      <c r="E336" t="inlineStr">
        <is>
          <t>NG001</t>
        </is>
      </c>
      <c r="F336" t="inlineStr">
        <is>
          <t>Nigeria</t>
        </is>
      </c>
      <c r="G336" t="inlineStr">
        <is>
          <t>NGA</t>
        </is>
      </c>
    </row>
    <row r="337">
      <c r="A337" t="inlineStr">
        <is>
          <t>Argungu</t>
        </is>
      </c>
      <c r="B337" t="inlineStr">
        <is>
          <t xml:space="preserve"> </t>
        </is>
      </c>
      <c r="C337" t="inlineStr">
        <is>
          <t>NG022003</t>
        </is>
      </c>
      <c r="D337" t="inlineStr">
        <is>
          <t>Kebbi</t>
        </is>
      </c>
      <c r="E337" t="inlineStr">
        <is>
          <t>NG022</t>
        </is>
      </c>
      <c r="F337" t="inlineStr">
        <is>
          <t>Nigeria</t>
        </is>
      </c>
      <c r="G337" t="inlineStr">
        <is>
          <t>NGA</t>
        </is>
      </c>
    </row>
    <row r="338">
      <c r="A338" t="inlineStr">
        <is>
          <t>Arewa-Dandi</t>
        </is>
      </c>
      <c r="B338" t="inlineStr">
        <is>
          <t xml:space="preserve"> </t>
        </is>
      </c>
      <c r="C338" t="inlineStr">
        <is>
          <t>NG022002</t>
        </is>
      </c>
      <c r="D338" t="inlineStr">
        <is>
          <t>Kebbi</t>
        </is>
      </c>
      <c r="E338" t="inlineStr">
        <is>
          <t>NG022</t>
        </is>
      </c>
      <c r="F338" t="inlineStr">
        <is>
          <t>Nigeria</t>
        </is>
      </c>
      <c r="G338" t="inlineStr">
        <is>
          <t>NGA</t>
        </is>
      </c>
    </row>
    <row r="339">
      <c r="A339" t="inlineStr">
        <is>
          <t>Ardo-Kola</t>
        </is>
      </c>
      <c r="B339" t="inlineStr">
        <is>
          <t xml:space="preserve"> </t>
        </is>
      </c>
      <c r="C339" t="inlineStr">
        <is>
          <t>NG035001</t>
        </is>
      </c>
      <c r="D339" t="inlineStr">
        <is>
          <t>Taraba</t>
        </is>
      </c>
      <c r="E339" t="inlineStr">
        <is>
          <t>NG035</t>
        </is>
      </c>
      <c r="F339" t="inlineStr">
        <is>
          <t>Nigeria</t>
        </is>
      </c>
      <c r="G339" t="inlineStr">
        <is>
          <t>NGA</t>
        </is>
      </c>
    </row>
    <row r="340">
      <c r="A340" t="inlineStr">
        <is>
          <t>Apapa</t>
        </is>
      </c>
      <c r="B340" t="inlineStr">
        <is>
          <t xml:space="preserve"> </t>
        </is>
      </c>
      <c r="C340" t="inlineStr">
        <is>
          <t>NG025005</t>
        </is>
      </c>
      <c r="D340" t="inlineStr">
        <is>
          <t>Lagos</t>
        </is>
      </c>
      <c r="E340" t="inlineStr">
        <is>
          <t>NG025</t>
        </is>
      </c>
      <c r="F340" t="inlineStr">
        <is>
          <t>Nigeria</t>
        </is>
      </c>
      <c r="G340" t="inlineStr">
        <is>
          <t>NGA</t>
        </is>
      </c>
    </row>
    <row r="341">
      <c r="A341" t="inlineStr">
        <is>
          <t>Apa</t>
        </is>
      </c>
      <c r="B341" t="inlineStr">
        <is>
          <t xml:space="preserve"> </t>
        </is>
      </c>
      <c r="C341" t="inlineStr">
        <is>
          <t>NG007003</t>
        </is>
      </c>
      <c r="D341" t="inlineStr">
        <is>
          <t>Benue</t>
        </is>
      </c>
      <c r="E341" t="inlineStr">
        <is>
          <t>NG007</t>
        </is>
      </c>
      <c r="F341" t="inlineStr">
        <is>
          <t>Nigeria</t>
        </is>
      </c>
      <c r="G341" t="inlineStr">
        <is>
          <t>NGA</t>
        </is>
      </c>
    </row>
    <row r="342">
      <c r="A342" t="inlineStr">
        <is>
          <t>Ankpa</t>
        </is>
      </c>
      <c r="B342" t="inlineStr">
        <is>
          <t xml:space="preserve"> </t>
        </is>
      </c>
      <c r="C342" t="inlineStr">
        <is>
          <t>NG023003</t>
        </is>
      </c>
      <c r="D342" t="inlineStr">
        <is>
          <t>Kogi</t>
        </is>
      </c>
      <c r="E342" t="inlineStr">
        <is>
          <t>NG023</t>
        </is>
      </c>
      <c r="F342" t="inlineStr">
        <is>
          <t>Nigeria</t>
        </is>
      </c>
      <c r="G342" t="inlineStr">
        <is>
          <t>NGA</t>
        </is>
      </c>
    </row>
    <row r="343">
      <c r="A343" t="inlineStr">
        <is>
          <t>Anka</t>
        </is>
      </c>
      <c r="B343" t="inlineStr">
        <is>
          <t xml:space="preserve"> </t>
        </is>
      </c>
      <c r="C343" t="inlineStr">
        <is>
          <t>NG037001</t>
        </is>
      </c>
      <c r="D343" t="inlineStr">
        <is>
          <t>Zamfara</t>
        </is>
      </c>
      <c r="E343" t="inlineStr">
        <is>
          <t>NG037</t>
        </is>
      </c>
      <c r="F343" t="inlineStr">
        <is>
          <t>Nigeria</t>
        </is>
      </c>
      <c r="G343" t="inlineStr">
        <is>
          <t>NGA</t>
        </is>
      </c>
    </row>
    <row r="344">
      <c r="A344" t="inlineStr">
        <is>
          <t>Aniocha South</t>
        </is>
      </c>
      <c r="B344" t="inlineStr">
        <is>
          <t xml:space="preserve"> </t>
        </is>
      </c>
      <c r="C344" t="inlineStr">
        <is>
          <t>NG010002</t>
        </is>
      </c>
      <c r="D344" t="inlineStr">
        <is>
          <t>Delta</t>
        </is>
      </c>
      <c r="E344" t="inlineStr">
        <is>
          <t>NG010</t>
        </is>
      </c>
      <c r="F344" t="inlineStr">
        <is>
          <t>Nigeria</t>
        </is>
      </c>
      <c r="G344" t="inlineStr">
        <is>
          <t>NGA</t>
        </is>
      </c>
    </row>
    <row r="345">
      <c r="A345" t="inlineStr">
        <is>
          <t>Aniocha North</t>
        </is>
      </c>
      <c r="B345" t="inlineStr">
        <is>
          <t xml:space="preserve"> </t>
        </is>
      </c>
      <c r="C345" t="inlineStr">
        <is>
          <t>NG010001</t>
        </is>
      </c>
      <c r="D345" t="inlineStr">
        <is>
          <t>Delta</t>
        </is>
      </c>
      <c r="E345" t="inlineStr">
        <is>
          <t>NG010</t>
        </is>
      </c>
      <c r="F345" t="inlineStr">
        <is>
          <t>Nigeria</t>
        </is>
      </c>
      <c r="G345" t="inlineStr">
        <is>
          <t>NGA</t>
        </is>
      </c>
    </row>
    <row r="346">
      <c r="A346" t="inlineStr">
        <is>
          <t>Aninri</t>
        </is>
      </c>
      <c r="B346" t="inlineStr">
        <is>
          <t xml:space="preserve"> </t>
        </is>
      </c>
      <c r="C346" t="inlineStr">
        <is>
          <t>NG014001</t>
        </is>
      </c>
      <c r="D346" t="inlineStr">
        <is>
          <t>Enugu</t>
        </is>
      </c>
      <c r="E346" t="inlineStr">
        <is>
          <t>NG014</t>
        </is>
      </c>
      <c r="F346" t="inlineStr">
        <is>
          <t>Nigeria</t>
        </is>
      </c>
      <c r="G346" t="inlineStr">
        <is>
          <t>NGA</t>
        </is>
      </c>
    </row>
    <row r="347">
      <c r="A347" t="inlineStr">
        <is>
          <t>Andoni</t>
        </is>
      </c>
      <c r="B347" t="inlineStr">
        <is>
          <t xml:space="preserve"> </t>
        </is>
      </c>
      <c r="C347" t="inlineStr">
        <is>
          <t>NG033005</t>
        </is>
      </c>
      <c r="D347" t="inlineStr">
        <is>
          <t>Rivers</t>
        </is>
      </c>
      <c r="E347" t="inlineStr">
        <is>
          <t>NG033</t>
        </is>
      </c>
      <c r="F347" t="inlineStr">
        <is>
          <t>Nigeria</t>
        </is>
      </c>
      <c r="G347" t="inlineStr">
        <is>
          <t>NGA</t>
        </is>
      </c>
    </row>
    <row r="348">
      <c r="A348" t="inlineStr">
        <is>
          <t>Anaocha</t>
        </is>
      </c>
      <c r="B348" t="inlineStr">
        <is>
          <t xml:space="preserve"> </t>
        </is>
      </c>
      <c r="C348" t="inlineStr">
        <is>
          <t>NG004004</t>
        </is>
      </c>
      <c r="D348" t="inlineStr">
        <is>
          <t>Anambra</t>
        </is>
      </c>
      <c r="E348" t="inlineStr">
        <is>
          <t>NG004</t>
        </is>
      </c>
      <c r="F348" t="inlineStr">
        <is>
          <t>Nigeria</t>
        </is>
      </c>
      <c r="G348" t="inlineStr">
        <is>
          <t>NGA</t>
        </is>
      </c>
    </row>
    <row r="349">
      <c r="A349" t="inlineStr">
        <is>
          <t>Anambra West</t>
        </is>
      </c>
      <c r="B349" t="inlineStr">
        <is>
          <t xml:space="preserve"> </t>
        </is>
      </c>
      <c r="C349" t="inlineStr">
        <is>
          <t>NG004003</t>
        </is>
      </c>
      <c r="D349" t="inlineStr">
        <is>
          <t>Anambra</t>
        </is>
      </c>
      <c r="E349" t="inlineStr">
        <is>
          <t>NG004</t>
        </is>
      </c>
      <c r="F349" t="inlineStr">
        <is>
          <t>Nigeria</t>
        </is>
      </c>
      <c r="G349" t="inlineStr">
        <is>
          <t>NGA</t>
        </is>
      </c>
    </row>
    <row r="350">
      <c r="A350" t="inlineStr">
        <is>
          <t>Anambra East</t>
        </is>
      </c>
      <c r="B350" t="inlineStr">
        <is>
          <t xml:space="preserve"> </t>
        </is>
      </c>
      <c r="C350" t="inlineStr">
        <is>
          <t>NG004002</t>
        </is>
      </c>
      <c r="D350" t="inlineStr">
        <is>
          <t>Anambra</t>
        </is>
      </c>
      <c r="E350" t="inlineStr">
        <is>
          <t>NG004</t>
        </is>
      </c>
      <c r="F350" t="inlineStr">
        <is>
          <t>Nigeria</t>
        </is>
      </c>
      <c r="G350" t="inlineStr">
        <is>
          <t>NGA</t>
        </is>
      </c>
    </row>
    <row r="351">
      <c r="A351" t="inlineStr">
        <is>
          <t>Amuwo-Odofin</t>
        </is>
      </c>
      <c r="B351" t="inlineStr">
        <is>
          <t xml:space="preserve"> </t>
        </is>
      </c>
      <c r="C351" t="inlineStr">
        <is>
          <t>NG025004</t>
        </is>
      </c>
      <c r="D351" t="inlineStr">
        <is>
          <t>Lagos</t>
        </is>
      </c>
      <c r="E351" t="inlineStr">
        <is>
          <t>NG025</t>
        </is>
      </c>
      <c r="F351" t="inlineStr">
        <is>
          <t>Nigeria</t>
        </is>
      </c>
      <c r="G351" t="inlineStr">
        <is>
          <t>NGA</t>
        </is>
      </c>
    </row>
    <row r="352">
      <c r="A352" t="inlineStr">
        <is>
          <t>Alkaleri</t>
        </is>
      </c>
      <c r="B352" t="inlineStr">
        <is>
          <t xml:space="preserve"> </t>
        </is>
      </c>
      <c r="C352" t="inlineStr">
        <is>
          <t>NG005001</t>
        </is>
      </c>
      <c r="D352" t="inlineStr">
        <is>
          <t>Bauchi</t>
        </is>
      </c>
      <c r="E352" t="inlineStr">
        <is>
          <t>NG005</t>
        </is>
      </c>
      <c r="F352" t="inlineStr">
        <is>
          <t>Nigeria</t>
        </is>
      </c>
      <c r="G352" t="inlineStr">
        <is>
          <t>NGA</t>
        </is>
      </c>
    </row>
    <row r="353">
      <c r="A353" t="inlineStr">
        <is>
          <t>Alimosho</t>
        </is>
      </c>
      <c r="B353" t="inlineStr">
        <is>
          <t xml:space="preserve"> </t>
        </is>
      </c>
      <c r="C353" t="inlineStr">
        <is>
          <t>NG025003</t>
        </is>
      </c>
      <c r="D353" t="inlineStr">
        <is>
          <t>Lagos</t>
        </is>
      </c>
      <c r="E353" t="inlineStr">
        <is>
          <t>NG025</t>
        </is>
      </c>
      <c r="F353" t="inlineStr">
        <is>
          <t>Nigeria</t>
        </is>
      </c>
      <c r="G353" t="inlineStr">
        <is>
          <t>NGA</t>
        </is>
      </c>
    </row>
    <row r="354">
      <c r="A354" t="inlineStr">
        <is>
          <t>Aleiro</t>
        </is>
      </c>
      <c r="B354" t="inlineStr">
        <is>
          <t xml:space="preserve"> </t>
        </is>
      </c>
      <c r="C354" t="inlineStr">
        <is>
          <t>NG022001</t>
        </is>
      </c>
      <c r="D354" t="inlineStr">
        <is>
          <t>Kebbi</t>
        </is>
      </c>
      <c r="E354" t="inlineStr">
        <is>
          <t>NG022</t>
        </is>
      </c>
      <c r="F354" t="inlineStr">
        <is>
          <t>Nigeria</t>
        </is>
      </c>
      <c r="G354" t="inlineStr">
        <is>
          <t>NGA</t>
        </is>
      </c>
    </row>
    <row r="355">
      <c r="A355" t="inlineStr">
        <is>
          <t>Albasu</t>
        </is>
      </c>
      <c r="B355" t="inlineStr">
        <is>
          <t xml:space="preserve"> </t>
        </is>
      </c>
      <c r="C355" t="inlineStr">
        <is>
          <t>NG020002</t>
        </is>
      </c>
      <c r="D355" t="inlineStr">
        <is>
          <t>Kano</t>
        </is>
      </c>
      <c r="E355" t="inlineStr">
        <is>
          <t>NG020</t>
        </is>
      </c>
      <c r="F355" t="inlineStr">
        <is>
          <t>Nigeria</t>
        </is>
      </c>
      <c r="G355" t="inlineStr">
        <is>
          <t>NGA</t>
        </is>
      </c>
    </row>
    <row r="356">
      <c r="A356" t="inlineStr">
        <is>
          <t>Akwanga</t>
        </is>
      </c>
      <c r="B356" t="inlineStr">
        <is>
          <t xml:space="preserve"> </t>
        </is>
      </c>
      <c r="C356" t="inlineStr">
        <is>
          <t>NG026001</t>
        </is>
      </c>
      <c r="D356" t="inlineStr">
        <is>
          <t>Nasarawa</t>
        </is>
      </c>
      <c r="E356" t="inlineStr">
        <is>
          <t>NG026</t>
        </is>
      </c>
      <c r="F356" t="inlineStr">
        <is>
          <t>Nigeria</t>
        </is>
      </c>
      <c r="G356" t="inlineStr">
        <is>
          <t>NGA</t>
        </is>
      </c>
    </row>
    <row r="357">
      <c r="A357" t="inlineStr">
        <is>
          <t>Akure South</t>
        </is>
      </c>
      <c r="B357" t="inlineStr">
        <is>
          <t xml:space="preserve"> </t>
        </is>
      </c>
      <c r="C357" t="inlineStr">
        <is>
          <t>NG029006</t>
        </is>
      </c>
      <c r="D357" t="inlineStr">
        <is>
          <t>Ondo</t>
        </is>
      </c>
      <c r="E357" t="inlineStr">
        <is>
          <t>NG029</t>
        </is>
      </c>
      <c r="F357" t="inlineStr">
        <is>
          <t>Nigeria</t>
        </is>
      </c>
      <c r="G357" t="inlineStr">
        <is>
          <t>NGA</t>
        </is>
      </c>
    </row>
    <row r="358">
      <c r="A358" t="inlineStr">
        <is>
          <t>Akure North</t>
        </is>
      </c>
      <c r="B358" t="inlineStr">
        <is>
          <t xml:space="preserve"> </t>
        </is>
      </c>
      <c r="C358" t="inlineStr">
        <is>
          <t>NG029005</t>
        </is>
      </c>
      <c r="D358" t="inlineStr">
        <is>
          <t>Ondo</t>
        </is>
      </c>
      <c r="E358" t="inlineStr">
        <is>
          <t>NG029</t>
        </is>
      </c>
      <c r="F358" t="inlineStr">
        <is>
          <t>Nigeria</t>
        </is>
      </c>
      <c r="G358" t="inlineStr">
        <is>
          <t>NGA</t>
        </is>
      </c>
    </row>
    <row r="359">
      <c r="A359" t="inlineStr">
        <is>
          <t>Akuku Toru</t>
        </is>
      </c>
      <c r="B359" t="inlineStr">
        <is>
          <t xml:space="preserve"> </t>
        </is>
      </c>
      <c r="C359" t="inlineStr">
        <is>
          <t>NG033004</t>
        </is>
      </c>
      <c r="D359" t="inlineStr">
        <is>
          <t>Rivers</t>
        </is>
      </c>
      <c r="E359" t="inlineStr">
        <is>
          <t>NG033</t>
        </is>
      </c>
      <c r="F359" t="inlineStr">
        <is>
          <t>Nigeria</t>
        </is>
      </c>
      <c r="G359" t="inlineStr">
        <is>
          <t>NGA</t>
        </is>
      </c>
    </row>
    <row r="360">
      <c r="A360" t="inlineStr">
        <is>
          <t>Akpabuyo</t>
        </is>
      </c>
      <c r="B360" t="inlineStr">
        <is>
          <t xml:space="preserve"> </t>
        </is>
      </c>
      <c r="C360" t="inlineStr">
        <is>
          <t>NG009003</t>
        </is>
      </c>
      <c r="D360" t="inlineStr">
        <is>
          <t>Cross River</t>
        </is>
      </c>
      <c r="E360" t="inlineStr">
        <is>
          <t>NG009</t>
        </is>
      </c>
      <c r="F360" t="inlineStr">
        <is>
          <t>Nigeria</t>
        </is>
      </c>
      <c r="G360" t="inlineStr">
        <is>
          <t>NGA</t>
        </is>
      </c>
    </row>
    <row r="361">
      <c r="A361" t="inlineStr">
        <is>
          <t>Akoko South West</t>
        </is>
      </c>
      <c r="B361" t="inlineStr">
        <is>
          <t xml:space="preserve"> </t>
        </is>
      </c>
      <c r="C361" t="inlineStr">
        <is>
          <t>NG029004</t>
        </is>
      </c>
      <c r="D361" t="inlineStr">
        <is>
          <t>Ondo</t>
        </is>
      </c>
      <c r="E361" t="inlineStr">
        <is>
          <t>NG029</t>
        </is>
      </c>
      <c r="F361" t="inlineStr">
        <is>
          <t>Nigeria</t>
        </is>
      </c>
      <c r="G361" t="inlineStr">
        <is>
          <t>NGA</t>
        </is>
      </c>
    </row>
    <row r="362">
      <c r="A362" t="inlineStr">
        <is>
          <t>Akoko South East</t>
        </is>
      </c>
      <c r="B362" t="inlineStr">
        <is>
          <t xml:space="preserve"> </t>
        </is>
      </c>
      <c r="C362" t="inlineStr">
        <is>
          <t>NG029003</t>
        </is>
      </c>
      <c r="D362" t="inlineStr">
        <is>
          <t>Ondo</t>
        </is>
      </c>
      <c r="E362" t="inlineStr">
        <is>
          <t>NG029</t>
        </is>
      </c>
      <c r="F362" t="inlineStr">
        <is>
          <t>Nigeria</t>
        </is>
      </c>
      <c r="G362" t="inlineStr">
        <is>
          <t>NGA</t>
        </is>
      </c>
    </row>
    <row r="363">
      <c r="A363" t="inlineStr">
        <is>
          <t>Akoko North West</t>
        </is>
      </c>
      <c r="B363" t="inlineStr">
        <is>
          <t xml:space="preserve"> </t>
        </is>
      </c>
      <c r="C363" t="inlineStr">
        <is>
          <t>NG029002</t>
        </is>
      </c>
      <c r="D363" t="inlineStr">
        <is>
          <t>Ondo</t>
        </is>
      </c>
      <c r="E363" t="inlineStr">
        <is>
          <t>NG029</t>
        </is>
      </c>
      <c r="F363" t="inlineStr">
        <is>
          <t>Nigeria</t>
        </is>
      </c>
      <c r="G363" t="inlineStr">
        <is>
          <t>NGA</t>
        </is>
      </c>
    </row>
    <row r="364">
      <c r="A364" t="inlineStr">
        <is>
          <t>Akoko North East</t>
        </is>
      </c>
      <c r="B364" t="inlineStr">
        <is>
          <t xml:space="preserve"> </t>
        </is>
      </c>
      <c r="C364" t="inlineStr">
        <is>
          <t>NG029001</t>
        </is>
      </c>
      <c r="D364" t="inlineStr">
        <is>
          <t>Ondo</t>
        </is>
      </c>
      <c r="E364" t="inlineStr">
        <is>
          <t>NG029</t>
        </is>
      </c>
      <c r="F364" t="inlineStr">
        <is>
          <t>Nigeria</t>
        </is>
      </c>
      <c r="G364" t="inlineStr">
        <is>
          <t>NGA</t>
        </is>
      </c>
    </row>
    <row r="365">
      <c r="A365" t="inlineStr">
        <is>
          <t>Akoko-Edo</t>
        </is>
      </c>
      <c r="B365" t="inlineStr">
        <is>
          <t xml:space="preserve"> </t>
        </is>
      </c>
      <c r="C365" t="inlineStr">
        <is>
          <t>NG012001</t>
        </is>
      </c>
      <c r="D365" t="inlineStr">
        <is>
          <t>Edo</t>
        </is>
      </c>
      <c r="E365" t="inlineStr">
        <is>
          <t>NG012</t>
        </is>
      </c>
      <c r="F365" t="inlineStr">
        <is>
          <t>Nigeria</t>
        </is>
      </c>
      <c r="G365" t="inlineStr">
        <is>
          <t>NGA</t>
        </is>
      </c>
    </row>
    <row r="366">
      <c r="A366" t="inlineStr">
        <is>
          <t>Akko</t>
        </is>
      </c>
      <c r="B366" t="inlineStr">
        <is>
          <t xml:space="preserve"> </t>
        </is>
      </c>
      <c r="C366" t="inlineStr">
        <is>
          <t>NG016001</t>
        </is>
      </c>
      <c r="D366" t="inlineStr">
        <is>
          <t>Gombe</t>
        </is>
      </c>
      <c r="E366" t="inlineStr">
        <is>
          <t>NG016</t>
        </is>
      </c>
      <c r="F366" t="inlineStr">
        <is>
          <t>Nigeria</t>
        </is>
      </c>
      <c r="G366" t="inlineStr">
        <is>
          <t>NGA</t>
        </is>
      </c>
    </row>
    <row r="367">
      <c r="A367" t="inlineStr">
        <is>
          <t>Akinyele</t>
        </is>
      </c>
      <c r="B367" t="inlineStr">
        <is>
          <t xml:space="preserve"> </t>
        </is>
      </c>
      <c r="C367" t="inlineStr">
        <is>
          <t>NG031002</t>
        </is>
      </c>
      <c r="D367" t="inlineStr">
        <is>
          <t>Oyo</t>
        </is>
      </c>
      <c r="E367" t="inlineStr">
        <is>
          <t>NG031</t>
        </is>
      </c>
      <c r="F367" t="inlineStr">
        <is>
          <t>Nigeria</t>
        </is>
      </c>
      <c r="G367" t="inlineStr">
        <is>
          <t>NGA</t>
        </is>
      </c>
    </row>
    <row r="368">
      <c r="A368" t="inlineStr">
        <is>
          <t>Akamkpa</t>
        </is>
      </c>
      <c r="B368" t="inlineStr">
        <is>
          <t xml:space="preserve"> </t>
        </is>
      </c>
      <c r="C368" t="inlineStr">
        <is>
          <t>NG009002</t>
        </is>
      </c>
      <c r="D368" t="inlineStr">
        <is>
          <t>Cross River</t>
        </is>
      </c>
      <c r="E368" t="inlineStr">
        <is>
          <t>NG009</t>
        </is>
      </c>
      <c r="F368" t="inlineStr">
        <is>
          <t>Nigeria</t>
        </is>
      </c>
      <c r="G368" t="inlineStr">
        <is>
          <t>NGA</t>
        </is>
      </c>
    </row>
    <row r="369">
      <c r="A369" t="inlineStr">
        <is>
          <t>Ajingi</t>
        </is>
      </c>
      <c r="B369" t="inlineStr">
        <is>
          <t xml:space="preserve"> </t>
        </is>
      </c>
      <c r="C369" t="inlineStr">
        <is>
          <t>NG020001</t>
        </is>
      </c>
      <c r="D369" t="inlineStr">
        <is>
          <t>Kano</t>
        </is>
      </c>
      <c r="E369" t="inlineStr">
        <is>
          <t>NG020</t>
        </is>
      </c>
      <c r="F369" t="inlineStr">
        <is>
          <t>Nigeria</t>
        </is>
      </c>
      <c r="G369" t="inlineStr">
        <is>
          <t>NGA</t>
        </is>
      </c>
    </row>
    <row r="370">
      <c r="A370" t="inlineStr">
        <is>
          <t>Ajeromi-Ifelodun</t>
        </is>
      </c>
      <c r="B370" t="inlineStr">
        <is>
          <t xml:space="preserve"> </t>
        </is>
      </c>
      <c r="C370" t="inlineStr">
        <is>
          <t>NG025002</t>
        </is>
      </c>
      <c r="D370" t="inlineStr">
        <is>
          <t>Lagos</t>
        </is>
      </c>
      <c r="E370" t="inlineStr">
        <is>
          <t>NG025</t>
        </is>
      </c>
      <c r="F370" t="inlineStr">
        <is>
          <t>Nigeria</t>
        </is>
      </c>
      <c r="G370" t="inlineStr">
        <is>
          <t>NGA</t>
        </is>
      </c>
    </row>
    <row r="371">
      <c r="A371" t="inlineStr">
        <is>
          <t>Ajaokuta</t>
        </is>
      </c>
      <c r="B371" t="inlineStr">
        <is>
          <t xml:space="preserve"> </t>
        </is>
      </c>
      <c r="C371" t="inlineStr">
        <is>
          <t>NG023002</t>
        </is>
      </c>
      <c r="D371" t="inlineStr">
        <is>
          <t>Kogi</t>
        </is>
      </c>
      <c r="E371" t="inlineStr">
        <is>
          <t>NG023</t>
        </is>
      </c>
      <c r="F371" t="inlineStr">
        <is>
          <t>Nigeria</t>
        </is>
      </c>
      <c r="G371" t="inlineStr">
        <is>
          <t>NGA</t>
        </is>
      </c>
    </row>
    <row r="372">
      <c r="A372" t="inlineStr">
        <is>
          <t>Aiyekire (Gbonyin)</t>
        </is>
      </c>
      <c r="B372" t="inlineStr">
        <is>
          <t xml:space="preserve"> </t>
        </is>
      </c>
      <c r="C372" t="inlineStr">
        <is>
          <t>NG013002</t>
        </is>
      </c>
      <c r="D372" t="inlineStr">
        <is>
          <t>Ekiti</t>
        </is>
      </c>
      <c r="E372" t="inlineStr">
        <is>
          <t>NG013</t>
        </is>
      </c>
      <c r="F372" t="inlineStr">
        <is>
          <t>Nigeria</t>
        </is>
      </c>
      <c r="G372" t="inlineStr">
        <is>
          <t>NGA</t>
        </is>
      </c>
    </row>
    <row r="373">
      <c r="A373" t="inlineStr">
        <is>
          <t>Aiyedire</t>
        </is>
      </c>
      <c r="B373" t="inlineStr">
        <is>
          <t xml:space="preserve"> </t>
        </is>
      </c>
      <c r="C373" t="inlineStr">
        <is>
          <t>NG030002</t>
        </is>
      </c>
      <c r="D373" t="inlineStr">
        <is>
          <t>Osun</t>
        </is>
      </c>
      <c r="E373" t="inlineStr">
        <is>
          <t>NG030</t>
        </is>
      </c>
      <c r="F373" t="inlineStr">
        <is>
          <t>Nigeria</t>
        </is>
      </c>
      <c r="G373" t="inlineStr">
        <is>
          <t>NGA</t>
        </is>
      </c>
    </row>
    <row r="374">
      <c r="A374" t="inlineStr">
        <is>
          <t>Aiyedade</t>
        </is>
      </c>
      <c r="B374" t="inlineStr">
        <is>
          <t xml:space="preserve"> </t>
        </is>
      </c>
      <c r="C374" t="inlineStr">
        <is>
          <t>NG030001</t>
        </is>
      </c>
      <c r="D374" t="inlineStr">
        <is>
          <t>Osun</t>
        </is>
      </c>
      <c r="E374" t="inlineStr">
        <is>
          <t>NG030</t>
        </is>
      </c>
      <c r="F374" t="inlineStr">
        <is>
          <t>Nigeria</t>
        </is>
      </c>
      <c r="G374" t="inlineStr">
        <is>
          <t>NGA</t>
        </is>
      </c>
    </row>
    <row r="375">
      <c r="A375" t="inlineStr">
        <is>
          <t>Ahoada West</t>
        </is>
      </c>
      <c r="B375" t="inlineStr">
        <is>
          <t xml:space="preserve"> </t>
        </is>
      </c>
      <c r="C375" t="inlineStr">
        <is>
          <t>NG033003</t>
        </is>
      </c>
      <c r="D375" t="inlineStr">
        <is>
          <t>Rivers</t>
        </is>
      </c>
      <c r="E375" t="inlineStr">
        <is>
          <t>NG033</t>
        </is>
      </c>
      <c r="F375" t="inlineStr">
        <is>
          <t>Nigeria</t>
        </is>
      </c>
      <c r="G375" t="inlineStr">
        <is>
          <t>NGA</t>
        </is>
      </c>
    </row>
    <row r="376">
      <c r="A376" t="inlineStr">
        <is>
          <t>Ahoada East</t>
        </is>
      </c>
      <c r="B376" t="inlineStr">
        <is>
          <t xml:space="preserve"> </t>
        </is>
      </c>
      <c r="C376" t="inlineStr">
        <is>
          <t>NG033002</t>
        </is>
      </c>
      <c r="D376" t="inlineStr">
        <is>
          <t>Rivers</t>
        </is>
      </c>
      <c r="E376" t="inlineStr">
        <is>
          <t>NG033</t>
        </is>
      </c>
      <c r="F376" t="inlineStr">
        <is>
          <t>Nigeria</t>
        </is>
      </c>
      <c r="G376" t="inlineStr">
        <is>
          <t>NGA</t>
        </is>
      </c>
    </row>
    <row r="377">
      <c r="A377" t="inlineStr">
        <is>
          <t>Ahiazu-Mbaise</t>
        </is>
      </c>
      <c r="B377" t="inlineStr">
        <is>
          <t xml:space="preserve"> </t>
        </is>
      </c>
      <c r="C377" t="inlineStr">
        <is>
          <t>NG017002</t>
        </is>
      </c>
      <c r="D377" t="inlineStr">
        <is>
          <t>Imo</t>
        </is>
      </c>
      <c r="E377" t="inlineStr">
        <is>
          <t>NG017</t>
        </is>
      </c>
      <c r="F377" t="inlineStr">
        <is>
          <t>Nigeria</t>
        </is>
      </c>
      <c r="G377" t="inlineStr">
        <is>
          <t>NGA</t>
        </is>
      </c>
    </row>
    <row r="378">
      <c r="A378" t="inlineStr">
        <is>
          <t>Agwara</t>
        </is>
      </c>
      <c r="B378" t="inlineStr">
        <is>
          <t xml:space="preserve"> </t>
        </is>
      </c>
      <c r="C378" t="inlineStr">
        <is>
          <t>NG027002</t>
        </is>
      </c>
      <c r="D378" t="inlineStr">
        <is>
          <t>Niger</t>
        </is>
      </c>
      <c r="E378" t="inlineStr">
        <is>
          <t>NG027</t>
        </is>
      </c>
      <c r="F378" t="inlineStr">
        <is>
          <t>Nigeria</t>
        </is>
      </c>
      <c r="G378" t="inlineStr">
        <is>
          <t>NGA</t>
        </is>
      </c>
    </row>
    <row r="379">
      <c r="A379" t="inlineStr">
        <is>
          <t>Aguata</t>
        </is>
      </c>
      <c r="B379" t="inlineStr">
        <is>
          <t xml:space="preserve"> </t>
        </is>
      </c>
      <c r="C379" t="inlineStr">
        <is>
          <t>NG004001</t>
        </is>
      </c>
      <c r="D379" t="inlineStr">
        <is>
          <t>Anambra</t>
        </is>
      </c>
      <c r="E379" t="inlineStr">
        <is>
          <t>NG004</t>
        </is>
      </c>
      <c r="F379" t="inlineStr">
        <is>
          <t>Nigeria</t>
        </is>
      </c>
      <c r="G379" t="inlineStr">
        <is>
          <t>NGA</t>
        </is>
      </c>
    </row>
    <row r="380">
      <c r="A380" t="inlineStr">
        <is>
          <t>Agege</t>
        </is>
      </c>
      <c r="B380" t="inlineStr">
        <is>
          <t xml:space="preserve"> </t>
        </is>
      </c>
      <c r="C380" t="inlineStr">
        <is>
          <t>NG025001</t>
        </is>
      </c>
      <c r="D380" t="inlineStr">
        <is>
          <t>Lagos</t>
        </is>
      </c>
      <c r="E380" t="inlineStr">
        <is>
          <t>NG025</t>
        </is>
      </c>
      <c r="F380" t="inlineStr">
        <is>
          <t>Nigeria</t>
        </is>
      </c>
      <c r="G380" t="inlineStr">
        <is>
          <t>NGA</t>
        </is>
      </c>
    </row>
    <row r="381">
      <c r="A381" t="inlineStr">
        <is>
          <t>Agatu</t>
        </is>
      </c>
      <c r="B381" t="inlineStr">
        <is>
          <t xml:space="preserve"> </t>
        </is>
      </c>
      <c r="C381" t="inlineStr">
        <is>
          <t>NG007002</t>
        </is>
      </c>
      <c r="D381" t="inlineStr">
        <is>
          <t>Benue</t>
        </is>
      </c>
      <c r="E381" t="inlineStr">
        <is>
          <t>NG007</t>
        </is>
      </c>
      <c r="F381" t="inlineStr">
        <is>
          <t>Nigeria</t>
        </is>
      </c>
      <c r="G381" t="inlineStr">
        <is>
          <t>NGA</t>
        </is>
      </c>
    </row>
    <row r="382">
      <c r="A382" t="inlineStr">
        <is>
          <t>Agaie</t>
        </is>
      </c>
      <c r="B382" t="inlineStr">
        <is>
          <t xml:space="preserve"> </t>
        </is>
      </c>
      <c r="C382" t="inlineStr">
        <is>
          <t>NG027001</t>
        </is>
      </c>
      <c r="D382" t="inlineStr">
        <is>
          <t>Niger</t>
        </is>
      </c>
      <c r="E382" t="inlineStr">
        <is>
          <t>NG027</t>
        </is>
      </c>
      <c r="F382" t="inlineStr">
        <is>
          <t>Nigeria</t>
        </is>
      </c>
      <c r="G382" t="inlineStr">
        <is>
          <t>NGA</t>
        </is>
      </c>
    </row>
    <row r="383">
      <c r="A383" t="inlineStr">
        <is>
          <t>Afikpo South</t>
        </is>
      </c>
      <c r="B383" t="inlineStr">
        <is>
          <t xml:space="preserve"> </t>
        </is>
      </c>
      <c r="C383" t="inlineStr">
        <is>
          <t>NG011003</t>
        </is>
      </c>
      <c r="D383" t="inlineStr">
        <is>
          <t>Ebonyi</t>
        </is>
      </c>
      <c r="E383" t="inlineStr">
        <is>
          <t>NG011</t>
        </is>
      </c>
      <c r="F383" t="inlineStr">
        <is>
          <t>Nigeria</t>
        </is>
      </c>
      <c r="G383" t="inlineStr">
        <is>
          <t>NGA</t>
        </is>
      </c>
    </row>
    <row r="384">
      <c r="A384" t="inlineStr">
        <is>
          <t>Afikpo North</t>
        </is>
      </c>
      <c r="B384" t="inlineStr">
        <is>
          <t xml:space="preserve"> </t>
        </is>
      </c>
      <c r="C384" t="inlineStr">
        <is>
          <t>NG011002</t>
        </is>
      </c>
      <c r="D384" t="inlineStr">
        <is>
          <t>Ebonyi</t>
        </is>
      </c>
      <c r="E384" t="inlineStr">
        <is>
          <t>NG011</t>
        </is>
      </c>
      <c r="F384" t="inlineStr">
        <is>
          <t>Nigeria</t>
        </is>
      </c>
      <c r="G384" t="inlineStr">
        <is>
          <t>NGA</t>
        </is>
      </c>
    </row>
    <row r="385">
      <c r="A385" t="inlineStr">
        <is>
          <t>Afijio</t>
        </is>
      </c>
      <c r="B385" t="inlineStr">
        <is>
          <t xml:space="preserve"> </t>
        </is>
      </c>
      <c r="C385" t="inlineStr">
        <is>
          <t>NG031001</t>
        </is>
      </c>
      <c r="D385" t="inlineStr">
        <is>
          <t>Oyo</t>
        </is>
      </c>
      <c r="E385" t="inlineStr">
        <is>
          <t>NG031</t>
        </is>
      </c>
      <c r="F385" t="inlineStr">
        <is>
          <t>Nigeria</t>
        </is>
      </c>
      <c r="G385" t="inlineStr">
        <is>
          <t>NGA</t>
        </is>
      </c>
    </row>
    <row r="386">
      <c r="A386" t="inlineStr">
        <is>
          <t>Ado Ekiti</t>
        </is>
      </c>
      <c r="B386" t="inlineStr">
        <is>
          <t xml:space="preserve"> </t>
        </is>
      </c>
      <c r="C386" t="inlineStr">
        <is>
          <t>NG013001</t>
        </is>
      </c>
      <c r="D386" t="inlineStr">
        <is>
          <t>Ekiti</t>
        </is>
      </c>
      <c r="E386" t="inlineStr">
        <is>
          <t>NG013</t>
        </is>
      </c>
      <c r="F386" t="inlineStr">
        <is>
          <t>Nigeria</t>
        </is>
      </c>
      <c r="G386" t="inlineStr">
        <is>
          <t>NGA</t>
        </is>
      </c>
    </row>
    <row r="387">
      <c r="A387" t="inlineStr">
        <is>
          <t>Ado-Odo/Ota</t>
        </is>
      </c>
      <c r="B387" t="inlineStr">
        <is>
          <t xml:space="preserve"> </t>
        </is>
      </c>
      <c r="C387" t="inlineStr">
        <is>
          <t>NG028003</t>
        </is>
      </c>
      <c r="D387" t="inlineStr">
        <is>
          <t>Ogun</t>
        </is>
      </c>
      <c r="E387" t="inlineStr">
        <is>
          <t>NG028</t>
        </is>
      </c>
      <c r="F387" t="inlineStr">
        <is>
          <t>Nigeria</t>
        </is>
      </c>
      <c r="G387" t="inlineStr">
        <is>
          <t>NGA</t>
        </is>
      </c>
    </row>
    <row r="388">
      <c r="A388" t="inlineStr">
        <is>
          <t>Ado</t>
        </is>
      </c>
      <c r="B388" t="inlineStr">
        <is>
          <t xml:space="preserve"> </t>
        </is>
      </c>
      <c r="C388" t="inlineStr">
        <is>
          <t>NG007001</t>
        </is>
      </c>
      <c r="D388" t="inlineStr">
        <is>
          <t>Benue</t>
        </is>
      </c>
      <c r="E388" t="inlineStr">
        <is>
          <t>NG007</t>
        </is>
      </c>
      <c r="F388" t="inlineStr">
        <is>
          <t>Nigeria</t>
        </is>
      </c>
      <c r="G388" t="inlineStr">
        <is>
          <t>NGA</t>
        </is>
      </c>
    </row>
    <row r="389">
      <c r="A389" t="inlineStr">
        <is>
          <t>Adavi</t>
        </is>
      </c>
      <c r="B389" t="inlineStr">
        <is>
          <t xml:space="preserve"> </t>
        </is>
      </c>
      <c r="C389" t="inlineStr">
        <is>
          <t>NG023001</t>
        </is>
      </c>
      <c r="D389" t="inlineStr">
        <is>
          <t>Kogi</t>
        </is>
      </c>
      <c r="E389" t="inlineStr">
        <is>
          <t>NG023</t>
        </is>
      </c>
      <c r="F389" t="inlineStr">
        <is>
          <t>Nigeria</t>
        </is>
      </c>
      <c r="G389" t="inlineStr">
        <is>
          <t>NGA</t>
        </is>
      </c>
    </row>
    <row r="390">
      <c r="A390" t="inlineStr">
        <is>
          <t>Abuja Municipal</t>
        </is>
      </c>
      <c r="B390" t="inlineStr">
        <is>
          <t xml:space="preserve"> </t>
        </is>
      </c>
      <c r="C390" t="inlineStr">
        <is>
          <t>NG015002</t>
        </is>
      </c>
      <c r="D390" t="inlineStr">
        <is>
          <t>Federal Capital Territory</t>
        </is>
      </c>
      <c r="E390" t="inlineStr">
        <is>
          <t>NG015</t>
        </is>
      </c>
      <c r="F390" t="inlineStr">
        <is>
          <t>Nigeria</t>
        </is>
      </c>
      <c r="G390" t="inlineStr">
        <is>
          <t>NGA</t>
        </is>
      </c>
    </row>
    <row r="391">
      <c r="A391" t="inlineStr">
        <is>
          <t>Abua/Odual</t>
        </is>
      </c>
      <c r="B391" t="inlineStr">
        <is>
          <t xml:space="preserve"> </t>
        </is>
      </c>
      <c r="C391" t="inlineStr">
        <is>
          <t>NG033001</t>
        </is>
      </c>
      <c r="D391" t="inlineStr">
        <is>
          <t>Rivers</t>
        </is>
      </c>
      <c r="E391" t="inlineStr">
        <is>
          <t>NG033</t>
        </is>
      </c>
      <c r="F391" t="inlineStr">
        <is>
          <t>Nigeria</t>
        </is>
      </c>
      <c r="G391" t="inlineStr">
        <is>
          <t>NGA</t>
        </is>
      </c>
    </row>
    <row r="392">
      <c r="A392" t="inlineStr">
        <is>
          <t>Aboh-Mbaise</t>
        </is>
      </c>
      <c r="B392" t="inlineStr">
        <is>
          <t xml:space="preserve"> </t>
        </is>
      </c>
      <c r="C392" t="inlineStr">
        <is>
          <t>NG017001</t>
        </is>
      </c>
      <c r="D392" t="inlineStr">
        <is>
          <t>Imo</t>
        </is>
      </c>
      <c r="E392" t="inlineStr">
        <is>
          <t>NG017</t>
        </is>
      </c>
      <c r="F392" t="inlineStr">
        <is>
          <t>Nigeria</t>
        </is>
      </c>
      <c r="G392" t="inlineStr">
        <is>
          <t>NGA</t>
        </is>
      </c>
    </row>
    <row r="393">
      <c r="A393" t="inlineStr">
        <is>
          <t>Abi</t>
        </is>
      </c>
      <c r="B393" t="inlineStr">
        <is>
          <t xml:space="preserve"> </t>
        </is>
      </c>
      <c r="C393" t="inlineStr">
        <is>
          <t>NG009001</t>
        </is>
      </c>
      <c r="D393" t="inlineStr">
        <is>
          <t>Cross River</t>
        </is>
      </c>
      <c r="E393" t="inlineStr">
        <is>
          <t>NG009</t>
        </is>
      </c>
      <c r="F393" t="inlineStr">
        <is>
          <t>Nigeria</t>
        </is>
      </c>
      <c r="G393" t="inlineStr">
        <is>
          <t>NGA</t>
        </is>
      </c>
    </row>
    <row r="394">
      <c r="A394" t="inlineStr">
        <is>
          <t>Abeokuta South</t>
        </is>
      </c>
      <c r="B394" t="inlineStr">
        <is>
          <t xml:space="preserve"> </t>
        </is>
      </c>
      <c r="C394" t="inlineStr">
        <is>
          <t>NG028002</t>
        </is>
      </c>
      <c r="D394" t="inlineStr">
        <is>
          <t>Ogun</t>
        </is>
      </c>
      <c r="E394" t="inlineStr">
        <is>
          <t>NG028</t>
        </is>
      </c>
      <c r="F394" t="inlineStr">
        <is>
          <t>Nigeria</t>
        </is>
      </c>
      <c r="G394" t="inlineStr">
        <is>
          <t>NGA</t>
        </is>
      </c>
    </row>
    <row r="395">
      <c r="A395" t="inlineStr">
        <is>
          <t>Abeokuta North</t>
        </is>
      </c>
      <c r="B395" t="inlineStr">
        <is>
          <t xml:space="preserve"> </t>
        </is>
      </c>
      <c r="C395" t="inlineStr">
        <is>
          <t>NG028001</t>
        </is>
      </c>
      <c r="D395" t="inlineStr">
        <is>
          <t>Ogun</t>
        </is>
      </c>
      <c r="E395" t="inlineStr">
        <is>
          <t>NG028</t>
        </is>
      </c>
      <c r="F395" t="inlineStr">
        <is>
          <t>Nigeria</t>
        </is>
      </c>
      <c r="G395" t="inlineStr">
        <is>
          <t>NGA</t>
        </is>
      </c>
    </row>
    <row r="396">
      <c r="A396" t="inlineStr">
        <is>
          <t>Abakaliki</t>
        </is>
      </c>
      <c r="B396" t="inlineStr">
        <is>
          <t xml:space="preserve"> </t>
        </is>
      </c>
      <c r="C396" t="inlineStr">
        <is>
          <t>NG011001</t>
        </is>
      </c>
      <c r="D396" t="inlineStr">
        <is>
          <t>Ebonyi</t>
        </is>
      </c>
      <c r="E396" t="inlineStr">
        <is>
          <t>NG011</t>
        </is>
      </c>
      <c r="F396" t="inlineStr">
        <is>
          <t>Nigeria</t>
        </is>
      </c>
      <c r="G396" t="inlineStr">
        <is>
          <t>NGA</t>
        </is>
      </c>
    </row>
    <row r="397">
      <c r="A397" t="inlineStr">
        <is>
          <t>Abak</t>
        </is>
      </c>
      <c r="B397" t="inlineStr">
        <is>
          <t xml:space="preserve"> </t>
        </is>
      </c>
      <c r="C397" t="inlineStr">
        <is>
          <t>NG003001</t>
        </is>
      </c>
      <c r="D397" t="inlineStr">
        <is>
          <t>Akwa Ibom</t>
        </is>
      </c>
      <c r="E397" t="inlineStr">
        <is>
          <t>NG003</t>
        </is>
      </c>
      <c r="F397" t="inlineStr">
        <is>
          <t>Nigeria</t>
        </is>
      </c>
      <c r="G397" t="inlineStr">
        <is>
          <t>NGA</t>
        </is>
      </c>
    </row>
    <row r="398">
      <c r="A398" t="inlineStr">
        <is>
          <t>Abaji</t>
        </is>
      </c>
      <c r="B398" t="inlineStr">
        <is>
          <t xml:space="preserve"> </t>
        </is>
      </c>
      <c r="C398" t="inlineStr">
        <is>
          <t>NG015001</t>
        </is>
      </c>
      <c r="D398" t="inlineStr">
        <is>
          <t>Federal Capital Territory</t>
        </is>
      </c>
      <c r="E398" t="inlineStr">
        <is>
          <t>NG015</t>
        </is>
      </c>
      <c r="F398" t="inlineStr">
        <is>
          <t>Nigeria</t>
        </is>
      </c>
      <c r="G398" t="inlineStr">
        <is>
          <t>NGA</t>
        </is>
      </c>
    </row>
    <row r="399">
      <c r="A399" t="inlineStr">
        <is>
          <t>Abadam</t>
        </is>
      </c>
      <c r="B399" t="inlineStr">
        <is>
          <t xml:space="preserve"> </t>
        </is>
      </c>
      <c r="C399" t="inlineStr">
        <is>
          <t>NG008001</t>
        </is>
      </c>
      <c r="D399" t="inlineStr">
        <is>
          <t>Borno</t>
        </is>
      </c>
      <c r="E399" t="inlineStr">
        <is>
          <t>NG008</t>
        </is>
      </c>
      <c r="F399" t="inlineStr">
        <is>
          <t>Nigeria</t>
        </is>
      </c>
      <c r="G399" t="inlineStr">
        <is>
          <t>NGA</t>
        </is>
      </c>
    </row>
    <row r="400">
      <c r="A400" t="inlineStr">
        <is>
          <t>Aba South</t>
        </is>
      </c>
      <c r="B400" t="inlineStr">
        <is>
          <t xml:space="preserve"> </t>
        </is>
      </c>
      <c r="C400" t="inlineStr">
        <is>
          <t>NG001002</t>
        </is>
      </c>
      <c r="D400" t="inlineStr">
        <is>
          <t>Abia</t>
        </is>
      </c>
      <c r="E400" t="inlineStr">
        <is>
          <t>NG001</t>
        </is>
      </c>
      <c r="F400" t="inlineStr">
        <is>
          <t>Nigeria</t>
        </is>
      </c>
      <c r="G400" t="inlineStr">
        <is>
          <t>NGA</t>
        </is>
      </c>
    </row>
    <row r="401">
      <c r="A401" t="inlineStr">
        <is>
          <t>Aba North</t>
        </is>
      </c>
      <c r="B401" t="inlineStr">
        <is>
          <t xml:space="preserve"> </t>
        </is>
      </c>
      <c r="C401" t="inlineStr">
        <is>
          <t>NG001001</t>
        </is>
      </c>
      <c r="D401" t="inlineStr">
        <is>
          <t>Abia</t>
        </is>
      </c>
      <c r="E401" t="inlineStr">
        <is>
          <t>NG001</t>
        </is>
      </c>
      <c r="F401" t="inlineStr">
        <is>
          <t>Nigeria</t>
        </is>
      </c>
      <c r="G401" t="inlineStr">
        <is>
          <t>NGA</t>
        </is>
      </c>
    </row>
    <row r="402">
      <c r="A402" t="inlineStr">
        <is>
          <t>Kagarko</t>
        </is>
      </c>
      <c r="B402" t="inlineStr">
        <is>
          <t xml:space="preserve"> </t>
        </is>
      </c>
      <c r="C402" t="inlineStr">
        <is>
          <t>NG019011</t>
        </is>
      </c>
      <c r="D402" t="inlineStr">
        <is>
          <t>Kaduna</t>
        </is>
      </c>
      <c r="E402" t="inlineStr">
        <is>
          <t>NG019</t>
        </is>
      </c>
      <c r="F402" t="inlineStr">
        <is>
          <t>Nigeria</t>
        </is>
      </c>
      <c r="G402" t="inlineStr">
        <is>
          <t>NGA</t>
        </is>
      </c>
    </row>
    <row r="403">
      <c r="A403" t="inlineStr">
        <is>
          <t>Kaiama</t>
        </is>
      </c>
      <c r="B403" t="inlineStr">
        <is>
          <t xml:space="preserve"> </t>
        </is>
      </c>
      <c r="C403" t="inlineStr">
        <is>
          <t>NG024011</t>
        </is>
      </c>
      <c r="D403" t="inlineStr">
        <is>
          <t>Kwara</t>
        </is>
      </c>
      <c r="E403" t="inlineStr">
        <is>
          <t>NG024</t>
        </is>
      </c>
      <c r="F403" t="inlineStr">
        <is>
          <t>Nigeria</t>
        </is>
      </c>
      <c r="G403" t="inlineStr">
        <is>
          <t>NGA</t>
        </is>
      </c>
    </row>
    <row r="404">
      <c r="A404" t="inlineStr">
        <is>
          <t>Kaita</t>
        </is>
      </c>
      <c r="B404" t="inlineStr">
        <is>
          <t xml:space="preserve"> </t>
        </is>
      </c>
      <c r="C404" t="inlineStr">
        <is>
          <t>NG021018</t>
        </is>
      </c>
      <c r="D404" t="inlineStr">
        <is>
          <t>Katsina</t>
        </is>
      </c>
      <c r="E404" t="inlineStr">
        <is>
          <t>NG021</t>
        </is>
      </c>
      <c r="F404" t="inlineStr">
        <is>
          <t>Nigeria</t>
        </is>
      </c>
      <c r="G404" t="inlineStr">
        <is>
          <t>NGA</t>
        </is>
      </c>
    </row>
    <row r="405">
      <c r="A405" t="inlineStr">
        <is>
          <t>Kajola</t>
        </is>
      </c>
      <c r="B405" t="inlineStr">
        <is>
          <t xml:space="preserve"> </t>
        </is>
      </c>
      <c r="C405" t="inlineStr">
        <is>
          <t>NG031019</t>
        </is>
      </c>
      <c r="D405" t="inlineStr">
        <is>
          <t>Oyo</t>
        </is>
      </c>
      <c r="E405" t="inlineStr">
        <is>
          <t>NG031</t>
        </is>
      </c>
      <c r="F405" t="inlineStr">
        <is>
          <t>Nigeria</t>
        </is>
      </c>
      <c r="G405" t="inlineStr">
        <is>
          <t>NGA</t>
        </is>
      </c>
    </row>
    <row r="406">
      <c r="A406" t="inlineStr">
        <is>
          <t>Kajuru</t>
        </is>
      </c>
      <c r="B406" t="inlineStr">
        <is>
          <t xml:space="preserve"> </t>
        </is>
      </c>
      <c r="C406" t="inlineStr">
        <is>
          <t>NG019012</t>
        </is>
      </c>
      <c r="D406" t="inlineStr">
        <is>
          <t>Kaduna</t>
        </is>
      </c>
      <c r="E406" t="inlineStr">
        <is>
          <t>NG019</t>
        </is>
      </c>
      <c r="F406" t="inlineStr">
        <is>
          <t>Nigeria</t>
        </is>
      </c>
      <c r="G406" t="inlineStr">
        <is>
          <t>NGA</t>
        </is>
      </c>
    </row>
    <row r="407">
      <c r="A407" t="inlineStr">
        <is>
          <t>Kala/Balge</t>
        </is>
      </c>
      <c r="B407" t="inlineStr">
        <is>
          <t xml:space="preserve"> </t>
        </is>
      </c>
      <c r="C407" t="inlineStr">
        <is>
          <t>NG008015</t>
        </is>
      </c>
      <c r="D407" t="inlineStr">
        <is>
          <t>Borno</t>
        </is>
      </c>
      <c r="E407" t="inlineStr">
        <is>
          <t>NG008</t>
        </is>
      </c>
      <c r="F407" t="inlineStr">
        <is>
          <t>Nigeria</t>
        </is>
      </c>
      <c r="G407" t="inlineStr">
        <is>
          <t>NGA</t>
        </is>
      </c>
    </row>
    <row r="408">
      <c r="A408" t="inlineStr">
        <is>
          <t>Kalgo</t>
        </is>
      </c>
      <c r="B408" t="inlineStr">
        <is>
          <t xml:space="preserve"> </t>
        </is>
      </c>
      <c r="C408" t="inlineStr">
        <is>
          <t>NG022012</t>
        </is>
      </c>
      <c r="D408" t="inlineStr">
        <is>
          <t>Kebbi</t>
        </is>
      </c>
      <c r="E408" t="inlineStr">
        <is>
          <t>NG022</t>
        </is>
      </c>
      <c r="F408" t="inlineStr">
        <is>
          <t>Nigeria</t>
        </is>
      </c>
      <c r="G408" t="inlineStr">
        <is>
          <t>NGA</t>
        </is>
      </c>
    </row>
    <row r="409">
      <c r="A409" t="inlineStr">
        <is>
          <t>Kaltungo</t>
        </is>
      </c>
      <c r="B409" t="inlineStr">
        <is>
          <t xml:space="preserve"> </t>
        </is>
      </c>
      <c r="C409" t="inlineStr">
        <is>
          <t>NG016007</t>
        </is>
      </c>
      <c r="D409" t="inlineStr">
        <is>
          <t>Gombe</t>
        </is>
      </c>
      <c r="E409" t="inlineStr">
        <is>
          <t>NG016</t>
        </is>
      </c>
      <c r="F409" t="inlineStr">
        <is>
          <t>Nigeria</t>
        </is>
      </c>
      <c r="G409" t="inlineStr">
        <is>
          <t>NGA</t>
        </is>
      </c>
    </row>
    <row r="410">
      <c r="A410" t="inlineStr">
        <is>
          <t>Kanam</t>
        </is>
      </c>
      <c r="B410" t="inlineStr">
        <is>
          <t xml:space="preserve"> </t>
        </is>
      </c>
      <c r="C410" t="inlineStr">
        <is>
          <t>NG032007</t>
        </is>
      </c>
      <c r="D410" t="inlineStr">
        <is>
          <t>Plateau</t>
        </is>
      </c>
      <c r="E410" t="inlineStr">
        <is>
          <t>NG032</t>
        </is>
      </c>
      <c r="F410" t="inlineStr">
        <is>
          <t>Nigeria</t>
        </is>
      </c>
      <c r="G410" t="inlineStr">
        <is>
          <t>NGA</t>
        </is>
      </c>
    </row>
    <row r="411">
      <c r="A411" t="inlineStr">
        <is>
          <t>Kankara</t>
        </is>
      </c>
      <c r="B411" t="inlineStr">
        <is>
          <t xml:space="preserve"> </t>
        </is>
      </c>
      <c r="C411" t="inlineStr">
        <is>
          <t>NG021019</t>
        </is>
      </c>
      <c r="D411" t="inlineStr">
        <is>
          <t>Katsina</t>
        </is>
      </c>
      <c r="E411" t="inlineStr">
        <is>
          <t>NG021</t>
        </is>
      </c>
      <c r="F411" t="inlineStr">
        <is>
          <t>Nigeria</t>
        </is>
      </c>
      <c r="G411" t="inlineStr">
        <is>
          <t>NGA</t>
        </is>
      </c>
    </row>
    <row r="412">
      <c r="A412" t="inlineStr">
        <is>
          <t>Kanke</t>
        </is>
      </c>
      <c r="B412" t="inlineStr">
        <is>
          <t xml:space="preserve"> </t>
        </is>
      </c>
      <c r="C412" t="inlineStr">
        <is>
          <t>NG032008</t>
        </is>
      </c>
      <c r="D412" t="inlineStr">
        <is>
          <t>Plateau</t>
        </is>
      </c>
      <c r="E412" t="inlineStr">
        <is>
          <t>NG032</t>
        </is>
      </c>
      <c r="F412" t="inlineStr">
        <is>
          <t>Nigeria</t>
        </is>
      </c>
      <c r="G412" t="inlineStr">
        <is>
          <t>NGA</t>
        </is>
      </c>
    </row>
    <row r="413">
      <c r="A413" t="inlineStr">
        <is>
          <t>Kankia</t>
        </is>
      </c>
      <c r="B413" t="inlineStr">
        <is>
          <t xml:space="preserve"> </t>
        </is>
      </c>
      <c r="C413" t="inlineStr">
        <is>
          <t>NG021020</t>
        </is>
      </c>
      <c r="D413" t="inlineStr">
        <is>
          <t>Katsina</t>
        </is>
      </c>
      <c r="E413" t="inlineStr">
        <is>
          <t>NG021</t>
        </is>
      </c>
      <c r="F413" t="inlineStr">
        <is>
          <t>Nigeria</t>
        </is>
      </c>
      <c r="G413" t="inlineStr">
        <is>
          <t>NGA</t>
        </is>
      </c>
    </row>
    <row r="414">
      <c r="A414" t="inlineStr">
        <is>
          <t>Kano Municipal</t>
        </is>
      </c>
      <c r="B414" t="inlineStr">
        <is>
          <t xml:space="preserve"> </t>
        </is>
      </c>
      <c r="C414" t="inlineStr">
        <is>
          <t>NG020021</t>
        </is>
      </c>
      <c r="D414" t="inlineStr">
        <is>
          <t>Kano</t>
        </is>
      </c>
      <c r="E414" t="inlineStr">
        <is>
          <t>NG020</t>
        </is>
      </c>
      <c r="F414" t="inlineStr">
        <is>
          <t>Nigeria</t>
        </is>
      </c>
      <c r="G414" t="inlineStr">
        <is>
          <t>NGA</t>
        </is>
      </c>
    </row>
    <row r="415">
      <c r="A415" t="inlineStr">
        <is>
          <t>Karasuwa</t>
        </is>
      </c>
      <c r="B415" t="inlineStr">
        <is>
          <t xml:space="preserve"> </t>
        </is>
      </c>
      <c r="C415" t="inlineStr">
        <is>
          <t>NG036010</t>
        </is>
      </c>
      <c r="D415" t="inlineStr">
        <is>
          <t>Yobe</t>
        </is>
      </c>
      <c r="E415" t="inlineStr">
        <is>
          <t>NG036</t>
        </is>
      </c>
      <c r="F415" t="inlineStr">
        <is>
          <t>Nigeria</t>
        </is>
      </c>
      <c r="G415" t="inlineStr">
        <is>
          <t>NGA</t>
        </is>
      </c>
    </row>
    <row r="416">
      <c r="A416" t="inlineStr">
        <is>
          <t>Karaye</t>
        </is>
      </c>
      <c r="B416" t="inlineStr">
        <is>
          <t xml:space="preserve"> </t>
        </is>
      </c>
      <c r="C416" t="inlineStr">
        <is>
          <t>NG020022</t>
        </is>
      </c>
      <c r="D416" t="inlineStr">
        <is>
          <t>Kano</t>
        </is>
      </c>
      <c r="E416" t="inlineStr">
        <is>
          <t>NG020</t>
        </is>
      </c>
      <c r="F416" t="inlineStr">
        <is>
          <t>Nigeria</t>
        </is>
      </c>
      <c r="G416" t="inlineStr">
        <is>
          <t>NGA</t>
        </is>
      </c>
    </row>
    <row r="417">
      <c r="A417" t="inlineStr">
        <is>
          <t>Karim-Lamido</t>
        </is>
      </c>
      <c r="B417" t="inlineStr">
        <is>
          <t xml:space="preserve"> </t>
        </is>
      </c>
      <c r="C417" t="inlineStr">
        <is>
          <t>NG035008</t>
        </is>
      </c>
      <c r="D417" t="inlineStr">
        <is>
          <t>Taraba</t>
        </is>
      </c>
      <c r="E417" t="inlineStr">
        <is>
          <t>NG035</t>
        </is>
      </c>
      <c r="F417" t="inlineStr">
        <is>
          <t>Nigeria</t>
        </is>
      </c>
      <c r="G417" t="inlineStr">
        <is>
          <t>NGA</t>
        </is>
      </c>
    </row>
    <row r="418">
      <c r="A418" t="inlineStr">
        <is>
          <t>Karu</t>
        </is>
      </c>
      <c r="B418" t="inlineStr">
        <is>
          <t xml:space="preserve"> </t>
        </is>
      </c>
      <c r="C418" t="inlineStr">
        <is>
          <t>NG026004</t>
        </is>
      </c>
      <c r="D418" t="inlineStr">
        <is>
          <t>Nasarawa</t>
        </is>
      </c>
      <c r="E418" t="inlineStr">
        <is>
          <t>NG026</t>
        </is>
      </c>
      <c r="F418" t="inlineStr">
        <is>
          <t>Nigeria</t>
        </is>
      </c>
      <c r="G418" t="inlineStr">
        <is>
          <t>NGA</t>
        </is>
      </c>
    </row>
    <row r="419">
      <c r="A419" t="inlineStr">
        <is>
          <t>Katagum</t>
        </is>
      </c>
      <c r="B419" t="inlineStr">
        <is>
          <t xml:space="preserve"> </t>
        </is>
      </c>
      <c r="C419" t="inlineStr">
        <is>
          <t>NG005012</t>
        </is>
      </c>
      <c r="D419" t="inlineStr">
        <is>
          <t>Bauchi</t>
        </is>
      </c>
      <c r="E419" t="inlineStr">
        <is>
          <t>NG005</t>
        </is>
      </c>
      <c r="F419" t="inlineStr">
        <is>
          <t>Nigeria</t>
        </is>
      </c>
      <c r="G419" t="inlineStr">
        <is>
          <t>NGA</t>
        </is>
      </c>
    </row>
    <row r="420">
      <c r="A420" t="inlineStr">
        <is>
          <t>Katcha</t>
        </is>
      </c>
      <c r="B420" t="inlineStr">
        <is>
          <t xml:space="preserve"> </t>
        </is>
      </c>
      <c r="C420" t="inlineStr">
        <is>
          <t>NG027010</t>
        </is>
      </c>
      <c r="D420" t="inlineStr">
        <is>
          <t>Niger</t>
        </is>
      </c>
      <c r="E420" t="inlineStr">
        <is>
          <t>NG027</t>
        </is>
      </c>
      <c r="F420" t="inlineStr">
        <is>
          <t>Nigeria</t>
        </is>
      </c>
      <c r="G420" t="inlineStr">
        <is>
          <t>NGA</t>
        </is>
      </c>
    </row>
    <row r="421">
      <c r="A421" t="inlineStr">
        <is>
          <t>Katsina</t>
        </is>
      </c>
      <c r="B421" t="inlineStr">
        <is>
          <t xml:space="preserve"> </t>
        </is>
      </c>
      <c r="C421" t="inlineStr">
        <is>
          <t>NG021021</t>
        </is>
      </c>
      <c r="D421" t="inlineStr">
        <is>
          <t>Katsina</t>
        </is>
      </c>
      <c r="E421" t="inlineStr">
        <is>
          <t>NG021</t>
        </is>
      </c>
      <c r="F421" t="inlineStr">
        <is>
          <t>Nigeria</t>
        </is>
      </c>
      <c r="G421" t="inlineStr">
        <is>
          <t>NGA</t>
        </is>
      </c>
    </row>
    <row r="422">
      <c r="A422" t="inlineStr">
        <is>
          <t>Katsina-Ala</t>
        </is>
      </c>
      <c r="B422" t="inlineStr">
        <is>
          <t xml:space="preserve"> </t>
        </is>
      </c>
      <c r="C422" t="inlineStr">
        <is>
          <t>NG007009</t>
        </is>
      </c>
      <c r="D422" t="inlineStr">
        <is>
          <t>Benue</t>
        </is>
      </c>
      <c r="E422" t="inlineStr">
        <is>
          <t>NG007</t>
        </is>
      </c>
      <c r="F422" t="inlineStr">
        <is>
          <t>Nigeria</t>
        </is>
      </c>
      <c r="G422" t="inlineStr">
        <is>
          <t>NGA</t>
        </is>
      </c>
    </row>
    <row r="423">
      <c r="A423" t="inlineStr">
        <is>
          <t>Kaugama</t>
        </is>
      </c>
      <c r="B423" t="inlineStr">
        <is>
          <t xml:space="preserve"> </t>
        </is>
      </c>
      <c r="C423" t="inlineStr">
        <is>
          <t>NG018016</t>
        </is>
      </c>
      <c r="D423" t="inlineStr">
        <is>
          <t>Jigawa</t>
        </is>
      </c>
      <c r="E423" t="inlineStr">
        <is>
          <t>NG018</t>
        </is>
      </c>
      <c r="F423" t="inlineStr">
        <is>
          <t>Nigeria</t>
        </is>
      </c>
      <c r="G423" t="inlineStr">
        <is>
          <t>NGA</t>
        </is>
      </c>
    </row>
    <row r="424">
      <c r="A424" t="inlineStr">
        <is>
          <t>Kaura</t>
        </is>
      </c>
      <c r="B424" t="inlineStr">
        <is>
          <t xml:space="preserve"> </t>
        </is>
      </c>
      <c r="C424" t="inlineStr">
        <is>
          <t>NG019013</t>
        </is>
      </c>
      <c r="D424" t="inlineStr">
        <is>
          <t>Kaduna</t>
        </is>
      </c>
      <c r="E424" t="inlineStr">
        <is>
          <t>NG019</t>
        </is>
      </c>
      <c r="F424" t="inlineStr">
        <is>
          <t>Nigeria</t>
        </is>
      </c>
      <c r="G424" t="inlineStr">
        <is>
          <t>NGA</t>
        </is>
      </c>
    </row>
    <row r="425">
      <c r="A425" t="inlineStr">
        <is>
          <t>Kaura Namoda</t>
        </is>
      </c>
      <c r="B425" t="inlineStr">
        <is>
          <t xml:space="preserve"> </t>
        </is>
      </c>
      <c r="C425" t="inlineStr">
        <is>
          <t>NG037008</t>
        </is>
      </c>
      <c r="D425" t="inlineStr">
        <is>
          <t>Zamfara</t>
        </is>
      </c>
      <c r="E425" t="inlineStr">
        <is>
          <t>NG037</t>
        </is>
      </c>
      <c r="F425" t="inlineStr">
        <is>
          <t>Nigeria</t>
        </is>
      </c>
      <c r="G425" t="inlineStr">
        <is>
          <t>NGA</t>
        </is>
      </c>
    </row>
    <row r="426">
      <c r="A426" t="inlineStr">
        <is>
          <t>Kauru</t>
        </is>
      </c>
      <c r="B426" t="inlineStr">
        <is>
          <t xml:space="preserve"> </t>
        </is>
      </c>
      <c r="C426" t="inlineStr">
        <is>
          <t>NG019014</t>
        </is>
      </c>
      <c r="D426" t="inlineStr">
        <is>
          <t>Kaduna</t>
        </is>
      </c>
      <c r="E426" t="inlineStr">
        <is>
          <t>NG019</t>
        </is>
      </c>
      <c r="F426" t="inlineStr">
        <is>
          <t>Nigeria</t>
        </is>
      </c>
      <c r="G426" t="inlineStr">
        <is>
          <t>NGA</t>
        </is>
      </c>
    </row>
    <row r="427">
      <c r="A427" t="inlineStr">
        <is>
          <t>Kazaure</t>
        </is>
      </c>
      <c r="B427" t="inlineStr">
        <is>
          <t xml:space="preserve"> </t>
        </is>
      </c>
      <c r="C427" t="inlineStr">
        <is>
          <t>NG018017</t>
        </is>
      </c>
      <c r="D427" t="inlineStr">
        <is>
          <t>Jigawa</t>
        </is>
      </c>
      <c r="E427" t="inlineStr">
        <is>
          <t>NG018</t>
        </is>
      </c>
      <c r="F427" t="inlineStr">
        <is>
          <t>Nigeria</t>
        </is>
      </c>
      <c r="G427" t="inlineStr">
        <is>
          <t>NGA</t>
        </is>
      </c>
    </row>
    <row r="428">
      <c r="A428" t="inlineStr">
        <is>
          <t>Keana</t>
        </is>
      </c>
      <c r="B428" t="inlineStr">
        <is>
          <t xml:space="preserve"> </t>
        </is>
      </c>
      <c r="C428" t="inlineStr">
        <is>
          <t>NG026005</t>
        </is>
      </c>
      <c r="D428" t="inlineStr">
        <is>
          <t>Nasarawa</t>
        </is>
      </c>
      <c r="E428" t="inlineStr">
        <is>
          <t>NG026</t>
        </is>
      </c>
      <c r="F428" t="inlineStr">
        <is>
          <t>Nigeria</t>
        </is>
      </c>
      <c r="G428" t="inlineStr">
        <is>
          <t>NGA</t>
        </is>
      </c>
    </row>
    <row r="429">
      <c r="A429" t="inlineStr">
        <is>
          <t>Kebbe</t>
        </is>
      </c>
      <c r="B429" t="inlineStr">
        <is>
          <t xml:space="preserve"> </t>
        </is>
      </c>
      <c r="C429" t="inlineStr">
        <is>
          <t>NG034010</t>
        </is>
      </c>
      <c r="D429" t="inlineStr">
        <is>
          <t>Sokoto</t>
        </is>
      </c>
      <c r="E429" t="inlineStr">
        <is>
          <t>NG034</t>
        </is>
      </c>
      <c r="F429" t="inlineStr">
        <is>
          <t>Nigeria</t>
        </is>
      </c>
      <c r="G429" t="inlineStr">
        <is>
          <t>NGA</t>
        </is>
      </c>
    </row>
    <row r="430">
      <c r="A430" t="inlineStr">
        <is>
          <t>Keffi</t>
        </is>
      </c>
      <c r="B430" t="inlineStr">
        <is>
          <t xml:space="preserve"> </t>
        </is>
      </c>
      <c r="C430" t="inlineStr">
        <is>
          <t>NG026006</t>
        </is>
      </c>
      <c r="D430" t="inlineStr">
        <is>
          <t>Nasarawa</t>
        </is>
      </c>
      <c r="E430" t="inlineStr">
        <is>
          <t>NG026</t>
        </is>
      </c>
      <c r="F430" t="inlineStr">
        <is>
          <t>Nigeria</t>
        </is>
      </c>
      <c r="G430" t="inlineStr">
        <is>
          <t>NGA</t>
        </is>
      </c>
    </row>
    <row r="431">
      <c r="A431" t="inlineStr">
        <is>
          <t>Khana</t>
        </is>
      </c>
      <c r="B431" t="inlineStr">
        <is>
          <t xml:space="preserve"> </t>
        </is>
      </c>
      <c r="C431" t="inlineStr">
        <is>
          <t>NG033014</t>
        </is>
      </c>
      <c r="D431" t="inlineStr">
        <is>
          <t>Rivers</t>
        </is>
      </c>
      <c r="E431" t="inlineStr">
        <is>
          <t>NG033</t>
        </is>
      </c>
      <c r="F431" t="inlineStr">
        <is>
          <t>Nigeria</t>
        </is>
      </c>
      <c r="G431" t="inlineStr">
        <is>
          <t>NGA</t>
        </is>
      </c>
    </row>
    <row r="432">
      <c r="A432" t="inlineStr">
        <is>
          <t>Kibiya</t>
        </is>
      </c>
      <c r="B432" t="inlineStr">
        <is>
          <t xml:space="preserve"> </t>
        </is>
      </c>
      <c r="C432" t="inlineStr">
        <is>
          <t>NG020023</t>
        </is>
      </c>
      <c r="D432" t="inlineStr">
        <is>
          <t>Kano</t>
        </is>
      </c>
      <c r="E432" t="inlineStr">
        <is>
          <t>NG020</t>
        </is>
      </c>
      <c r="F432" t="inlineStr">
        <is>
          <t>Nigeria</t>
        </is>
      </c>
      <c r="G432" t="inlineStr">
        <is>
          <t>NGA</t>
        </is>
      </c>
    </row>
    <row r="433">
      <c r="A433" t="inlineStr">
        <is>
          <t>Kirfi</t>
        </is>
      </c>
      <c r="B433" t="inlineStr">
        <is>
          <t xml:space="preserve"> </t>
        </is>
      </c>
      <c r="C433" t="inlineStr">
        <is>
          <t>NG005013</t>
        </is>
      </c>
      <c r="D433" t="inlineStr">
        <is>
          <t>Bauchi</t>
        </is>
      </c>
      <c r="E433" t="inlineStr">
        <is>
          <t>NG005</t>
        </is>
      </c>
      <c r="F433" t="inlineStr">
        <is>
          <t>Nigeria</t>
        </is>
      </c>
      <c r="G433" t="inlineStr">
        <is>
          <t>NGA</t>
        </is>
      </c>
    </row>
    <row r="434">
      <c r="A434" t="inlineStr">
        <is>
          <t>Kiri Kasamma</t>
        </is>
      </c>
      <c r="B434" t="inlineStr">
        <is>
          <t xml:space="preserve"> </t>
        </is>
      </c>
      <c r="C434" t="inlineStr">
        <is>
          <t>NG018018</t>
        </is>
      </c>
      <c r="D434" t="inlineStr">
        <is>
          <t>Jigawa</t>
        </is>
      </c>
      <c r="E434" t="inlineStr">
        <is>
          <t>NG018</t>
        </is>
      </c>
      <c r="F434" t="inlineStr">
        <is>
          <t>Nigeria</t>
        </is>
      </c>
      <c r="G434" t="inlineStr">
        <is>
          <t>NGA</t>
        </is>
      </c>
    </row>
    <row r="435">
      <c r="A435" t="inlineStr">
        <is>
          <t>Kiru</t>
        </is>
      </c>
      <c r="B435" t="inlineStr">
        <is>
          <t xml:space="preserve"> </t>
        </is>
      </c>
      <c r="C435" t="inlineStr">
        <is>
          <t>NG020024</t>
        </is>
      </c>
      <c r="D435" t="inlineStr">
        <is>
          <t>Kano</t>
        </is>
      </c>
      <c r="E435" t="inlineStr">
        <is>
          <t>NG020</t>
        </is>
      </c>
      <c r="F435" t="inlineStr">
        <is>
          <t>Nigeria</t>
        </is>
      </c>
      <c r="G435" t="inlineStr">
        <is>
          <t>NGA</t>
        </is>
      </c>
    </row>
    <row r="436">
      <c r="A436" t="inlineStr">
        <is>
          <t>Kiyawa</t>
        </is>
      </c>
      <c r="B436" t="inlineStr">
        <is>
          <t xml:space="preserve"> </t>
        </is>
      </c>
      <c r="C436" t="inlineStr">
        <is>
          <t>NG018019</t>
        </is>
      </c>
      <c r="D436" t="inlineStr">
        <is>
          <t>Jigawa</t>
        </is>
      </c>
      <c r="E436" t="inlineStr">
        <is>
          <t>NG018</t>
        </is>
      </c>
      <c r="F436" t="inlineStr">
        <is>
          <t>Nigeria</t>
        </is>
      </c>
      <c r="G436" t="inlineStr">
        <is>
          <t>NGA</t>
        </is>
      </c>
    </row>
    <row r="437">
      <c r="A437" t="inlineStr">
        <is>
          <t>Kogi</t>
        </is>
      </c>
      <c r="B437" t="inlineStr">
        <is>
          <t xml:space="preserve"> </t>
        </is>
      </c>
      <c r="C437" t="inlineStr">
        <is>
          <t>NG023011</t>
        </is>
      </c>
      <c r="D437" t="inlineStr">
        <is>
          <t>Kogi</t>
        </is>
      </c>
      <c r="E437" t="inlineStr">
        <is>
          <t>NG023</t>
        </is>
      </c>
      <c r="F437" t="inlineStr">
        <is>
          <t>Nigeria</t>
        </is>
      </c>
      <c r="G437" t="inlineStr">
        <is>
          <t>NGA</t>
        </is>
      </c>
    </row>
    <row r="438">
      <c r="A438" t="inlineStr">
        <is>
          <t>Koko/Besse</t>
        </is>
      </c>
      <c r="B438" t="inlineStr">
        <is>
          <t xml:space="preserve"> </t>
        </is>
      </c>
      <c r="C438" t="inlineStr">
        <is>
          <t>NG022013</t>
        </is>
      </c>
      <c r="D438" t="inlineStr">
        <is>
          <t>Kebbi</t>
        </is>
      </c>
      <c r="E438" t="inlineStr">
        <is>
          <t>NG022</t>
        </is>
      </c>
      <c r="F438" t="inlineStr">
        <is>
          <t>Nigeria</t>
        </is>
      </c>
      <c r="G438" t="inlineStr">
        <is>
          <t>NGA</t>
        </is>
      </c>
    </row>
    <row r="439">
      <c r="A439" t="inlineStr">
        <is>
          <t>Kokona</t>
        </is>
      </c>
      <c r="B439" t="inlineStr">
        <is>
          <t xml:space="preserve"> </t>
        </is>
      </c>
      <c r="C439" t="inlineStr">
        <is>
          <t>NG026007</t>
        </is>
      </c>
      <c r="D439" t="inlineStr">
        <is>
          <t>Nasarawa</t>
        </is>
      </c>
      <c r="E439" t="inlineStr">
        <is>
          <t>NG026</t>
        </is>
      </c>
      <c r="F439" t="inlineStr">
        <is>
          <t>Nigeria</t>
        </is>
      </c>
      <c r="G439" t="inlineStr">
        <is>
          <t>NGA</t>
        </is>
      </c>
    </row>
    <row r="440">
      <c r="A440" t="inlineStr">
        <is>
          <t>Kolokuma/Opokuma</t>
        </is>
      </c>
      <c r="B440" t="inlineStr">
        <is>
          <t xml:space="preserve"> </t>
        </is>
      </c>
      <c r="C440" t="inlineStr">
        <is>
          <t>NG006003</t>
        </is>
      </c>
      <c r="D440" t="inlineStr">
        <is>
          <t>Bayelsa</t>
        </is>
      </c>
      <c r="E440" t="inlineStr">
        <is>
          <t>NG006</t>
        </is>
      </c>
      <c r="F440" t="inlineStr">
        <is>
          <t>Nigeria</t>
        </is>
      </c>
      <c r="G440" t="inlineStr">
        <is>
          <t>NGA</t>
        </is>
      </c>
    </row>
    <row r="441">
      <c r="A441" t="inlineStr">
        <is>
          <t>Konduga</t>
        </is>
      </c>
      <c r="B441" t="inlineStr">
        <is>
          <t xml:space="preserve"> </t>
        </is>
      </c>
      <c r="C441" t="inlineStr">
        <is>
          <t>NG008016</t>
        </is>
      </c>
      <c r="D441" t="inlineStr">
        <is>
          <t>Borno</t>
        </is>
      </c>
      <c r="E441" t="inlineStr">
        <is>
          <t>NG008</t>
        </is>
      </c>
      <c r="F441" t="inlineStr">
        <is>
          <t>Nigeria</t>
        </is>
      </c>
      <c r="G441" t="inlineStr">
        <is>
          <t>NGA</t>
        </is>
      </c>
    </row>
    <row r="442">
      <c r="A442" t="inlineStr">
        <is>
          <t>Konshisha</t>
        </is>
      </c>
      <c r="B442" t="inlineStr">
        <is>
          <t xml:space="preserve"> </t>
        </is>
      </c>
      <c r="C442" t="inlineStr">
        <is>
          <t>NG007010</t>
        </is>
      </c>
      <c r="D442" t="inlineStr">
        <is>
          <t>Benue</t>
        </is>
      </c>
      <c r="E442" t="inlineStr">
        <is>
          <t>NG007</t>
        </is>
      </c>
      <c r="F442" t="inlineStr">
        <is>
          <t>Nigeria</t>
        </is>
      </c>
      <c r="G442" t="inlineStr">
        <is>
          <t>NGA</t>
        </is>
      </c>
    </row>
    <row r="443">
      <c r="A443" t="inlineStr">
        <is>
          <t>Kontagora</t>
        </is>
      </c>
      <c r="B443" t="inlineStr">
        <is>
          <t xml:space="preserve"> </t>
        </is>
      </c>
      <c r="C443" t="inlineStr">
        <is>
          <t>NG027011</t>
        </is>
      </c>
      <c r="D443" t="inlineStr">
        <is>
          <t>Niger</t>
        </is>
      </c>
      <c r="E443" t="inlineStr">
        <is>
          <t>NG027</t>
        </is>
      </c>
      <c r="F443" t="inlineStr">
        <is>
          <t>Nigeria</t>
        </is>
      </c>
      <c r="G443" t="inlineStr">
        <is>
          <t>NGA</t>
        </is>
      </c>
    </row>
    <row r="444">
      <c r="A444" t="inlineStr">
        <is>
          <t>Kosofe</t>
        </is>
      </c>
      <c r="B444" t="inlineStr">
        <is>
          <t xml:space="preserve"> </t>
        </is>
      </c>
      <c r="C444" t="inlineStr">
        <is>
          <t>NG025013</t>
        </is>
      </c>
      <c r="D444" t="inlineStr">
        <is>
          <t>Lagos</t>
        </is>
      </c>
      <c r="E444" t="inlineStr">
        <is>
          <t>NG025</t>
        </is>
      </c>
      <c r="F444" t="inlineStr">
        <is>
          <t>Nigeria</t>
        </is>
      </c>
      <c r="G444" t="inlineStr">
        <is>
          <t>NGA</t>
        </is>
      </c>
    </row>
    <row r="445">
      <c r="A445" t="inlineStr">
        <is>
          <t>Kubau</t>
        </is>
      </c>
      <c r="B445" t="inlineStr">
        <is>
          <t xml:space="preserve"> </t>
        </is>
      </c>
      <c r="C445" t="inlineStr">
        <is>
          <t>NG019015</t>
        </is>
      </c>
      <c r="D445" t="inlineStr">
        <is>
          <t>Kaduna</t>
        </is>
      </c>
      <c r="E445" t="inlineStr">
        <is>
          <t>NG019</t>
        </is>
      </c>
      <c r="F445" t="inlineStr">
        <is>
          <t>Nigeria</t>
        </is>
      </c>
      <c r="G445" t="inlineStr">
        <is>
          <t>NGA</t>
        </is>
      </c>
    </row>
    <row r="446">
      <c r="A446" t="inlineStr">
        <is>
          <t>Kudan</t>
        </is>
      </c>
      <c r="B446" t="inlineStr">
        <is>
          <t xml:space="preserve"> </t>
        </is>
      </c>
      <c r="C446" t="inlineStr">
        <is>
          <t>NG019016</t>
        </is>
      </c>
      <c r="D446" t="inlineStr">
        <is>
          <t>Kaduna</t>
        </is>
      </c>
      <c r="E446" t="inlineStr">
        <is>
          <t>NG019</t>
        </is>
      </c>
      <c r="F446" t="inlineStr">
        <is>
          <t>Nigeria</t>
        </is>
      </c>
      <c r="G446" t="inlineStr">
        <is>
          <t>NGA</t>
        </is>
      </c>
    </row>
    <row r="447">
      <c r="A447" t="inlineStr">
        <is>
          <t>Kuje</t>
        </is>
      </c>
      <c r="B447" t="inlineStr">
        <is>
          <t xml:space="preserve"> </t>
        </is>
      </c>
      <c r="C447" t="inlineStr">
        <is>
          <t>NG015005</t>
        </is>
      </c>
      <c r="D447" t="inlineStr">
        <is>
          <t>Federal Capital Territory</t>
        </is>
      </c>
      <c r="E447" t="inlineStr">
        <is>
          <t>NG015</t>
        </is>
      </c>
      <c r="F447" t="inlineStr">
        <is>
          <t>Nigeria</t>
        </is>
      </c>
      <c r="G447" t="inlineStr">
        <is>
          <t>NGA</t>
        </is>
      </c>
    </row>
    <row r="448">
      <c r="A448" t="inlineStr">
        <is>
          <t>Tudun Wada</t>
        </is>
      </c>
      <c r="B448" t="inlineStr">
        <is>
          <t xml:space="preserve"> </t>
        </is>
      </c>
      <c r="C448" t="inlineStr">
        <is>
          <t>NG020041</t>
        </is>
      </c>
      <c r="D448" t="inlineStr">
        <is>
          <t>Kano</t>
        </is>
      </c>
      <c r="E448" t="inlineStr">
        <is>
          <t>NG020</t>
        </is>
      </c>
      <c r="F448" t="inlineStr">
        <is>
          <t>Nigeria</t>
        </is>
      </c>
      <c r="G448" t="inlineStr">
        <is>
          <t>NGA</t>
        </is>
      </c>
    </row>
    <row r="449">
      <c r="A449" t="inlineStr">
        <is>
          <t>Kukawa</t>
        </is>
      </c>
      <c r="B449" t="inlineStr">
        <is>
          <t xml:space="preserve"> </t>
        </is>
      </c>
      <c r="C449" t="inlineStr">
        <is>
          <t>NG008017</t>
        </is>
      </c>
      <c r="D449" t="inlineStr">
        <is>
          <t>Borno</t>
        </is>
      </c>
      <c r="E449" t="inlineStr">
        <is>
          <t>NG008</t>
        </is>
      </c>
      <c r="F449" t="inlineStr">
        <is>
          <t>Nigeria</t>
        </is>
      </c>
      <c r="G449" t="inlineStr">
        <is>
          <t>NGA</t>
        </is>
      </c>
    </row>
    <row r="450">
      <c r="A450" t="inlineStr">
        <is>
          <t>Kumbotso</t>
        </is>
      </c>
      <c r="B450" t="inlineStr">
        <is>
          <t xml:space="preserve"> </t>
        </is>
      </c>
      <c r="C450" t="inlineStr">
        <is>
          <t>NG020025</t>
        </is>
      </c>
      <c r="D450" t="inlineStr">
        <is>
          <t>Kano</t>
        </is>
      </c>
      <c r="E450" t="inlineStr">
        <is>
          <t>NG020</t>
        </is>
      </c>
      <c r="F450" t="inlineStr">
        <is>
          <t>Nigeria</t>
        </is>
      </c>
      <c r="G450" t="inlineStr">
        <is>
          <t>NGA</t>
        </is>
      </c>
    </row>
    <row r="451">
      <c r="A451" t="inlineStr">
        <is>
          <t>Kunchi</t>
        </is>
      </c>
      <c r="B451" t="inlineStr">
        <is>
          <t xml:space="preserve"> </t>
        </is>
      </c>
      <c r="C451" t="inlineStr">
        <is>
          <t>NG020026</t>
        </is>
      </c>
      <c r="D451" t="inlineStr">
        <is>
          <t>Kano</t>
        </is>
      </c>
      <c r="E451" t="inlineStr">
        <is>
          <t>NG020</t>
        </is>
      </c>
      <c r="F451" t="inlineStr">
        <is>
          <t>Nigeria</t>
        </is>
      </c>
      <c r="G451" t="inlineStr">
        <is>
          <t>NGA</t>
        </is>
      </c>
    </row>
    <row r="452">
      <c r="A452" t="inlineStr">
        <is>
          <t>Kura</t>
        </is>
      </c>
      <c r="B452" t="inlineStr">
        <is>
          <t xml:space="preserve"> </t>
        </is>
      </c>
      <c r="C452" t="inlineStr">
        <is>
          <t>NG020027</t>
        </is>
      </c>
      <c r="D452" t="inlineStr">
        <is>
          <t>Kano</t>
        </is>
      </c>
      <c r="E452" t="inlineStr">
        <is>
          <t>NG020</t>
        </is>
      </c>
      <c r="F452" t="inlineStr">
        <is>
          <t>Nigeria</t>
        </is>
      </c>
      <c r="G452" t="inlineStr">
        <is>
          <t>NGA</t>
        </is>
      </c>
    </row>
    <row r="453">
      <c r="A453" t="inlineStr">
        <is>
          <t>Kurfi</t>
        </is>
      </c>
      <c r="B453" t="inlineStr">
        <is>
          <t xml:space="preserve"> </t>
        </is>
      </c>
      <c r="C453" t="inlineStr">
        <is>
          <t>NG021022</t>
        </is>
      </c>
      <c r="D453" t="inlineStr">
        <is>
          <t>Katsina</t>
        </is>
      </c>
      <c r="E453" t="inlineStr">
        <is>
          <t>NG021</t>
        </is>
      </c>
      <c r="F453" t="inlineStr">
        <is>
          <t>Nigeria</t>
        </is>
      </c>
      <c r="G453" t="inlineStr">
        <is>
          <t>NGA</t>
        </is>
      </c>
    </row>
    <row r="454">
      <c r="A454" t="inlineStr">
        <is>
          <t>Kurmi</t>
        </is>
      </c>
      <c r="B454" t="inlineStr">
        <is>
          <t xml:space="preserve"> </t>
        </is>
      </c>
      <c r="C454" t="inlineStr">
        <is>
          <t>NG035009</t>
        </is>
      </c>
      <c r="D454" t="inlineStr">
        <is>
          <t>Taraba</t>
        </is>
      </c>
      <c r="E454" t="inlineStr">
        <is>
          <t>NG035</t>
        </is>
      </c>
      <c r="F454" t="inlineStr">
        <is>
          <t>Nigeria</t>
        </is>
      </c>
      <c r="G454" t="inlineStr">
        <is>
          <t>NGA</t>
        </is>
      </c>
    </row>
    <row r="455">
      <c r="A455" t="inlineStr">
        <is>
          <t>Kusada</t>
        </is>
      </c>
      <c r="B455" t="inlineStr">
        <is>
          <t xml:space="preserve"> </t>
        </is>
      </c>
      <c r="C455" t="inlineStr">
        <is>
          <t>NG021023</t>
        </is>
      </c>
      <c r="D455" t="inlineStr">
        <is>
          <t>Katsina</t>
        </is>
      </c>
      <c r="E455" t="inlineStr">
        <is>
          <t>NG021</t>
        </is>
      </c>
      <c r="F455" t="inlineStr">
        <is>
          <t>Nigeria</t>
        </is>
      </c>
      <c r="G455" t="inlineStr">
        <is>
          <t>NGA</t>
        </is>
      </c>
    </row>
    <row r="456">
      <c r="A456" t="inlineStr">
        <is>
          <t>Kwali</t>
        </is>
      </c>
      <c r="B456" t="inlineStr">
        <is>
          <t xml:space="preserve"> </t>
        </is>
      </c>
      <c r="C456" t="inlineStr">
        <is>
          <t>NG015006</t>
        </is>
      </c>
      <c r="D456" t="inlineStr">
        <is>
          <t>Federal Capital Territory</t>
        </is>
      </c>
      <c r="E456" t="inlineStr">
        <is>
          <t>NG015</t>
        </is>
      </c>
      <c r="F456" t="inlineStr">
        <is>
          <t>Nigeria</t>
        </is>
      </c>
      <c r="G456" t="inlineStr">
        <is>
          <t>NGA</t>
        </is>
      </c>
    </row>
    <row r="457">
      <c r="A457" t="inlineStr">
        <is>
          <t>Kwami</t>
        </is>
      </c>
      <c r="B457" t="inlineStr">
        <is>
          <t xml:space="preserve"> </t>
        </is>
      </c>
      <c r="C457" t="inlineStr">
        <is>
          <t>NG016008</t>
        </is>
      </c>
      <c r="D457" t="inlineStr">
        <is>
          <t>Gombe</t>
        </is>
      </c>
      <c r="E457" t="inlineStr">
        <is>
          <t>NG016</t>
        </is>
      </c>
      <c r="F457" t="inlineStr">
        <is>
          <t>Nigeria</t>
        </is>
      </c>
      <c r="G457" t="inlineStr">
        <is>
          <t>NGA</t>
        </is>
      </c>
    </row>
    <row r="458">
      <c r="A458" t="inlineStr">
        <is>
          <t>Kwande</t>
        </is>
      </c>
      <c r="B458" t="inlineStr">
        <is>
          <t xml:space="preserve"> </t>
        </is>
      </c>
      <c r="C458" t="inlineStr">
        <is>
          <t>NG007011</t>
        </is>
      </c>
      <c r="D458" t="inlineStr">
        <is>
          <t>Benue</t>
        </is>
      </c>
      <c r="E458" t="inlineStr">
        <is>
          <t>NG007</t>
        </is>
      </c>
      <c r="F458" t="inlineStr">
        <is>
          <t>Nigeria</t>
        </is>
      </c>
      <c r="G458" t="inlineStr">
        <is>
          <t>NGA</t>
        </is>
      </c>
    </row>
    <row r="459">
      <c r="A459" t="inlineStr">
        <is>
          <t>Kware</t>
        </is>
      </c>
      <c r="B459" t="inlineStr">
        <is>
          <t xml:space="preserve"> </t>
        </is>
      </c>
      <c r="C459" t="inlineStr">
        <is>
          <t>NG034011</t>
        </is>
      </c>
      <c r="D459" t="inlineStr">
        <is>
          <t>Sokoto</t>
        </is>
      </c>
      <c r="E459" t="inlineStr">
        <is>
          <t>NG034</t>
        </is>
      </c>
      <c r="F459" t="inlineStr">
        <is>
          <t>Nigeria</t>
        </is>
      </c>
      <c r="G459" t="inlineStr">
        <is>
          <t>NGA</t>
        </is>
      </c>
    </row>
    <row r="460">
      <c r="A460" t="inlineStr">
        <is>
          <t>Kwaya Kusar</t>
        </is>
      </c>
      <c r="B460" t="inlineStr">
        <is>
          <t xml:space="preserve"> </t>
        </is>
      </c>
      <c r="C460" t="inlineStr">
        <is>
          <t>NG008018</t>
        </is>
      </c>
      <c r="D460" t="inlineStr">
        <is>
          <t>Borno</t>
        </is>
      </c>
      <c r="E460" t="inlineStr">
        <is>
          <t>NG008</t>
        </is>
      </c>
      <c r="F460" t="inlineStr">
        <is>
          <t>Nigeria</t>
        </is>
      </c>
      <c r="G460" t="inlineStr">
        <is>
          <t>NGA</t>
        </is>
      </c>
    </row>
    <row r="461">
      <c r="A461" t="inlineStr">
        <is>
          <t>Lafia</t>
        </is>
      </c>
      <c r="B461" t="inlineStr">
        <is>
          <t xml:space="preserve"> </t>
        </is>
      </c>
      <c r="C461" t="inlineStr">
        <is>
          <t>NG026008</t>
        </is>
      </c>
      <c r="D461" t="inlineStr">
        <is>
          <t>Nasarawa</t>
        </is>
      </c>
      <c r="E461" t="inlineStr">
        <is>
          <t>NG026</t>
        </is>
      </c>
      <c r="F461" t="inlineStr">
        <is>
          <t>Nigeria</t>
        </is>
      </c>
      <c r="G461" t="inlineStr">
        <is>
          <t>NGA</t>
        </is>
      </c>
    </row>
    <row r="462">
      <c r="A462" t="inlineStr">
        <is>
          <t>Lagelu</t>
        </is>
      </c>
      <c r="B462" t="inlineStr">
        <is>
          <t xml:space="preserve"> </t>
        </is>
      </c>
      <c r="C462" t="inlineStr">
        <is>
          <t>NG031020</t>
        </is>
      </c>
      <c r="D462" t="inlineStr">
        <is>
          <t>Oyo</t>
        </is>
      </c>
      <c r="E462" t="inlineStr">
        <is>
          <t>NG031</t>
        </is>
      </c>
      <c r="F462" t="inlineStr">
        <is>
          <t>Nigeria</t>
        </is>
      </c>
      <c r="G462" t="inlineStr">
        <is>
          <t>NGA</t>
        </is>
      </c>
    </row>
    <row r="463">
      <c r="A463" t="inlineStr">
        <is>
          <t>Lagos Island</t>
        </is>
      </c>
      <c r="B463" t="inlineStr">
        <is>
          <t xml:space="preserve"> </t>
        </is>
      </c>
      <c r="C463" t="inlineStr">
        <is>
          <t>NG025014</t>
        </is>
      </c>
      <c r="D463" t="inlineStr">
        <is>
          <t>Lagos</t>
        </is>
      </c>
      <c r="E463" t="inlineStr">
        <is>
          <t>NG025</t>
        </is>
      </c>
      <c r="F463" t="inlineStr">
        <is>
          <t>Nigeria</t>
        </is>
      </c>
      <c r="G463" t="inlineStr">
        <is>
          <t>NGA</t>
        </is>
      </c>
    </row>
    <row r="464">
      <c r="A464" t="inlineStr">
        <is>
          <t>Lagos Mainland</t>
        </is>
      </c>
      <c r="B464" t="inlineStr">
        <is>
          <t xml:space="preserve"> </t>
        </is>
      </c>
      <c r="C464" t="inlineStr">
        <is>
          <t>NG025015</t>
        </is>
      </c>
      <c r="D464" t="inlineStr">
        <is>
          <t>Lagos</t>
        </is>
      </c>
      <c r="E464" t="inlineStr">
        <is>
          <t>NG025</t>
        </is>
      </c>
      <c r="F464" t="inlineStr">
        <is>
          <t>Nigeria</t>
        </is>
      </c>
      <c r="G464" t="inlineStr">
        <is>
          <t>NGA</t>
        </is>
      </c>
    </row>
    <row r="465">
      <c r="A465" t="inlineStr">
        <is>
          <t>Lamurde</t>
        </is>
      </c>
      <c r="B465" t="inlineStr">
        <is>
          <t xml:space="preserve"> </t>
        </is>
      </c>
      <c r="C465" t="inlineStr">
        <is>
          <t>NG002009</t>
        </is>
      </c>
      <c r="D465" t="inlineStr">
        <is>
          <t>Adamawa</t>
        </is>
      </c>
      <c r="E465" t="inlineStr">
        <is>
          <t>NG002</t>
        </is>
      </c>
      <c r="F465" t="inlineStr">
        <is>
          <t>Nigeria</t>
        </is>
      </c>
      <c r="G465" t="inlineStr">
        <is>
          <t>NGA</t>
        </is>
      </c>
    </row>
    <row r="466">
      <c r="A466" t="inlineStr">
        <is>
          <t>Langtang North</t>
        </is>
      </c>
      <c r="B466" t="inlineStr">
        <is>
          <t xml:space="preserve"> </t>
        </is>
      </c>
      <c r="C466" t="inlineStr">
        <is>
          <t>NG032009</t>
        </is>
      </c>
      <c r="D466" t="inlineStr">
        <is>
          <t>Plateau</t>
        </is>
      </c>
      <c r="E466" t="inlineStr">
        <is>
          <t>NG032</t>
        </is>
      </c>
      <c r="F466" t="inlineStr">
        <is>
          <t>Nigeria</t>
        </is>
      </c>
      <c r="G466" t="inlineStr">
        <is>
          <t>NGA</t>
        </is>
      </c>
    </row>
    <row r="467">
      <c r="A467" t="inlineStr">
        <is>
          <t>Langtang South</t>
        </is>
      </c>
      <c r="B467" t="inlineStr">
        <is>
          <t xml:space="preserve"> </t>
        </is>
      </c>
      <c r="C467" t="inlineStr">
        <is>
          <t>NG032010</t>
        </is>
      </c>
      <c r="D467" t="inlineStr">
        <is>
          <t>Plateau</t>
        </is>
      </c>
      <c r="E467" t="inlineStr">
        <is>
          <t>NG032</t>
        </is>
      </c>
      <c r="F467" t="inlineStr">
        <is>
          <t>Nigeria</t>
        </is>
      </c>
      <c r="G467" t="inlineStr">
        <is>
          <t>NGA</t>
        </is>
      </c>
    </row>
    <row r="468">
      <c r="A468" t="inlineStr">
        <is>
          <t>Lapai</t>
        </is>
      </c>
      <c r="B468" t="inlineStr">
        <is>
          <t xml:space="preserve"> </t>
        </is>
      </c>
      <c r="C468" t="inlineStr">
        <is>
          <t>NG027012</t>
        </is>
      </c>
      <c r="D468" t="inlineStr">
        <is>
          <t>Niger</t>
        </is>
      </c>
      <c r="E468" t="inlineStr">
        <is>
          <t>NG027</t>
        </is>
      </c>
      <c r="F468" t="inlineStr">
        <is>
          <t>Nigeria</t>
        </is>
      </c>
      <c r="G468" t="inlineStr">
        <is>
          <t>NGA</t>
        </is>
      </c>
    </row>
    <row r="469">
      <c r="A469" t="inlineStr">
        <is>
          <t>Lau</t>
        </is>
      </c>
      <c r="B469" t="inlineStr">
        <is>
          <t xml:space="preserve"> </t>
        </is>
      </c>
      <c r="C469" t="inlineStr">
        <is>
          <t>NG035010</t>
        </is>
      </c>
      <c r="D469" t="inlineStr">
        <is>
          <t>Taraba</t>
        </is>
      </c>
      <c r="E469" t="inlineStr">
        <is>
          <t>NG035</t>
        </is>
      </c>
      <c r="F469" t="inlineStr">
        <is>
          <t>Nigeria</t>
        </is>
      </c>
      <c r="G469" t="inlineStr">
        <is>
          <t>NGA</t>
        </is>
      </c>
    </row>
    <row r="470">
      <c r="A470" t="inlineStr">
        <is>
          <t>Lavun</t>
        </is>
      </c>
      <c r="B470" t="inlineStr">
        <is>
          <t xml:space="preserve"> </t>
        </is>
      </c>
      <c r="C470" t="inlineStr">
        <is>
          <t>NG027013</t>
        </is>
      </c>
      <c r="D470" t="inlineStr">
        <is>
          <t>Niger</t>
        </is>
      </c>
      <c r="E470" t="inlineStr">
        <is>
          <t>NG027</t>
        </is>
      </c>
      <c r="F470" t="inlineStr">
        <is>
          <t>Nigeria</t>
        </is>
      </c>
      <c r="G470" t="inlineStr">
        <is>
          <t>NGA</t>
        </is>
      </c>
    </row>
    <row r="471">
      <c r="A471" t="inlineStr">
        <is>
          <t>Lere</t>
        </is>
      </c>
      <c r="B471" t="inlineStr">
        <is>
          <t xml:space="preserve"> </t>
        </is>
      </c>
      <c r="C471" t="inlineStr">
        <is>
          <t>NG019017</t>
        </is>
      </c>
      <c r="D471" t="inlineStr">
        <is>
          <t>Kaduna</t>
        </is>
      </c>
      <c r="E471" t="inlineStr">
        <is>
          <t>NG019</t>
        </is>
      </c>
      <c r="F471" t="inlineStr">
        <is>
          <t>Nigeria</t>
        </is>
      </c>
      <c r="G471" t="inlineStr">
        <is>
          <t>NGA</t>
        </is>
      </c>
    </row>
    <row r="472">
      <c r="A472" t="inlineStr">
        <is>
          <t>Logo</t>
        </is>
      </c>
      <c r="B472" t="inlineStr">
        <is>
          <t xml:space="preserve"> </t>
        </is>
      </c>
      <c r="C472" t="inlineStr">
        <is>
          <t>NG007012</t>
        </is>
      </c>
      <c r="D472" t="inlineStr">
        <is>
          <t>Benue</t>
        </is>
      </c>
      <c r="E472" t="inlineStr">
        <is>
          <t>NG007</t>
        </is>
      </c>
      <c r="F472" t="inlineStr">
        <is>
          <t>Nigeria</t>
        </is>
      </c>
      <c r="G472" t="inlineStr">
        <is>
          <t>NGA</t>
        </is>
      </c>
    </row>
    <row r="473">
      <c r="A473" t="inlineStr">
        <is>
          <t>Lokoja</t>
        </is>
      </c>
      <c r="B473" t="inlineStr">
        <is>
          <t xml:space="preserve"> </t>
        </is>
      </c>
      <c r="C473" t="inlineStr">
        <is>
          <t>NG023012</t>
        </is>
      </c>
      <c r="D473" t="inlineStr">
        <is>
          <t>Kogi</t>
        </is>
      </c>
      <c r="E473" t="inlineStr">
        <is>
          <t>NG023</t>
        </is>
      </c>
      <c r="F473" t="inlineStr">
        <is>
          <t>Nigeria</t>
        </is>
      </c>
      <c r="G473" t="inlineStr">
        <is>
          <t>NGA</t>
        </is>
      </c>
    </row>
    <row r="474">
      <c r="A474" t="inlineStr">
        <is>
          <t>Machina</t>
        </is>
      </c>
      <c r="B474" t="inlineStr">
        <is>
          <t xml:space="preserve"> </t>
        </is>
      </c>
      <c r="C474" t="inlineStr">
        <is>
          <t>NG036011</t>
        </is>
      </c>
      <c r="D474" t="inlineStr">
        <is>
          <t>Yobe</t>
        </is>
      </c>
      <c r="E474" t="inlineStr">
        <is>
          <t>NG036</t>
        </is>
      </c>
      <c r="F474" t="inlineStr">
        <is>
          <t>Nigeria</t>
        </is>
      </c>
      <c r="G474" t="inlineStr">
        <is>
          <t>NGA</t>
        </is>
      </c>
    </row>
    <row r="475">
      <c r="A475" t="inlineStr">
        <is>
          <t>Madagali</t>
        </is>
      </c>
      <c r="B475" t="inlineStr">
        <is>
          <t xml:space="preserve"> </t>
        </is>
      </c>
      <c r="C475" t="inlineStr">
        <is>
          <t>NG002010</t>
        </is>
      </c>
      <c r="D475" t="inlineStr">
        <is>
          <t>Adamawa</t>
        </is>
      </c>
      <c r="E475" t="inlineStr">
        <is>
          <t>NG002</t>
        </is>
      </c>
      <c r="F475" t="inlineStr">
        <is>
          <t>Nigeria</t>
        </is>
      </c>
      <c r="G475" t="inlineStr">
        <is>
          <t>NGA</t>
        </is>
      </c>
    </row>
    <row r="476">
      <c r="A476" t="inlineStr">
        <is>
          <t>Madobi</t>
        </is>
      </c>
      <c r="B476" t="inlineStr">
        <is>
          <t xml:space="preserve"> </t>
        </is>
      </c>
      <c r="C476" t="inlineStr">
        <is>
          <t>NG020028</t>
        </is>
      </c>
      <c r="D476" t="inlineStr">
        <is>
          <t>Kano</t>
        </is>
      </c>
      <c r="E476" t="inlineStr">
        <is>
          <t>NG020</t>
        </is>
      </c>
      <c r="F476" t="inlineStr">
        <is>
          <t>Nigeria</t>
        </is>
      </c>
      <c r="G476" t="inlineStr">
        <is>
          <t>NGA</t>
        </is>
      </c>
    </row>
    <row r="477">
      <c r="A477" t="inlineStr">
        <is>
          <t>Mafa</t>
        </is>
      </c>
      <c r="B477" t="inlineStr">
        <is>
          <t xml:space="preserve"> </t>
        </is>
      </c>
      <c r="C477" t="inlineStr">
        <is>
          <t>NG008019</t>
        </is>
      </c>
      <c r="D477" t="inlineStr">
        <is>
          <t>Borno</t>
        </is>
      </c>
      <c r="E477" t="inlineStr">
        <is>
          <t>NG008</t>
        </is>
      </c>
      <c r="F477" t="inlineStr">
        <is>
          <t>Nigeria</t>
        </is>
      </c>
      <c r="G477" t="inlineStr">
        <is>
          <t>NGA</t>
        </is>
      </c>
    </row>
    <row r="478">
      <c r="A478" t="inlineStr">
        <is>
          <t>Magama</t>
        </is>
      </c>
      <c r="B478" t="inlineStr">
        <is>
          <t xml:space="preserve"> </t>
        </is>
      </c>
      <c r="C478" t="inlineStr">
        <is>
          <t>NG027014</t>
        </is>
      </c>
      <c r="D478" t="inlineStr">
        <is>
          <t>Niger</t>
        </is>
      </c>
      <c r="E478" t="inlineStr">
        <is>
          <t>NG027</t>
        </is>
      </c>
      <c r="F478" t="inlineStr">
        <is>
          <t>Nigeria</t>
        </is>
      </c>
      <c r="G478" t="inlineStr">
        <is>
          <t>NGA</t>
        </is>
      </c>
    </row>
    <row r="479">
      <c r="A479" t="inlineStr">
        <is>
          <t>Magumeri</t>
        </is>
      </c>
      <c r="B479" t="inlineStr">
        <is>
          <t xml:space="preserve"> </t>
        </is>
      </c>
      <c r="C479" t="inlineStr">
        <is>
          <t>NG008020</t>
        </is>
      </c>
      <c r="D479" t="inlineStr">
        <is>
          <t>Borno</t>
        </is>
      </c>
      <c r="E479" t="inlineStr">
        <is>
          <t>NG008</t>
        </is>
      </c>
      <c r="F479" t="inlineStr">
        <is>
          <t>Nigeria</t>
        </is>
      </c>
      <c r="G479" t="inlineStr">
        <is>
          <t>NGA</t>
        </is>
      </c>
    </row>
    <row r="480">
      <c r="A480" t="inlineStr">
        <is>
          <t>Mai'adua</t>
        </is>
      </c>
      <c r="B480" t="inlineStr">
        <is>
          <t xml:space="preserve"> </t>
        </is>
      </c>
      <c r="C480" t="inlineStr">
        <is>
          <t>NG021024</t>
        </is>
      </c>
      <c r="D480" t="inlineStr">
        <is>
          <t>Katsina</t>
        </is>
      </c>
      <c r="E480" t="inlineStr">
        <is>
          <t>NG021</t>
        </is>
      </c>
      <c r="F480" t="inlineStr">
        <is>
          <t>Nigeria</t>
        </is>
      </c>
      <c r="G480" t="inlineStr">
        <is>
          <t>NGA</t>
        </is>
      </c>
    </row>
    <row r="481">
      <c r="A481" t="inlineStr">
        <is>
          <t>Maiduguri</t>
        </is>
      </c>
      <c r="B481" t="inlineStr">
        <is>
          <t xml:space="preserve"> </t>
        </is>
      </c>
      <c r="C481" t="inlineStr">
        <is>
          <t>NG008021</t>
        </is>
      </c>
      <c r="D481" t="inlineStr">
        <is>
          <t>Borno</t>
        </is>
      </c>
      <c r="E481" t="inlineStr">
        <is>
          <t>NG008</t>
        </is>
      </c>
      <c r="F481" t="inlineStr">
        <is>
          <t>Nigeria</t>
        </is>
      </c>
      <c r="G481" t="inlineStr">
        <is>
          <t>NGA</t>
        </is>
      </c>
    </row>
    <row r="482">
      <c r="A482" t="inlineStr">
        <is>
          <t>Maigatari</t>
        </is>
      </c>
      <c r="B482" t="inlineStr">
        <is>
          <t xml:space="preserve"> </t>
        </is>
      </c>
      <c r="C482" t="inlineStr">
        <is>
          <t>NG018020</t>
        </is>
      </c>
      <c r="D482" t="inlineStr">
        <is>
          <t>Jigawa</t>
        </is>
      </c>
      <c r="E482" t="inlineStr">
        <is>
          <t>NG018</t>
        </is>
      </c>
      <c r="F482" t="inlineStr">
        <is>
          <t>Nigeria</t>
        </is>
      </c>
      <c r="G482" t="inlineStr">
        <is>
          <t>NGA</t>
        </is>
      </c>
    </row>
    <row r="483">
      <c r="A483" t="inlineStr">
        <is>
          <t>Maiha</t>
        </is>
      </c>
      <c r="B483" t="inlineStr">
        <is>
          <t xml:space="preserve"> </t>
        </is>
      </c>
      <c r="C483" t="inlineStr">
        <is>
          <t>NG002011</t>
        </is>
      </c>
      <c r="D483" t="inlineStr">
        <is>
          <t>Adamawa</t>
        </is>
      </c>
      <c r="E483" t="inlineStr">
        <is>
          <t>NG002</t>
        </is>
      </c>
      <c r="F483" t="inlineStr">
        <is>
          <t>Nigeria</t>
        </is>
      </c>
      <c r="G483" t="inlineStr">
        <is>
          <t>NGA</t>
        </is>
      </c>
    </row>
    <row r="484">
      <c r="A484" t="inlineStr">
        <is>
          <t>Maiyama</t>
        </is>
      </c>
      <c r="B484" t="inlineStr">
        <is>
          <t xml:space="preserve"> </t>
        </is>
      </c>
      <c r="C484" t="inlineStr">
        <is>
          <t>NG022014</t>
        </is>
      </c>
      <c r="D484" t="inlineStr">
        <is>
          <t>Kebbi</t>
        </is>
      </c>
      <c r="E484" t="inlineStr">
        <is>
          <t>NG022</t>
        </is>
      </c>
      <c r="F484" t="inlineStr">
        <is>
          <t>Nigeria</t>
        </is>
      </c>
      <c r="G484" t="inlineStr">
        <is>
          <t>NGA</t>
        </is>
      </c>
    </row>
    <row r="485">
      <c r="A485" t="inlineStr">
        <is>
          <t>Makoda</t>
        </is>
      </c>
      <c r="B485" t="inlineStr">
        <is>
          <t xml:space="preserve"> </t>
        </is>
      </c>
      <c r="C485" t="inlineStr">
        <is>
          <t>NG020029</t>
        </is>
      </c>
      <c r="D485" t="inlineStr">
        <is>
          <t>Kano</t>
        </is>
      </c>
      <c r="E485" t="inlineStr">
        <is>
          <t>NG020</t>
        </is>
      </c>
      <c r="F485" t="inlineStr">
        <is>
          <t>Nigeria</t>
        </is>
      </c>
      <c r="G485" t="inlineStr">
        <is>
          <t>NGA</t>
        </is>
      </c>
    </row>
    <row r="486">
      <c r="A486" t="inlineStr">
        <is>
          <t>Makurdi</t>
        </is>
      </c>
      <c r="B486" t="inlineStr">
        <is>
          <t xml:space="preserve"> </t>
        </is>
      </c>
      <c r="C486" t="inlineStr">
        <is>
          <t>NG007013</t>
        </is>
      </c>
      <c r="D486" t="inlineStr">
        <is>
          <t>Benue</t>
        </is>
      </c>
      <c r="E486" t="inlineStr">
        <is>
          <t>NG007</t>
        </is>
      </c>
      <c r="F486" t="inlineStr">
        <is>
          <t>Nigeria</t>
        </is>
      </c>
      <c r="G486" t="inlineStr">
        <is>
          <t>NGA</t>
        </is>
      </c>
    </row>
    <row r="487">
      <c r="A487" t="inlineStr">
        <is>
          <t>Malam Madori</t>
        </is>
      </c>
      <c r="B487" t="inlineStr">
        <is>
          <t xml:space="preserve"> </t>
        </is>
      </c>
      <c r="C487" t="inlineStr">
        <is>
          <t>NG018021</t>
        </is>
      </c>
      <c r="D487" t="inlineStr">
        <is>
          <t>Jigawa</t>
        </is>
      </c>
      <c r="E487" t="inlineStr">
        <is>
          <t>NG018</t>
        </is>
      </c>
      <c r="F487" t="inlineStr">
        <is>
          <t>Nigeria</t>
        </is>
      </c>
      <c r="G487" t="inlineStr">
        <is>
          <t>NGA</t>
        </is>
      </c>
    </row>
    <row r="488">
      <c r="A488" t="inlineStr">
        <is>
          <t>Malumfashi</t>
        </is>
      </c>
      <c r="B488" t="inlineStr">
        <is>
          <t xml:space="preserve"> </t>
        </is>
      </c>
      <c r="C488" t="inlineStr">
        <is>
          <t>NG021025</t>
        </is>
      </c>
      <c r="D488" t="inlineStr">
        <is>
          <t>Katsina</t>
        </is>
      </c>
      <c r="E488" t="inlineStr">
        <is>
          <t>NG021</t>
        </is>
      </c>
      <c r="F488" t="inlineStr">
        <is>
          <t>Nigeria</t>
        </is>
      </c>
      <c r="G488" t="inlineStr">
        <is>
          <t>NGA</t>
        </is>
      </c>
    </row>
    <row r="489">
      <c r="A489" t="inlineStr">
        <is>
          <t>Mangu</t>
        </is>
      </c>
      <c r="B489" t="inlineStr">
        <is>
          <t xml:space="preserve"> </t>
        </is>
      </c>
      <c r="C489" t="inlineStr">
        <is>
          <t>NG032011</t>
        </is>
      </c>
      <c r="D489" t="inlineStr">
        <is>
          <t>Plateau</t>
        </is>
      </c>
      <c r="E489" t="inlineStr">
        <is>
          <t>NG032</t>
        </is>
      </c>
      <c r="F489" t="inlineStr">
        <is>
          <t>Nigeria</t>
        </is>
      </c>
      <c r="G489" t="inlineStr">
        <is>
          <t>NGA</t>
        </is>
      </c>
    </row>
    <row r="490">
      <c r="A490" t="inlineStr">
        <is>
          <t>Mani</t>
        </is>
      </c>
      <c r="B490" t="inlineStr">
        <is>
          <t xml:space="preserve"> </t>
        </is>
      </c>
      <c r="C490" t="inlineStr">
        <is>
          <t>NG021026</t>
        </is>
      </c>
      <c r="D490" t="inlineStr">
        <is>
          <t>Katsina</t>
        </is>
      </c>
      <c r="E490" t="inlineStr">
        <is>
          <t>NG021</t>
        </is>
      </c>
      <c r="F490" t="inlineStr">
        <is>
          <t>Nigeria</t>
        </is>
      </c>
      <c r="G490" t="inlineStr">
        <is>
          <t>NGA</t>
        </is>
      </c>
    </row>
    <row r="491">
      <c r="A491" t="inlineStr">
        <is>
          <t>Maradun</t>
        </is>
      </c>
      <c r="B491" t="inlineStr">
        <is>
          <t xml:space="preserve"> </t>
        </is>
      </c>
      <c r="C491" t="inlineStr">
        <is>
          <t>NG037009</t>
        </is>
      </c>
      <c r="D491" t="inlineStr">
        <is>
          <t>Zamfara</t>
        </is>
      </c>
      <c r="E491" t="inlineStr">
        <is>
          <t>NG037</t>
        </is>
      </c>
      <c r="F491" t="inlineStr">
        <is>
          <t>Nigeria</t>
        </is>
      </c>
      <c r="G491" t="inlineStr">
        <is>
          <t>NGA</t>
        </is>
      </c>
    </row>
    <row r="492">
      <c r="A492" t="inlineStr">
        <is>
          <t>Mariga</t>
        </is>
      </c>
      <c r="B492" t="inlineStr">
        <is>
          <t xml:space="preserve"> </t>
        </is>
      </c>
      <c r="C492" t="inlineStr">
        <is>
          <t>NG027015</t>
        </is>
      </c>
      <c r="D492" t="inlineStr">
        <is>
          <t>Niger</t>
        </is>
      </c>
      <c r="E492" t="inlineStr">
        <is>
          <t>NG027</t>
        </is>
      </c>
      <c r="F492" t="inlineStr">
        <is>
          <t>Nigeria</t>
        </is>
      </c>
      <c r="G492" t="inlineStr">
        <is>
          <t>NGA</t>
        </is>
      </c>
    </row>
    <row r="493">
      <c r="A493" t="inlineStr">
        <is>
          <t>Markafi</t>
        </is>
      </c>
      <c r="B493" t="inlineStr">
        <is>
          <t xml:space="preserve"> </t>
        </is>
      </c>
      <c r="C493" t="inlineStr">
        <is>
          <t>NG019018</t>
        </is>
      </c>
      <c r="D493" t="inlineStr">
        <is>
          <t>Kaduna</t>
        </is>
      </c>
      <c r="E493" t="inlineStr">
        <is>
          <t>NG019</t>
        </is>
      </c>
      <c r="F493" t="inlineStr">
        <is>
          <t>Nigeria</t>
        </is>
      </c>
      <c r="G493" t="inlineStr">
        <is>
          <t>NGA</t>
        </is>
      </c>
    </row>
    <row r="494">
      <c r="A494" t="inlineStr">
        <is>
          <t>Marte</t>
        </is>
      </c>
      <c r="B494" t="inlineStr">
        <is>
          <t xml:space="preserve"> </t>
        </is>
      </c>
      <c r="C494" t="inlineStr">
        <is>
          <t>NG008022</t>
        </is>
      </c>
      <c r="D494" t="inlineStr">
        <is>
          <t>Borno</t>
        </is>
      </c>
      <c r="E494" t="inlineStr">
        <is>
          <t>NG008</t>
        </is>
      </c>
      <c r="F494" t="inlineStr">
        <is>
          <t>Nigeria</t>
        </is>
      </c>
      <c r="G494" t="inlineStr">
        <is>
          <t>NGA</t>
        </is>
      </c>
    </row>
    <row r="495">
      <c r="A495" t="inlineStr">
        <is>
          <t>Maru</t>
        </is>
      </c>
      <c r="B495" t="inlineStr">
        <is>
          <t xml:space="preserve"> </t>
        </is>
      </c>
      <c r="C495" t="inlineStr">
        <is>
          <t>NG037010</t>
        </is>
      </c>
      <c r="D495" t="inlineStr">
        <is>
          <t>Zamfara</t>
        </is>
      </c>
      <c r="E495" t="inlineStr">
        <is>
          <t>NG037</t>
        </is>
      </c>
      <c r="F495" t="inlineStr">
        <is>
          <t>Nigeria</t>
        </is>
      </c>
      <c r="G495" t="inlineStr">
        <is>
          <t>NGA</t>
        </is>
      </c>
    </row>
    <row r="496">
      <c r="A496" t="inlineStr">
        <is>
          <t>Mashegu</t>
        </is>
      </c>
      <c r="B496" t="inlineStr">
        <is>
          <t xml:space="preserve"> </t>
        </is>
      </c>
      <c r="C496" t="inlineStr">
        <is>
          <t>NG027016</t>
        </is>
      </c>
      <c r="D496" t="inlineStr">
        <is>
          <t>Niger</t>
        </is>
      </c>
      <c r="E496" t="inlineStr">
        <is>
          <t>NG027</t>
        </is>
      </c>
      <c r="F496" t="inlineStr">
        <is>
          <t>Nigeria</t>
        </is>
      </c>
      <c r="G496" t="inlineStr">
        <is>
          <t>NGA</t>
        </is>
      </c>
    </row>
    <row r="497">
      <c r="A497" t="inlineStr">
        <is>
          <t>Mashi</t>
        </is>
      </c>
      <c r="B497" t="inlineStr">
        <is>
          <t xml:space="preserve"> </t>
        </is>
      </c>
      <c r="C497" t="inlineStr">
        <is>
          <t>NG021027</t>
        </is>
      </c>
      <c r="D497" t="inlineStr">
        <is>
          <t>Katsina</t>
        </is>
      </c>
      <c r="E497" t="inlineStr">
        <is>
          <t>NG021</t>
        </is>
      </c>
      <c r="F497" t="inlineStr">
        <is>
          <t>Nigeria</t>
        </is>
      </c>
      <c r="G497" t="inlineStr">
        <is>
          <t>NGA</t>
        </is>
      </c>
    </row>
    <row r="498">
      <c r="A498" t="inlineStr">
        <is>
          <t>Matazu</t>
        </is>
      </c>
      <c r="B498" t="inlineStr">
        <is>
          <t xml:space="preserve"> </t>
        </is>
      </c>
      <c r="C498" t="inlineStr">
        <is>
          <t>NG021028</t>
        </is>
      </c>
      <c r="D498" t="inlineStr">
        <is>
          <t>Katsina</t>
        </is>
      </c>
      <c r="E498" t="inlineStr">
        <is>
          <t>NG021</t>
        </is>
      </c>
      <c r="F498" t="inlineStr">
        <is>
          <t>Nigeria</t>
        </is>
      </c>
      <c r="G498" t="inlineStr">
        <is>
          <t>NGA</t>
        </is>
      </c>
    </row>
    <row r="499">
      <c r="A499" t="inlineStr">
        <is>
          <t>Mayo-Belwa</t>
        </is>
      </c>
      <c r="B499" t="inlineStr">
        <is>
          <t xml:space="preserve"> </t>
        </is>
      </c>
      <c r="C499" t="inlineStr">
        <is>
          <t>NG002012</t>
        </is>
      </c>
      <c r="D499" t="inlineStr">
        <is>
          <t>Adamawa</t>
        </is>
      </c>
      <c r="E499" t="inlineStr">
        <is>
          <t>NG002</t>
        </is>
      </c>
      <c r="F499" t="inlineStr">
        <is>
          <t>Nigeria</t>
        </is>
      </c>
      <c r="G499" t="inlineStr">
        <is>
          <t>NGA</t>
        </is>
      </c>
    </row>
    <row r="500">
      <c r="A500" t="inlineStr">
        <is>
          <t>Mbaitoli</t>
        </is>
      </c>
      <c r="B500" t="inlineStr">
        <is>
          <t xml:space="preserve"> </t>
        </is>
      </c>
      <c r="C500" t="inlineStr">
        <is>
          <t>NG017011</t>
        </is>
      </c>
      <c r="D500" t="inlineStr">
        <is>
          <t>Imo</t>
        </is>
      </c>
      <c r="E500" t="inlineStr">
        <is>
          <t>NG017</t>
        </is>
      </c>
      <c r="F500" t="inlineStr">
        <is>
          <t>Nigeria</t>
        </is>
      </c>
      <c r="G500" t="inlineStr">
        <is>
          <t>NGA</t>
        </is>
      </c>
    </row>
    <row r="501">
      <c r="A501" t="inlineStr">
        <is>
          <t>Mbo</t>
        </is>
      </c>
      <c r="B501" t="inlineStr">
        <is>
          <t xml:space="preserve"> </t>
        </is>
      </c>
      <c r="C501" t="inlineStr">
        <is>
          <t>NG003017</t>
        </is>
      </c>
      <c r="D501" t="inlineStr">
        <is>
          <t>Akwa Ibom</t>
        </is>
      </c>
      <c r="E501" t="inlineStr">
        <is>
          <t>NG003</t>
        </is>
      </c>
      <c r="F501" t="inlineStr">
        <is>
          <t>Nigeria</t>
        </is>
      </c>
      <c r="G501" t="inlineStr">
        <is>
          <t>NGA</t>
        </is>
      </c>
    </row>
    <row r="502">
      <c r="A502" t="inlineStr">
        <is>
          <t>Michika</t>
        </is>
      </c>
      <c r="B502" t="inlineStr">
        <is>
          <t xml:space="preserve"> </t>
        </is>
      </c>
      <c r="C502" t="inlineStr">
        <is>
          <t>NG002013</t>
        </is>
      </c>
      <c r="D502" t="inlineStr">
        <is>
          <t>Adamawa</t>
        </is>
      </c>
      <c r="E502" t="inlineStr">
        <is>
          <t>NG002</t>
        </is>
      </c>
      <c r="F502" t="inlineStr">
        <is>
          <t>Nigeria</t>
        </is>
      </c>
      <c r="G502" t="inlineStr">
        <is>
          <t>NGA</t>
        </is>
      </c>
    </row>
    <row r="503">
      <c r="A503" t="inlineStr">
        <is>
          <t>Miga</t>
        </is>
      </c>
      <c r="B503" t="inlineStr">
        <is>
          <t xml:space="preserve"> </t>
        </is>
      </c>
      <c r="C503" t="inlineStr">
        <is>
          <t>NG018022</t>
        </is>
      </c>
      <c r="D503" t="inlineStr">
        <is>
          <t>Jigawa</t>
        </is>
      </c>
      <c r="E503" t="inlineStr">
        <is>
          <t>NG018</t>
        </is>
      </c>
      <c r="F503" t="inlineStr">
        <is>
          <t>Nigeria</t>
        </is>
      </c>
      <c r="G503" t="inlineStr">
        <is>
          <t>NGA</t>
        </is>
      </c>
    </row>
    <row r="504">
      <c r="A504" t="inlineStr">
        <is>
          <t>Mikang</t>
        </is>
      </c>
      <c r="B504" t="inlineStr">
        <is>
          <t xml:space="preserve"> </t>
        </is>
      </c>
      <c r="C504" t="inlineStr">
        <is>
          <t>NG032012</t>
        </is>
      </c>
      <c r="D504" t="inlineStr">
        <is>
          <t>Plateau</t>
        </is>
      </c>
      <c r="E504" t="inlineStr">
        <is>
          <t>NG032</t>
        </is>
      </c>
      <c r="F504" t="inlineStr">
        <is>
          <t>Nigeria</t>
        </is>
      </c>
      <c r="G504" t="inlineStr">
        <is>
          <t>NGA</t>
        </is>
      </c>
    </row>
    <row r="505">
      <c r="A505" t="inlineStr">
        <is>
          <t>Minjibir</t>
        </is>
      </c>
      <c r="B505" t="inlineStr">
        <is>
          <t xml:space="preserve"> </t>
        </is>
      </c>
      <c r="C505" t="inlineStr">
        <is>
          <t>NG020030</t>
        </is>
      </c>
      <c r="D505" t="inlineStr">
        <is>
          <t>Kano</t>
        </is>
      </c>
      <c r="E505" t="inlineStr">
        <is>
          <t>NG020</t>
        </is>
      </c>
      <c r="F505" t="inlineStr">
        <is>
          <t>Nigeria</t>
        </is>
      </c>
      <c r="G505" t="inlineStr">
        <is>
          <t>NGA</t>
        </is>
      </c>
    </row>
    <row r="506">
      <c r="A506" t="inlineStr">
        <is>
          <t>Misau</t>
        </is>
      </c>
      <c r="B506" t="inlineStr">
        <is>
          <t xml:space="preserve"> </t>
        </is>
      </c>
      <c r="C506" t="inlineStr">
        <is>
          <t>NG005014</t>
        </is>
      </c>
      <c r="D506" t="inlineStr">
        <is>
          <t>Bauchi</t>
        </is>
      </c>
      <c r="E506" t="inlineStr">
        <is>
          <t>NG005</t>
        </is>
      </c>
      <c r="F506" t="inlineStr">
        <is>
          <t>Nigeria</t>
        </is>
      </c>
      <c r="G506" t="inlineStr">
        <is>
          <t>NGA</t>
        </is>
      </c>
    </row>
    <row r="507">
      <c r="A507" t="inlineStr">
        <is>
          <t>Mkpat Enin</t>
        </is>
      </c>
      <c r="B507" t="inlineStr">
        <is>
          <t xml:space="preserve"> </t>
        </is>
      </c>
      <c r="C507" t="inlineStr">
        <is>
          <t>NG003018</t>
        </is>
      </c>
      <c r="D507" t="inlineStr">
        <is>
          <t>Akwa Ibom</t>
        </is>
      </c>
      <c r="E507" t="inlineStr">
        <is>
          <t>NG003</t>
        </is>
      </c>
      <c r="F507" t="inlineStr">
        <is>
          <t>Nigeria</t>
        </is>
      </c>
      <c r="G507" t="inlineStr">
        <is>
          <t>NGA</t>
        </is>
      </c>
    </row>
    <row r="508">
      <c r="A508" t="inlineStr">
        <is>
          <t>Moba</t>
        </is>
      </c>
      <c r="B508" t="inlineStr">
        <is>
          <t xml:space="preserve"> </t>
        </is>
      </c>
      <c r="C508" t="inlineStr">
        <is>
          <t>NG013015</t>
        </is>
      </c>
      <c r="D508" t="inlineStr">
        <is>
          <t>Ekiti</t>
        </is>
      </c>
      <c r="E508" t="inlineStr">
        <is>
          <t>NG013</t>
        </is>
      </c>
      <c r="F508" t="inlineStr">
        <is>
          <t>Nigeria</t>
        </is>
      </c>
      <c r="G508" t="inlineStr">
        <is>
          <t>NGA</t>
        </is>
      </c>
    </row>
    <row r="509">
      <c r="A509" t="inlineStr">
        <is>
          <t>Mobbar</t>
        </is>
      </c>
      <c r="B509" t="inlineStr">
        <is>
          <t xml:space="preserve"> </t>
        </is>
      </c>
      <c r="C509" t="inlineStr">
        <is>
          <t>NG008023</t>
        </is>
      </c>
      <c r="D509" t="inlineStr">
        <is>
          <t>Borno</t>
        </is>
      </c>
      <c r="E509" t="inlineStr">
        <is>
          <t>NG008</t>
        </is>
      </c>
      <c r="F509" t="inlineStr">
        <is>
          <t>Nigeria</t>
        </is>
      </c>
      <c r="G509" t="inlineStr">
        <is>
          <t>NGA</t>
        </is>
      </c>
    </row>
    <row r="510">
      <c r="A510" t="inlineStr">
        <is>
          <t>Mokwa</t>
        </is>
      </c>
      <c r="B510" t="inlineStr">
        <is>
          <t xml:space="preserve"> </t>
        </is>
      </c>
      <c r="C510" t="inlineStr">
        <is>
          <t>NG027017</t>
        </is>
      </c>
      <c r="D510" t="inlineStr">
        <is>
          <t>Niger</t>
        </is>
      </c>
      <c r="E510" t="inlineStr">
        <is>
          <t>NG027</t>
        </is>
      </c>
      <c r="F510" t="inlineStr">
        <is>
          <t>Nigeria</t>
        </is>
      </c>
      <c r="G510" t="inlineStr">
        <is>
          <t>NGA</t>
        </is>
      </c>
    </row>
    <row r="511">
      <c r="A511" t="inlineStr">
        <is>
          <t>Monguno</t>
        </is>
      </c>
      <c r="B511" t="inlineStr">
        <is>
          <t xml:space="preserve"> </t>
        </is>
      </c>
      <c r="C511" t="inlineStr">
        <is>
          <t>NG008024</t>
        </is>
      </c>
      <c r="D511" t="inlineStr">
        <is>
          <t>Borno</t>
        </is>
      </c>
      <c r="E511" t="inlineStr">
        <is>
          <t>NG008</t>
        </is>
      </c>
      <c r="F511" t="inlineStr">
        <is>
          <t>Nigeria</t>
        </is>
      </c>
      <c r="G511" t="inlineStr">
        <is>
          <t>NGA</t>
        </is>
      </c>
    </row>
    <row r="512">
      <c r="A512" t="inlineStr">
        <is>
          <t>Mopa-Muro</t>
        </is>
      </c>
      <c r="B512" t="inlineStr">
        <is>
          <t xml:space="preserve"> </t>
        </is>
      </c>
      <c r="C512" t="inlineStr">
        <is>
          <t>NG023013</t>
        </is>
      </c>
      <c r="D512" t="inlineStr">
        <is>
          <t>Kogi</t>
        </is>
      </c>
      <c r="E512" t="inlineStr">
        <is>
          <t>NG023</t>
        </is>
      </c>
      <c r="F512" t="inlineStr">
        <is>
          <t>Nigeria</t>
        </is>
      </c>
      <c r="G512" t="inlineStr">
        <is>
          <t>NGA</t>
        </is>
      </c>
    </row>
    <row r="513">
      <c r="A513" t="inlineStr">
        <is>
          <t>Moro</t>
        </is>
      </c>
      <c r="B513" t="inlineStr">
        <is>
          <t xml:space="preserve"> </t>
        </is>
      </c>
      <c r="C513" t="inlineStr">
        <is>
          <t>NG024012</t>
        </is>
      </c>
      <c r="D513" t="inlineStr">
        <is>
          <t>Kwara</t>
        </is>
      </c>
      <c r="E513" t="inlineStr">
        <is>
          <t>NG024</t>
        </is>
      </c>
      <c r="F513" t="inlineStr">
        <is>
          <t>Nigeria</t>
        </is>
      </c>
      <c r="G513" t="inlineStr">
        <is>
          <t>NGA</t>
        </is>
      </c>
    </row>
    <row r="514">
      <c r="A514" t="inlineStr">
        <is>
          <t>Mubi North</t>
        </is>
      </c>
      <c r="B514" t="inlineStr">
        <is>
          <t xml:space="preserve"> </t>
        </is>
      </c>
      <c r="C514" t="inlineStr">
        <is>
          <t>NG002014</t>
        </is>
      </c>
      <c r="D514" t="inlineStr">
        <is>
          <t>Adamawa</t>
        </is>
      </c>
      <c r="E514" t="inlineStr">
        <is>
          <t>NG002</t>
        </is>
      </c>
      <c r="F514" t="inlineStr">
        <is>
          <t>Nigeria</t>
        </is>
      </c>
      <c r="G514" t="inlineStr">
        <is>
          <t>NGA</t>
        </is>
      </c>
    </row>
    <row r="515">
      <c r="A515" t="inlineStr">
        <is>
          <t>Mubi South</t>
        </is>
      </c>
      <c r="B515" t="inlineStr">
        <is>
          <t xml:space="preserve"> </t>
        </is>
      </c>
      <c r="C515" t="inlineStr">
        <is>
          <t>NG002015</t>
        </is>
      </c>
      <c r="D515" t="inlineStr">
        <is>
          <t>Adamawa</t>
        </is>
      </c>
      <c r="E515" t="inlineStr">
        <is>
          <t>NG002</t>
        </is>
      </c>
      <c r="F515" t="inlineStr">
        <is>
          <t>Nigeria</t>
        </is>
      </c>
      <c r="G515" t="inlineStr">
        <is>
          <t>NGA</t>
        </is>
      </c>
    </row>
    <row r="516">
      <c r="A516" t="inlineStr">
        <is>
          <t>Musawa</t>
        </is>
      </c>
      <c r="B516" t="inlineStr">
        <is>
          <t xml:space="preserve"> </t>
        </is>
      </c>
      <c r="C516" t="inlineStr">
        <is>
          <t>NG021029</t>
        </is>
      </c>
      <c r="D516" t="inlineStr">
        <is>
          <t>Katsina</t>
        </is>
      </c>
      <c r="E516" t="inlineStr">
        <is>
          <t>NG021</t>
        </is>
      </c>
      <c r="F516" t="inlineStr">
        <is>
          <t>Nigeria</t>
        </is>
      </c>
      <c r="G516" t="inlineStr">
        <is>
          <t>NGA</t>
        </is>
      </c>
    </row>
    <row r="517">
      <c r="A517" t="inlineStr">
        <is>
          <t>Mushin</t>
        </is>
      </c>
      <c r="B517" t="inlineStr">
        <is>
          <t xml:space="preserve"> </t>
        </is>
      </c>
      <c r="C517" t="inlineStr">
        <is>
          <t>NG025016</t>
        </is>
      </c>
      <c r="D517" t="inlineStr">
        <is>
          <t>Lagos</t>
        </is>
      </c>
      <c r="E517" t="inlineStr">
        <is>
          <t>NG025</t>
        </is>
      </c>
      <c r="F517" t="inlineStr">
        <is>
          <t>Nigeria</t>
        </is>
      </c>
      <c r="G517" t="inlineStr">
        <is>
          <t>NGA</t>
        </is>
      </c>
    </row>
    <row r="518">
      <c r="A518" t="inlineStr">
        <is>
          <t>Muya</t>
        </is>
      </c>
      <c r="B518" t="inlineStr">
        <is>
          <t xml:space="preserve"> </t>
        </is>
      </c>
      <c r="C518" t="inlineStr">
        <is>
          <t>NG027018</t>
        </is>
      </c>
      <c r="D518" t="inlineStr">
        <is>
          <t>Niger</t>
        </is>
      </c>
      <c r="E518" t="inlineStr">
        <is>
          <t>NG027</t>
        </is>
      </c>
      <c r="F518" t="inlineStr">
        <is>
          <t>Nigeria</t>
        </is>
      </c>
      <c r="G518" t="inlineStr">
        <is>
          <t>NGA</t>
        </is>
      </c>
    </row>
    <row r="519">
      <c r="A519" t="inlineStr">
        <is>
          <t>Nafada</t>
        </is>
      </c>
      <c r="B519" t="inlineStr">
        <is>
          <t xml:space="preserve"> </t>
        </is>
      </c>
      <c r="C519" t="inlineStr">
        <is>
          <t>NG016009</t>
        </is>
      </c>
      <c r="D519" t="inlineStr">
        <is>
          <t>Gombe</t>
        </is>
      </c>
      <c r="E519" t="inlineStr">
        <is>
          <t>NG016</t>
        </is>
      </c>
      <c r="F519" t="inlineStr">
        <is>
          <t>Nigeria</t>
        </is>
      </c>
      <c r="G519" t="inlineStr">
        <is>
          <t>NGA</t>
        </is>
      </c>
    </row>
    <row r="520">
      <c r="A520" t="inlineStr">
        <is>
          <t>Nangere</t>
        </is>
      </c>
      <c r="B520" t="inlineStr">
        <is>
          <t xml:space="preserve"> </t>
        </is>
      </c>
      <c r="C520" t="inlineStr">
        <is>
          <t>NG036012</t>
        </is>
      </c>
      <c r="D520" t="inlineStr">
        <is>
          <t>Yobe</t>
        </is>
      </c>
      <c r="E520" t="inlineStr">
        <is>
          <t>NG036</t>
        </is>
      </c>
      <c r="F520" t="inlineStr">
        <is>
          <t>Nigeria</t>
        </is>
      </c>
      <c r="G520" t="inlineStr">
        <is>
          <t>NGA</t>
        </is>
      </c>
    </row>
    <row r="521">
      <c r="A521" t="inlineStr">
        <is>
          <t>Nasarawa</t>
        </is>
      </c>
      <c r="B521" t="inlineStr">
        <is>
          <t xml:space="preserve"> </t>
        </is>
      </c>
      <c r="C521" t="inlineStr">
        <is>
          <t>NG020031</t>
        </is>
      </c>
      <c r="D521" t="inlineStr">
        <is>
          <t>Kano</t>
        </is>
      </c>
      <c r="E521" t="inlineStr">
        <is>
          <t>NG020</t>
        </is>
      </c>
      <c r="F521" t="inlineStr">
        <is>
          <t>Nigeria</t>
        </is>
      </c>
      <c r="G521" t="inlineStr">
        <is>
          <t>NGA</t>
        </is>
      </c>
    </row>
    <row r="522">
      <c r="A522" t="inlineStr">
        <is>
          <t>Nasarawa</t>
        </is>
      </c>
      <c r="B522" t="inlineStr">
        <is>
          <t xml:space="preserve"> </t>
        </is>
      </c>
      <c r="C522" t="inlineStr">
        <is>
          <t>NG026009</t>
        </is>
      </c>
      <c r="D522" t="inlineStr">
        <is>
          <t>Nasarawa</t>
        </is>
      </c>
      <c r="E522" t="inlineStr">
        <is>
          <t>NG026</t>
        </is>
      </c>
      <c r="F522" t="inlineStr">
        <is>
          <t>Nigeria</t>
        </is>
      </c>
      <c r="G522" t="inlineStr">
        <is>
          <t>NGA</t>
        </is>
      </c>
    </row>
    <row r="523">
      <c r="A523" t="inlineStr">
        <is>
          <t>Nasarawa-Eggon</t>
        </is>
      </c>
      <c r="B523" t="inlineStr">
        <is>
          <t xml:space="preserve"> </t>
        </is>
      </c>
      <c r="C523" t="inlineStr">
        <is>
          <t>NG026010</t>
        </is>
      </c>
      <c r="D523" t="inlineStr">
        <is>
          <t>Nasarawa</t>
        </is>
      </c>
      <c r="E523" t="inlineStr">
        <is>
          <t>NG026</t>
        </is>
      </c>
      <c r="F523" t="inlineStr">
        <is>
          <t>Nigeria</t>
        </is>
      </c>
      <c r="G523" t="inlineStr">
        <is>
          <t>NGA</t>
        </is>
      </c>
    </row>
    <row r="524">
      <c r="A524" t="inlineStr">
        <is>
          <t>Ndokwa East</t>
        </is>
      </c>
      <c r="B524" t="inlineStr">
        <is>
          <t xml:space="preserve"> </t>
        </is>
      </c>
      <c r="C524" t="inlineStr">
        <is>
          <t>NG010011</t>
        </is>
      </c>
      <c r="D524" t="inlineStr">
        <is>
          <t>Delta</t>
        </is>
      </c>
      <c r="E524" t="inlineStr">
        <is>
          <t>NG010</t>
        </is>
      </c>
      <c r="F524" t="inlineStr">
        <is>
          <t>Nigeria</t>
        </is>
      </c>
      <c r="G524" t="inlineStr">
        <is>
          <t>NGA</t>
        </is>
      </c>
    </row>
    <row r="525">
      <c r="A525" t="inlineStr">
        <is>
          <t>Ndokwa West</t>
        </is>
      </c>
      <c r="B525" t="inlineStr">
        <is>
          <t xml:space="preserve"> </t>
        </is>
      </c>
      <c r="C525" t="inlineStr">
        <is>
          <t>NG010012</t>
        </is>
      </c>
      <c r="D525" t="inlineStr">
        <is>
          <t>Delta</t>
        </is>
      </c>
      <c r="E525" t="inlineStr">
        <is>
          <t>NG010</t>
        </is>
      </c>
      <c r="F525" t="inlineStr">
        <is>
          <t>Nigeria</t>
        </is>
      </c>
      <c r="G525" t="inlineStr">
        <is>
          <t>NGA</t>
        </is>
      </c>
    </row>
    <row r="526">
      <c r="A526" t="inlineStr">
        <is>
          <t>Nembe</t>
        </is>
      </c>
      <c r="B526" t="inlineStr">
        <is>
          <t xml:space="preserve"> </t>
        </is>
      </c>
      <c r="C526" t="inlineStr">
        <is>
          <t>NG006004</t>
        </is>
      </c>
      <c r="D526" t="inlineStr">
        <is>
          <t>Bayelsa</t>
        </is>
      </c>
      <c r="E526" t="inlineStr">
        <is>
          <t>NG006</t>
        </is>
      </c>
      <c r="F526" t="inlineStr">
        <is>
          <t>Nigeria</t>
        </is>
      </c>
      <c r="G526" t="inlineStr">
        <is>
          <t>NGA</t>
        </is>
      </c>
    </row>
    <row r="527">
      <c r="A527" t="inlineStr">
        <is>
          <t>Ngala</t>
        </is>
      </c>
      <c r="B527" t="inlineStr">
        <is>
          <t xml:space="preserve"> </t>
        </is>
      </c>
      <c r="C527" t="inlineStr">
        <is>
          <t>NG008025</t>
        </is>
      </c>
      <c r="D527" t="inlineStr">
        <is>
          <t>Borno</t>
        </is>
      </c>
      <c r="E527" t="inlineStr">
        <is>
          <t>NG008</t>
        </is>
      </c>
      <c r="F527" t="inlineStr">
        <is>
          <t>Nigeria</t>
        </is>
      </c>
      <c r="G527" t="inlineStr">
        <is>
          <t>NGA</t>
        </is>
      </c>
    </row>
    <row r="528">
      <c r="A528" t="inlineStr">
        <is>
          <t>Nganzai</t>
        </is>
      </c>
      <c r="B528" t="inlineStr">
        <is>
          <t xml:space="preserve"> </t>
        </is>
      </c>
      <c r="C528" t="inlineStr">
        <is>
          <t>NG008026</t>
        </is>
      </c>
      <c r="D528" t="inlineStr">
        <is>
          <t>Borno</t>
        </is>
      </c>
      <c r="E528" t="inlineStr">
        <is>
          <t>NG008</t>
        </is>
      </c>
      <c r="F528" t="inlineStr">
        <is>
          <t>Nigeria</t>
        </is>
      </c>
      <c r="G528" t="inlineStr">
        <is>
          <t>NGA</t>
        </is>
      </c>
    </row>
    <row r="529">
      <c r="A529" t="inlineStr">
        <is>
          <t>Ngaski</t>
        </is>
      </c>
      <c r="B529" t="inlineStr">
        <is>
          <t xml:space="preserve"> </t>
        </is>
      </c>
      <c r="C529" t="inlineStr">
        <is>
          <t>NG022015</t>
        </is>
      </c>
      <c r="D529" t="inlineStr">
        <is>
          <t>Kebbi</t>
        </is>
      </c>
      <c r="E529" t="inlineStr">
        <is>
          <t>NG022</t>
        </is>
      </c>
      <c r="F529" t="inlineStr">
        <is>
          <t>Nigeria</t>
        </is>
      </c>
      <c r="G529" t="inlineStr">
        <is>
          <t>NGA</t>
        </is>
      </c>
    </row>
    <row r="530">
      <c r="A530" t="inlineStr">
        <is>
          <t>Ngor-Okpala</t>
        </is>
      </c>
      <c r="B530" t="inlineStr">
        <is>
          <t xml:space="preserve"> </t>
        </is>
      </c>
      <c r="C530" t="inlineStr">
        <is>
          <t>NG017012</t>
        </is>
      </c>
      <c r="D530" t="inlineStr">
        <is>
          <t>Imo</t>
        </is>
      </c>
      <c r="E530" t="inlineStr">
        <is>
          <t>NG017</t>
        </is>
      </c>
      <c r="F530" t="inlineStr">
        <is>
          <t>Nigeria</t>
        </is>
      </c>
      <c r="G530" t="inlineStr">
        <is>
          <t>NGA</t>
        </is>
      </c>
    </row>
    <row r="531">
      <c r="A531" t="inlineStr">
        <is>
          <t>Nguru</t>
        </is>
      </c>
      <c r="B531" t="inlineStr">
        <is>
          <t xml:space="preserve"> </t>
        </is>
      </c>
      <c r="C531" t="inlineStr">
        <is>
          <t>NG036013</t>
        </is>
      </c>
      <c r="D531" t="inlineStr">
        <is>
          <t>Yobe</t>
        </is>
      </c>
      <c r="E531" t="inlineStr">
        <is>
          <t>NG036</t>
        </is>
      </c>
      <c r="F531" t="inlineStr">
        <is>
          <t>Nigeria</t>
        </is>
      </c>
      <c r="G531" t="inlineStr">
        <is>
          <t>NGA</t>
        </is>
      </c>
    </row>
    <row r="532">
      <c r="A532" t="inlineStr">
        <is>
          <t>Ningi</t>
        </is>
      </c>
      <c r="B532" t="inlineStr">
        <is>
          <t xml:space="preserve"> </t>
        </is>
      </c>
      <c r="C532" t="inlineStr">
        <is>
          <t>NG005015</t>
        </is>
      </c>
      <c r="D532" t="inlineStr">
        <is>
          <t>Bauchi</t>
        </is>
      </c>
      <c r="E532" t="inlineStr">
        <is>
          <t>NG005</t>
        </is>
      </c>
      <c r="F532" t="inlineStr">
        <is>
          <t>Nigeria</t>
        </is>
      </c>
      <c r="G532" t="inlineStr">
        <is>
          <t>NGA</t>
        </is>
      </c>
    </row>
    <row r="533">
      <c r="A533" t="inlineStr">
        <is>
          <t>Njaba</t>
        </is>
      </c>
      <c r="B533" t="inlineStr">
        <is>
          <t xml:space="preserve"> </t>
        </is>
      </c>
      <c r="C533" t="inlineStr">
        <is>
          <t>NG017013</t>
        </is>
      </c>
      <c r="D533" t="inlineStr">
        <is>
          <t>Imo</t>
        </is>
      </c>
      <c r="E533" t="inlineStr">
        <is>
          <t>NG017</t>
        </is>
      </c>
      <c r="F533" t="inlineStr">
        <is>
          <t>Nigeria</t>
        </is>
      </c>
      <c r="G533" t="inlineStr">
        <is>
          <t>NGA</t>
        </is>
      </c>
    </row>
    <row r="534">
      <c r="A534" t="inlineStr">
        <is>
          <t>Njikoka</t>
        </is>
      </c>
      <c r="B534" t="inlineStr">
        <is>
          <t xml:space="preserve"> </t>
        </is>
      </c>
      <c r="C534" t="inlineStr">
        <is>
          <t>NG004013</t>
        </is>
      </c>
      <c r="D534" t="inlineStr">
        <is>
          <t>Anambra</t>
        </is>
      </c>
      <c r="E534" t="inlineStr">
        <is>
          <t>NG004</t>
        </is>
      </c>
      <c r="F534" t="inlineStr">
        <is>
          <t>Nigeria</t>
        </is>
      </c>
      <c r="G534" t="inlineStr">
        <is>
          <t>NGA</t>
        </is>
      </c>
    </row>
    <row r="535">
      <c r="A535" t="inlineStr">
        <is>
          <t>Nkanu East</t>
        </is>
      </c>
      <c r="B535" t="inlineStr">
        <is>
          <t xml:space="preserve"> </t>
        </is>
      </c>
      <c r="C535" t="inlineStr">
        <is>
          <t>NG014011</t>
        </is>
      </c>
      <c r="D535" t="inlineStr">
        <is>
          <t>Enugu</t>
        </is>
      </c>
      <c r="E535" t="inlineStr">
        <is>
          <t>NG014</t>
        </is>
      </c>
      <c r="F535" t="inlineStr">
        <is>
          <t>Nigeria</t>
        </is>
      </c>
      <c r="G535" t="inlineStr">
        <is>
          <t>NGA</t>
        </is>
      </c>
    </row>
    <row r="536">
      <c r="A536" t="inlineStr">
        <is>
          <t>Nkanu West</t>
        </is>
      </c>
      <c r="B536" t="inlineStr">
        <is>
          <t xml:space="preserve"> </t>
        </is>
      </c>
      <c r="C536" t="inlineStr">
        <is>
          <t>NG014012</t>
        </is>
      </c>
      <c r="D536" t="inlineStr">
        <is>
          <t>Enugu</t>
        </is>
      </c>
      <c r="E536" t="inlineStr">
        <is>
          <t>NG014</t>
        </is>
      </c>
      <c r="F536" t="inlineStr">
        <is>
          <t>Nigeria</t>
        </is>
      </c>
      <c r="G536" t="inlineStr">
        <is>
          <t>NGA</t>
        </is>
      </c>
    </row>
    <row r="537">
      <c r="A537" t="inlineStr">
        <is>
          <t>Nkwerre</t>
        </is>
      </c>
      <c r="B537" t="inlineStr">
        <is>
          <t xml:space="preserve"> </t>
        </is>
      </c>
      <c r="C537" t="inlineStr">
        <is>
          <t>NG017014</t>
        </is>
      </c>
      <c r="D537" t="inlineStr">
        <is>
          <t>Imo</t>
        </is>
      </c>
      <c r="E537" t="inlineStr">
        <is>
          <t>NG017</t>
        </is>
      </c>
      <c r="F537" t="inlineStr">
        <is>
          <t>Nigeria</t>
        </is>
      </c>
      <c r="G537" t="inlineStr">
        <is>
          <t>NGA</t>
        </is>
      </c>
    </row>
    <row r="538">
      <c r="A538" t="inlineStr">
        <is>
          <t>Nnewi North</t>
        </is>
      </c>
      <c r="B538" t="inlineStr">
        <is>
          <t xml:space="preserve"> </t>
        </is>
      </c>
      <c r="C538" t="inlineStr">
        <is>
          <t>NG004014</t>
        </is>
      </c>
      <c r="D538" t="inlineStr">
        <is>
          <t>Anambra</t>
        </is>
      </c>
      <c r="E538" t="inlineStr">
        <is>
          <t>NG004</t>
        </is>
      </c>
      <c r="F538" t="inlineStr">
        <is>
          <t>Nigeria</t>
        </is>
      </c>
      <c r="G538" t="inlineStr">
        <is>
          <t>NGA</t>
        </is>
      </c>
    </row>
    <row r="539">
      <c r="A539" t="inlineStr">
        <is>
          <t>Nnewi South</t>
        </is>
      </c>
      <c r="B539" t="inlineStr">
        <is>
          <t xml:space="preserve"> </t>
        </is>
      </c>
      <c r="C539" t="inlineStr">
        <is>
          <t>NG004015</t>
        </is>
      </c>
      <c r="D539" t="inlineStr">
        <is>
          <t>Anambra</t>
        </is>
      </c>
      <c r="E539" t="inlineStr">
        <is>
          <t>NG004</t>
        </is>
      </c>
      <c r="F539" t="inlineStr">
        <is>
          <t>Nigeria</t>
        </is>
      </c>
      <c r="G539" t="inlineStr">
        <is>
          <t>NGA</t>
        </is>
      </c>
    </row>
    <row r="540">
      <c r="A540" t="inlineStr">
        <is>
          <t>Nsit Atai</t>
        </is>
      </c>
      <c r="B540" t="inlineStr">
        <is>
          <t xml:space="preserve"> </t>
        </is>
      </c>
      <c r="C540" t="inlineStr">
        <is>
          <t>NG003019</t>
        </is>
      </c>
      <c r="D540" t="inlineStr">
        <is>
          <t>Akwa Ibom</t>
        </is>
      </c>
      <c r="E540" t="inlineStr">
        <is>
          <t>NG003</t>
        </is>
      </c>
      <c r="F540" t="inlineStr">
        <is>
          <t>Nigeria</t>
        </is>
      </c>
      <c r="G540" t="inlineStr">
        <is>
          <t>NGA</t>
        </is>
      </c>
    </row>
    <row r="541">
      <c r="A541" t="inlineStr">
        <is>
          <t>Nsit Ibom</t>
        </is>
      </c>
      <c r="B541" t="inlineStr">
        <is>
          <t xml:space="preserve"> </t>
        </is>
      </c>
      <c r="C541" t="inlineStr">
        <is>
          <t>NG003020</t>
        </is>
      </c>
      <c r="D541" t="inlineStr">
        <is>
          <t>Akwa Ibom</t>
        </is>
      </c>
      <c r="E541" t="inlineStr">
        <is>
          <t>NG003</t>
        </is>
      </c>
      <c r="F541" t="inlineStr">
        <is>
          <t>Nigeria</t>
        </is>
      </c>
      <c r="G541" t="inlineStr">
        <is>
          <t>NGA</t>
        </is>
      </c>
    </row>
    <row r="542">
      <c r="A542" t="inlineStr">
        <is>
          <t>Numan</t>
        </is>
      </c>
      <c r="B542" t="inlineStr">
        <is>
          <t xml:space="preserve"> </t>
        </is>
      </c>
      <c r="C542" t="inlineStr">
        <is>
          <t>NG002016</t>
        </is>
      </c>
      <c r="D542" t="inlineStr">
        <is>
          <t>Adamawa</t>
        </is>
      </c>
      <c r="E542" t="inlineStr">
        <is>
          <t>NG002</t>
        </is>
      </c>
      <c r="F542" t="inlineStr">
        <is>
          <t>Nigeria</t>
        </is>
      </c>
      <c r="G542" t="inlineStr">
        <is>
          <t>NGA</t>
        </is>
      </c>
    </row>
    <row r="543">
      <c r="A543" t="inlineStr">
        <is>
          <t>Nwangele</t>
        </is>
      </c>
      <c r="B543" t="inlineStr">
        <is>
          <t xml:space="preserve"> </t>
        </is>
      </c>
      <c r="C543" t="inlineStr">
        <is>
          <t>NG017015</t>
        </is>
      </c>
      <c r="D543" t="inlineStr">
        <is>
          <t>Imo</t>
        </is>
      </c>
      <c r="E543" t="inlineStr">
        <is>
          <t>NG017</t>
        </is>
      </c>
      <c r="F543" t="inlineStr">
        <is>
          <t>Nigeria</t>
        </is>
      </c>
      <c r="G543" t="inlineStr">
        <is>
          <t>NGA</t>
        </is>
      </c>
    </row>
    <row r="544">
      <c r="A544" t="inlineStr">
        <is>
          <t>Nsit Ubium</t>
        </is>
      </c>
      <c r="B544" t="inlineStr">
        <is>
          <t xml:space="preserve"> </t>
        </is>
      </c>
      <c r="C544" t="inlineStr">
        <is>
          <t>NG003021</t>
        </is>
      </c>
      <c r="D544" t="inlineStr">
        <is>
          <t>Akwa Ibom</t>
        </is>
      </c>
      <c r="E544" t="inlineStr">
        <is>
          <t>NG003</t>
        </is>
      </c>
      <c r="F544" t="inlineStr">
        <is>
          <t>Nigeria</t>
        </is>
      </c>
      <c r="G544" t="inlineStr">
        <is>
          <t>NGA</t>
        </is>
      </c>
    </row>
    <row r="545">
      <c r="A545" t="inlineStr">
        <is>
          <t>Nsukka</t>
        </is>
      </c>
      <c r="B545" t="inlineStr">
        <is>
          <t xml:space="preserve"> </t>
        </is>
      </c>
      <c r="C545" t="inlineStr">
        <is>
          <t>NG014013</t>
        </is>
      </c>
      <c r="D545" t="inlineStr">
        <is>
          <t>Enugu</t>
        </is>
      </c>
      <c r="E545" t="inlineStr">
        <is>
          <t>NG014</t>
        </is>
      </c>
      <c r="F545" t="inlineStr">
        <is>
          <t>Nigeria</t>
        </is>
      </c>
      <c r="G545" t="inlineStr">
        <is>
          <t>NGA</t>
        </is>
      </c>
    </row>
    <row r="546">
      <c r="A546" t="inlineStr">
        <is>
          <t>Obafemi-Owode</t>
        </is>
      </c>
      <c r="B546" t="inlineStr">
        <is>
          <t xml:space="preserve"> </t>
        </is>
      </c>
      <c r="C546" t="inlineStr">
        <is>
          <t>NG028015</t>
        </is>
      </c>
      <c r="D546" t="inlineStr">
        <is>
          <t>Ogun</t>
        </is>
      </c>
      <c r="E546" t="inlineStr">
        <is>
          <t>NG028</t>
        </is>
      </c>
      <c r="F546" t="inlineStr">
        <is>
          <t>Nigeria</t>
        </is>
      </c>
      <c r="G546" t="inlineStr">
        <is>
          <t>NGA</t>
        </is>
      </c>
    </row>
    <row r="547">
      <c r="A547" t="inlineStr">
        <is>
          <t>Obanliku</t>
        </is>
      </c>
      <c r="B547" t="inlineStr">
        <is>
          <t xml:space="preserve"> </t>
        </is>
      </c>
      <c r="C547" t="inlineStr">
        <is>
          <t>NG009013</t>
        </is>
      </c>
      <c r="D547" t="inlineStr">
        <is>
          <t>Cross River</t>
        </is>
      </c>
      <c r="E547" t="inlineStr">
        <is>
          <t>NG009</t>
        </is>
      </c>
      <c r="F547" t="inlineStr">
        <is>
          <t>Nigeria</t>
        </is>
      </c>
      <c r="G547" t="inlineStr">
        <is>
          <t>NGA</t>
        </is>
      </c>
    </row>
    <row r="548">
      <c r="A548" t="inlineStr">
        <is>
          <t>Obi</t>
        </is>
      </c>
      <c r="B548" t="inlineStr">
        <is>
          <t xml:space="preserve"> </t>
        </is>
      </c>
      <c r="C548" t="inlineStr">
        <is>
          <t>NG007014</t>
        </is>
      </c>
      <c r="D548" t="inlineStr">
        <is>
          <t>Benue</t>
        </is>
      </c>
      <c r="E548" t="inlineStr">
        <is>
          <t>NG007</t>
        </is>
      </c>
      <c r="F548" t="inlineStr">
        <is>
          <t>Nigeria</t>
        </is>
      </c>
      <c r="G548" t="inlineStr">
        <is>
          <t>NGA</t>
        </is>
      </c>
    </row>
    <row r="549">
      <c r="A549" t="inlineStr">
        <is>
          <t>Obi</t>
        </is>
      </c>
      <c r="B549" t="inlineStr">
        <is>
          <t xml:space="preserve"> </t>
        </is>
      </c>
      <c r="C549" t="inlineStr">
        <is>
          <t>NG026011</t>
        </is>
      </c>
      <c r="D549" t="inlineStr">
        <is>
          <t>Nasarawa</t>
        </is>
      </c>
      <c r="E549" t="inlineStr">
        <is>
          <t>NG026</t>
        </is>
      </c>
      <c r="F549" t="inlineStr">
        <is>
          <t>Nigeria</t>
        </is>
      </c>
      <c r="G549" t="inlineStr">
        <is>
          <t>NGA</t>
        </is>
      </c>
    </row>
    <row r="550">
      <c r="A550" t="inlineStr">
        <is>
          <t>Obi Ngwa</t>
        </is>
      </c>
      <c r="B550" t="inlineStr">
        <is>
          <t xml:space="preserve"> </t>
        </is>
      </c>
      <c r="C550" t="inlineStr">
        <is>
          <t>NG001009</t>
        </is>
      </c>
      <c r="D550" t="inlineStr">
        <is>
          <t>Abia</t>
        </is>
      </c>
      <c r="E550" t="inlineStr">
        <is>
          <t>NG001</t>
        </is>
      </c>
      <c r="F550" t="inlineStr">
        <is>
          <t>Nigeria</t>
        </is>
      </c>
      <c r="G550" t="inlineStr">
        <is>
          <t>NGA</t>
        </is>
      </c>
    </row>
    <row r="551">
      <c r="A551" t="inlineStr">
        <is>
          <t>Obia/Akpor</t>
        </is>
      </c>
      <c r="B551" t="inlineStr">
        <is>
          <t xml:space="preserve"> </t>
        </is>
      </c>
      <c r="C551" t="inlineStr">
        <is>
          <t>NG033015</t>
        </is>
      </c>
      <c r="D551" t="inlineStr">
        <is>
          <t>Rivers</t>
        </is>
      </c>
      <c r="E551" t="inlineStr">
        <is>
          <t>NG033</t>
        </is>
      </c>
      <c r="F551" t="inlineStr">
        <is>
          <t>Nigeria</t>
        </is>
      </c>
      <c r="G551" t="inlineStr">
        <is>
          <t>NGA</t>
        </is>
      </c>
    </row>
    <row r="552">
      <c r="A552" t="inlineStr">
        <is>
          <t>Obokun</t>
        </is>
      </c>
      <c r="B552" t="inlineStr">
        <is>
          <t xml:space="preserve"> </t>
        </is>
      </c>
      <c r="C552" t="inlineStr">
        <is>
          <t>NG030024</t>
        </is>
      </c>
      <c r="D552" t="inlineStr">
        <is>
          <t>Osun</t>
        </is>
      </c>
      <c r="E552" t="inlineStr">
        <is>
          <t>NG030</t>
        </is>
      </c>
      <c r="F552" t="inlineStr">
        <is>
          <t>Nigeria</t>
        </is>
      </c>
      <c r="G552" t="inlineStr">
        <is>
          <t>NGA</t>
        </is>
      </c>
    </row>
    <row r="553">
      <c r="A553" t="inlineStr">
        <is>
          <t>Obot Akara</t>
        </is>
      </c>
      <c r="B553" t="inlineStr">
        <is>
          <t xml:space="preserve"> </t>
        </is>
      </c>
      <c r="C553" t="inlineStr">
        <is>
          <t>NG003022</t>
        </is>
      </c>
      <c r="D553" t="inlineStr">
        <is>
          <t>Akwa Ibom</t>
        </is>
      </c>
      <c r="E553" t="inlineStr">
        <is>
          <t>NG003</t>
        </is>
      </c>
      <c r="F553" t="inlineStr">
        <is>
          <t>Nigeria</t>
        </is>
      </c>
      <c r="G553" t="inlineStr">
        <is>
          <t>NGA</t>
        </is>
      </c>
    </row>
    <row r="554">
      <c r="A554" t="inlineStr">
        <is>
          <t>Obowo</t>
        </is>
      </c>
      <c r="B554" t="inlineStr">
        <is>
          <t xml:space="preserve"> </t>
        </is>
      </c>
      <c r="C554" t="inlineStr">
        <is>
          <t>NG017016</t>
        </is>
      </c>
      <c r="D554" t="inlineStr">
        <is>
          <t>Imo</t>
        </is>
      </c>
      <c r="E554" t="inlineStr">
        <is>
          <t>NG017</t>
        </is>
      </c>
      <c r="F554" t="inlineStr">
        <is>
          <t>Nigeria</t>
        </is>
      </c>
      <c r="G554" t="inlineStr">
        <is>
          <t>NGA</t>
        </is>
      </c>
    </row>
    <row r="555">
      <c r="A555" t="inlineStr">
        <is>
          <t>Obubra</t>
        </is>
      </c>
      <c r="B555" t="inlineStr">
        <is>
          <t xml:space="preserve"> </t>
        </is>
      </c>
      <c r="C555" t="inlineStr">
        <is>
          <t>NG009014</t>
        </is>
      </c>
      <c r="D555" t="inlineStr">
        <is>
          <t>Cross River</t>
        </is>
      </c>
      <c r="E555" t="inlineStr">
        <is>
          <t>NG009</t>
        </is>
      </c>
      <c r="F555" t="inlineStr">
        <is>
          <t>Nigeria</t>
        </is>
      </c>
      <c r="G555" t="inlineStr">
        <is>
          <t>NGA</t>
        </is>
      </c>
    </row>
    <row r="556">
      <c r="A556" t="inlineStr">
        <is>
          <t>Obudu</t>
        </is>
      </c>
      <c r="B556" t="inlineStr">
        <is>
          <t xml:space="preserve"> </t>
        </is>
      </c>
      <c r="C556" t="inlineStr">
        <is>
          <t>NG009015</t>
        </is>
      </c>
      <c r="D556" t="inlineStr">
        <is>
          <t>Cross River</t>
        </is>
      </c>
      <c r="E556" t="inlineStr">
        <is>
          <t>NG009</t>
        </is>
      </c>
      <c r="F556" t="inlineStr">
        <is>
          <t>Nigeria</t>
        </is>
      </c>
      <c r="G556" t="inlineStr">
        <is>
          <t>NGA</t>
        </is>
      </c>
    </row>
    <row r="557">
      <c r="A557" t="inlineStr">
        <is>
          <t>Odeda</t>
        </is>
      </c>
      <c r="B557" t="inlineStr">
        <is>
          <t xml:space="preserve"> </t>
        </is>
      </c>
      <c r="C557" t="inlineStr">
        <is>
          <t>NG028016</t>
        </is>
      </c>
      <c r="D557" t="inlineStr">
        <is>
          <t>Ogun</t>
        </is>
      </c>
      <c r="E557" t="inlineStr">
        <is>
          <t>NG028</t>
        </is>
      </c>
      <c r="F557" t="inlineStr">
        <is>
          <t>Nigeria</t>
        </is>
      </c>
      <c r="G557" t="inlineStr">
        <is>
          <t>NGA</t>
        </is>
      </c>
    </row>
    <row r="558">
      <c r="A558" t="inlineStr">
        <is>
          <t>Odigbo</t>
        </is>
      </c>
      <c r="B558" t="inlineStr">
        <is>
          <t xml:space="preserve"> </t>
        </is>
      </c>
      <c r="C558" t="inlineStr">
        <is>
          <t>NG029013</t>
        </is>
      </c>
      <c r="D558" t="inlineStr">
        <is>
          <t>Ondo</t>
        </is>
      </c>
      <c r="E558" t="inlineStr">
        <is>
          <t>NG029</t>
        </is>
      </c>
      <c r="F558" t="inlineStr">
        <is>
          <t>Nigeria</t>
        </is>
      </c>
      <c r="G558" t="inlineStr">
        <is>
          <t>NGA</t>
        </is>
      </c>
    </row>
    <row r="559">
      <c r="A559" t="inlineStr">
        <is>
          <t>Odo-Otin</t>
        </is>
      </c>
      <c r="B559" t="inlineStr">
        <is>
          <t xml:space="preserve"> </t>
        </is>
      </c>
      <c r="C559" t="inlineStr">
        <is>
          <t>NG030025</t>
        </is>
      </c>
      <c r="D559" t="inlineStr">
        <is>
          <t>Osun</t>
        </is>
      </c>
      <c r="E559" t="inlineStr">
        <is>
          <t>NG030</t>
        </is>
      </c>
      <c r="F559" t="inlineStr">
        <is>
          <t>Nigeria</t>
        </is>
      </c>
      <c r="G559" t="inlineStr">
        <is>
          <t>NGA</t>
        </is>
      </c>
    </row>
    <row r="560">
      <c r="A560" t="inlineStr">
        <is>
          <t>Odogbolu</t>
        </is>
      </c>
      <c r="B560" t="inlineStr">
        <is>
          <t xml:space="preserve"> </t>
        </is>
      </c>
      <c r="C560" t="inlineStr">
        <is>
          <t>NG028017</t>
        </is>
      </c>
      <c r="D560" t="inlineStr">
        <is>
          <t>Ogun</t>
        </is>
      </c>
      <c r="E560" t="inlineStr">
        <is>
          <t>NG028</t>
        </is>
      </c>
      <c r="F560" t="inlineStr">
        <is>
          <t>Nigeria</t>
        </is>
      </c>
      <c r="G560" t="inlineStr">
        <is>
          <t>NGA</t>
        </is>
      </c>
    </row>
    <row r="561">
      <c r="A561" t="inlineStr">
        <is>
          <t>Odukpani</t>
        </is>
      </c>
      <c r="B561" t="inlineStr">
        <is>
          <t xml:space="preserve"> </t>
        </is>
      </c>
      <c r="C561" t="inlineStr">
        <is>
          <t>NG009016</t>
        </is>
      </c>
      <c r="D561" t="inlineStr">
        <is>
          <t>Cross River</t>
        </is>
      </c>
      <c r="E561" t="inlineStr">
        <is>
          <t>NG009</t>
        </is>
      </c>
      <c r="F561" t="inlineStr">
        <is>
          <t>Nigeria</t>
        </is>
      </c>
      <c r="G561" t="inlineStr">
        <is>
          <t>NGA</t>
        </is>
      </c>
    </row>
    <row r="562">
      <c r="A562" t="inlineStr">
        <is>
          <t>Offa</t>
        </is>
      </c>
      <c r="B562" t="inlineStr">
        <is>
          <t xml:space="preserve"> </t>
        </is>
      </c>
      <c r="C562" t="inlineStr">
        <is>
          <t>NG024013</t>
        </is>
      </c>
      <c r="D562" t="inlineStr">
        <is>
          <t>Kwara</t>
        </is>
      </c>
      <c r="E562" t="inlineStr">
        <is>
          <t>NG024</t>
        </is>
      </c>
      <c r="F562" t="inlineStr">
        <is>
          <t>Nigeria</t>
        </is>
      </c>
      <c r="G562" t="inlineStr">
        <is>
          <t>NGA</t>
        </is>
      </c>
    </row>
    <row r="563">
      <c r="A563" t="inlineStr">
        <is>
          <t>Ofu</t>
        </is>
      </c>
      <c r="B563" t="inlineStr">
        <is>
          <t xml:space="preserve"> </t>
        </is>
      </c>
      <c r="C563" t="inlineStr">
        <is>
          <t>NG023014</t>
        </is>
      </c>
      <c r="D563" t="inlineStr">
        <is>
          <t>Kogi</t>
        </is>
      </c>
      <c r="E563" t="inlineStr">
        <is>
          <t>NG023</t>
        </is>
      </c>
      <c r="F563" t="inlineStr">
        <is>
          <t>Nigeria</t>
        </is>
      </c>
      <c r="G563" t="inlineStr">
        <is>
          <t>NGA</t>
        </is>
      </c>
    </row>
    <row r="564">
      <c r="A564" t="inlineStr">
        <is>
          <t>Ogba/Egbema/Ndoni</t>
        </is>
      </c>
      <c r="B564" t="inlineStr">
        <is>
          <t xml:space="preserve"> </t>
        </is>
      </c>
      <c r="C564" t="inlineStr">
        <is>
          <t>NG033016</t>
        </is>
      </c>
      <c r="D564" t="inlineStr">
        <is>
          <t>Rivers</t>
        </is>
      </c>
      <c r="E564" t="inlineStr">
        <is>
          <t>NG033</t>
        </is>
      </c>
      <c r="F564" t="inlineStr">
        <is>
          <t>Nigeria</t>
        </is>
      </c>
      <c r="G564" t="inlineStr">
        <is>
          <t>NGA</t>
        </is>
      </c>
    </row>
    <row r="565">
      <c r="A565" t="inlineStr">
        <is>
          <t>Ogbadibo</t>
        </is>
      </c>
      <c r="B565" t="inlineStr">
        <is>
          <t xml:space="preserve"> </t>
        </is>
      </c>
      <c r="C565" t="inlineStr">
        <is>
          <t>NG007015</t>
        </is>
      </c>
      <c r="D565" t="inlineStr">
        <is>
          <t>Benue</t>
        </is>
      </c>
      <c r="E565" t="inlineStr">
        <is>
          <t>NG007</t>
        </is>
      </c>
      <c r="F565" t="inlineStr">
        <is>
          <t>Nigeria</t>
        </is>
      </c>
      <c r="G565" t="inlineStr">
        <is>
          <t>NGA</t>
        </is>
      </c>
    </row>
    <row r="566">
      <c r="A566" t="inlineStr">
        <is>
          <t>Ogbaru</t>
        </is>
      </c>
      <c r="B566" t="inlineStr">
        <is>
          <t xml:space="preserve"> </t>
        </is>
      </c>
      <c r="C566" t="inlineStr">
        <is>
          <t>NG004016</t>
        </is>
      </c>
      <c r="D566" t="inlineStr">
        <is>
          <t>Anambra</t>
        </is>
      </c>
      <c r="E566" t="inlineStr">
        <is>
          <t>NG004</t>
        </is>
      </c>
      <c r="F566" t="inlineStr">
        <is>
          <t>Nigeria</t>
        </is>
      </c>
      <c r="G566" t="inlineStr">
        <is>
          <t>NGA</t>
        </is>
      </c>
    </row>
    <row r="567">
      <c r="A567" t="inlineStr">
        <is>
          <t>Ogbia</t>
        </is>
      </c>
      <c r="B567" t="inlineStr">
        <is>
          <t xml:space="preserve"> </t>
        </is>
      </c>
      <c r="C567" t="inlineStr">
        <is>
          <t>NG006005</t>
        </is>
      </c>
      <c r="D567" t="inlineStr">
        <is>
          <t>Bayelsa</t>
        </is>
      </c>
      <c r="E567" t="inlineStr">
        <is>
          <t>NG006</t>
        </is>
      </c>
      <c r="F567" t="inlineStr">
        <is>
          <t>Nigeria</t>
        </is>
      </c>
      <c r="G567" t="inlineStr">
        <is>
          <t>NGA</t>
        </is>
      </c>
    </row>
    <row r="568">
      <c r="A568" t="inlineStr">
        <is>
          <t>Ogbomosho North</t>
        </is>
      </c>
      <c r="B568" t="inlineStr">
        <is>
          <t xml:space="preserve"> </t>
        </is>
      </c>
      <c r="C568" t="inlineStr">
        <is>
          <t>NG031021</t>
        </is>
      </c>
      <c r="D568" t="inlineStr">
        <is>
          <t>Oyo</t>
        </is>
      </c>
      <c r="E568" t="inlineStr">
        <is>
          <t>NG031</t>
        </is>
      </c>
      <c r="F568" t="inlineStr">
        <is>
          <t>Nigeria</t>
        </is>
      </c>
      <c r="G568" t="inlineStr">
        <is>
          <t>NGA</t>
        </is>
      </c>
    </row>
    <row r="569">
      <c r="A569" t="inlineStr">
        <is>
          <t>Ogbomosho South</t>
        </is>
      </c>
      <c r="B569" t="inlineStr">
        <is>
          <t xml:space="preserve"> </t>
        </is>
      </c>
      <c r="C569" t="inlineStr">
        <is>
          <t>NG031022</t>
        </is>
      </c>
      <c r="D569" t="inlineStr">
        <is>
          <t>Oyo</t>
        </is>
      </c>
      <c r="E569" t="inlineStr">
        <is>
          <t>NG031</t>
        </is>
      </c>
      <c r="F569" t="inlineStr">
        <is>
          <t>Nigeria</t>
        </is>
      </c>
      <c r="G569" t="inlineStr">
        <is>
          <t>NGA</t>
        </is>
      </c>
    </row>
    <row r="570">
      <c r="A570" t="inlineStr">
        <is>
          <t>Ogo Oluwa</t>
        </is>
      </c>
      <c r="B570" t="inlineStr">
        <is>
          <t xml:space="preserve"> </t>
        </is>
      </c>
      <c r="C570" t="inlineStr">
        <is>
          <t>NG031023</t>
        </is>
      </c>
      <c r="D570" t="inlineStr">
        <is>
          <t>Oyo</t>
        </is>
      </c>
      <c r="E570" t="inlineStr">
        <is>
          <t>NG031</t>
        </is>
      </c>
      <c r="F570" t="inlineStr">
        <is>
          <t>Nigeria</t>
        </is>
      </c>
      <c r="G570" t="inlineStr">
        <is>
          <t>NGA</t>
        </is>
      </c>
    </row>
    <row r="571">
      <c r="A571" t="inlineStr">
        <is>
          <t>Ogoja</t>
        </is>
      </c>
      <c r="B571" t="inlineStr">
        <is>
          <t xml:space="preserve"> </t>
        </is>
      </c>
      <c r="C571" t="inlineStr">
        <is>
          <t>NG009017</t>
        </is>
      </c>
      <c r="D571" t="inlineStr">
        <is>
          <t>Cross River</t>
        </is>
      </c>
      <c r="E571" t="inlineStr">
        <is>
          <t>NG009</t>
        </is>
      </c>
      <c r="F571" t="inlineStr">
        <is>
          <t>Nigeria</t>
        </is>
      </c>
      <c r="G571" t="inlineStr">
        <is>
          <t>NGA</t>
        </is>
      </c>
    </row>
    <row r="572">
      <c r="A572" t="inlineStr">
        <is>
          <t>Ogori/Magongo</t>
        </is>
      </c>
      <c r="B572" t="inlineStr">
        <is>
          <t xml:space="preserve"> </t>
        </is>
      </c>
      <c r="C572" t="inlineStr">
        <is>
          <t>NG023015</t>
        </is>
      </c>
      <c r="D572" t="inlineStr">
        <is>
          <t>Kogi</t>
        </is>
      </c>
      <c r="E572" t="inlineStr">
        <is>
          <t>NG023</t>
        </is>
      </c>
      <c r="F572" t="inlineStr">
        <is>
          <t>Nigeria</t>
        </is>
      </c>
      <c r="G572" t="inlineStr">
        <is>
          <t>NGA</t>
        </is>
      </c>
    </row>
    <row r="573">
      <c r="A573" t="inlineStr">
        <is>
          <t>Ogu/Bolo</t>
        </is>
      </c>
      <c r="B573" t="inlineStr">
        <is>
          <t xml:space="preserve"> </t>
        </is>
      </c>
      <c r="C573" t="inlineStr">
        <is>
          <t>NG033017</t>
        </is>
      </c>
      <c r="D573" t="inlineStr">
        <is>
          <t>Rivers</t>
        </is>
      </c>
      <c r="E573" t="inlineStr">
        <is>
          <t>NG033</t>
        </is>
      </c>
      <c r="F573" t="inlineStr">
        <is>
          <t>Nigeria</t>
        </is>
      </c>
      <c r="G573" t="inlineStr">
        <is>
          <t>NGA</t>
        </is>
      </c>
    </row>
    <row r="574">
      <c r="A574" t="inlineStr">
        <is>
          <t>Ogun waterside</t>
        </is>
      </c>
      <c r="B574" t="inlineStr">
        <is>
          <t xml:space="preserve"> </t>
        </is>
      </c>
      <c r="C574" t="inlineStr">
        <is>
          <t>NG028018</t>
        </is>
      </c>
      <c r="D574" t="inlineStr">
        <is>
          <t>Ogun</t>
        </is>
      </c>
      <c r="E574" t="inlineStr">
        <is>
          <t>NG028</t>
        </is>
      </c>
      <c r="F574" t="inlineStr">
        <is>
          <t>Nigeria</t>
        </is>
      </c>
      <c r="G574" t="inlineStr">
        <is>
          <t>NGA</t>
        </is>
      </c>
    </row>
    <row r="575">
      <c r="A575" t="inlineStr">
        <is>
          <t>Oguta</t>
        </is>
      </c>
      <c r="B575" t="inlineStr">
        <is>
          <t xml:space="preserve"> </t>
        </is>
      </c>
      <c r="C575" t="inlineStr">
        <is>
          <t>NG017017</t>
        </is>
      </c>
      <c r="D575" t="inlineStr">
        <is>
          <t>Imo</t>
        </is>
      </c>
      <c r="E575" t="inlineStr">
        <is>
          <t>NG017</t>
        </is>
      </c>
      <c r="F575" t="inlineStr">
        <is>
          <t>Nigeria</t>
        </is>
      </c>
      <c r="G575" t="inlineStr">
        <is>
          <t>NGA</t>
        </is>
      </c>
    </row>
    <row r="576">
      <c r="A576" t="inlineStr">
        <is>
          <t>Ohafia</t>
        </is>
      </c>
      <c r="B576" t="inlineStr">
        <is>
          <t xml:space="preserve"> </t>
        </is>
      </c>
      <c r="C576" t="inlineStr">
        <is>
          <t>NG001010</t>
        </is>
      </c>
      <c r="D576" t="inlineStr">
        <is>
          <t>Abia</t>
        </is>
      </c>
      <c r="E576" t="inlineStr">
        <is>
          <t>NG001</t>
        </is>
      </c>
      <c r="F576" t="inlineStr">
        <is>
          <t>Nigeria</t>
        </is>
      </c>
      <c r="G576" t="inlineStr">
        <is>
          <t>NGA</t>
        </is>
      </c>
    </row>
    <row r="577">
      <c r="A577" t="inlineStr">
        <is>
          <t>Ohaji/Egbema</t>
        </is>
      </c>
      <c r="B577" t="inlineStr">
        <is>
          <t xml:space="preserve"> </t>
        </is>
      </c>
      <c r="C577" t="inlineStr">
        <is>
          <t>NG017018</t>
        </is>
      </c>
      <c r="D577" t="inlineStr">
        <is>
          <t>Imo</t>
        </is>
      </c>
      <c r="E577" t="inlineStr">
        <is>
          <t>NG017</t>
        </is>
      </c>
      <c r="F577" t="inlineStr">
        <is>
          <t>Nigeria</t>
        </is>
      </c>
      <c r="G577" t="inlineStr">
        <is>
          <t>NGA</t>
        </is>
      </c>
    </row>
    <row r="578">
      <c r="A578" t="inlineStr">
        <is>
          <t>Ohaozara</t>
        </is>
      </c>
      <c r="B578" t="inlineStr">
        <is>
          <t xml:space="preserve"> </t>
        </is>
      </c>
      <c r="C578" t="inlineStr">
        <is>
          <t>NG011011</t>
        </is>
      </c>
      <c r="D578" t="inlineStr">
        <is>
          <t>Ebonyi</t>
        </is>
      </c>
      <c r="E578" t="inlineStr">
        <is>
          <t>NG011</t>
        </is>
      </c>
      <c r="F578" t="inlineStr">
        <is>
          <t>Nigeria</t>
        </is>
      </c>
      <c r="G578" t="inlineStr">
        <is>
          <t>NGA</t>
        </is>
      </c>
    </row>
    <row r="579">
      <c r="A579" t="inlineStr">
        <is>
          <t>Ohaukwu</t>
        </is>
      </c>
      <c r="B579" t="inlineStr">
        <is>
          <t xml:space="preserve"> </t>
        </is>
      </c>
      <c r="C579" t="inlineStr">
        <is>
          <t>NG011012</t>
        </is>
      </c>
      <c r="D579" t="inlineStr">
        <is>
          <t>Ebonyi</t>
        </is>
      </c>
      <c r="E579" t="inlineStr">
        <is>
          <t>NG011</t>
        </is>
      </c>
      <c r="F579" t="inlineStr">
        <is>
          <t>Nigeria</t>
        </is>
      </c>
      <c r="G579" t="inlineStr">
        <is>
          <t>NGA</t>
        </is>
      </c>
    </row>
    <row r="580">
      <c r="A580" t="inlineStr">
        <is>
          <t>Ohimini</t>
        </is>
      </c>
      <c r="B580" t="inlineStr">
        <is>
          <t xml:space="preserve"> </t>
        </is>
      </c>
      <c r="C580" t="inlineStr">
        <is>
          <t>NG007016</t>
        </is>
      </c>
      <c r="D580" t="inlineStr">
        <is>
          <t>Benue</t>
        </is>
      </c>
      <c r="E580" t="inlineStr">
        <is>
          <t>NG007</t>
        </is>
      </c>
      <c r="F580" t="inlineStr">
        <is>
          <t>Nigeria</t>
        </is>
      </c>
      <c r="G580" t="inlineStr">
        <is>
          <t>NGA</t>
        </is>
      </c>
    </row>
    <row r="581">
      <c r="A581" t="inlineStr">
        <is>
          <t>Oji-River</t>
        </is>
      </c>
      <c r="B581" t="inlineStr">
        <is>
          <t xml:space="preserve"> </t>
        </is>
      </c>
      <c r="C581" t="inlineStr">
        <is>
          <t>NG014014</t>
        </is>
      </c>
      <c r="D581" t="inlineStr">
        <is>
          <t>Enugu</t>
        </is>
      </c>
      <c r="E581" t="inlineStr">
        <is>
          <t>NG014</t>
        </is>
      </c>
      <c r="F581" t="inlineStr">
        <is>
          <t>Nigeria</t>
        </is>
      </c>
      <c r="G581" t="inlineStr">
        <is>
          <t>NGA</t>
        </is>
      </c>
    </row>
    <row r="582">
      <c r="A582" t="inlineStr">
        <is>
          <t>Ojo</t>
        </is>
      </c>
      <c r="B582" t="inlineStr">
        <is>
          <t xml:space="preserve"> </t>
        </is>
      </c>
      <c r="C582" t="inlineStr">
        <is>
          <t>NG025017</t>
        </is>
      </c>
      <c r="D582" t="inlineStr">
        <is>
          <t>Lagos</t>
        </is>
      </c>
      <c r="E582" t="inlineStr">
        <is>
          <t>NG025</t>
        </is>
      </c>
      <c r="F582" t="inlineStr">
        <is>
          <t>Nigeria</t>
        </is>
      </c>
      <c r="G582" t="inlineStr">
        <is>
          <t>NGA</t>
        </is>
      </c>
    </row>
    <row r="583">
      <c r="A583" t="inlineStr">
        <is>
          <t>Oju</t>
        </is>
      </c>
      <c r="B583" t="inlineStr">
        <is>
          <t xml:space="preserve"> </t>
        </is>
      </c>
      <c r="C583" t="inlineStr">
        <is>
          <t>NG007017</t>
        </is>
      </c>
      <c r="D583" t="inlineStr">
        <is>
          <t>Benue</t>
        </is>
      </c>
      <c r="E583" t="inlineStr">
        <is>
          <t>NG007</t>
        </is>
      </c>
      <c r="F583" t="inlineStr">
        <is>
          <t>Nigeria</t>
        </is>
      </c>
      <c r="G583" t="inlineStr">
        <is>
          <t>NGA</t>
        </is>
      </c>
    </row>
    <row r="584">
      <c r="A584" t="inlineStr">
        <is>
          <t>Oke-Ero</t>
        </is>
      </c>
      <c r="B584" t="inlineStr">
        <is>
          <t xml:space="preserve"> </t>
        </is>
      </c>
      <c r="C584" t="inlineStr">
        <is>
          <t>NG024014</t>
        </is>
      </c>
      <c r="D584" t="inlineStr">
        <is>
          <t>Kwara</t>
        </is>
      </c>
      <c r="E584" t="inlineStr">
        <is>
          <t>NG024</t>
        </is>
      </c>
      <c r="F584" t="inlineStr">
        <is>
          <t>Nigeria</t>
        </is>
      </c>
      <c r="G584" t="inlineStr">
        <is>
          <t>NGA</t>
        </is>
      </c>
    </row>
    <row r="585">
      <c r="A585" t="inlineStr">
        <is>
          <t>Okehi</t>
        </is>
      </c>
      <c r="B585" t="inlineStr">
        <is>
          <t xml:space="preserve"> </t>
        </is>
      </c>
      <c r="C585" t="inlineStr">
        <is>
          <t>NG023016</t>
        </is>
      </c>
      <c r="D585" t="inlineStr">
        <is>
          <t>Kogi</t>
        </is>
      </c>
      <c r="E585" t="inlineStr">
        <is>
          <t>NG023</t>
        </is>
      </c>
      <c r="F585" t="inlineStr">
        <is>
          <t>Nigeria</t>
        </is>
      </c>
      <c r="G585" t="inlineStr">
        <is>
          <t>NGA</t>
        </is>
      </c>
    </row>
    <row r="586">
      <c r="A586" t="inlineStr">
        <is>
          <t>Okene</t>
        </is>
      </c>
      <c r="B586" t="inlineStr">
        <is>
          <t xml:space="preserve"> </t>
        </is>
      </c>
      <c r="C586" t="inlineStr">
        <is>
          <t>NG023017</t>
        </is>
      </c>
      <c r="D586" t="inlineStr">
        <is>
          <t>Kogi</t>
        </is>
      </c>
      <c r="E586" t="inlineStr">
        <is>
          <t>NG023</t>
        </is>
      </c>
      <c r="F586" t="inlineStr">
        <is>
          <t>Nigeria</t>
        </is>
      </c>
      <c r="G586" t="inlineStr">
        <is>
          <t>NGA</t>
        </is>
      </c>
    </row>
    <row r="587">
      <c r="A587" t="inlineStr">
        <is>
          <t>Okigwe</t>
        </is>
      </c>
      <c r="B587" t="inlineStr">
        <is>
          <t xml:space="preserve"> </t>
        </is>
      </c>
      <c r="C587" t="inlineStr">
        <is>
          <t>NG017019</t>
        </is>
      </c>
      <c r="D587" t="inlineStr">
        <is>
          <t>Imo</t>
        </is>
      </c>
      <c r="E587" t="inlineStr">
        <is>
          <t>NG017</t>
        </is>
      </c>
      <c r="F587" t="inlineStr">
        <is>
          <t>Nigeria</t>
        </is>
      </c>
      <c r="G587" t="inlineStr">
        <is>
          <t>NGA</t>
        </is>
      </c>
    </row>
    <row r="588">
      <c r="A588" t="inlineStr">
        <is>
          <t>Okitipupa</t>
        </is>
      </c>
      <c r="B588" t="inlineStr">
        <is>
          <t xml:space="preserve"> </t>
        </is>
      </c>
      <c r="C588" t="inlineStr">
        <is>
          <t>NG029014</t>
        </is>
      </c>
      <c r="D588" t="inlineStr">
        <is>
          <t>Ondo</t>
        </is>
      </c>
      <c r="E588" t="inlineStr">
        <is>
          <t>NG029</t>
        </is>
      </c>
      <c r="F588" t="inlineStr">
        <is>
          <t>Nigeria</t>
        </is>
      </c>
      <c r="G588" t="inlineStr">
        <is>
          <t>NGA</t>
        </is>
      </c>
    </row>
    <row r="589">
      <c r="A589" t="inlineStr">
        <is>
          <t>Okobo</t>
        </is>
      </c>
      <c r="B589" t="inlineStr">
        <is>
          <t xml:space="preserve"> </t>
        </is>
      </c>
      <c r="C589" t="inlineStr">
        <is>
          <t>NG003023</t>
        </is>
      </c>
      <c r="D589" t="inlineStr">
        <is>
          <t>Akwa Ibom</t>
        </is>
      </c>
      <c r="E589" t="inlineStr">
        <is>
          <t>NG003</t>
        </is>
      </c>
      <c r="F589" t="inlineStr">
        <is>
          <t>Nigeria</t>
        </is>
      </c>
      <c r="G589" t="inlineStr">
        <is>
          <t>NGA</t>
        </is>
      </c>
    </row>
    <row r="590">
      <c r="A590" t="inlineStr">
        <is>
          <t>Okpe</t>
        </is>
      </c>
      <c r="B590" t="inlineStr">
        <is>
          <t xml:space="preserve"> </t>
        </is>
      </c>
      <c r="C590" t="inlineStr">
        <is>
          <t>NG010013</t>
        </is>
      </c>
      <c r="D590" t="inlineStr">
        <is>
          <t>Delta</t>
        </is>
      </c>
      <c r="E590" t="inlineStr">
        <is>
          <t>NG010</t>
        </is>
      </c>
      <c r="F590" t="inlineStr">
        <is>
          <t>Nigeria</t>
        </is>
      </c>
      <c r="G590" t="inlineStr">
        <is>
          <t>NGA</t>
        </is>
      </c>
    </row>
    <row r="591">
      <c r="A591" t="inlineStr">
        <is>
          <t>Okpokwu</t>
        </is>
      </c>
      <c r="B591" t="inlineStr">
        <is>
          <t xml:space="preserve"> </t>
        </is>
      </c>
      <c r="C591" t="inlineStr">
        <is>
          <t>NG007018</t>
        </is>
      </c>
      <c r="D591" t="inlineStr">
        <is>
          <t>Benue</t>
        </is>
      </c>
      <c r="E591" t="inlineStr">
        <is>
          <t>NG007</t>
        </is>
      </c>
      <c r="F591" t="inlineStr">
        <is>
          <t>Nigeria</t>
        </is>
      </c>
      <c r="G591" t="inlineStr">
        <is>
          <t>NGA</t>
        </is>
      </c>
    </row>
    <row r="592">
      <c r="A592" t="inlineStr">
        <is>
          <t>Okrika</t>
        </is>
      </c>
      <c r="B592" t="inlineStr">
        <is>
          <t xml:space="preserve"> </t>
        </is>
      </c>
      <c r="C592" t="inlineStr">
        <is>
          <t>NG033018</t>
        </is>
      </c>
      <c r="D592" t="inlineStr">
        <is>
          <t>Rivers</t>
        </is>
      </c>
      <c r="E592" t="inlineStr">
        <is>
          <t>NG033</t>
        </is>
      </c>
      <c r="F592" t="inlineStr">
        <is>
          <t>Nigeria</t>
        </is>
      </c>
      <c r="G592" t="inlineStr">
        <is>
          <t>NGA</t>
        </is>
      </c>
    </row>
    <row r="593">
      <c r="A593" t="inlineStr">
        <is>
          <t>Ola-oluwa</t>
        </is>
      </c>
      <c r="B593" t="inlineStr">
        <is>
          <t xml:space="preserve"> </t>
        </is>
      </c>
      <c r="C593" t="inlineStr">
        <is>
          <t>NG030026</t>
        </is>
      </c>
      <c r="D593" t="inlineStr">
        <is>
          <t>Osun</t>
        </is>
      </c>
      <c r="E593" t="inlineStr">
        <is>
          <t>NG030</t>
        </is>
      </c>
      <c r="F593" t="inlineStr">
        <is>
          <t>Nigeria</t>
        </is>
      </c>
      <c r="G593" t="inlineStr">
        <is>
          <t>NGA</t>
        </is>
      </c>
    </row>
    <row r="594">
      <c r="A594" t="inlineStr">
        <is>
          <t>Olamabolo</t>
        </is>
      </c>
      <c r="B594" t="inlineStr">
        <is>
          <t xml:space="preserve"> </t>
        </is>
      </c>
      <c r="C594" t="inlineStr">
        <is>
          <t>NG023018</t>
        </is>
      </c>
      <c r="D594" t="inlineStr">
        <is>
          <t>Kogi</t>
        </is>
      </c>
      <c r="E594" t="inlineStr">
        <is>
          <t>NG023</t>
        </is>
      </c>
      <c r="F594" t="inlineStr">
        <is>
          <t>Nigeria</t>
        </is>
      </c>
      <c r="G594" t="inlineStr">
        <is>
          <t>NGA</t>
        </is>
      </c>
    </row>
    <row r="595">
      <c r="A595" t="inlineStr">
        <is>
          <t>Olorunda</t>
        </is>
      </c>
      <c r="B595" t="inlineStr">
        <is>
          <t xml:space="preserve"> </t>
        </is>
      </c>
      <c r="C595" t="inlineStr">
        <is>
          <t>NG030027</t>
        </is>
      </c>
      <c r="D595" t="inlineStr">
        <is>
          <t>Osun</t>
        </is>
      </c>
      <c r="E595" t="inlineStr">
        <is>
          <t>NG030</t>
        </is>
      </c>
      <c r="F595" t="inlineStr">
        <is>
          <t>Nigeria</t>
        </is>
      </c>
      <c r="G595" t="inlineStr">
        <is>
          <t>NGA</t>
        </is>
      </c>
    </row>
    <row r="596">
      <c r="A596" t="inlineStr">
        <is>
          <t>Olorunsogo</t>
        </is>
      </c>
      <c r="B596" t="inlineStr">
        <is>
          <t xml:space="preserve"> </t>
        </is>
      </c>
      <c r="C596" t="inlineStr">
        <is>
          <t>NG031024</t>
        </is>
      </c>
      <c r="D596" t="inlineStr">
        <is>
          <t>Oyo</t>
        </is>
      </c>
      <c r="E596" t="inlineStr">
        <is>
          <t>NG031</t>
        </is>
      </c>
      <c r="F596" t="inlineStr">
        <is>
          <t>Nigeria</t>
        </is>
      </c>
      <c r="G596" t="inlineStr">
        <is>
          <t>NGA</t>
        </is>
      </c>
    </row>
    <row r="597">
      <c r="A597" t="inlineStr">
        <is>
          <t>Oluyole</t>
        </is>
      </c>
      <c r="B597" t="inlineStr">
        <is>
          <t xml:space="preserve"> </t>
        </is>
      </c>
      <c r="C597" t="inlineStr">
        <is>
          <t>NG031025</t>
        </is>
      </c>
      <c r="D597" t="inlineStr">
        <is>
          <t>Oyo</t>
        </is>
      </c>
      <c r="E597" t="inlineStr">
        <is>
          <t>NG031</t>
        </is>
      </c>
      <c r="F597" t="inlineStr">
        <is>
          <t>Nigeria</t>
        </is>
      </c>
      <c r="G597" t="inlineStr">
        <is>
          <t>NGA</t>
        </is>
      </c>
    </row>
    <row r="598">
      <c r="A598" t="inlineStr">
        <is>
          <t>Omala</t>
        </is>
      </c>
      <c r="B598" t="inlineStr">
        <is>
          <t xml:space="preserve"> </t>
        </is>
      </c>
      <c r="C598" t="inlineStr">
        <is>
          <t>NG023019</t>
        </is>
      </c>
      <c r="D598" t="inlineStr">
        <is>
          <t>Kogi</t>
        </is>
      </c>
      <c r="E598" t="inlineStr">
        <is>
          <t>NG023</t>
        </is>
      </c>
      <c r="F598" t="inlineStr">
        <is>
          <t>Nigeria</t>
        </is>
      </c>
      <c r="G598" t="inlineStr">
        <is>
          <t>NGA</t>
        </is>
      </c>
    </row>
    <row r="599">
      <c r="A599" t="inlineStr">
        <is>
          <t>Omumma</t>
        </is>
      </c>
      <c r="B599" t="inlineStr">
        <is>
          <t xml:space="preserve"> </t>
        </is>
      </c>
      <c r="C599" t="inlineStr">
        <is>
          <t>NG033019</t>
        </is>
      </c>
      <c r="D599" t="inlineStr">
        <is>
          <t>Rivers</t>
        </is>
      </c>
      <c r="E599" t="inlineStr">
        <is>
          <t>NG033</t>
        </is>
      </c>
      <c r="F599" t="inlineStr">
        <is>
          <t>Nigeria</t>
        </is>
      </c>
      <c r="G599" t="inlineStr">
        <is>
          <t>NGA</t>
        </is>
      </c>
    </row>
    <row r="600">
      <c r="A600" t="inlineStr">
        <is>
          <t>Ona-Ara</t>
        </is>
      </c>
      <c r="B600" t="inlineStr">
        <is>
          <t xml:space="preserve"> </t>
        </is>
      </c>
      <c r="C600" t="inlineStr">
        <is>
          <t>NG031026</t>
        </is>
      </c>
      <c r="D600" t="inlineStr">
        <is>
          <t>Oyo</t>
        </is>
      </c>
      <c r="E600" t="inlineStr">
        <is>
          <t>NG031</t>
        </is>
      </c>
      <c r="F600" t="inlineStr">
        <is>
          <t>Nigeria</t>
        </is>
      </c>
      <c r="G600" t="inlineStr">
        <is>
          <t>NGA</t>
        </is>
      </c>
    </row>
    <row r="601">
      <c r="A601" t="inlineStr">
        <is>
          <t>Ondo East</t>
        </is>
      </c>
      <c r="B601" t="inlineStr">
        <is>
          <t xml:space="preserve"> </t>
        </is>
      </c>
      <c r="C601" t="inlineStr">
        <is>
          <t>NG029015</t>
        </is>
      </c>
      <c r="D601" t="inlineStr">
        <is>
          <t>Ondo</t>
        </is>
      </c>
      <c r="E601" t="inlineStr">
        <is>
          <t>NG029</t>
        </is>
      </c>
      <c r="F601" t="inlineStr">
        <is>
          <t>Nigeria</t>
        </is>
      </c>
      <c r="G601" t="inlineStr">
        <is>
          <t>NGA</t>
        </is>
      </c>
    </row>
    <row r="602">
      <c r="A602" t="inlineStr">
        <is>
          <t>Ondo West</t>
        </is>
      </c>
      <c r="B602" t="inlineStr">
        <is>
          <t xml:space="preserve"> </t>
        </is>
      </c>
      <c r="C602" t="inlineStr">
        <is>
          <t>NG029016</t>
        </is>
      </c>
      <c r="D602" t="inlineStr">
        <is>
          <t>Ondo</t>
        </is>
      </c>
      <c r="E602" t="inlineStr">
        <is>
          <t>NG029</t>
        </is>
      </c>
      <c r="F602" t="inlineStr">
        <is>
          <t>Nigeria</t>
        </is>
      </c>
      <c r="G602" t="inlineStr">
        <is>
          <t>NGA</t>
        </is>
      </c>
    </row>
    <row r="603">
      <c r="A603" t="inlineStr">
        <is>
          <t>Onicha</t>
        </is>
      </c>
      <c r="B603" t="inlineStr">
        <is>
          <t xml:space="preserve"> </t>
        </is>
      </c>
      <c r="C603" t="inlineStr">
        <is>
          <t>NG011013</t>
        </is>
      </c>
      <c r="D603" t="inlineStr">
        <is>
          <t>Ebonyi</t>
        </is>
      </c>
      <c r="E603" t="inlineStr">
        <is>
          <t>NG011</t>
        </is>
      </c>
      <c r="F603" t="inlineStr">
        <is>
          <t>Nigeria</t>
        </is>
      </c>
      <c r="G603" t="inlineStr">
        <is>
          <t>NGA</t>
        </is>
      </c>
    </row>
    <row r="604">
      <c r="A604" t="inlineStr">
        <is>
          <t>Onitsha North</t>
        </is>
      </c>
      <c r="B604" t="inlineStr">
        <is>
          <t xml:space="preserve"> </t>
        </is>
      </c>
      <c r="C604" t="inlineStr">
        <is>
          <t>NG004017</t>
        </is>
      </c>
      <c r="D604" t="inlineStr">
        <is>
          <t>Anambra</t>
        </is>
      </c>
      <c r="E604" t="inlineStr">
        <is>
          <t>NG004</t>
        </is>
      </c>
      <c r="F604" t="inlineStr">
        <is>
          <t>Nigeria</t>
        </is>
      </c>
      <c r="G604" t="inlineStr">
        <is>
          <t>NGA</t>
        </is>
      </c>
    </row>
    <row r="605">
      <c r="A605" t="inlineStr">
        <is>
          <t>Onitsha South</t>
        </is>
      </c>
      <c r="B605" t="inlineStr">
        <is>
          <t xml:space="preserve"> </t>
        </is>
      </c>
      <c r="C605" t="inlineStr">
        <is>
          <t>NG004018</t>
        </is>
      </c>
      <c r="D605" t="inlineStr">
        <is>
          <t>Anambra</t>
        </is>
      </c>
      <c r="E605" t="inlineStr">
        <is>
          <t>NG004</t>
        </is>
      </c>
      <c r="F605" t="inlineStr">
        <is>
          <t>Nigeria</t>
        </is>
      </c>
      <c r="G605" t="inlineStr">
        <is>
          <t>NGA</t>
        </is>
      </c>
    </row>
    <row r="606">
      <c r="A606" t="inlineStr">
        <is>
          <t>Onna</t>
        </is>
      </c>
      <c r="B606" t="inlineStr">
        <is>
          <t xml:space="preserve"> </t>
        </is>
      </c>
      <c r="C606" t="inlineStr">
        <is>
          <t>NG003024</t>
        </is>
      </c>
      <c r="D606" t="inlineStr">
        <is>
          <t>Akwa Ibom</t>
        </is>
      </c>
      <c r="E606" t="inlineStr">
        <is>
          <t>NG003</t>
        </is>
      </c>
      <c r="F606" t="inlineStr">
        <is>
          <t>Nigeria</t>
        </is>
      </c>
      <c r="G606" t="inlineStr">
        <is>
          <t>NGA</t>
        </is>
      </c>
    </row>
    <row r="607">
      <c r="A607" t="inlineStr">
        <is>
          <t>Opobo/Nkoro</t>
        </is>
      </c>
      <c r="B607" t="inlineStr">
        <is>
          <t xml:space="preserve"> </t>
        </is>
      </c>
      <c r="C607" t="inlineStr">
        <is>
          <t>NG033020</t>
        </is>
      </c>
      <c r="D607" t="inlineStr">
        <is>
          <t>Rivers</t>
        </is>
      </c>
      <c r="E607" t="inlineStr">
        <is>
          <t>NG033</t>
        </is>
      </c>
      <c r="F607" t="inlineStr">
        <is>
          <t>Nigeria</t>
        </is>
      </c>
      <c r="G607" t="inlineStr">
        <is>
          <t>NGA</t>
        </is>
      </c>
    </row>
    <row r="608">
      <c r="A608" t="inlineStr">
        <is>
          <t>Oredo</t>
        </is>
      </c>
      <c r="B608" t="inlineStr">
        <is>
          <t xml:space="preserve"> </t>
        </is>
      </c>
      <c r="C608" t="inlineStr">
        <is>
          <t>NG012012</t>
        </is>
      </c>
      <c r="D608" t="inlineStr">
        <is>
          <t>Edo</t>
        </is>
      </c>
      <c r="E608" t="inlineStr">
        <is>
          <t>NG012</t>
        </is>
      </c>
      <c r="F608" t="inlineStr">
        <is>
          <t>Nigeria</t>
        </is>
      </c>
      <c r="G608" t="inlineStr">
        <is>
          <t>NGA</t>
        </is>
      </c>
    </row>
    <row r="609">
      <c r="A609" t="inlineStr">
        <is>
          <t>Orelope</t>
        </is>
      </c>
      <c r="B609" t="inlineStr">
        <is>
          <t xml:space="preserve"> </t>
        </is>
      </c>
      <c r="C609" t="inlineStr">
        <is>
          <t>NG031027</t>
        </is>
      </c>
      <c r="D609" t="inlineStr">
        <is>
          <t>Oyo</t>
        </is>
      </c>
      <c r="E609" t="inlineStr">
        <is>
          <t>NG031</t>
        </is>
      </c>
      <c r="F609" t="inlineStr">
        <is>
          <t>Nigeria</t>
        </is>
      </c>
      <c r="G609" t="inlineStr">
        <is>
          <t>NGA</t>
        </is>
      </c>
    </row>
    <row r="610">
      <c r="A610" t="inlineStr">
        <is>
          <t>Orhionmwon</t>
        </is>
      </c>
      <c r="B610" t="inlineStr">
        <is>
          <t xml:space="preserve"> </t>
        </is>
      </c>
      <c r="C610" t="inlineStr">
        <is>
          <t>NG012013</t>
        </is>
      </c>
      <c r="D610" t="inlineStr">
        <is>
          <t>Edo</t>
        </is>
      </c>
      <c r="E610" t="inlineStr">
        <is>
          <t>NG012</t>
        </is>
      </c>
      <c r="F610" t="inlineStr">
        <is>
          <t>Nigeria</t>
        </is>
      </c>
      <c r="G610" t="inlineStr">
        <is>
          <t>NGA</t>
        </is>
      </c>
    </row>
    <row r="611">
      <c r="A611" t="inlineStr">
        <is>
          <t>Ori Ire</t>
        </is>
      </c>
      <c r="B611" t="inlineStr">
        <is>
          <t xml:space="preserve"> </t>
        </is>
      </c>
      <c r="C611" t="inlineStr">
        <is>
          <t>NG031028</t>
        </is>
      </c>
      <c r="D611" t="inlineStr">
        <is>
          <t>Oyo</t>
        </is>
      </c>
      <c r="E611" t="inlineStr">
        <is>
          <t>NG031</t>
        </is>
      </c>
      <c r="F611" t="inlineStr">
        <is>
          <t>Nigeria</t>
        </is>
      </c>
      <c r="G611" t="inlineStr">
        <is>
          <t>NGA</t>
        </is>
      </c>
    </row>
    <row r="612">
      <c r="A612" t="inlineStr">
        <is>
          <t>Oriade</t>
        </is>
      </c>
      <c r="B612" t="inlineStr">
        <is>
          <t xml:space="preserve"> </t>
        </is>
      </c>
      <c r="C612" t="inlineStr">
        <is>
          <t>NG030028</t>
        </is>
      </c>
      <c r="D612" t="inlineStr">
        <is>
          <t>Osun</t>
        </is>
      </c>
      <c r="E612" t="inlineStr">
        <is>
          <t>NG030</t>
        </is>
      </c>
      <c r="F612" t="inlineStr">
        <is>
          <t>Nigeria</t>
        </is>
      </c>
      <c r="G612" t="inlineStr">
        <is>
          <t>NGA</t>
        </is>
      </c>
    </row>
    <row r="613">
      <c r="A613" t="inlineStr">
        <is>
          <t>Orlu</t>
        </is>
      </c>
      <c r="B613" t="inlineStr">
        <is>
          <t xml:space="preserve"> </t>
        </is>
      </c>
      <c r="C613" t="inlineStr">
        <is>
          <t>NG017020</t>
        </is>
      </c>
      <c r="D613" t="inlineStr">
        <is>
          <t>Imo</t>
        </is>
      </c>
      <c r="E613" t="inlineStr">
        <is>
          <t>NG017</t>
        </is>
      </c>
      <c r="F613" t="inlineStr">
        <is>
          <t>Nigeria</t>
        </is>
      </c>
      <c r="G613" t="inlineStr">
        <is>
          <t>NGA</t>
        </is>
      </c>
    </row>
    <row r="614">
      <c r="A614" t="inlineStr">
        <is>
          <t>Orolu</t>
        </is>
      </c>
      <c r="B614" t="inlineStr">
        <is>
          <t xml:space="preserve"> </t>
        </is>
      </c>
      <c r="C614" t="inlineStr">
        <is>
          <t>NG030029</t>
        </is>
      </c>
      <c r="D614" t="inlineStr">
        <is>
          <t>Osun</t>
        </is>
      </c>
      <c r="E614" t="inlineStr">
        <is>
          <t>NG030</t>
        </is>
      </c>
      <c r="F614" t="inlineStr">
        <is>
          <t>Nigeria</t>
        </is>
      </c>
      <c r="G614" t="inlineStr">
        <is>
          <t>NGA</t>
        </is>
      </c>
    </row>
    <row r="615">
      <c r="A615" t="inlineStr">
        <is>
          <t>Oron</t>
        </is>
      </c>
      <c r="B615" t="inlineStr">
        <is>
          <t xml:space="preserve"> </t>
        </is>
      </c>
      <c r="C615" t="inlineStr">
        <is>
          <t>NG003025</t>
        </is>
      </c>
      <c r="D615" t="inlineStr">
        <is>
          <t>Akwa Ibom</t>
        </is>
      </c>
      <c r="E615" t="inlineStr">
        <is>
          <t>NG003</t>
        </is>
      </c>
      <c r="F615" t="inlineStr">
        <is>
          <t>Nigeria</t>
        </is>
      </c>
      <c r="G615" t="inlineStr">
        <is>
          <t>NGA</t>
        </is>
      </c>
    </row>
    <row r="616">
      <c r="A616" t="inlineStr">
        <is>
          <t>Orsu</t>
        </is>
      </c>
      <c r="B616" t="inlineStr">
        <is>
          <t xml:space="preserve"> </t>
        </is>
      </c>
      <c r="C616" t="inlineStr">
        <is>
          <t>NG017021</t>
        </is>
      </c>
      <c r="D616" t="inlineStr">
        <is>
          <t>Imo</t>
        </is>
      </c>
      <c r="E616" t="inlineStr">
        <is>
          <t>NG017</t>
        </is>
      </c>
      <c r="F616" t="inlineStr">
        <is>
          <t>Nigeria</t>
        </is>
      </c>
      <c r="G616" t="inlineStr">
        <is>
          <t>NGA</t>
        </is>
      </c>
    </row>
    <row r="617">
      <c r="A617" t="inlineStr">
        <is>
          <t>Oru East</t>
        </is>
      </c>
      <c r="B617" t="inlineStr">
        <is>
          <t xml:space="preserve"> </t>
        </is>
      </c>
      <c r="C617" t="inlineStr">
        <is>
          <t>NG017022</t>
        </is>
      </c>
      <c r="D617" t="inlineStr">
        <is>
          <t>Imo</t>
        </is>
      </c>
      <c r="E617" t="inlineStr">
        <is>
          <t>NG017</t>
        </is>
      </c>
      <c r="F617" t="inlineStr">
        <is>
          <t>Nigeria</t>
        </is>
      </c>
      <c r="G617" t="inlineStr">
        <is>
          <t>NGA</t>
        </is>
      </c>
    </row>
    <row r="618">
      <c r="A618" t="inlineStr">
        <is>
          <t>Oru West</t>
        </is>
      </c>
      <c r="B618" t="inlineStr">
        <is>
          <t xml:space="preserve"> </t>
        </is>
      </c>
      <c r="C618" t="inlineStr">
        <is>
          <t>NG017023</t>
        </is>
      </c>
      <c r="D618" t="inlineStr">
        <is>
          <t>Imo</t>
        </is>
      </c>
      <c r="E618" t="inlineStr">
        <is>
          <t>NG017</t>
        </is>
      </c>
      <c r="F618" t="inlineStr">
        <is>
          <t>Nigeria</t>
        </is>
      </c>
      <c r="G618" t="inlineStr">
        <is>
          <t>NGA</t>
        </is>
      </c>
    </row>
    <row r="619">
      <c r="A619" t="inlineStr">
        <is>
          <t>Oruk Anam</t>
        </is>
      </c>
      <c r="B619" t="inlineStr">
        <is>
          <t xml:space="preserve"> </t>
        </is>
      </c>
      <c r="C619" t="inlineStr">
        <is>
          <t>NG003026</t>
        </is>
      </c>
      <c r="D619" t="inlineStr">
        <is>
          <t>Akwa Ibom</t>
        </is>
      </c>
      <c r="E619" t="inlineStr">
        <is>
          <t>NG003</t>
        </is>
      </c>
      <c r="F619" t="inlineStr">
        <is>
          <t>Nigeria</t>
        </is>
      </c>
      <c r="G619" t="inlineStr">
        <is>
          <t>NGA</t>
        </is>
      </c>
    </row>
    <row r="620">
      <c r="A620" t="inlineStr">
        <is>
          <t>Orumba North</t>
        </is>
      </c>
      <c r="B620" t="inlineStr">
        <is>
          <t xml:space="preserve"> </t>
        </is>
      </c>
      <c r="C620" t="inlineStr">
        <is>
          <t>NG004019</t>
        </is>
      </c>
      <c r="D620" t="inlineStr">
        <is>
          <t>Anambra</t>
        </is>
      </c>
      <c r="E620" t="inlineStr">
        <is>
          <t>NG004</t>
        </is>
      </c>
      <c r="F620" t="inlineStr">
        <is>
          <t>Nigeria</t>
        </is>
      </c>
      <c r="G620" t="inlineStr">
        <is>
          <t>NGA</t>
        </is>
      </c>
    </row>
    <row r="621">
      <c r="A621" t="inlineStr">
        <is>
          <t>Orumba South</t>
        </is>
      </c>
      <c r="B621" t="inlineStr">
        <is>
          <t xml:space="preserve"> </t>
        </is>
      </c>
      <c r="C621" t="inlineStr">
        <is>
          <t>NG004020</t>
        </is>
      </c>
      <c r="D621" t="inlineStr">
        <is>
          <t>Anambra</t>
        </is>
      </c>
      <c r="E621" t="inlineStr">
        <is>
          <t>NG004</t>
        </is>
      </c>
      <c r="F621" t="inlineStr">
        <is>
          <t>Nigeria</t>
        </is>
      </c>
      <c r="G621" t="inlineStr">
        <is>
          <t>NGA</t>
        </is>
      </c>
    </row>
    <row r="622">
      <c r="A622" t="inlineStr">
        <is>
          <t>Ose</t>
        </is>
      </c>
      <c r="B622" t="inlineStr">
        <is>
          <t xml:space="preserve"> </t>
        </is>
      </c>
      <c r="C622" t="inlineStr">
        <is>
          <t>NG029017</t>
        </is>
      </c>
      <c r="D622" t="inlineStr">
        <is>
          <t>Ondo</t>
        </is>
      </c>
      <c r="E622" t="inlineStr">
        <is>
          <t>NG029</t>
        </is>
      </c>
      <c r="F622" t="inlineStr">
        <is>
          <t>Nigeria</t>
        </is>
      </c>
      <c r="G622" t="inlineStr">
        <is>
          <t>NGA</t>
        </is>
      </c>
    </row>
    <row r="623">
      <c r="A623" t="inlineStr">
        <is>
          <t>Oshimili North</t>
        </is>
      </c>
      <c r="B623" t="inlineStr">
        <is>
          <t xml:space="preserve"> </t>
        </is>
      </c>
      <c r="C623" t="inlineStr">
        <is>
          <t>NG010014</t>
        </is>
      </c>
      <c r="D623" t="inlineStr">
        <is>
          <t>Delta</t>
        </is>
      </c>
      <c r="E623" t="inlineStr">
        <is>
          <t>NG010</t>
        </is>
      </c>
      <c r="F623" t="inlineStr">
        <is>
          <t>Nigeria</t>
        </is>
      </c>
      <c r="G623" t="inlineStr">
        <is>
          <t>NGA</t>
        </is>
      </c>
    </row>
    <row r="624">
      <c r="A624" t="inlineStr">
        <is>
          <t>Oshimili South</t>
        </is>
      </c>
      <c r="B624" t="inlineStr">
        <is>
          <t xml:space="preserve"> </t>
        </is>
      </c>
      <c r="C624" t="inlineStr">
        <is>
          <t>NG010015</t>
        </is>
      </c>
      <c r="D624" t="inlineStr">
        <is>
          <t>Delta</t>
        </is>
      </c>
      <c r="E624" t="inlineStr">
        <is>
          <t>NG010</t>
        </is>
      </c>
      <c r="F624" t="inlineStr">
        <is>
          <t>Nigeria</t>
        </is>
      </c>
      <c r="G624" t="inlineStr">
        <is>
          <t>NGA</t>
        </is>
      </c>
    </row>
    <row r="625">
      <c r="A625" t="inlineStr">
        <is>
          <t>Oshodi-Isolo</t>
        </is>
      </c>
      <c r="B625" t="inlineStr">
        <is>
          <t xml:space="preserve"> </t>
        </is>
      </c>
      <c r="C625" t="inlineStr">
        <is>
          <t>NG025018</t>
        </is>
      </c>
      <c r="D625" t="inlineStr">
        <is>
          <t>Lagos</t>
        </is>
      </c>
      <c r="E625" t="inlineStr">
        <is>
          <t>NG025</t>
        </is>
      </c>
      <c r="F625" t="inlineStr">
        <is>
          <t>Nigeria</t>
        </is>
      </c>
      <c r="G625" t="inlineStr">
        <is>
          <t>NGA</t>
        </is>
      </c>
    </row>
    <row r="626">
      <c r="A626" t="inlineStr">
        <is>
          <t>Osisioma Ngwa</t>
        </is>
      </c>
      <c r="B626" t="inlineStr">
        <is>
          <t xml:space="preserve"> </t>
        </is>
      </c>
      <c r="C626" t="inlineStr">
        <is>
          <t>NG001011</t>
        </is>
      </c>
      <c r="D626" t="inlineStr">
        <is>
          <t>Abia</t>
        </is>
      </c>
      <c r="E626" t="inlineStr">
        <is>
          <t>NG001</t>
        </is>
      </c>
      <c r="F626" t="inlineStr">
        <is>
          <t>Nigeria</t>
        </is>
      </c>
      <c r="G626" t="inlineStr">
        <is>
          <t>NGA</t>
        </is>
      </c>
    </row>
    <row r="627">
      <c r="A627" t="inlineStr">
        <is>
          <t>Osogbo</t>
        </is>
      </c>
      <c r="B627" t="inlineStr">
        <is>
          <t xml:space="preserve"> </t>
        </is>
      </c>
      <c r="C627" t="inlineStr">
        <is>
          <t>NG030030</t>
        </is>
      </c>
      <c r="D627" t="inlineStr">
        <is>
          <t>Osun</t>
        </is>
      </c>
      <c r="E627" t="inlineStr">
        <is>
          <t>NG030</t>
        </is>
      </c>
      <c r="F627" t="inlineStr">
        <is>
          <t>Nigeria</t>
        </is>
      </c>
      <c r="G627" t="inlineStr">
        <is>
          <t>NGA</t>
        </is>
      </c>
    </row>
    <row r="628">
      <c r="A628" t="inlineStr">
        <is>
          <t>Oturkpo</t>
        </is>
      </c>
      <c r="B628" t="inlineStr">
        <is>
          <t xml:space="preserve"> </t>
        </is>
      </c>
      <c r="C628" t="inlineStr">
        <is>
          <t>NG007019</t>
        </is>
      </c>
      <c r="D628" t="inlineStr">
        <is>
          <t>Benue</t>
        </is>
      </c>
      <c r="E628" t="inlineStr">
        <is>
          <t>NG007</t>
        </is>
      </c>
      <c r="F628" t="inlineStr">
        <is>
          <t>Nigeria</t>
        </is>
      </c>
      <c r="G628" t="inlineStr">
        <is>
          <t>NGA</t>
        </is>
      </c>
    </row>
    <row r="629">
      <c r="A629" t="inlineStr">
        <is>
          <t>Ovia North East</t>
        </is>
      </c>
      <c r="B629" t="inlineStr">
        <is>
          <t xml:space="preserve"> </t>
        </is>
      </c>
      <c r="C629" t="inlineStr">
        <is>
          <t>NG012014</t>
        </is>
      </c>
      <c r="D629" t="inlineStr">
        <is>
          <t>Edo</t>
        </is>
      </c>
      <c r="E629" t="inlineStr">
        <is>
          <t>NG012</t>
        </is>
      </c>
      <c r="F629" t="inlineStr">
        <is>
          <t>Nigeria</t>
        </is>
      </c>
      <c r="G629" t="inlineStr">
        <is>
          <t>NGA</t>
        </is>
      </c>
    </row>
    <row r="630">
      <c r="A630" t="inlineStr">
        <is>
          <t>Ovia South West</t>
        </is>
      </c>
      <c r="B630" t="inlineStr">
        <is>
          <t xml:space="preserve"> </t>
        </is>
      </c>
      <c r="C630" t="inlineStr">
        <is>
          <t>NG012015</t>
        </is>
      </c>
      <c r="D630" t="inlineStr">
        <is>
          <t>Edo</t>
        </is>
      </c>
      <c r="E630" t="inlineStr">
        <is>
          <t>NG012</t>
        </is>
      </c>
      <c r="F630" t="inlineStr">
        <is>
          <t>Nigeria</t>
        </is>
      </c>
      <c r="G630" t="inlineStr">
        <is>
          <t>NGA</t>
        </is>
      </c>
    </row>
    <row r="631">
      <c r="A631" t="inlineStr">
        <is>
          <t>Owan East</t>
        </is>
      </c>
      <c r="B631" t="inlineStr">
        <is>
          <t xml:space="preserve"> </t>
        </is>
      </c>
      <c r="C631" t="inlineStr">
        <is>
          <t>NG012016</t>
        </is>
      </c>
      <c r="D631" t="inlineStr">
        <is>
          <t>Edo</t>
        </is>
      </c>
      <c r="E631" t="inlineStr">
        <is>
          <t>NG012</t>
        </is>
      </c>
      <c r="F631" t="inlineStr">
        <is>
          <t>Nigeria</t>
        </is>
      </c>
      <c r="G631" t="inlineStr">
        <is>
          <t>NGA</t>
        </is>
      </c>
    </row>
    <row r="632">
      <c r="A632" t="inlineStr">
        <is>
          <t>Owan West</t>
        </is>
      </c>
      <c r="B632" t="inlineStr">
        <is>
          <t xml:space="preserve"> </t>
        </is>
      </c>
      <c r="C632" t="inlineStr">
        <is>
          <t>NG012017</t>
        </is>
      </c>
      <c r="D632" t="inlineStr">
        <is>
          <t>Edo</t>
        </is>
      </c>
      <c r="E632" t="inlineStr">
        <is>
          <t>NG012</t>
        </is>
      </c>
      <c r="F632" t="inlineStr">
        <is>
          <t>Nigeria</t>
        </is>
      </c>
      <c r="G632" t="inlineStr">
        <is>
          <t>NGA</t>
        </is>
      </c>
    </row>
    <row r="633">
      <c r="A633" t="inlineStr">
        <is>
          <t>Owerri-Municipal</t>
        </is>
      </c>
      <c r="B633" t="inlineStr">
        <is>
          <t xml:space="preserve"> </t>
        </is>
      </c>
      <c r="C633" t="inlineStr">
        <is>
          <t>NG017026</t>
        </is>
      </c>
      <c r="D633" t="inlineStr">
        <is>
          <t>Imo</t>
        </is>
      </c>
      <c r="E633" t="inlineStr">
        <is>
          <t>NG017</t>
        </is>
      </c>
      <c r="F633" t="inlineStr">
        <is>
          <t>Nigeria</t>
        </is>
      </c>
      <c r="G633" t="inlineStr">
        <is>
          <t>NGA</t>
        </is>
      </c>
    </row>
    <row r="634">
      <c r="A634" t="inlineStr">
        <is>
          <t>Owerri North</t>
        </is>
      </c>
      <c r="B634" t="inlineStr">
        <is>
          <t xml:space="preserve"> </t>
        </is>
      </c>
      <c r="C634" t="inlineStr">
        <is>
          <t>NG017024</t>
        </is>
      </c>
      <c r="D634" t="inlineStr">
        <is>
          <t>Imo</t>
        </is>
      </c>
      <c r="E634" t="inlineStr">
        <is>
          <t>NG017</t>
        </is>
      </c>
      <c r="F634" t="inlineStr">
        <is>
          <t>Nigeria</t>
        </is>
      </c>
      <c r="G634" t="inlineStr">
        <is>
          <t>NGA</t>
        </is>
      </c>
    </row>
    <row r="635">
      <c r="A635" t="inlineStr">
        <is>
          <t>Owerri West</t>
        </is>
      </c>
      <c r="B635" t="inlineStr">
        <is>
          <t xml:space="preserve"> </t>
        </is>
      </c>
      <c r="C635" t="inlineStr">
        <is>
          <t>NG017025</t>
        </is>
      </c>
      <c r="D635" t="inlineStr">
        <is>
          <t>Imo</t>
        </is>
      </c>
      <c r="E635" t="inlineStr">
        <is>
          <t>NG017</t>
        </is>
      </c>
      <c r="F635" t="inlineStr">
        <is>
          <t>Nigeria</t>
        </is>
      </c>
      <c r="G635" t="inlineStr">
        <is>
          <t>NGA</t>
        </is>
      </c>
    </row>
    <row r="636">
      <c r="A636" t="inlineStr">
        <is>
          <t>Owo</t>
        </is>
      </c>
      <c r="B636" t="inlineStr">
        <is>
          <t xml:space="preserve"> </t>
        </is>
      </c>
      <c r="C636" t="inlineStr">
        <is>
          <t>NG029018</t>
        </is>
      </c>
      <c r="D636" t="inlineStr">
        <is>
          <t>Ondo</t>
        </is>
      </c>
      <c r="E636" t="inlineStr">
        <is>
          <t>NG029</t>
        </is>
      </c>
      <c r="F636" t="inlineStr">
        <is>
          <t>Nigeria</t>
        </is>
      </c>
      <c r="G636" t="inlineStr">
        <is>
          <t>NGA</t>
        </is>
      </c>
    </row>
    <row r="637">
      <c r="A637" t="inlineStr">
        <is>
          <t>Oye</t>
        </is>
      </c>
      <c r="B637" t="inlineStr">
        <is>
          <t xml:space="preserve"> </t>
        </is>
      </c>
      <c r="C637" t="inlineStr">
        <is>
          <t>NG013016</t>
        </is>
      </c>
      <c r="D637" t="inlineStr">
        <is>
          <t>Ekiti</t>
        </is>
      </c>
      <c r="E637" t="inlineStr">
        <is>
          <t>NG013</t>
        </is>
      </c>
      <c r="F637" t="inlineStr">
        <is>
          <t>Nigeria</t>
        </is>
      </c>
      <c r="G637" t="inlineStr">
        <is>
          <t>NGA</t>
        </is>
      </c>
    </row>
    <row r="638">
      <c r="A638" t="inlineStr">
        <is>
          <t>Oyi</t>
        </is>
      </c>
      <c r="B638" t="inlineStr">
        <is>
          <t xml:space="preserve"> </t>
        </is>
      </c>
      <c r="C638" t="inlineStr">
        <is>
          <t>NG004021</t>
        </is>
      </c>
      <c r="D638" t="inlineStr">
        <is>
          <t>Anambra</t>
        </is>
      </c>
      <c r="E638" t="inlineStr">
        <is>
          <t>NG004</t>
        </is>
      </c>
      <c r="F638" t="inlineStr">
        <is>
          <t>Nigeria</t>
        </is>
      </c>
      <c r="G638" t="inlineStr">
        <is>
          <t>NGA</t>
        </is>
      </c>
    </row>
    <row r="639">
      <c r="A639" t="inlineStr">
        <is>
          <t>Oyigbo</t>
        </is>
      </c>
      <c r="B639" t="inlineStr">
        <is>
          <t xml:space="preserve"> </t>
        </is>
      </c>
      <c r="C639" t="inlineStr">
        <is>
          <t>NG033021</t>
        </is>
      </c>
      <c r="D639" t="inlineStr">
        <is>
          <t>Rivers</t>
        </is>
      </c>
      <c r="E639" t="inlineStr">
        <is>
          <t>NG033</t>
        </is>
      </c>
      <c r="F639" t="inlineStr">
        <is>
          <t>Nigeria</t>
        </is>
      </c>
      <c r="G639" t="inlineStr">
        <is>
          <t>NGA</t>
        </is>
      </c>
    </row>
    <row r="640">
      <c r="A640" t="inlineStr">
        <is>
          <t>Oyo East</t>
        </is>
      </c>
      <c r="B640" t="inlineStr">
        <is>
          <t xml:space="preserve"> </t>
        </is>
      </c>
      <c r="C640" t="inlineStr">
        <is>
          <t>NG031029</t>
        </is>
      </c>
      <c r="D640" t="inlineStr">
        <is>
          <t>Oyo</t>
        </is>
      </c>
      <c r="E640" t="inlineStr">
        <is>
          <t>NG031</t>
        </is>
      </c>
      <c r="F640" t="inlineStr">
        <is>
          <t>Nigeria</t>
        </is>
      </c>
      <c r="G640" t="inlineStr">
        <is>
          <t>NGA</t>
        </is>
      </c>
    </row>
    <row r="641">
      <c r="A641" t="inlineStr">
        <is>
          <t>Oyo West</t>
        </is>
      </c>
      <c r="B641" t="inlineStr">
        <is>
          <t xml:space="preserve"> </t>
        </is>
      </c>
      <c r="C641" t="inlineStr">
        <is>
          <t>NG031030</t>
        </is>
      </c>
      <c r="D641" t="inlineStr">
        <is>
          <t>Oyo</t>
        </is>
      </c>
      <c r="E641" t="inlineStr">
        <is>
          <t>NG031</t>
        </is>
      </c>
      <c r="F641" t="inlineStr">
        <is>
          <t>Nigeria</t>
        </is>
      </c>
      <c r="G641" t="inlineStr">
        <is>
          <t>NGA</t>
        </is>
      </c>
    </row>
    <row r="642">
      <c r="A642" t="inlineStr">
        <is>
          <t>Oyun</t>
        </is>
      </c>
      <c r="B642" t="inlineStr">
        <is>
          <t xml:space="preserve"> </t>
        </is>
      </c>
      <c r="C642" t="inlineStr">
        <is>
          <t>NG024015</t>
        </is>
      </c>
      <c r="D642" t="inlineStr">
        <is>
          <t>Kwara</t>
        </is>
      </c>
      <c r="E642" t="inlineStr">
        <is>
          <t>NG024</t>
        </is>
      </c>
      <c r="F642" t="inlineStr">
        <is>
          <t>Nigeria</t>
        </is>
      </c>
      <c r="G642" t="inlineStr">
        <is>
          <t>NGA</t>
        </is>
      </c>
    </row>
    <row r="643">
      <c r="A643" t="inlineStr">
        <is>
          <t>Paikoro</t>
        </is>
      </c>
      <c r="B643" t="inlineStr">
        <is>
          <t xml:space="preserve"> </t>
        </is>
      </c>
      <c r="C643" t="inlineStr">
        <is>
          <t>NG027019</t>
        </is>
      </c>
      <c r="D643" t="inlineStr">
        <is>
          <t>Niger</t>
        </is>
      </c>
      <c r="E643" t="inlineStr">
        <is>
          <t>NG027</t>
        </is>
      </c>
      <c r="F643" t="inlineStr">
        <is>
          <t>Nigeria</t>
        </is>
      </c>
      <c r="G643" t="inlineStr">
        <is>
          <t>NGA</t>
        </is>
      </c>
    </row>
    <row r="644">
      <c r="A644" t="inlineStr">
        <is>
          <t>Pankshin</t>
        </is>
      </c>
      <c r="B644" t="inlineStr">
        <is>
          <t xml:space="preserve"> </t>
        </is>
      </c>
      <c r="C644" t="inlineStr">
        <is>
          <t>NG032013</t>
        </is>
      </c>
      <c r="D644" t="inlineStr">
        <is>
          <t>Plateau</t>
        </is>
      </c>
      <c r="E644" t="inlineStr">
        <is>
          <t>NG032</t>
        </is>
      </c>
      <c r="F644" t="inlineStr">
        <is>
          <t>Nigeria</t>
        </is>
      </c>
      <c r="G644" t="inlineStr">
        <is>
          <t>NGA</t>
        </is>
      </c>
    </row>
    <row r="645">
      <c r="A645" t="inlineStr">
        <is>
          <t>Patani</t>
        </is>
      </c>
      <c r="B645" t="inlineStr">
        <is>
          <t xml:space="preserve"> </t>
        </is>
      </c>
      <c r="C645" t="inlineStr">
        <is>
          <t>NG010016</t>
        </is>
      </c>
      <c r="D645" t="inlineStr">
        <is>
          <t>Delta</t>
        </is>
      </c>
      <c r="E645" t="inlineStr">
        <is>
          <t>NG010</t>
        </is>
      </c>
      <c r="F645" t="inlineStr">
        <is>
          <t>Nigeria</t>
        </is>
      </c>
      <c r="G645" t="inlineStr">
        <is>
          <t>NGA</t>
        </is>
      </c>
    </row>
    <row r="646">
      <c r="A646" t="inlineStr">
        <is>
          <t>Pategi</t>
        </is>
      </c>
      <c r="B646" t="inlineStr">
        <is>
          <t xml:space="preserve"> </t>
        </is>
      </c>
      <c r="C646" t="inlineStr">
        <is>
          <t>NG024016</t>
        </is>
      </c>
      <c r="D646" t="inlineStr">
        <is>
          <t>Kwara</t>
        </is>
      </c>
      <c r="E646" t="inlineStr">
        <is>
          <t>NG024</t>
        </is>
      </c>
      <c r="F646" t="inlineStr">
        <is>
          <t>Nigeria</t>
        </is>
      </c>
      <c r="G646" t="inlineStr">
        <is>
          <t>NGA</t>
        </is>
      </c>
    </row>
    <row r="647">
      <c r="A647" t="inlineStr">
        <is>
          <t>Port-Harcourt</t>
        </is>
      </c>
      <c r="B647" t="inlineStr">
        <is>
          <t xml:space="preserve"> </t>
        </is>
      </c>
      <c r="C647" t="inlineStr">
        <is>
          <t>NG033022</t>
        </is>
      </c>
      <c r="D647" t="inlineStr">
        <is>
          <t>Rivers</t>
        </is>
      </c>
      <c r="E647" t="inlineStr">
        <is>
          <t>NG033</t>
        </is>
      </c>
      <c r="F647" t="inlineStr">
        <is>
          <t>Nigeria</t>
        </is>
      </c>
      <c r="G647" t="inlineStr">
        <is>
          <t>NGA</t>
        </is>
      </c>
    </row>
    <row r="648">
      <c r="A648" t="inlineStr">
        <is>
          <t>Potiskum</t>
        </is>
      </c>
      <c r="B648" t="inlineStr">
        <is>
          <t xml:space="preserve"> </t>
        </is>
      </c>
      <c r="C648" t="inlineStr">
        <is>
          <t>NG036014</t>
        </is>
      </c>
      <c r="D648" t="inlineStr">
        <is>
          <t>Yobe</t>
        </is>
      </c>
      <c r="E648" t="inlineStr">
        <is>
          <t>NG036</t>
        </is>
      </c>
      <c r="F648" t="inlineStr">
        <is>
          <t>Nigeria</t>
        </is>
      </c>
      <c r="G648" t="inlineStr">
        <is>
          <t>NGA</t>
        </is>
      </c>
    </row>
    <row r="649">
      <c r="A649" t="inlineStr">
        <is>
          <t>Qua'an Pan</t>
        </is>
      </c>
      <c r="B649" t="inlineStr">
        <is>
          <t xml:space="preserve"> </t>
        </is>
      </c>
      <c r="C649" t="inlineStr">
        <is>
          <t>NG032014</t>
        </is>
      </c>
      <c r="D649" t="inlineStr">
        <is>
          <t>Plateau</t>
        </is>
      </c>
      <c r="E649" t="inlineStr">
        <is>
          <t>NG032</t>
        </is>
      </c>
      <c r="F649" t="inlineStr">
        <is>
          <t>Nigeria</t>
        </is>
      </c>
      <c r="G649" t="inlineStr">
        <is>
          <t>NGA</t>
        </is>
      </c>
    </row>
    <row r="650">
      <c r="A650" t="inlineStr">
        <is>
          <t>Rabah</t>
        </is>
      </c>
      <c r="B650" t="inlineStr">
        <is>
          <t xml:space="preserve"> </t>
        </is>
      </c>
      <c r="C650" t="inlineStr">
        <is>
          <t>NG034012</t>
        </is>
      </c>
      <c r="D650" t="inlineStr">
        <is>
          <t>Sokoto</t>
        </is>
      </c>
      <c r="E650" t="inlineStr">
        <is>
          <t>NG034</t>
        </is>
      </c>
      <c r="F650" t="inlineStr">
        <is>
          <t>Nigeria</t>
        </is>
      </c>
      <c r="G650" t="inlineStr">
        <is>
          <t>NGA</t>
        </is>
      </c>
    </row>
    <row r="651">
      <c r="A651" t="inlineStr">
        <is>
          <t>Rafi</t>
        </is>
      </c>
      <c r="B651" t="inlineStr">
        <is>
          <t xml:space="preserve"> </t>
        </is>
      </c>
      <c r="C651" t="inlineStr">
        <is>
          <t>NG027020</t>
        </is>
      </c>
      <c r="D651" t="inlineStr">
        <is>
          <t>Niger</t>
        </is>
      </c>
      <c r="E651" t="inlineStr">
        <is>
          <t>NG027</t>
        </is>
      </c>
      <c r="F651" t="inlineStr">
        <is>
          <t>Nigeria</t>
        </is>
      </c>
      <c r="G651" t="inlineStr">
        <is>
          <t>NGA</t>
        </is>
      </c>
    </row>
    <row r="652">
      <c r="A652" t="inlineStr">
        <is>
          <t>Rano</t>
        </is>
      </c>
      <c r="B652" t="inlineStr">
        <is>
          <t xml:space="preserve"> </t>
        </is>
      </c>
      <c r="C652" t="inlineStr">
        <is>
          <t>NG020032</t>
        </is>
      </c>
      <c r="D652" t="inlineStr">
        <is>
          <t>Kano</t>
        </is>
      </c>
      <c r="E652" t="inlineStr">
        <is>
          <t>NG020</t>
        </is>
      </c>
      <c r="F652" t="inlineStr">
        <is>
          <t>Nigeria</t>
        </is>
      </c>
      <c r="G652" t="inlineStr">
        <is>
          <t>NGA</t>
        </is>
      </c>
    </row>
    <row r="653">
      <c r="A653" t="inlineStr">
        <is>
          <t>Remo North</t>
        </is>
      </c>
      <c r="B653" t="inlineStr">
        <is>
          <t xml:space="preserve"> </t>
        </is>
      </c>
      <c r="C653" t="inlineStr">
        <is>
          <t>NG028019</t>
        </is>
      </c>
      <c r="D653" t="inlineStr">
        <is>
          <t>Ogun</t>
        </is>
      </c>
      <c r="E653" t="inlineStr">
        <is>
          <t>NG028</t>
        </is>
      </c>
      <c r="F653" t="inlineStr">
        <is>
          <t>Nigeria</t>
        </is>
      </c>
      <c r="G653" t="inlineStr">
        <is>
          <t>NGA</t>
        </is>
      </c>
    </row>
    <row r="654">
      <c r="A654" t="inlineStr">
        <is>
          <t>Rijau</t>
        </is>
      </c>
      <c r="B654" t="inlineStr">
        <is>
          <t xml:space="preserve"> </t>
        </is>
      </c>
      <c r="C654" t="inlineStr">
        <is>
          <t>NG027021</t>
        </is>
      </c>
      <c r="D654" t="inlineStr">
        <is>
          <t>Niger</t>
        </is>
      </c>
      <c r="E654" t="inlineStr">
        <is>
          <t>NG027</t>
        </is>
      </c>
      <c r="F654" t="inlineStr">
        <is>
          <t>Nigeria</t>
        </is>
      </c>
      <c r="G654" t="inlineStr">
        <is>
          <t>NGA</t>
        </is>
      </c>
    </row>
    <row r="655">
      <c r="A655" t="inlineStr">
        <is>
          <t>Rimi</t>
        </is>
      </c>
      <c r="B655" t="inlineStr">
        <is>
          <t xml:space="preserve"> </t>
        </is>
      </c>
      <c r="C655" t="inlineStr">
        <is>
          <t>NG021030</t>
        </is>
      </c>
      <c r="D655" t="inlineStr">
        <is>
          <t>Katsina</t>
        </is>
      </c>
      <c r="E655" t="inlineStr">
        <is>
          <t>NG021</t>
        </is>
      </c>
      <c r="F655" t="inlineStr">
        <is>
          <t>Nigeria</t>
        </is>
      </c>
      <c r="G655" t="inlineStr">
        <is>
          <t>NGA</t>
        </is>
      </c>
    </row>
    <row r="656">
      <c r="A656" t="inlineStr">
        <is>
          <t>Rimin Gado</t>
        </is>
      </c>
      <c r="B656" t="inlineStr">
        <is>
          <t xml:space="preserve"> </t>
        </is>
      </c>
      <c r="C656" t="inlineStr">
        <is>
          <t>NG020033</t>
        </is>
      </c>
      <c r="D656" t="inlineStr">
        <is>
          <t>Kano</t>
        </is>
      </c>
      <c r="E656" t="inlineStr">
        <is>
          <t>NG020</t>
        </is>
      </c>
      <c r="F656" t="inlineStr">
        <is>
          <t>Nigeria</t>
        </is>
      </c>
      <c r="G656" t="inlineStr">
        <is>
          <t>NGA</t>
        </is>
      </c>
    </row>
    <row r="657">
      <c r="A657" t="inlineStr">
        <is>
          <t>Ringim</t>
        </is>
      </c>
      <c r="B657" t="inlineStr">
        <is>
          <t xml:space="preserve"> </t>
        </is>
      </c>
      <c r="C657" t="inlineStr">
        <is>
          <t>NG018023</t>
        </is>
      </c>
      <c r="D657" t="inlineStr">
        <is>
          <t>Jigawa</t>
        </is>
      </c>
      <c r="E657" t="inlineStr">
        <is>
          <t>NG018</t>
        </is>
      </c>
      <c r="F657" t="inlineStr">
        <is>
          <t>Nigeria</t>
        </is>
      </c>
      <c r="G657" t="inlineStr">
        <is>
          <t>NGA</t>
        </is>
      </c>
    </row>
    <row r="658">
      <c r="A658" t="inlineStr">
        <is>
          <t>Riyom</t>
        </is>
      </c>
      <c r="B658" t="inlineStr">
        <is>
          <t xml:space="preserve"> </t>
        </is>
      </c>
      <c r="C658" t="inlineStr">
        <is>
          <t>NG032015</t>
        </is>
      </c>
      <c r="D658" t="inlineStr">
        <is>
          <t>Plateau</t>
        </is>
      </c>
      <c r="E658" t="inlineStr">
        <is>
          <t>NG032</t>
        </is>
      </c>
      <c r="F658" t="inlineStr">
        <is>
          <t>Nigeria</t>
        </is>
      </c>
      <c r="G658" t="inlineStr">
        <is>
          <t>NGA</t>
        </is>
      </c>
    </row>
    <row r="659">
      <c r="A659" t="inlineStr">
        <is>
          <t>Rogo</t>
        </is>
      </c>
      <c r="B659" t="inlineStr">
        <is>
          <t xml:space="preserve"> </t>
        </is>
      </c>
      <c r="C659" t="inlineStr">
        <is>
          <t>NG020034</t>
        </is>
      </c>
      <c r="D659" t="inlineStr">
        <is>
          <t>Kano</t>
        </is>
      </c>
      <c r="E659" t="inlineStr">
        <is>
          <t>NG020</t>
        </is>
      </c>
      <c r="F659" t="inlineStr">
        <is>
          <t>Nigeria</t>
        </is>
      </c>
      <c r="G659" t="inlineStr">
        <is>
          <t>NGA</t>
        </is>
      </c>
    </row>
    <row r="660">
      <c r="A660" t="inlineStr">
        <is>
          <t>Roni</t>
        </is>
      </c>
      <c r="B660" t="inlineStr">
        <is>
          <t xml:space="preserve"> </t>
        </is>
      </c>
      <c r="C660" t="inlineStr">
        <is>
          <t>NG018024</t>
        </is>
      </c>
      <c r="D660" t="inlineStr">
        <is>
          <t>Jigawa</t>
        </is>
      </c>
      <c r="E660" t="inlineStr">
        <is>
          <t>NG018</t>
        </is>
      </c>
      <c r="F660" t="inlineStr">
        <is>
          <t>Nigeria</t>
        </is>
      </c>
      <c r="G660" t="inlineStr">
        <is>
          <t>NGA</t>
        </is>
      </c>
    </row>
    <row r="661">
      <c r="A661" t="inlineStr">
        <is>
          <t>Sabon-Gari</t>
        </is>
      </c>
      <c r="B661" t="inlineStr">
        <is>
          <t xml:space="preserve"> </t>
        </is>
      </c>
      <c r="C661" t="inlineStr">
        <is>
          <t>NG019019</t>
        </is>
      </c>
      <c r="D661" t="inlineStr">
        <is>
          <t>Kaduna</t>
        </is>
      </c>
      <c r="E661" t="inlineStr">
        <is>
          <t>NG019</t>
        </is>
      </c>
      <c r="F661" t="inlineStr">
        <is>
          <t>Nigeria</t>
        </is>
      </c>
      <c r="G661" t="inlineStr">
        <is>
          <t>NGA</t>
        </is>
      </c>
    </row>
    <row r="662">
      <c r="A662" t="inlineStr">
        <is>
          <t>Sabon Birni</t>
        </is>
      </c>
      <c r="B662" t="inlineStr">
        <is>
          <t xml:space="preserve"> </t>
        </is>
      </c>
      <c r="C662" t="inlineStr">
        <is>
          <t>NG034013</t>
        </is>
      </c>
      <c r="D662" t="inlineStr">
        <is>
          <t>Sokoto</t>
        </is>
      </c>
      <c r="E662" t="inlineStr">
        <is>
          <t>NG034</t>
        </is>
      </c>
      <c r="F662" t="inlineStr">
        <is>
          <t>Nigeria</t>
        </is>
      </c>
      <c r="G662" t="inlineStr">
        <is>
          <t>NGA</t>
        </is>
      </c>
    </row>
    <row r="663">
      <c r="A663" t="inlineStr">
        <is>
          <t>Sabuwa</t>
        </is>
      </c>
      <c r="B663" t="inlineStr">
        <is>
          <t xml:space="preserve"> </t>
        </is>
      </c>
      <c r="C663" t="inlineStr">
        <is>
          <t>NG021031</t>
        </is>
      </c>
      <c r="D663" t="inlineStr">
        <is>
          <t>Katsina</t>
        </is>
      </c>
      <c r="E663" t="inlineStr">
        <is>
          <t>NG021</t>
        </is>
      </c>
      <c r="F663" t="inlineStr">
        <is>
          <t>Nigeria</t>
        </is>
      </c>
      <c r="G663" t="inlineStr">
        <is>
          <t>NGA</t>
        </is>
      </c>
    </row>
    <row r="664">
      <c r="A664" t="inlineStr">
        <is>
          <t>Safana</t>
        </is>
      </c>
      <c r="B664" t="inlineStr">
        <is>
          <t xml:space="preserve"> </t>
        </is>
      </c>
      <c r="C664" t="inlineStr">
        <is>
          <t>NG021032</t>
        </is>
      </c>
      <c r="D664" t="inlineStr">
        <is>
          <t>Katsina</t>
        </is>
      </c>
      <c r="E664" t="inlineStr">
        <is>
          <t>NG021</t>
        </is>
      </c>
      <c r="F664" t="inlineStr">
        <is>
          <t>Nigeria</t>
        </is>
      </c>
      <c r="G664" t="inlineStr">
        <is>
          <t>NGA</t>
        </is>
      </c>
    </row>
    <row r="665">
      <c r="A665" t="inlineStr">
        <is>
          <t>Sagbama</t>
        </is>
      </c>
      <c r="B665" t="inlineStr">
        <is>
          <t xml:space="preserve"> </t>
        </is>
      </c>
      <c r="C665" t="inlineStr">
        <is>
          <t>NG006006</t>
        </is>
      </c>
      <c r="D665" t="inlineStr">
        <is>
          <t>Bayelsa</t>
        </is>
      </c>
      <c r="E665" t="inlineStr">
        <is>
          <t>NG006</t>
        </is>
      </c>
      <c r="F665" t="inlineStr">
        <is>
          <t>Nigeria</t>
        </is>
      </c>
      <c r="G665" t="inlineStr">
        <is>
          <t>NGA</t>
        </is>
      </c>
    </row>
    <row r="666">
      <c r="A666" t="inlineStr">
        <is>
          <t>Sakaba</t>
        </is>
      </c>
      <c r="B666" t="inlineStr">
        <is>
          <t xml:space="preserve"> </t>
        </is>
      </c>
      <c r="C666" t="inlineStr">
        <is>
          <t>NG022016</t>
        </is>
      </c>
      <c r="D666" t="inlineStr">
        <is>
          <t>Kebbi</t>
        </is>
      </c>
      <c r="E666" t="inlineStr">
        <is>
          <t>NG022</t>
        </is>
      </c>
      <c r="F666" t="inlineStr">
        <is>
          <t>Nigeria</t>
        </is>
      </c>
      <c r="G666" t="inlineStr">
        <is>
          <t>NGA</t>
        </is>
      </c>
    </row>
    <row r="667">
      <c r="A667" t="inlineStr">
        <is>
          <t>Saki East</t>
        </is>
      </c>
      <c r="B667" t="inlineStr">
        <is>
          <t xml:space="preserve"> </t>
        </is>
      </c>
      <c r="C667" t="inlineStr">
        <is>
          <t>NG031031</t>
        </is>
      </c>
      <c r="D667" t="inlineStr">
        <is>
          <t>Oyo</t>
        </is>
      </c>
      <c r="E667" t="inlineStr">
        <is>
          <t>NG031</t>
        </is>
      </c>
      <c r="F667" t="inlineStr">
        <is>
          <t>Nigeria</t>
        </is>
      </c>
      <c r="G667" t="inlineStr">
        <is>
          <t>NGA</t>
        </is>
      </c>
    </row>
    <row r="668">
      <c r="A668" t="inlineStr">
        <is>
          <t>Saki West</t>
        </is>
      </c>
      <c r="B668" t="inlineStr">
        <is>
          <t xml:space="preserve"> </t>
        </is>
      </c>
      <c r="C668" t="inlineStr">
        <is>
          <t>NG031032</t>
        </is>
      </c>
      <c r="D668" t="inlineStr">
        <is>
          <t>Oyo</t>
        </is>
      </c>
      <c r="E668" t="inlineStr">
        <is>
          <t>NG031</t>
        </is>
      </c>
      <c r="F668" t="inlineStr">
        <is>
          <t>Nigeria</t>
        </is>
      </c>
      <c r="G668" t="inlineStr">
        <is>
          <t>NGA</t>
        </is>
      </c>
    </row>
    <row r="669">
      <c r="A669" t="inlineStr">
        <is>
          <t>Sandamu</t>
        </is>
      </c>
      <c r="B669" t="inlineStr">
        <is>
          <t xml:space="preserve"> </t>
        </is>
      </c>
      <c r="C669" t="inlineStr">
        <is>
          <t>NG021033</t>
        </is>
      </c>
      <c r="D669" t="inlineStr">
        <is>
          <t>Katsina</t>
        </is>
      </c>
      <c r="E669" t="inlineStr">
        <is>
          <t>NG021</t>
        </is>
      </c>
      <c r="F669" t="inlineStr">
        <is>
          <t>Nigeria</t>
        </is>
      </c>
      <c r="G669" t="inlineStr">
        <is>
          <t>NGA</t>
        </is>
      </c>
    </row>
    <row r="670">
      <c r="A670" t="inlineStr">
        <is>
          <t>Sanga</t>
        </is>
      </c>
      <c r="B670" t="inlineStr">
        <is>
          <t xml:space="preserve"> </t>
        </is>
      </c>
      <c r="C670" t="inlineStr">
        <is>
          <t>NG019020</t>
        </is>
      </c>
      <c r="D670" t="inlineStr">
        <is>
          <t>Kaduna</t>
        </is>
      </c>
      <c r="E670" t="inlineStr">
        <is>
          <t>NG019</t>
        </is>
      </c>
      <c r="F670" t="inlineStr">
        <is>
          <t>Nigeria</t>
        </is>
      </c>
      <c r="G670" t="inlineStr">
        <is>
          <t>NGA</t>
        </is>
      </c>
    </row>
    <row r="671">
      <c r="A671" t="inlineStr">
        <is>
          <t>Sapele</t>
        </is>
      </c>
      <c r="B671" t="inlineStr">
        <is>
          <t xml:space="preserve"> </t>
        </is>
      </c>
      <c r="C671" t="inlineStr">
        <is>
          <t>NG010017</t>
        </is>
      </c>
      <c r="D671" t="inlineStr">
        <is>
          <t>Delta</t>
        </is>
      </c>
      <c r="E671" t="inlineStr">
        <is>
          <t>NG010</t>
        </is>
      </c>
      <c r="F671" t="inlineStr">
        <is>
          <t>Nigeria</t>
        </is>
      </c>
      <c r="G671" t="inlineStr">
        <is>
          <t>NGA</t>
        </is>
      </c>
    </row>
    <row r="672">
      <c r="A672" t="inlineStr">
        <is>
          <t>Sardauna</t>
        </is>
      </c>
      <c r="B672" t="inlineStr">
        <is>
          <t xml:space="preserve"> </t>
        </is>
      </c>
      <c r="C672" t="inlineStr">
        <is>
          <t>NG035011</t>
        </is>
      </c>
      <c r="D672" t="inlineStr">
        <is>
          <t>Taraba</t>
        </is>
      </c>
      <c r="E672" t="inlineStr">
        <is>
          <t>NG035</t>
        </is>
      </c>
      <c r="F672" t="inlineStr">
        <is>
          <t>Nigeria</t>
        </is>
      </c>
      <c r="G672" t="inlineStr">
        <is>
          <t>NGA</t>
        </is>
      </c>
    </row>
    <row r="673">
      <c r="A673" t="inlineStr">
        <is>
          <t>Shagamu</t>
        </is>
      </c>
      <c r="B673" t="inlineStr">
        <is>
          <t xml:space="preserve"> </t>
        </is>
      </c>
      <c r="C673" t="inlineStr">
        <is>
          <t>NG028020</t>
        </is>
      </c>
      <c r="D673" t="inlineStr">
        <is>
          <t>Ogun</t>
        </is>
      </c>
      <c r="E673" t="inlineStr">
        <is>
          <t>NG028</t>
        </is>
      </c>
      <c r="F673" t="inlineStr">
        <is>
          <t>Nigeria</t>
        </is>
      </c>
      <c r="G673" t="inlineStr">
        <is>
          <t>NGA</t>
        </is>
      </c>
    </row>
    <row r="674">
      <c r="A674" t="inlineStr">
        <is>
          <t>Shagari</t>
        </is>
      </c>
      <c r="B674" t="inlineStr">
        <is>
          <t xml:space="preserve"> </t>
        </is>
      </c>
      <c r="C674" t="inlineStr">
        <is>
          <t>NG034014</t>
        </is>
      </c>
      <c r="D674" t="inlineStr">
        <is>
          <t>Sokoto</t>
        </is>
      </c>
      <c r="E674" t="inlineStr">
        <is>
          <t>NG034</t>
        </is>
      </c>
      <c r="F674" t="inlineStr">
        <is>
          <t>Nigeria</t>
        </is>
      </c>
      <c r="G674" t="inlineStr">
        <is>
          <t>NGA</t>
        </is>
      </c>
    </row>
    <row r="675">
      <c r="A675" t="inlineStr">
        <is>
          <t>Shanga</t>
        </is>
      </c>
      <c r="B675" t="inlineStr">
        <is>
          <t xml:space="preserve"> </t>
        </is>
      </c>
      <c r="C675" t="inlineStr">
        <is>
          <t>NG022017</t>
        </is>
      </c>
      <c r="D675" t="inlineStr">
        <is>
          <t>Kebbi</t>
        </is>
      </c>
      <c r="E675" t="inlineStr">
        <is>
          <t>NG022</t>
        </is>
      </c>
      <c r="F675" t="inlineStr">
        <is>
          <t>Nigeria</t>
        </is>
      </c>
      <c r="G675" t="inlineStr">
        <is>
          <t>NGA</t>
        </is>
      </c>
    </row>
    <row r="676">
      <c r="A676" t="inlineStr">
        <is>
          <t>Shani</t>
        </is>
      </c>
      <c r="B676" t="inlineStr">
        <is>
          <t xml:space="preserve"> </t>
        </is>
      </c>
      <c r="C676" t="inlineStr">
        <is>
          <t>NG008027</t>
        </is>
      </c>
      <c r="D676" t="inlineStr">
        <is>
          <t>Borno</t>
        </is>
      </c>
      <c r="E676" t="inlineStr">
        <is>
          <t>NG008</t>
        </is>
      </c>
      <c r="F676" t="inlineStr">
        <is>
          <t>Nigeria</t>
        </is>
      </c>
      <c r="G676" t="inlineStr">
        <is>
          <t>NGA</t>
        </is>
      </c>
    </row>
    <row r="677">
      <c r="A677" t="inlineStr">
        <is>
          <t>Shanono</t>
        </is>
      </c>
      <c r="B677" t="inlineStr">
        <is>
          <t xml:space="preserve"> </t>
        </is>
      </c>
      <c r="C677" t="inlineStr">
        <is>
          <t>NG020035</t>
        </is>
      </c>
      <c r="D677" t="inlineStr">
        <is>
          <t>Kano</t>
        </is>
      </c>
      <c r="E677" t="inlineStr">
        <is>
          <t>NG020</t>
        </is>
      </c>
      <c r="F677" t="inlineStr">
        <is>
          <t>Nigeria</t>
        </is>
      </c>
      <c r="G677" t="inlineStr">
        <is>
          <t>NGA</t>
        </is>
      </c>
    </row>
    <row r="678">
      <c r="A678" t="inlineStr">
        <is>
          <t>Shelleng</t>
        </is>
      </c>
      <c r="B678" t="inlineStr">
        <is>
          <t xml:space="preserve"> </t>
        </is>
      </c>
      <c r="C678" t="inlineStr">
        <is>
          <t>NG002017</t>
        </is>
      </c>
      <c r="D678" t="inlineStr">
        <is>
          <t>Adamawa</t>
        </is>
      </c>
      <c r="E678" t="inlineStr">
        <is>
          <t>NG002</t>
        </is>
      </c>
      <c r="F678" t="inlineStr">
        <is>
          <t>Nigeria</t>
        </is>
      </c>
      <c r="G678" t="inlineStr">
        <is>
          <t>NGA</t>
        </is>
      </c>
    </row>
    <row r="679">
      <c r="A679" t="inlineStr">
        <is>
          <t>Shendam</t>
        </is>
      </c>
      <c r="B679" t="inlineStr">
        <is>
          <t xml:space="preserve"> </t>
        </is>
      </c>
      <c r="C679" t="inlineStr">
        <is>
          <t>NG032016</t>
        </is>
      </c>
      <c r="D679" t="inlineStr">
        <is>
          <t>Plateau</t>
        </is>
      </c>
      <c r="E679" t="inlineStr">
        <is>
          <t>NG032</t>
        </is>
      </c>
      <c r="F679" t="inlineStr">
        <is>
          <t>Nigeria</t>
        </is>
      </c>
      <c r="G679" t="inlineStr">
        <is>
          <t>NGA</t>
        </is>
      </c>
    </row>
    <row r="680">
      <c r="A680" t="inlineStr">
        <is>
          <t>Shinkafi</t>
        </is>
      </c>
      <c r="B680" t="inlineStr">
        <is>
          <t xml:space="preserve"> </t>
        </is>
      </c>
      <c r="C680" t="inlineStr">
        <is>
          <t>NG037011</t>
        </is>
      </c>
      <c r="D680" t="inlineStr">
        <is>
          <t>Zamfara</t>
        </is>
      </c>
      <c r="E680" t="inlineStr">
        <is>
          <t>NG037</t>
        </is>
      </c>
      <c r="F680" t="inlineStr">
        <is>
          <t>Nigeria</t>
        </is>
      </c>
      <c r="G680" t="inlineStr">
        <is>
          <t>NGA</t>
        </is>
      </c>
    </row>
    <row r="681">
      <c r="A681" t="inlineStr">
        <is>
          <t>Shira</t>
        </is>
      </c>
      <c r="B681" t="inlineStr">
        <is>
          <t xml:space="preserve"> </t>
        </is>
      </c>
      <c r="C681" t="inlineStr">
        <is>
          <t>NG005016</t>
        </is>
      </c>
      <c r="D681" t="inlineStr">
        <is>
          <t>Bauchi</t>
        </is>
      </c>
      <c r="E681" t="inlineStr">
        <is>
          <t>NG005</t>
        </is>
      </c>
      <c r="F681" t="inlineStr">
        <is>
          <t>Nigeria</t>
        </is>
      </c>
      <c r="G681" t="inlineStr">
        <is>
          <t>NGA</t>
        </is>
      </c>
    </row>
    <row r="682">
      <c r="A682" t="inlineStr">
        <is>
          <t>Shiroro</t>
        </is>
      </c>
      <c r="B682" t="inlineStr">
        <is>
          <t xml:space="preserve"> </t>
        </is>
      </c>
      <c r="C682" t="inlineStr">
        <is>
          <t>NG027022</t>
        </is>
      </c>
      <c r="D682" t="inlineStr">
        <is>
          <t>Niger</t>
        </is>
      </c>
      <c r="E682" t="inlineStr">
        <is>
          <t>NG027</t>
        </is>
      </c>
      <c r="F682" t="inlineStr">
        <is>
          <t>Nigeria</t>
        </is>
      </c>
      <c r="G682" t="inlineStr">
        <is>
          <t>NGA</t>
        </is>
      </c>
    </row>
    <row r="683">
      <c r="A683" t="inlineStr">
        <is>
          <t>Shomgom</t>
        </is>
      </c>
      <c r="B683" t="inlineStr">
        <is>
          <t xml:space="preserve"> </t>
        </is>
      </c>
      <c r="C683" t="inlineStr">
        <is>
          <t>NG016010</t>
        </is>
      </c>
      <c r="D683" t="inlineStr">
        <is>
          <t>Gombe</t>
        </is>
      </c>
      <c r="E683" t="inlineStr">
        <is>
          <t>NG016</t>
        </is>
      </c>
      <c r="F683" t="inlineStr">
        <is>
          <t>Nigeria</t>
        </is>
      </c>
      <c r="G683" t="inlineStr">
        <is>
          <t>NGA</t>
        </is>
      </c>
    </row>
    <row r="684">
      <c r="A684" t="inlineStr">
        <is>
          <t>Shomolu</t>
        </is>
      </c>
      <c r="B684" t="inlineStr">
        <is>
          <t xml:space="preserve"> </t>
        </is>
      </c>
      <c r="C684" t="inlineStr">
        <is>
          <t>NG025019</t>
        </is>
      </c>
      <c r="D684" t="inlineStr">
        <is>
          <t>Lagos</t>
        </is>
      </c>
      <c r="E684" t="inlineStr">
        <is>
          <t>NG025</t>
        </is>
      </c>
      <c r="F684" t="inlineStr">
        <is>
          <t>Nigeria</t>
        </is>
      </c>
      <c r="G684" t="inlineStr">
        <is>
          <t>NGA</t>
        </is>
      </c>
    </row>
    <row r="685">
      <c r="A685" t="inlineStr">
        <is>
          <t>Silame</t>
        </is>
      </c>
      <c r="B685" t="inlineStr">
        <is>
          <t xml:space="preserve"> </t>
        </is>
      </c>
      <c r="C685" t="inlineStr">
        <is>
          <t>NG034015</t>
        </is>
      </c>
      <c r="D685" t="inlineStr">
        <is>
          <t>Sokoto</t>
        </is>
      </c>
      <c r="E685" t="inlineStr">
        <is>
          <t>NG034</t>
        </is>
      </c>
      <c r="F685" t="inlineStr">
        <is>
          <t>Nigeria</t>
        </is>
      </c>
      <c r="G685" t="inlineStr">
        <is>
          <t>NGA</t>
        </is>
      </c>
    </row>
    <row r="686">
      <c r="A686" t="inlineStr">
        <is>
          <t>Soba</t>
        </is>
      </c>
      <c r="B686" t="inlineStr">
        <is>
          <t xml:space="preserve"> </t>
        </is>
      </c>
      <c r="C686" t="inlineStr">
        <is>
          <t>NG019021</t>
        </is>
      </c>
      <c r="D686" t="inlineStr">
        <is>
          <t>Kaduna</t>
        </is>
      </c>
      <c r="E686" t="inlineStr">
        <is>
          <t>NG019</t>
        </is>
      </c>
      <c r="F686" t="inlineStr">
        <is>
          <t>Nigeria</t>
        </is>
      </c>
      <c r="G686" t="inlineStr">
        <is>
          <t>NGA</t>
        </is>
      </c>
    </row>
    <row r="687">
      <c r="A687" t="inlineStr">
        <is>
          <t>Sokoto North</t>
        </is>
      </c>
      <c r="B687" t="inlineStr">
        <is>
          <t xml:space="preserve"> </t>
        </is>
      </c>
      <c r="C687" t="inlineStr">
        <is>
          <t>NG034016</t>
        </is>
      </c>
      <c r="D687" t="inlineStr">
        <is>
          <t>Sokoto</t>
        </is>
      </c>
      <c r="E687" t="inlineStr">
        <is>
          <t>NG034</t>
        </is>
      </c>
      <c r="F687" t="inlineStr">
        <is>
          <t>Nigeria</t>
        </is>
      </c>
      <c r="G687" t="inlineStr">
        <is>
          <t>NGA</t>
        </is>
      </c>
    </row>
    <row r="688">
      <c r="A688" t="inlineStr">
        <is>
          <t>Sokoto South</t>
        </is>
      </c>
      <c r="B688" t="inlineStr">
        <is>
          <t xml:space="preserve"> </t>
        </is>
      </c>
      <c r="C688" t="inlineStr">
        <is>
          <t>NG034017</t>
        </is>
      </c>
      <c r="D688" t="inlineStr">
        <is>
          <t>Sokoto</t>
        </is>
      </c>
      <c r="E688" t="inlineStr">
        <is>
          <t>NG034</t>
        </is>
      </c>
      <c r="F688" t="inlineStr">
        <is>
          <t>Nigeria</t>
        </is>
      </c>
      <c r="G688" t="inlineStr">
        <is>
          <t>NGA</t>
        </is>
      </c>
    </row>
    <row r="689">
      <c r="A689" t="inlineStr">
        <is>
          <t>Song</t>
        </is>
      </c>
      <c r="B689" t="inlineStr">
        <is>
          <t xml:space="preserve"> </t>
        </is>
      </c>
      <c r="C689" t="inlineStr">
        <is>
          <t>NG002018</t>
        </is>
      </c>
      <c r="D689" t="inlineStr">
        <is>
          <t>Adamawa</t>
        </is>
      </c>
      <c r="E689" t="inlineStr">
        <is>
          <t>NG002</t>
        </is>
      </c>
      <c r="F689" t="inlineStr">
        <is>
          <t>Nigeria</t>
        </is>
      </c>
      <c r="G689" t="inlineStr">
        <is>
          <t>NGA</t>
        </is>
      </c>
    </row>
    <row r="690">
      <c r="A690" t="inlineStr">
        <is>
          <t>Southern Ijaw</t>
        </is>
      </c>
      <c r="B690" t="inlineStr">
        <is>
          <t xml:space="preserve"> </t>
        </is>
      </c>
      <c r="C690" t="inlineStr">
        <is>
          <t>NG006007</t>
        </is>
      </c>
      <c r="D690" t="inlineStr">
        <is>
          <t>Bayelsa</t>
        </is>
      </c>
      <c r="E690" t="inlineStr">
        <is>
          <t>NG006</t>
        </is>
      </c>
      <c r="F690" t="inlineStr">
        <is>
          <t>Nigeria</t>
        </is>
      </c>
      <c r="G690" t="inlineStr">
        <is>
          <t>NGA</t>
        </is>
      </c>
    </row>
    <row r="691">
      <c r="A691" t="inlineStr">
        <is>
          <t>Sule-Tankarkar</t>
        </is>
      </c>
      <c r="B691" t="inlineStr">
        <is>
          <t xml:space="preserve"> </t>
        </is>
      </c>
      <c r="C691" t="inlineStr">
        <is>
          <t>NG018025</t>
        </is>
      </c>
      <c r="D691" t="inlineStr">
        <is>
          <t>Jigawa</t>
        </is>
      </c>
      <c r="E691" t="inlineStr">
        <is>
          <t>NG018</t>
        </is>
      </c>
      <c r="F691" t="inlineStr">
        <is>
          <t>Nigeria</t>
        </is>
      </c>
      <c r="G691" t="inlineStr">
        <is>
          <t>NGA</t>
        </is>
      </c>
    </row>
    <row r="692">
      <c r="A692" t="inlineStr">
        <is>
          <t>Suleja</t>
        </is>
      </c>
      <c r="B692" t="inlineStr">
        <is>
          <t xml:space="preserve"> </t>
        </is>
      </c>
      <c r="C692" t="inlineStr">
        <is>
          <t>NG027023</t>
        </is>
      </c>
      <c r="D692" t="inlineStr">
        <is>
          <t>Niger</t>
        </is>
      </c>
      <c r="E692" t="inlineStr">
        <is>
          <t>NG027</t>
        </is>
      </c>
      <c r="F692" t="inlineStr">
        <is>
          <t>Nigeria</t>
        </is>
      </c>
      <c r="G692" t="inlineStr">
        <is>
          <t>NGA</t>
        </is>
      </c>
    </row>
    <row r="693">
      <c r="A693" t="inlineStr">
        <is>
          <t>Sumaila</t>
        </is>
      </c>
      <c r="B693" t="inlineStr">
        <is>
          <t xml:space="preserve"> </t>
        </is>
      </c>
      <c r="C693" t="inlineStr">
        <is>
          <t>NG020036</t>
        </is>
      </c>
      <c r="D693" t="inlineStr">
        <is>
          <t>Kano</t>
        </is>
      </c>
      <c r="E693" t="inlineStr">
        <is>
          <t>NG020</t>
        </is>
      </c>
      <c r="F693" t="inlineStr">
        <is>
          <t>Nigeria</t>
        </is>
      </c>
      <c r="G693" t="inlineStr">
        <is>
          <t>NGA</t>
        </is>
      </c>
    </row>
    <row r="694">
      <c r="A694" t="inlineStr">
        <is>
          <t>Suru</t>
        </is>
      </c>
      <c r="B694" t="inlineStr">
        <is>
          <t xml:space="preserve"> </t>
        </is>
      </c>
      <c r="C694" t="inlineStr">
        <is>
          <t>NG022018</t>
        </is>
      </c>
      <c r="D694" t="inlineStr">
        <is>
          <t>Kebbi</t>
        </is>
      </c>
      <c r="E694" t="inlineStr">
        <is>
          <t>NG022</t>
        </is>
      </c>
      <c r="F694" t="inlineStr">
        <is>
          <t>Nigeria</t>
        </is>
      </c>
      <c r="G694" t="inlineStr">
        <is>
          <t>NGA</t>
        </is>
      </c>
    </row>
    <row r="695">
      <c r="A695" t="inlineStr">
        <is>
          <t>Surulere</t>
        </is>
      </c>
      <c r="B695" t="inlineStr">
        <is>
          <t xml:space="preserve"> </t>
        </is>
      </c>
      <c r="C695" t="inlineStr">
        <is>
          <t>NG025020</t>
        </is>
      </c>
      <c r="D695" t="inlineStr">
        <is>
          <t>Lagos</t>
        </is>
      </c>
      <c r="E695" t="inlineStr">
        <is>
          <t>NG025</t>
        </is>
      </c>
      <c r="F695" t="inlineStr">
        <is>
          <t>Nigeria</t>
        </is>
      </c>
      <c r="G695" t="inlineStr">
        <is>
          <t>NGA</t>
        </is>
      </c>
    </row>
    <row r="696">
      <c r="A696" t="inlineStr">
        <is>
          <t>Surulere</t>
        </is>
      </c>
      <c r="B696" t="inlineStr">
        <is>
          <t xml:space="preserve"> </t>
        </is>
      </c>
      <c r="C696" t="inlineStr">
        <is>
          <t>NG031033</t>
        </is>
      </c>
      <c r="D696" t="inlineStr">
        <is>
          <t>Oyo</t>
        </is>
      </c>
      <c r="E696" t="inlineStr">
        <is>
          <t>NG031</t>
        </is>
      </c>
      <c r="F696" t="inlineStr">
        <is>
          <t>Nigeria</t>
        </is>
      </c>
      <c r="G696" t="inlineStr">
        <is>
          <t>NGA</t>
        </is>
      </c>
    </row>
    <row r="697">
      <c r="A697" t="inlineStr">
        <is>
          <t>Tafa</t>
        </is>
      </c>
      <c r="B697" t="inlineStr">
        <is>
          <t xml:space="preserve"> </t>
        </is>
      </c>
      <c r="C697" t="inlineStr">
        <is>
          <t>NG027024</t>
        </is>
      </c>
      <c r="D697" t="inlineStr">
        <is>
          <t>Niger</t>
        </is>
      </c>
      <c r="E697" t="inlineStr">
        <is>
          <t>NG027</t>
        </is>
      </c>
      <c r="F697" t="inlineStr">
        <is>
          <t>Nigeria</t>
        </is>
      </c>
      <c r="G697" t="inlineStr">
        <is>
          <t>NGA</t>
        </is>
      </c>
    </row>
    <row r="698">
      <c r="A698" t="inlineStr">
        <is>
          <t>Tafawa-Balewa</t>
        </is>
      </c>
      <c r="B698" t="inlineStr">
        <is>
          <t xml:space="preserve"> </t>
        </is>
      </c>
      <c r="C698" t="inlineStr">
        <is>
          <t>NG005017</t>
        </is>
      </c>
      <c r="D698" t="inlineStr">
        <is>
          <t>Bauchi</t>
        </is>
      </c>
      <c r="E698" t="inlineStr">
        <is>
          <t>NG005</t>
        </is>
      </c>
      <c r="F698" t="inlineStr">
        <is>
          <t>Nigeria</t>
        </is>
      </c>
      <c r="G698" t="inlineStr">
        <is>
          <t>NGA</t>
        </is>
      </c>
    </row>
    <row r="699">
      <c r="A699" t="inlineStr">
        <is>
          <t>Tai</t>
        </is>
      </c>
      <c r="B699" t="inlineStr">
        <is>
          <t xml:space="preserve"> </t>
        </is>
      </c>
      <c r="C699" t="inlineStr">
        <is>
          <t>NG033023</t>
        </is>
      </c>
      <c r="D699" t="inlineStr">
        <is>
          <t>Rivers</t>
        </is>
      </c>
      <c r="E699" t="inlineStr">
        <is>
          <t>NG033</t>
        </is>
      </c>
      <c r="F699" t="inlineStr">
        <is>
          <t>Nigeria</t>
        </is>
      </c>
      <c r="G699" t="inlineStr">
        <is>
          <t>NGA</t>
        </is>
      </c>
    </row>
    <row r="700">
      <c r="A700" t="inlineStr">
        <is>
          <t>Takai</t>
        </is>
      </c>
      <c r="B700" t="inlineStr">
        <is>
          <t xml:space="preserve"> </t>
        </is>
      </c>
      <c r="C700" t="inlineStr">
        <is>
          <t>NG020037</t>
        </is>
      </c>
      <c r="D700" t="inlineStr">
        <is>
          <t>Kano</t>
        </is>
      </c>
      <c r="E700" t="inlineStr">
        <is>
          <t>NG020</t>
        </is>
      </c>
      <c r="F700" t="inlineStr">
        <is>
          <t>Nigeria</t>
        </is>
      </c>
      <c r="G700" t="inlineStr">
        <is>
          <t>NGA</t>
        </is>
      </c>
    </row>
    <row r="701">
      <c r="A701" t="inlineStr">
        <is>
          <t>Takum</t>
        </is>
      </c>
      <c r="B701" t="inlineStr">
        <is>
          <t xml:space="preserve"> </t>
        </is>
      </c>
      <c r="C701" t="inlineStr">
        <is>
          <t>NG035012</t>
        </is>
      </c>
      <c r="D701" t="inlineStr">
        <is>
          <t>Taraba</t>
        </is>
      </c>
      <c r="E701" t="inlineStr">
        <is>
          <t>NG035</t>
        </is>
      </c>
      <c r="F701" t="inlineStr">
        <is>
          <t>Nigeria</t>
        </is>
      </c>
      <c r="G701" t="inlineStr">
        <is>
          <t>NGA</t>
        </is>
      </c>
    </row>
    <row r="702">
      <c r="A702" t="inlineStr">
        <is>
          <t>Talata Mafara</t>
        </is>
      </c>
      <c r="B702" t="inlineStr">
        <is>
          <t xml:space="preserve"> </t>
        </is>
      </c>
      <c r="C702" t="inlineStr">
        <is>
          <t>NG037012</t>
        </is>
      </c>
      <c r="D702" t="inlineStr">
        <is>
          <t>Zamfara</t>
        </is>
      </c>
      <c r="E702" t="inlineStr">
        <is>
          <t>NG037</t>
        </is>
      </c>
      <c r="F702" t="inlineStr">
        <is>
          <t>Nigeria</t>
        </is>
      </c>
      <c r="G702" t="inlineStr">
        <is>
          <t>NGA</t>
        </is>
      </c>
    </row>
    <row r="703">
      <c r="A703" t="inlineStr">
        <is>
          <t>Tambuwal</t>
        </is>
      </c>
      <c r="B703" t="inlineStr">
        <is>
          <t xml:space="preserve"> </t>
        </is>
      </c>
      <c r="C703" t="inlineStr">
        <is>
          <t>NG034018</t>
        </is>
      </c>
      <c r="D703" t="inlineStr">
        <is>
          <t>Sokoto</t>
        </is>
      </c>
      <c r="E703" t="inlineStr">
        <is>
          <t>NG034</t>
        </is>
      </c>
      <c r="F703" t="inlineStr">
        <is>
          <t>Nigeria</t>
        </is>
      </c>
      <c r="G703" t="inlineStr">
        <is>
          <t>NGA</t>
        </is>
      </c>
    </row>
    <row r="704">
      <c r="A704" t="inlineStr">
        <is>
          <t>Tangaza</t>
        </is>
      </c>
      <c r="B704" t="inlineStr">
        <is>
          <t xml:space="preserve"> </t>
        </is>
      </c>
      <c r="C704" t="inlineStr">
        <is>
          <t>NG034019</t>
        </is>
      </c>
      <c r="D704" t="inlineStr">
        <is>
          <t>Sokoto</t>
        </is>
      </c>
      <c r="E704" t="inlineStr">
        <is>
          <t>NG034</t>
        </is>
      </c>
      <c r="F704" t="inlineStr">
        <is>
          <t>Nigeria</t>
        </is>
      </c>
      <c r="G704" t="inlineStr">
        <is>
          <t>NGA</t>
        </is>
      </c>
    </row>
    <row r="705">
      <c r="A705" t="inlineStr">
        <is>
          <t>Tarauni</t>
        </is>
      </c>
      <c r="B705" t="inlineStr">
        <is>
          <t xml:space="preserve"> </t>
        </is>
      </c>
      <c r="C705" t="inlineStr">
        <is>
          <t>NG020038</t>
        </is>
      </c>
      <c r="D705" t="inlineStr">
        <is>
          <t>Kano</t>
        </is>
      </c>
      <c r="E705" t="inlineStr">
        <is>
          <t>NG020</t>
        </is>
      </c>
      <c r="F705" t="inlineStr">
        <is>
          <t>Nigeria</t>
        </is>
      </c>
      <c r="G705" t="inlineStr">
        <is>
          <t>NGA</t>
        </is>
      </c>
    </row>
    <row r="706">
      <c r="A706" t="inlineStr">
        <is>
          <t>Tarka</t>
        </is>
      </c>
      <c r="B706" t="inlineStr">
        <is>
          <t xml:space="preserve"> </t>
        </is>
      </c>
      <c r="C706" t="inlineStr">
        <is>
          <t>NG007020</t>
        </is>
      </c>
      <c r="D706" t="inlineStr">
        <is>
          <t>Benue</t>
        </is>
      </c>
      <c r="E706" t="inlineStr">
        <is>
          <t>NG007</t>
        </is>
      </c>
      <c r="F706" t="inlineStr">
        <is>
          <t>Nigeria</t>
        </is>
      </c>
      <c r="G706" t="inlineStr">
        <is>
          <t>NGA</t>
        </is>
      </c>
    </row>
    <row r="707">
      <c r="A707" t="inlineStr">
        <is>
          <t>Tarmua</t>
        </is>
      </c>
      <c r="B707" t="inlineStr">
        <is>
          <t xml:space="preserve"> </t>
        </is>
      </c>
      <c r="C707" t="inlineStr">
        <is>
          <t>NG036015</t>
        </is>
      </c>
      <c r="D707" t="inlineStr">
        <is>
          <t>Yobe</t>
        </is>
      </c>
      <c r="E707" t="inlineStr">
        <is>
          <t>NG036</t>
        </is>
      </c>
      <c r="F707" t="inlineStr">
        <is>
          <t>Nigeria</t>
        </is>
      </c>
      <c r="G707" t="inlineStr">
        <is>
          <t>NGA</t>
        </is>
      </c>
    </row>
    <row r="708">
      <c r="A708" t="inlineStr">
        <is>
          <t>Taura</t>
        </is>
      </c>
      <c r="B708" t="inlineStr">
        <is>
          <t xml:space="preserve"> </t>
        </is>
      </c>
      <c r="C708" t="inlineStr">
        <is>
          <t>NG018026</t>
        </is>
      </c>
      <c r="D708" t="inlineStr">
        <is>
          <t>Jigawa</t>
        </is>
      </c>
      <c r="E708" t="inlineStr">
        <is>
          <t>NG018</t>
        </is>
      </c>
      <c r="F708" t="inlineStr">
        <is>
          <t>Nigeria</t>
        </is>
      </c>
      <c r="G708" t="inlineStr">
        <is>
          <t>NGA</t>
        </is>
      </c>
    </row>
    <row r="709">
      <c r="A709" t="inlineStr">
        <is>
          <t>Tofa</t>
        </is>
      </c>
      <c r="B709" t="inlineStr">
        <is>
          <t xml:space="preserve"> </t>
        </is>
      </c>
      <c r="C709" t="inlineStr">
        <is>
          <t>NG020039</t>
        </is>
      </c>
      <c r="D709" t="inlineStr">
        <is>
          <t>Kano</t>
        </is>
      </c>
      <c r="E709" t="inlineStr">
        <is>
          <t>NG020</t>
        </is>
      </c>
      <c r="F709" t="inlineStr">
        <is>
          <t>Nigeria</t>
        </is>
      </c>
      <c r="G709" t="inlineStr">
        <is>
          <t>NGA</t>
        </is>
      </c>
    </row>
    <row r="710">
      <c r="A710" t="inlineStr">
        <is>
          <t>Toro</t>
        </is>
      </c>
      <c r="B710" t="inlineStr">
        <is>
          <t xml:space="preserve"> </t>
        </is>
      </c>
      <c r="C710" t="inlineStr">
        <is>
          <t>NG005018</t>
        </is>
      </c>
      <c r="D710" t="inlineStr">
        <is>
          <t>Bauchi</t>
        </is>
      </c>
      <c r="E710" t="inlineStr">
        <is>
          <t>NG005</t>
        </is>
      </c>
      <c r="F710" t="inlineStr">
        <is>
          <t>Nigeria</t>
        </is>
      </c>
      <c r="G710" t="inlineStr">
        <is>
          <t>NGA</t>
        </is>
      </c>
    </row>
    <row r="711">
      <c r="A711" t="inlineStr">
        <is>
          <t>Toto</t>
        </is>
      </c>
      <c r="B711" t="inlineStr">
        <is>
          <t xml:space="preserve"> </t>
        </is>
      </c>
      <c r="C711" t="inlineStr">
        <is>
          <t>NG026012</t>
        </is>
      </c>
      <c r="D711" t="inlineStr">
        <is>
          <t>Nasarawa</t>
        </is>
      </c>
      <c r="E711" t="inlineStr">
        <is>
          <t>NG026</t>
        </is>
      </c>
      <c r="F711" t="inlineStr">
        <is>
          <t>Nigeria</t>
        </is>
      </c>
      <c r="G711" t="inlineStr">
        <is>
          <t>NGA</t>
        </is>
      </c>
    </row>
    <row r="712">
      <c r="A712" t="inlineStr">
        <is>
          <t>Toungo</t>
        </is>
      </c>
      <c r="B712" t="inlineStr">
        <is>
          <t xml:space="preserve"> </t>
        </is>
      </c>
      <c r="C712" t="inlineStr">
        <is>
          <t>NG002019</t>
        </is>
      </c>
      <c r="D712" t="inlineStr">
        <is>
          <t>Adamawa</t>
        </is>
      </c>
      <c r="E712" t="inlineStr">
        <is>
          <t>NG002</t>
        </is>
      </c>
      <c r="F712" t="inlineStr">
        <is>
          <t>Nigeria</t>
        </is>
      </c>
      <c r="G712" t="inlineStr">
        <is>
          <t>NGA</t>
        </is>
      </c>
    </row>
    <row r="713">
      <c r="A713" t="inlineStr">
        <is>
          <t>Tsafe</t>
        </is>
      </c>
      <c r="B713" t="inlineStr">
        <is>
          <t xml:space="preserve"> </t>
        </is>
      </c>
      <c r="C713" t="inlineStr">
        <is>
          <t>NG037013</t>
        </is>
      </c>
      <c r="D713" t="inlineStr">
        <is>
          <t>Zamfara</t>
        </is>
      </c>
      <c r="E713" t="inlineStr">
        <is>
          <t>NG037</t>
        </is>
      </c>
      <c r="F713" t="inlineStr">
        <is>
          <t>Nigeria</t>
        </is>
      </c>
      <c r="G713" t="inlineStr">
        <is>
          <t>NGA</t>
        </is>
      </c>
    </row>
    <row r="714">
      <c r="A714" t="inlineStr">
        <is>
          <t>Tsanyawa</t>
        </is>
      </c>
      <c r="B714" t="inlineStr">
        <is>
          <t xml:space="preserve"> </t>
        </is>
      </c>
      <c r="C714" t="inlineStr">
        <is>
          <t>NG020040</t>
        </is>
      </c>
      <c r="D714" t="inlineStr">
        <is>
          <t>Kano</t>
        </is>
      </c>
      <c r="E714" t="inlineStr">
        <is>
          <t>NG020</t>
        </is>
      </c>
      <c r="F714" t="inlineStr">
        <is>
          <t>Nigeria</t>
        </is>
      </c>
      <c r="G714" t="inlineStr">
        <is>
          <t>NGA</t>
        </is>
      </c>
    </row>
    <row r="715">
      <c r="A715" t="inlineStr">
        <is>
          <t>Tureta</t>
        </is>
      </c>
      <c r="B715" t="inlineStr">
        <is>
          <t xml:space="preserve"> </t>
        </is>
      </c>
      <c r="C715" t="inlineStr">
        <is>
          <t>NG034020</t>
        </is>
      </c>
      <c r="D715" t="inlineStr">
        <is>
          <t>Sokoto</t>
        </is>
      </c>
      <c r="E715" t="inlineStr">
        <is>
          <t>NG034</t>
        </is>
      </c>
      <c r="F715" t="inlineStr">
        <is>
          <t>Nigeria</t>
        </is>
      </c>
      <c r="G715" t="inlineStr">
        <is>
          <t>NGA</t>
        </is>
      </c>
    </row>
    <row r="716">
      <c r="A716" t="inlineStr">
        <is>
          <t>Udenu</t>
        </is>
      </c>
      <c r="B716" t="inlineStr">
        <is>
          <t xml:space="preserve"> </t>
        </is>
      </c>
      <c r="C716" t="inlineStr">
        <is>
          <t>NG014015</t>
        </is>
      </c>
      <c r="D716" t="inlineStr">
        <is>
          <t>Enugu</t>
        </is>
      </c>
      <c r="E716" t="inlineStr">
        <is>
          <t>NG014</t>
        </is>
      </c>
      <c r="F716" t="inlineStr">
        <is>
          <t>Nigeria</t>
        </is>
      </c>
      <c r="G716" t="inlineStr">
        <is>
          <t>NGA</t>
        </is>
      </c>
    </row>
    <row r="717">
      <c r="A717" t="inlineStr">
        <is>
          <t>Udi</t>
        </is>
      </c>
      <c r="B717" t="inlineStr">
        <is>
          <t xml:space="preserve"> </t>
        </is>
      </c>
      <c r="C717" t="inlineStr">
        <is>
          <t>NG014016</t>
        </is>
      </c>
      <c r="D717" t="inlineStr">
        <is>
          <t>Enugu</t>
        </is>
      </c>
      <c r="E717" t="inlineStr">
        <is>
          <t>NG014</t>
        </is>
      </c>
      <c r="F717" t="inlineStr">
        <is>
          <t>Nigeria</t>
        </is>
      </c>
      <c r="G717" t="inlineStr">
        <is>
          <t>NGA</t>
        </is>
      </c>
    </row>
    <row r="718">
      <c r="A718" t="inlineStr">
        <is>
          <t>Udu</t>
        </is>
      </c>
      <c r="B718" t="inlineStr">
        <is>
          <t xml:space="preserve"> </t>
        </is>
      </c>
      <c r="C718" t="inlineStr">
        <is>
          <t>NG010018</t>
        </is>
      </c>
      <c r="D718" t="inlineStr">
        <is>
          <t>Delta</t>
        </is>
      </c>
      <c r="E718" t="inlineStr">
        <is>
          <t>NG010</t>
        </is>
      </c>
      <c r="F718" t="inlineStr">
        <is>
          <t>Nigeria</t>
        </is>
      </c>
      <c r="G718" t="inlineStr">
        <is>
          <t>NGA</t>
        </is>
      </c>
    </row>
    <row r="719">
      <c r="A719" t="inlineStr">
        <is>
          <t>Udung Uko</t>
        </is>
      </c>
      <c r="B719" t="inlineStr">
        <is>
          <t xml:space="preserve"> </t>
        </is>
      </c>
      <c r="C719" t="inlineStr">
        <is>
          <t>NG003027</t>
        </is>
      </c>
      <c r="D719" t="inlineStr">
        <is>
          <t>Akwa Ibom</t>
        </is>
      </c>
      <c r="E719" t="inlineStr">
        <is>
          <t>NG003</t>
        </is>
      </c>
      <c r="F719" t="inlineStr">
        <is>
          <t>Nigeria</t>
        </is>
      </c>
      <c r="G719" t="inlineStr">
        <is>
          <t>NGA</t>
        </is>
      </c>
    </row>
    <row r="720">
      <c r="A720" t="inlineStr">
        <is>
          <t>Ughelli North</t>
        </is>
      </c>
      <c r="B720" t="inlineStr">
        <is>
          <t xml:space="preserve"> </t>
        </is>
      </c>
      <c r="C720" t="inlineStr">
        <is>
          <t>NG010019</t>
        </is>
      </c>
      <c r="D720" t="inlineStr">
        <is>
          <t>Delta</t>
        </is>
      </c>
      <c r="E720" t="inlineStr">
        <is>
          <t>NG010</t>
        </is>
      </c>
      <c r="F720" t="inlineStr">
        <is>
          <t>Nigeria</t>
        </is>
      </c>
      <c r="G720" t="inlineStr">
        <is>
          <t>NGA</t>
        </is>
      </c>
    </row>
    <row r="721">
      <c r="A721" t="inlineStr">
        <is>
          <t>Ughelli South</t>
        </is>
      </c>
      <c r="B721" t="inlineStr">
        <is>
          <t xml:space="preserve"> </t>
        </is>
      </c>
      <c r="C721" t="inlineStr">
        <is>
          <t>NG010020</t>
        </is>
      </c>
      <c r="D721" t="inlineStr">
        <is>
          <t>Delta</t>
        </is>
      </c>
      <c r="E721" t="inlineStr">
        <is>
          <t>NG010</t>
        </is>
      </c>
      <c r="F721" t="inlineStr">
        <is>
          <t>Nigeria</t>
        </is>
      </c>
      <c r="G721" t="inlineStr">
        <is>
          <t>NGA</t>
        </is>
      </c>
    </row>
    <row r="722">
      <c r="A722" t="inlineStr">
        <is>
          <t>Ugwunagbo</t>
        </is>
      </c>
      <c r="B722" t="inlineStr">
        <is>
          <t xml:space="preserve"> </t>
        </is>
      </c>
      <c r="C722" t="inlineStr">
        <is>
          <t>NG001012</t>
        </is>
      </c>
      <c r="D722" t="inlineStr">
        <is>
          <t>Abia</t>
        </is>
      </c>
      <c r="E722" t="inlineStr">
        <is>
          <t>NG001</t>
        </is>
      </c>
      <c r="F722" t="inlineStr">
        <is>
          <t>Nigeria</t>
        </is>
      </c>
      <c r="G722" t="inlineStr">
        <is>
          <t>NGA</t>
        </is>
      </c>
    </row>
    <row r="723">
      <c r="A723" t="inlineStr">
        <is>
          <t>Uhunmwonde</t>
        </is>
      </c>
      <c r="B723" t="inlineStr">
        <is>
          <t xml:space="preserve"> </t>
        </is>
      </c>
      <c r="C723" t="inlineStr">
        <is>
          <t>NG012018</t>
        </is>
      </c>
      <c r="D723" t="inlineStr">
        <is>
          <t>Edo</t>
        </is>
      </c>
      <c r="E723" t="inlineStr">
        <is>
          <t>NG012</t>
        </is>
      </c>
      <c r="F723" t="inlineStr">
        <is>
          <t>Nigeria</t>
        </is>
      </c>
      <c r="G723" t="inlineStr">
        <is>
          <t>NGA</t>
        </is>
      </c>
    </row>
    <row r="724">
      <c r="A724" t="inlineStr">
        <is>
          <t>Ukanafun</t>
        </is>
      </c>
      <c r="B724" t="inlineStr">
        <is>
          <t xml:space="preserve"> </t>
        </is>
      </c>
      <c r="C724" t="inlineStr">
        <is>
          <t>NG003028</t>
        </is>
      </c>
      <c r="D724" t="inlineStr">
        <is>
          <t>Akwa Ibom</t>
        </is>
      </c>
      <c r="E724" t="inlineStr">
        <is>
          <t>NG003</t>
        </is>
      </c>
      <c r="F724" t="inlineStr">
        <is>
          <t>Nigeria</t>
        </is>
      </c>
      <c r="G724" t="inlineStr">
        <is>
          <t>NGA</t>
        </is>
      </c>
    </row>
    <row r="725">
      <c r="A725" t="inlineStr">
        <is>
          <t>Ukum</t>
        </is>
      </c>
      <c r="B725" t="inlineStr">
        <is>
          <t xml:space="preserve"> </t>
        </is>
      </c>
      <c r="C725" t="inlineStr">
        <is>
          <t>NG007021</t>
        </is>
      </c>
      <c r="D725" t="inlineStr">
        <is>
          <t>Benue</t>
        </is>
      </c>
      <c r="E725" t="inlineStr">
        <is>
          <t>NG007</t>
        </is>
      </c>
      <c r="F725" t="inlineStr">
        <is>
          <t>Nigeria</t>
        </is>
      </c>
      <c r="G725" t="inlineStr">
        <is>
          <t>NGA</t>
        </is>
      </c>
    </row>
    <row r="726">
      <c r="A726" t="inlineStr">
        <is>
          <t>Ukwa East</t>
        </is>
      </c>
      <c r="B726" t="inlineStr">
        <is>
          <t xml:space="preserve"> </t>
        </is>
      </c>
      <c r="C726" t="inlineStr">
        <is>
          <t>NG001013</t>
        </is>
      </c>
      <c r="D726" t="inlineStr">
        <is>
          <t>Abia</t>
        </is>
      </c>
      <c r="E726" t="inlineStr">
        <is>
          <t>NG001</t>
        </is>
      </c>
      <c r="F726" t="inlineStr">
        <is>
          <t>Nigeria</t>
        </is>
      </c>
      <c r="G726" t="inlineStr">
        <is>
          <t>NGA</t>
        </is>
      </c>
    </row>
    <row r="727">
      <c r="A727" t="inlineStr">
        <is>
          <t>Ukwa West</t>
        </is>
      </c>
      <c r="B727" t="inlineStr">
        <is>
          <t xml:space="preserve"> </t>
        </is>
      </c>
      <c r="C727" t="inlineStr">
        <is>
          <t>NG001014</t>
        </is>
      </c>
      <c r="D727" t="inlineStr">
        <is>
          <t>Abia</t>
        </is>
      </c>
      <c r="E727" t="inlineStr">
        <is>
          <t>NG001</t>
        </is>
      </c>
      <c r="F727" t="inlineStr">
        <is>
          <t>Nigeria</t>
        </is>
      </c>
      <c r="G727" t="inlineStr">
        <is>
          <t>NGA</t>
        </is>
      </c>
    </row>
    <row r="728">
      <c r="A728" t="inlineStr">
        <is>
          <t>Ukwuani</t>
        </is>
      </c>
      <c r="B728" t="inlineStr">
        <is>
          <t xml:space="preserve"> </t>
        </is>
      </c>
      <c r="C728" t="inlineStr">
        <is>
          <t>NG010021</t>
        </is>
      </c>
      <c r="D728" t="inlineStr">
        <is>
          <t>Delta</t>
        </is>
      </c>
      <c r="E728" t="inlineStr">
        <is>
          <t>NG010</t>
        </is>
      </c>
      <c r="F728" t="inlineStr">
        <is>
          <t>Nigeria</t>
        </is>
      </c>
      <c r="G728" t="inlineStr">
        <is>
          <t>NGA</t>
        </is>
      </c>
    </row>
    <row r="729">
      <c r="A729" t="inlineStr">
        <is>
          <t>Umu-Nneochi</t>
        </is>
      </c>
      <c r="B729" t="inlineStr">
        <is>
          <t xml:space="preserve"> </t>
        </is>
      </c>
      <c r="C729" t="inlineStr">
        <is>
          <t>NG001017</t>
        </is>
      </c>
      <c r="D729" t="inlineStr">
        <is>
          <t>Abia</t>
        </is>
      </c>
      <c r="E729" t="inlineStr">
        <is>
          <t>NG001</t>
        </is>
      </c>
      <c r="F729" t="inlineStr">
        <is>
          <t>Nigeria</t>
        </is>
      </c>
      <c r="G729" t="inlineStr">
        <is>
          <t>NGA</t>
        </is>
      </c>
    </row>
    <row r="730">
      <c r="A730" t="inlineStr">
        <is>
          <t>Umuahia North</t>
        </is>
      </c>
      <c r="B730" t="inlineStr">
        <is>
          <t xml:space="preserve"> </t>
        </is>
      </c>
      <c r="C730" t="inlineStr">
        <is>
          <t>NG001015</t>
        </is>
      </c>
      <c r="D730" t="inlineStr">
        <is>
          <t>Abia</t>
        </is>
      </c>
      <c r="E730" t="inlineStr">
        <is>
          <t>NG001</t>
        </is>
      </c>
      <c r="F730" t="inlineStr">
        <is>
          <t>Nigeria</t>
        </is>
      </c>
      <c r="G730" t="inlineStr">
        <is>
          <t>NGA</t>
        </is>
      </c>
    </row>
    <row r="731">
      <c r="A731" t="inlineStr">
        <is>
          <t>Umuahia South</t>
        </is>
      </c>
      <c r="B731" t="inlineStr">
        <is>
          <t xml:space="preserve"> </t>
        </is>
      </c>
      <c r="C731" t="inlineStr">
        <is>
          <t>NG001016</t>
        </is>
      </c>
      <c r="D731" t="inlineStr">
        <is>
          <t>Abia</t>
        </is>
      </c>
      <c r="E731" t="inlineStr">
        <is>
          <t>NG001</t>
        </is>
      </c>
      <c r="F731" t="inlineStr">
        <is>
          <t>Nigeria</t>
        </is>
      </c>
      <c r="G731" t="inlineStr">
        <is>
          <t>NGA</t>
        </is>
      </c>
    </row>
    <row r="732">
      <c r="A732" t="inlineStr">
        <is>
          <t>Ungogo</t>
        </is>
      </c>
      <c r="B732" t="inlineStr">
        <is>
          <t xml:space="preserve"> </t>
        </is>
      </c>
      <c r="C732" t="inlineStr">
        <is>
          <t>NG020042</t>
        </is>
      </c>
      <c r="D732" t="inlineStr">
        <is>
          <t>Kano</t>
        </is>
      </c>
      <c r="E732" t="inlineStr">
        <is>
          <t>NG020</t>
        </is>
      </c>
      <c r="F732" t="inlineStr">
        <is>
          <t>Nigeria</t>
        </is>
      </c>
      <c r="G732" t="inlineStr">
        <is>
          <t>NGA</t>
        </is>
      </c>
    </row>
    <row r="733">
      <c r="A733" t="inlineStr">
        <is>
          <t>Unuimo</t>
        </is>
      </c>
      <c r="B733" t="inlineStr">
        <is>
          <t xml:space="preserve"> </t>
        </is>
      </c>
      <c r="C733" t="inlineStr">
        <is>
          <t>NG017027</t>
        </is>
      </c>
      <c r="D733" t="inlineStr">
        <is>
          <t>Imo</t>
        </is>
      </c>
      <c r="E733" t="inlineStr">
        <is>
          <t>NG017</t>
        </is>
      </c>
      <c r="F733" t="inlineStr">
        <is>
          <t>Nigeria</t>
        </is>
      </c>
      <c r="G733" t="inlineStr">
        <is>
          <t>NGA</t>
        </is>
      </c>
    </row>
    <row r="734">
      <c r="A734" t="inlineStr">
        <is>
          <t>Uruan</t>
        </is>
      </c>
      <c r="B734" t="inlineStr">
        <is>
          <t xml:space="preserve"> </t>
        </is>
      </c>
      <c r="C734" t="inlineStr">
        <is>
          <t>NG003029</t>
        </is>
      </c>
      <c r="D734" t="inlineStr">
        <is>
          <t>Akwa Ibom</t>
        </is>
      </c>
      <c r="E734" t="inlineStr">
        <is>
          <t>NG003</t>
        </is>
      </c>
      <c r="F734" t="inlineStr">
        <is>
          <t>Nigeria</t>
        </is>
      </c>
      <c r="G734" t="inlineStr">
        <is>
          <t>NGA</t>
        </is>
      </c>
    </row>
    <row r="735">
      <c r="A735" t="inlineStr">
        <is>
          <t>Urue-Offong/Oruko</t>
        </is>
      </c>
      <c r="B735" t="inlineStr">
        <is>
          <t xml:space="preserve"> </t>
        </is>
      </c>
      <c r="C735" t="inlineStr">
        <is>
          <t>NG003030</t>
        </is>
      </c>
      <c r="D735" t="inlineStr">
        <is>
          <t>Akwa Ibom</t>
        </is>
      </c>
      <c r="E735" t="inlineStr">
        <is>
          <t>NG003</t>
        </is>
      </c>
      <c r="F735" t="inlineStr">
        <is>
          <t>Nigeria</t>
        </is>
      </c>
      <c r="G735" t="inlineStr">
        <is>
          <t>NGA</t>
        </is>
      </c>
    </row>
    <row r="736">
      <c r="A736" t="inlineStr">
        <is>
          <t>Ushongo</t>
        </is>
      </c>
      <c r="B736" t="inlineStr">
        <is>
          <t xml:space="preserve"> </t>
        </is>
      </c>
      <c r="C736" t="inlineStr">
        <is>
          <t>NG007022</t>
        </is>
      </c>
      <c r="D736" t="inlineStr">
        <is>
          <t>Benue</t>
        </is>
      </c>
      <c r="E736" t="inlineStr">
        <is>
          <t>NG007</t>
        </is>
      </c>
      <c r="F736" t="inlineStr">
        <is>
          <t>Nigeria</t>
        </is>
      </c>
      <c r="G736" t="inlineStr">
        <is>
          <t>NGA</t>
        </is>
      </c>
    </row>
    <row r="737">
      <c r="A737" t="inlineStr">
        <is>
          <t>Ussa</t>
        </is>
      </c>
      <c r="B737" t="inlineStr">
        <is>
          <t xml:space="preserve"> </t>
        </is>
      </c>
      <c r="C737" t="inlineStr">
        <is>
          <t>NG035013</t>
        </is>
      </c>
      <c r="D737" t="inlineStr">
        <is>
          <t>Taraba</t>
        </is>
      </c>
      <c r="E737" t="inlineStr">
        <is>
          <t>NG035</t>
        </is>
      </c>
      <c r="F737" t="inlineStr">
        <is>
          <t>Nigeria</t>
        </is>
      </c>
      <c r="G737" t="inlineStr">
        <is>
          <t>NGA</t>
        </is>
      </c>
    </row>
    <row r="738">
      <c r="A738" t="inlineStr">
        <is>
          <t>Uvwie</t>
        </is>
      </c>
      <c r="B738" t="inlineStr">
        <is>
          <t xml:space="preserve"> </t>
        </is>
      </c>
      <c r="C738" t="inlineStr">
        <is>
          <t>NG010022</t>
        </is>
      </c>
      <c r="D738" t="inlineStr">
        <is>
          <t>Delta</t>
        </is>
      </c>
      <c r="E738" t="inlineStr">
        <is>
          <t>NG010</t>
        </is>
      </c>
      <c r="F738" t="inlineStr">
        <is>
          <t>Nigeria</t>
        </is>
      </c>
      <c r="G738" t="inlineStr">
        <is>
          <t>NGA</t>
        </is>
      </c>
    </row>
    <row r="739">
      <c r="A739" t="inlineStr">
        <is>
          <t>Uyo</t>
        </is>
      </c>
      <c r="B739" t="inlineStr">
        <is>
          <t xml:space="preserve"> </t>
        </is>
      </c>
      <c r="C739" t="inlineStr">
        <is>
          <t>NG003031</t>
        </is>
      </c>
      <c r="D739" t="inlineStr">
        <is>
          <t>Akwa Ibom</t>
        </is>
      </c>
      <c r="E739" t="inlineStr">
        <is>
          <t>NG003</t>
        </is>
      </c>
      <c r="F739" t="inlineStr">
        <is>
          <t>Nigeria</t>
        </is>
      </c>
      <c r="G739" t="inlineStr">
        <is>
          <t>NGA</t>
        </is>
      </c>
    </row>
    <row r="740">
      <c r="A740" t="inlineStr">
        <is>
          <t>Uzo-Uwani</t>
        </is>
      </c>
      <c r="B740" t="inlineStr">
        <is>
          <t xml:space="preserve"> </t>
        </is>
      </c>
      <c r="C740" t="inlineStr">
        <is>
          <t>NG014017</t>
        </is>
      </c>
      <c r="D740" t="inlineStr">
        <is>
          <t>Enugu</t>
        </is>
      </c>
      <c r="E740" t="inlineStr">
        <is>
          <t>NG014</t>
        </is>
      </c>
      <c r="F740" t="inlineStr">
        <is>
          <t>Nigeria</t>
        </is>
      </c>
      <c r="G740" t="inlineStr">
        <is>
          <t>NGA</t>
        </is>
      </c>
    </row>
    <row r="741">
      <c r="A741" t="inlineStr">
        <is>
          <t>Vandeikya</t>
        </is>
      </c>
      <c r="B741" t="inlineStr">
        <is>
          <t xml:space="preserve"> </t>
        </is>
      </c>
      <c r="C741" t="inlineStr">
        <is>
          <t>NG007023</t>
        </is>
      </c>
      <c r="D741" t="inlineStr">
        <is>
          <t>Benue</t>
        </is>
      </c>
      <c r="E741" t="inlineStr">
        <is>
          <t>NG007</t>
        </is>
      </c>
      <c r="F741" t="inlineStr">
        <is>
          <t>Nigeria</t>
        </is>
      </c>
      <c r="G741" t="inlineStr">
        <is>
          <t>NGA</t>
        </is>
      </c>
    </row>
    <row r="742">
      <c r="A742" t="inlineStr">
        <is>
          <t>Wamako</t>
        </is>
      </c>
      <c r="B742" t="inlineStr">
        <is>
          <t xml:space="preserve"> </t>
        </is>
      </c>
      <c r="C742" t="inlineStr">
        <is>
          <t>NG034021</t>
        </is>
      </c>
      <c r="D742" t="inlineStr">
        <is>
          <t>Sokoto</t>
        </is>
      </c>
      <c r="E742" t="inlineStr">
        <is>
          <t>NG034</t>
        </is>
      </c>
      <c r="F742" t="inlineStr">
        <is>
          <t>Nigeria</t>
        </is>
      </c>
      <c r="G742" t="inlineStr">
        <is>
          <t>NGA</t>
        </is>
      </c>
    </row>
    <row r="743">
      <c r="A743" t="inlineStr">
        <is>
          <t>Wamba</t>
        </is>
      </c>
      <c r="B743" t="inlineStr">
        <is>
          <t xml:space="preserve"> </t>
        </is>
      </c>
      <c r="C743" t="inlineStr">
        <is>
          <t>NG026013</t>
        </is>
      </c>
      <c r="D743" t="inlineStr">
        <is>
          <t>Nasarawa</t>
        </is>
      </c>
      <c r="E743" t="inlineStr">
        <is>
          <t>NG026</t>
        </is>
      </c>
      <c r="F743" t="inlineStr">
        <is>
          <t>Nigeria</t>
        </is>
      </c>
      <c r="G743" t="inlineStr">
        <is>
          <t>NGA</t>
        </is>
      </c>
    </row>
    <row r="744">
      <c r="A744" t="inlineStr">
        <is>
          <t>Warawa</t>
        </is>
      </c>
      <c r="B744" t="inlineStr">
        <is>
          <t xml:space="preserve"> </t>
        </is>
      </c>
      <c r="C744" t="inlineStr">
        <is>
          <t>NG020043</t>
        </is>
      </c>
      <c r="D744" t="inlineStr">
        <is>
          <t>Kano</t>
        </is>
      </c>
      <c r="E744" t="inlineStr">
        <is>
          <t>NG020</t>
        </is>
      </c>
      <c r="F744" t="inlineStr">
        <is>
          <t>Nigeria</t>
        </is>
      </c>
      <c r="G744" t="inlineStr">
        <is>
          <t>NGA</t>
        </is>
      </c>
    </row>
    <row r="745">
      <c r="A745" t="inlineStr">
        <is>
          <t>Warji</t>
        </is>
      </c>
      <c r="B745" t="inlineStr">
        <is>
          <t xml:space="preserve"> </t>
        </is>
      </c>
      <c r="C745" t="inlineStr">
        <is>
          <t>NG005019</t>
        </is>
      </c>
      <c r="D745" t="inlineStr">
        <is>
          <t>Bauchi</t>
        </is>
      </c>
      <c r="E745" t="inlineStr">
        <is>
          <t>NG005</t>
        </is>
      </c>
      <c r="F745" t="inlineStr">
        <is>
          <t>Nigeria</t>
        </is>
      </c>
      <c r="G745" t="inlineStr">
        <is>
          <t>NGA</t>
        </is>
      </c>
    </row>
    <row r="746">
      <c r="A746" t="inlineStr">
        <is>
          <t>Warri North</t>
        </is>
      </c>
      <c r="B746" t="inlineStr">
        <is>
          <t xml:space="preserve"> </t>
        </is>
      </c>
      <c r="C746" t="inlineStr">
        <is>
          <t>NG010023</t>
        </is>
      </c>
      <c r="D746" t="inlineStr">
        <is>
          <t>Delta</t>
        </is>
      </c>
      <c r="E746" t="inlineStr">
        <is>
          <t>NG010</t>
        </is>
      </c>
      <c r="F746" t="inlineStr">
        <is>
          <t>Nigeria</t>
        </is>
      </c>
      <c r="G746" t="inlineStr">
        <is>
          <t>NGA</t>
        </is>
      </c>
    </row>
    <row r="747">
      <c r="A747" t="inlineStr">
        <is>
          <t>Warri South</t>
        </is>
      </c>
      <c r="B747" t="inlineStr">
        <is>
          <t xml:space="preserve"> </t>
        </is>
      </c>
      <c r="C747" t="inlineStr">
        <is>
          <t>NG010024</t>
        </is>
      </c>
      <c r="D747" t="inlineStr">
        <is>
          <t>Delta</t>
        </is>
      </c>
      <c r="E747" t="inlineStr">
        <is>
          <t>NG010</t>
        </is>
      </c>
      <c r="F747" t="inlineStr">
        <is>
          <t>Nigeria</t>
        </is>
      </c>
      <c r="G747" t="inlineStr">
        <is>
          <t>NGA</t>
        </is>
      </c>
    </row>
    <row r="748">
      <c r="A748" t="inlineStr">
        <is>
          <t>Warri South West</t>
        </is>
      </c>
      <c r="B748" t="inlineStr">
        <is>
          <t xml:space="preserve"> </t>
        </is>
      </c>
      <c r="C748" t="inlineStr">
        <is>
          <t>NG010025</t>
        </is>
      </c>
      <c r="D748" t="inlineStr">
        <is>
          <t>Delta</t>
        </is>
      </c>
      <c r="E748" t="inlineStr">
        <is>
          <t>NG010</t>
        </is>
      </c>
      <c r="F748" t="inlineStr">
        <is>
          <t>Nigeria</t>
        </is>
      </c>
      <c r="G748" t="inlineStr">
        <is>
          <t>NGA</t>
        </is>
      </c>
    </row>
    <row r="749">
      <c r="A749" t="inlineStr">
        <is>
          <t>Wasagu/Danko</t>
        </is>
      </c>
      <c r="B749" t="inlineStr">
        <is>
          <t xml:space="preserve"> </t>
        </is>
      </c>
      <c r="C749" t="inlineStr">
        <is>
          <t>NG022019</t>
        </is>
      </c>
      <c r="D749" t="inlineStr">
        <is>
          <t>Kebbi</t>
        </is>
      </c>
      <c r="E749" t="inlineStr">
        <is>
          <t>NG022</t>
        </is>
      </c>
      <c r="F749" t="inlineStr">
        <is>
          <t>Nigeria</t>
        </is>
      </c>
      <c r="G749" t="inlineStr">
        <is>
          <t>NGA</t>
        </is>
      </c>
    </row>
    <row r="750">
      <c r="A750" t="inlineStr">
        <is>
          <t>Wase</t>
        </is>
      </c>
      <c r="B750" t="inlineStr">
        <is>
          <t xml:space="preserve"> </t>
        </is>
      </c>
      <c r="C750" t="inlineStr">
        <is>
          <t>NG032017</t>
        </is>
      </c>
      <c r="D750" t="inlineStr">
        <is>
          <t>Plateau</t>
        </is>
      </c>
      <c r="E750" t="inlineStr">
        <is>
          <t>NG032</t>
        </is>
      </c>
      <c r="F750" t="inlineStr">
        <is>
          <t>Nigeria</t>
        </is>
      </c>
      <c r="G750" t="inlineStr">
        <is>
          <t>NGA</t>
        </is>
      </c>
    </row>
    <row r="751">
      <c r="A751" t="inlineStr">
        <is>
          <t>Wudil</t>
        </is>
      </c>
      <c r="B751" t="inlineStr">
        <is>
          <t xml:space="preserve"> </t>
        </is>
      </c>
      <c r="C751" t="inlineStr">
        <is>
          <t>NG020044</t>
        </is>
      </c>
      <c r="D751" t="inlineStr">
        <is>
          <t>Kano</t>
        </is>
      </c>
      <c r="E751" t="inlineStr">
        <is>
          <t>NG020</t>
        </is>
      </c>
      <c r="F751" t="inlineStr">
        <is>
          <t>Nigeria</t>
        </is>
      </c>
      <c r="G751" t="inlineStr">
        <is>
          <t>NGA</t>
        </is>
      </c>
    </row>
    <row r="752">
      <c r="A752" t="inlineStr">
        <is>
          <t>Wukari</t>
        </is>
      </c>
      <c r="B752" t="inlineStr">
        <is>
          <t xml:space="preserve"> </t>
        </is>
      </c>
      <c r="C752" t="inlineStr">
        <is>
          <t>NG035014</t>
        </is>
      </c>
      <c r="D752" t="inlineStr">
        <is>
          <t>Taraba</t>
        </is>
      </c>
      <c r="E752" t="inlineStr">
        <is>
          <t>NG035</t>
        </is>
      </c>
      <c r="F752" t="inlineStr">
        <is>
          <t>Nigeria</t>
        </is>
      </c>
      <c r="G752" t="inlineStr">
        <is>
          <t>NGA</t>
        </is>
      </c>
    </row>
    <row r="753">
      <c r="A753" t="inlineStr">
        <is>
          <t>Wurno</t>
        </is>
      </c>
      <c r="B753" t="inlineStr">
        <is>
          <t xml:space="preserve"> </t>
        </is>
      </c>
      <c r="C753" t="inlineStr">
        <is>
          <t>NG034022</t>
        </is>
      </c>
      <c r="D753" t="inlineStr">
        <is>
          <t>Sokoto</t>
        </is>
      </c>
      <c r="E753" t="inlineStr">
        <is>
          <t>NG034</t>
        </is>
      </c>
      <c r="F753" t="inlineStr">
        <is>
          <t>Nigeria</t>
        </is>
      </c>
      <c r="G753" t="inlineStr">
        <is>
          <t>NGA</t>
        </is>
      </c>
    </row>
    <row r="754">
      <c r="A754" t="inlineStr">
        <is>
          <t>Wushishi</t>
        </is>
      </c>
      <c r="B754" t="inlineStr">
        <is>
          <t xml:space="preserve"> </t>
        </is>
      </c>
      <c r="C754" t="inlineStr">
        <is>
          <t>NG027025</t>
        </is>
      </c>
      <c r="D754" t="inlineStr">
        <is>
          <t>Niger</t>
        </is>
      </c>
      <c r="E754" t="inlineStr">
        <is>
          <t>NG027</t>
        </is>
      </c>
      <c r="F754" t="inlineStr">
        <is>
          <t>Nigeria</t>
        </is>
      </c>
      <c r="G754" t="inlineStr">
        <is>
          <t>NGA</t>
        </is>
      </c>
    </row>
    <row r="755">
      <c r="A755" t="inlineStr">
        <is>
          <t>Yabo</t>
        </is>
      </c>
      <c r="B755" t="inlineStr">
        <is>
          <t xml:space="preserve"> </t>
        </is>
      </c>
      <c r="C755" t="inlineStr">
        <is>
          <t>NG034023</t>
        </is>
      </c>
      <c r="D755" t="inlineStr">
        <is>
          <t>Sokoto</t>
        </is>
      </c>
      <c r="E755" t="inlineStr">
        <is>
          <t>NG034</t>
        </is>
      </c>
      <c r="F755" t="inlineStr">
        <is>
          <t>Nigeria</t>
        </is>
      </c>
      <c r="G755" t="inlineStr">
        <is>
          <t>NGA</t>
        </is>
      </c>
    </row>
    <row r="756">
      <c r="A756" t="inlineStr">
        <is>
          <t>Yagba East</t>
        </is>
      </c>
      <c r="B756" t="inlineStr">
        <is>
          <t xml:space="preserve"> </t>
        </is>
      </c>
      <c r="C756" t="inlineStr">
        <is>
          <t>NG023020</t>
        </is>
      </c>
      <c r="D756" t="inlineStr">
        <is>
          <t>Kogi</t>
        </is>
      </c>
      <c r="E756" t="inlineStr">
        <is>
          <t>NG023</t>
        </is>
      </c>
      <c r="F756" t="inlineStr">
        <is>
          <t>Nigeria</t>
        </is>
      </c>
      <c r="G756" t="inlineStr">
        <is>
          <t>NGA</t>
        </is>
      </c>
    </row>
    <row r="757">
      <c r="A757" t="inlineStr">
        <is>
          <t>Yagba West</t>
        </is>
      </c>
      <c r="B757" t="inlineStr">
        <is>
          <t xml:space="preserve"> </t>
        </is>
      </c>
      <c r="C757" t="inlineStr">
        <is>
          <t>NG023021</t>
        </is>
      </c>
      <c r="D757" t="inlineStr">
        <is>
          <t>Kogi</t>
        </is>
      </c>
      <c r="E757" t="inlineStr">
        <is>
          <t>NG023</t>
        </is>
      </c>
      <c r="F757" t="inlineStr">
        <is>
          <t>Nigeria</t>
        </is>
      </c>
      <c r="G757" t="inlineStr">
        <is>
          <t>NGA</t>
        </is>
      </c>
    </row>
    <row r="758">
      <c r="A758" t="inlineStr">
        <is>
          <t>Yakurr</t>
        </is>
      </c>
      <c r="B758" t="inlineStr">
        <is>
          <t xml:space="preserve"> </t>
        </is>
      </c>
      <c r="C758" t="inlineStr">
        <is>
          <t>NG009018</t>
        </is>
      </c>
      <c r="D758" t="inlineStr">
        <is>
          <t>Cross River</t>
        </is>
      </c>
      <c r="E758" t="inlineStr">
        <is>
          <t>NG009</t>
        </is>
      </c>
      <c r="F758" t="inlineStr">
        <is>
          <t>Nigeria</t>
        </is>
      </c>
      <c r="G758" t="inlineStr">
        <is>
          <t>NGA</t>
        </is>
      </c>
    </row>
    <row r="759">
      <c r="A759" t="inlineStr">
        <is>
          <t>Yala</t>
        </is>
      </c>
      <c r="B759" t="inlineStr">
        <is>
          <t xml:space="preserve"> </t>
        </is>
      </c>
      <c r="C759" t="inlineStr">
        <is>
          <t>NG009019</t>
        </is>
      </c>
      <c r="D759" t="inlineStr">
        <is>
          <t>Cross River</t>
        </is>
      </c>
      <c r="E759" t="inlineStr">
        <is>
          <t>NG009</t>
        </is>
      </c>
      <c r="F759" t="inlineStr">
        <is>
          <t>Nigeria</t>
        </is>
      </c>
      <c r="G759" t="inlineStr">
        <is>
          <t>NGA</t>
        </is>
      </c>
    </row>
    <row r="760">
      <c r="A760" t="inlineStr">
        <is>
          <t>Yamaltu/Deba</t>
        </is>
      </c>
      <c r="B760" t="inlineStr">
        <is>
          <t xml:space="preserve"> </t>
        </is>
      </c>
      <c r="C760" t="inlineStr">
        <is>
          <t>NG016011</t>
        </is>
      </c>
      <c r="D760" t="inlineStr">
        <is>
          <t>Gombe</t>
        </is>
      </c>
      <c r="E760" t="inlineStr">
        <is>
          <t>NG016</t>
        </is>
      </c>
      <c r="F760" t="inlineStr">
        <is>
          <t>Nigeria</t>
        </is>
      </c>
      <c r="G760" t="inlineStr">
        <is>
          <t>NGA</t>
        </is>
      </c>
    </row>
    <row r="761">
      <c r="A761" t="inlineStr">
        <is>
          <t>Yankwashi</t>
        </is>
      </c>
      <c r="B761" t="inlineStr">
        <is>
          <t xml:space="preserve"> </t>
        </is>
      </c>
      <c r="C761" t="inlineStr">
        <is>
          <t>NG018027</t>
        </is>
      </c>
      <c r="D761" t="inlineStr">
        <is>
          <t>Jigawa</t>
        </is>
      </c>
      <c r="E761" t="inlineStr">
        <is>
          <t>NG018</t>
        </is>
      </c>
      <c r="F761" t="inlineStr">
        <is>
          <t>Nigeria</t>
        </is>
      </c>
      <c r="G761" t="inlineStr">
        <is>
          <t>NGA</t>
        </is>
      </c>
    </row>
    <row r="762">
      <c r="A762" t="inlineStr">
        <is>
          <t>Yauri</t>
        </is>
      </c>
      <c r="B762" t="inlineStr">
        <is>
          <t xml:space="preserve"> </t>
        </is>
      </c>
      <c r="C762" t="inlineStr">
        <is>
          <t>NG022020</t>
        </is>
      </c>
      <c r="D762" t="inlineStr">
        <is>
          <t>Kebbi</t>
        </is>
      </c>
      <c r="E762" t="inlineStr">
        <is>
          <t>NG022</t>
        </is>
      </c>
      <c r="F762" t="inlineStr">
        <is>
          <t>Nigeria</t>
        </is>
      </c>
      <c r="G762" t="inlineStr">
        <is>
          <t>NGA</t>
        </is>
      </c>
    </row>
    <row r="763">
      <c r="A763" t="inlineStr">
        <is>
          <t>Yenegoa</t>
        </is>
      </c>
      <c r="B763" t="inlineStr">
        <is>
          <t xml:space="preserve"> </t>
        </is>
      </c>
      <c r="C763" t="inlineStr">
        <is>
          <t>NG006008</t>
        </is>
      </c>
      <c r="D763" t="inlineStr">
        <is>
          <t>Bayelsa</t>
        </is>
      </c>
      <c r="E763" t="inlineStr">
        <is>
          <t>NG006</t>
        </is>
      </c>
      <c r="F763" t="inlineStr">
        <is>
          <t>Nigeria</t>
        </is>
      </c>
      <c r="G763" t="inlineStr">
        <is>
          <t>NGA</t>
        </is>
      </c>
    </row>
    <row r="764">
      <c r="A764" t="inlineStr">
        <is>
          <t>Yola North</t>
        </is>
      </c>
      <c r="B764" t="inlineStr">
        <is>
          <t xml:space="preserve"> </t>
        </is>
      </c>
      <c r="C764" t="inlineStr">
        <is>
          <t>NG002020</t>
        </is>
      </c>
      <c r="D764" t="inlineStr">
        <is>
          <t>Adamawa</t>
        </is>
      </c>
      <c r="E764" t="inlineStr">
        <is>
          <t>NG002</t>
        </is>
      </c>
      <c r="F764" t="inlineStr">
        <is>
          <t>Nigeria</t>
        </is>
      </c>
      <c r="G764" t="inlineStr">
        <is>
          <t>NGA</t>
        </is>
      </c>
    </row>
    <row r="765">
      <c r="A765" t="inlineStr">
        <is>
          <t>Yola South</t>
        </is>
      </c>
      <c r="B765" t="inlineStr">
        <is>
          <t xml:space="preserve"> </t>
        </is>
      </c>
      <c r="C765" t="inlineStr">
        <is>
          <t>NG002021</t>
        </is>
      </c>
      <c r="D765" t="inlineStr">
        <is>
          <t>Adamawa</t>
        </is>
      </c>
      <c r="E765" t="inlineStr">
        <is>
          <t>NG002</t>
        </is>
      </c>
      <c r="F765" t="inlineStr">
        <is>
          <t>Nigeria</t>
        </is>
      </c>
      <c r="G765" t="inlineStr">
        <is>
          <t>NGA</t>
        </is>
      </c>
    </row>
    <row r="766">
      <c r="A766" t="inlineStr">
        <is>
          <t>Yorro</t>
        </is>
      </c>
      <c r="B766" t="inlineStr">
        <is>
          <t xml:space="preserve"> </t>
        </is>
      </c>
      <c r="C766" t="inlineStr">
        <is>
          <t>NG035015</t>
        </is>
      </c>
      <c r="D766" t="inlineStr">
        <is>
          <t>Taraba</t>
        </is>
      </c>
      <c r="E766" t="inlineStr">
        <is>
          <t>NG035</t>
        </is>
      </c>
      <c r="F766" t="inlineStr">
        <is>
          <t>Nigeria</t>
        </is>
      </c>
      <c r="G766" t="inlineStr">
        <is>
          <t>NGA</t>
        </is>
      </c>
    </row>
    <row r="767">
      <c r="A767" t="inlineStr">
        <is>
          <t>Yunusari</t>
        </is>
      </c>
      <c r="B767" t="inlineStr">
        <is>
          <t xml:space="preserve"> </t>
        </is>
      </c>
      <c r="C767" t="inlineStr">
        <is>
          <t>NG036016</t>
        </is>
      </c>
      <c r="D767" t="inlineStr">
        <is>
          <t>Yobe</t>
        </is>
      </c>
      <c r="E767" t="inlineStr">
        <is>
          <t>NG036</t>
        </is>
      </c>
      <c r="F767" t="inlineStr">
        <is>
          <t>Nigeria</t>
        </is>
      </c>
      <c r="G767" t="inlineStr">
        <is>
          <t>NGA</t>
        </is>
      </c>
    </row>
    <row r="768">
      <c r="A768" t="inlineStr">
        <is>
          <t>Yusufari</t>
        </is>
      </c>
      <c r="B768" t="inlineStr">
        <is>
          <t xml:space="preserve"> </t>
        </is>
      </c>
      <c r="C768" t="inlineStr">
        <is>
          <t>NG036017</t>
        </is>
      </c>
      <c r="D768" t="inlineStr">
        <is>
          <t>Yobe</t>
        </is>
      </c>
      <c r="E768" t="inlineStr">
        <is>
          <t>NG036</t>
        </is>
      </c>
      <c r="F768" t="inlineStr">
        <is>
          <t>Nigeria</t>
        </is>
      </c>
      <c r="G768" t="inlineStr">
        <is>
          <t>NGA</t>
        </is>
      </c>
    </row>
    <row r="769">
      <c r="A769" t="inlineStr">
        <is>
          <t>Zaki</t>
        </is>
      </c>
      <c r="B769" t="inlineStr">
        <is>
          <t xml:space="preserve"> </t>
        </is>
      </c>
      <c r="C769" t="inlineStr">
        <is>
          <t>NG005020</t>
        </is>
      </c>
      <c r="D769" t="inlineStr">
        <is>
          <t>Bauchi</t>
        </is>
      </c>
      <c r="E769" t="inlineStr">
        <is>
          <t>NG005</t>
        </is>
      </c>
      <c r="F769" t="inlineStr">
        <is>
          <t>Nigeria</t>
        </is>
      </c>
      <c r="G769" t="inlineStr">
        <is>
          <t>NGA</t>
        </is>
      </c>
    </row>
    <row r="770">
      <c r="A770" t="inlineStr">
        <is>
          <t>Zango</t>
        </is>
      </c>
      <c r="B770" t="inlineStr">
        <is>
          <t xml:space="preserve"> </t>
        </is>
      </c>
      <c r="C770" t="inlineStr">
        <is>
          <t>NG021034</t>
        </is>
      </c>
      <c r="D770" t="inlineStr">
        <is>
          <t>Katsina</t>
        </is>
      </c>
      <c r="E770" t="inlineStr">
        <is>
          <t>NG021</t>
        </is>
      </c>
      <c r="F770" t="inlineStr">
        <is>
          <t>Nigeria</t>
        </is>
      </c>
      <c r="G770" t="inlineStr">
        <is>
          <t>NGA</t>
        </is>
      </c>
    </row>
    <row r="771">
      <c r="A771" t="inlineStr">
        <is>
          <t>Zango-Kataf</t>
        </is>
      </c>
      <c r="B771" t="inlineStr">
        <is>
          <t xml:space="preserve"> </t>
        </is>
      </c>
      <c r="C771" t="inlineStr">
        <is>
          <t>NG019022</t>
        </is>
      </c>
      <c r="D771" t="inlineStr">
        <is>
          <t>Kaduna</t>
        </is>
      </c>
      <c r="E771" t="inlineStr">
        <is>
          <t>NG019</t>
        </is>
      </c>
      <c r="F771" t="inlineStr">
        <is>
          <t>Nigeria</t>
        </is>
      </c>
      <c r="G771" t="inlineStr">
        <is>
          <t>NGA</t>
        </is>
      </c>
    </row>
    <row r="772">
      <c r="A772" t="inlineStr">
        <is>
          <t>Zaria</t>
        </is>
      </c>
      <c r="B772" t="inlineStr">
        <is>
          <t xml:space="preserve"> </t>
        </is>
      </c>
      <c r="C772" t="inlineStr">
        <is>
          <t>NG019023</t>
        </is>
      </c>
      <c r="D772" t="inlineStr">
        <is>
          <t>Kaduna</t>
        </is>
      </c>
      <c r="E772" t="inlineStr">
        <is>
          <t>NG019</t>
        </is>
      </c>
      <c r="F772" t="inlineStr">
        <is>
          <t>Nigeria</t>
        </is>
      </c>
      <c r="G772" t="inlineStr">
        <is>
          <t>NGA</t>
        </is>
      </c>
    </row>
    <row r="773">
      <c r="A773" t="inlineStr">
        <is>
          <t>Zing</t>
        </is>
      </c>
      <c r="B773" t="inlineStr">
        <is>
          <t xml:space="preserve"> </t>
        </is>
      </c>
      <c r="C773" t="inlineStr">
        <is>
          <t>NG035016</t>
        </is>
      </c>
      <c r="D773" t="inlineStr">
        <is>
          <t>Taraba</t>
        </is>
      </c>
      <c r="E773" t="inlineStr">
        <is>
          <t>NG035</t>
        </is>
      </c>
      <c r="F773" t="inlineStr">
        <is>
          <t>Nigeria</t>
        </is>
      </c>
      <c r="G773" t="inlineStr">
        <is>
          <t>NGA</t>
        </is>
      </c>
    </row>
    <row r="774">
      <c r="A774" t="inlineStr">
        <is>
          <t>Zurmi</t>
        </is>
      </c>
      <c r="B774" t="inlineStr">
        <is>
          <t xml:space="preserve"> </t>
        </is>
      </c>
      <c r="C774" t="inlineStr">
        <is>
          <t>NG037014</t>
        </is>
      </c>
      <c r="D774" t="inlineStr">
        <is>
          <t>Zamfara</t>
        </is>
      </c>
      <c r="E774" t="inlineStr">
        <is>
          <t>NG037</t>
        </is>
      </c>
      <c r="F774" t="inlineStr">
        <is>
          <t>Nigeria</t>
        </is>
      </c>
      <c r="G774" t="inlineStr">
        <is>
          <t>NGA</t>
        </is>
      </c>
    </row>
    <row r="775">
      <c r="A775" t="inlineStr">
        <is>
          <t>Zuru</t>
        </is>
      </c>
      <c r="B775" t="inlineStr">
        <is>
          <t xml:space="preserve"> </t>
        </is>
      </c>
      <c r="C775" t="inlineStr">
        <is>
          <t>NG022021</t>
        </is>
      </c>
      <c r="D775" t="inlineStr">
        <is>
          <t>Kebbi</t>
        </is>
      </c>
      <c r="E775" t="inlineStr">
        <is>
          <t>NG022</t>
        </is>
      </c>
      <c r="F775" t="inlineStr">
        <is>
          <t>Nigeria</t>
        </is>
      </c>
      <c r="G775" t="inlineStr">
        <is>
          <t>NGA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Lawi Analo</dc:creator>
  <dcterms:created xmlns:dcterms="http://purl.org/dc/terms/" xmlns:xsi="http://www.w3.org/2001/XMLSchema-instance" xsi:type="dcterms:W3CDTF">2020-12-10T15:46:11Z</dcterms:created>
  <dcterms:modified xmlns:dcterms="http://purl.org/dc/terms/" xmlns:xsi="http://www.w3.org/2001/XMLSchema-instance" xsi:type="dcterms:W3CDTF">2023-08-24T09:56:54Z</dcterms:modified>
  <cp:lastModifiedBy>Microsoft Office User</cp:lastModifiedBy>
</cp:coreProperties>
</file>