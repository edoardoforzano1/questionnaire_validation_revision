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NGA/R5/V2/"/>
    </mc:Choice>
  </mc:AlternateContent>
  <xr:revisionPtr revIDLastSave="0" documentId="8_{BED6DB7C-AA28-F542-8E38-8F3D22088A62}" xr6:coauthVersionLast="47" xr6:coauthVersionMax="47" xr10:uidLastSave="{00000000-0000-0000-0000-000000000000}"/>
  <bookViews>
    <workbookView xWindow="0" yWindow="500" windowWidth="33600" windowHeight="19600" xr2:uid="{00000000-000D-0000-FFFF-FFFF00000000}"/>
  </bookViews>
  <sheets>
    <sheet name="survey" sheetId="1" r:id="rId1"/>
    <sheet name="New Durations" sheetId="2" state="hidden" r:id="rId2"/>
    <sheet name="Crop list" sheetId="3" state="hidden" r:id="rId3"/>
    <sheet name="Additional information" sheetId="4" state="hidden" r:id="rId4"/>
    <sheet name="Admin 2 info" sheetId="5" r:id="rId5"/>
  </sheets>
  <definedNames>
    <definedName name="_xlnm._FilterDatabase" localSheetId="2" hidden="1">'Crop list'!$C$3:$F$93</definedName>
    <definedName name="_xlnm._FilterDatabase" localSheetId="0" hidden="1">survey!$A$3:$XEG$193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a="1"/>
  <c r="D93" i="3" s="1"/>
  <c r="I193" i="1"/>
  <c r="G193" i="1"/>
  <c r="E193" i="1"/>
  <c r="I192" i="1"/>
  <c r="G192" i="1"/>
  <c r="E192" i="1"/>
  <c r="I191" i="1"/>
  <c r="G191" i="1"/>
  <c r="E191" i="1"/>
  <c r="I190" i="1"/>
  <c r="G190" i="1"/>
  <c r="E190" i="1"/>
  <c r="I189" i="1"/>
  <c r="G189" i="1"/>
  <c r="E189" i="1"/>
  <c r="I188" i="1"/>
  <c r="G188" i="1"/>
  <c r="E188" i="1"/>
  <c r="I187" i="1"/>
  <c r="G187" i="1"/>
  <c r="E187" i="1"/>
  <c r="I186" i="1"/>
  <c r="G186" i="1"/>
  <c r="E186" i="1"/>
  <c r="I185" i="1"/>
  <c r="G185" i="1"/>
  <c r="E185" i="1"/>
  <c r="I184" i="1"/>
  <c r="G184" i="1"/>
  <c r="E184" i="1"/>
  <c r="I183" i="1"/>
  <c r="G183" i="1"/>
  <c r="E183" i="1"/>
  <c r="I182" i="1"/>
  <c r="G182" i="1"/>
  <c r="E182" i="1"/>
  <c r="I180" i="1"/>
  <c r="G180" i="1"/>
  <c r="E180" i="1"/>
  <c r="I179" i="1"/>
  <c r="G179" i="1"/>
  <c r="E179" i="1"/>
  <c r="I178" i="1"/>
  <c r="G178" i="1"/>
  <c r="E178" i="1"/>
  <c r="I177" i="1"/>
  <c r="G177" i="1"/>
  <c r="E177" i="1"/>
  <c r="I176" i="1"/>
  <c r="G176" i="1"/>
  <c r="E176" i="1"/>
  <c r="I174" i="1"/>
  <c r="G174" i="1"/>
  <c r="E174" i="1"/>
  <c r="I173" i="1"/>
  <c r="G173" i="1"/>
  <c r="E173" i="1"/>
  <c r="I172" i="1"/>
  <c r="G172" i="1"/>
  <c r="E172" i="1"/>
  <c r="I171" i="1"/>
  <c r="G171" i="1"/>
  <c r="E171" i="1"/>
  <c r="I170" i="1"/>
  <c r="G170" i="1"/>
  <c r="E170" i="1"/>
  <c r="I169" i="1"/>
  <c r="G169" i="1"/>
  <c r="E169" i="1"/>
  <c r="I168" i="1"/>
  <c r="G168" i="1"/>
  <c r="E168" i="1"/>
  <c r="I167" i="1"/>
  <c r="G167" i="1"/>
  <c r="E167" i="1"/>
  <c r="I166" i="1"/>
  <c r="G166" i="1"/>
  <c r="E166" i="1"/>
  <c r="I165" i="1"/>
  <c r="G165" i="1"/>
  <c r="E165" i="1"/>
  <c r="I164" i="1"/>
  <c r="G164" i="1"/>
  <c r="E164" i="1"/>
  <c r="I163" i="1"/>
  <c r="G163" i="1"/>
  <c r="E163" i="1"/>
  <c r="I162" i="1"/>
  <c r="G162" i="1"/>
  <c r="E162" i="1"/>
  <c r="I161" i="1"/>
  <c r="G161" i="1"/>
  <c r="E161" i="1"/>
  <c r="I160" i="1"/>
  <c r="G160" i="1"/>
  <c r="E160" i="1"/>
  <c r="I159" i="1"/>
  <c r="G159" i="1"/>
  <c r="E159" i="1"/>
  <c r="I158" i="1"/>
  <c r="G158" i="1"/>
  <c r="E158" i="1"/>
  <c r="I157" i="1"/>
  <c r="G157" i="1"/>
  <c r="E157" i="1"/>
  <c r="I156" i="1"/>
  <c r="G156" i="1"/>
  <c r="E156" i="1"/>
  <c r="I155" i="1"/>
  <c r="G155" i="1"/>
  <c r="E155" i="1"/>
  <c r="I154" i="1"/>
  <c r="G154" i="1"/>
  <c r="E154" i="1"/>
  <c r="I153" i="1"/>
  <c r="G153" i="1"/>
  <c r="E153" i="1"/>
  <c r="I152" i="1"/>
  <c r="G152" i="1"/>
  <c r="E152" i="1"/>
  <c r="I151" i="1"/>
  <c r="G151" i="1"/>
  <c r="E151" i="1"/>
  <c r="I150" i="1"/>
  <c r="G150" i="1"/>
  <c r="E150" i="1"/>
  <c r="I149" i="1"/>
  <c r="G149" i="1"/>
  <c r="E149" i="1"/>
  <c r="I148" i="1"/>
  <c r="G148" i="1"/>
  <c r="E148" i="1"/>
  <c r="I147" i="1"/>
  <c r="G147" i="1"/>
  <c r="E147" i="1"/>
  <c r="I146" i="1"/>
  <c r="G146" i="1"/>
  <c r="E146" i="1"/>
  <c r="I145" i="1"/>
  <c r="G145" i="1"/>
  <c r="E145" i="1"/>
  <c r="I144" i="1"/>
  <c r="G144" i="1"/>
  <c r="E144" i="1"/>
  <c r="I143" i="1"/>
  <c r="G143" i="1"/>
  <c r="E143" i="1"/>
  <c r="I142" i="1"/>
  <c r="G142" i="1"/>
  <c r="E142" i="1"/>
  <c r="I141" i="1"/>
  <c r="G141" i="1"/>
  <c r="E141" i="1"/>
  <c r="I140" i="1"/>
  <c r="G140" i="1"/>
  <c r="E140" i="1"/>
  <c r="I139" i="1"/>
  <c r="G139" i="1"/>
  <c r="E139" i="1"/>
  <c r="I138" i="1"/>
  <c r="G138" i="1"/>
  <c r="E138" i="1"/>
  <c r="I137" i="1"/>
  <c r="G137" i="1"/>
  <c r="E137" i="1"/>
  <c r="I136" i="1"/>
  <c r="G136" i="1"/>
  <c r="E136" i="1"/>
  <c r="I135" i="1"/>
  <c r="G135" i="1"/>
  <c r="E135" i="1"/>
  <c r="I134" i="1"/>
  <c r="G134" i="1"/>
  <c r="E134" i="1"/>
  <c r="I133" i="1"/>
  <c r="G133" i="1"/>
  <c r="E133" i="1"/>
  <c r="I131" i="1"/>
  <c r="G131" i="1"/>
  <c r="E131" i="1"/>
  <c r="I130" i="1"/>
  <c r="G130" i="1"/>
  <c r="E130" i="1"/>
  <c r="I129" i="1"/>
  <c r="G129" i="1"/>
  <c r="E129" i="1"/>
  <c r="I128" i="1"/>
  <c r="G128" i="1"/>
  <c r="E128" i="1"/>
  <c r="X126" i="1"/>
  <c r="W126" i="1"/>
  <c r="I126" i="1"/>
  <c r="G126" i="1"/>
  <c r="E126" i="1"/>
  <c r="I125" i="1"/>
  <c r="G125" i="1"/>
  <c r="E125" i="1"/>
  <c r="I124" i="1"/>
  <c r="G124" i="1"/>
  <c r="E124" i="1"/>
  <c r="I123" i="1"/>
  <c r="G123" i="1"/>
  <c r="E123" i="1"/>
  <c r="I122" i="1"/>
  <c r="G122" i="1"/>
  <c r="E122" i="1"/>
  <c r="I121" i="1"/>
  <c r="G121" i="1"/>
  <c r="E121" i="1"/>
  <c r="I119" i="1"/>
  <c r="G119" i="1"/>
  <c r="E119" i="1"/>
  <c r="I118" i="1"/>
  <c r="G118" i="1"/>
  <c r="E118" i="1"/>
  <c r="I117" i="1"/>
  <c r="G117" i="1"/>
  <c r="E117" i="1"/>
  <c r="I116" i="1"/>
  <c r="G116" i="1"/>
  <c r="E116" i="1"/>
  <c r="I114" i="1"/>
  <c r="G114" i="1"/>
  <c r="E114" i="1"/>
  <c r="I113" i="1"/>
  <c r="G113" i="1"/>
  <c r="E113" i="1"/>
  <c r="I112" i="1"/>
  <c r="G112" i="1"/>
  <c r="E112" i="1"/>
  <c r="I111" i="1"/>
  <c r="G111" i="1"/>
  <c r="E111" i="1"/>
  <c r="I110" i="1"/>
  <c r="G110" i="1"/>
  <c r="E110" i="1"/>
  <c r="I109" i="1"/>
  <c r="G109" i="1"/>
  <c r="E109" i="1"/>
  <c r="I108" i="1"/>
  <c r="G108" i="1"/>
  <c r="E108" i="1"/>
  <c r="I107" i="1"/>
  <c r="G107" i="1"/>
  <c r="E107" i="1"/>
  <c r="I106" i="1"/>
  <c r="G106" i="1"/>
  <c r="E106" i="1"/>
  <c r="I105" i="1"/>
  <c r="G105" i="1"/>
  <c r="E105" i="1"/>
  <c r="I103" i="1"/>
  <c r="G103" i="1"/>
  <c r="E103" i="1"/>
  <c r="I102" i="1"/>
  <c r="G102" i="1"/>
  <c r="E102" i="1"/>
  <c r="I101" i="1"/>
  <c r="G101" i="1"/>
  <c r="E101" i="1"/>
  <c r="I100" i="1"/>
  <c r="G100" i="1"/>
  <c r="E100" i="1"/>
  <c r="I98" i="1"/>
  <c r="G98" i="1"/>
  <c r="E98" i="1"/>
  <c r="I97" i="1"/>
  <c r="G97" i="1"/>
  <c r="E97" i="1"/>
  <c r="I96" i="1"/>
  <c r="G96" i="1"/>
  <c r="E96" i="1"/>
  <c r="I95" i="1"/>
  <c r="G95" i="1"/>
  <c r="E95" i="1"/>
  <c r="I94" i="1"/>
  <c r="G94" i="1"/>
  <c r="E94" i="1"/>
  <c r="I93" i="1"/>
  <c r="G93" i="1"/>
  <c r="E93" i="1"/>
  <c r="I92" i="1"/>
  <c r="G92" i="1"/>
  <c r="E92" i="1"/>
  <c r="I91" i="1"/>
  <c r="G91" i="1"/>
  <c r="E91" i="1"/>
  <c r="I90" i="1"/>
  <c r="G90" i="1"/>
  <c r="E90" i="1"/>
  <c r="I89" i="1"/>
  <c r="G89" i="1"/>
  <c r="E89" i="1"/>
  <c r="I88" i="1"/>
  <c r="G88" i="1"/>
  <c r="E88" i="1"/>
  <c r="I87" i="1"/>
  <c r="G87" i="1"/>
  <c r="E87" i="1"/>
  <c r="I86" i="1"/>
  <c r="G86" i="1"/>
  <c r="E86" i="1"/>
  <c r="I85" i="1"/>
  <c r="G85" i="1"/>
  <c r="E85" i="1"/>
  <c r="I84" i="1"/>
  <c r="G84" i="1"/>
  <c r="E84" i="1"/>
  <c r="I83" i="1"/>
  <c r="G83" i="1"/>
  <c r="E83" i="1"/>
  <c r="I82" i="1"/>
  <c r="G82" i="1"/>
  <c r="E82" i="1"/>
  <c r="I81" i="1"/>
  <c r="G81" i="1"/>
  <c r="E81" i="1"/>
  <c r="X79" i="1"/>
  <c r="W79" i="1"/>
  <c r="I79" i="1"/>
  <c r="G79" i="1"/>
  <c r="E79" i="1"/>
  <c r="I78" i="1"/>
  <c r="G78" i="1"/>
  <c r="E78" i="1"/>
  <c r="I77" i="1"/>
  <c r="G77" i="1"/>
  <c r="E77" i="1"/>
  <c r="I76" i="1"/>
  <c r="G76" i="1"/>
  <c r="E76" i="1"/>
  <c r="I75" i="1"/>
  <c r="G75" i="1"/>
  <c r="E75" i="1"/>
  <c r="I74" i="1"/>
  <c r="G74" i="1"/>
  <c r="E74" i="1"/>
  <c r="I73" i="1"/>
  <c r="G73" i="1"/>
  <c r="E73" i="1"/>
  <c r="I72" i="1"/>
  <c r="G72" i="1"/>
  <c r="E72" i="1"/>
  <c r="X71" i="1"/>
  <c r="W71" i="1"/>
  <c r="I71" i="1"/>
  <c r="G71" i="1"/>
  <c r="E71" i="1"/>
  <c r="X70" i="1"/>
  <c r="W70" i="1"/>
  <c r="I70" i="1"/>
  <c r="G70" i="1"/>
  <c r="E70" i="1"/>
  <c r="I69" i="1"/>
  <c r="G69" i="1"/>
  <c r="E69" i="1"/>
  <c r="I68" i="1"/>
  <c r="G68" i="1"/>
  <c r="E68" i="1"/>
  <c r="I67" i="1"/>
  <c r="G67" i="1"/>
  <c r="E67" i="1"/>
  <c r="I66" i="1"/>
  <c r="G66" i="1"/>
  <c r="E66" i="1"/>
  <c r="I65" i="1"/>
  <c r="G65" i="1"/>
  <c r="E65" i="1"/>
  <c r="I64" i="1"/>
  <c r="G64" i="1"/>
  <c r="E64" i="1"/>
  <c r="I63" i="1"/>
  <c r="G63" i="1"/>
  <c r="E63" i="1"/>
  <c r="X62" i="1"/>
  <c r="W62" i="1"/>
  <c r="I62" i="1"/>
  <c r="G62" i="1"/>
  <c r="E62" i="1"/>
  <c r="X61" i="1"/>
  <c r="W61" i="1"/>
  <c r="I61" i="1"/>
  <c r="G61" i="1"/>
  <c r="E61" i="1"/>
  <c r="I60" i="1"/>
  <c r="G60" i="1"/>
  <c r="E60" i="1"/>
  <c r="I59" i="1"/>
  <c r="G59" i="1"/>
  <c r="E59" i="1"/>
  <c r="I58" i="1"/>
  <c r="G58" i="1"/>
  <c r="E58" i="1"/>
  <c r="I57" i="1"/>
  <c r="G57" i="1"/>
  <c r="E57" i="1"/>
  <c r="I56" i="1"/>
  <c r="G56" i="1"/>
  <c r="E56" i="1"/>
  <c r="I55" i="1"/>
  <c r="G55" i="1"/>
  <c r="E55" i="1"/>
  <c r="I53" i="1"/>
  <c r="G53" i="1"/>
  <c r="E53" i="1"/>
  <c r="X52" i="1"/>
  <c r="W52" i="1"/>
  <c r="I52" i="1"/>
  <c r="G52" i="1"/>
  <c r="E52" i="1"/>
  <c r="X51" i="1"/>
  <c r="W51" i="1"/>
  <c r="I51" i="1"/>
  <c r="G51" i="1"/>
  <c r="E51" i="1"/>
  <c r="X50" i="1"/>
  <c r="W50" i="1"/>
  <c r="I50" i="1"/>
  <c r="G50" i="1"/>
  <c r="E50" i="1"/>
  <c r="I49" i="1"/>
  <c r="G49" i="1"/>
  <c r="E49" i="1"/>
  <c r="X48" i="1"/>
  <c r="W48" i="1"/>
  <c r="I48" i="1"/>
  <c r="G48" i="1"/>
  <c r="E48" i="1"/>
  <c r="I47" i="1"/>
  <c r="G47" i="1"/>
  <c r="E47" i="1"/>
  <c r="I46" i="1"/>
  <c r="G46" i="1"/>
  <c r="E46" i="1"/>
  <c r="I45" i="1"/>
  <c r="G45" i="1"/>
  <c r="E45" i="1"/>
  <c r="I44" i="1"/>
  <c r="G44" i="1"/>
  <c r="E44" i="1"/>
  <c r="I41" i="1"/>
  <c r="G41" i="1"/>
  <c r="E41" i="1"/>
  <c r="I40" i="1"/>
  <c r="G40" i="1"/>
  <c r="E40" i="1"/>
  <c r="I39" i="1"/>
  <c r="G39" i="1"/>
  <c r="E39" i="1"/>
  <c r="I38" i="1"/>
  <c r="G38" i="1"/>
  <c r="E38" i="1"/>
  <c r="I37" i="1"/>
  <c r="G37" i="1"/>
  <c r="E37" i="1"/>
  <c r="I36" i="1"/>
  <c r="G36" i="1"/>
  <c r="E36" i="1"/>
  <c r="I35" i="1"/>
  <c r="G35" i="1"/>
  <c r="E35" i="1"/>
  <c r="I34" i="1"/>
  <c r="G34" i="1"/>
  <c r="E34" i="1"/>
  <c r="I33" i="1"/>
  <c r="G33" i="1"/>
  <c r="E33" i="1"/>
  <c r="I32" i="1"/>
  <c r="G32" i="1"/>
  <c r="E32" i="1"/>
  <c r="X31" i="1"/>
  <c r="W31" i="1"/>
  <c r="E31" i="1"/>
  <c r="I30" i="1"/>
  <c r="G30" i="1"/>
  <c r="E30" i="1"/>
  <c r="I29" i="1"/>
  <c r="G29" i="1"/>
  <c r="E29" i="1"/>
  <c r="X28" i="1"/>
  <c r="W28" i="1"/>
  <c r="I28" i="1"/>
  <c r="E28" i="1"/>
  <c r="A28" i="1"/>
  <c r="A29" i="1" s="1"/>
  <c r="A30" i="1" s="1"/>
  <c r="A31" i="1" s="1"/>
  <c r="A32" i="1" s="1"/>
  <c r="A33" i="1" s="1"/>
  <c r="A34" i="1" s="1"/>
  <c r="A35" i="1" s="1"/>
  <c r="A36" i="1" s="1"/>
  <c r="A37" i="1" s="1"/>
  <c r="A38" i="1" s="1"/>
  <c r="A39" i="1" s="1"/>
  <c r="A40" i="1" s="1"/>
  <c r="A41" i="1" s="1"/>
  <c r="A42" i="1" s="1"/>
  <c r="A44" i="1" s="1"/>
  <c r="A45" i="1" s="1"/>
  <c r="A46" i="1" s="1"/>
  <c r="A47" i="1" s="1"/>
  <c r="A48" i="1" s="1"/>
  <c r="A49" i="1" s="1"/>
  <c r="A50" i="1" s="1"/>
  <c r="A51" i="1" s="1"/>
  <c r="A52" i="1" s="1"/>
  <c r="A53"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1" i="1" s="1"/>
  <c r="A82" i="1" s="1"/>
  <c r="A83" i="1" s="1"/>
  <c r="A84" i="1" s="1"/>
  <c r="A85" i="1" s="1"/>
  <c r="A86" i="1" s="1"/>
  <c r="A87" i="1" s="1"/>
  <c r="A88" i="1" s="1"/>
  <c r="A89" i="1" s="1"/>
  <c r="A90" i="1" s="1"/>
  <c r="A91" i="1" s="1"/>
  <c r="A92" i="1" s="1"/>
  <c r="A93" i="1" s="1"/>
  <c r="A94" i="1" s="1"/>
  <c r="A95" i="1" s="1"/>
  <c r="I27" i="1"/>
  <c r="G27" i="1"/>
  <c r="E27" i="1"/>
  <c r="I26" i="1"/>
  <c r="G26" i="1"/>
  <c r="E26" i="1"/>
  <c r="I25" i="1"/>
  <c r="G25" i="1"/>
  <c r="E25" i="1"/>
  <c r="I24" i="1"/>
  <c r="G24" i="1"/>
  <c r="E24" i="1"/>
  <c r="A24" i="1"/>
  <c r="A25" i="1" s="1"/>
  <c r="A26" i="1" s="1"/>
  <c r="A27" i="1" s="1"/>
  <c r="I23" i="1"/>
  <c r="G23" i="1"/>
  <c r="E23" i="1"/>
  <c r="I22" i="1"/>
  <c r="G22" i="1"/>
  <c r="E22" i="1"/>
  <c r="I20" i="1"/>
  <c r="G20" i="1"/>
  <c r="E20" i="1"/>
  <c r="I19" i="1"/>
  <c r="G19" i="1"/>
  <c r="E19" i="1"/>
  <c r="I18" i="1"/>
  <c r="G18" i="1"/>
  <c r="E18" i="1"/>
  <c r="I17" i="1"/>
  <c r="G17" i="1"/>
  <c r="E17" i="1"/>
  <c r="I16" i="1"/>
  <c r="G16" i="1"/>
  <c r="E16" i="1"/>
  <c r="E15" i="1"/>
  <c r="I14" i="1"/>
  <c r="G14" i="1"/>
  <c r="E14" i="1"/>
  <c r="I13" i="1"/>
  <c r="G13" i="1"/>
  <c r="E13" i="1"/>
  <c r="A13" i="1"/>
  <c r="A14" i="1" s="1"/>
  <c r="A15" i="1" s="1"/>
  <c r="A22" i="1" s="1"/>
  <c r="A23" i="1" s="1"/>
  <c r="I12" i="1"/>
  <c r="G12" i="1"/>
  <c r="E12" i="1"/>
  <c r="I11" i="1"/>
  <c r="G11" i="1"/>
  <c r="E11" i="1"/>
  <c r="I10" i="1"/>
  <c r="G10" i="1"/>
  <c r="E10" i="1"/>
  <c r="I9" i="1"/>
  <c r="G9" i="1"/>
  <c r="E9" i="1"/>
  <c r="I8" i="1"/>
  <c r="G8" i="1"/>
  <c r="E8" i="1"/>
  <c r="I7" i="1"/>
  <c r="G7" i="1"/>
  <c r="E7" i="1"/>
  <c r="I6" i="1"/>
  <c r="G6" i="1"/>
  <c r="E6" i="1"/>
  <c r="I5" i="1"/>
  <c r="G5" i="1"/>
  <c r="E5" i="1"/>
  <c r="A97" i="1" l="1"/>
  <c r="A96" i="1"/>
  <c r="A98" i="1" s="1"/>
  <c r="A100" i="1" s="1"/>
  <c r="A101" i="1" s="1"/>
  <c r="A102" i="1" s="1"/>
  <c r="A103" i="1" s="1"/>
  <c r="A105" i="1" s="1"/>
  <c r="A106" i="1" s="1"/>
  <c r="A107" i="1" s="1"/>
  <c r="A108" i="1" s="1"/>
  <c r="A109" i="1" s="1"/>
  <c r="A110" i="1" s="1"/>
  <c r="A111" i="1" s="1"/>
  <c r="A112" i="1" s="1"/>
  <c r="D78" i="3"/>
  <c r="D79" i="3"/>
  <c r="D80" i="3"/>
  <c r="D9" i="3"/>
  <c r="D25" i="3"/>
  <c r="D73" i="3"/>
  <c r="D10" i="3"/>
  <c r="D26" i="3"/>
  <c r="D42" i="3"/>
  <c r="D60" i="3"/>
  <c r="D13" i="3"/>
  <c r="D29" i="3"/>
  <c r="D45" i="3"/>
  <c r="D30" i="3"/>
  <c r="D15" i="3"/>
  <c r="D63" i="3"/>
  <c r="D32" i="3"/>
  <c r="D17" i="3"/>
  <c r="D33" i="3"/>
  <c r="D49" i="3"/>
  <c r="D65" i="3"/>
  <c r="D81" i="3"/>
  <c r="D82" i="3"/>
  <c r="D83" i="3"/>
  <c r="D20" i="3"/>
  <c r="D36" i="3"/>
  <c r="D52" i="3"/>
  <c r="D68" i="3"/>
  <c r="D84" i="3"/>
  <c r="D57" i="3"/>
  <c r="D58" i="3"/>
  <c r="D12" i="3"/>
  <c r="D28" i="3"/>
  <c r="D44" i="3"/>
  <c r="D76" i="3"/>
  <c r="D61" i="3"/>
  <c r="D14" i="3"/>
  <c r="D62" i="3"/>
  <c r="D47" i="3"/>
  <c r="D16" i="3"/>
  <c r="D64" i="3"/>
  <c r="D50" i="3"/>
  <c r="D4" i="3"/>
  <c r="D19" i="3"/>
  <c r="D35" i="3"/>
  <c r="D51" i="3"/>
  <c r="D85" i="3"/>
  <c r="D41" i="3"/>
  <c r="D74" i="3"/>
  <c r="D77" i="3"/>
  <c r="D46" i="3"/>
  <c r="D31" i="3"/>
  <c r="D48" i="3"/>
  <c r="D18" i="3"/>
  <c r="D34" i="3"/>
  <c r="D66" i="3"/>
  <c r="D67" i="3"/>
  <c r="D5" i="3"/>
  <c r="D21" i="3"/>
  <c r="D37" i="3"/>
  <c r="D53" i="3"/>
  <c r="D69" i="3"/>
  <c r="D6" i="3"/>
  <c r="D22" i="3"/>
  <c r="D38" i="3"/>
  <c r="D54" i="3"/>
  <c r="D70" i="3"/>
  <c r="D86" i="3"/>
  <c r="D7" i="3"/>
  <c r="D23" i="3"/>
  <c r="D39" i="3"/>
  <c r="D55" i="3"/>
  <c r="D71" i="3"/>
  <c r="D87" i="3"/>
  <c r="D8" i="3"/>
  <c r="D24" i="3"/>
  <c r="D40" i="3"/>
  <c r="D56" i="3"/>
  <c r="D72" i="3"/>
  <c r="D88" i="3"/>
  <c r="D89" i="3"/>
  <c r="D90" i="3"/>
  <c r="D11" i="3"/>
  <c r="D27" i="3"/>
  <c r="D43" i="3"/>
  <c r="D59" i="3"/>
  <c r="D75" i="3"/>
  <c r="D91" i="3"/>
  <c r="D92" i="3"/>
  <c r="A113" i="1" l="1"/>
  <c r="A114" i="1"/>
  <c r="A116" i="1" s="1"/>
  <c r="A117" i="1" s="1"/>
  <c r="A118" i="1" s="1"/>
  <c r="A119" i="1" s="1"/>
  <c r="A121" i="1" s="1"/>
  <c r="A122" i="1" s="1"/>
  <c r="A123" i="1" s="1"/>
  <c r="A124" i="1" s="1"/>
  <c r="A125" i="1" s="1"/>
  <c r="A126" i="1" s="1"/>
  <c r="A128" i="1" s="1"/>
  <c r="A129" i="1" s="1"/>
  <c r="A130" i="1" s="1"/>
  <c r="A131"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6" i="1" s="1"/>
  <c r="A177" i="1" s="1"/>
  <c r="A178" i="1" s="1"/>
  <c r="A179" i="1" s="1"/>
  <c r="A180" i="1" s="1"/>
  <c r="A182" i="1" s="1"/>
  <c r="A183" i="1" l="1"/>
  <c r="A184" i="1" s="1"/>
  <c r="A185" i="1" s="1"/>
  <c r="A186" i="1" s="1"/>
  <c r="A187" i="1"/>
  <c r="A188" i="1" s="1"/>
  <c r="A189" i="1" s="1"/>
</calcChain>
</file>

<file path=xl/sharedStrings.xml><?xml version="1.0" encoding="utf-8"?>
<sst xmlns="http://schemas.openxmlformats.org/spreadsheetml/2006/main" count="8030" uniqueCount="3091">
  <si>
    <t>GeoPoll Submission Form</t>
  </si>
  <si>
    <t>FAO - Household Questionnaire</t>
  </si>
  <si>
    <t>Additional notes</t>
  </si>
  <si>
    <t>Q #</t>
  </si>
  <si>
    <t>Q Name</t>
  </si>
  <si>
    <t>Suggested Qname</t>
  </si>
  <si>
    <t>English</t>
  </si>
  <si>
    <t>Length</t>
  </si>
  <si>
    <t>ha_Hausa</t>
  </si>
  <si>
    <t>ff_Fulah</t>
  </si>
  <si>
    <t>Q Type</t>
  </si>
  <si>
    <t>Randomize</t>
  </si>
  <si>
    <t>Conditional</t>
  </si>
  <si>
    <t>Programming Instructions</t>
  </si>
  <si>
    <t>Codes</t>
  </si>
  <si>
    <t>Skip Pattern</t>
  </si>
  <si>
    <t>GeoPoll Comments</t>
  </si>
  <si>
    <t>Default skip patterns &amp; conditional</t>
  </si>
  <si>
    <t>Specify skip pattern variable - from blue text</t>
  </si>
  <si>
    <t>A. PRESENTATION OF THE SURVEY AND ELIGIBILITY CRITERIA SELECTION</t>
  </si>
  <si>
    <t>NA</t>
  </si>
  <si>
    <t>Optin</t>
  </si>
  <si>
    <t>Open Ended</t>
  </si>
  <si>
    <t>Form Type - TextBox</t>
  </si>
  <si>
    <t>Any Response = phone_number</t>
  </si>
  <si>
    <t>phone_number</t>
  </si>
  <si>
    <t xml:space="preserve">Input the phone number that you are contacting: </t>
  </si>
  <si>
    <t>Shigar da lambar wayar da kuke tuntuɓar:</t>
  </si>
  <si>
    <t>Naatin tonngoode ƴownirgel nde a ƴownirta:</t>
  </si>
  <si>
    <t>Any Response = calldispo</t>
  </si>
  <si>
    <t>calldispo</t>
  </si>
  <si>
    <t>Phone number: #CATI_MOBILENUMBER#
1)Someone answers
2)Answering machine
3)No answer
4)Hang up or refusal
5)Call back
6)Under review
7)Disconnected</t>
  </si>
  <si>
    <t>Lambar waya: #CATI_MOBILENUMBER#
1)Wani ya amsa
2)Injin ɗin amsawa
3)Ba a amsa ba
4)Kashe waya ko ƙi
5)Kira daga baya
6)Ƙarƙashin nazari
7)An katse</t>
  </si>
  <si>
    <t>Tonngoode ƴownirgel #CATI_MOBILENUMBER#
1)Jaabuye goɗɗo
2)Maasin jaabuye
3)(w)alaa jaabuye
4)Woppude walla salaade
5)Ƴownutude
6)Ena laartee
7)Sennditaama</t>
  </si>
  <si>
    <t>Single Choice</t>
  </si>
  <si>
    <t>Form Type - Buttons</t>
  </si>
  <si>
    <t>1 = resp_language
2 = AnsweringMachine
3 = NoAnswer
4 = Refusal
5 = WhenCallBack
6 = UnderReview
7 = Disconnected</t>
  </si>
  <si>
    <t>AnsweringMachine</t>
  </si>
  <si>
    <t>calldispo_answeringmachine</t>
  </si>
  <si>
    <t>Reached an answering machine.</t>
  </si>
  <si>
    <t>Ya isa injin ɗin amsawa.</t>
  </si>
  <si>
    <t>Heewtii maasin jaabuye.</t>
  </si>
  <si>
    <t>End Poll AnsweringMachine</t>
  </si>
  <si>
    <t>NoAnswer</t>
  </si>
  <si>
    <t>calldispo_noanswer</t>
  </si>
  <si>
    <t>Phone rang and no one answered.</t>
  </si>
  <si>
    <t>Waya tayi kara babu wanda ya amsa.</t>
  </si>
  <si>
    <t>Ƴownirgel sonnyii nden [w] alaa jaabiiɗo.</t>
  </si>
  <si>
    <t>End Poll NoAnswer</t>
  </si>
  <si>
    <t>UnderReview</t>
  </si>
  <si>
    <t>calldispo_underreview</t>
  </si>
  <si>
    <t>Case needs review by a supervisor.</t>
  </si>
  <si>
    <t>Shari'ar na buƙatar dubawa daga mai kulawa.</t>
  </si>
  <si>
    <t>Lamar kan ena marani haaje laarteede.</t>
  </si>
  <si>
    <t>End Poll UnderReview</t>
  </si>
  <si>
    <t>Disconnected</t>
  </si>
  <si>
    <t>calldispo_disconnected</t>
  </si>
  <si>
    <t>Phone was disconnected or out of service.</t>
  </si>
  <si>
    <t>An katse wayar ko ba ta aiki.</t>
  </si>
  <si>
    <t>Ƴownirgel ndarnaama walla [w] alaa to heɓetee.</t>
  </si>
  <si>
    <t>End Poll Disconnected</t>
  </si>
  <si>
    <t>resp_language</t>
  </si>
  <si>
    <t>Which language do you wish to proceed with?
[OPERATOR: READ ANSWER CHOICES. SINGLE RESPONSE.]
1)English
2)Hausa
3)Fulani</t>
  </si>
  <si>
    <t>Wane yare kuke son ci gaba da shi?
[MAI AIKI: KARANTA ZABEN AMSA. AMSA GUDA ƊAYA.]
1)Turanci
2)Hausa
3)Fulfulɗe</t>
  </si>
  <si>
    <t>Ngale ɗemngal ngiɗɗaa tokkitinaa e maagal? 
[KAKKILANOOWO: JANNGU CUƁAAƊI JAABUYE ƊIN. JAABUYE WOOTERE.] 
1)Inngiliisre
2)Hawsaare
3)Fulfulde</t>
  </si>
  <si>
    <t>1 = introduction [English]
2 = introduction [Hausa]
3 = introduction [Fulani]</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</si>
  <si>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</si>
  <si>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</si>
  <si>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</si>
  <si>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</si>
  <si>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Sannu yallaɓai, sunana #OPERATOR#, kuma ina kira daga hukumar zaɓe ta GeoPoll a madadin ƙungiyar agaji mai suna FAO. Muna gudanar da bincike kan damar iya samun abinci a yankinku da kuma tasirin cutar COVID-19. Ina so in yi maku wasu tambayoyi game da gidan ku.
Binciken yawanci yana ɗaukar mintuna 15/20 kafin a kammala. Duk bayanan da kuka bayar za a kiyaye su cikin sirri, za'ayi amfani da su kawai don manufar binciken kuma ba za a nuna wa wasu mutane ba. Ba za a tattara bayanan sirri ba. Kasancewar ku na son rai a sakamakon wannan hirar ba ta kowace hanya da ke da alaƙa da damar ku na samun kowane taimako. kuna da ikon kin amsa ko wace tambaya, kuma kuna da ikon fita daga tamabayoyin, muna fatan zaku shiga tunda ra'ayoyinku na da mahimmanci.
Zaku sami #TOPUP#! na sadarwar bashi a matsayin abin ƙarfafawa don shiga binciken.
Lura cewa ana iya yin rikodin wannan kiran don dalilai masu inganci.
Kuna da wasu tambayoyi?
[MAI AIKI: TAMBAYOYIN ADIRESHI DAGA MAI AMSAWA, IDAN WATA.]
1)CI GABA</t>
  </si>
  <si>
    <t>Barkaa maa a hofnaama, innde-am ko #OPERATOR#, kadi miɗo ƴewna gila GeoPoll Polling Agency dow darnde fedde walliinde neɗɗanke bi'eteende Fedde Nyaamndu e Ndemri nde Fedde Mooɓgal Leyɗe Winndere. Min ɗon ndoggina biɗitol dow baawɗe gure heedi heɓde nyaamndu to nokku mooɗon e caɗeele ɗe masiibo Covid-19 wardi. miɗo yiɗi ƴaamde-ma goɗɗe ƴame dow wuro maa.
Biɗitol ngol e hoosa ba mintiiji 15/20 ko timminee. kala bayaanuuji ɗi ndokkuɗaa ɗi ngonay cuuɗiɗi sanne, ɗi keɓay naftireede tan dow daliila biɗitol ngol boo woɓɓe yimɓe ɓen hollataake bayaanuuji ɗin. (W)alaa bayaanuuji tinndinooji neɗɗo jaɓeteeɗi. Ngartam gewdidal maa nder biɗitol ngol dow yiɗde hoore maa WONAA NDER KALA FII KO waɗata daliila heɓde kala walliinde. Ɗu'um waɗay dow yiɗde hoore maa boo so a yiɗi a jaabataako kala ƴamal fuu. fuu e non, min ngeloo a tawee nder jaabotooɓe nde laati jaabuye maaɗa woodi saman.     
A heɓay hookeede #TOPUP#! wona njoɓdi maatootiral ngam taweede nder biɗitol ngol.
Useni anndu ƴownaandu ndu'u wonay adeteendu ngam laaɓeendam sababu biɗitol ngol.
A woodi kala ƴamol na?
[KAKKILANOOWO: TINNDINOOJE ƳAME ƊEN GILA JAABOTOOƁE, SO WOODI.] 
1)JOKKU</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</si>
  <si>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</si>
  <si>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</si>
  <si>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</si>
  <si>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</si>
  <si>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</si>
  <si>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</si>
  <si>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Shin kuna sha'awar shiga wannan binciken?
[Mai Aikata: AMSA GUDA ƊAYA]
1)Iya
2)Ba yanzu ba amma wani lokaci a cikin mako
3)Ba [A'a]</t>
  </si>
  <si>
    <t>A woodi haaje taweede nder biɗitol ngo'ol?
[KAKKILANOOWO: JAABUYE WOOTERE]
1)Iyi
2)Naa jooni ammaa wona nder asaweere nde'e
3)Naa non</t>
  </si>
  <si>
    <t>StartRecording</t>
  </si>
  <si>
    <t>1 = id_panel
2 = WhenCallBack
3 = resp_refusalwhy</t>
  </si>
  <si>
    <t>if Agree = 1, go to resp_firstname
if Agree = 2, go to WhenCallBack
if Agree = 3, go to resp_refusalwhy</t>
  </si>
  <si>
    <t>id_panel</t>
  </si>
  <si>
    <t>Have you or any member of your household received a call on behalf of FAO regarding this topic in the past two years?
[OPERATOR: SINGLE RESPONSE.]
1)YES
2)NO
3)DON'T KNOW</t>
  </si>
  <si>
    <t xml:space="preserve">It is highly recommended to include the question id_panel if a panelist approach is used. </t>
  </si>
  <si>
    <t>1-3 = resp_firstname</t>
  </si>
  <si>
    <t>Question added by LM</t>
  </si>
  <si>
    <t>no</t>
  </si>
  <si>
    <t>resp_refusalwhy</t>
  </si>
  <si>
    <t>Please let us know why you have REFUSED to take the survey.
[OPERATOR: SINGLE RESPONSE]
1)Not interested
2)Do not want to be recorded
3)Other [specify]</t>
  </si>
  <si>
    <t>Don Allah ka sanar da mu dalilin da ya sa kuka ƙi yin binciken.
[Mai Aikata: AMSA GUDA ƊAYA]
1)Bana sha'awar yi
2)Kada ayi rikodin
3)Wasu [bayyana]</t>
  </si>
  <si>
    <t>Useni haalu min ko waɗi A SALII wonuki nder biɗitol ngo'ol. 
[KAKKILANOOWO: JAABUYE WOOTERE]
1)Walaa haaje
2)Mi yiɗa adaneede daande
3)Goɗɗi [wanngin]</t>
  </si>
  <si>
    <t>Open Ended-Single Choice</t>
  </si>
  <si>
    <t>Form Type - RadioList</t>
  </si>
  <si>
    <t>Any Response = Refusal</t>
  </si>
  <si>
    <t>For any response, go to Refusal</t>
  </si>
  <si>
    <t>WhenCallBack</t>
  </si>
  <si>
    <t>resp_whencallback</t>
  </si>
  <si>
    <t>When would it be a good time to call you back?
[RECORD HH/MM/DD/MM OF CALLBACK]</t>
  </si>
  <si>
    <t>Yaushe zai yi kyau in sake kiran ka/ki ?
[RUBUTA HH/MM/DD/MM NA SAKE KIRA</t>
  </si>
  <si>
    <t>Nde ɓuran-maa a ƴownee ton yeeso ɗo'o? 
[ADU HH/MM/DD/MM ƳOWNUTU]</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</si>
  <si>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</si>
  <si>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</si>
  <si>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</si>
  <si>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</si>
  <si>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</si>
  <si>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</si>
  <si>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Na gode, za mu sake kiran ka a {WhenCallBack} da kuka nema.Na sake gode muku kuma ku kasance lafiya
[MAI AIKI: SHIGAR BAYANEN KIRAN, WANDA KAYI MAGANA DA ABINDA SUKA FADA]"</t>
  </si>
  <si>
    <t>A yettaama, min ƴownititte {WhenCallBack} sarde nde a ƴamani. Min ngettitii-ma siwta jam!
[KAKKILANOOWO: NAATIN BAYAANUUJI ƳOWNAALI ƊO'O LES, MOYE A HAALDI NDEN KO ƁE MBI'I]</t>
  </si>
  <si>
    <t>Any Response = End poll callback</t>
  </si>
  <si>
    <t>Ineligible</t>
  </si>
  <si>
    <t>You are ineligible for this survey. Thank you for your time and please look out for future surveys!</t>
  </si>
  <si>
    <t>Ba ku cancanci wannan binciken ba. Na gode don lokacinku kuma da fatan za a duba binciken GeoPoll na gaba! Don ƙarin bayani ziyarci GeoPoll.com</t>
  </si>
  <si>
    <t>A wonataa nder biɗitol ngol. Min ngettii maa e wakkati maaɗa nden useni laartu yeeso dow ko laarani biɗitol GeoPoll! Ngam heɓde bayaanuuji yalɗir GeoPoll.com</t>
  </si>
  <si>
    <t>End Poll Ineligible</t>
  </si>
  <si>
    <t>Refusal</t>
  </si>
  <si>
    <t>NA </t>
  </si>
  <si>
    <t>Thank you for your time, you will be removed from today's survey.</t>
  </si>
  <si>
    <t>Na gode da lokacinku, za a cire ku daga binciken rana ta yau.</t>
  </si>
  <si>
    <t>Min ngettii maa e wakkati maaɗa, a foti itteede nder biɗitol hannde.</t>
  </si>
  <si>
    <t>End poll declined</t>
  </si>
  <si>
    <t>B. GENERAL INFORMATION &amp; ELIGIBILITY CRITERIA</t>
  </si>
  <si>
    <t>resp_firstname</t>
  </si>
  <si>
    <t>What is your first name?
[OPERATOR: RECORD THE RESPONDENT'S FIRST NAME. ENTER 999 FOR REFUSED.]</t>
  </si>
  <si>
    <t>Menene sunanka na farko?
[MAI AIKI: RUBUTA SUNAN MAI AMSAWA NA FARKO. Shigar da 999 don ƙin yarda.]</t>
  </si>
  <si>
    <t>[Hol] no innde maa aranndeere?
[KAKKILANOOWO: ADU INNDE ARANNDEERE NDE JAABOTOOƊO. NAATIN 999 DARNDE SALAADE.]</t>
  </si>
  <si>
    <t>Any Response = resp_lastname</t>
  </si>
  <si>
    <t>For any response, go to resp_lastname</t>
  </si>
  <si>
    <t>resp_lastname</t>
  </si>
  <si>
    <t>What is your last name? 
[OPERATOR: RECORD THE RESPONDENT'S LAST NAME. ENTER 999 FOR REFUSED.]</t>
  </si>
  <si>
    <t>Menene sunanki/ka na karshe?
[MAI AIKI: RUBUTA SUNAN MAI AMSA NA KARSHE. SHIGA 999 DON ƙin yarda.]</t>
  </si>
  <si>
    <t>[Hol] no innde maa sekitiinde?
[KAKKILANOOWO: ADU INNDE ARANNDEERE NDE JAABOTOOƊO. NAATIN 999 DARNDE SALAADE.]</t>
  </si>
  <si>
    <t>Any Response = resp_age</t>
  </si>
  <si>
    <t>For any response, go to resp_age</t>
  </si>
  <si>
    <t>resp_age</t>
  </si>
  <si>
    <t>How old are you? 
[OPERATOR: RECORD AGE IN NUMBER OF YEARS. ROUND UP TO NEAREST WHOLE NUMBER. IF THE RESPONDENT GIVES BIRTH YEAR, REPEAT THE QUESTION. ENTER 00 FOR DON'T KNOW.]</t>
  </si>
  <si>
    <t>Shekaranka nawa?
[MAI AIKI: RUBUTA SHEKARU A MATSAYIN SHEKARU. ZAGAYA ZUWA GA DUKKANIN LAMBAR. IDAN MAI AMSA YA BAYAR DA SHEKARAR HAIHUWARSU, YA MAIMAITA TAMBAYA. SHIGA 00 DON BAN SANI BA.]</t>
  </si>
  <si>
    <t>Duuɓi maa noye?
[KAKKILANOOWO: NAATIN LIMARO DUUƁI ƊIN. YAHAN LIMARO ƁADIINGO ƁADAADE. SO JAABOTOOƊO ON JAABAKE DUUƁU DAYNGOL NGOL, ƳAMTA ƳAMOL NGOL. NAATIN 00 DARNDE ANNDAA.</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</si>
  <si>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</si>
  <si>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</si>
  <si>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</si>
  <si>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</si>
  <si>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</si>
  <si>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Menene jinsin wanda ake kara?
[MAI AIKI: KAR KA TAMBAYI WANNAN TAMBAYAR. SAURARI MURYA KUMA KA DUBA AKWATIN DA SHINE.]
1)Namiji
2)Mace
3)BAN SANI BA
4)BA ZA A AMSA BA</t>
  </si>
  <si>
    <t>[Hol] ko woni njogoram jaabotooɗo on?
[KAKKILANOOWO: TAA ƳAMU NGO'OL ƳAMOL. HEƊITA DAANDE NDEN A WINNDITOO GUREL NGEL.]
1)Gorko
2)Debbo
3)ANNDAAKA
4)SALAKE</t>
  </si>
  <si>
    <t>1-4 = phone_number_conf</t>
  </si>
  <si>
    <t>For any response, go to phone_number_conf</t>
  </si>
  <si>
    <t>phone_number_conf</t>
  </si>
  <si>
    <t>Is the phone number I am calling you on yours or a household members?
[OPERATOR: SINGLE RESPONSE.]
1)YES
2)NO
3)DON'T KNOW
4)REFUSED</t>
  </si>
  <si>
    <t>Lambar wayar da nake kiranki naki ne ko na dan gidan ku?
[MAI AIKI: AMSA GUDA ƊAYA.]
1)EH
2)A'A
3)BAN SANI BA BA
4)BA ZA A AMSA BA</t>
  </si>
  <si>
    <t>Tonngoode ƴownirgel nde mi ƴownir-ma ko tonngoode ƴownirgel maa walla ngel wuro?
[KAKKILANOOWO: JAABUYE WOOTERE.]
1)IYI
2)NAA NON
3)ANNDAA
4)SALAKE</t>
  </si>
  <si>
    <t>1 = contact_2
2 = phone_number_personal
3-4 = contact_2</t>
  </si>
  <si>
    <t>if phone_number_conf = 1, go to contact_2
if phone_number_conf = 2, go to phone_number_personal
if phone_number_conf = 3-4, go to contact_2</t>
  </si>
  <si>
    <t>phone_number_personal</t>
  </si>
  <si>
    <t>phone_number_pers</t>
  </si>
  <si>
    <t>What is your phone number?
[OPERATOR: RECORD THE NUMBER GIVEN]</t>
  </si>
  <si>
    <t>Menene lambar wayarku?
[MAI AIKI: RUBUTA LAMBAR WAYAR DA AKA BADA]</t>
  </si>
  <si>
    <t>[Hol]ko woni tonngoode ƴownirgel maa?
[KAKKILANOOWO: ADU TONNGOODE ƳOWNIRGEL NDOKKAANDE]</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</si>
  <si>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</si>
  <si>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</si>
  <si>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</si>
  <si>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</si>
  <si>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1-3 = phone_number_2
4-6 = hh_admin1</t>
  </si>
  <si>
    <t>Answer option 2 was introduced</t>
  </si>
  <si>
    <t>yes - panel</t>
  </si>
  <si>
    <t>phone_number_2</t>
  </si>
  <si>
    <t>What is the additional phone number?
[OPERATOR: RECORD THE NUMBER GIVEN]</t>
  </si>
  <si>
    <t>Mene ne ƙarin lambar waya?
[MAI AIKI: RUBUTA LAMBAR WAYAR DA AKA BADA]</t>
  </si>
  <si>
    <t>[Hol]ko woni tonngoode ƴownirgel ngel ɗawtaade?
[KAKKILANOOWO: ADU TONNGOODE ƳOWNIRGEL NDOKKAANDE]</t>
  </si>
  <si>
    <t>Any Response = contact_2_name</t>
  </si>
  <si>
    <t>For any response, go to contact_2_name</t>
  </si>
  <si>
    <t>contact_2_name</t>
  </si>
  <si>
    <t>What is the name of the contact?
[OPERATOR: RECORD THE NAME OF THE CONTACT FOR THE PHONE NUMBER.]</t>
  </si>
  <si>
    <t>Menene sunan abokin hulɗa?
[MAI AIKI: RUBUTA SUNAN DA AKA BAYAR]</t>
  </si>
  <si>
    <t>[Hol] ko woni innde ƴowneteeɗo on?
[KAKKILANOOWO: ADU INNDE NDOKKAANDE]</t>
  </si>
  <si>
    <t>Send if "contact_2" "Equals" "YES - friend or relative [non-household member]" if not satisfied go to "contact_3"</t>
  </si>
  <si>
    <t>Any Response = contact_3</t>
  </si>
  <si>
    <t>Asked if "contact_2" "Equals" "YES - friend or relative". Otherwise, it skips to "contact_3".
For any response, go to contact_3</t>
  </si>
  <si>
    <t>contact_3</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</si>
  <si>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</si>
  <si>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1-2 = phone_number_3
3-6 = hh_admin1</t>
  </si>
  <si>
    <t>Answer option 2 was added</t>
  </si>
  <si>
    <t>phone_number_3</t>
  </si>
  <si>
    <t>Any Response = contact_3_name</t>
  </si>
  <si>
    <t>For any response, go to contact_3_name</t>
  </si>
  <si>
    <t>contact_3_name</t>
  </si>
  <si>
    <t>phone_number_3_name</t>
  </si>
  <si>
    <t>[Hol]ko woni innde ƴowneteeɗo on?
[KAKKILANOOWO: ADU INNDE NDOKKAANDE]</t>
  </si>
  <si>
    <t>Send if "contact_3" "Equals" "YES - friend or relative [non-household member]" if not satisfied go to "hh_admin1"</t>
  </si>
  <si>
    <t>Any Response = hh_admin1</t>
  </si>
  <si>
    <t>Asked if "contact_3" "Equals" "YES - friend or relative". Otherwise, it skips to "hh_admin1".
For any response, go to hh_admin1</t>
  </si>
  <si>
    <t>hh_admin1</t>
  </si>
  <si>
    <t>Currently, in which State does your household reside?
[OPERATOR: SINGLE SELECTION.]
[HINT: HOUSEHOLD CONSISTS OF ALL MEMBERS LIVING TOGETHER, SHARING RESOURCES &amp; EATING FROM THE SAME POT.]
1)BORNO
2)ADAMAWA
3)YOBE
4)KATSINA
5)ZAMFARA
6)OTHER
7)DON'T KNOW
8)REFUSED</t>
  </si>
  <si>
    <t>Yanzu a wace Jiha ce gidan ku yake?
[Mai Aikata: ZABI GUDA ƊAYA.]
[ABUBUWAN: IYALI SUN KUNSHI DUK YAN UWA MASU RAYU TARE, DA RABON ARZIKI DA CIN KWASKI DAYA.]
1)BORNO
2)ADAMAWA
3)YOBE
4)KATSINA
5)ZAMFARA
6)SAURAN
7)BAN SANI BA
8)BA ZA A AMSA BA</t>
  </si>
  <si>
    <t>Jooni, e ngale diiwal wuro maaɗa tawetee?
[KAKKILANOOWO: SUƁANNDE WOOTERE.]
[SAPPIRDE: WURO E SAAWI KALA TAWDORAAƁE FUU JOOƊDIIƁE NOKKU WOOTU, MARƁE KUUJE WOOTE &amp; E NYAAMA GILA FOTIIRE WOOTERE.]
1)BORNO
2)ADAMAWA
3)YOOBE
4)KATSINA
5)ZAMFARA
6)GONNGAL
7)ANNDAAKA
8)SALAKE</t>
  </si>
  <si>
    <t>Form Type - Buttons
IsDemographic - ADM1</t>
  </si>
  <si>
    <t>1 = hh_admin2_1
2 = hh_admin2_2
3 = hh_admin2_3
4 = hh_admin2_4
5 = hh_admin2_5
6-8 = Ineligible</t>
  </si>
  <si>
    <t xml:space="preserve">The administrative information will be updated by GeoPoll based on the sample design document and the administrative boundaries provided by the dashboard team after the questionnaire validation. </t>
  </si>
  <si>
    <t>hh_admin2_1</t>
  </si>
  <si>
    <t>Currently, in which Local Government Area (LGA) does your household reside?
[OPERATOR: SINGLE RESPONSE.]
1)ABADAM
2)ASKIRA/UBA
3)BAMA
4)BAYO
5)BIU
6)CHIBOK
7)DAMBOA
8)DIKWA
9)GUBIO
10)GUZAMALA
11)GWOZA
12)HAWUL
13)JERE
14)KAGA
15)KALA/BALGE
16)KONDUGA
17)KUKAWA
18)KWAYA KUSAR
19)MAFA
20)MAGUMERI
21)MAIDUGURI
22)MARTE
23)MOBBAR
24)MONGUNO
25)NGALA
26)NGANZAI
27)SHANI
28)DON'T KNOW
29)REFUSED</t>
  </si>
  <si>
    <t>Yanzu, a wace ƙaramar hukumar ku ke zaune?
[MAI AIKI: AMSA GUDA ƊAYA.]
1)ABADAM
2)ASKIRA/UBA
3)BAMA
4)BAYO
5)BIU
6)CHIBOK
7)DAMBOA
8)DIKWA
9)GUBA
10)GUZAMALA
11)GWOZA
12)HAUSHI
13)JERE
14)KAGA
15)KALA/BALGE
16)KONDUGA
17)KUKAWA
18)KWAYA KUSAR
19)MAFA
20)MAGUMERI
21)MAIDUGURI
22)MARTA
23)MOBBAR
24)MONGUNO
25)NGALA
26)NGANZAI
27)SHANI
28)BAN SANI BA BA
29)BA ZA A AMSA BA</t>
  </si>
  <si>
    <t>Jooni, nder hukuuma pamara kaye wuro maa tawetee?
[KAKKILANOOWO: JAABUYE WOOTERE.]
1)ABADAM
2)ASKIRA/UBA
3)BAAMA
4)BAAYO
5)BIYU
6)CHIBOK
7)DAMBUWA
8)DIKWA
9)GUBIO
10)GUZAMALA
11)GWOZA
12)HAWUL
13)JEERE
14)KAGA
15)KALA/BALGE
16)KONNDUGA
17)KUUKAAWA
18)KWAYA KUSAR
19)MAFA
20)MAAGUMEERI
21)MAYDUGUURI
22)MARTE
23)MOBBAR
24)MONNGUNO
25)NGALA
26)NGANZAI
27)SHAANI
28)ANNDAAKA
29)SALAKE</t>
  </si>
  <si>
    <t>Form Type - Dropdown
IsDemographic - ADM2</t>
  </si>
  <si>
    <t>1-27 = quotareached
28-29 = Ineligible</t>
  </si>
  <si>
    <t>hh_admin2_2</t>
  </si>
  <si>
    <t>Currently, in which Local Government Area (LGA) does your household reside?
[OPERATOR: SINGLE RESPONSE.]
1)DEMSA
2)FUFORE
3)GANYE
4)GIREI
5)GOMBI
6)GUYUK
7)HONG
8)JADA
9)LAMURDE
10)MADAGALI
11)MAIHA
12)MAYO-BELWA
13)MICHIKA
14)MUBI NORTH
15)MUBI SOUTH
16)NUMAN
17)SHELLENG
18)SONG
19)TOUNGO
20)YOLA NORTH
21)YOLA SOUTH
22)DON'T KNOW
23)REFUSED</t>
  </si>
  <si>
    <t>Yanzu, a wace ƙaramar hukumar ku ke zaune?
[MAI AIKI: AMSA GUDA ƊAYA.]
1)DEMSA
2)FUFORE
3)GANYE
4)GIREI
5)GOMBI
6)GUYUK
7)HONG
8)JADA
9)LAMURDE
10)MADAGALI
11)MAIHA
12)MAYO-BELWA
13)MICHIKA
14)MUBI NORTH
15)MUBI SOUTH
16)NUMAN
17)SHELLENG
18)SONG
19)TOUNGO
20)YOLA NORTH
21)YOLA SOUTH
22)BAN SANI BA BA
23)BA ZA A AMSA BA</t>
  </si>
  <si>
    <t>Jooni, nder hukuuma pamara kaye wuro maa tawetee?
[KAKKILANOOWO: JAABUYE WOOTERE.]
1)DEMSA
2)FUFORE
3)GANYE
4)GIREI
5)GOMBI
6)GUYUK
7)HONG
8)JADA
9)LAMURDE
10)MADAGALI
11)MAIHA
12)MAYO-BELWA
13)MICHIKA
14)MUBI NORTH
15)MUBI SOUTH
16)NUMAN
17)SHELLENG
18)SONG
19)TOUNGO
20)YOLA NORTH
21)YOLA SOUTH
22)ANNDAAKA
23)SALAKE</t>
  </si>
  <si>
    <t>1-21 = quotareached
22-23 = Ineligible</t>
  </si>
  <si>
    <t>hh_admin2_3</t>
  </si>
  <si>
    <t>Currently, in which Local Government Area (LGA) does your household reside?
[OPERATOR: SINGLE RESPONSE.]
1)BADE
2)BURSARI
3)DAMATURU
4)FIKA
5)FUNE
6)GEIDAM
7)GUJBA
8)GULANI
9)JAKUSKO
10)KARASUWA
11)MACHINA
12)NANGERE
13)NGURU
14)POTISKUM
15)TARMUA
16)YUNUSARI
17)YUSUFARI
18)DON'T KNOW
19)REFUSED</t>
  </si>
  <si>
    <t>Yanzu, a wace ƙaramar hukumar ku ke zaune?
[MAI AIKI: AMSA GUDA ƊAYA.]
1)BADE
2)BURSARI
3)DAMATURU
4)FIKA
5)FUNE
6)GEIDAM
7)GUJBA
8)GULANI
9)JAKUSKO
10)KARASUWA
11)MACHINA
12)NANGERE
13)NGURU
14)POTISKUM
15)TARMUA
16)YUNUSARI
17)YUSUFARI
18)BAN SANI BA BA
19)BA ZA A AMSA BA</t>
  </si>
  <si>
    <t>Jooni, nder hukuuma pamara kaye wuro maa tawetee?
[KAKKILANOOWO: JAABUYE WOOTERE.]
1)BADE
2)BURSARI
3)DAMATURU
4)FIKA
5)FUNE
6)GEIDAM
7)GUJBA
8)GULANI
9)JAKUSKO
10)KARASUWA
11)MACHINA
12)NANGERE
13)NGURU
14)POTISKUM
15)TARMUA
16)YUNUSARI
17)YUSUFARI
18)ANNDAAKA
19)SALAKE</t>
  </si>
  <si>
    <t>1-17 = quotareached
18-19 = Ineligible</t>
  </si>
  <si>
    <t>hh_admin2_4</t>
  </si>
  <si>
    <t>Currently, in which Local Government Area (LGA) does your household reside?
[OPERATOR: SINGLE RESPONSE.]
1)BAKORI
2)BATAGARAWA
3)BATSARI
4)BAURE
5)BINDAWA
6)CHARANCHI
7)DAN MUSA
8)DANDUME
9)DANJA
10)DAURA
11)DUTSI
12)DUTSIN-MA
13)FASKARI
14)FUNTUA
15)INGAWA
16)JIBIA
17)KAFUR
18)KAITA
19)KANKARA
20)KANKIA
21)KATSINA
22)KURFI
23)KUSADA
24)MAI'ADUA
25)MALUMFASHI
26)MANI
27)MASHI
28)MATAZU
29)MUSAWA
30)RIMI
31)SABUWA
32)SAFANA
33)SANDAMU
34)ZANGO
35)DON'T KNOW
36)REFUSED</t>
  </si>
  <si>
    <t>Yanzu, a wace ƙaramar hukumar ku ke zaune?
[MAI AIKI: AMSA GUDA ƊAYA.]
1)BAKORI
2)BATAGARAWA
3)BATSARI
4)BAURE
5)BINDAWA
6)CHARANCHI
7)DAN MUSA
8)DANDUME
9)DANJA
10)DAURA
11)DUTSI
12)DUTSIN-MA
13)FASKARI
14)FUNTUA
15)INGAWA
16)JIBIA
17)KAFUR
18)KAITA
19)KANKARA
20)KANKIA
21)KATSINA
22)KURFI
23)KUSADA
24)MAI'ADUA
25)MALUMFASHI
26)MANI
27)MASHI
28)MATAZU
29)MUSAWA
30)RIMI
31)SABUWA
32)SAFANA
33)SANDAMU
34)ZANGO
35)BAN SANI BA BA
36)BA ZA A AMSA BA</t>
  </si>
  <si>
    <t>Jooni, nder hukuuma pamara kaye wuro maa tawetee?
[KAKKILANOOWO: JAABUYE WOOTERE.]
1)BAKORI
2)BATAGARAWA
3)BATSARI
4)BAURE
5)BINDAWA
6)CHARANCHI
7)DAN MUSA
8)DANDUME
9)DANJA
10)DAURA
11)DUTSI
12)DUTSIN-MA
13)FASKARI
14)FUNTUA
15)INGAWA
16)JIBIA
17)KAFUR
18)KAITA
19)KANKARA
20)KANKIA
21)KATSINA
22)KURFI
23)KUSADA
24)MAI'ADUA
25)MALUMFASHI
26)MANI
27)MASHI
28)MATAZU
29)MUSAWA
30)RIMI
31)SABUWA
32)SAFANA
33)SANDAMU
34)ZANGO
35)ANNDAAKA
36)SALAKE</t>
  </si>
  <si>
    <t>1-34 = quotareached
35-36 = Ineligible</t>
  </si>
  <si>
    <t>hh_admin2_5</t>
  </si>
  <si>
    <t>Currently, in which Local Government Area (LGA) does your household reside?
[OPERATOR: SINGLE RESPONSE.]
1)ANKA
2)BAKURA
3)BIRNIN MAGAJI
4)BUKKUYUM
5)BUNGUDU
6)GUMMI
7)GUSAU
8)KAURA NAMODA
9)MARADUN
10)MARU
11)SHINKAFI
12)TALATA MAFARA
13)TSAFE
14)ZURMI
15)DON'T KNOW
16)REFUSED</t>
  </si>
  <si>
    <t>Yanzu, a wace ƙaramar hukumar ku ke zaune?
[MAI AIKI: AMSA GUDA ƊAYA.]
1)ANKA
2)BAKURA
3)BIRNIN MAGAJI
4)BUKKUYUM
5)BUNGUDU
6)GUMMI
7)GUSAU
8)KAURA NAMODA
9)MARADUN
10)MARU
11)SHINKAFI
12)TALATA MAFARA
13)TSAFE
14)ZURMI
15)BAN SANI BA BA
16)BA ZA A AMSA BA</t>
  </si>
  <si>
    <t>Jooni, nder hukuuma pamara kaye wuro maa tawetee?
[KAKKILANOOWO: JAABUYE WOOTERE.]
1)ANKA
2)BAKURA
3)BIRNIN MAGAJI
4)BUKKUYUM
5)BUNGUDU
6)GUMMI
7)GUSAU
8)KAURA NAMODA
9)MARADUN
10)MARU
11)SHINKAFI
12)TALATA MAFARA
13)TSAFE
14)ZURMI
15)ANNDAAKA
16)SALAKE</t>
  </si>
  <si>
    <t>1-14 = quotareached
15-16 = Ineligible</t>
  </si>
  <si>
    <t>quotareached</t>
  </si>
  <si>
    <t>[OPERATOR: DO NOT READ. ANSWER QUESTION BELOW.]
THIS RESPONDENT REPORTED THEY LIVE IN:
{ADM1}
{ADM2}
1)THE GOAL FOR THIS LOCATION HAS BEEN ACHIEVED - END SURVEY
2)THE GOAL FOR THIS LOCATION IS OPEN - CONTINUE SURVEY</t>
  </si>
  <si>
    <t>[MAI AIKI: KAR KA KARANTA. AMSA TAMBAYA A KASA.]
MAI AMSAWA YA RUWAITO SUNA ZAUNE A CIKIN:
{ADM1}
{ADM2}
1)BURIN WANNAN WURI YA CIMMA - KARSHEN BINCIKE.
2)BUDE MANUFAR WANNAN WURI – CIGABA DA BINCIKE.</t>
  </si>
  <si>
    <t>[KAKKILANOOWO: TAA JANNGU. JAABU ƳAMOL LESREWOL.]
JABOTOOƊO O'O JAABAKE NO O JOOƊI TO:
{ADM1}
{ADM2}
1)HAAJEE NOKKUURE NDEN HUMTAAMA - BIƊITOL TIMMII
2)HAAJE NOKKUURE NDEN E MAƁƁITII - JOKKU BIƊITOL</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</si>
  <si>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</si>
  <si>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</si>
  <si>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</si>
  <si>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Shin, akwai wani a gidan ku  da ya kasance yana samar da amfanin gona ko kiwon dabbobi don amfanin gida ko sayarwa a cikin watanni 12 da suka gabata, ciki har da 'yan gidan a halin yanzu da su ka tafi ci rani ?
[MAI AIKI: AMSA GUDA DAYA. WANNAN SHINE BABBAR TAMBAYAR HANNU. MAI AMSA ZAI AMSA. KAR KI MANTA KU BINCIKA GAME DA TSARO.]
[SATAR AMSAN TAMBAYA: Shin kuna noman wani abu domin ku sayar ko ku ci? Shin kuna kiwon wata dabba da niyar sayarwa ko cinta ko wani abu nasu kamar nama, madara, gashi ko fata? Shin akwai wani cikin iyalan gidanku da ya tafi da wata shanu ko wata dabba a halin yanzu domin sauya muhallin kiwo?]
1)E - noman amfanin gona
2)E - noman dabbobi
3)Na'am - duka amfanin gona da kiwo
4)A'a
5)BAN SANI BA
6)BA ZA A AMSA BA</t>
  </si>
  <si>
    <t>Woodi goɗɗo nder yimɓe wuro maa ndemooɓe gawri walla ndurooɓe ngam nyaamuki to wuro walla sooruki nder lebbi 12 caaliiɗi, hawtuɓe e tawtoraaɓe to wuro ngon ammaa e jooɗii jooni to nokku feere ngam eggo? 
[KAKKILANOOWO: JAABUYE WOOTERE. NGO'OL WONI ƳAMOL ƁURDUNGOL NDER ƊI TABITINNDE. JAABOTOOƊO HEƁAY JAABUYE. TAA YEJJUTU TABITINA KA EGGOL NGOL.]
HOLLORE KO EMETE: Wai on ɗon rema goɗɗum ngam sooron ko nyaamon? Wai on ɗon ndura dabbawa gonnga ngam sooron ko nyamki nga ko hunnde maajum goɗɗum ba kusel, kosam, gaasa ko laral? Ko won goɗɗo nder yimmɓe mon dilluɗo be dabbawa gonnga jotta ngam wattituki fellere ndurol?]
1)Iyi - ndemri aawullaji
2)Iyi  - durngol marle 
3)Iyi  - ɗiɗi fuu aawullaji e durngol
4)Naa non
5)ANNDAAKA
6)SALAKE</t>
  </si>
  <si>
    <t>1-4 = hh_fish
5-6 = Ineligible</t>
  </si>
  <si>
    <t xml:space="preserve">if hh_agricactivity = 1-4, go to resp_id. Otherwise, the respondent is ineligible. </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</si>
  <si>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</si>
  <si>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</si>
  <si>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Use this question if the survey seeks to gather important information on fisheries and/or aquaculture in the country. </t>
  </si>
  <si>
    <t>1-2 = resp_id
3-4 = Ineligible</t>
  </si>
  <si>
    <t>B. GENERAL HOUSEHOLD INFORMATION</t>
  </si>
  <si>
    <t>resp_id</t>
  </si>
  <si>
    <t xml:space="preserve">Are you the head of household? 
[OPERATOR: SINGLE RESPONSE.]
1)YES
2)NO
3)DON'T KNOW
4)REFUSED
</t>
  </si>
  <si>
    <t xml:space="preserve">Shin kaine shugaban iyalan gidanka? 
[MA'AIKACI: AMSA ƊAYA.]
1)EH
2)A'AH
3)BAN SANI BA
4)ANƘI AMSAWA
</t>
  </si>
  <si>
    <t xml:space="preserve">Aan na wani ardiiɗo yimmɓe saare ma? 
[EMOOWO: NOTARRE WOORE.]
1)EH
2)A'A
3)MI ANNDA
4)SALAKE NOTUGO
</t>
  </si>
  <si>
    <t>1 = hh_education 
2-4 = hh_gender</t>
  </si>
  <si>
    <t>if resp_id = 1, go to hh_education. 
Otherwise, go to hh_gender.</t>
  </si>
  <si>
    <t>hh_gender</t>
  </si>
  <si>
    <t>Is the head of your household male or female?
[OPERATOR: SINGLE RESPONSE.]
1)Male 
2)Female
3)DON'T KNOW
4)REFUSED</t>
  </si>
  <si>
    <t>Shugaban gidanku namiji ne ko mace?
[MAI AIKI: AMSA GUDA ƊAYA.]
1)Namiji
2)Mace
3)BAN SANI BA BA
4)BA ZA A AMSA BA</t>
  </si>
  <si>
    <t>Hooreejo wuro ko gorko walla debbo?
[KAKKILANOOWO: JAABUYE WOOTERE.]
1)Gorko
2)Debbo
3)ANNDAA
4)SALAKE</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</si>
  <si>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</si>
  <si>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</si>
  <si>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</si>
  <si>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</si>
  <si>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Mene ne matakin ilimi da shugaban gidan ya kai?
[MAI AIKI: AMSA GUDA ƊAYA.]
1)Babu ko bai kammala firamare ba
2)Kammala karatun firamare
3)Kammala secondary school
4)Kammala karatun digiri [Jami'a / Kwalejin]
5)Ilimin addini ko na yau da kullun
6)BAN SANI BA
7)BA ZA A AMSA BA</t>
  </si>
  <si>
    <t>[Hol] ko woni darnde jannde hooreejo wuro ngon?
[KAKKILANOOWO: JAABUYE WOOTERE.]
1)Janngaayi walla timminaayi jannde puraamaare
2)Timminii jannde puraamaare
3)Timminii jannde sekanndire
4)Timminii jannde janngirde townde/ ɓarde aranndeere jaaɓi-hattirde
5)Jannde diina walla anndal boowaangal tan
6)ANNDAA
7)SALAKE</t>
  </si>
  <si>
    <t>1-7 = hh_wealth_toilet</t>
  </si>
  <si>
    <t>if hh_education = 1-7, go to hh_wealth.</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</si>
  <si>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</si>
  <si>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</si>
  <si>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A ina 'yan gida suke yawan zuwa amfani da bandaki?
[Mai Aikata: ZABI DAYA.]
1)Bandaki mai ruwa
2)Bandaki marar ruwa [salga]
3)Bude rami [rami a cikin ƙasa don najasa ba tare da ruwa / rufi ko bango ba]
4)Bandaki na unguwa
5)Dajib - ko bahaya a filin unguwa
6)BAN SANI BAI
7)BA ZA A AMSA BA</t>
  </si>
  <si>
    <t>[Hol]to tawtoraaɓe wuro ngon njahata ngam filaade?
[KAKKILANOOWO: SUƁANNDE WOOTERE.]
1)Sargaha wancanteeka ndiyam [filordu marndu ndiyam]
2)Sargaha mboowaaka [ka walanaa ndiyam]
3)Nokkuure omtiinde [jaayri ngam bu'e nde walanaa ndiyam/ maɓɓoode walla mahdi]
4)Sargaha ummaatoore [marka walla ka walanaa ndiyam]
5)Walaa go'o nder – ladde walla nokkuure omtiinde ngam bu'e 
6)ANNDAA
7)SALAKE</t>
  </si>
  <si>
    <t>1-7 = hh_residencetype</t>
  </si>
  <si>
    <t>For any response, go to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</si>
  <si>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</si>
  <si>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</si>
  <si>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Optional</t>
  </si>
  <si>
    <t>1-7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</si>
  <si>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</si>
  <si>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</si>
  <si>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Mutane nawa ne a gidan?
[Mai Aikata: RUBUTA ADADIN YAN UWA A GIDA. SHIGA 88 DON KADA KA SANI &amp; 99 DON ƙin yarda.]
[ABUBUWAN: IYALI SUN KUNSHI DUK YAN UWA MASU RAYU TARE, DA RABON ARZIKI DA CIN KWASKI DAYA.]</t>
  </si>
  <si>
    <t>Yimɓe noye woni to wuro mon?
[KAKKILANOOWO: ADU LIMNGAL GONƁE NDER WURO NGON. NAATIN 88 DARNDE A ANNDAA &amp; DARNDE A SALAKE.]
[SAPPIRDE: WURO E SAAWI KALA TAWDORAAƁE FUU JOOƊDIIƁE NOKKU WOOTU, MARƁE KUUJE WOOTE &amp; E NYAAMA GILA FOTIIRE WOOTERE.]</t>
  </si>
  <si>
    <t>1-50 = hh_asset_prod
88-88 = hh_asset_prod
99-99 = hh_asset_prod</t>
  </si>
  <si>
    <t>For any response, go to [next question]</t>
  </si>
  <si>
    <t>hh_asset_prod</t>
  </si>
  <si>
    <t>hh_asset_prod_
1)hh_asset_prod_process
2)hh_asset_prod_farmmach
3)hh_asset_prod_sewing
4)hh_asset_prod_taxi
5)hh_asset_prod_truck
6)hh_asset_prod_other
7) hh_asset_prod_none
8) hh_asset_prod_dk
9) hh_asset_prod_ref</t>
  </si>
  <si>
    <t>Does your household own any of the following productive assets? 
[OPERATOR: MULTIPLE RESPONSES POSSIBLE. READ ANSWER OPTIONS OUT LOUD.]
1)Processing assets [e.g. grinding/crushing machine/mill/oil press/fish tanks]
2)Farm or fishing machinery [e.g. tractor/plough/sickle/boats/engines]
3)Sewing machine or weaving tool 
4)Taxi
5)Truck
6)Other productive machines or assets
7)No productive machines or assets
8)DON'T KNOW
9)REFUSED</t>
  </si>
  <si>
    <t>Select All That Apply</t>
  </si>
  <si>
    <t>Form Type - Checklist
7,8,9 = IsNone</t>
  </si>
  <si>
    <t>1)hh_asset_prod_process
2)hh_asset_prod_farmmach
3)hh_asset_prod_sewing
4)hh_asset_prod_taxi
5)hh_asset_prod_truck
6)hh_asset_prod_other
7)hh_asset_prod_none
8)hh_asset_prod_dk
9)hh_asset_prod_ref</t>
  </si>
  <si>
    <t>1-9 = hh_asset_transp</t>
  </si>
  <si>
    <t>hh_asset_transp</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</si>
  <si>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</si>
  <si>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</si>
  <si>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Form Type - Checklist
9,10,11 = IsNone</t>
  </si>
  <si>
    <t>1)hh_asset_transp_bici
2)hh_asset_transp_cart
3)hh_asset_transp_boatmotor
4)hh_asset_transp_boatnomotor
5)hh_asset_transp_motorbike
6)hh_asset_transp_car
7)hh_asset_transp_van
8)hh_asset_transp_other
9)hh_asset_transp_none
10)hh_asset_transp_dk
11)hh_asset_transp_ref</t>
  </si>
  <si>
    <t>1-11 = hh_maritalstat</t>
  </si>
  <si>
    <t>hh_maritalstat</t>
  </si>
  <si>
    <t xml:space="preserve">What is the head of household’s current marital status? 
[OPERATOR: SINGLE RESPONSE.]
1)Single / never married 
2)Married
3)Separated
4)Divorced
5)Widowed
6)DON’T KNOW
7)REFUSED </t>
  </si>
  <si>
    <t>1-7 = hh_age</t>
  </si>
  <si>
    <t>hh_age</t>
  </si>
  <si>
    <t>How old is the head of household? 
[OPERATOR: SINGLE RESPONSE.]
1)Under 18
2)18 to 40 
3)41 to 65 
4)Over 65
5)DON'T KNOW
6)REFUSED</t>
  </si>
  <si>
    <t>Nawa ne shekarun shugaban gidan ?
[MAI AIKI: AMSA GUDA ƊAYA.]
1)Kasa da 18
2)18 zuwa 40
3)41 zuwa 65
4)Sama da 65
5)BAN SANI BA BA
6)BA ZA A AMSA BA</t>
  </si>
  <si>
    <t>(Hol)no duuɓi hooreejo wuro ngon?  
[KAKKILANOOWO: JAABUYE WOOTERE.]
1)Heewtaayi 18
2)18 yahki 40 
3)41 yahki 65 
4)Saalake 65
5)ANNDAA
6)SALAKE</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</si>
  <si>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</si>
  <si>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</si>
  <si>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</si>
  <si>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</si>
  <si>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Menene asalin hanyar samun kudin batarwa a gidan ka/ki a cikin watanni 3 da suka gabata?
[MAI AIKI: AMSA GUDA DAYA. YA KAMATA A GUJEWA ZABI DA AKA KI YAWAN YIWU.]
1)Samarwa da sayar da kayan amfanin gona
2)Samarwa da sayar da kayan lambu ko 'ya'yan itace
3)Samarwa da siyar da kayan amfanin gona
4)Samarwa da sayar da dabbobi da kayan kiwo
5)Samarwa da sayarda zuma ko kayayyakin zuma
6)Samarwa da sayar da kifi
7)Tari da siyar da kayan gandun daji ko daji
8)Kasuwancin Kayan Gona BANDA masu samarwa [a kafaffu ko ba kafaffu ba]
9)Albashin yau da kullun akan gonaki da sauran ayyukan yau da kullun a fannin aikin gona
10)Aiki mai tsayayye a bangaren noma
11)Mara aikin noma mai zaman kansa ko sana'a mai sassaucin ra'ayi / likita / gine-gine / lauya / gami da gidan abinci
12)Ma'aikata na yau da kullum daga wajen gona da sauran ayyukan da ba na noma ba
13)Aiki nagari a bangaren da ba na noma ba
14)Aikin jama'a
15)Ba a samun kudin shiga daga aiki / Sadaka
16)Ba a samo kudin shiga daga aiki / Canja wurin jin dadin jama'a / fensho / taimakon jin kai
17)Ba a samun kudin shiga daga aiki / turawa
18)Kudin shiga ba a samu daga aiki / Kudin shiga daga wasu haya
19)Babu tushen samun kudin shiga a cikin watanni 3 da suka gabata kuma an yi amfani da tanadi na musamman
20)BA ZA AMSA BA</t>
  </si>
  <si>
    <t>[Hol]no woni laawol keɓal wuro maa nder lebbi 3 caaliɗi?
[KAKKILANOOWO: JAABUYE WOOTERE. SUƁDE SALAADE SALANEE NO HAANI FUU.]
1)Wurtinki e sooruki kare nyaamndu
2)Wurtinki e sooruki bikkoy leɗɗe walla haakollaaji 
3)Wurtinki e sooruki kare nyaamnduuji
4)Wurtinki e sooruki dabbaaji e durngol dabbaaji
5)Heɓinnki e sooruki belɗam ko kaayaaji belɗam
6)Wurtinki e sooruki liƴƴi 
7)Hawtuki e sooruki fiiji ladde walla keɓallooji ladde
8)Shoggu remotooje BANDA heɓooɓe [darnaaje e ƙe darnaaka]
9)Njoɓdi dow gese e luttuɗe kuwɗe pamare to wakkere ndemri 
10)Kuwɗe tabutuɗe to wakkere ndemri
11)Heɓaki hoore mum kuwɗe naa wakkere ndemri walla kuwɗe laaɓeendam / nyawndoowo / diidoowo / lawyaajo / hawtaade e nyamnirde
12)Njoɓdi ɗi wonaa gila keɓal ndemri e goɗɗe kuwɗe ɗe wonaa gila wakkere ndemri
13)Kuwɗe tabutuɗe to wakkere nde wonaa nde ndemri
14)Kuwgal ummaatoore 
15)Keɓal ngal heɓaaka to gollal / walliinde
16)Keɓal ngal heɓaaka gila gollal / lilduki ceede walliinde / penco / walliinde neɗɗanke
17)Keɓal keɓaangal gila kuwgal / ittanɗe njoɓdi
18)Keɓal ngal heɓaaka gila gollal / Keɓal gila goɗɗe jonje ɗen
19)Walaa laaawol kebal nder lebbi 3 caaliiɗi naftiraangal ngam sigaa
20)SALAKE</t>
  </si>
  <si>
    <t>Form Type - Buttons
IsDemographic - income_main</t>
  </si>
  <si>
    <t>1-3 = income_main_crop_check
4 = income_main_ls_check 
5 = income_main_amount
6 = income_main_fish_check 
7-18 = income_main_amount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</si>
  <si>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</si>
  <si>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</si>
  <si>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</si>
  <si>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Shin amfanin gonar da kake sayarwa, kai ne ka noma ko kuma wani a gidanka?
[MAI AIKI: AMSA GUDA ƊAYA.]
1)EH
2)A'A
3)BAN SANI BA
4)BA ZA A AMSA BA</t>
  </si>
  <si>
    <t>Kare nyaamndu ɗe sooruɗaa remaama to wuro maa walla goɗɗo remi-ɗe to wuro mon? 
[KAKKILANOOWO: JAABUYE WOOTERE.]
1)IYI
2)NAA NON
3)ANNDAA
4)SALAKE</t>
  </si>
  <si>
    <t>1-4 = income_main_amount</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</si>
  <si>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</si>
  <si>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</si>
  <si>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</si>
  <si>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Shin dabbobin da kake sayarwa, na ka ne ko kuma na wani a gidanku?
[MAI AIKI: AMSA GUDA ƊAYA.]
1)EH
2)A'A
3)BAN SANI BA
4)BA ZA A AMSA BA</t>
  </si>
  <si>
    <t>Marle e keɓallooji marle ɗe sooruɗaa duraama to wuro maa walla goɗɗo nduri-ɗe to wuro mon? 
[KAKKILANOOWO: JAABUYE WOOTERE.]
1)IYI
2)NAA NON
3)ANNDAA
4)SALAKE</t>
  </si>
  <si>
    <t>if income_main_ls_check = 1-4, go to [income_main_comp OR optional question]</t>
  </si>
  <si>
    <t>income_main_fish_check</t>
  </si>
  <si>
    <t xml:space="preserve">Are the fish or aquatic products sold also captured/ harvested by you or anyone in your household?
[OPERATOR: SINGLE RESPONSE.]
1)YES
2)NO
3)DON'T KNOW
4)REFUSED </t>
  </si>
  <si>
    <t>Shin kai ne ko wani cikin iyalan gidanka ke samar da kifin/ko kayayyakin kifin da kake sayarwa?
[MAI AIKI: AMSA GUDA ƊAYA.]
1)EH
2)A'A
3)BAN SANI BA
4)BA ZA A AMSA BA</t>
  </si>
  <si>
    <t>Aan ko goɗɗo nder yimmɓe saare ma ɗon heɓina remugo liɗɗi /ko kayaaji liɗɗi ɗe soorata?
[KAKKILANOOWO: JAABUYE WOOTERE.]
1)IYI
2)NAA NON
3)ANNDAA
4)SALAKE</t>
  </si>
  <si>
    <t>if income_main_fish_check = 1-4, go to [income_main_comp OR optional question]</t>
  </si>
  <si>
    <t>income_main_amount</t>
  </si>
  <si>
    <t>How much was earned [in Naira] from your main income source, {income_main}, in the past 3 months ?
[OPERATOR: MAKE SURE THE INFORMATION IS RECORDED IN THE CORRECT CURRENCY. ENTER 8888888 FOR DON'T KNOW AND 9999999 FOR REFUSED.]</t>
  </si>
  <si>
    <t>Nawa ne aka samu [a Naira] daga asalin hanyoyin samun kudi, {income_main}, a cikin watanni 3 da suka gabata?
[Mai Aikata: BINCIKI YAN WASANNI DA TABBATAR DA RUBUTUN BAYANIN A CIKIN SAURAN KUDI. Shigar da 8888888 DON BA SANI, KA SAKA 9999999 don ƙin yarda.]</t>
  </si>
  <si>
    <t>No heɓetee [nder Naira] gila laabi keɓal maa mawnga, {income_main}, nder lebbi 3 caaliiɗi?    
[KAKKILANOOWO: LAARTU NGAM BOOFI &amp; NDEN TABITIN BAYAANUUJI ƊIN ƊI ADAAMA E CEEDE LAAƁƊE. NAATIN 8888888 DARNDE ANNDAAKA E 9999999 DARNDE SALAADE.]</t>
  </si>
  <si>
    <t>50 - 2500000 = income_main_gender
2500001 - 5000000 = income_main_amount_conf
8888888-8888888 = income_main_gender
9999999-9999999 = income_main_gender</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</si>
  <si>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</si>
  <si>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</si>
  <si>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</si>
  <si>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2500000, CLICK ON CONTINUE. OTHERWISE, GO BACK AND CHANGE THE AMOUNT ENTERED.]
1)CONTINUE</t>
  </si>
  <si>
    <t>Za ku iya tabbatar da adadin kuɗin shiga da kuka bayyana daidai ne?
[MAI AIKI: IDAN KUDIN DA AKE SAMU DAGA WANNAN TUSHEN KUDI A WATA 3 DA SUKA BAYA YA FI 2500000, DANNA CIGABA. In ba haka ba, KOMA KA CANZA ADADIN SHIGA.]
1)CI GABA</t>
  </si>
  <si>
    <t>A waaway tabitinnde ɗuuɗgal ceede ɗe mbi'uɗaa ko goonga? 
[KAKKILANOOWO: SO ƊUU D GAL CCEDE KEƁETEEƊE GILA NGO'OL LAAWOL KEƁAL NDER LEBBI 3 CAALIIƊI ƁURII KO HEWTII 2500000, ƁIƊƊU JOKKU. SO NAA NON, SO"A ƁAAWO WOƳƳITINA LIMNGAL NAATINAANGAL.]
1)JOKKU</t>
  </si>
  <si>
    <t>1 = income_main_gender</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</si>
  <si>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</si>
  <si>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</si>
  <si>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</si>
  <si>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1-5 = income_main_control</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</si>
  <si>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</si>
  <si>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</si>
  <si>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</si>
  <si>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1-5 = income_main_comp</t>
  </si>
  <si>
    <t>if income_main_control = 1-5, go to income_main_comp or optional question</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</si>
  <si>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</si>
  <si>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</si>
  <si>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Shin kudin da kuke samu a gida ya canja ne a cikin watanni 3 da su ka gabata idan za'a kwatanta da war haka a cikin shekara?
[MAI AIKI: AMSA GUDA ƊAYA.]
1)Ya karu da yawa [ƙaru fiye da kashi 50%]
2)Ya karu kadan
3)Dai dai yake da na bara
4)Ya ragu kadan
5)Ya ragu sosai [kasa da rabi kamar yawa]
6)BAN SANI BA
7)BA ZA AMSA BA</t>
  </si>
  <si>
    <t>Sheede nassauki yimmɓe maaɗa wattitake na nder lebbiiji 3 saaliiɗe {income_main} to ɗun hawti be iri wakkatiiru ndu e duugo non tan?
[EMOOWO: NOOTAARE WOORE.]
1)Duuɗi masin [ɓeddake e ko ɓuri 50%]
2)Beddake seɗɗa
3)Wattitaaki
4)Ustake seɗɗa
5)Ustake masin [ɓuri reta naane]
6)MI ANNDA
7)SALAKE NOOTAKI</t>
  </si>
  <si>
    <t>1-7= income_sec</t>
  </si>
  <si>
    <t>FAO recommends this flow of the income questions</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</si>
  <si>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</si>
  <si>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</si>
  <si>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Mecece babbar hanya samun kuɗi na biyu a gidanku watanni 3 da suka wuce?
[MAI AIKI: AMSA GUDA DAYA. KADA KA SAN KUMA ANA ƙin Zɓɓin KYAUTA KA IYA YIWA.]
1)Samarwa da sayar da kayan amfanin gona
2)Samarwa da sayar da kayan lambu ko 'ya'yan itace
3)Samarwa da siyar da kayan amfanin gona
4)Samarwa da sayar da dabbobi da kayan kiwo
5)Samarwa da sayarda zuma ko kayayyakin zuma
6)Samarwa da sayar da kifi
7)Tari da siyar da kayan gandun daji ko daji
8)Kasuwancin Kayan Gona BANDA masu samarwa [a kafaffu ko ba kafaffu ba]
9)Albashin yau da kullun akan gonaki da sauran ayyukan yau da kullun a fannin aikin gona
10)Aiki mai tsayayye a bangaren noma
11)Mara aikin noma mai zaman kansa ko sana'a mai sassaucin ra'ayi / likita / gine-gine / lauya / gami da gidan abinci
12)Ma'aikata na yau da kullum daga wajen gona da sauran ayyukan da ba na noma ba
13)Aiki nagari a bangaren da ba na noma ba
14)Aikin jama'a
15)Ba a samun kudin shiga daga aiki / Sadaka
16)Ba a samo kudin shiga daga aiki / Canja wurin jin dadin jama'a / fensho / taimakon jin kai
17)Ba a samun kudin shiga daga aiki / turawa
18)Kudin shiga ba a samu daga aiki / Kudin shiga daga wasu haya
19)Babu na biyu mafi mahimmancin tushen samun kudin shiga
20)BAN SANI BA
21)BA ZA A AMSA BA</t>
  </si>
  <si>
    <t xml:space="preserve">[Hol] ko woni keɓal wuro maa ɗiɗaɓal ɓurdungal saman nder laabi keɓal nder lebbi tati caaliiɗi?
[KAKKILANOOWO: JAABUYE WOOTERE. CUƁƊI ANNDAAKA E SALAADE WOƊƊITEE NO HAANI FUU.]
1)Wurtinki e sooruki kare nyaamndu
2)Wurtinki e sooruki bikkoy leɗɗe walla haakollaaji 
3)Wurtinki e sooruki kare nyaamnduuji
4)Wurtinki e sooruki dabbaaji e durngol dabbaaji
5)Heɓinnki e sooruki belɗam ko kaayaaji belɗam
6)Wurtinki e sooruki liƴƴi 
7)Hawtuki e sooruki fiiji ladde walla keɓallooji ladde
8)Shoggu remotooje BANDA heɓooɓe [darnaaje e ƙe darnaaka]
9)Njoɓdi dow gese e luttuɗe kuwɗe pamare to wakkere ndemri 
10)Kuwɗe tabutuɗe to wakkere ndemri
11)Heɓaki hoore mum kuwɗe naa wakkere ndemri walla kuwɗe laaɓeendam / nyawndoowo / diidoowo / lawyaajo / hawtaade e nyamnirde
12)Njoɓdi ɗi wonaa gila keɓal ndemri e goɗɗe kuwɗe ɗe wonaa gila wakkere ndemri
13)Kuwɗe tabutuɗe to wakkere nde wonaa nde ndemri
14)Kuwgal ummaatoore 
15)Keɓal ngal heɓaaka to gollal / walliinde
16)Keɓal ngal heɓaaka gila gollal / lilduki ceede walliinde / penco / walliinde neɗɗanke
17)Keɓal keɓaangal gila kuwgal / ittanɗe njoɓdi
18)Keɓal ngal heɓaaka gila gollal / Keɓal gila goɗɗe jonje ɗen
19)Walaa laaawol kebal nder lebbi 3 caaliiɗi naftiraangal ngam sigaa
20)Walaa laaawol kebal nder lebbi 3 caaliiɗi naftiraangal ngam nyamaale
21)SALAKE  </t>
  </si>
  <si>
    <t>Form Type - Buttons
Exclude selected "income_main"
IsDemographic - income_sec</t>
  </si>
  <si>
    <t>1-3 = income_sec_crop_check
4 = income_sec_ls_check
5 = income_sec_amount
6 = income_sec_fish_check
7-18 = income_sec_amount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</si>
  <si>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</si>
  <si>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</si>
  <si>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Shin amfani gonakin da kake sayar wa, kai ka noma ko kuwa wani ne a gidanka?
[MAI AIKI: AMSA GUDA ƊAYA.]
1)EH
2)A'A
3)BAN SANI BA
4)BA ZA A AMSA BA</t>
  </si>
  <si>
    <t>Kate nyaamndu ɗe a soori aan remi-ɗe walla goɗɗo nder yimɓe wuro maa?  
[KAKKILANOOWO: JAABUYE WOOTERE.]
1)IYI
2)NAA NON
3)ANNDAA
4)SALAKE</t>
  </si>
  <si>
    <t>1-4 = income_sec_amount</t>
  </si>
  <si>
    <t>if income_sec_crop_check = 1-4, go to [income_sec_comp OR optional question]</t>
  </si>
  <si>
    <t>income_sec_ls_check</t>
  </si>
  <si>
    <t>Shin kiwo da dabbobin da kuke sayar da ku ko wani a gidanku ne ya samar da su?
[MAI AIKI: AMSA GUDA ƊAYA.]
1)YA
2)A'A
3)BAN SANI BA
4)BA ZA A AMSA BA</t>
  </si>
  <si>
    <t>Marle e kare marle ɗe sooruɗaa aan duri-ɗe walla goɗɗo nder yimɓe wuro maa?  
[KAKKILANOOWO: JAABUYE WOOTERE.]
1)IYI
2)NAA NON
3)ANNDAA
4)SALAKE</t>
  </si>
  <si>
    <t>if income_sec_ls_check = 1-4, go to [income_sec_comp OR optional question]</t>
  </si>
  <si>
    <t>income_sec_fish_check</t>
  </si>
  <si>
    <t xml:space="preserve">Are the fish and/or fish products that you sell also captured or harvested by you or anyone in your household?
[OPERATOR: SINGLE RESPONSE.]
1)YES
2)NO
3)DON'T KNOW
4)REFUSED </t>
  </si>
  <si>
    <t>Shin kai ko wani cikin iyalan gidanka ke samarda ko noma kifi da/ko kayayyakin kifin da kake sayarwa?
[MAI AIKI: AMSA GUDA ƊAYA.]
1)EH
2)A'A
3)BAN SANI BA
4)BA ZA A AMSA BA</t>
  </si>
  <si>
    <t>if income_sec_fish_check = 1-4, go to [income_sec_comp OR optional question]</t>
  </si>
  <si>
    <t>income_sec_amount</t>
  </si>
  <si>
    <t>How much was earned [in Naira] from your second main income source, {income_sec}, in the past 3 months ?
[OPERATOR: MAKE SURE THE INFORMATION IS RECORDED IN THE CORRECT CURRENCY. ENTER 8888888 FOR DON'T KNOW AND 9999999 FOR REFUSED.]</t>
  </si>
  <si>
    <t>Nawa ne aka samu [a Naira], daga asalin hanyar samun kudi na biyu {income_sec}, a cikin watanni 3 da suka gabata?
[Mai Aikata: BINCIKEN YAN WASANNI DA TABBATAR DA RUBUTUN BAYANIN A CIKIN SAURAN KUDI. Shigar da 8888888 DON BA SAN BA DA 9999999 don ƙin yarda.]</t>
  </si>
  <si>
    <t>No heɓetee [nder Naira] gila laabi keɓal ɗiɗaɓal maa mawngal, {income_sec}, nder lebbi 3 caaliiɗi?    
[KAKKILANOOWO: LAARTU NGAM BOOFI &amp; NDEN TABITIN BAYAANUUJI ƊIN ƊI ADAAMA E CEEDE LAAƁƊE. NAATIN 8888888 DARNDE ANNDAA E 9999999 DARNDE SALAADE.]</t>
  </si>
  <si>
    <t>50 - 2500000 = income_sec_gender
2500001 - 5000000 = income_sec_amount_conf
8888888-8888888 = income_sec_gender
9999999-9999999 = income_sec_gender</t>
  </si>
  <si>
    <t>If the income amount is over the threshold set in "Additional information", the respondent will be asked to confirm with income_sec_amount_conf. Otherwise, go to income_sec_comp.</t>
  </si>
  <si>
    <t>income_sec_amount_conf</t>
  </si>
  <si>
    <t>Za ku iya tabbatar da adadin kuɗin da kuka bayyana daidai ne?
[MAI AIKI: IDAN KUDIN DA AKE SAMU DAGA WANNAN TUSHEN KUDI A WATA 3 DA SUKA BAYA YA FI 2500000, DANNA CIGABA. In ba haka ba, KOMA KA CANZA ADADIN SHIGA.]
1)CI GABA</t>
  </si>
  <si>
    <t>A waaway tabitinnde ɗuuɗgal ceede ɗe mbi'uɗaa ko goonga? 
[KAKKILANOOWO: SO ƊUUƊGAL CCEDE KEƁETEEƊE GILA NGO'OL LAAWOL KEƁAL NDER LEBBI 3 CAALIIƊI ƁURII KO HEWTII 2500000, ƁIƊƊU JOKKU. SO NAA NON, SO"A ƁAAWO WOƳƳITINA LIMNGAL NAATINAANGAL.]
1)JOKKU</t>
  </si>
  <si>
    <t>1 = income_sec_gender</t>
  </si>
  <si>
    <t>if income_sec_amount_conf = 1, go to income_sec_comp</t>
  </si>
  <si>
    <t>income_sec_gender</t>
  </si>
  <si>
    <t>1-5 = income_sec_control</t>
  </si>
  <si>
    <t>income_sec_control</t>
  </si>
  <si>
    <t>1-5 =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</si>
  <si>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</si>
  <si>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</si>
  <si>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Shin kudin da kuke samu a gida (income_sec) ya canja ne a cikin watanni 3 da su ka gabata idan za'a kwatanta da war haka a cikin shekara?
[MA'AIKACI: AMSA DAYA.]
1)Da yawa sosai [ya ƙaru fiye da 50%]
2)Ya ɗan ƙaru kaɗan
3)Ba chanji
4)Ya ragu kaɗan
5)Ya ragu sosai [fiye da rabin da]
6)BAN SANI BA
7)ANƘI AMSAWA</t>
  </si>
  <si>
    <t>Sheede nassauki yimmɓe maaɗa wattitake na nder lebbiiji 3 saaliiɗe {income_sec} to ɗun hawti be iri wakkatiiru ndu e duugo non tan?
[EMOOWO: NOOTAARE WOORE.]
1)Duuɗi masin [ɓeddake e ko ɓuri 50%]
2)Beddake seɗɗa
3)Wattitaaki
4)Ustake seɗɗa
5)Ustake masin [ɓuri reta naane]
6)MI ANNDA
7)SALAKE NOOTAKI</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</si>
  <si>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</si>
  <si>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</si>
  <si>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</si>
  <si>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</si>
  <si>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Mene ne tushe na uku mafi mahimmanci na samun kudin ku a cikin watanni 3 da suka gabata?
[MAI AIKI: AMSA GUDA DAYA. KADA KA SAN DA ƙin Zɓɓɓuka KAMATA KAMATA KAMATA SUYI KYAU/KADA A GUJEWA GWAMNATIN YIWU.]
1)Samarwa da sayar da kayan amfanin gona
2)Samarwa da sayar da kayan lambu ko 'ya'yan itace
3)Samarwa da siyar da kayan amfanin gona
4)Samarwa da sayar da dabbobi da kayan kiwo
5)Samarwa da sayarda zuma ko kayayyakin zuma
6)Samarwa da sayar da kifi
7)Tari da siyar da kayan gandun daji ko daji
8)Kasuwancin Kayan Gona BANDA masu samarwa [a kafaffu ko ba kafaffu ba]
9)Albashin yau da kullun akan gonaki da sauran ayyukan yau da kullun a fannin aikin gona
10)Aiki mai tsayayye a bangaren noma
11)Mara aikin noma mai zaman kansa ko sana'a mai sassaucin ra'ayi / likita / gine-gine / lauya / gami da gidan abinci
12)Ma'aikata na yau da kullum daga wajen gona da sauran ayyukan da ba na noma ba
13)Aiki nagari a bangaren da ba na noma ba
14)Aikin jama'a
15)Ba a samun kudin shiga daga aiki / Sadaka
16)Ba a samo kudin shiga daga aiki / Canja wurin jin dadin jama'a / fensho / taimakon jin kai
17)Ba a samun kudin shiga daga aiki / turawa
18)Kudin shiga ba a samu daga aiki / Kudin shiga daga wasu haya
19)Babu na uku mafi mahimmancin tushen samun kuɗi
20)BAN SANI BA
21)BA ZA A AMSA BA</t>
  </si>
  <si>
    <t xml:space="preserve">[Hol]ko woni keɓal wuro maa tataɓal ɓurdungal saman nder laabi keɓal nder lebbi tati caaliiɗi?
[KAKKILANOOWO: JAABUYE WOOTERE. CUƁƊI ANNDAAKA E SALAADE WOƊƊITEE NO HAANI FUU.]
1)Wurtinki e sooruki kare nyaamndu
2)Wurtinki e sooruki bikkoy leɗɗe walla haakollaaji 
3)Wurtinki e sooruki kare nyaamnduuji
4)Wurtinki e sooruki dabbaaji e durngol dabbaaji
5)Heɓinnki e sooruki belɗam ko kaayaaji belɗam
6)Wurtinki e sooruki liƴƴi 
7)Hawtuki e sooruki fiiji ladde walla keɓallooji ladde
8)Shoggu remotooje BANDA heɓooɓe [darnaaje e ƙe darnaaka]
9)Njoɓdi dow gese e luttuɗe kuwɗe pamare to wakkere ndemri 
10)Kuwɗe tabutuɗe to wakkere ndemri
11)Heɓaki hoore mum kuwɗe naa wakkere ndemri walla kuwɗe laaɓeendam / nyawndoowo / diidoowo / lawyaajo / hawtaade e nyamnirde
12)Njoɓdi ɗi wonaa gila keɓal ndemri e goɗɗe kuwɗe ɗe wonaa gila wakkere ndemri
13)Kuwɗe tabutuɗe to wakkere nde wonaa nde ndemri
14)Kuwgal ummaatoore 
15)Keɓal ngal heɓaaka to gollal / walliinde
16)Keɓal ngal heɓaaka gila gollal / lilduki ceede walliinde / penco / walliinde neɗɗanke
17)Keɓal keɓaangal gila kuwgal / ittanɗe njoɓdi
18)Keɓal ngal heɓaaka gila gollal / Keɓal gila goɗɗe jonje ɗen
19)Walaa laaawol kebal nder lebbi 3 caaliiɗi naftiraangal ngam sigaa
20)Walaa laaawol kebal nder lebbi 3 caaliiɗi naftiraangal ngam nyamaale
21)SALAKE  </t>
  </si>
  <si>
    <t>Form Type - Buttons
Exclude selected "income_main"
Exclude selected "income_sec"
IsDemographic - income_third</t>
  </si>
  <si>
    <t>1-3 = income_third_crop_check
4 = income_third_ls_check
5 = income_third_comp
6 = income_third_fish_check
7-18 = income_third_comp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</si>
  <si>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</si>
  <si>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</si>
  <si>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Shin kayan gonar da kake sayarwa, kai ka noma ko kuwa wani ne a gidanka?
[MAI AIKI: AMSA GUDA ƊAYA.]
1)EH
2)A'A
3)BAN SANI BA
4)BA ZA A AMSA BA</t>
  </si>
  <si>
    <t>1-4 = income_third_comp</t>
  </si>
  <si>
    <t>if income_third_crop_check = 1-4, go to [income_third_comp OR optional question]</t>
  </si>
  <si>
    <t>income_third_ls_check</t>
  </si>
  <si>
    <t>Shin dabbobin da kake kiwo da sayarwa, naka ne ko kuma na wani ne a gidanka?
[MAI AIKI: AMSA GUDA ƊAYA.]
1)EH
2)A'A
3)BAN SANI BA
4)BA ZA A AMSA BA</t>
  </si>
  <si>
    <t>if income_third_ls_check = 1-4, go to [income_third_comp OR optional question]</t>
  </si>
  <si>
    <t>income_third_fish_check</t>
  </si>
  <si>
    <t xml:space="preserve">Are the fish or aquatic products that you sell also captured or harvested by you or anyone in your household?
[OPERATOR: SINGLE RESPONSE.]
1)YES
2)NO
3)DON'T KNOW
4)REFUSED </t>
  </si>
  <si>
    <t>if income_third_fish_check = 1-4, go to [income_third_comp OR optional question]</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</si>
  <si>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</si>
  <si>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</si>
  <si>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Shin kudin da kuke samu a gida (income_third) ya canja ne a cikin watanni 3 da su ka gabata idan za'a kwatanta da war haka a cikin shekara?
[MA'AIKACI: AMSA DAYA.]
1)Da yawa sosai [ya ƙaru fiye da 50%]
2)Ya ɗan ƙaru kaɗan
3)Ba chanji
4)Ya ragu kaɗan
5)Ya ragu sosai [fiye da rabin da]
6)BAN SANI BA
7)ANƘI AMSAWA</t>
  </si>
  <si>
    <t>Sheede nassauki yimmɓe maaɗa wattitake na nder lebbiiji 3 saaliiɗe {income_third} to ɗun hawti be iri wakkatiiru ndu e duugo non tan?
[EMOOWO: NOOTAARE WOORE.]
1)Duuɗi masin [ɓeddake e ko ɓuri 50%]
2)Beddake seɗɗa
3)Wattitaaki
4)Ustake seɗɗa
5)Ustake masin [ɓuri reta naane]
6)MI ANNDA
7)SALAKE NOOTAKI</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</si>
  <si>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</si>
  <si>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</si>
  <si>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</si>
  <si>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</si>
  <si>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man-made hazard
26)DON'T KNOW
27)REFUSED</t>
  </si>
  <si>
    <t>Shin iyalan gidanka ko al'ummarka ta taɓa fuskantar wata annoba ko rikicin da ya shafi iyalan gidanka suka kasa samun kudi/ ko samar da abincin da za kuci da kanku cikin watanni 3 da suka wuce, in haka ne, waɗanne ne? 
[Mai Aikata: Zabi MAGANGANUN ARZIKI DA YAN UWA. MASU YAWA MASU YIWU. NUNA TATTAUNAWA TATTALIN ARZIKIN TATTALIN ARZIKI, GWAGWARGIN GINDI DA KIWO, GIDAN GIDA, ILLAR HALITTA DA ILLAR DAN-ADAM.]
1)Babu gigita
2)Rashin lafiya ko haɗari ko mutuwar 'yan uwa [masu ciwon abinci / kashe kuɗin da ba a saba gani ba / kuɗin jana'izar / mutuwar mai ba da abinci]
3)Rasa damammakin aikinyi [ba domin rashin lafiya/hatsari ba]
4)Wasu tashin hankali na cikin gida
5)Tafin farashin kayan abinci
6)Tashin farashin man fetur
7)Taƙaita zirga-zirgan jama'a [misali. saboda annoba ko rugujewan ababen more rayuwa]
8)Sauran girgizar tattalin arziki
9)Barkewar kwaro
10)Cutar shuka
11)Cutar dabbobi da ke shafar dabbobi da yawa ko mutuwar dabbobi
12)Rashin samun damar kiwo ta jiki
13)Sauran amfanin gona da girgizar dabbobi
14)Sanyi ko ƙanƙara
15)Ambaliyar ruwa/ zaizayar gabar kogi
16)guguwa / guguwa / guguwa
17)Fari / Damuwar zafi
18)Girgizar kasa
19)Zabtarewar kasa
20)Wuta daga bala'i
21)Sauran hadurran halitta
22)Tashin hankali da rashin tsaro / rikici
23)Satar kadarorin samarwa [filaye / dabbobi / kayan aikin / da sauransu]
24)Wuta daga bala'in da mutum ya yi
25)Sauran hadurran da mutum ya yi
26)BAN SANI BA BA
27)BA ZA A AMSA BA</t>
  </si>
  <si>
    <t>Yimmɓe saare ma ko jamaaje ma meeɗi na hawtuki be kalluɗum goɗɗum ko meemi yimmɓe saare ma heɓaayi sheede nassuki e /ko heɓoyki ko nyamonooton ko'e mon nder lebbiiji 3 saaliiɗe, to non, iri ɗeye?
[KAKKILANOOWO: SUƁU KULNALLOOJI ƊI FOTTUƊAA NDER WURO NGON. JAABUYE ƊUUƊƊE FOTI HEƁEE. SAPPOO KULNALLOOJI WAKKERE FAGGUDU, KULNALLOOJI NYAAMNDU E MARLE, KULNALLOOJI HAKKUNDE GURE, MASIIBO BINNDAANGU, E MASIIBO NGU NEƊƊANKE JAANYI.] 
1)Hulaayi
2)Nyawu walla haɗaru walla maayde goɗɗo nder yimbe wuro nyawu tiigiiɗo wuro / majjere ceede heedi nyawndiifu / majjere ceede heedi humto uwuki maayɗo / maayde tiigiiɗo wuro]  
3)Rellugo daamaaji huwki [na ngam nyawu ko/hatsari]
4)Goɗɗi kulnallooji ɗin hakkunde gure
5)Towtude kare nyaamndu no naawi
6)Towtude peeturjam naa no woowaa e ceede jahaale
7)Haɗuki njahaale yimmɓe [misali. nagam kallude wonnde ko halkuki kayaaji kuugal.]
8)Goɗɗi hulnallooji faggudu ɗin 
9)Maasibo koowoowi
10)Nyawuuji aawulaaji 
11)Nyawuuji dabbaaji meemooji dabbaaji ɗuuɗɗi e waruki ɗuuɗɗi
12)Sooynde heɓki nyaamndu dabbaaji 
13)Goɗɗi kulnallooji ɗin heedi dabbaaji e nyaamndu
14)Peewol walla peewndam
15)Paccam/ wasitaaki daande maayo
16)Ngulu / masiibo yoppo / masiibo tornado
17)Hokkere / nguleenga
18)Dimmbere leydi
19)Mostitaaki leydi
20)Ngulu gila masiibi binndaago
21)Goɗɗi masiibooji ɗin binndaaɗi
22)Kaɓe e sooynde reento/ fitina
23)Nguyka ko maraa [leydi / dabbaaji / kuwtinirɗe / e ko nanndi] 
24)Ngulu gila masiibo ngo neɗɗnke jaanyi
25)Goɗɗi masiibooji ɗin ɗi neɗɗanke jaanyi
26)ANNDAAKA
27)SALAKE</t>
  </si>
  <si>
    <t>Form Type - Checklist 
1,26,27 = IsNone</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</si>
  <si>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</si>
  <si>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 = crp_intro
2-27 = hh_explanation</t>
  </si>
  <si>
    <t>GeoPoll [1/09]: Confirm the skip patterns</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</si>
  <si>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</si>
  <si>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</si>
  <si>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</si>
  <si>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Any Response = crp_intro</t>
  </si>
  <si>
    <t>D. CROP PRODUCTION</t>
  </si>
  <si>
    <t>crp_intro</t>
  </si>
  <si>
    <t>We will now ask you some questions about crop production which apply to you and anyone in your household that is involved in crop production or sales. All questions refer to the crops grown during Dry season.
1)CONTINUE</t>
  </si>
  <si>
    <t>Yanzu zamu maka wasu tambayoyi game da samar da kayan gona wanda ya shafe ka da kowa cikin iyalan gidanka wanda ke harkar samarwa ko sayar da kayan gona. Dukkan tambayoyin na nufin kayan gona na noman Rani.
1)CIGABA</t>
  </si>
  <si>
    <t>Jooni min emete goɗɗum dow heɓinnki kaayaaji remugo ko hawti be aan e yimmɓe saare ma remooɓe ko soorooɓe kaayaji remugo. Emiiji ɗin fat ɗon wolwa dow kaayaaji remugo wakkati Dabbunde.
1)TINA</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</si>
  <si>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</si>
  <si>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</si>
  <si>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</si>
  <si>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</si>
  <si>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</si>
  <si>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Nawa ne girman gonar da za ku iya noma wa?
[Mai Aikata: RUBUTA JAMA'AR GIRMAN FUSKAR DA MAI AMSA ya bayar. RUBUTA 8888888 DON BA SAN BA DA 9999999 DON ƙin yarda. ZA'A KAYYAUTATA RAU'AR AUNA A CIKIN TAMBAYA TA NAN.]</t>
  </si>
  <si>
    <t>(Hol ko woni ɗuuɗal ko waawata remki to ngesa maa? 
[KAKKILANOOWO: ADU ƊUUƊAL MAWNGU NGESA KAN KA JAABOTOOƊO ANNDINI. WINNDU 8888888 DOW DARNDE ANNDAA E 9999999 DARNDE SALAKE. POONDOL NGOL HIIMANEE NDER ƳAME NGAROOJE ƊE'E].</t>
  </si>
  <si>
    <t>0-1000000 = crp_landsize_unit
8888888-8888888 = crp_main
9999999-9999999 = crp_main</t>
  </si>
  <si>
    <t>For any response, go to crp_landsize_unit. Range is between 0 and 1000000. For "Don't know" and "Refused", go to crp_main.</t>
  </si>
  <si>
    <t>crp_landsize_unit</t>
  </si>
  <si>
    <t>Unit of measurement for land size: 
[OPERATOR: DO NOT READ. SINGLE RESPONSE.]
1)Acres
2)Hectares
3)Square meters
4)Square feet</t>
  </si>
  <si>
    <t>Raka'a na awu don girman gonar:
[MAI AIKI: KAR KA KARANTA. AMSA GUDA DAYA.]
1)Kadada
2)Hectare
3)Mitar murabba'i
4)Kafar square</t>
  </si>
  <si>
    <t>Darnde poondol mawngu ngesa kan: 
[KAKKILANOOWO: TAA JANNGU. JAABUYE WOOTERE.]
1)Eekaaji
2)Hektaaji
3)Sukoya-miita
4)Sukoya-fiit</t>
  </si>
  <si>
    <t>1-4 = crp_main</t>
  </si>
  <si>
    <t>if crp_landsize_unit = 1-5, go to crp_main</t>
  </si>
  <si>
    <t>crp_main</t>
  </si>
  <si>
    <t>What has been the main crop that your household has grown for food and income generation in Dry season, if any?
[OPERATOR: SINGLE RESPONSE. "NO CROP PRODUCTION" IS IN LAST OPTIONS AT THE END.]
1)Rice
2)Millet
3)Sorghum
4)Maize
5)Sweet Potatoes
6)Cocoyam
7)Beans
8)Other pulses [e.g. cowpeas]
9)Mango
10)Groundnut/peanut
11)Wheat
12)Barley
13)Other Cereal
14)Cassava
15)Potatoe
16)Yams
17)Carrots
18)Other tubers
19)Lentils
20)Peas
21)Soybeans
22)Chickpeas
23)Fava beans
24)Broad beans
25)Cabbage
26)Cauliflower
27)Lettuce
28)Spinach-Amaranth
29)Cassava leaves
30)Potatoe leaves
31)Moringa
32)Sorrel Hibiscus / Rosselle
33)Green salad herbs [thyme/ parsley/ mint/ rocca/ other]
34)Other leafy vegetables
35)Tomatoes
36)Green peas
37)Fava beans green
38)Cucumber
39)Pumpkin
40)Eggplant/aubergine
41)Zucchini
42)Okra
43)Bell pepper
44)Onions
45)Haricot
46)Other non leafy vegs
47)Orange
48)Lemon
49)Grapefruit
50)Mandarins/clementines
51)Other citrus fruit
52)Sweet Banana
53)Figs
54)Grapes
55)Olives
56)Apple
57)Apricot
58)Cherries
59)Peach/nectarine
60)Strawberries
61)Melon [Cantaloupe]
62)Plantains
63)Papaya
64)Guava
65)Pineapple
66)Avocado
67)Water Melon
68)Dates
69)Other fruit
70)Coconuts
71)Cashew Nut
72)Kola Nut
73)Sesame
74)Bambara nut
75)Almond
76)Walnut
77)Other nuts
78)Cocoa
79)Coffee
80)Tea
81)Sugarcane
82)Sunflower
83)Other food cash crop
84)Cotton
85)Rubber
86)Jute
87)Fodder
88)Tobacco
89)Qat
90)Other non-food cash crop
91)No crop production
92)DON'T KNOW
93)REFUSED</t>
  </si>
  <si>
    <t>Wanne ne babban kayan gona da iyalan gidanka suka shuka a Rani domin abinci da samun kuɗin shiga, in akwai?
[MA'AIKACI: AMSA ƊAYA. "BA SAMAR DA KAYAN GONA" SHINE A ZABI NA BAYA A CHAN ƘARSHE]
1)Shinkafa
2)Gero
3)Dawa
4)Masara
5)Dankalin Hausa
6)Gwaza
7)Wage
8)Wasu tsabobin [e.g. maiwa]
9)Mangoro
10)Gyaɗa
11)Alkama
12)Acca
13)Wasu hatsin
14)Rogo
15)Dankali
16)Doya
17)Karas
18)Wasu kayan ƙasar
19)Lansir
20)Waken pis
21)Waken suya
22)Pis
23)Waken faba
24)Manyan wake
25)Kabeji
26)Ganyen koli
27)Latas
28)Alayyahu
29)Ganyen rogo
30)Ganyen dankali
31)Zogale
32)Zoɓorodo
33)Busassun ganyayyaki [taim/ fasli/ na'ana'a/ roka/ wani daban]
34)Wasu kayayyakin ganye
35)Tumatur
36)Koren wake
37)Koren waken faba
38)Gurji
39)Kabewa
40)Yalo
41)Zuchini
42)Kuɓewa
43)Attaruhu
44)Albasa
45)Harikot
46)Wasu kayayyakin marasa ganye
47)Lemu
48)Lemun tsami
49)Inabi
50)Tanjiri
51)Wasu itatuwan tsami
52)Ayaba
53)Tin
54)Baƙin inibi
55)Zaitun
56)Tufa
57)Agwaluma
58)Sheri
59)Jan tufa
60)Sitiro beri
61)Milo
62)Ayaban suya
63)Gwanda
64)Gwaiba
65)Abarba
66)Fiya
67)Kankana
68)Dabino
69)Wasu ƴa'yan itatuwa
70)Kwakwa
71)Kashu
72)Goro
73)Riɗi
74)Gujiya
75)Gyaɗar almon
76)Gyaɗar walno
77)Wasu nauƴukan gyaɗa
78)Koko
79)Kofi
80)Ganyen shayi
81)Rake
82)Samfilawa
83)Wasu kayayyakin abinci na sayarwa
84)Auduga
85)Roba
86)Jut
87)Foda
88)Taba
89)Ƙat
90)Wasu kayayyakin sayarwa da ba na abinci ba
91)Ba samarda kayayyakin abinci
92)BAN SANI BA
93)ANƘI AMSAWA</t>
  </si>
  <si>
    <t>Ɗume  wani ko yimmɓe saare ma ɓuri remuki ngam nyamdu e shoggu nder Dabbunde, to woodi?
[EMOOWO: NOOTAARE WOORE. "WALA REMUGO" ƊON E SHUBAAJE SAKITIIJE E TIMMORDE.]
1)Maaroori
2)Muuri
3)Cibal
4)Masardi
5)Bugumji belɗe
6)Gwaazaari
7)Nyebbe
8)Ge'elɗe goɗɗi [misali. kawpis]
9)Manngoro
10)Biriiji
11)Alkamaari
12)Sha'iiruuhi
13)Accaaji goɗɗi
14)Mbayli
15)Bugumji
16)Dunnduuje
17)Karas
18)Ta'eeje goɗɗi
19)Lentihi
20)Pis
21)Nyebbe soya
22)Cikpis
23)Nyebbe fava
24)Nyebbe mauɗe
25)Kabeeji
26)Fungooje baafe
27)Baafo latas
28)Haako-ndiyam
29)Baafe mbay
30)Baafe bugumwol
31)Kaabiwal Hawsa
32)Doronngu
33)Kauto gawri raneeje [taim/ pasli/ nana'aaru/ roka/ goɗɗum]
34)Funkallooji goɗɗi marje baafe
35)Kuytaaje
36)Piije reneeje
37)Nyebbe fava
38)Dagdaggi
39)Waygoore
40)Yalo
41)Zucini
42)Kuɓeeji
43)Taruhu
44)Tinngeere
45)Harikohi
46)Funkallooji goɗɗi ɗi ngala baafe
47)Leemu Masar
48)Lammujum
49)Bukki
50)Mandarinje
51)Lammuje goɗɗi
52)Konndongji
53)Biskehi
54)Inabooje
55)Jaytuuni
56)Boyli
57)Afrikohi
58)Cherihi
59)Raneeri
60)Sitroberi
61)Dennde 
62)Konndong sa'uki
63)Rukuure
64)Goyba
65)Abarbahi
66)Piyaare
67)Pariije
68)Tanni
69)Samarooje
70)Kwakwa
71)Kashu
72)Gooro
73)Riɗi
74)Kaa'eeji
75)Lawjahi
76)Walnoori
77)Eggeeje goɗɗi
78)Kokohi
79)Kahawa
80)Saayi
81)Cibal
82)Somfilawa
83)Kaayaaji nyammdu ko sooreteeɗum
84)Hotollo
85)Giggirɗum
86)Juuti
87)Karmaamu
88)Taabaahi
89)Qat
90)Kaaya gese soorugo ko ɗun nyaamata
91)Min remata
92)MI ANNDA
93)SALAKE NOOTAAKI</t>
  </si>
  <si>
    <t>Form Type - Dropdown
IsDemographic - crp_main</t>
  </si>
  <si>
    <t>1)1.1
2)1.3
3)1.4
4)1.5
5)2.3
6)2.6
7)3.1
8)3.99
9)7.4
10)8.2
11)1.2
12)1.6
13)1.99
14)2.1
15)2.2
16)2.4
17)2.5
18)2.99
19)3.2
20)3.3
21)3.4
22)3.5
23)3.6
24)3.7
25)4.1
26)4.101
27)4.2
28)4.3
29)4.4
30)4.5
31)4.6
32)4.7
33)4.9
34)4.99
35)5.1
36)5.101
37)5.11
38)5.2
39)5.3
40)5.4
41)5.5
42)5.6
43)5.7
44)5.8
45)5.9
46)5.99
47)6.1
48)6.2
49)6.3
50)6.4
51)6.99
52)7.1
53)7.101
54)7.11
55)7.12
56)7.13
57)7.14
58)7.15
59)7.16
60)7.17
61)7.18
62)7.2
63)7.3
64)7.5
65)7.6
66)7.7
67)7.8
68)7.9
69)7.99
70)8.1
71)8.3
72)8.4
73)8.5
74)8.6
75)8.7
76)8.8
77)8.99
78)9.1
79)9.2
80)9.3
81)9.4
82)9.5
83)9.99
84)10.1
85)10.2
86)10.3
87)10.4
88)10.5
89)10.6
90)10.99
91)777
92)888
93)999</t>
  </si>
  <si>
    <t>1-90 = crp_irrig_source
91 = crp_main_check
92-93 = crp_salesmain</t>
  </si>
  <si>
    <t>if crp_main = any type of crop, go to crp_irrig_source;
if crp_main = "No crop production", go to crp_main_check
if crp_main = "Don't know" or "Refused", go to crp_salesmain</t>
  </si>
  <si>
    <t>crp_main_check</t>
  </si>
  <si>
    <t>Why did you not produce any crops in the Dry season?
[OPERATOR: SINGLE RESPONSE.]
1)Don’t usually produce during this season 
2)Wasn't able to produce [e.g. due to difficulties]</t>
  </si>
  <si>
    <t>Me yasa baka samarda kayan gona ko ɗaya ba a Rani?
[MAI AIKI: AMSA GUDA ƊAYA.]
1)Ban cika noma a wannan kakar ba
2)Ba a iya samarwa [misali. saboda matsaloli]</t>
  </si>
  <si>
    <t>Ko waɗi a heɓinaayi kaaya remugo ko gootal nder Dabbunde?
[KAKKILANOOWO: JAABUYE WOOTEREE.]
1)Ɗuuɗaa remuki sarde ndunngu 
2)Waawataa remuki [sabu caɗeele]</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</si>
  <si>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</si>
  <si>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</si>
  <si>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</si>
  <si>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</si>
  <si>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Daga inane asali kafi samun ruwa dan samarda kayayyakin {crp_main}? 
[MA'AIKACI: AMSA ƊAYA.]
1)Ruwan sama
2)Ruwan rami
3)Ruwa na asali [kogi / babban kogi / ruwa mai gudana/ tafki/ etc.]
4)Ginannen hanyan ruwa [kanal / dam / d.s.s.]
5)Hanyan samun ruwa na gama gari [e.g. ruwan famfo]
6)Wani daban [tantance]
7)BAN SANI BA
8)ANƘI AMSAWA</t>
  </si>
  <si>
    <t>Haa toye burɗa heɓuki ndiyam ngam heɓinnki kaayaaji {remugo_musamma}? 
[EMOOWO: NOOTAARE WOORE.]
1)Ndiyam dow
2)Ndiyam ngaska
3)Ndiyam  asal [maayo/ maayowa manngal / ruwa mai / ndiyam dogoojum/ juggol/ e.l.t.]
4)Atal ndiyam mahaajum [kanal / damwol / e.l.t.]
5)Atal heɓuki ndiyam jamaaje [misali. ndiyam famfo]
6)Goɗɗum [wi'u]
7)MI ANNDA
8)SALAKE NOOTAAKI</t>
  </si>
  <si>
    <t>1-8 = crp_seed_supply</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</si>
  <si>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</si>
  <si>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</si>
  <si>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</si>
  <si>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</si>
  <si>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Daga wajen waye kake samun irin da kuke shuka wa? 
[MA'AIKACI: ZA'A IYA ZABAR AMSOSHI DA YAWA]
1)Ni nake samarwa
2)Kasuwa ko shago /dila
3)Kamfanin saida iri
4)Ƙungiyoyi masu zaman kanzu
5)Bankunan bada iri na al'uma/ haɗakar manoma / ƙungiyar manoma/ d.s.s.
6)Gwamnati [e.g. MoA]
7)Ƴan'uwa ko abokai
8)Wani daban
9)BAN SANI BA
10)ANƘI AMSAWA</t>
  </si>
  <si>
    <t>Haa bannge moye keɓata iriije nane ma? 
[EMOOWO: DUN WAAWAI SUƁUGO NOOTAAJE ƊUUƊƊE]
1)Min heɓoyta
2)Luumo ko shaago /diilaajo
3)Kampaniiji soorugo iriiji
4)Ƙungiyaaje depponoobe Ko'e maaje
5)Bankiiji jamaaje kokkooɓe iriiji/ kautal remooɓe/ moftaare remooɓe/ e.l.t
6)Gwomnati [misali. MoA]
7)Bandiraaɓe e soobaaje
8)Goɗɗum
9)MI ANNDA
10)SALAKE NOOTAAKI</t>
  </si>
  <si>
    <t xml:space="preserve">Select All That Apply </t>
  </si>
  <si>
    <t>Form Type - Checklist
9,10 = IsNone</t>
  </si>
  <si>
    <t>1)crp_seed_ownprod
2)crp_seed_market
3)crp_seed_company
4)crp_seed_ngo
5)crp_seed_organized_community
6)crp_seed_gov
7)crp_seed_relatives_friends
8)crp_seed_other
9)crp_seed_dk
10)crp_seed_ref</t>
  </si>
  <si>
    <t>1-10 = crp_area_change</t>
  </si>
  <si>
    <t>if crp_seed_supply = 1-10, go to crp_area_change</t>
  </si>
  <si>
    <t>crp_area_change</t>
  </si>
  <si>
    <t>How did the area planted for {crp_main} from Dry season compare to a normal year?
[OPERATOR: SINGLE RESPONSE.]
1)A lot more [increased by more than 50%]
2)Slightly more
3)Same
4)Slightly less
5)A lot less [less than half as much]
6)DON'T KNOW
7)REFUSED</t>
  </si>
  <si>
    <t>Ya ya gonar da kuke shuka wa a Rani take idan an kwatanta da wata shekara ?
[MAI AIKI: AMSA GUDA ƊAYA.]
1)Ya karu da yawa [ƙaru fiye da kashi 50%]
2)Ya karu kadan
3)Dai dai yake da na bara
4)Ya ragu kadan
5)Ya ragu sosai [kasa da rabi kamar yawa]
6)BAN SANI BA
7)BA ZA AMSA BA</t>
  </si>
  <si>
    <t xml:space="preserve">Ta iri atal ɗume fellere nden aawata  {crp_main} nder Dabbunde to ɗun hawti be duugu feere non tan?
[KAKKILANOOWO: JAABUYE WOOTERE.]
1)Sanne [ɗawtake e ko ɓuri daaɗe 50%]
2)Dawtake seeɗa
3)Ba wonnoo 
4)Ɗustake seeɗa
5)Ɗustake seeɗa sanne [ko yottaaki yalla senndere]
6)ANNDAA
7)SALAKE </t>
  </si>
  <si>
    <t>1-7 = crp_harv_change</t>
  </si>
  <si>
    <t>if crp_area_change = 1-7, go to crp_harv_change</t>
  </si>
  <si>
    <t>crp_harv_change</t>
  </si>
  <si>
    <t>How does the  harvest of {crp_main} in the Dry season compare to a normal year? 
[OPERATOR: SINGLE RESPONSE.]
1)A lot more [increased by more than 50%]
2)Slightly more
3)Same
4)Slightly less
5)A lot less [less than half as much]
6)DON'T KNOW
7)REFUSED</t>
  </si>
  <si>
    <t>Yaya yanayin samun amfanin {crp_main} yake a Rani in an kwatanta da wata shekara?
[MAI AIKI: AMSA GUDA ƊAYA.]
1)Ya karu da yawa [ƙaru fiye da kashi 50%]
2)Ya karu kadan
3)Dai dai yake da na bara
4)Ya ragu kadan
5)Ya ragu sosai [kasa da rabi kamar yawa]
6)BAN SANI BA
7)BA ZA AMSA BA</t>
  </si>
  <si>
    <t xml:space="preserve">Noye wani ɗuuɗal kaayaaji keɓoton {crp_main} nder Dabbunde to ɗun hawti be duugu feere non tan? 
[KAKKILANOOWO: JAABUYE WOOTERE.]
1)Sanne [ɗawtake e ko ɓuri daaɗe 50%]
2)Dawtake seeɗa
3)Ba wonnoo 
4)Ɗustake seeɗa
5)Ɗustake seeɗa sanne [ko yottaaki yalla senndere]
6)ANNDAA
7)SALAKE </t>
  </si>
  <si>
    <t>1-7 = crp_harv_vol</t>
  </si>
  <si>
    <t>if crp_harv_change = 1-7, go to [crp_proddif or crp_harv_vol]</t>
  </si>
  <si>
    <t>crp_harv_vol</t>
  </si>
  <si>
    <t>How much [threshed] {crp_main} did you harvest this Dry season?
[OPERATOR: RECORD THE RESPONSE GIVEN. UNIT OF MEASUREMENT TO BE SPECIFIED IN NEXT QUESTION. ENTER 8888888 FOR DON'T KNOW &amp; 9999999 FOR REFUSED, TO BE USED RARELY - PROBE!]</t>
  </si>
  <si>
    <t>Yaya yanayin yawan [a ƙididdige] abinda ka girbe {crp_main} a wannan Ranin?
[MAI AIKI: RUBUTA MARASIN DA AKA BAIWA. RA'AYIN AUNA DA ZA'A BAYYANA A TAMBAYA TA GABA. Shigar da 8888888 DON BA SANI BA &amp; 9999999 DON KI, DON AYI AMFANI DA SAUKI - BINCIKE!]</t>
  </si>
  <si>
    <t xml:space="preserve">Noye wani ɗuuɗal {crp_main} keɓuɗa Dabbunde hikka [to ɗun hawti kome]? 
[KAKKILANOOWO: ADU JAABUYE JAABATEEƊE. DARƊE POONDOL NGOL WONA DARNINAAMA NDER ƳAMOL NGAROOWOL. NAATIN 8888888 DARNDE ANNDAA &amp; 9999999 DARNDE SALAKE, TAA ƊUUƊINEE NAFTIREEKI - TABITIN!] </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</si>
  <si>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</si>
  <si>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</si>
  <si>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</si>
  <si>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</si>
  <si>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</si>
  <si>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Raka'a na ma'auni don girbe {crp_main}:
[Mai Aikata: ZABEN GUDA DAYA]
1)Kilogiram [kgs]
2)Ton
3)Oza
4)Fam
5)Jakunkuna
6)Kwalaye
7)Daure
8)Fakiti
9)Wasu [bayyana]</t>
  </si>
  <si>
    <t>Darnde poondol ngol dow kelaaɗi {crp_main}:
[KAKKILANOOWO: SUƁDE WOOTERE]
1)Kilogiramji [kgs]
2)Tonnji
3)Oncinnji
4)Pamje
5)Boorooje
6)Akootiije
7)Banndirji
8)Paakejji
9)Goɗɗi [wanngin]</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</si>
  <si>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</si>
  <si>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</si>
  <si>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</si>
  <si>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</si>
  <si>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</si>
  <si>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Kilogram nawa [kgs] a kowace raka'a?
[MAI AIKI: RUBUTA KUDIN DA AKA BAYAR. Shigar da 88888 DON BA SAN BA &amp; 99999 DOMIN ƙin yarda]</t>
  </si>
  <si>
    <t>Kilogiramji noye nder kala darnde fuu?
[KAKKILANOOWO: ADU LIMNGAL KO HOKKAA. NAATIN 88888 DARNDE ANNDAA &amp; 99999 DARNDE SALAKE]</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</si>
  <si>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</si>
  <si>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</si>
  <si>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</si>
  <si>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</si>
  <si>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 xml:space="preserve"> {crp_harv_unit} nawa na [ssuka] {crp_main} kuka girbi a bara a daidai wannan lokacin?
[MAI AIKI: RUBUTA MARASIN DA AKA BAIWA. Shigar da 8888888 DON BA SANI BA &amp; 9999999 DON KI, DON AYI AMFANI DA SAUKI - BINCIKE!]</t>
  </si>
  <si>
    <t>Noye heɓaa {crp_harv_unit} ndi  [ɗuuɗiri] {crp_main} a helii nduuɓu caaliingu sarde ba nde'e?
[KAKKILANOOWO: ADU LIMNGAL KO HOKKAA. NAATIN 88888 DARNDE ANNDAA &amp; 99999 DARNDE SALAKE]</t>
  </si>
  <si>
    <t>1-1000000 = crp_proddif
8888888-8888888 = crp_proddif
9999999-9999999 = crp_proddif</t>
  </si>
  <si>
    <t>For any response, go to crp_proddif</t>
  </si>
  <si>
    <t>crp_proddif</t>
  </si>
  <si>
    <t>Has your household faced any significant difficulty in terms of crop production in Dry season?
[OPERATOR: SINGLE RESPONSE.]
1)YES
2)NO
3)DON'T KNOW
4)REFUSED</t>
  </si>
  <si>
    <t>Shin iyalan gidanka sun fuskanci wani gagarumin matsala ne ta hanyar noma a rani ?
[MAI AIKI: AMSA GUDA ƊAYA.]
1)EH
2)A'A
3)BAN SANI BA BA
4)BA ZA A AMSA BA</t>
  </si>
  <si>
    <t>Yimmɓe saare ma heɓi na gaannitaaji mauɗe nder heɓinnki kaayaaji remugo nder Dabbunde hikka?
[KAKKILANOOWO: JAABUYE WOOTERE.]
1)IYI
2)NAA NON
3)ANNDAA 
4)SALAKE</t>
  </si>
  <si>
    <t>1 = crp_proddif_2
2-4 = crp_storage</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</si>
  <si>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</si>
  <si>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</si>
  <si>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</si>
  <si>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Dry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</si>
  <si>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Wace matsala ce iyalan gidanka suka fuskanta da noman Rani?
[MA'AIKACI: ZA'A IYA BADA AMSOSHI DA YAWA. ZAƁI ZAƁIN DA YAFI DACEWA DA BAYANAN DA MASU AMSAWA SUKA BAYAR.]
1)Cutar shuka
2)Ɓarkewan ƙwari [har da tsuntsaye]
3)Rashin katange farmakin dabbobi
4)Samun ƙasa shuka
5)Samun taki [babu a kasuwa ko kuɗin yayi tsada]
6)Samun ingantattun iri
7)Samun wadatattun iri [babu a kasuwa ko kuɗin yayi tsada]
8)Samun magungunan ƙwari
9)Samun ma'aikata
10)Samun injuna/ kayan aiki ko dabbobi dan yin kunya 
11)Samun man fetur ko lantarki don kunna na'urar aikin noma 
12)Zaizayar ƙasa
13)Ƙarancin banruwa / ruwan sama
14)Matuƙar banruwa/ ruwa
15)Samun kuɗi
16)Wani daban
17)BAN SANI BA
18)ANƘI AMSAWA</t>
  </si>
  <si>
    <t>Waannitaajum ɗume yimmɓe saare ma heɓi nder remugo Dabbunde?
[EMOOWO: ƊUN WAAWAI HOKKUKI NOOTAAJE ƊUƊƊE. SUƁU KO ƁURI NANNDUKI E KO NOOTOOBE WI'I.]
1)Nyawu aawaajum
2)Jippaaki gilɗi [har e shooli]
3)Rellere haɗuki bonannda dabbaaje 
4)Heɓuki leddi aawugo
5)Heɓuki taaki [wala e luumo ko ceede saɗi]
6)Heɓuki iriiji bouɗɗi
7)Heɓuki iriije ɗuuɗɗe [wala e luumo ko ceede saɗi]
8)Heɓuki maagani gilɗi
9)Heɓuki huwooɓe
10)Heɓuki innjihon/ kayaaji kuugal ko dabbaaji ngam aawuki
11)Heɓuki nebbam ko yiite ngam umminnki njamdi remugo
12)Ekkidaaki leddi
13)Simɗuki waatugo ndiyam / ndiyam dow
14)Duuɗal waatugo ndiyam/ ndiyam
15)Heɓki ceede
16)Goɗɗum
17)MI ANNDA
18)SALAKE NOOTAAKI</t>
  </si>
  <si>
    <t>Form Type - Checklist
17,18 = IsNone</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</si>
  <si>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</si>
  <si>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1-18 = crp_storage</t>
  </si>
  <si>
    <t>if crp_proddif_2 = 1-18, go to [crp_salesmain OR optional question]</t>
  </si>
  <si>
    <t>o_crp_proddif_3</t>
  </si>
  <si>
    <t>If you have selected other as a response to the previous question, specify in your own words what this production difficulty is.
[OPERATOR: RECORD THE RESPONSE GIVEN]</t>
  </si>
  <si>
    <t>Idan ka zaɓi wani daban a matsayin amsar tambayar da ta gabata, tantance cikin kalamanka wace iri ce wannan matsalar samarda kayan gonan.
[MA'AIKACI: YI RAKODAN AMSAR DA AKA BAYAR]</t>
  </si>
  <si>
    <t>To a suɓi goɗɗum e nootannki emol saaliinde, wi'u nder boliiɗe ma ɗume wani wannitaajum heɓinnki kaayaaji remugo.
[EMOOWO: HOOSHU RAKODA NOOTAARE ƊUN HOKKI]</t>
  </si>
  <si>
    <t>Send if "crp_proddif_2" "Contains" "Other" if not satisfied go to "crp_storage"</t>
  </si>
  <si>
    <t>Any Response = crp_storage</t>
  </si>
  <si>
    <t>Question removed by LM</t>
  </si>
  <si>
    <t>Asked only if respondents selected option 16</t>
  </si>
  <si>
    <t>crp_storage</t>
  </si>
  <si>
    <t>Last season, what proportion of your {crp_main} stock did you lose [to pests, rotting, mould, etc.] after the harvest?
[OPERATOR: SINGLE RESPONSE.]
1)None
2)A little
3)An important part of it/ but less than half
4)Most of it [half or more]
5)Almost everything 
6)Everything
7)DON'T KNOW
8)REFUSED</t>
  </si>
  <si>
    <t>A shekarar baya, wane kaso ne ka rasa {crp_main} [dan ƙwari, ruɓewa, ginuwa, d.s.s.] bayan girbe amfani?
[MAI AIKI: AMSA GUDA ƊAYA.]
1)Babu
2)Kadan
3)Wani muhimmin sashi nasa - amma kasa da rabi
4)Mafi yawansa [rabi ko fiye]
5)Kusan komai
6)Komai
7)BAN SANI BA
8)BA ZA A AMSA BA</t>
  </si>
  <si>
    <t>E duugu saaliiɗum, ko wani ko relluɗa {crp_main} [ngam gilɗi, fusuki, mahuki, e.l.t.] baawo remugo?
[KAKKILANOOWO: JAABUYE WOOTERE.]
1)Walaa
2)Seɗɗa
3)Ko ɓuri wooɗude nder - ammaa yahraayi senndere
4)Ko ɓuri ɗuuɗude [senndere walla ko ɓuri]
5)Ba ɗume fuu
6)Ɗume fuu
7)ANNDAA
8)SALAKE</t>
  </si>
  <si>
    <t>Send if "crp_main" "Equals" "Rice" Or "crp_main" "Equals" "Millet" Or "crp_main" "Equals" "Sorghum" Or "crp_main" "Equals" "Maize" Or "crp_main" "Equals" "Sweet Potatoes" Or "crp_main" "Equals" "Cocoyam" Or "crp_main" "Equals" "Beans" Or "crp_main" "Equals" "Other pulses [e.g. cowpeas]" Or "crp_main" "Equals" "Mango" Or "crp_main" "Equals" "Groundnut/peanut" Or "crp_main" "Equals" "Wheat" Or "crp_main" "Equals" "Barley" Or "crp_main" "Equals" "Other Cereal" Or "crp_main" "Equals" "Cassava" Or "crp_main" "Equals" "Potatoe" Or "crp_main" "Equals" "Yams" Or "crp_main" "Equals" "Carrots" Or "crp_main" "Equals" "Other tubers" Or "crp_main" "Equals" "Lentils" Or "crp_main" "Equals" "Peas" Or "crp_main" "Equals" "Soybeans" Or "crp_main" "Equals" "Chickpeas" Or "crp_main" "Equals" "Fava beans" Or "crp_main" "Equals" "Broad beans" Or "crp_main" "Equals" "Cabbage" Or "crp_main" "Equals" "Cauliflower"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"Other leafy vegetables" Or "crp_main" "Equals" "Tomatoes" Or "crp_main" "Equals" "Green peas" Or "crp_main" "Equals" "Fava beans green" Or "crp_main" "Equals" "Cucumber" Or "crp_main" "Equals" "Pumpkin" Or "crp_main" "Equals" "Eggplant/aubergine" Or "crp_main" "Equals" "Zucchini" Or "crp_main" "Equals" "Okra" Or "crp_main" "Equals" "Bell pepper" Or "crp_main" "Equals" "Onions" Or "crp_main" "Equals" "Haricot" Or "crp_main" "Equals" "Other non leafy vegs" Or "crp_main" "Equals" "Orange" Or "crp_main" "Equals" "Lemon" Or "crp_main" "Equals" "Grapefruit" Or "crp_main" "Equals" "Mandarins/clementines" Or "crp_main" "Equals" "Other citrus fruit" Or "crp_main" "Equals" "Sweet Banana" Or "crp_main" "Equals" "Figs" Or "crp_main" "Equals" "Grapes" Or "crp_main" "Equals" "Olives" Or "crp_main" "Equals" "Apple" Or "crp_main" "Equals" "Apricot" Or "crp_main" "Equals" "Cherries" Or "crp_main" "Equals" "Peach/nectarine" Or "crp_main" "Equals" "Strawberries" Or "crp_main" "Equals" "Melon [Cantaloupe]" Or "crp_main" "Equals" "Plantains" Or "crp_main" "Equals" "Papaya" Or "crp_main" "Equals" "Guava" Or "crp_main" "Equals" "Pineapple" Or "crp_main" "Equals" "Avocado" Or "crp_main" "Equals" "Water Melon" Or "crp_main" "Equals" "Dates" Or "crp_main" "Equals" "Other fruit" Or "crp_main" "Equals" "Coconuts"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</si>
  <si>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crp_all</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</si>
  <si>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</si>
  <si>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</si>
  <si>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</si>
  <si>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</si>
  <si>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Shin kuna noma wani amfanin gona ban da {crp_main}, kuma idan haka ne waɗanne?
[MAI AIKI: ""Babu wani amfanin gona"" ya bayyana a KARSHEN JERIN ZABI. YANZU DUKKAN GIRMAN DA MAI AMSA YA LURA.]
1)Babu sauran amfanin gona
2)BAN SANI BA
3)BA ZA A AMSA BA</t>
  </si>
  <si>
    <t>A remi goɗɗi fiiji so a ittii {crp_main}, so non ndiyeeri?
[KAKKILANOOWO: "Walaa aawdi wonndi" WANNGINAAMA TON REGARE LIMNGAL NGAL. SUƁU KALA AAWULLAJI ƊI JAABOTOOƊO LIMTI.]
1)Walaa aawullaaji goɗɗi
2)ANNDAA
3)SALAKE</t>
  </si>
  <si>
    <t>Form Type - Checklist
Included unselected "crp_main"
1,2,3= IsNone</t>
  </si>
  <si>
    <t>Dynamic = crp_salesmain
1-3 = crp_salesmain</t>
  </si>
  <si>
    <t>For any response to crp_all, go to crp_salesmain</t>
  </si>
  <si>
    <t>D. CROP MARKETING</t>
  </si>
  <si>
    <t>crp_salesmain</t>
  </si>
  <si>
    <t>What has been the main crop that you have sold over the last 3 months?
[OPERATOR: "No crop sold in the last 3 months" APPEARS AT THE END OF THE LIST OF OPTIONS. SELECT ALL CROPS LISTED BY THE RESPONDENT.]
1)Rice
2)Millet
3)Sorghum
4)Maize
5)Sweet Potatoes
6)Cocoyam
7)Beans
8)Other pulses [e.g. cowpeas]
9)Mango
10)Groundnut/peanut
11)Wheat
12)Barley
13)Other Cereal
14)Cassava
15)Potatoe
16)Yams
17)Carrots
18)Other tubers
19)Lentils
20)Peas
21)Soybeans
22)Chickpeas
23)Fava beans
24)Broad beans
25)Cabbage
26)Cauliflower
27)Lettuce
28)Spinach-Amaranth
29)Cassava leaves
30)Potatoe leaves
31)Moringa
32)Sorrel Hibiscus / Rosselle
33)Green salad herbs [thyme/ parsley/ mint/ rocca/ other]
34)Other leafy vegetables
35)Tomatoes
36)Green peas
37)Fava beans green
38)Cucumber
39)Pumpkin
40)Eggplant/aubergine
41)Zucchini
42)Okra
43)Bell pepper
44)Onions
45)Haricot
46)Other non leafy vegs
47)Orange
48)Lemon
49)Grapefruit
50)Mandarins/clementines
51)Other citrus fruit
52)Sweet Banana
53)Figs
54)Grapes
55)Olives
56)Apple
57)Apricot
58)Cherries
59)Peach/nectarine
60)Strawberries
61)Melon [Cantaloupe]
62)Plantains
63)Papaya
64)Guava
65)Pineapple
66)Avocado
67)Water Melon
68)Dates
69)Other fruit
70)Coconuts
71)Cashew Nut
72)Kola Nut
73)Sesame
74)Bambara nut
75)Almond
76)Walnut
77)Other nuts
78)Cocoa
79)Coffee
80)Tea
81)Sugarcane
82)Sunflower
83)Other food cash crop
84)Cotton
85)Rubber
86)Jute
87)Fodder
88)Tobacco
89)Qat
90)Other non-food cash crop
91)No crop sold in the last 3 months
92)DON'T KNOW
93)REFUSED</t>
  </si>
  <si>
    <t>Mene ne babban amfanin gona da kuka sayar a cikin watanni 3 da suka gabata?
[MAI AIKI: ""Babu amfanin gona da aka sayar a cikin watanni 3 da suka wuce"" YA ZO A KARSHEN JERIN ZABI. YANZU DUKKAN GIRMAN DA MAI AMSA YA LURA.]
1)Shinkafa
2)Gero
3)Dawa
4)Masara
5)Dankalin Hausa
6)Gwaza
7)Wage
8)Wasu tsabobin [e.g. maiwa]
9)Mangoro
10)Gyaɗa
11)Alkama
12)Acca
13)Wasu hatsin
14)Rogo
15)Dankali
16)Doya
17)Karas
18)Wasu kayan ƙasar
19)Lansir
20)Waken pis
21)Waken suya
22)Pis
23)Waken faba
24)Manyan wake
25)Kabeji
26)Ganyen koli
27)Latas
28)Alayyahu
29)Ganyen rogo
30)Ganyen dankali
31)Zogale
32)Zoɓorodo
33)Busassun ganyayyaki [taim/ fasli/ na'ana'a/ roka/ wani daban]
34)Wasu kayayyakin ganye
35)Tumatur
36)Koren wake
37)Koren waken faba
38)Gurji
39)Kabewa
40)Yalo
41)Zuchini
42)Kuɓewa
43)Attaruhu
44)Albasa
45)Harikot
46)Wasu kayayyakin marasa ganye
47)Lemu
48)Lemun tsami
49)Inabi
50)Tanjiri
51)Wasu itatuwan tsami
52)Ayaba
53)Tin
54)Baƙin inibi
55)Zaitun
56)Tufa
57)Agwaluma
58)Sheri
59)Jan tufa
60)Sitiro beri
61)Milo
62)Ayaban suya
63)Gwanda
64)Gwaiba
65)Abarba
66)Fiya
67)Kankana
68)Dabino
69)Wasu ƴa'yan itatuwa
70)Kwakwa
71)Kashu
72)Goro
73)Riɗi
74)Gujiya
75)Gyaɗar almon
76)Gyaɗar walno
77)Wasu nauƴukan gyaɗa
78)Koko
79)Kofi
80)Ganyen shayi
81)Rake
82)Samfilawa
83)Wasu kayayyakin abinci na sayarwa
84)Auduga
85)Roba
86)Jut
87)Foda
88)Taba
89)Ƙat
90)Wasu kayayyakin sayarwa da ba na abinci ba
91)Ba a sayar da amfanin gona a cikin watanni 3 da suka gabata
92)BAN SANI BA
93)BA ZA A AMSA BA</t>
  </si>
  <si>
    <t>Ɗeye kare nyaamndu a ɓuri sooruki nder lebbi 3 caaliiɗi?
[KAKKILANOOWO: "Walaa aawdi wonndi sooraa nder lebbi 3 caaliiɗi" WANNGINAAMA TON REGARE LIMNGAL NGAL. SUƁU KALA AAWULLAJI ƊI JAABOTOOƊO LIMTI.]
1)Maaroori
2)Muuri
3)Cibal
4)Masardi
5)Bugumji belɗe
6)Gwaazaari
7)Nyebbe
8)Ge'elɗe goɗɗi [misali. kawpis]
9)Manngoro
10)Biriiji
11)Alkamaari
12)Sha'iiruuhi
13)Accaaji goɗɗi
14)Mbayli
15)Bugumji
16)Dunnduuje
17)Karas
18)Ta'eeje goɗɗi
19)Lentihi
20)Pis
21)Nyebbe soya
22)Cikpis
23)Nyebbe fava
24)Nyebbe mauɗe
25)Kabeeji
26)Fungooje baafe
27)Baafo latas
28)Haako-ndiyam
29)Baafe mbay
30)Baafe bugumwol
31)Kaabiwal Hawsa
32)Doronngu
33)Kauto gawri raneeje [taim/ pasli/ nana'aaru/ roka/ goɗɗum]
34)Funkallooji goɗɗi marje baafe
35)Kuytaaje
36)Piije reneeje
37)Nyebbe fava
38)Dagdaggi
39)Waygoore
40)Yalo
41)Zucini
42)Kuɓeeji
43)Taruhu
44)Tinngeere
45)Harikohi
46)Funkallooji goɗɗi ɗi ngala baafe
47)Leemu Masar
48)Lammujum
49)Bukki
50)Mandarinje
51)Lammuje goɗɗi
52)Konndongji
53)Biskehi
54)Inabooje
55)Jaytuuni
56)Boyli
57)Afrikohi
58)Cherihi
59)Raneeri
60)Sitroberi
61)Dennde 
62)Konndong sa'uki
63)Rukuure
64)Goyba
65)Abarbahi
66)Piyaare
67)Pariije
68)Tanni
69)Samarooje
70)Kwakwa
71)Kashu
72)Gooro
73)Riɗi
74)Kaa'eeji
75)Lawjahi
76)Walnoori
77)Eggeeje goɗɗi
78)Kokohi
79)Kahawa
80)Saayi
81)Cibal
82)Somfilawa
83)Kaayaaji nyammdu ko sooreteeɗum
84)Hotollo
85)Giggirɗum
86)Juuti
87)Karmaamu
88)Taabaahi
89)Qat
90)Kaaya gese soorugo ko ɗun nyaamata
91)walaa kare nyaamndu
92)ANNDAA
93)SALAKE</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</si>
  <si>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</si>
  <si>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Form Type - Dropdown
IsDemographic - crp_salesmain</t>
  </si>
  <si>
    <t>1)1.1
2)1.3
3)1.4
4)1.5
5)2.3
6)2.6
7)3.1
8)3.99
9)7.4
10)8.2
11)1.2
12)1.6
13)1.99
14)2.1
15)2.2
16)2.4
17)2.5
18)2.99
19)3.2
20)3.3
21)3.4
22)3.5
23)3.6
24)3.7
25)4.1
26)4.101
27)4.2
28)4.3
29)4.4
30)4.5
31)4.6
32)4.7
33)4.9
34)4.99
35)5.1
36)5.101
37)5.11
38)5.2
39)5.3
40)5.4
41)5.5
42)5.6
43)5.7
44)5.8
45)5.9
46)5.99
47)6.1
48)6.2
49)6.3
50)6.4
51)6.99
52)7.1
53)7.101
54)7.11
55)7.12
56)7.13
57)7.14
58)7.15
59)7.16
60)7.17
61)7.18
62)7.2
63)7.3
64)7.5
65)7.6
66)7.7
67)7.8
68)7.9
69)7.99
70)8.1
71)8.3
72)8.4
73)8.5
74)8.6
75)8.7
76)8.8
77)8.99
78)9.1
79)9.2
80)9.3
81)9.4
82)9.5
83)9.99
84)10.1
85)10.2
86)10.3
87)10.4
88)10.5
89)10.6
90)10.99
92)888
93)999</t>
  </si>
  <si>
    <t>1-90 = crp_salesdif
91-93 = ls_intro</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</si>
  <si>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</si>
  <si>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</si>
  <si>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</si>
  <si>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Shin dangin ku sun fuskanci wata matsala a cikin watanni 3 da suka gabata wajen siyar da {crp_salesmain}?
[MAI AIKI: AMSA GUDA ƊAYA.]
1)EH
2)A'A
3)BAN SANI BA
4)BA ZA A AMSA BA</t>
  </si>
  <si>
    <t>Wuro maa yi'idii e caɗeele dow nder lebbi 3 caaliiɗi dow sooruki {crp_salesmain}?
[KAKKILANOOWO: JAABUYE WOOTERE.]
1)IYI
2)NAA NON
3)ANNDAA 
4)SALAKE</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</si>
  <si>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</si>
  <si>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</si>
  <si>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</si>
  <si>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</si>
  <si>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</si>
  <si>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Wane matsaloli ne gidanku ya fuskanta a cikin watanni 3 da suka gabata lokacin siyar da {crp_salesmain}?
[Mai Aikata: AMSA MASU YAWA. ZABI ZABI(S)WANDA MAFI GYARAN BAYANIN DA MASU AMSA SUKE BAYAR.]
1)Tsadar tafiyarwa ko wasu tsadar tallatarwa
2)Lalacewa ko rasawa sabofa matsalolin adana da/ko matsalar samun kasuwa [misali. tashin hankali/ rashin ingancin ababen more rayuwa d.s.s.]
3)Rashin samun kasuwa daga masu sayarwa ko saye na ko da yaushe
4)Jinkirin biyan kuɗi daga masu sayarwa/ masu saye
5)Karya kuɗin saye [misali. in an kwatanta da kuɗin da aka kashe / hauhawan farashi]
6)Matsala wajen sarrafa kayayyakin [rashin ababen sarrafawa / na'urori / d.s.s.]
7)Yawan kayayyakin a kasuwa
8)Wasu
9)BAN SANI BA
10)BA ZA A AMSA BA</t>
  </si>
  <si>
    <t>Wuro maa yi'idii e caɗeele dow nder lebbi 3 caaliiɗi dow sooruki {crp_salesmain}?
[KAKKILANOOWO: JAABUYE ƊUUƊƊE FOTI HEƁEE. SUƁU CUƁƊI NJAHDUƊI E BAYAANUUJI ƊI JAABOTOOƊO JAABIRII.]
1)Saɗuki yahdu ko saɗuki shoggu 
2)Wonnaaki ko relluki ngam ngaannitaaji sigoore e/ko ngaannitaaji heɓuki luumo [misali. ummitaaki hakkilo/hiiɗuki mahe-maheeji e.l.t.]
3)Rellugo heɓuki shoggu diga soorooɓe ko soodooɓe ko ndeye
4)Soorooɓe/soodooɓe sala biyuki ceede
5)Heltuki ceede sooduki [misali. to ɗun hawti e ceede ɗun majjini/ ummaaki ceede]
6)Wannitaajum siguki kaayaaji [rellugo kaayaaji siguki/ njammdi/ e.l.t.]
7)Duuɗal kaayaaji ɗin e luumo
8)Goɗɗi
9)ANNDAA
10)SALAKE</t>
  </si>
  <si>
    <t>1)crp_saledif_marketing_cost
2)crp_saledif_damage_losses
3)crp_saledif_low_demand
4)crp_saledif_pay_delay
5)crp_saledif_low_price
6)crp_saledif_processing
7)crp_saledif_competition
8)crp_saledif_other
9)crp_saledif_dk
10)crp_saledif_ref</t>
  </si>
  <si>
    <t>1-10 = crp_salesprice</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</si>
  <si>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</si>
  <si>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</si>
  <si>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</si>
  <si>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Ta yaya zaka kwatanta tsadar kayayyakin iyalan gidanka {crp_salesmain} in an haɗa da na irin wannan lokacin a cikin shekara?
[MAI AIKI: AMSA GUDA DAYA. NAJERATA AKAN BABBAN KYAUTA DA AMBATON.]
1)Ya karu da yawa [ƙaru fiye da kashi 50%]
2)Ya karu kadan
3)Dai dai yake da na bara
4)Ya ragu kadan
5)Ya ragu sosai [kasa da rabi kamar yawa]
6)BAN SANI BA
7)BA ZA AMSA BAA</t>
  </si>
  <si>
    <t>Ta noye hollata saɗuki kaayaaji yimmɓe saare ma {crp_salesmain} to ɗun hawti be iri wakkatiiru ndu e duugu feere non tan?
[KAKKILANOOWO: JAABUYE WOOTERE. TIIGOO DOW KO HEƁINTEE INNAANOOƊUM]
1)Sanne [towtii e ko ɓuri daaɗe 50%]
2)Seɗɗa
3)No wonnoo
4)Yahraayi
5)Famɗii sanne [leesii senndere sanne]
6)ANNDAA
7)SALAKE</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</si>
  <si>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</si>
  <si>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</si>
  <si>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</si>
  <si>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</si>
  <si>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</si>
  <si>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Yanzu za mu yi muku wasu tambayoyi game da kiwon dabbobi da suka shafe ku da duk wanda ke cikin gidan ku da ke da hannu a harkar kiwo ko sayar da dabbobi.
1)CI GABA</t>
  </si>
  <si>
    <t>Jooni mi ƴamete dow durngol laatiiɗum hawtii aan e kala tawaaɗo nder wuro maa ngurtinoowo walla cooroowo kare nyaamndu. Kala ƴamɗe ɗen laaranii kare nyaamndu durngol dabbaaji.  
1)JOKKU</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</si>
  <si>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</si>
  <si>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</si>
  <si>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</si>
  <si>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</si>
  <si>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</si>
  <si>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Wace ce babbar dabba ce gidanku suka kiwata domin abinci da samar da kudi a cikin watanni 12 da suka gabata?
[MAI AIKI: AMSA GUDA DAYA. TAMBAYA GAME DA MAFI MUHIMMANCIN DABBA KAWAI.] [ABUBUWAN: KAR KU MANTA KU BINCIKA GAME DA MUSULUNCI - MATSALAR DABBOBI DAGA KASA GUDA DAYA ZUWA WANI.]
1)Shanu [ saniya / naman sa / naman sa / yak / buffalo]
2)Akuya
3)Tumaki
4)Alade [alade / aladen daji / da dai sauransu]
5)Doki [jaki / doki / da dai sauransu]
6)Kananan dabbobi masu shayarwa [zoma / minks / aladu / da sauransu]
7)Kaji [kaza / zabo / agwagwa / salwa / talo-talo / da dai sauransu]
8)Rakumi
9)Wasu
10)BAN SANI BA
11)BA ZA A AMSA BA</t>
  </si>
  <si>
    <t>Ɗiye dabbaaji wuro maa ɓuri durude ngam nyaameeki e kadi keɓal ceede nder lebbi 12 caaliiɗi?
[KAKKILANOOWO: JAABUYE WOOTERE. ƳAMU DOW DABBAWA ƁURDUNGA BOTE SANNE TAN.] [SAPPIRDE: TAA YEJJUTU A TABITINA KA EGGOL - WOOSIDAAKI E DABBAAJI GILA DURDUDE YAHKI WONNDE. 
1)Nagge [Wiige / teewu nagge / wiige/ yak / kalaldi]
2)Mbe'a
3)mbaala
4)Gaduuru [gaduuru / booti / hogoore / e ko nanndi]
5)Puccu [Mbabba / Puccu / e ko nanndi]
6)Dabbaaji pamari njarnooji ɗi wuro [mboje / minks / gaduuji / e ko nanndi]
7)Colli [gerooɗe / jaawle / kankaleeje / kuure / daw / ekn]
8)Geelooɗi
9)Goɗɗi
10)ANNDAA 
11)SALAKE</t>
  </si>
  <si>
    <t>Form Type - Buttons
IsDemographic - ls_main</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</si>
  <si>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</si>
  <si>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</si>
  <si>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</si>
  <si>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</si>
  <si>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Nawa {ls_main} kuka samu a lokaci guda a bara?
[MAI AIKI: RUBUTO LAMBAR DABBOBI. Shigar da 88888 DON BA SAN BA DA 99999 don ƙi.]</t>
  </si>
  <si>
    <t xml:space="preserve"> {ls_main} noye keɓɗaa rowani bana sarde nde'e? 
[KAKKILANOOWO: ADU LIMNGAL DABBAAJI ƊIN. NAATIN 88888 DARNDE ANNDAA E 99999 DARNDE SALAKE.]</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</si>
  <si>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</si>
  <si>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</si>
  <si>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</si>
  <si>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</si>
  <si>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Nawa {ls_main} kuke da su yanzu?
[MAI AIKI: RUBUTO LAMBAR DABBOBI. Shigar da 88888 DON BA SAN BA DA 99999 don ƙi.]</t>
  </si>
  <si>
    <t>{ls_main} noye marɗaa jooni? 
[KAKKILANOOWO: ADU LIMNGAL DABBAAJI ƊIN. NAATIN 88888 DARNDE ANNDAA E 99999 DARNDE SALAKE.]</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</si>
  <si>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</si>
  <si>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</si>
  <si>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</si>
  <si>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</si>
  <si>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</si>
  <si>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Me yasa adadin dabbobin ya canza?
[Mai Aikata: MASU AMSAWA DA YAWA IYAWA.]
1)Babu wani gagarumin canji a yawan dabbobi
2)Ba a sayar da yawa ba
3)Yawan haihuwa
4)Sai ko saye da ƙarin dabbobi a wannan shekara
5)Dabbobin da aka karɓa kyauta [sakewa / kyauta]
6)Mutuwar dabba saboda cutar yunwa / fari/ rashin abinci
7)Mutuwar dabba saboda wasu dalilan [misali. cututtuka/ maciya/ rauni]
8) Na saida fiye da abinda na saba saboda farashin me kyau ne
9)An sayar da fiye da yadda aka saba saboda tallace-tallace na damuwa [ba zai iya ciyar da dabba ba / buƙatar kudi cikin gaggawa don bukatun gida ko da tallace-tallace ya kasance mai dorewa]
10)Dabbobi sun tsere ko sun ɓace ko an sace su
11)An kashe ko ba da dabbobi fiye da yadda aka saba don cin abinci a gida ko bikin [aure / jana'izar / da sauransu]
12)Wasu
13) BAN SAN BA
14) KARYA</t>
  </si>
  <si>
    <t>Ko waɗi limngal dabbaaji ɗin waylii?
[KAKKILANOOWO: JAABUYE ƊUUƊƊE FOTI HEƁEE.]  
1)Walaa ko waylii puuy nder limgal dabbaaji ɗin
2)Sooraayi ɗuuɗɗi non fuu
3)Ɗuuɗɗi ndimaama
4)Sooraama walla waylittaamaa e dabbaaji sanne hitaande nde'e
5)Heɓii dokkal dabbaaji caahu [durditaaki / caahu]
6)Waatuki dabbawa ngam nyawu weelo/ yoorugo/ rellere nyamdu
7)Waatuki dabbawa ngam huundeeji goɗɗi [misali. nyawuuji/ ekkooɓe/ naunarre]
8) Mi soori ko ɓuri no mbowumi ngam ceede ɗen saɗa
9)Soorii ɗuuɗɗi sabu nanngeede sooruki [tampude nyaamnuki dabbaaji /yiɗannde ceede nde jaawal sabu haajannde wuro foti maa coggu ngun welaayi]
10)Dabbaaji ndaɗii walla majjii walla wujjaama
11)Hirsii / warii dabbaaji ɗuuɗɗi naa bana woowaa sabu nyaameede to wuro walla ngam humto [dewgal/ uweede/ ekn]
12)Goɗɗi
13)DANNDAA
14)SALAKE</t>
  </si>
  <si>
    <t>Form Type - Checklist
1,13,14 = IsNone</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</si>
  <si>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</si>
  <si>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1-14 = ls_feed</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</si>
  <si>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</si>
  <si>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</si>
  <si>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</si>
  <si>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</si>
  <si>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A ina kuke yawan samun abincin {ls_main} naku?
[Mai Aikata: MASU AMSA DAYAWA IYAWA.]
1)Kiwo
2)Filayen kiwo na al'umma
3)MallakaR filin kiwo ko hada abinci da kanka
4)Siyan abinci a kasuwa
5)Watsawa a kyauta
6)Wasu
7)BAN SANI BA
8)BA ZA A AMSA BA</t>
  </si>
  <si>
    <t>To a ɓuri heɓanki dabbaaji maa nyaamndu {ls_main}?  
[KAKKILANOOWO: JAABUYE ƊUUƊƊE FOTI HEƁEE.] 
1)Durduɗe 
2)Durduɗe ɗe ummaatooje hakkilanta
3)Durdunde maraande walla nyaamndu kawtaandu hoore
4)Soodii nyaamndu dabbaaji gila luuɓe
5)Yeeduki e saahu
6)Goɗɗe
7)ANNDAA
8)SALAKE</t>
  </si>
  <si>
    <t>Form Type - Checklist
7,8 = IsNone</t>
  </si>
  <si>
    <t>1)ls_feed_open_pasture
2)ls_feed_common_pasture
3)ls_feed_self_produced
4)ls_feed_purchased
5)ls_feed_free_dist
6)ls_feed_other
7)ls_feed_dk
8)ls_feed_ref</t>
  </si>
  <si>
    <t>1-8 = ls_proddif</t>
  </si>
  <si>
    <t>For any response, go to ls_proddif</t>
  </si>
  <si>
    <t>ls_proddif</t>
  </si>
  <si>
    <t>Has your household faced any significant difficulty with livestock production over the last 3 months?
[OPERATOR: SINGLE RESPONSE.]
1)YES 
2)NO
3)DON'T KNOW
4)REFUSED</t>
  </si>
  <si>
    <t>Shin dangin ku sun fuskanci wata matsala ta kiwon dabbobi a cikin watanni 3 da suka gabata?
[MAI AIKI: AMSA GUDA ƊAYA.]
1)EH
2)A'A
3)BAN SANI BA
4)BA ZA A AMSA BA</t>
  </si>
  <si>
    <t>Dabbaaji e yi'ida e caɗeele rimude nder lebbi 3 caaliiɗi?
[KAKKILANOOWO: JAABUYE WOOTERE.]
1)IYI
2)NAA NON
3)ANNDAA 
4)SALAKE</t>
  </si>
  <si>
    <t>1=ls_proddif_2
2-4= ls_all</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</si>
  <si>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</si>
  <si>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</si>
  <si>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</si>
  <si>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</si>
  <si>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Wanne matsaloli ne gidan ku ya fuskanta na kiwon dabbobi a cikin watanni 3 da suka gabata?
[Mai Aikata: AMSA MASU YAWA. ZABI ZABI[S]WANDA MAFI GYARAN BAYANIN DA MASU AMSA SUKE BAYAR.]
1)Wahalar siyan abinci [farashi ko samun kasuwa]
2)Samun wurin kiwo
3)Samun ruwa
4)Samun ayyukan duba lafiyar dabbobi [allurai/ duba lafiya/ feshi/ bada shawari d.s.s.]
5)Samun damar shigar da dabbobi [maganin dabbobi / kayan aikin don lafiyar dabbobi / da sauransu]
6)Cutar tumaki ko rauni
7)Satar dabbobi
8)Samar da kasuwar dabbobi don siyan dabbobi masu tasowa
9)Samun damar kiredit
10)Samun aikin ma'aikata 
11)Wasu
12)BAN SANI BA BA
13)BA ZA A AMSA BA</t>
  </si>
  <si>
    <t>Ɗeye caɗeele yimɓe wuro maa y'idata heedi hakkilanki dabbaaji nder lebbi 3 caaliiɗi?  
[KAKKILANOOWO: JAABUYE ƊUUƊƊE FOTI HEƁEE. SUƁU CUƁƊI NJAHDUƊI E BAYAANUUJI ƊI JAABOTOOƊO JAABIRII.]
1)Caɗeele sooduki nyaamndu dabbaaji sabu towtude ceede coggu [ceede coggu walla heɓki to luumo] 
2)Heɓki huɗo to durduɗe
3)Heɓki ndiyam yarnuki
4)Heɓuki kuujeeji laarki dabbaaji [baatal/ ndaaruki njamu/ fuufki/ hokkuki shawara e.l.t.]
5)Heɓki to faabantee njamu dabbaaji [leɗɗe dabbaaji / kuwtinirɗe dow njamu dabbaaji / ekn] 
6)Nyawu ko naunarre baali
7)Wujjuki dabbaaji
8)Heɓki no yottortoo luumo ngam soodude dabbaaji pamari
9)Heɓki nyamaande
10)Heɓuki kuugal huwooɓe   
11)Goɗɗi
12)ANNDAA
13)SALAKE</t>
  </si>
  <si>
    <t>Form Type - Checklist
12,13 = IsNone</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</si>
  <si>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</si>
  <si>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1-13 = ls_all</t>
  </si>
  <si>
    <t>if ls_proddif_2 = 1-13, go to ls_salesmain OR optional question</t>
  </si>
  <si>
    <t>o_ls_proddif_3</t>
  </si>
  <si>
    <t>Idan ka zaɓi wani daban a matsayin amsar tambayar da ta gabata, tantance a kalamanka menene matsalar samarwan.
[MA'AIKACI: YI RAKODAN AMSAR DA AKA BAYAR]</t>
  </si>
  <si>
    <t>To a suɓi goɗɗum e nootannki emol ɓaawo ɗo, wi'u nder boliiɗe ma ɗume wani waannitaajum heɓinnki kin.
[EMOOWO: HOOSHU RAKODA NOOTAARE ƊUN HOKKI]</t>
  </si>
  <si>
    <t>Send if "ls_proddif_2" "Contains" "Other" if not satisfied go to "ls_all"</t>
  </si>
  <si>
    <t>Any Response = ls_all</t>
  </si>
  <si>
    <t>Asked only if respondents selected option 11</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</si>
  <si>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</si>
  <si>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</si>
  <si>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</si>
  <si>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Shin kuna da wasu dabbobi ban da {ls_main}, kuma idan haka ne waɗanne ne?
[MAI AIKI: "Babu wani dabba" ya bayyana a KARSHEN JERIN ZABI. ZABI DUK DABBOBI DA MAI AMSA.]
1)Babu sauran dabbobi
2)BAN SANI BA
3)BA ZA A AMSA BA</t>
  </si>
  <si>
    <t>A woodi goɗɗi dabbaaji ɗin ɓaawo {ls_main}, so non ɗiye non? 
[KAKKILANOOWO: "Walaa dabbawa feere" WANNGINAAMA TON REGARE LIMNGAL NGAL. SUƁU KALA AAWULLAJI ƊI JAABOTOOƊO LIMTI.]
1)Walaa dabbaajii goɗɗi
2)ANNDAA
3)SALAKE</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</si>
  <si>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</si>
  <si>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</si>
  <si>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1)ls_all_cattle
2)ls_all_goats
3)ls_all_sheep
4)ls_all_swine
5)ls_all_equine
6)ls_all_smallmammals
7)ls_all_poultry
8)ls_all_camelids
9)ls_all_other
10)ls_all_none
11)ls_all_dk
12)ls_all_ref</t>
  </si>
  <si>
    <t>Dynamic = ls_salesmain
1-3 = ls_salesmain</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</si>
  <si>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</si>
  <si>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</si>
  <si>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</si>
  <si>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</si>
  <si>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Mene ne babban kayan amfanin jikin dabbobi kamar su [fata, kaho, jini, kofato, kashi] da gidanku suka sayar a cikin watanni 3 da suka gabata?
[MAI AIKI: AMSA GUDA DAYA. NADA KAN BABBAN KYAUTA.]
1)Shanu [ saniya / naman sa / naman sa / yak / buffalo]
2)Akuya
3)Tumaki
4)Alade [alade / Aladen daji / da dai sauransu]
5)Dokin daji [jaki / doki / da dai sauransu]
6)Kananan dabbobi masu shayarwa [zoma / minks / aladu / da sauransu]
7)Kaji [kaza / zabo / agwagwa / salwa / talo-talo / da dai sauransu]
8)Rakumi
9)Kwai
10)Madara ko kayan kiwo
11)Fata ko fata ko ulu
12)BAN SANI BA BA
13)BA ZA A AMSA BA</t>
  </si>
  <si>
    <t>Ɗiye dabbaaji wuro maa ɓuri durude ngam nyaameeki e kadi keɓal ceede nder lebbi 12 caaliiɗi?
[KAKKILANOOWO: JAABUYE WOOTERE. ƳAMU DOW DABBAWA ƁURDUNGA BOTE SANNE TAN.] [SAPPIRDE: TAA YEJJUTU A TABITINA KA EGGOL - WOOSIDAAKI E DABBAAJI GILA DURDUDE YAHKI WONNDE. 
1)Nagge [Wiige / teewu nagge / wiige/ yak / kalaldi]
2)Mbe'a
3)mbaala
4)Gaduuru [gaduuru / booti / hogoore / e ko nanndi]
5)Puccu [Mbabba / Puccu / e ko nanndi]
6)Dabbaaji pamari njarnooji ɗi wuro [mboje / minks / gaduuji / e ko nanndi]
7)Colli [gerooɗe / jaawle / kankaleeje / kuure / daw / ekn]
8)Geelooɗi
9)Geeraaɗe
10)Kosam walla Yoortinki kosam
11)Lare walla leeda walla uulu 
12)ANNDAA 
13)SALAKE</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</si>
  <si>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</si>
  <si>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 - ls_salesmain</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</si>
  <si>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</si>
  <si>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</si>
  <si>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</si>
  <si>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</si>
  <si>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Shin dangin ku sun fuskanci wata matsala a cikin watanni 3 da suka gabata wajen siyar da {ls_salesmain} ku?
[MAI AIKI: AMSA GUDA ƊAYA.]
1)EH
2)A'A
3)BAN SANI BA
4)BA ZA A AMSA BA</t>
  </si>
  <si>
    <t>Wuro maa yi'idii e caɗeele dow nder lebbi 3 caaliiɗi dow sooruki {ls_salesmain}?
[KAKKILANOOWO: JAABUYE WOOTERE.]
1)IYI
2)NAA NON
3)ANNDAA 
4)SALAKE</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</si>
  <si>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</si>
  <si>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</si>
  <si>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</si>
  <si>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</si>
  <si>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</si>
  <si>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Wace matsala ce gidanku ya fuskanta a cikin watanni 3 da suka gabata wajen siyar da {ls_salesmain}?
[Mai Aikata: AMSA MASU YAWA. ZABI ZABI(S)WANDA MAFI GYARAN BAYANIN DA MASU AMSA SUKE BAYAR.]
1)Tsadar kuɗin tafiyarwa ko wasu kuɗaɗen tallatawa 
2)Lalacewa ko rasawa lokacin tafiyarwa ko matsalar samun kasuwa 
3)Rashin saye daga masu sayarwa ko saye na ko da yaushe 
4)Jinkirin biyan kuɗi daga masu sayarwa/ saye 
5)Ƙarancin kuɗaɗen sayarwa [misali. in an haɗa da kuɗin da aka kashe / hauhawan farashi]
6)Rufe kwata ko matsalar samun gidajen kwata
7)Matsalar sarrafa kayayyakin banda rufe kwata [rashin samun ababen sarrafawa / na'urori/ d.s.s.]
8)Yawan kayayyakin a kasuwa
9)Wasu
10)BAN SANI BA
11)BA ZA A AMSA BA</t>
  </si>
  <si>
    <t>Ɗeye caɗeele wuro maa yi'idii nder lebbi 3 caaliiɗi dow sooruki {ls_salesmain}?
[KAKKILANOOWO: JAABUYE ƊUUƊƊE FOTI HEƁEE. SUƁU CUƁƊI NJAHDUƊI E BAYAANUUJI ƊI JAABOTOOƊO JAABIRII.]
1)Saɗuki ceede yahdu ko ceede shoggu goɗɗi
2)Wonnaaki ko relluki saa'i ɗun dillidata ko waannitaajum heɓuki luumo
3)Rellere sooduki diga soodooɓe ko soorooɓe ko ndeye 
4)Saluki hokkuki ceede diga soorooɓe/ soodooɓe 
5)Simɗuki ceede sooruki [misali. to ɗun hawti be ceede ɗun majjini /ummaaki ceede]
6)Maɓɓuki saare ta'ƴuki ko rellerw heɓuki saareeji ta'ƴuki 
7)Waannitaajum siguki kaayaaji ɗin banda maɓɓuki saare ta'ƴuki [rellere heɓuki huundeeji siguki / njamdiiji/ e.l.t.]
8)Ɗuuɗal kaayaaji ɗin e luumo
9)Goɗɗi
10)ANNDAA
11)SALAKE</t>
  </si>
  <si>
    <t>Form Type - Checklist
10,11 = IsNone</t>
  </si>
  <si>
    <t>1)ls_salesdif_marketing_cost
2)ls_salesdif_damage_losses
3)ls_salesdif_low_demand
4)ls_salesdif_pay_delay
5)ls_salesdif_low_price
6)ls_salesdif_slaughterhouse
7)ls_salesdif_processing
8)ls_salesdif_competition
9)ls_salesdif_other
10)ls_salesdif_dk
11)ls_salesdif_ref</t>
  </si>
  <si>
    <t>1-11 = ls_salesprice</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</si>
  <si>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</si>
  <si>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</si>
  <si>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</si>
  <si>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Yaya yanayin tsadar kayayyakin iyalan gidanka {ls_salesmain} idan an kwatanta da kimantaccen tsadar a irin wannan lokacin a wata shekarar haka nan?
[MAI AIKI: AMSA GUDA DAYA. NAJERATA AKAN BABBAN KYAUTA DA AMBATON.]
1)Ya karu da yawa [ƙaru fiye da kashi 50%]
2)Ya karu kadan
3)Dai dai yake da na bara
4)Ya ragu kadan
5)Ya ragu sosai [kasa da rabi kamar yawa]
6)BAN SANI BA
7)BA ZA AMSA BAA</t>
  </si>
  <si>
    <t>Noye wani saɗuki kaayaaji yimmɓe saare ma {ls_salesmain} to ɗun hawti be saɗuki anndaaɗum e iri wakkatiiru ndu e duugu feere non tan?
[KAKKILANOOWO: JAABUYE WOOTERE. TIIGOO DOW KO HEƁINTEE INNAANOOƊUM]
1)Sanne [towtii e ko ɓuri daaɗe 50%]
2)Seɗɗa
3)No wonnoo
4)Yahraayi
5)Famɗii sanne [leesii senndere sanne]
6)ANNDAA
7)SALAKE</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</si>
  <si>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</si>
  <si>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</si>
  <si>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</si>
  <si>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</si>
  <si>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</si>
  <si>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Yanzu za mu yi muku wasu tambayoyi game da kiwo kifi da kiwo da suka shafe ku da duk wanda ke cikin gidan ku da ke da hannu a harkar kiwo ko sayar da kifin.
1)CI GABA</t>
  </si>
  <si>
    <t>Jooni mi ƴamete dow tagle lndiyam laatiiɗum hawtii aan e kala tawaaɗo nder wuro maa ngurtinoowo walla cooroowo kare nyaamndu. Kala ƴamɗe ɗen laaranii kare nyaamndu durngol liƴƴi e / tagle ndiyam.  
1)JOKKU</t>
  </si>
  <si>
    <t>Send if "income_main_fish_check" "Equals" "YES" Or "income_sec_fish_check" "Equals" "YES" Or "income_third_fish_check" "Equals" "YES" if not satisfied go to "fies_intro"</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</si>
  <si>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</si>
  <si>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</si>
  <si>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</si>
  <si>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</si>
  <si>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</si>
  <si>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Wane nau'in aikin kamun kifi ne galibin gidan ku ke yi?
[Mai Aikata: MASU AMSA DAYAWA IYAWA.]
1)Kusada gaɓa/ mahaɗa/ su a kwaruka
2)Su a gaɓan koguna
3)Su a ruwan garai [a manyan koguna/ risabuwowi/ tafkuna/ koguna ko guraren damshi]
4)Kiwo
5)BAN SANI BA
6)ANƘI AMSAWA</t>
  </si>
  <si>
    <t>Noone ngole durngol liƴƴi yimɓe wuro maa ɓuri naftirki?
 [KAKKILANOOWO: JAABUYE ƊUUƊƊE FOTI HEƁEE.]
1)E ɓadi honnduko maayo/ kautaae/ ngawnde haa jugge
2)Ngawnde haa honnduko maayuuji
3)Ngawnde haa ndiyam laaɓɗam [e maayuuji mauɗi/ rizabuwaaji/ gawa/ maayuuji ko felleeji shomniije]
4)Tagle ndiyam
5)ANNDAA
6)SALAKE NOOTAAKI</t>
  </si>
  <si>
    <t>Form Type - Checklist
5,6 = IsNone</t>
  </si>
  <si>
    <t>1)fish_main_coastal
2)fish_main_offshore_sea
3)fish_main_freshwater
4)fish_main_aquaculture
5)fish_main_dk
6)fish_main_ref</t>
  </si>
  <si>
    <t>1-6 = fish_change</t>
  </si>
  <si>
    <t>if fish_main = 1-6, go to fish_change</t>
  </si>
  <si>
    <t>fish_change</t>
  </si>
  <si>
    <t>How does your fish catch [farmed] in the last 3 months [or last harvest] compare to the same period [harvest] last year?
[OPERATOR: SINGLE RESPONSE.]
1)A lot more [increased by more than 50%]
2)Slightly more
3)Same
4)Slightly less
5)A lot less [less than half as much]
6)DON'T KNOW
7)REFUSED</t>
  </si>
  <si>
    <t>Yaya zaka kwatanta kamun kifinka [kamun kifi] cikin watanni 3 da suka wuce [ko girbin ka na karshe] in an haɗa da irin wannan lokacin [girbi] a shekarar da ta wuce?
[MAI AIKI: AMSA GUDA ƊAYA.]
1)Ya karu da yawa [ƙaru fiye da kashi 50%]
2)Ya karu kadan
3)Dai dai yake da na bara
4)Ya ragu kadan
5)Ya ragu sosai [kasa da rabi kamar yawa]
6)BAN SANI BA
7)BA ZA AMSA BAA</t>
  </si>
  <si>
    <t>Noye tinndirta nannguki liɗɗi ma [nannguki liɗɗi] nder lebbiiji 3 saaliiɗi [ko remugo] to ɗun hawti e iri wakkatiiru ndu [remugo] e duugu feere non tan?
[KAKKILANOOWO: JAABUYE WOOTERE. 
1)Sanne [towtii e ko ɓuri daaɗe 50%]
2)Seɗɗa
3)No wonnoo
4)Yahraayi
5)Famɗii sanne [leesii senndere sanne]
6)ANNDAA
7)SALAKE</t>
  </si>
  <si>
    <t>1-7 = fish_proddif</t>
  </si>
  <si>
    <t>if fish_change = 1-7, go to fish_proddif</t>
  </si>
  <si>
    <t>fish_proddif</t>
  </si>
  <si>
    <t>Has your household faced any significant difficulty with fish catch/harvest/farming in the last 3 months?
[OPERATOR: SINGLE RESPONSE.]
1)YES
2)NO
3)DON'T KNOW
4)REFUSED</t>
  </si>
  <si>
    <t>Shin iyalan gidanka sun fuskanci wani gagarumin matsala da kamun kifi da / ko girbi a cikin watanni 3 da suka wuce?
[MAI AIKI: AMSA GUDA ƊAYA.]
1)EH
2)A'A
3)BAN SANI BA
4)BA ZA A AMSA BA</t>
  </si>
  <si>
    <t>Wai yimmɓe saare ma heɓi waannitaajum manngol e nannguki liɗɗi e /ko remugo nder lebbiiji 3 saaliiɗe?
[KAKKILANOOWO: JAABUYE WOOTERE.]
1)IYI
2)NAA NON
3)ANNDAA 
4)SALAKE</t>
  </si>
  <si>
    <t>1 = fish_proddif_2
2-4 = fish_salesmain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</si>
  <si>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</si>
  <si>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</si>
  <si>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</si>
  <si>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catch/harvest/farming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</si>
  <si>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Waɗanne matsaloli iyalan gidanka suka fuskanta da kamun kifi da / ko girbi cikin watanni 3 da suka wuce?
[MA'AIKACI: ANA IYA SAMUN AMSOSHI DA YAWA. ZAƁI ZAƁIN DA YAFI DACEWA DA BAYANIN DA MAI BADA AMSA YA BAYAR.]
1)Kifi na wahalan samuwa fiye da a shekarun baya a irin wannan lokacin [kamun kifi]
2)Ƙwari ko cututtukan kifi [halittun ruwa]
3)Samun wajen su ko gurin halittun ruwa [misali. saboda yanayi ko rashin aminci]
4)Samun man fetur [kuɗaɗen sunyi tsada ko basu wadata ba]
5)Samun wasu ababen su ko na al'ada [kuɗaɗen sunyi tsada ko basu wadata ba]
6)Samun aikin ko ma'aikatan ruwa [kuɗaɗen sunyi tsada ko basu wadata ba]
7)Lalacewa ko hallakuwan ababen more rayuwa [tafkuna/ kejuna/ gaɓoɓi/ guraren sauƙa]
8)Lalacewa ko hallakewan kwalekwale ko giya 
9)Wani daban
10)BAN SANI BA
11)ANƘI AMSAWA</t>
  </si>
  <si>
    <t>Iri ngaannitaaji ɗiye yimmɓe saare ma heɓi dow nannguki liɗɗi / ko renugo nder lebbiiji 3 saaliiɗe?
[EMOOWO: ƊUN WAAWAI HEƁUKI NOOTAAJE ƊUUƊƊE. SUƁU KO ƁURI NANNDUKI E KO NOOTOOWO WI'I.]
1)Heɓuki liɗɗi e wakkatiiru ndu ɗon saɗa na ba duuɓi ɓaawo e iri wakkatiiru ndu [nannguki liɗɗi]
2)Gilɗi ko nyawuuji liɗɗi [dabbaaji ndiyam]
3)Heɓuki fellere ngawnde ko dabbaaje ndiyam [misali. ngam jaangol ko rellere amnaaku]
4)Heɓuki nebbam [ceede ɗen saɗi ko ɗe keɓataako]
5)Heɓuki huundeeji ngawnde ko dum aadu [ceede ɗen saɗi ko ɗe keɓataako]
6)Heɓuki kuugal kohuwooɓe maayo [ceede saɗi ko ɗe keɓataako]
7)Wonnaaki ko feshshuki mahiiji [gawa/ keejiiji/ honnduko maayuuji/jippannde]
8)Wonnaaki ko feshshuki laaluwol ko giya 
9)Goɗɗum
10)MI ANNDA
11)SALAKE NOOTAAKI</t>
  </si>
  <si>
    <t>1)fish_proddif_find_fish
2)fish_proddif_pests
3)fish_proddif_access_area
4)fish_proddif_fuel
5)fish_proddif_input_access
6)fish_proddif_labour
7)fish_proddif_infrastructure
8)fish_proddif_damage_equip
9)fish_proddif_other
10)fish_proddif_dk
11)fish_proddif_ref</t>
  </si>
  <si>
    <t>1-11 = fish_salesmain</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</si>
  <si>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</si>
  <si>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</si>
  <si>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</si>
  <si>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</si>
  <si>
    <t xml:space="preserve">Open Ended-Select All That Apply </t>
  </si>
  <si>
    <t>Send if "fish_proddif_2" "Contains" "Access to other fishing or culture inputs [prices higher or not available]" if not satisfied go to "fish_salesmain"</t>
  </si>
  <si>
    <t>1) fish_inputdif_bait_feed
2)fish_inputdif_fingerling
3) fish_inputdif_gear
4) fish_inputdif_ice
5) fish_inputdif_fuel
6) fish_inputdif_repairs
7) fish_inputdif_labour
8) fish_inputdif_other 
9)fish_inputdif_dk
10) fish_inputdif_ref</t>
  </si>
  <si>
    <t>1-10 = fish_salesmain</t>
  </si>
  <si>
    <t>Asked only to respondents that answered fish_proddif_2 = 4.
if fish_inputdif = 1-10, go to fish_salesmain</t>
  </si>
  <si>
    <t>F. FISHERIES MARKETING</t>
  </si>
  <si>
    <t>fish_salesmain</t>
  </si>
  <si>
    <t>What was the main fish or aquatic product sold by your household in the last 3 months?
[OPERATOR: SINGLE RESPONSE.]
1)Fresh fish [any kind/ including invertebrates]
2)Preserved fish [including dry fish/ smoked fish/ fermented fish/ salt fish]
3)Frozen fish
4)Canned fish
5)Other [specify]
6)DON'T KNOW
7)REFUSED</t>
  </si>
  <si>
    <t>Mene ne babban kayan kifin da danginku suka sayar a cikin watanni 3 da suka gabata?
[MAI AIKI: AMSA GUDA ƊAYA.]
1)Ɗanyen kifi [ko wane iri/ ya haɗa da marsa ƙashin baya]
2)Sarrafafen kifi [ya haɗa da busashshen kifi/ gasashshen kifi/ kwantaccen kifi/ kifi me gishiri]
3)Kifi me ƙanƙara
4)Kifin gwangwani
5)Wasu [bayyana]
6)BAN SANI BA
7)BA ZA A AMSA BA</t>
  </si>
  <si>
    <t>Noone ɗiye liyyi yimɓe wuro maa soori nder lebbi 3 caaliiɗi?  has been the main fish product sold by your household in the last 3 months?
[KAKKILANOOWO: JAABUYE WOOTERE.]
1)Ɗanyen kifi [ko wane iri/ ya haɗa da marsa ƙashin baya]
2)Liɗɗi sigaaɗum [hawti be liɗɗi njooraaɗum / liɗɗi ngulaaɗum/ liɗɗi walnaaɗum/ liɗɗi ko ɗun waatani mannda]
3)Liɗɗi booju
4)Liɗɗi gongomru
5)Goɗɗi [wanngin]
6)ANNDAA
7)SALAKE</t>
  </si>
  <si>
    <t>Form Type - RadioList
IsDemographic - fish_salesmain</t>
  </si>
  <si>
    <t>1-5 = fish_salesdif
6-7 = fies_intro</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</si>
  <si>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</si>
  <si>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</si>
  <si>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</si>
  <si>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Shin iyalan gidanka sun fuskanci matsala wajen tallatawa/sayarda kifin ku {fish_salesmain} cikin watanni 3 da suka wuce?
[Mai Aikata: AMSA GUDA ƊAYA]
1)EH
2)A'A
3)BAN SANI BA
4)BA ZA A AMSA BA</t>
  </si>
  <si>
    <t>Yimmbe saare ma heɓi waannitaajum goddum dow shoggu/sooruki liɗɗi mon {fish_salesmain} nder lebbiiji 3 saaliiɗe?
[KAKKILANOOWO: JAABUYE WOOTERE.]
1)IYI
2)NAA NON
3)ANNDAA 
4)SALAKE</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</si>
  <si>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</si>
  <si>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</si>
  <si>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</si>
  <si>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</si>
  <si>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</si>
  <si>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Wace matsala ce gidanku ya fuskanta a cikin watanni 3 da suka gabata wajen siyar da {fish_salesmain}?
[Mai Aikata: AMSA MASU YAWA. ZABI ZABI(S)WANDA MAFI GYARAN BAYANIN DA MASU AMSA SUKE BAYAR.]
1)Tsadan kuɗaƙen tafiyarwa ko wasu kuɗaɗen tallatawa
2)Lalacewa da rasawa  saboda matsalolin adana ko jinkiri ko rashin samun daman zuwa kasuwa da kai
3)Rashin sayuwa daga masu saye/sayarwa 
4)Jinkirin biyan kuɗi daga masu sayarwa /saye
5)Ƙarancin kuɗin sayarwa [misali. in an kwatanta da kuɗin da aka kashe/ hauhawan farashi]
6)Matsalolin sarrafa kayayyakin [rashin samun ababan sarrafawa / na'urori/ d.s.s.]
7)Yawan kayayyakin a kasuwa
8)Wani daban
9)BAN SANI BA
10)ANƘI AMSAWA</t>
  </si>
  <si>
    <t>Ɗeye caɗeele wuro maa yi'idii nder lebbi 3 caaliiɗi dow sooruki {fish_salesmain}?
[KAKKILANOOWO: JAABUYE ƊUUƊƊE FOTI HEƁEE. SUƁU CUƁƊI NJAHDUƊI E BAYAANUUJI ƊI JAABOTOOƊO JAABIRII.]
1)Saɗuki ceede yahdu ko ceede shoggu goɗɗi
2)Wonnaaki e relluki ngam ngaannitaaji sigoore ko ɓoyuki ko rellere heɓuki daama yahuki luumo e hoore 
3)Rellere sooduki soodooɓe/soorooɓe 
4)Saluki hokkuki ceede diga sorooɓe/ soodooɓe
5)Simɗuki ceede sooruki [misali. to ɗun hawti be ko ɗun faɗɗia /ummaaki ceede]
6)Ngaannitaaji siguki [rellere heɓuki huundeeji siguki / njamdiiji/ e.l.t]
7)Kaayaaji ɗin ɗuuɗi e luumo
8)Goɗɗum
9)MI ANNDA
10)SALAKE NOOTAAKI</t>
  </si>
  <si>
    <t>1)fish_saledif_marketing_cost
2)fish_saledif_damage_losses
3)fish_saledif_low_demand
4)fish_saledif_pay_delay
5)fish_saledif_low_prices
6)fish_saledif_processing
7)fish_saledif_competition
8)fish_saledif_other
9)fish_saledif_dk
10)fish_saledif_ref</t>
  </si>
  <si>
    <t>1-10 = fish_salesprice</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</si>
  <si>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</si>
  <si>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</si>
  <si>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</si>
  <si>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Ta yaya zaka kwatanta farashin {fish_salesmain} in ka kwatanta da kimantaccen kuɗi a irin wannan lokacin/girbin a wata shekarar haka nan?
[MAI AIKI: AMSA GUDA DAYA. NAJERATA AKAN BABBAN KYAUTA DA AMBATON.]
1)Ya karu da yawa [ƙaru fiye da kashi 50%]
2)Ya karu kadan
3)Dai dai yake da na bara
4)Ya ragu kadan
5)Ya ragu sosai [kasa da rabi kamar yawa]
6)BAN SANI BA
7)BA ZA AMSA BAA</t>
  </si>
  <si>
    <t>Noye tinndirta saɗuki yimmɓe saare ma {fish_salesmain} to a hawti be ceede anndaaɗum e iri wakkatiiru ndu /renugo e duugu feere non tan?
[KAKKILANOOWO: JAABUYE WOOTERE. TIIGOO DOW KO HEƁINTEE INNAANOOƊUM]
1)Sanne [towtii e ko ɓuri daaɗe 50%]
2)Seɗɗa
3)No wonnoo
4)Yahraayi
5)Famɗii sanne [leesii senndere sanne]
6)ANNDAA
7)SALAKE</t>
  </si>
  <si>
    <t>1-7 = fies_intro</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</si>
  <si>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</si>
  <si>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</si>
  <si>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</si>
  <si>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</si>
  <si>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Yanzu zan so in yi muku wasu tambayoyi game da cin abinci, amfani da abinci da hanyoyin shawo kan matsalar. Tabbatar cewa kun yi la'akari da lokacin da ya dace na kowane jeri na tambayoyi. Tambayoyin farko na nuni ga abubuwan da kuka fuskanta ko kuma kowane ɗayanku. yan gida a cikin kwanaki 30 da suka gabata.
[MAI AIKI: AMSA GUDA ƊAYA]
1)NA GABA</t>
  </si>
  <si>
    <t>Jooni mi yiɗi ƴamki-ma dow nyaamki nyaamndu, faabanki-ndu e hakkilanki-ndu. Tabitin a sappake sarde kaandunde dow kala ƴamol fuu. Ƴami aranndeeji e tiitanii anndal maa e kala gonɗo nder wuro maa ko saalii balɗe 30. 
[KAKKILANOOWO: JAABUYE WOOTERE]
1)YEESO</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</si>
  <si>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</si>
  <si>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</si>
  <si>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</si>
  <si>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</si>
  <si>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</si>
  <si>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 cikin kwanaki 30 da suka gabata, ko akwai lokacin da kai ko wasu a cikin gidan ku kuka damu da rashin samun isasshen abinci da za ku ci saboda rashin kudi ko wasu kayan aiki?
[MAI AIKI: AMSA GUDA ƊAYA]
1)EH
2)A'A
3)BAN SANI BA
4)BA ZA A AMSA BA</t>
  </si>
  <si>
    <t>Nder balɗe 30 caaliiɗe, woodi nde aan walla goɗɗo nder wuro maa ɓillii dow sooynde nyaamndu ɗuuɗndu nyaameteendu sabu famɗere ceede or goɗɗe jaɓruɗe ɗen?
[KAKKILANOOWO: JAABUYE WOOTERE.]
1)IYI
2)NAA NON
3)ANNDAA 
4)SALAKE</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</si>
  <si>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</si>
  <si>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</si>
  <si>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</si>
  <si>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</si>
  <si>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 cikin kwanaki 30 da suka gabata, shin akwai lokacin da kai ko wasu a cikin gidan ku suka kasa cin abinci mai gina jiki da lafiya saboda rashin kuɗi ko wasu kayan bukatu?
[MAI AIKI: AMSA GUDA ƊAYA]
1)EH
2)A'A
3)BAN SANI BA
4)BA ZA A AMSA BA</t>
  </si>
  <si>
    <t>Nder balɗe 30 caaliiɗe, woodi nde aan walla goɗɗo nder wuro maa tampi nyaamugo nyaamndu laaɓndu boo yeetundu sabu famɗere ceede or goɗɗe jaɓruɗe ɗen?
[KAKKILANOOWO: JAABUYE WOOTERE.]
1)IYI
2)NAA NON
3)ANNDAA 
4)SALAKE</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</si>
  <si>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</si>
  <si>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</si>
  <si>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</si>
  <si>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</si>
  <si>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 cikin kwanaki 30 da suka gabata, shin akwai lokacin da ku ko wasu a cikin gidan ku kuka ci abinci kaɗan kawai saboda rashin kuɗi ko wasu kayan aiki?
[Mai Aikata: AMSA GUDA ƊAYA]
1)YA
2)A'A
3)BAN SANI BA BA
4)BA ZA A AMSA BA</t>
  </si>
  <si>
    <t>Nder balɗe 30 caaliiɗe, woodi nde aan walla goɗɗo nder wuro maa nyaami seeɗa nder noone nyaamndu sabu famɗere ceede or goɗɗe jaɓruɗe ɗen?
[KAKKILANOOWO: JAABUYE WOOTERE.]
1)IYI
2)NAA NON
3)ANNDAA 
4)SALAKE</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</si>
  <si>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</si>
  <si>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</si>
  <si>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</si>
  <si>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</si>
  <si>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 cikin kwanaki 30 da suka gabata, shin akwai lokacin da ku ko wasu a cikin gidan ku kuka tsallake cin abinci saboda rashin kuɗi ko wasu kayan aiki don samun abinci?
[MAI AIKI: AMSA GUDA ƊAYA]
1)EH
2)A'A
3)BAN SANI BA BA
4)BA ZA A AMSA BA</t>
  </si>
  <si>
    <t>Nder balɗe 30 caaliiɗe, woodi nde aan walla goɗɗo nder wuro maa diwani nyaamugo nyaamndu sabu famɗere ceede or goɗɗe jaɓruɗe ɗen?
[KAKKILANOOWO: JAABUYE WOOTERE.]
1)IYI
2)NAA NON
3)ANNDAA
4)SALAKE</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</si>
  <si>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</si>
  <si>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</si>
  <si>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</si>
  <si>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</si>
  <si>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 cikin kwanaki 30 da suka gabata, ko akwai lokacin da ku ko wasu a cikin gidan ku suka ci abinci ƙasa da yadda kuke zato saboda rashin kuɗi ko wasu kayan aiki?
[MAI AIKI: AMSA GUDA ƊAYA]
1)EH
2)A'A
3)BAN SANI BA
4)BA ZA A AMSA BA</t>
  </si>
  <si>
    <t>Nder balɗe 30 caaliiɗe, woodi nde aan walla goɗɗo nder wuro maa nyaamii ko famɗani-mo nyaamndu sabu famɗere ceede or goɗɗe jaɓruɗe ɗen?
[KAKKILANOOWO: JAABUYE WOOTERE.]
1)IYI
2)NAA NON
3)ANNDAA 
4)SALAKE</t>
  </si>
  <si>
    <t>1-4 = fies_ranout</t>
  </si>
  <si>
    <t>if fies_ateless = 1-4, go to fies_ranout</t>
  </si>
  <si>
    <t>fies_ranout</t>
  </si>
  <si>
    <t>In the past 30 days, was there ever no food to eat of any kind in your house because of lack of resources to get food?
[OPERATOR: SINGLE RESPONSE]
1)YES
2)NO
3)DON'T KNOW
4)REFUSED</t>
  </si>
  <si>
    <t>A cikin kwanaki 30 da suka gabata, a gidanku, akwai lokacin da babu wani abinci da za ku ci, saboda rashin kudin da zaku iya saya?
[MAI AIKI: AMSA GUDA ƊAYA]
1)EH
2)A'A
3)BAN SANI BA
4)BA ZA A AMSA BA</t>
  </si>
  <si>
    <t>Nder balɗe 30 caaliiɗe, waɗiino nde walaa kala nyaamndu nyaameteendu nder wuro maa sabu sooynde jaɓruɗe no ndu heɓirtoo? 
[KAKKILANOOWO: JAABUYE WOOTERE.]
1)IYI
2)NAA NON
3)ANNDAA 
4)SALAKE</t>
  </si>
  <si>
    <t>1 = 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</si>
  <si>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</si>
  <si>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</si>
  <si>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</si>
  <si>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Sau nawa hakan ya faru?
[Mai Aikata: AMSA GUDA ƊAYA]
1)Da wuya [sau 1-2 a cikin kwanaki 30 da suka gabata]
2)Wani lokaci [sau 3-10 a cikin kwanaki 30 da suka gabata]
3)Sau da yawa [fiye da sau 10 a cikin kwanaki 30 na ƙarshe]
4)BAN SANI BA
5)BA ZA A AMSA BA</t>
  </si>
  <si>
    <t>Nde noye non ɗum wanngata?
[KAKKILANOOWO: JAABUYE WOOTERE]
1)Seeɗa nde [1-2 nder balɗe 30 caaliiɗe]
2)Wonnde sarde nde [3-10  nder balɗe 30 caaliiɗe]
3)Sarde fuu [ko ɓuri nde 10  nder balɗe 30 caaliiɗe]
4)ANNDAA 
5)SALAKE</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</si>
  <si>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</si>
  <si>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</si>
  <si>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</si>
  <si>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</si>
  <si>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 cikin kwanaki 30 da suka gabata kai ko wani dan gida daya taba kwana da yunwa saboda rashin isasshen abinci?
[Mai Aikata: AMSA GUDA ƊAYA]
1)EH
2)A'A
3)BAN SANI BA
4)BA ZA A AMSA BA</t>
  </si>
  <si>
    <t>Nder balɗe 30 caaliiɗe, woodi nde aan walla goɗɗo nder wuro maa yahi ɗaanii jemma nyaamaayi sabu sooynde ɗuuɗal nyaamndu keƴooru? 
[KAKKILANOOWO: JAABUYE WOOTERE.]
1)IYI
2)NAA NON
3)ANNDAA 
4)SALAKE</t>
  </si>
  <si>
    <t>1=fies_hungry_hhs
2-4 = fies_whlday</t>
  </si>
  <si>
    <t>if fies_hungry = 1, go to fies_hungry_hhs. Otherwise, go to fies_whlday</t>
  </si>
  <si>
    <t>fies_hungry_hhs</t>
  </si>
  <si>
    <t>Sau nawa hakan ya faru?
[MAI AIKI: AMSA GUDA ƊAYA]
1)Da wuya [sau 1-2 a cikin kwanaki 30 da suka gabata]
2)Wani lokaci [sau 3-10 a cikin kwanaki 30 da suka gabata]
3)Sau da yawa [fiye da sau 10 a cikin kwanaki 30 na ƙarshe]
4)BAN SANI BA
5)BA ZA A AMSA BA</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</si>
  <si>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</si>
  <si>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</si>
  <si>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</si>
  <si>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</si>
  <si>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 cikin kwanaki 30 da suka gabata, kai ko wani dan gida ya taba zama dare da rana ba tare da cin komai ba, saboda rashin isasshen abinci?
[MAI AIKI: AMSA GUDA ƊAYA]
1)EH 
2)A'A
3)BAN SANI BA
4)BA ZA A AMSA BA</t>
  </si>
  <si>
    <t>Nder balɗe 30 caaliiɗe, woodi nde aan walla goɗɗo nder wuro maa nyalli juur nyalowma e jemma nyaamaayi ndajey sabu sooynde ɗuuɗal nyaamndu keƴooru? 
[KAKKILANOOWO: JAABUYE WOOTERE.]
1)IYI
2)NAA NON
3)ANNDAA 
4)SALAKE</t>
  </si>
  <si>
    <t>1 = 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</si>
  <si>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</si>
  <si>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</si>
  <si>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</si>
  <si>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</si>
  <si>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</si>
  <si>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</si>
  <si>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Yanzu zan so in yi muku tambaya game da tsari na 2 na tambayoyi kan dabarun shawo kan matsalar, dangane da kwanaki 30 da suka gabata.
[MAI AIKI: AMSA GUDA ƊAYA]
1)NA GABA</t>
  </si>
  <si>
    <t>Jooni mi yiɗi ƴamki-ma dow goppal ɗiɗaɓal ngal ƴami ɗin dow dbareeji tokkal, ko sappanii balɗe 30 caaliiɗe.  
[KAKKILANOOWO: JAABUYE WOOTERE]
1)YEESO</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</si>
  <si>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</si>
  <si>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</si>
  <si>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</si>
  <si>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</si>
  <si>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</si>
  <si>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akwai wani a gidanku daya sayar da kadarorin gida/kayayyakin gida [radiyo, kayan daki, talabijin, kayan ado, da sauransu] saboda rashin abinci ko kuɗi?
[Mai AIKI: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</si>
  <si>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sooruɗo huunde / kare/ [raadiyo, leɗɗelleeje, tele, jawe. ekn] sabu sooynde nyaamndu walla ceede? 
[KAKKILANOOWO: JAABUYE WOOTERE.]
1)Iyi
2)Naa non - sabu ɗum doolɗinaayi
3)Naa non - sabu a yahdake-no a soorii ɗe'e kare walla a waɗiino non nder lebbi 12 caaliiɗi boo a tokkitintaa waɗki non
4)Yahdataa
5)ANNDAA
6)SALAKE</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</si>
  <si>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</si>
  <si>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</si>
  <si>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</si>
  <si>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</si>
  <si>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 gidanku akwai wanda ya kashe kudi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</si>
  <si>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majjinii ndesaa sabu sooynde nyaamndu walla ceede? 
[KAKKILANOOWO: JAABUYE WOOTERE.]
1)Iyi
2)Naa non - sabu ɗum doolɗinaayi
3)Naa non - sabu a yahdake-no a soorii ɗe'e kare walla a waɗiino non nder lebbi 12 caaliiɗi boo a tokkitintaa waɗki non
4)Yahdataa
5)ANNDAA
6)SALAKE</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</si>
  <si>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</si>
  <si>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</si>
  <si>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</si>
  <si>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 gidanku akwai wanda ya ci bashin kudi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</si>
  <si>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wuƴoyii ceede sabu sooynde nyaamndu walla ceede? 
[KAKKILANOOWO: JAABUYE WOOTERE.]
1)Iyi
2)Naa non - sabu ɗum doolɗinaayi
3)Naa non - sabu a yahdake-no a soorii ɗe'e kare walla a waɗiino non nder lebbi 12 caaliiɗi boo a tokkitintaa waɗki non
4)Yahdataa
5)ANNDAA
6)SALAKE</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</si>
  <si>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</si>
  <si>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</si>
  <si>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</si>
  <si>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akwai wani a gidanku da ya sayar da kadarori ko kayan sufuri [injuna, keke, keke, mota da sauransu]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</si>
  <si>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soori huunde mboteteende walla huunde jahaale [maasin nyoogol. wiilbaaro, keekeyel, moota, ekn] sabu sooynde nyaamndu walla ceede? 
[KAKKILANOOWO: JAABUYE WOOTERE.]
1)Iyi
2)Naa non - sabu ɗum doolɗinaayi
3)Naa non - sabu a yahdake-no a soorii ɗe'e kare walla a waɗiino non nder lebbi 12 caaliiɗi boo a tokkitintaa waɗki non
4)Yahdataa
5)ANNDAA
6)SALAKE</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</si>
  <si>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</si>
  <si>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</si>
  <si>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</si>
  <si>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 gidanku akwai wanda ya hana yara zuwa makaranta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</si>
  <si>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itti baccoy gila janngirde sabu sooynde nyaamndu walla ceede? 
[KAKKILANOOWO: JAABUYE WOOTERE.]
1)Iyi
2)Naa non - sabu ɗum doolɗinaayi
3)Naa non - sabu a yahdake-no a soorii ɗe'e kare walla a waɗiino non nder lebbi 12 caaliiɗi boo a tokkitintaa waɗki non
4)Yahdataa
5)ANNDAA
6)SALAKE</t>
  </si>
  <si>
    <t>1-6 =cs_stress_reduced_health_exp</t>
  </si>
  <si>
    <t>cs_stress_reduced_health_exp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</si>
  <si>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</si>
  <si>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</si>
  <si>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akwai wani a gidanku da ya rage kashe kudade kan kiwon lafiya [ciki har da magunguna]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</si>
  <si>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ɗusti majjinnde ceede dow fiiji njamu (hawtaade e moɗe)sabu sooynde nyaamndu walla ceede? 
[KAKKILANOOWO: JAABUYE WOOTERE.]
1)Iyi
2)Naa non - sabu ɗum doolɗinaayi
3)Naa non - sabu a yahdake-no a soorii ɗe'e kare walla a waɗiino non nder lebbi 12 caaliiɗi boo a tokkitintaa waɗki non
4)Yahdataa
5)ANNDAA
6)SALAKE</t>
  </si>
  <si>
    <t>1-6 = cs_crisis_harv_immature_crops</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</si>
  <si>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</si>
  <si>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</si>
  <si>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Cikin kwanaki 30 na baya, shin akwai wani cikin iyalan gidanka da ya girbe kayayyakin gona da basu nuna [misali. koren masara] domin ci saboda rashin abinci ko kuɗi?
[MA'AIKACI: AMSA ƊAYA]
1)Eh
2)A'ah - saboda ba buƙatar hakan
3)A'ah - saboda ka riga ka sayar da waɗannan ƙadarorin ko ka aikata wannan aiki cikin watanni 12 da suka wuce kuma ba zaka iya cigaba da yi ba
4)Baya yiwuwa
5)BAN SANI BA 
6)ANƘI AMSAWA</t>
  </si>
  <si>
    <t>Nder balɗe 30 ɓaawo, woodi goɗɗo nder yimmɓe saare ma remuɗo kaayaaji renugo ko waɗaayi [misali. masardi raneejum] ngam nyamdu ngam wala ko nyaama ko ceede?
[EMOOWO: NOOTAARE WOORE]
1)Eh
2)A'a - ngam wala tefuki ninnon
3)A'a - ngam a yaadake a soori jawdi ɗen ko a huwi ɗuɗɗum nder lebbiiji 12 saaliiɗe bow a waawata tigguki e waɗuki
4)Ɗun waɗataako
5)MI ANNDA 
6)SALAKE NOOTAAKI</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</si>
  <si>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</si>
  <si>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</si>
  <si>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</si>
  <si>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akwai wani a gidanku da ya sayar da gida ko fili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</si>
  <si>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soori wuro walla jaayri sabu sooynde nyaamndu walla ceede? 
[KAKKILANOOWO: JAABUYE WOOTERE.]
1)Iyi
2)Naa non - sabu ɗum doolɗinaayi
3)Naa non - sabu a yahdake-no a soorii ɗe'e kare walla a waɗiino non nder lebbi 12 caaliiɗi boo a tokkitintaa waɗki non
4)Yahdataa
5)ANNDAA
6)SALAKE</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</si>
  <si>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</si>
  <si>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</si>
  <si>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</si>
  <si>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a gidanku akwai wanda ya yi bara saboda rashin abinci ko kudi?
[Mai Aikata: AMSA GUDA ƊAYA]
1)IEh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</si>
  <si>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torii sabu sooynde nyaamndu walla ceede? 
[KAKKILANOOWO: JAABUYE WOOTERE.]
1)Iyi
2)Naa non - sabu ɗum doolɗinaayi
3)Naa non - sabu a yahdake-no a soorii ɗe'e kare walla a waɗiino non nder lebbi 12 caaliiɗi boo a tokkitintaa waɗki non
4)Yahdataa
5)ANNDAA
6)SALAKE</t>
  </si>
  <si>
    <t>1-6 =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</si>
  <si>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</si>
  <si>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</si>
  <si>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akwai wani a cikin gidan ku da ya shiga ayyukan da ba bisa ka’ida ba ko kuma na zubar da jini (sata, karuwanci)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</si>
  <si>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naati nder kuwɗe luuruɗ diidaaɗi walla golle leesinooje keɓal [nguyka, bordelku] sabu sooynde nyaamndu walla ceede? 
[KAKKILANOOWO: JAABUYE WOOTERE.]
1)Iyi
2)Naa non - sabu ɗum doolɗinaayi
3)Naa non - sabu a yahdake-no a soorii ɗe'e kare walla a waɗiino non nder lebbi 12 caaliiɗi boo a tokkitintaa waɗki non
4)Yahdataa
5)ANNDAA
6)SALAKE</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</si>
  <si>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</si>
  <si>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</si>
  <si>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</si>
  <si>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A cikin kwanaki 30 da suka gabata, shin a gidanku akwai wanda ya sayar da dabbobi mata na karshe saboda rashin abinci ko kudi?
[Mai Aikata: AMSA GUDA ƊAYA]
1)Eh
2)A'a - saboda ba lallai ba ne
3)A'a - saboda kun riga kun sayar da waɗannan kadarorin ko kuma kuyi wannan aikin a cikin watanni 12 da suka gabata kuma ba za ku iya ci gaba da yin ta ba.
4)Ba a zartar ba
5)BAN SANI BA
6)BA ZA A AMSA BA</t>
  </si>
  <si>
    <t>Nder balɗe 30 caaliiɗe, woodi goɗɗo nder yimɓe wuro maa naaki nde o soori dabbawa maako ndewa sekitiinga sabu sooynde nyaamndu walla ceede? 
[KAKKILANOOWO: JAABUYE WOOTERE.]
1)Iyi
2)Naa non - sabu ɗum doolɗinaayi
3)Naa non - sabu a yahdake-no a soorii ɗe'e kare walla a waɗiino non nder lebbi 12 caaliiɗi boo a tokkitintaa waɗki non
4)Yahdataa
5)ANNDAA
6)SALAKE</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</si>
  <si>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</si>
  <si>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</si>
  <si>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</si>
  <si>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</si>
  <si>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Yanzu zan so in tambaye ku game da tambayoyi na 3 game da cin abinci, dangane da sa'o'i 24 na jiya. Don Allah ku bayyana irin abincin da kuka ci ko kuka sha a gida jiya a cikin sa'a 24 na jiya: karin kumallo, abincin rana, abincin dare da abun ciye-ciye].
[Mai Aikata: ZABE DUK RUKUNAN ABINCI DA AKE CINSU A CIKIN AWANI 24 NA JIYA KAMAR YADDA MAI AMSA AMSAR. MASU YAWA MASU YIWU.]
1)Hatsi [sorghum / gero / masara / alkama / shinkafa / spaghetti / burodi ko saka kowane hatsi a cikin gida]
2)Tushiya [fararen dankalin turawa / dankalin turawa / dawa / rogo ko sauran tubers]
3)Kayan lambu [duk]
4)'ya'yan itatuwa [duk]
5)Nama / kaji da offal [naman sa / naman alade / rago / rago / zomo / wasan daji / kaza / duck / hanta / koda / zuciya / ko sauran naman gabobin]
6)Kwai
7)Kifi [sabo ko busasshen kifi / kifi kifi]
8)Tsabar wake ko wasu kayan gina jiki / kwayoyi da tsaba [wake / Peas / gyada / lentil / almond / sauran kwayoyi]
9)Madara da sauran kayayyakin kiwo [sabon madara / m / yogurt / cuku / sauran kiwo kayayyakin]
10)Mai da mai [dafa abinci / man shanu / margarine / mai / mai / sauran mai]
11)Siga ko kayan zaki [zuma / jam / donuts / alewa / cakulan / biscuits / kek / kek da sauran kayan zaki]
12)kayan miya[ koko / gishiri / tafarnuwa / kayan yaji / yisti / baking powder / tumatir ko tumatir miya / nama ko kifi a matsayin condiment] da kofi / shayi</t>
  </si>
  <si>
    <t>Jooni mi yiɗi mi ƴamki-ma dow goppal tataɓal ngal ƴami ɗi'i dow nyamki nyaamndu, ko sappii awaaji 24 caaliiɗi keenya. Useni tinnin nyaamndu [nyaamndu e tahallooji] ɗi aan walla goɗɗo nder yimɓe wuro maa nyaami walla yari keenya [nder awaaji 24 ɗi keenya: fummaari, mbottaari, jonngitel, hiraande e tahallooji]. 
[KAKKILANOOWO: SUƁU KALA NYAAMNDU NYAAMAANDU NDER AWAAJI 24 ƊI KEENYA BA NO JAABOTOOƊO JAABII. JAABUYE ƊUUƊƊE FOTI HEƁEE]
1)Conndiiji [gawri / muuri / gabbe / alkamaari / maaroori / supaageeti / mburu walla  naatin kala gabbe ndemeteeɗe anndaaɗe]
2)Daɗi e lare [dulde laaɓɗe / dulɗe / kappe / mbay walla lare]
3)Haakolllooji [fuu]
4)Ɓikkoy leɗɗe [fuu]
5)Teewu / Colli e nanndu [teewu na'i / ngu gaduuru / mbaala / mbe'a / wojere / mawndu / geroogal / kankaleewal / heyre / puyre / ɓernde / walla wonnde jokkoode nde teewu] 
6)Geeraaɗe
7)Liƴƴi walla kobbe liƴƴi [kecci walla njoorɗi liƴƴi /kobbeeji]
8)Kobbeeji / fohe e aawdi [nyebbe / piya / peanut / lentils / almond / e luttuɗi]
9)Kosam e yoornuki kosam [ɓiraaɗam / ɗanninaaɗam / kawtaaɗam / leeɓol / goɗɗe bote kosam ɗam]
10)Nebba / e ɓellere [jonngol / nebbam / margarine / ɓellere / nebbam / goɗɗam nebbam ɗam]
11)Kantu walla kare welninnde [njuumri / jam / donuts / candy / caakuleti / biscuits / pastries / cakes e luttuɗe kare welninnde honnduko] 
12)Juullooji [kookooje / laamɗam / parnuuje / spices / yeast / conndi sa'uki / tumaatur e saawdu tumaatur / teewu walla liƴƴi] e coffee / saayi</t>
  </si>
  <si>
    <t>Form Type - Checklist</t>
  </si>
  <si>
    <t>1)hdds_cereals
2)hdds_rootstubers
3)hdds_vegetables
4)hdds_fruits
5)hdds_meat
6)hdds_eggs
7)hdds_fish
8)hdds_legumes
9)hdds_milkdairy
10)hdds_oils
11)hdds_sugar
12)hdds_condiments</t>
  </si>
  <si>
    <t>1-12 = hdds_confirmation</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</si>
  <si>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</si>
  <si>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</si>
  <si>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</si>
  <si>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[MAI AIKI: KA TUNA DOMIN BINCIKEN KAYAN CI DA SHA, ABINCI NA MUSAMMAN DA AKE BAYARWA GA 'YA'YA KO MATA MASU CIKI, RUWAN GARGAJIYA. A KARSHE, BINCIKI KAYAN ABINCI BA A AMBATA BA.
IDAN KUN YI TAMABAYA, DANNA CI GABA. In ba haka ba, KOMA DOMIN TABBATAR DA DUKKAN RUKUNAN ABINCI DA AKE CINSU A CIKIN AWA 24 NA JIYA.
1)CI GABA</t>
  </si>
  <si>
    <t>[KAKKILANOOWO: NUMTU A TABITINA KA TAHOLLAAJI, NYAAMNDU HEERTAANDU NDU BACCI E REEDINƁE OKKETEE, SAAWDU MAARU ENA TAWEE. HAA TIMMOODE, TABITIN DENTE MOOƁGAL NYAAMNDUUJI ƊIN LIMTAAKA. 
SO  TABITINIINO, ƁIƊƊU JOKKU. SO NAA NON, SO"A GAƊA A TABITINA KALA NOONE NYAAMNDU FUU NYAAMAANDU NDER AWAAJI 24 KEENYA SUƁAAMA.]  
1)JOKKU</t>
  </si>
  <si>
    <t>1 = fcs_intro</t>
  </si>
  <si>
    <t>if hdds_confirmation = 1, go to need or optional question</t>
  </si>
  <si>
    <t>fcs_intro</t>
  </si>
  <si>
    <t>Now I would like to ask you about the foods and drinks your household ate or drank in the last 7 days during the day and at night [breakfast, lunch, dinner, snacks]. 
1)CONTINUE</t>
  </si>
  <si>
    <t>Yanzu ina so in tambaye ku game da abinci da abubuwan sha da gidanku suka ci ko suka sha a cikin kwanaki 7 na dare da rana [karin kumallo, abincin rana, abincin dare, abubuwan ciye-ciye]
1)CI GABA</t>
  </si>
  <si>
    <t>Jooni mi yiɗay mi ƴam-maa dow nyaamndu e tahollaaji ɗi wuro maa nyaamata walla yarata nder balɗe 7 caaliiɗe nden kadi e jemma [fummaari, mbottaari, hiraande, tahollaaji]  
1)JOKKU</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</si>
  <si>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</si>
  <si>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</si>
  <si>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</si>
  <si>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</si>
  <si>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Kwana nawa ne a cikin kwanaki 7 da suka gabata ‘yan gidan ku suka ci sitaci, saiwoyi da tubers irin su shinkafa, masara, taliya, burodi, dawa, gero, dankalin turawa, dawa, rogo, farin dankalin turawa?
[MAI AIKI: RUBUTA NA KWANAKI 0 - 7]</t>
  </si>
  <si>
    <t>Balɗe noye gila balɗe 7 caaliiɗe, yimɓe wuro maa nyaami sitaaci, daɗi, lare, ba maaroori, masariiri, pasta, mburu, gawri, muuri, dulde, kappe, mbay, dulde laaɓɗe? 
[KAKKILANOOWO: ADU ƊUUƊAL BALƊE ƊEN 0 - 7]</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</si>
  <si>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</si>
  <si>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</si>
  <si>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</si>
  <si>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</si>
  <si>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Kwana nawa ne a cikin kwanaki 7 da suka gabata ‘yan gidan ku suka ci tsaba kamar su wake, lentil, waken suya, wake, gyada ko sauran tsaba?
[MAI AIKI: RUBUTA NA KWANAKI 0 - 7]</t>
  </si>
  <si>
    <t>Balɗe noye gila balɗe 7 caaliiɗe, yimɓe wuro maa nyaami neleeji, gabbe, ba nyebbe, lents, koopiya, nyebboy,  pigeon peas and peanuts walla koobe luttuɗe? 
[KAKKILANOOWO: ADU ƊUUƊAL BALƊE ƊEN 0 - 7]</t>
  </si>
  <si>
    <t>0-7 = fcs_vegetables_days</t>
  </si>
  <si>
    <t>For any response, go to fcs_vegetables_days</t>
  </si>
  <si>
    <t>fcs_vegetables_days</t>
  </si>
  <si>
    <t>How many days over the last 7 days, did members of your household eat vegetables or leaves such as Moringa,Spinach, Lettuce and/or other leaves/vegetables?
[OPERATOR: RECORD NUMBER OF DAYS 0 - 7] 
[HINT: IF CONSUMED ONLY IN SMALL QUANTITY, DO NOT INCLUDE.]</t>
  </si>
  <si>
    <t>Kwanaki nawa ne a cikin kwanaki 7 da suka gabata ‘yan gidan ku suka ci kayan lambu ko ganyaye kamar su Kabeji, Karas, Ganyen barkono, Farin kabeji, Cucumber, Tumatir, Latas, Albasa, Red Pepper da/ko sauran ganye/kayan lambu?
[MAI AIKI: RUBUTA NA KWANAKI 0 - 7]</t>
  </si>
  <si>
    <t>Balɗe noye gila balɗe 7 caaliiɗe, yimɓe wuro maa nyaami haakollooji walla haako ba kaabeeji, karas, kaaɗɗe, cauliflower, kokommba, tumaatur, letas, tinngeeje, kaaɗɗe mboɗeeje e walla luttuko haako/ haakollooji?  
[KAKKILANOOWO: ADU ƊUUƊAL BALƊE ƊEN 0 - 7]</t>
  </si>
  <si>
    <t>0-7 = fcs_fruit_days</t>
  </si>
  <si>
    <t>For any response, go to fcs_fruit_days</t>
  </si>
  <si>
    <t>fcs_fruit_days</t>
  </si>
  <si>
    <t>How many days over the last 7 days, did members of your household eat fruit such as mangoes, oranges, bananas, pineapples, water melon and/or other fruits?
[OPERATOR: RECORD NUMBER OF DAYS 0 - 7]
[HINT: IF CONSUMED ONLY IN SMALL QUANTITY, DO NOT INCLUDE.]</t>
  </si>
  <si>
    <t>Kwanaki nawa ne cikin kwanaki 7 na baya, iyalan gidanka suka ci ƴa'ƴan itatuwa kamar mangoro, lemu, ayaba, abarba, kankana, da/ko wasu ƴa'ƴan itatuwan?
[MA'AIKACI: YI RAKODAN IYA KWANAKIN 0 - 7]
[SATAR AMSA: IDAN ANCI KAƊAN NE KAWAI, KAR KASA.]</t>
  </si>
  <si>
    <t>Balɗe noye nder balɗe 7 saaliiɗe yimmɓe saare ma 'ƴakki samarooje ba mangorooje, lemu masar, konndongji, abarbahi, pariije, e/ko samarooje goɗɗi?
[EMOOWO: HOOSHU RAKODA BALƊE ƊEN 0 - 7]
[HOLLOOJUM: TO SEƊƊA ƊUN 'ƳAKKI TAN TA WAƊU.]</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</si>
  <si>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</si>
  <si>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</si>
  <si>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</si>
  <si>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</si>
  <si>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Kwana nawa ne a cikin kwanaki 7 da suka gabata,Iyalen gidan ku suka ci nama, ƙwai ko kifi [kowane irin nama ko kifi da suka haɗa da kwari, tsuntsaye, naman daji, abincin teku, ko gabobin jiki]?
[MAI AIKI: RUBUTA NA KWANAKI 0 - 7]</t>
  </si>
  <si>
    <t>Balɗe noye gila balɗe 7 caaliiɗe, yimɓe wuro maa nyaami teewu ba geeraaɗe walla liƴƴi [kala noone teewu fuu walla liƴƴi hawtaade e koowoowi, e colli, e kusel ladde, tagle ndiyam, walla jokkorɗe}?   
[KAKKILANOOWO: ADU ƊUUƊAL BALƊE ƊEN 0 - 7]</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</si>
  <si>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</si>
  <si>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</si>
  <si>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</si>
  <si>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</si>
  <si>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Kwana nawa a cikin kwanaki 7 da suka gabata, iyalen gidan ku suka sha madara mai tsami, yogurt, cuku ko sauran kayan kiwo? [Ba da margarine/man shanu ko ƙaramin madara don shayi/ kofi]
[MAI AIKI: RUBUTA NA KWANAKI 0 - 7]</t>
  </si>
  <si>
    <t>Balɗe noye gila balɗe 7 caaliiɗe, yimɓe wuro maa nyaami yari ɓiraaɗam, lammuɗam, kawtaaɗam, leeɓol walla kala fiiji kosam? [Taa limta margarine/ leeɓol walla kosam seɗannajam ngam saayi/koofi, 
[KAKKILANOOWO: ADU ƊUUƊAL BALƊE ƊEN 0 - 7]</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</si>
  <si>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</si>
  <si>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</si>
  <si>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</si>
  <si>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</si>
  <si>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Kwana nawa a cikin kwanaki 7 da suka gabata ‘yan gidan ku suka sha sikari ko zaki kamar su sugar, zuma, jam, biredi, alewa, kukis, biredi, biredi da sauran kayan zaki da abin sha?
[MAI AIKI: RUBUTA NA KWANAKI 0 - 7]</t>
  </si>
  <si>
    <t>Balɗe noye gila balɗe 7 caaliiɗe, yimɓe wuro maa nyaami kantu walla muroy ba kantu, njuumri, jamram, kekji, candy, biskit, biskit, kekji e luttuɗi fiiji marɗi kantu?? 
[KAKKILANOOWO: ADU ƊUUƊAL BALƊE ƊEN 0 - 7]</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</si>
  <si>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</si>
  <si>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</si>
  <si>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</si>
  <si>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</si>
  <si>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Kwana nawa a cikin kwanaki 7 da suka gabata ‘yan gidan ku suka ci mai/mai/man shanu kamar su man kayan lambu, dabino, man gyada, margarine, sauran kitse/mai?
[MAI AIKI: RUBUTA NA KWANAKI 0 - 7]</t>
  </si>
  <si>
    <t>Balɗe noye gila balɗe 7 caaliiɗe, yimɓe wuro maa nyaami nebbam/ɓellere/leeɓol ba nebbam ɓiɓɓe leɗɗe, boɗejam, nebbam biriiji, margarine, e luttuɗam nebbam?? 
[KAKKILANOOWO: ADU ƊUUƊAL BALƊE ƊEN 0 - 7]</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</si>
  <si>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</si>
  <si>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</si>
  <si>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</si>
  <si>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</si>
  <si>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Kwanaki nawa a cikin kwanaki 7 da suka gabata ‘yan gidan ku suka ci kayan kamshi kamar su shayi, kofi, koko, gishiri, tafarnuwa, kayan kamshi, yisti, kifi nama a matsayin kayan yaji ko madara kaɗan na shayi ko kofi?
[MAI AIKI: RUBUTA NA KWANAKI 0 - 7]</t>
  </si>
  <si>
    <t>Balɗe noye gila balɗe 7 caaliiɗe, yimɓe wuro maa nyaami ɗawtallo walla beltallo ba saayi, koofi, kooko, laamɗam, puurna, ɗawtallo, yiis, teewu, teewu liƴƴi wona beltallo walla adadu famɗuɗum ɗum kosam nder saayi walla koofi?? 
[KAKKILANOOWO: ADU ƊUUƊAL BALƊE ƊEN 0 - 7]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</si>
  <si>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</si>
  <si>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</si>
  <si>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</si>
  <si>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</si>
  <si>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Yanzu zan tambaye ku adadin kwanakin, a cikin kwanaki 7 da suka gabata, a lokacin da iyalen gidan ku suka yi wasu ayyukan da zan ambata don shawo kan rashin abinci ko kudin sayen abinci.
1)CI GABA</t>
  </si>
  <si>
    <t>Jooni mi ƴamete ɗuuɗal balɗe, nder balɗe 7 caaliiɗe, to wuro maa doggini goɗɗ nder kuwɗe ɗe mi limtata jooni ngam wurtaaki sooynde nyaamndu walla ceede soodude nyaamndu.  
1)JOKKU</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</si>
  <si>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</si>
  <si>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</si>
  <si>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</si>
  <si>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</si>
  <si>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A cikin kwanaki 7 da suka gabata, kwanaki nawa ne gidan ku suka dogara da abincin da ba'a so ko keda tsada saboda rashin abinci/kudi?
[MAI AIKI: RUBUTA NA KWANAKI 0 - 7]</t>
  </si>
  <si>
    <t>Balɗe noye nder balɗe 7 caaliiɗe, yimɓe wuro maa tiigii dow nyaamndu ndu ɓuraa yiɗeeki walla saɗaa sabu sooynde nyaamndu/ceede?  
[KAKKILANOOWO: ADU ƊUUƊAL BALƊE ƊEN 0 - 7]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</si>
  <si>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</si>
  <si>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</si>
  <si>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</si>
  <si>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</si>
  <si>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A cikin kwanaki 7 da suka gabata, kwanaki nawa ne gidan ku ya karbi rancen abinci, ko ya dogara ga wani abokinsa ko ‘yan uwa saboda rashin abinci ko kudin siyan abinci?
[MAI AIKI: RUBUTA NA KWANAKI 0 - 7]</t>
  </si>
  <si>
    <t>Balɗe noye nder balɗe 7 caaliiɗe, yimɓe wuro maa wuƴoyii ceede, walla tiigii dow walliinde gila soobaajo walla banndiraawo sabu sooynde nyaamndu walla ceede sooduki-ndu?  
[KAKKILANOOWO: ADU ƊUUƊAL BALƊE ƊEN 0 - 7]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</si>
  <si>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</si>
  <si>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</si>
  <si>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</si>
  <si>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</si>
  <si>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A cikin kwanaki 7 da suka gabata, kwanaki nawa ne gidan ku suka rage yawan abincin da ake ci a rana saboda rashin abinci ko kudin sayen abinci?
[MAI AIKI: RUBUTA NA KWANAKI 0 - 7]</t>
  </si>
  <si>
    <t>Balɗe noye nder balɗe 7 caaliiɗe, yimɓe wuro maa ɗusti ɗuuɗal sarde nyaamki nyaamndu maɓɓe nder nyalaande sabu sooynde nyaamndu walla ceede sooduki-ndu?  
[KAKKILANOOWO: ADU ƊUUƊAL BALƊE ƊEN 0 - 7]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</si>
  <si>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</si>
  <si>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</si>
  <si>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</si>
  <si>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</si>
  <si>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A cikin kwanaki 7 da suka gabata, kwanaki nawa ne gidan ku aka rage yawan cin abinci saboda rashin abinci ko kudin siyan abinci?
[MAI AIKI: RUBUTA NA KWANAKI 0 - 7]</t>
  </si>
  <si>
    <t>Balɗe noye nder balɗe 7 caaliiɗe, yimɓe wuro maa ɗusti ɗuuɗal nyaamndu nder nyalaande sabu sooynde nyaamndu walla ceede sooduki-ndu?  
[KAKKILANOOWO: ADU ƊUUƊAL BALƊE ƊEN 0 - 7]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</si>
  <si>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</si>
  <si>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</si>
  <si>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</si>
  <si>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</si>
  <si>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A cikin kwanaki 7 da suka gabata, kwanaki nawa ne gidan ku manya suka rage abincin da suke ci domin yara su ci, saboda rashin abinci ko kudin siyan abinci?
[MAI AIKI: RUBUTA NA KWANAKI 0 - 7]</t>
  </si>
  <si>
    <t>Balɗe noye nder balɗe 7 caaliiɗe, yimɓe wuro maa mawɓe ɗusti ɗuuɗal nyaamki nyaamndu heɓa sukaaɓe nyaama, sabu sooynde nyaamndu walla ceede sooduki-ndu?  
[KAKKILANOOWO: ADU ƊUUƊAL BALƊE ƊEN 0 - 7]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</si>
  <si>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</si>
  <si>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</si>
  <si>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</si>
  <si>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</si>
  <si>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</si>
  <si>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Shin iyalan gidanka na buƙatar gudumawa na harkan noma [ya haɗa da kayan gona, tumaki da kifi /ababen da suka shafi halittun ruwa] cikin watanni 3 zuwa 6 masu zuwa?
[MA'AIKACI: AMSA ƊAYA.]
1)EH
2)A'AH
3)BAN SANI BA
4)ANƘI AMSAWA</t>
  </si>
  <si>
    <t>Yimmɓe saare ma yiɗi na wallitaare nder shaani ndemol [hawti fuu kaya renugo, baali, e liɗɗi e dabbaaji ndiyam] nder lebbiiji 3 yaha 6 ngaratooje?
[EMOOWO:NOOTAARE WOORE.]
1)EH
2)A'A
3)MI ANNDA
4)SALAKE NOOTAAKI</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</si>
  <si>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</si>
  <si>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</si>
  <si>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</si>
  <si>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</si>
  <si>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</si>
  <si>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</si>
  <si>
    <t>Waɗanne ne manyan buƙatun  gidan ka na neman gudumawan harkokin noma [ya haɗa da noman kayan gona, kiwon tumaki ko kifi/ halittun ruwa] cikin watanni 3 zuwa 6 masu zuwa?
[MA'AIKACI: AMSOSHI DA YAWA. KAR KA KARANTA ZAƁIN.]
1)Abinci
2)Kuɗi
3)Kuɗaɗe ko baje kolin kuɗin kashewa
4)Kuɗin kashewa don samar da kayan gona /ko ganyayyaki [misali. iri/ taki/ kayan aiki]
5)Ababen more rayuwa don samar da kayan gona da /ko ganyayyaki [misali. banruwa/ gyaran kanal/ famfuna]
6)Horaswa da ilmantarwa /shawara kan samar da kayan gona
7)Abincin tumaki [harawa ko wani abinci na daban]
8)Kula da lafiyar dabbobi [misali. allurai / tsome/ maganin tsutsar ciki]
9)Ababen more rayuwa na kiwon tumaki [misali. guraren ruwa/ filayen kiwo/ gurin zama/ wajen kiwon lafiya]
10)Horaswa da ilmantarwa/ ba da shawara kan samar kiwon tumaki
11)Samar da jarin kiwon kifi ko kayayyakin halittun ruwa 
12)Ababen more rayuwa na kiwon kifi ko samar da kayayyakin halittun ruwa [misali. gyaran gaɓoɓi - gyaran tafkuna]
13)Horaswa da ilmantarwa/ ba da shawara na kiwon kifi da samar da kayayyakin halittun ruwa
14)Gyaran muhalli ko ababen more rayuwa [a dukkan kewaye]
15)Ma'adanin Ƙanƙara
16)Tallafin tallatswa ko sayarwa. [misali. neman jama'a]
17)Wasu daban [tantance]
18)BAN SANI BA
19)ANƘI AMSAWA</t>
  </si>
  <si>
    <t>Ɗeye wani ko yimmɓe saare ma ɓuri yiɗuki ngam tefki walleeki dow shaaniiji remugo [hawti be renugo, ndurol baali ko liɗɗi/ dabbaaji ndiyam] nder lebbiiji 3 yaha 6 ngaratooje?
[EMOOWO: NOOTAAJE ƊUUƊƊE. TA JANNGU NOOTAARE NDEN.]
1)Nyamdu
2)Ceede
3)Ceede ko holloore ceede faɗɗuki 
4)Ceede faɗɗuki ngam heɓinnki kaayaaji renugo e/ko funkallooji [misali. iriiji/ taki/ kaayaaji kuugal]
5)Huundeeji mahaaje ngam heɓinnki kaayaaji renugo e/ko funkallooji [misali. waatuki ndiyam/ wo'innki kanal/ famfooje]
6)Hollaneeki e ekkitaneeki/shawara dow heɓinnki kaayaaji renugo 
7)Nyaamdu baali [shonndi ko nyaamdu goɗɗum feere]
8)Hakkilannki njamu dabbaaji [misali. baate / somnugo/ magani gilngu redu]
9)Huundeeji mahaaje ɗe ndurol baali [misali. felleeji ndiyam/ fellere ndurol/ fellere deppaaki/ fellere hakkilannki njamu]
10)Hollaneeki e ekkitaneeki/ hokkuki shawara dow heɓinnki ndurol baali
11)Heɓinnki ceede ndurol liɗɗi e kaayaaji dabbaaji ndiyam
12)Huundeeji mahaaje ngam ndurol liɗɗi e kaayaaji dabbaaji ndiyam [misali. wo'innki honnduko maayo - wo'innki gawaaji]
13)Hollaneeki ko ekkitineeki/ hokkuki shawara ndurol liɗɗi e heɓinnki kaayaaji dabbaaji ndiyam
14)Wo'innki fellere ko huundeeji mahaaje [fellere fat]
15)Sigowre booju
16)Wallitaare shoggu ko sooruki. [misali. tefki yimmɓe]
17)Goɗɗum [wi'u]
18)MI ANNDA
19)SALAKE NOOTAAKI</t>
  </si>
  <si>
    <t>Open Ended-Select All That Apply</t>
  </si>
  <si>
    <t>Form Type - Checklist
18,19 = IsNone</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</si>
  <si>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</si>
  <si>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1-19 = need_received</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</si>
  <si>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</si>
  <si>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</si>
  <si>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</si>
  <si>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</si>
  <si>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Shin iyalan gidanka sun karɓi wata gudumawa cikin watanni 3 da suka wuce, in haka ne, wace iri?
[MA'AIKACI: ANA IYA SAMUN AMSOSHI DA YAWA. KARANTA ZAƁIN.]
1)Abinci
2)Kuɗi
3)Kuɗaɗe / ko baje kolin kuɗin da aka kashe
4)Gudumawar samar da kayan gona / ko samar da ganyayyaki 
5)Gudumawar kiwon tumaki
6)Gudumawar kiwon kifi/ko gudumawar wasu halittun ruwa 
7)Gyaran muhalli ko ababen more rayuwa [na duka kewaye]
8)Tallafin tallatawa ko sayarwa [misali. samar da jama'a]
9)Wani daban [tantance]
10)Ba'a samu gudumawa ba
11)BAN SANI BA 
12)ANƘI AMSAWA</t>
  </si>
  <si>
    <t>Yimmɓe saare ma jaɓi wallitaare goɗɗum nder lebbiiji 3 saaliiɗe, to non, iri ɗume?
[EMOOWO: ƊUN WAAWAI HEƁUKI NOOTAAJE ƊUUƊƊE. JANNGU NOOTAARE NDEN.]
1)Nyaamdu
2)Ceede
3)Ceede / ko hollaare ceede ɗun faɗɗi
4)Walleeki heɓinnki kaayaaji renugo / ko heɓinnki fankallooji
5)Walleeki ndurol baali
6)Walleeki ndurol liɗɗi/ko walleeki dabbaji ndiyam goɗɗi 
7)Wo'innki fellerw ko huundeeji mahaaje [ndu fellere fat]
8)Walleere shoggu ko sooruki [misali. heɓinnki yimmɓe]
9)Goɗɗum [wi'u]
10)Ɗun heɓaayi walleeki
11)MI ANNDA
12)SALAKE NOOTAAKI</t>
  </si>
  <si>
    <t>Form Type - Checklist
10,11,12 = IsNone</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</si>
  <si>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</si>
  <si>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1-9 = assistance_quality 
10-12 = callback</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</si>
  <si>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</si>
  <si>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</si>
  <si>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</si>
  <si>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Shin ka gamsu da ingancin gudumawar da aka samar? 
[MA'AIKACI: AMSA ƊAYA. INGANCIN GUDUMAWA TA FANNIN WADATUWAR GUDUMAWAR TA SAMARWA KO SAYARWA DON SHAWO KAN MATSALAR.]
1)Eh
2)A'ah - ban karɓa kan lokaci ba 
3)A'ah - basu biya buƙatu na ba
4)A'ah - yawan bai wadata ba
5)A'ah - akwai matsala daga mai bayarwar
6)A'ah - akwai naƙasu cikin irin gudumawar da aka samar [misali. rashin ingancin kayan aiki]
7)BAN SANI BA
8)ANƘI AMSAWA</t>
  </si>
  <si>
    <t>Aan a yardake e iri walleeki ɗun heɓini? 
[EMOOWOI: NOOTAARE WOORE. WODKI WALLEEKI TA ƊUUƊUKI WALLITAARE NDEN NDER HEƁINNKI KO SOORUKI NGAM MAAGUKI WAANNITAAJUM ƊUM.]
1)Eh
2)A'a - mi jaɓaayi dow wakkati
3)A'a - ɗe biyanaaki yam ngiɗaaji 
4)A'a - ɗuuɗal maajum he'ƴaayi
5)A'a - woodi waannitaajum diga hokkoowo on
6)A'a - woodi heltaare nder walleeki ɗun heɓini [misali. relluki woɗki kaayaaji kuugal]
7)MI ANNDA
8)SALAKE NOOTAAKI</t>
  </si>
  <si>
    <t>1-8 = assistance_provider</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</si>
  <si>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</si>
  <si>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</si>
  <si>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</si>
  <si>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</si>
  <si>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 xml:space="preserve">Wanene ya bawa iyalan gidanka wannan gudumawar?
[MA'AIKACI: AMSOSHI MASU YAWA.]
1)FAO
2)WFP
3)Jami'an UN 
4)Gwamnati
5)Ƙungiyoyi masu zaman kansu/ƙananan ƙungiyoyi
6)BAN SANI BA
7)ANƘI AMSAWA </t>
  </si>
  <si>
    <t>Dun moye hokki yimmɓe saare ma walleeki kin?
[EMOOWO: NOOTAAJE ƊUUƊƊE.]
1)FAO
2)WFP
3)Jamaaje UN 
4)Gwomnati
5)Ƙungiyaaje deppiiɗe e ko'e maaje /ƙungiyaaje famarje
6)MI ANNDA
7)SALAKE NOOTAAKI</t>
  </si>
  <si>
    <t>Form Type - Checklist
6,7 = IsNone</t>
  </si>
  <si>
    <t>1)assistance_fao
2)assistance_wfp
3)assistance_otherun
4)assistance_gov
5)assistance_ngo
6)assistance_dk
7)assistance_ref</t>
  </si>
  <si>
    <t>1-7 = callback</t>
  </si>
  <si>
    <t xml:space="preserve">if assistance_provider = 1-7, go to callback </t>
  </si>
  <si>
    <t>I. CLOSING</t>
  </si>
  <si>
    <t>callback</t>
  </si>
  <si>
    <t>Your answers will help us to understand and respond to your community needs. May we call you back again in a few months?
[OPERATOR: SINGLE RESPONSE.]
1)YES
2)NO</t>
  </si>
  <si>
    <t>Amsoshin ku za su taimaka mana mu fahimta da kuma amsa bukatun al'ummar ku. Shin za mu iya sake kiran ku nan da 'yan watanni?
[MAI AIKI: AMSA GUDA ƊAYA.]
1)EH
2)BA</t>
  </si>
  <si>
    <t>Jaabuye maa wallay min paama boo min ndaartana haaje ummaatoore-ma. Foti min nodditin maa nder lebbi seeɗa ngarooji?  
[KAKKILANOOWO: JAABUYE WOOTERE.]
1)IYI
2)NAA NON</t>
  </si>
  <si>
    <t>1 = future_int_day
2 = language2</t>
  </si>
  <si>
    <t>if callback = 1, go to leader_contact
if 2, go to language2</t>
  </si>
  <si>
    <t>leader_contact</t>
  </si>
  <si>
    <t>Can you provide me with the contact information of a leader in your community?
[OPERATOR: SINGLE RESPONSE.]
1)YES 
2)NO
3)DON'T KNOW
4)REFUSED</t>
  </si>
  <si>
    <t>Shin za ku iya ba ni bayanan tuntuɓar wani shugaba a yankinku?
[MAI AIKI: AMSA GUDA ƊAYA.]
1)EH
2)A'A
3)BAN SANI BA
4)BA ZA A AMSA BA</t>
  </si>
  <si>
    <t>A waaway hokkude yam bayaanuuji ardiiɗo nder ummaatoore mon?  
[KAKKILANOOWO: JAABUYE WOOTERE.]
1)IYI
2)NAA NON
3)ANNDAA
4)SALAKE</t>
  </si>
  <si>
    <t>1 = leader_type
2-4 = future_int_day</t>
  </si>
  <si>
    <t>These questions are not in the validated questionnaire.</t>
  </si>
  <si>
    <t>if leader_contact = 1, go to leader_type;
if leader_contact = 2-4, go to future_int_day</t>
  </si>
  <si>
    <t>leader_type</t>
  </si>
  <si>
    <t>What type of community leader can you provide information for?
[OPERATOR: SINGLE RESPONSE.]
1)Village / town administrator
2)Agricultural extension officer
3)Health extension officer
4)Teacher
5)Other [specify]
6)DON'T KNOW
7)REFUSED</t>
  </si>
  <si>
    <t>Wane irin shugaban al'umma za ku iya ba da bayanai don?
[MAI AIKI: AMSA GUDA ƊAYA.]
1)Mai kula da Kauye/ Gari
2)Ma'aikacin fadada aikin gona
3)Jami'in kula da lafiya
4)Malam
5)Wasu [bayyana]
6)BAN SANI BA
7)BA ZA A AMSA BA</t>
  </si>
  <si>
    <t xml:space="preserve">Noone moye ardiiɗo nder ummaatoore ndokkata bayaanuuji maako?  
[KAKKILANOOWO: JAABUYE WOOTERE.]
1)Hooreejo gasol/labbaare/ town administrator
2)Hooreje wakkere ndemri 
3)Hooreejo wakkere njamu 
4)Jannginoowo 
5)Goɗɗo [wanngin]
6)ANNDAA 
7)SALAKE </t>
  </si>
  <si>
    <t>1-7 = phone_number_leader</t>
  </si>
  <si>
    <t>if leader_type = 1-7, go to phone_number_leader</t>
  </si>
  <si>
    <t>phone_number_leader</t>
  </si>
  <si>
    <t>What is the leader's phone number?
[OPERATOR: RECORD THE NUMBER GIVEN]</t>
  </si>
  <si>
    <t>Mene ne lambar wayar shugaba?
[MAI AIKI: RUBUTA LAMBAR DA AKA BAYAR]</t>
  </si>
  <si>
    <t>[Hol]ko woni tonngoode ƴownirgel ardiiɗo on? is the leader's phone number?
[KAKKILANOOWO: ADU TONNGOODE NDOKKAANDE NDEN]</t>
  </si>
  <si>
    <t>Any Response = leader_name</t>
  </si>
  <si>
    <t>For any response, go to leader_name</t>
  </si>
  <si>
    <t>leader_name</t>
  </si>
  <si>
    <t>What is the leader's name?
[OPERATOR: RECORD THE NAME OF THE CONTACT FOR THE PHONE NUMBER.]</t>
  </si>
  <si>
    <t>Menene sunan shugaba?
[MAI AIKI: RUBUTA SUNAN DA AKA BAYAR]</t>
  </si>
  <si>
    <t>[Hol]ko woni innde ardiiɗo on?
[KAKKILANOOWO: ADU TONNGOODE NDOKKAANDE NDEN]</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</si>
  <si>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</si>
  <si>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</si>
  <si>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</si>
  <si>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</si>
  <si>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</si>
  <si>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Don hirar da za a yi a nan gaba, a wace rana[wa] zan iya kiran ku?
[MAI AIKI: AMSOSHI DAYAWA IYAWA.]
1)Litinin
2)Talata
3)Laraba
4)Alhamis
5)Juma'a
6)Asabar
7)Lahadi</t>
  </si>
  <si>
    <t>Ngam gewtidal yeeso, ndeye nyalaande haani mi ƴownu-ma?
[KAKKILANOOWO: JAABUYE ƊUUƊƊ FOT HEƁEE.]
1)Aaɓnde
2)Mawbaare
3)Njeslaare 
4)Naasaande
5)Mawnde
6)Hoore-biir
7)Dewo</t>
  </si>
  <si>
    <t>1) future_int_day_mon
2) future_int_day_tues
3) future_int_day_wed
4) future_int_day_thurs
5) future_int_day_fri
6) future_int_day_sat
7) future_int_day_sun</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</si>
  <si>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</si>
  <si>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</si>
  <si>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</si>
  <si>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</si>
  <si>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</si>
  <si>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Don hirar da za a yi a nan gaba, a wane lokaci[s] zan iya kiran ku?
[MAI AIKI: AMSOSHI DAYAWA IYAWA.]
1)Safiya
2)La'asar
3)Maraice</t>
  </si>
  <si>
    <t>Ngam gewtidal yeeso, ndeye sarde haani mi ƴownu-ma? 
[KAKKILANOOWO: JAABUYE ƊUUƊƊ FOT HEƁEE.]
1)Bimmbi
2)Nyalowma
3)Kiikiiɗe</t>
  </si>
  <si>
    <t>1) future_int_time_morn
2) future_int_time_aft
3) future_int_time_eve</t>
  </si>
  <si>
    <t>1-3 = language2</t>
  </si>
  <si>
    <t>if future_int_time = 1-3, go to language2</t>
  </si>
  <si>
    <t>language2</t>
  </si>
  <si>
    <t>SELECT THE LANGUAGE THAT WAS MOSTLY USED TO COMPLETE THE INTERVIEW.
[OPERATOR: SINGLE RESPONSE.]
1)English
2)Hausa
3)Fulani</t>
  </si>
  <si>
    <t>Zaɓi yaren da aka fi amfani da shi don kammala hirar.
[MAI AIKI: AMSA GUDA ƊAYA.]
1)Turanci
2)Hausa
3)Fulani</t>
  </si>
  <si>
    <t>Suɓu ɗemngal ɓurdungal naftireeki ngam waɗki gewtidal ngal. 
[KAKKILANOOWO: JAABUYE WOOTERE.]
1)Inngiliisiire 
2)Hawsaare
3)Fulfulde</t>
  </si>
  <si>
    <t>1-3 = closeout</t>
  </si>
  <si>
    <t>closeout</t>
  </si>
  <si>
    <t>Thank you for your time. The interview has come to an end. You will receive your #TOPUP# airtime credit on this phone within the next 2 days.</t>
  </si>
  <si>
    <t>Na gode da lokacin ku. Hirar ta zo karshe. Zaku karbi #TOPUP# katin waya akan wannan lambar nan da kwanaki 2 masu zuwa.</t>
  </si>
  <si>
    <t>A yettaama e hokkuki min wakkati maa. Gewtidal ngal timmii. A heɓay #TOPUP# maa to ƴownirgel maa nge'el nder balɗe ɗiɗi.</t>
  </si>
  <si>
    <t>End poll callback</t>
  </si>
  <si>
    <t>Call back set</t>
  </si>
  <si>
    <t>Saitin dawo da kira</t>
  </si>
  <si>
    <t>Fuɗɗitaade</t>
  </si>
  <si>
    <t>CallBack-Introduction</t>
  </si>
  <si>
    <t>Introduction</t>
  </si>
  <si>
    <t>Gabatarwa</t>
  </si>
  <si>
    <t>Hooreha</t>
  </si>
  <si>
    <t>CallBack-Confirmation</t>
  </si>
  <si>
    <t>Confirmation</t>
  </si>
  <si>
    <t>Tabbatarwa</t>
  </si>
  <si>
    <t>Tabitinnde</t>
  </si>
  <si>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</si>
  <si>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</si>
  <si>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</si>
  <si>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</si>
  <si>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</si>
  <si>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</si>
  <si>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</si>
  <si>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</si>
  <si>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</si>
  <si>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hh_wealth_water</t>
  </si>
  <si>
    <t>hh_wealthwall</t>
  </si>
  <si>
    <t>hh_reprwomen</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</si>
  <si>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</si>
  <si>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</si>
  <si>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</si>
  <si>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</si>
  <si>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</si>
  <si>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</si>
  <si>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</si>
  <si>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</si>
  <si>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</si>
  <si>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</si>
  <si>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</si>
  <si>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</si>
  <si>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</si>
  <si>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</si>
  <si>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</si>
  <si>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</si>
  <si>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</si>
  <si>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</si>
  <si>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</si>
  <si>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</si>
  <si>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</si>
  <si>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</si>
  <si>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</si>
  <si>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</si>
  <si>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</si>
  <si>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</si>
  <si>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</si>
  <si>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</si>
  <si>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</si>
  <si>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</si>
  <si>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cs_stress_credit</t>
  </si>
  <si>
    <t>cs_crisis_sold_productive_asset</t>
  </si>
  <si>
    <t>cs_crisis_consumed_seed_stocks</t>
  </si>
  <si>
    <t>cs_emergency_sold_till</t>
  </si>
  <si>
    <t>cs_emergency_hh_migration</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</si>
  <si>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</si>
  <si>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</si>
  <si>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</si>
  <si>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</si>
  <si>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</si>
  <si>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</si>
  <si>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</si>
  <si>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</si>
  <si>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</si>
  <si>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</si>
  <si>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</si>
  <si>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</si>
  <si>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</si>
  <si>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</si>
  <si>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</si>
  <si>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</si>
  <si>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</si>
  <si>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hh_wealth_light</t>
  </si>
  <si>
    <t>cs_stress_sold_more_animals</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</si>
  <si>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</si>
  <si>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</si>
  <si>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</si>
  <si>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</si>
  <si>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</si>
  <si>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</si>
  <si>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</si>
  <si>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</si>
  <si>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</si>
  <si>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</si>
  <si>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</si>
  <si>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</si>
  <si>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</si>
  <si>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</si>
  <si>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</si>
  <si>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</si>
  <si>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</si>
  <si>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</si>
  <si>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</si>
  <si>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</si>
  <si>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</si>
  <si>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</si>
  <si>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</si>
  <si>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</si>
  <si>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</si>
  <si>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</si>
  <si>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</si>
  <si>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</si>
  <si>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</si>
  <si>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</si>
  <si>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</si>
  <si>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</si>
  <si>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</si>
  <si>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</si>
  <si>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</si>
  <si>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</si>
  <si>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</si>
  <si>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</si>
  <si>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</si>
  <si>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</si>
  <si>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</si>
  <si>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</si>
  <si>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</si>
  <si>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</si>
  <si>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</si>
  <si>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</si>
  <si>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</si>
  <si>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</si>
  <si>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</si>
  <si>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</si>
  <si>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</si>
  <si>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</si>
  <si>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</si>
  <si>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</si>
  <si>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</si>
  <si>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</si>
  <si>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</si>
  <si>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</si>
  <si>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</si>
  <si>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</si>
  <si>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</si>
  <si>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</si>
  <si>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</si>
  <si>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</si>
  <si>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</si>
  <si>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</si>
  <si>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</si>
  <si>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</si>
  <si>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</si>
  <si>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</si>
  <si>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</si>
  <si>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</si>
  <si>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</si>
  <si>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</si>
  <si>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</si>
  <si>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</si>
  <si>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</si>
  <si>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</si>
  <si>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</si>
  <si>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</si>
  <si>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</si>
  <si>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</si>
  <si>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</si>
  <si>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</si>
  <si>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</si>
  <si>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</si>
  <si>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</si>
  <si>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</si>
  <si>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</si>
  <si>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</si>
  <si>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</si>
  <si>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</si>
  <si>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</si>
  <si>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</si>
  <si>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</si>
  <si>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</si>
  <si>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</si>
  <si>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</si>
  <si>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</si>
  <si>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</si>
  <si>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</si>
  <si>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</si>
  <si>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 (e.g. cowpeas)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</si>
  <si>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</si>
  <si>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</si>
  <si>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</si>
  <si>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</si>
  <si>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</si>
  <si>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</si>
  <si>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</si>
  <si>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</si>
  <si>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</si>
  <si>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</si>
  <si>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</si>
  <si>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</si>
  <si>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</si>
  <si>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</si>
  <si>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</si>
  <si>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</si>
  <si>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</si>
  <si>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</si>
  <si>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</si>
  <si>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</si>
  <si>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</si>
  <si>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</si>
  <si>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</si>
  <si>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</si>
  <si>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</si>
  <si>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</si>
  <si>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</si>
  <si>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</si>
  <si>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</si>
  <si>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</si>
  <si>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</si>
  <si>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</si>
  <si>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</si>
  <si>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</si>
  <si>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</si>
  <si>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</si>
  <si>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</si>
  <si>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</si>
  <si>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</si>
  <si>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</si>
  <si>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</si>
  <si>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</si>
  <si>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</si>
  <si>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</si>
  <si>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</si>
  <si>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</si>
  <si>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</si>
  <si>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</si>
  <si>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</si>
  <si>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</si>
  <si>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</si>
  <si>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</si>
  <si>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</si>
  <si>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</si>
  <si>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</si>
  <si>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</si>
  <si>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</si>
  <si>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</si>
  <si>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</si>
  <si>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</si>
  <si>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</si>
  <si>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</si>
  <si>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</si>
  <si>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</si>
  <si>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</si>
  <si>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</si>
  <si>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</si>
  <si>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</si>
  <si>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</si>
  <si>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</si>
  <si>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</si>
  <si>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</si>
  <si>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</si>
  <si>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</si>
  <si>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</si>
  <si>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</si>
  <si>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</si>
  <si>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</si>
  <si>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</si>
  <si>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</si>
  <si>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</si>
  <si>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</si>
  <si>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</si>
  <si>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</si>
  <si>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</si>
  <si>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</si>
  <si>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</si>
  <si>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</si>
  <si>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</si>
  <si>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</si>
  <si>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</si>
  <si>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</si>
  <si>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</si>
  <si>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</si>
  <si>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</si>
  <si>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</si>
  <si>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</si>
  <si>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</si>
  <si>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</si>
  <si>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</si>
  <si>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</si>
  <si>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</si>
  <si>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</si>
  <si>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</si>
  <si>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</si>
  <si>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</si>
  <si>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</si>
  <si>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</si>
  <si>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</si>
  <si>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</si>
  <si>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</si>
  <si>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</si>
  <si>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</si>
  <si>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</si>
  <si>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</si>
  <si>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</si>
  <si>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</si>
  <si>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</si>
  <si>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</si>
  <si>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</si>
  <si>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</si>
  <si>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</si>
  <si>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</si>
  <si>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</si>
  <si>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</si>
  <si>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</si>
  <si>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</si>
  <si>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</si>
  <si>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</si>
  <si>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</si>
  <si>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</si>
  <si>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</si>
  <si>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</si>
  <si>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</si>
  <si>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</si>
  <si>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</si>
  <si>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</si>
  <si>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</si>
  <si>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</si>
  <si>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</si>
  <si>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t>FOR CORE QUESTIONS    .
(Mandatory to fill out)    .</t>
  </si>
  <si>
    <t>ADMIN1</t>
  </si>
  <si>
    <t>State</t>
  </si>
  <si>
    <t>The first subdivision of the country, after national level; region; province; governorate; etc.</t>
  </si>
  <si>
    <t>region</t>
  </si>
  <si>
    <t>ADMIN2</t>
  </si>
  <si>
    <t>Local Government Area (LGA)</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</si>
  <si>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</si>
  <si>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</si>
  <si>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</si>
  <si>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</si>
  <si>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</si>
  <si>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</si>
  <si>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Dry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</si>
  <si>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</si>
  <si>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</si>
  <si>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</si>
  <si>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 xml:space="preserve">Recently finished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</si>
  <si>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</si>
  <si>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</si>
  <si>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</si>
  <si>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hectares</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</si>
  <si>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</si>
  <si>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</si>
  <si>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</si>
  <si>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</si>
  <si>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</si>
  <si>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</si>
  <si>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Naira</t>
  </si>
  <si>
    <t xml:space="preserve">The name of the main currency used nationally; USD; Naira; Rial; Pesos; etc. </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</si>
  <si>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</si>
  <si>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</si>
  <si>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</si>
  <si>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</si>
  <si>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</si>
  <si>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</si>
  <si>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</si>
  <si>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Cabbage, Carrots, Green pepper, Cauliflower, Cucumber, Tomatoes, Lettuce, Onions, Red Pepper</t>
  </si>
  <si>
    <t>Input some common local vegetables [to be used as examples in the food consumption score indicator].</t>
  </si>
  <si>
    <t>eggplants, zucchini, cauliflower</t>
  </si>
  <si>
    <t>local fruits</t>
  </si>
  <si>
    <t>mangoes, oranges, bananas, pineapples, water melon</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</si>
  <si>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</si>
  <si>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</si>
  <si>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</si>
  <si>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</si>
  <si>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</si>
  <si>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</si>
  <si>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</si>
  <si>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</si>
  <si>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</si>
  <si>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adm2_name_local</t>
  </si>
  <si>
    <t>adm2_pcode</t>
  </si>
  <si>
    <t>adm1_pcode</t>
  </si>
  <si>
    <t>adm0_name</t>
  </si>
  <si>
    <t>adm0_ISO3</t>
  </si>
  <si>
    <t>Ibi</t>
  </si>
  <si>
    <t xml:space="preserve"> </t>
  </si>
  <si>
    <t>NG035006</t>
  </si>
  <si>
    <t>Taraba</t>
  </si>
  <si>
    <t>NG035</t>
  </si>
  <si>
    <t>Nigeria</t>
  </si>
  <si>
    <t>NGA</t>
  </si>
  <si>
    <t>Ibesikpo Asutan</t>
  </si>
  <si>
    <t>NG003009</t>
  </si>
  <si>
    <t>Akwa Ibom</t>
  </si>
  <si>
    <t>NG003</t>
  </si>
  <si>
    <t>Ibeno</t>
  </si>
  <si>
    <t>NG003008</t>
  </si>
  <si>
    <t>Idah</t>
  </si>
  <si>
    <t>NG023007</t>
  </si>
  <si>
    <t>Kogi</t>
  </si>
  <si>
    <t>NG023</t>
  </si>
  <si>
    <t>Ibiono Ibom</t>
  </si>
  <si>
    <t>NG003010</t>
  </si>
  <si>
    <t>Ilorin South</t>
  </si>
  <si>
    <t>NG024007</t>
  </si>
  <si>
    <t>Kwara</t>
  </si>
  <si>
    <t>NG024</t>
  </si>
  <si>
    <t>Ilorin East</t>
  </si>
  <si>
    <t>NG024006</t>
  </si>
  <si>
    <t>Illela</t>
  </si>
  <si>
    <t>NG034008</t>
  </si>
  <si>
    <t>Sokoto</t>
  </si>
  <si>
    <t>NG034</t>
  </si>
  <si>
    <t>Ilesha West</t>
  </si>
  <si>
    <t>NG030019</t>
  </si>
  <si>
    <t>Osun</t>
  </si>
  <si>
    <t>NG030</t>
  </si>
  <si>
    <t>Ilesha East</t>
  </si>
  <si>
    <t>NG030018</t>
  </si>
  <si>
    <t>Ilejemeji</t>
  </si>
  <si>
    <t>NG013012</t>
  </si>
  <si>
    <t>Ekiti</t>
  </si>
  <si>
    <t>NG013</t>
  </si>
  <si>
    <t>Ile-Oluji-Okeigbo</t>
  </si>
  <si>
    <t>NG029011</t>
  </si>
  <si>
    <t>Ondo</t>
  </si>
  <si>
    <t>NG029</t>
  </si>
  <si>
    <t>Ilaje</t>
  </si>
  <si>
    <t>NG029010</t>
  </si>
  <si>
    <t>Ila</t>
  </si>
  <si>
    <t>NG030017</t>
  </si>
  <si>
    <t>Ikwuano</t>
  </si>
  <si>
    <t>NG001005</t>
  </si>
  <si>
    <t>Abia</t>
  </si>
  <si>
    <t>NG001</t>
  </si>
  <si>
    <t>Ikwo</t>
  </si>
  <si>
    <t>NG011007</t>
  </si>
  <si>
    <t>Ebonyi</t>
  </si>
  <si>
    <t>NG011</t>
  </si>
  <si>
    <t>Ikwerre</t>
  </si>
  <si>
    <t>NG033013</t>
  </si>
  <si>
    <t>Rivers</t>
  </si>
  <si>
    <t>NG033</t>
  </si>
  <si>
    <t>Ikpoba-Okha</t>
  </si>
  <si>
    <t>NG012011</t>
  </si>
  <si>
    <t>Edo</t>
  </si>
  <si>
    <t>NG012</t>
  </si>
  <si>
    <t>Ikot Ekpene</t>
  </si>
  <si>
    <t>NG003014</t>
  </si>
  <si>
    <t>Ikot Abasi</t>
  </si>
  <si>
    <t>NG003013</t>
  </si>
  <si>
    <t>Ikorodu</t>
  </si>
  <si>
    <t>NG025012</t>
  </si>
  <si>
    <t>Lagos</t>
  </si>
  <si>
    <t>NG025</t>
  </si>
  <si>
    <t>Ikono</t>
  </si>
  <si>
    <t>NG003012</t>
  </si>
  <si>
    <t>Ikom</t>
  </si>
  <si>
    <t>NG009012</t>
  </si>
  <si>
    <t>Cross River</t>
  </si>
  <si>
    <t>NG009</t>
  </si>
  <si>
    <t>Ikole</t>
  </si>
  <si>
    <t>NG013011</t>
  </si>
  <si>
    <t>Ikere</t>
  </si>
  <si>
    <t>NG013010</t>
  </si>
  <si>
    <t>Ikenne</t>
  </si>
  <si>
    <t>NG028012</t>
  </si>
  <si>
    <t>Ogun</t>
  </si>
  <si>
    <t>NG028</t>
  </si>
  <si>
    <t>Ikeja</t>
  </si>
  <si>
    <t>NG025011</t>
  </si>
  <si>
    <t>Ikeduru</t>
  </si>
  <si>
    <t>NG017008</t>
  </si>
  <si>
    <t>Imo</t>
  </si>
  <si>
    <t>NG017</t>
  </si>
  <si>
    <t>Ikara</t>
  </si>
  <si>
    <t>NG019005</t>
  </si>
  <si>
    <t>Kaduna</t>
  </si>
  <si>
    <t>NG019</t>
  </si>
  <si>
    <t>Ika South</t>
  </si>
  <si>
    <t>NG010008</t>
  </si>
  <si>
    <t>Delta</t>
  </si>
  <si>
    <t>NG010</t>
  </si>
  <si>
    <t>Ika North East</t>
  </si>
  <si>
    <t>NG010007</t>
  </si>
  <si>
    <t>Ika</t>
  </si>
  <si>
    <t>NG003011</t>
  </si>
  <si>
    <t>Ijumu</t>
  </si>
  <si>
    <t>NG023009</t>
  </si>
  <si>
    <t>Ijero</t>
  </si>
  <si>
    <t>NG013009</t>
  </si>
  <si>
    <t>Ijebu Ode</t>
  </si>
  <si>
    <t>NG028011</t>
  </si>
  <si>
    <t>Ijebu North East</t>
  </si>
  <si>
    <t>NG028010</t>
  </si>
  <si>
    <t>Ijebu North</t>
  </si>
  <si>
    <t>NG028009</t>
  </si>
  <si>
    <t>Ijebu East</t>
  </si>
  <si>
    <t>NG028008</t>
  </si>
  <si>
    <t>Ihitte/Uboma</t>
  </si>
  <si>
    <t>NG017007</t>
  </si>
  <si>
    <t>Ihiala</t>
  </si>
  <si>
    <t>NG004012</t>
  </si>
  <si>
    <t>Anambra</t>
  </si>
  <si>
    <t>NG004</t>
  </si>
  <si>
    <t>Igueben</t>
  </si>
  <si>
    <t>NG012010</t>
  </si>
  <si>
    <t>Igbo-Eze South</t>
  </si>
  <si>
    <t>NG014009</t>
  </si>
  <si>
    <t>Enugu</t>
  </si>
  <si>
    <t>NG014</t>
  </si>
  <si>
    <t>Igbo-Eze North</t>
  </si>
  <si>
    <t>NG014008</t>
  </si>
  <si>
    <t>Igbo-Etiti</t>
  </si>
  <si>
    <t>NG014007</t>
  </si>
  <si>
    <t>Igalamela-Odolu</t>
  </si>
  <si>
    <t>NG023008</t>
  </si>
  <si>
    <t>Igabi</t>
  </si>
  <si>
    <t>NG019004</t>
  </si>
  <si>
    <t>Ifo</t>
  </si>
  <si>
    <t>NG028007</t>
  </si>
  <si>
    <t>Ifelodun</t>
  </si>
  <si>
    <t>NG030016</t>
  </si>
  <si>
    <t>NG024005</t>
  </si>
  <si>
    <t>Ifedore</t>
  </si>
  <si>
    <t>NG029009</t>
  </si>
  <si>
    <t>Ifedayo</t>
  </si>
  <si>
    <t>NG030015</t>
  </si>
  <si>
    <t>Ife South</t>
  </si>
  <si>
    <t>NG030014</t>
  </si>
  <si>
    <t>Ife North</t>
  </si>
  <si>
    <t>NG030013</t>
  </si>
  <si>
    <t>Ife East</t>
  </si>
  <si>
    <t>NG030012</t>
  </si>
  <si>
    <t>Ife Central</t>
  </si>
  <si>
    <t>NG030011</t>
  </si>
  <si>
    <t>Ifako-Ijaye</t>
  </si>
  <si>
    <t>NG025010</t>
  </si>
  <si>
    <t>Ido-Osi</t>
  </si>
  <si>
    <t>NG013008</t>
  </si>
  <si>
    <t>Ido</t>
  </si>
  <si>
    <t>NG031014</t>
  </si>
  <si>
    <t>Oyo</t>
  </si>
  <si>
    <t>NG031</t>
  </si>
  <si>
    <t>Idemili South</t>
  </si>
  <si>
    <t>NG004011</t>
  </si>
  <si>
    <t>Idemili North</t>
  </si>
  <si>
    <t>NG004010</t>
  </si>
  <si>
    <t>Ideato South</t>
  </si>
  <si>
    <t>NG017006</t>
  </si>
  <si>
    <t>Ideato North</t>
  </si>
  <si>
    <t>NG017005</t>
  </si>
  <si>
    <t>Idanre</t>
  </si>
  <si>
    <t>NG029008</t>
  </si>
  <si>
    <t>Abak</t>
  </si>
  <si>
    <t>NG003001</t>
  </si>
  <si>
    <t>Abaji</t>
  </si>
  <si>
    <t>NG015001</t>
  </si>
  <si>
    <t>Federal Capital Territory</t>
  </si>
  <si>
    <t>NG015</t>
  </si>
  <si>
    <t>Abadam</t>
  </si>
  <si>
    <t>NG008001</t>
  </si>
  <si>
    <t>Borno</t>
  </si>
  <si>
    <t>NG008</t>
  </si>
  <si>
    <t>Aba South</t>
  </si>
  <si>
    <t>NG001002</t>
  </si>
  <si>
    <t>Aba North</t>
  </si>
  <si>
    <t>NG001001</t>
  </si>
  <si>
    <t>Ado Ekiti</t>
  </si>
  <si>
    <t>NG013001</t>
  </si>
  <si>
    <t>Ado-Odo/Ota</t>
  </si>
  <si>
    <t>NG028003</t>
  </si>
  <si>
    <t>Ado</t>
  </si>
  <si>
    <t>NG007001</t>
  </si>
  <si>
    <t>Benue</t>
  </si>
  <si>
    <t>NG007</t>
  </si>
  <si>
    <t>Adavi</t>
  </si>
  <si>
    <t>NG023001</t>
  </si>
  <si>
    <t>Abuja Municipal</t>
  </si>
  <si>
    <t>NG015002</t>
  </si>
  <si>
    <t>Abua/Odual</t>
  </si>
  <si>
    <t>NG033001</t>
  </si>
  <si>
    <t>Aboh-Mbaise</t>
  </si>
  <si>
    <t>NG017001</t>
  </si>
  <si>
    <t>Abi</t>
  </si>
  <si>
    <t>NG009001</t>
  </si>
  <si>
    <t>Abeokuta South</t>
  </si>
  <si>
    <t>NG028002</t>
  </si>
  <si>
    <t>Abeokuta North</t>
  </si>
  <si>
    <t>NG028001</t>
  </si>
  <si>
    <t>Abakaliki</t>
  </si>
  <si>
    <t>NG011001</t>
  </si>
  <si>
    <t>Kaga</t>
  </si>
  <si>
    <t>NG008014</t>
  </si>
  <si>
    <t>Kafur</t>
  </si>
  <si>
    <t>NG021017</t>
  </si>
  <si>
    <t>Katsina</t>
  </si>
  <si>
    <t>NG021</t>
  </si>
  <si>
    <t>Kafin Hausa</t>
  </si>
  <si>
    <t>NG018015</t>
  </si>
  <si>
    <t>Jigawa</t>
  </si>
  <si>
    <t>NG018</t>
  </si>
  <si>
    <t>Kaduna South</t>
  </si>
  <si>
    <t>NG019010</t>
  </si>
  <si>
    <t>Kaduna North</t>
  </si>
  <si>
    <t>NG019009</t>
  </si>
  <si>
    <t>Kachia</t>
  </si>
  <si>
    <t>NG019008</t>
  </si>
  <si>
    <t>Kabo</t>
  </si>
  <si>
    <t>NG020020</t>
  </si>
  <si>
    <t>Kano</t>
  </si>
  <si>
    <t>NG020</t>
  </si>
  <si>
    <t>Kabba/Bunu</t>
  </si>
  <si>
    <t>NG023010</t>
  </si>
  <si>
    <t>Jos South</t>
  </si>
  <si>
    <t>NG032006</t>
  </si>
  <si>
    <t>Plateau</t>
  </si>
  <si>
    <t>NG032</t>
  </si>
  <si>
    <t>Jos North</t>
  </si>
  <si>
    <t>NG032005</t>
  </si>
  <si>
    <t>Jos East</t>
  </si>
  <si>
    <t>NG032004</t>
  </si>
  <si>
    <t>Jibia</t>
  </si>
  <si>
    <t>NG021016</t>
  </si>
  <si>
    <t>Jere</t>
  </si>
  <si>
    <t>NG008013</t>
  </si>
  <si>
    <t>Jema'a</t>
  </si>
  <si>
    <t>NG019007</t>
  </si>
  <si>
    <t>Jega</t>
  </si>
  <si>
    <t>NG022011</t>
  </si>
  <si>
    <t>Kebbi</t>
  </si>
  <si>
    <t>NG022</t>
  </si>
  <si>
    <t>Jama'are</t>
  </si>
  <si>
    <t>NG005011</t>
  </si>
  <si>
    <t>Bauchi</t>
  </si>
  <si>
    <t>NG005</t>
  </si>
  <si>
    <t>Jalingo</t>
  </si>
  <si>
    <t>NG035007</t>
  </si>
  <si>
    <t>Jakusko</t>
  </si>
  <si>
    <t>NG036009</t>
  </si>
  <si>
    <t>Yobe</t>
  </si>
  <si>
    <t>NG036</t>
  </si>
  <si>
    <t>Jahun</t>
  </si>
  <si>
    <t>NG018014</t>
  </si>
  <si>
    <t>Jada</t>
  </si>
  <si>
    <t>NG002008</t>
  </si>
  <si>
    <t>Adamawa</t>
  </si>
  <si>
    <t>NG002</t>
  </si>
  <si>
    <t>Jaba</t>
  </si>
  <si>
    <t>NG019006</t>
  </si>
  <si>
    <t>Izzi</t>
  </si>
  <si>
    <t>NG011010</t>
  </si>
  <si>
    <t>Iwo</t>
  </si>
  <si>
    <t>NG030023</t>
  </si>
  <si>
    <t>Iwajowa</t>
  </si>
  <si>
    <t>NG031018</t>
  </si>
  <si>
    <t>Ivo</t>
  </si>
  <si>
    <t>NG011009</t>
  </si>
  <si>
    <t>Itu</t>
  </si>
  <si>
    <t>NG003016</t>
  </si>
  <si>
    <t>Itesiwaju</t>
  </si>
  <si>
    <t>NG031017</t>
  </si>
  <si>
    <t>Itas/Gadau</t>
  </si>
  <si>
    <t>NG005010</t>
  </si>
  <si>
    <t>Isu</t>
  </si>
  <si>
    <t>NG017010</t>
  </si>
  <si>
    <t>Isoko South</t>
  </si>
  <si>
    <t>NG010010</t>
  </si>
  <si>
    <t>Isoko North</t>
  </si>
  <si>
    <t>NG010009</t>
  </si>
  <si>
    <t>Isokan</t>
  </si>
  <si>
    <t>NG030022</t>
  </si>
  <si>
    <t>Isiukwuato</t>
  </si>
  <si>
    <t>NG001008</t>
  </si>
  <si>
    <t>Isin</t>
  </si>
  <si>
    <t>NG024010</t>
  </si>
  <si>
    <t>Isiala Mbano</t>
  </si>
  <si>
    <t>NG017009</t>
  </si>
  <si>
    <t>Isiala-Ngwa South</t>
  </si>
  <si>
    <t>NG001007</t>
  </si>
  <si>
    <t>Isiala-Ngwa North</t>
  </si>
  <si>
    <t>NG001006</t>
  </si>
  <si>
    <t>Isi-Uzo</t>
  </si>
  <si>
    <t>NG014010</t>
  </si>
  <si>
    <t>Ishielu</t>
  </si>
  <si>
    <t>NG011008</t>
  </si>
  <si>
    <t>Iseyin</t>
  </si>
  <si>
    <t>NG031016</t>
  </si>
  <si>
    <t>Ise/Orun</t>
  </si>
  <si>
    <t>NG013014</t>
  </si>
  <si>
    <t>Isa</t>
  </si>
  <si>
    <t>NG034009</t>
  </si>
  <si>
    <t>Irewole</t>
  </si>
  <si>
    <t>NG030021</t>
  </si>
  <si>
    <t>Irepodun/Ifelodun</t>
  </si>
  <si>
    <t>NG013013</t>
  </si>
  <si>
    <t>Irepodun</t>
  </si>
  <si>
    <t>NG030020</t>
  </si>
  <si>
    <t>NG024009</t>
  </si>
  <si>
    <t>Irepo</t>
  </si>
  <si>
    <t>NG031015</t>
  </si>
  <si>
    <t>Irele</t>
  </si>
  <si>
    <t>NG029012</t>
  </si>
  <si>
    <t>Ipokia</t>
  </si>
  <si>
    <t>NG028014</t>
  </si>
  <si>
    <t>Ini</t>
  </si>
  <si>
    <t>NG003015</t>
  </si>
  <si>
    <t>Ingawa</t>
  </si>
  <si>
    <t>NG021015</t>
  </si>
  <si>
    <t>Imeko-Afon</t>
  </si>
  <si>
    <t>NG028013</t>
  </si>
  <si>
    <t>Ilorin West</t>
  </si>
  <si>
    <t>NG024008</t>
  </si>
  <si>
    <t>Kajola</t>
  </si>
  <si>
    <t>NG031019</t>
  </si>
  <si>
    <t>Kajuru</t>
  </si>
  <si>
    <t>NG019012</t>
  </si>
  <si>
    <t>Kagarko</t>
  </si>
  <si>
    <t>NG019011</t>
  </si>
  <si>
    <t>Kaiama</t>
  </si>
  <si>
    <t>NG024011</t>
  </si>
  <si>
    <t>Kaita</t>
  </si>
  <si>
    <t>NG021018</t>
  </si>
  <si>
    <t>Ibeju/Lekki</t>
  </si>
  <si>
    <t>NG025009</t>
  </si>
  <si>
    <t>Ibarapa North</t>
  </si>
  <si>
    <t>NG031013</t>
  </si>
  <si>
    <t>Ibarapa East</t>
  </si>
  <si>
    <t>NG031012</t>
  </si>
  <si>
    <t>Ibarapa Central</t>
  </si>
  <si>
    <t>NG031011</t>
  </si>
  <si>
    <t>Ibaji</t>
  </si>
  <si>
    <t>NG023006</t>
  </si>
  <si>
    <t>Ibadan South West</t>
  </si>
  <si>
    <t>NG031010</t>
  </si>
  <si>
    <t>Ibadan South East</t>
  </si>
  <si>
    <t>NG031009</t>
  </si>
  <si>
    <t>Ibadan North West</t>
  </si>
  <si>
    <t>NG031008</t>
  </si>
  <si>
    <t>Ibadan North East</t>
  </si>
  <si>
    <t>NG031007</t>
  </si>
  <si>
    <t>Ibadan North</t>
  </si>
  <si>
    <t>NG031006</t>
  </si>
  <si>
    <t>Hong</t>
  </si>
  <si>
    <t>NG002007</t>
  </si>
  <si>
    <t>Hawul</t>
  </si>
  <si>
    <t>NG008012</t>
  </si>
  <si>
    <t>Hadejia</t>
  </si>
  <si>
    <t>NG018013</t>
  </si>
  <si>
    <t>Gwoza</t>
  </si>
  <si>
    <t>NG008011</t>
  </si>
  <si>
    <t>Gwiwa</t>
  </si>
  <si>
    <t>NG018012</t>
  </si>
  <si>
    <t>Gwer West</t>
  </si>
  <si>
    <t>NG007008</t>
  </si>
  <si>
    <t>Gwer East</t>
  </si>
  <si>
    <t>NG007007</t>
  </si>
  <si>
    <t>Gwarzo</t>
  </si>
  <si>
    <t>NG020019</t>
  </si>
  <si>
    <t>Gwaram</t>
  </si>
  <si>
    <t>NG018011</t>
  </si>
  <si>
    <t>Gwandu</t>
  </si>
  <si>
    <t>NG022010</t>
  </si>
  <si>
    <t>Gwale</t>
  </si>
  <si>
    <t>NG020018</t>
  </si>
  <si>
    <t>Gwagwalada</t>
  </si>
  <si>
    <t>NG015004</t>
  </si>
  <si>
    <t>Gwadabawa</t>
  </si>
  <si>
    <t>NG034005</t>
  </si>
  <si>
    <t>Guzamala</t>
  </si>
  <si>
    <t>NG008010</t>
  </si>
  <si>
    <t>Guyuk</t>
  </si>
  <si>
    <t>NG002006</t>
  </si>
  <si>
    <t>Gusau</t>
  </si>
  <si>
    <t>NG037007</t>
  </si>
  <si>
    <t>Zamfara</t>
  </si>
  <si>
    <t>NG037</t>
  </si>
  <si>
    <t>Guri</t>
  </si>
  <si>
    <t>NG018010</t>
  </si>
  <si>
    <t>Gurara</t>
  </si>
  <si>
    <t>NG027009</t>
  </si>
  <si>
    <t>Niger</t>
  </si>
  <si>
    <t>NG027</t>
  </si>
  <si>
    <t>Gummi</t>
  </si>
  <si>
    <t>NG037006</t>
  </si>
  <si>
    <t>Gumel</t>
  </si>
  <si>
    <t>NG018009</t>
  </si>
  <si>
    <t>Guma</t>
  </si>
  <si>
    <t>NG007006</t>
  </si>
  <si>
    <t>Gulani</t>
  </si>
  <si>
    <t>NG036008</t>
  </si>
  <si>
    <t>Gujba</t>
  </si>
  <si>
    <t>NG036007</t>
  </si>
  <si>
    <t>Gudu</t>
  </si>
  <si>
    <t>NG034007</t>
  </si>
  <si>
    <t>Gubio</t>
  </si>
  <si>
    <t>NG008009</t>
  </si>
  <si>
    <t>Goronyo</t>
  </si>
  <si>
    <t>NG034006</t>
  </si>
  <si>
    <t>Gombi</t>
  </si>
  <si>
    <t>NG002004</t>
  </si>
  <si>
    <t>Gombe</t>
  </si>
  <si>
    <t>NG016006</t>
  </si>
  <si>
    <t>NG016</t>
  </si>
  <si>
    <t>Gokana</t>
  </si>
  <si>
    <t>NG033012</t>
  </si>
  <si>
    <t>Giwa</t>
  </si>
  <si>
    <t>NG019003</t>
  </si>
  <si>
    <t>Girei</t>
  </si>
  <si>
    <t>NG002005</t>
  </si>
  <si>
    <t>Giade</t>
  </si>
  <si>
    <t>NG005009</t>
  </si>
  <si>
    <t>Gezawa</t>
  </si>
  <si>
    <t>NG020017</t>
  </si>
  <si>
    <t>Geidam</t>
  </si>
  <si>
    <t>NG036006</t>
  </si>
  <si>
    <t>Gboko</t>
  </si>
  <si>
    <t>NG007005</t>
  </si>
  <si>
    <t>Gbako</t>
  </si>
  <si>
    <t>NG027008</t>
  </si>
  <si>
    <t>Gaya</t>
  </si>
  <si>
    <t>NG020016</t>
  </si>
  <si>
    <t>Gassol</t>
  </si>
  <si>
    <t>NG035005</t>
  </si>
  <si>
    <t>Gashaka</t>
  </si>
  <si>
    <t>NG035004</t>
  </si>
  <si>
    <t>Garum Mallam</t>
  </si>
  <si>
    <t>NG020015</t>
  </si>
  <si>
    <t>Garko</t>
  </si>
  <si>
    <t>NG020014</t>
  </si>
  <si>
    <t>Garki</t>
  </si>
  <si>
    <t>NG018008</t>
  </si>
  <si>
    <t>Ganye</t>
  </si>
  <si>
    <t>NG002003</t>
  </si>
  <si>
    <t>Ganjuwa</t>
  </si>
  <si>
    <t>NG005008</t>
  </si>
  <si>
    <t>Gamawa</t>
  </si>
  <si>
    <t>NG005007</t>
  </si>
  <si>
    <t>Gagarawa</t>
  </si>
  <si>
    <t>NG018007</t>
  </si>
  <si>
    <t>Gada</t>
  </si>
  <si>
    <t>NG034004</t>
  </si>
  <si>
    <t>Gabasawa</t>
  </si>
  <si>
    <t>NG020013</t>
  </si>
  <si>
    <t>Funtua</t>
  </si>
  <si>
    <t>NG021014</t>
  </si>
  <si>
    <t>Fune</t>
  </si>
  <si>
    <t>NG036005</t>
  </si>
  <si>
    <t>Funakaye</t>
  </si>
  <si>
    <t>NG016005</t>
  </si>
  <si>
    <t>Fufore</t>
  </si>
  <si>
    <t>NG002002</t>
  </si>
  <si>
    <t>Fika</t>
  </si>
  <si>
    <t>NG036004</t>
  </si>
  <si>
    <t>Faskari</t>
  </si>
  <si>
    <t>NG021013</t>
  </si>
  <si>
    <t>Fakai</t>
  </si>
  <si>
    <t>NG022009</t>
  </si>
  <si>
    <t>Fagge</t>
  </si>
  <si>
    <t>NG020012</t>
  </si>
  <si>
    <t>Ezza South</t>
  </si>
  <si>
    <t>NG011006</t>
  </si>
  <si>
    <t>Ezza North</t>
  </si>
  <si>
    <t>NG011005</t>
  </si>
  <si>
    <t>Ezinihitte</t>
  </si>
  <si>
    <t>NG017004</t>
  </si>
  <si>
    <t>Ezeagu</t>
  </si>
  <si>
    <t>NG014006</t>
  </si>
  <si>
    <t>Ewekoro</t>
  </si>
  <si>
    <t>NG028006</t>
  </si>
  <si>
    <t>Etung</t>
  </si>
  <si>
    <t>NG009011</t>
  </si>
  <si>
    <t>Etsako West</t>
  </si>
  <si>
    <t>NG012009</t>
  </si>
  <si>
    <t>Etsako East</t>
  </si>
  <si>
    <t>NG012008</t>
  </si>
  <si>
    <t>Etsako Central</t>
  </si>
  <si>
    <t>NG012007</t>
  </si>
  <si>
    <t>Etinan</t>
  </si>
  <si>
    <t>NG003007</t>
  </si>
  <si>
    <t>Etim Ekpo</t>
  </si>
  <si>
    <t>NG003006</t>
  </si>
  <si>
    <t>Eti-Osa</t>
  </si>
  <si>
    <t>NG025008</t>
  </si>
  <si>
    <t>Ethiope West</t>
  </si>
  <si>
    <t>NG010006</t>
  </si>
  <si>
    <t>Ethiope East</t>
  </si>
  <si>
    <t>NG010005</t>
  </si>
  <si>
    <t>Etche</t>
  </si>
  <si>
    <t>NG033011</t>
  </si>
  <si>
    <t>Essien Udim</t>
  </si>
  <si>
    <t>NG003005</t>
  </si>
  <si>
    <t>Esit - Eket</t>
  </si>
  <si>
    <t>NG003004</t>
  </si>
  <si>
    <t>Ese-Odo</t>
  </si>
  <si>
    <t>NG029007</t>
  </si>
  <si>
    <t>Esan West</t>
  </si>
  <si>
    <t>NG012006</t>
  </si>
  <si>
    <t>Esan South East</t>
  </si>
  <si>
    <t>NG012005</t>
  </si>
  <si>
    <t>Esan North East</t>
  </si>
  <si>
    <t>NG012004</t>
  </si>
  <si>
    <t>Esan Central</t>
  </si>
  <si>
    <t>NG012003</t>
  </si>
  <si>
    <t>Epe</t>
  </si>
  <si>
    <t>NG025007</t>
  </si>
  <si>
    <t>Enugu South</t>
  </si>
  <si>
    <t>NG014005</t>
  </si>
  <si>
    <t>Enugu North</t>
  </si>
  <si>
    <t>NG014004</t>
  </si>
  <si>
    <t>Enugu East</t>
  </si>
  <si>
    <t>NG014003</t>
  </si>
  <si>
    <t>Emure</t>
  </si>
  <si>
    <t>NG013007</t>
  </si>
  <si>
    <t>Emohua</t>
  </si>
  <si>
    <t>NG033010</t>
  </si>
  <si>
    <t>Eleme</t>
  </si>
  <si>
    <t>NG033009</t>
  </si>
  <si>
    <t>Ekwusigo</t>
  </si>
  <si>
    <t>NG004009</t>
  </si>
  <si>
    <t>Ekiti West</t>
  </si>
  <si>
    <t>NG013006</t>
  </si>
  <si>
    <t>Ekiti South West</t>
  </si>
  <si>
    <t>NG013005</t>
  </si>
  <si>
    <t>Ekiti East</t>
  </si>
  <si>
    <t>NG013004</t>
  </si>
  <si>
    <t>NG024004</t>
  </si>
  <si>
    <t>Eket</t>
  </si>
  <si>
    <t>NG003003</t>
  </si>
  <si>
    <t>Ekeremor</t>
  </si>
  <si>
    <t>NG006002</t>
  </si>
  <si>
    <t>Bayelsa</t>
  </si>
  <si>
    <t>NG006</t>
  </si>
  <si>
    <t>Ejigbo</t>
  </si>
  <si>
    <t>NG030010</t>
  </si>
  <si>
    <t>Ehime-Mbano</t>
  </si>
  <si>
    <t>NG017003</t>
  </si>
  <si>
    <t>Egor</t>
  </si>
  <si>
    <t>NG012002</t>
  </si>
  <si>
    <t>Egbedore</t>
  </si>
  <si>
    <t>NG030009</t>
  </si>
  <si>
    <t>Egbeda</t>
  </si>
  <si>
    <t>NG031005</t>
  </si>
  <si>
    <t>Egbado South</t>
  </si>
  <si>
    <t>NG028005</t>
  </si>
  <si>
    <t>Egbado North</t>
  </si>
  <si>
    <t>NG028004</t>
  </si>
  <si>
    <t>Efon</t>
  </si>
  <si>
    <t>NG013003</t>
  </si>
  <si>
    <t>Edu</t>
  </si>
  <si>
    <t>NG024003</t>
  </si>
  <si>
    <t>Ede South</t>
  </si>
  <si>
    <t>NG030008</t>
  </si>
  <si>
    <t>Ede North</t>
  </si>
  <si>
    <t>NG030007</t>
  </si>
  <si>
    <t>Edati</t>
  </si>
  <si>
    <t>NG027007</t>
  </si>
  <si>
    <t>NG011004</t>
  </si>
  <si>
    <t>Eastern Obolo</t>
  </si>
  <si>
    <t>NG003002</t>
  </si>
  <si>
    <t>Dutsin-Ma</t>
  </si>
  <si>
    <t>NG021012</t>
  </si>
  <si>
    <t>Dutsi</t>
  </si>
  <si>
    <t>NG021011</t>
  </si>
  <si>
    <t>Dutse</t>
  </si>
  <si>
    <t>NG018006</t>
  </si>
  <si>
    <t>Dunukofia</t>
  </si>
  <si>
    <t>NG004008</t>
  </si>
  <si>
    <t>Dukku</t>
  </si>
  <si>
    <t>NG016004</t>
  </si>
  <si>
    <t>Donga</t>
  </si>
  <si>
    <t>NG035003</t>
  </si>
  <si>
    <t>Doma</t>
  </si>
  <si>
    <t>NG026003</t>
  </si>
  <si>
    <t>Nasarawa</t>
  </si>
  <si>
    <t>NG026</t>
  </si>
  <si>
    <t>Doguwa</t>
  </si>
  <si>
    <t>NG020011</t>
  </si>
  <si>
    <t>Dikwa</t>
  </si>
  <si>
    <t>NG008008</t>
  </si>
  <si>
    <t>Demsa</t>
  </si>
  <si>
    <t>NG002001</t>
  </si>
  <si>
    <t>Dekina</t>
  </si>
  <si>
    <t>NG023005</t>
  </si>
  <si>
    <t>Degema</t>
  </si>
  <si>
    <t>NG033008</t>
  </si>
  <si>
    <t>Dawakin Tofa</t>
  </si>
  <si>
    <t>NG020010</t>
  </si>
  <si>
    <t>Dawakin Kudu</t>
  </si>
  <si>
    <t>NG020009</t>
  </si>
  <si>
    <t>Daura</t>
  </si>
  <si>
    <t>NG021010</t>
  </si>
  <si>
    <t>Dass</t>
  </si>
  <si>
    <t>NG005006</t>
  </si>
  <si>
    <t>Darazo</t>
  </si>
  <si>
    <t>NG005005</t>
  </si>
  <si>
    <t>Danja</t>
  </si>
  <si>
    <t>NG021009</t>
  </si>
  <si>
    <t>Dange-Shuni</t>
  </si>
  <si>
    <t>NG034003</t>
  </si>
  <si>
    <t>Dandume</t>
  </si>
  <si>
    <t>NG021008</t>
  </si>
  <si>
    <t>Dandi</t>
  </si>
  <si>
    <t>NG022008</t>
  </si>
  <si>
    <t>Dan Musa</t>
  </si>
  <si>
    <t>NG021007</t>
  </si>
  <si>
    <t>Damboa</t>
  </si>
  <si>
    <t>NG008007</t>
  </si>
  <si>
    <t>Dambatta</t>
  </si>
  <si>
    <t>NG020008</t>
  </si>
  <si>
    <t>Damban</t>
  </si>
  <si>
    <t>NG005004</t>
  </si>
  <si>
    <t>Damaturu</t>
  </si>
  <si>
    <t>NG036003</t>
  </si>
  <si>
    <t>Dala</t>
  </si>
  <si>
    <t>NG020007</t>
  </si>
  <si>
    <t>Chikun</t>
  </si>
  <si>
    <t>NG019002</t>
  </si>
  <si>
    <t>Chibok</t>
  </si>
  <si>
    <t>NG008006</t>
  </si>
  <si>
    <t>Charanchi</t>
  </si>
  <si>
    <t>NG021006</t>
  </si>
  <si>
    <t>Chanchaga</t>
  </si>
  <si>
    <t>NG027006</t>
  </si>
  <si>
    <t>Calabar South</t>
  </si>
  <si>
    <t>NG009009</t>
  </si>
  <si>
    <t>Calabar-Municipal</t>
  </si>
  <si>
    <t>NG009010</t>
  </si>
  <si>
    <t>Bwari</t>
  </si>
  <si>
    <t>NG015003</t>
  </si>
  <si>
    <t>Burutu</t>
  </si>
  <si>
    <t>NG010004</t>
  </si>
  <si>
    <t>Buruku</t>
  </si>
  <si>
    <t>NG007004</t>
  </si>
  <si>
    <t>Bursari</t>
  </si>
  <si>
    <t>NG036002</t>
  </si>
  <si>
    <t>Bunza</t>
  </si>
  <si>
    <t>NG022007</t>
  </si>
  <si>
    <t>Bunkure</t>
  </si>
  <si>
    <t>NG020006</t>
  </si>
  <si>
    <t>Bungudu</t>
  </si>
  <si>
    <t>NG037005</t>
  </si>
  <si>
    <t>Bukkuyum</t>
  </si>
  <si>
    <t>NG037004</t>
  </si>
  <si>
    <t>Buji</t>
  </si>
  <si>
    <t>NG018005</t>
  </si>
  <si>
    <t>Brass</t>
  </si>
  <si>
    <t>NG006001</t>
  </si>
  <si>
    <t>Bosso</t>
  </si>
  <si>
    <t>NG027005</t>
  </si>
  <si>
    <t>Boripe</t>
  </si>
  <si>
    <t>NG030006</t>
  </si>
  <si>
    <t>Borgu</t>
  </si>
  <si>
    <t>NG027004</t>
  </si>
  <si>
    <t>Bonny</t>
  </si>
  <si>
    <t>NG033007</t>
  </si>
  <si>
    <t>Bomadi</t>
  </si>
  <si>
    <t>NG010003</t>
  </si>
  <si>
    <t>Boluwaduro</t>
  </si>
  <si>
    <t>NG030005</t>
  </si>
  <si>
    <t>Bokkos</t>
  </si>
  <si>
    <t>NG032003</t>
  </si>
  <si>
    <t>Boki</t>
  </si>
  <si>
    <t>NG009008</t>
  </si>
  <si>
    <t>Bogoro</t>
  </si>
  <si>
    <t>NG005003</t>
  </si>
  <si>
    <t>Bodinga</t>
  </si>
  <si>
    <t>NG034002</t>
  </si>
  <si>
    <t>Biu</t>
  </si>
  <si>
    <t>NG008005</t>
  </si>
  <si>
    <t>Birnin Magaji</t>
  </si>
  <si>
    <t>NG037003</t>
  </si>
  <si>
    <t>Birnin Kebbi</t>
  </si>
  <si>
    <t>NG022006</t>
  </si>
  <si>
    <t>Birnin-Gwari</t>
  </si>
  <si>
    <t>NG019001</t>
  </si>
  <si>
    <t>Birni Kudu</t>
  </si>
  <si>
    <t>NG018004</t>
  </si>
  <si>
    <t>Biriniwa</t>
  </si>
  <si>
    <t>NG018003</t>
  </si>
  <si>
    <t>Binji</t>
  </si>
  <si>
    <t>NG034001</t>
  </si>
  <si>
    <t>Bindawa</t>
  </si>
  <si>
    <t>NG021005</t>
  </si>
  <si>
    <t>Billiri</t>
  </si>
  <si>
    <t>NG016003</t>
  </si>
  <si>
    <t>Bida</t>
  </si>
  <si>
    <t>NG027003</t>
  </si>
  <si>
    <t>Bichi</t>
  </si>
  <si>
    <t>NG020005</t>
  </si>
  <si>
    <t>Biase</t>
  </si>
  <si>
    <t>NG009007</t>
  </si>
  <si>
    <t>Bende</t>
  </si>
  <si>
    <t>NG001004</t>
  </si>
  <si>
    <t>Bekwara</t>
  </si>
  <si>
    <t>NG009006</t>
  </si>
  <si>
    <t>Bebeji</t>
  </si>
  <si>
    <t>NG020004</t>
  </si>
  <si>
    <t>Bayo</t>
  </si>
  <si>
    <t>NG008004</t>
  </si>
  <si>
    <t>Baure</t>
  </si>
  <si>
    <t>NG021004</t>
  </si>
  <si>
    <t>NG005002</t>
  </si>
  <si>
    <t>Batsari</t>
  </si>
  <si>
    <t>NG021003</t>
  </si>
  <si>
    <t>Batagarawa</t>
  </si>
  <si>
    <t>NG021002</t>
  </si>
  <si>
    <t>Bassa</t>
  </si>
  <si>
    <t>NG032002</t>
  </si>
  <si>
    <t>NG023004</t>
  </si>
  <si>
    <t>Baruten</t>
  </si>
  <si>
    <t>NG024002</t>
  </si>
  <si>
    <t>Barikin Ladi</t>
  </si>
  <si>
    <t>NG032001</t>
  </si>
  <si>
    <t>Bama</t>
  </si>
  <si>
    <t>NG008003</t>
  </si>
  <si>
    <t>Bali</t>
  </si>
  <si>
    <t>NG035002</t>
  </si>
  <si>
    <t>Balanga</t>
  </si>
  <si>
    <t>NG016002</t>
  </si>
  <si>
    <t>Bakura</t>
  </si>
  <si>
    <t>NG037002</t>
  </si>
  <si>
    <t>Bakori</t>
  </si>
  <si>
    <t>NG021001</t>
  </si>
  <si>
    <t>Bakassi</t>
  </si>
  <si>
    <t>NG009005</t>
  </si>
  <si>
    <t>Bagwai</t>
  </si>
  <si>
    <t>NG020003</t>
  </si>
  <si>
    <t>Bagudo</t>
  </si>
  <si>
    <t>NG022005</t>
  </si>
  <si>
    <t>Bade</t>
  </si>
  <si>
    <t>NG036001</t>
  </si>
  <si>
    <t>Badagry</t>
  </si>
  <si>
    <t>NG025006</t>
  </si>
  <si>
    <t>Babura</t>
  </si>
  <si>
    <t>NG018002</t>
  </si>
  <si>
    <t>Ayamelum</t>
  </si>
  <si>
    <t>NG004007</t>
  </si>
  <si>
    <t>Awka South</t>
  </si>
  <si>
    <t>NG004006</t>
  </si>
  <si>
    <t>Awka North</t>
  </si>
  <si>
    <t>NG004005</t>
  </si>
  <si>
    <t>Awgu</t>
  </si>
  <si>
    <t>NG014002</t>
  </si>
  <si>
    <t>Awe</t>
  </si>
  <si>
    <t>NG026002</t>
  </si>
  <si>
    <t>Auyo</t>
  </si>
  <si>
    <t>NG018001</t>
  </si>
  <si>
    <t>Augie</t>
  </si>
  <si>
    <t>NG022004</t>
  </si>
  <si>
    <t>Atigbo</t>
  </si>
  <si>
    <t>NG031004</t>
  </si>
  <si>
    <t>Atiba</t>
  </si>
  <si>
    <t>NG031003</t>
  </si>
  <si>
    <t>Atakumosa West</t>
  </si>
  <si>
    <t>NG030004</t>
  </si>
  <si>
    <t>Atakumosa East</t>
  </si>
  <si>
    <t>NG030003</t>
  </si>
  <si>
    <t>Askira/Uba</t>
  </si>
  <si>
    <t>NG008002</t>
  </si>
  <si>
    <t>Asari-Toru</t>
  </si>
  <si>
    <t>NG033006</t>
  </si>
  <si>
    <t>Asa</t>
  </si>
  <si>
    <t>NG024001</t>
  </si>
  <si>
    <t>Arochukwu</t>
  </si>
  <si>
    <t>NG001003</t>
  </si>
  <si>
    <t>Argungu</t>
  </si>
  <si>
    <t>NG022003</t>
  </si>
  <si>
    <t>Arewa-Dandi</t>
  </si>
  <si>
    <t>NG022002</t>
  </si>
  <si>
    <t>Ardo-Kola</t>
  </si>
  <si>
    <t>NG035001</t>
  </si>
  <si>
    <t>Apapa</t>
  </si>
  <si>
    <t>NG025005</t>
  </si>
  <si>
    <t>Apa</t>
  </si>
  <si>
    <t>NG007003</t>
  </si>
  <si>
    <t>Ankpa</t>
  </si>
  <si>
    <t>NG023003</t>
  </si>
  <si>
    <t>Anka</t>
  </si>
  <si>
    <t>NG037001</t>
  </si>
  <si>
    <t>Aniocha South</t>
  </si>
  <si>
    <t>NG010002</t>
  </si>
  <si>
    <t>Aniocha North</t>
  </si>
  <si>
    <t>NG010001</t>
  </si>
  <si>
    <t>Aninri</t>
  </si>
  <si>
    <t>NG014001</t>
  </si>
  <si>
    <t>Andoni</t>
  </si>
  <si>
    <t>NG033005</t>
  </si>
  <si>
    <t>Anaocha</t>
  </si>
  <si>
    <t>NG004004</t>
  </si>
  <si>
    <t>Anambra West</t>
  </si>
  <si>
    <t>NG004003</t>
  </si>
  <si>
    <t>Anambra East</t>
  </si>
  <si>
    <t>NG004002</t>
  </si>
  <si>
    <t>Amuwo-Odofin</t>
  </si>
  <si>
    <t>NG025004</t>
  </si>
  <si>
    <t>Alkaleri</t>
  </si>
  <si>
    <t>NG005001</t>
  </si>
  <si>
    <t>Alimosho</t>
  </si>
  <si>
    <t>NG025003</t>
  </si>
  <si>
    <t>Aleiro</t>
  </si>
  <si>
    <t>NG022001</t>
  </si>
  <si>
    <t>Albasu</t>
  </si>
  <si>
    <t>NG020002</t>
  </si>
  <si>
    <t>Akwanga</t>
  </si>
  <si>
    <t>NG026001</t>
  </si>
  <si>
    <t>Akure South</t>
  </si>
  <si>
    <t>NG029006</t>
  </si>
  <si>
    <t>Akure North</t>
  </si>
  <si>
    <t>NG029005</t>
  </si>
  <si>
    <t>Akuku Toru</t>
  </si>
  <si>
    <t>NG033004</t>
  </si>
  <si>
    <t>Akpabuyo</t>
  </si>
  <si>
    <t>NG009003</t>
  </si>
  <si>
    <t>Akoko South West</t>
  </si>
  <si>
    <t>NG029004</t>
  </si>
  <si>
    <t>Akoko South East</t>
  </si>
  <si>
    <t>NG029003</t>
  </si>
  <si>
    <t>Akoko North West</t>
  </si>
  <si>
    <t>NG029002</t>
  </si>
  <si>
    <t>Akoko North East</t>
  </si>
  <si>
    <t>NG029001</t>
  </si>
  <si>
    <t>Akoko-Edo</t>
  </si>
  <si>
    <t>NG012001</t>
  </si>
  <si>
    <t>Akko</t>
  </si>
  <si>
    <t>NG016001</t>
  </si>
  <si>
    <t>Akinyele</t>
  </si>
  <si>
    <t>NG031002</t>
  </si>
  <si>
    <t>Akamkpa</t>
  </si>
  <si>
    <t>NG009002</t>
  </si>
  <si>
    <t>Ajingi</t>
  </si>
  <si>
    <t>NG020001</t>
  </si>
  <si>
    <t>Ajeromi-Ifelodun</t>
  </si>
  <si>
    <t>NG025002</t>
  </si>
  <si>
    <t>Ajaokuta</t>
  </si>
  <si>
    <t>NG023002</t>
  </si>
  <si>
    <t>Aiyekire (Gbonyin)</t>
  </si>
  <si>
    <t>NG013002</t>
  </si>
  <si>
    <t>Aiyedire</t>
  </si>
  <si>
    <t>NG030002</t>
  </si>
  <si>
    <t>Aiyedade</t>
  </si>
  <si>
    <t>NG030001</t>
  </si>
  <si>
    <t>Ahoada West</t>
  </si>
  <si>
    <t>NG033003</t>
  </si>
  <si>
    <t>Ahoada East</t>
  </si>
  <si>
    <t>NG033002</t>
  </si>
  <si>
    <t>Ahiazu-Mbaise</t>
  </si>
  <si>
    <t>NG017002</t>
  </si>
  <si>
    <t>Agwara</t>
  </si>
  <si>
    <t>NG027002</t>
  </si>
  <si>
    <t>Aguata</t>
  </si>
  <si>
    <t>NG004001</t>
  </si>
  <si>
    <t>Agege</t>
  </si>
  <si>
    <t>NG025001</t>
  </si>
  <si>
    <t>Agatu</t>
  </si>
  <si>
    <t>NG007002</t>
  </si>
  <si>
    <t>Agaie</t>
  </si>
  <si>
    <t>NG027001</t>
  </si>
  <si>
    <t>Afikpo South</t>
  </si>
  <si>
    <t>NG011003</t>
  </si>
  <si>
    <t>Afikpo North</t>
  </si>
  <si>
    <t>NG011002</t>
  </si>
  <si>
    <t>Afijio</t>
  </si>
  <si>
    <t>NG031001</t>
  </si>
  <si>
    <t>Kala/Balge</t>
  </si>
  <si>
    <t>NG008015</t>
  </si>
  <si>
    <t>Kalgo</t>
  </si>
  <si>
    <t>NG022012</t>
  </si>
  <si>
    <t>Kaltungo</t>
  </si>
  <si>
    <t>NG016007</t>
  </si>
  <si>
    <t>Kanam</t>
  </si>
  <si>
    <t>NG032007</t>
  </si>
  <si>
    <t>Kankara</t>
  </si>
  <si>
    <t>NG021019</t>
  </si>
  <si>
    <t>Kanke</t>
  </si>
  <si>
    <t>NG032008</t>
  </si>
  <si>
    <t>Kankia</t>
  </si>
  <si>
    <t>NG021020</t>
  </si>
  <si>
    <t>Kano Municipal</t>
  </si>
  <si>
    <t>NG020021</t>
  </si>
  <si>
    <t>Karasuwa</t>
  </si>
  <si>
    <t>NG036010</t>
  </si>
  <si>
    <t>Karaye</t>
  </si>
  <si>
    <t>NG020022</t>
  </si>
  <si>
    <t>Karim-Lamido</t>
  </si>
  <si>
    <t>NG035008</t>
  </si>
  <si>
    <t>Maiduguri</t>
  </si>
  <si>
    <t>NG008021</t>
  </si>
  <si>
    <t>Maigatari</t>
  </si>
  <si>
    <t>NG018020</t>
  </si>
  <si>
    <t>Maiha</t>
  </si>
  <si>
    <t>NG002011</t>
  </si>
  <si>
    <t>Maiyama</t>
  </si>
  <si>
    <t>NG022014</t>
  </si>
  <si>
    <t>Makoda</t>
  </si>
  <si>
    <t>NG020029</t>
  </si>
  <si>
    <t>Makurdi</t>
  </si>
  <si>
    <t>NG007013</t>
  </si>
  <si>
    <t>Karu</t>
  </si>
  <si>
    <t>NG026004</t>
  </si>
  <si>
    <t>Katagum</t>
  </si>
  <si>
    <t>NG005012</t>
  </si>
  <si>
    <t>Katcha</t>
  </si>
  <si>
    <t>NG027010</t>
  </si>
  <si>
    <t>NG021021</t>
  </si>
  <si>
    <t>Katsina-Ala</t>
  </si>
  <si>
    <t>NG007009</t>
  </si>
  <si>
    <t>Kaugama</t>
  </si>
  <si>
    <t>NG018016</t>
  </si>
  <si>
    <t>Kaura</t>
  </si>
  <si>
    <t>NG019013</t>
  </si>
  <si>
    <t>Kaura Namoda</t>
  </si>
  <si>
    <t>NG037008</t>
  </si>
  <si>
    <t>Kauru</t>
  </si>
  <si>
    <t>NG019014</t>
  </si>
  <si>
    <t>Kazaure</t>
  </si>
  <si>
    <t>NG018017</t>
  </si>
  <si>
    <t>Keana</t>
  </si>
  <si>
    <t>NG026005</t>
  </si>
  <si>
    <t>Kebbe</t>
  </si>
  <si>
    <t>NG034010</t>
  </si>
  <si>
    <t>Keffi</t>
  </si>
  <si>
    <t>NG026006</t>
  </si>
  <si>
    <t>Khana</t>
  </si>
  <si>
    <t>NG033014</t>
  </si>
  <si>
    <t>Kibiya</t>
  </si>
  <si>
    <t>NG020023</t>
  </si>
  <si>
    <t>Kirfi</t>
  </si>
  <si>
    <t>NG005013</t>
  </si>
  <si>
    <t>Kiri Kasamma</t>
  </si>
  <si>
    <t>NG018018</t>
  </si>
  <si>
    <t>Kiru</t>
  </si>
  <si>
    <t>NG020024</t>
  </si>
  <si>
    <t>Kiyawa</t>
  </si>
  <si>
    <t>NG018019</t>
  </si>
  <si>
    <t>NG023011</t>
  </si>
  <si>
    <t>Koko/Besse</t>
  </si>
  <si>
    <t>NG022013</t>
  </si>
  <si>
    <t>Kokona</t>
  </si>
  <si>
    <t>NG026007</t>
  </si>
  <si>
    <t>Kolokuma/Opokuma</t>
  </si>
  <si>
    <t>NG006003</t>
  </si>
  <si>
    <t>Konduga</t>
  </si>
  <si>
    <t>NG008016</t>
  </si>
  <si>
    <t>Konshisha</t>
  </si>
  <si>
    <t>NG007010</t>
  </si>
  <si>
    <t>Kontagora</t>
  </si>
  <si>
    <t>NG027011</t>
  </si>
  <si>
    <t>Kosofe</t>
  </si>
  <si>
    <t>NG025013</t>
  </si>
  <si>
    <t>Kubau</t>
  </si>
  <si>
    <t>NG019015</t>
  </si>
  <si>
    <t>Kudan</t>
  </si>
  <si>
    <t>NG019016</t>
  </si>
  <si>
    <t>Kuje</t>
  </si>
  <si>
    <t>NG015005</t>
  </si>
  <si>
    <t>Tudun Wada</t>
  </si>
  <si>
    <t>NG020041</t>
  </si>
  <si>
    <t>Kukawa</t>
  </si>
  <si>
    <t>NG008017</t>
  </si>
  <si>
    <t>Kumbotso</t>
  </si>
  <si>
    <t>NG020025</t>
  </si>
  <si>
    <t>Kunchi</t>
  </si>
  <si>
    <t>NG020026</t>
  </si>
  <si>
    <t>Kura</t>
  </si>
  <si>
    <t>NG020027</t>
  </si>
  <si>
    <t>Kurfi</t>
  </si>
  <si>
    <t>NG021022</t>
  </si>
  <si>
    <t>Kurmi</t>
  </si>
  <si>
    <t>NG035009</t>
  </si>
  <si>
    <t>Kusada</t>
  </si>
  <si>
    <t>NG021023</t>
  </si>
  <si>
    <t>Kwali</t>
  </si>
  <si>
    <t>NG015006</t>
  </si>
  <si>
    <t>Kwami</t>
  </si>
  <si>
    <t>NG016008</t>
  </si>
  <si>
    <t>Kwande</t>
  </si>
  <si>
    <t>NG007011</t>
  </si>
  <si>
    <t>Kware</t>
  </si>
  <si>
    <t>NG034011</t>
  </si>
  <si>
    <t>Kwaya Kusar</t>
  </si>
  <si>
    <t>NG008018</t>
  </si>
  <si>
    <t>Lafia</t>
  </si>
  <si>
    <t>NG026008</t>
  </si>
  <si>
    <t>Lagelu</t>
  </si>
  <si>
    <t>NG031020</t>
  </si>
  <si>
    <t>Lagos Island</t>
  </si>
  <si>
    <t>NG025014</t>
  </si>
  <si>
    <t>Lagos Mainland</t>
  </si>
  <si>
    <t>NG025015</t>
  </si>
  <si>
    <t>Lavun</t>
  </si>
  <si>
    <t>NG027013</t>
  </si>
  <si>
    <t>Lere</t>
  </si>
  <si>
    <t>NG019017</t>
  </si>
  <si>
    <t>Logo</t>
  </si>
  <si>
    <t>NG007012</t>
  </si>
  <si>
    <t>Lokoja</t>
  </si>
  <si>
    <t>NG023012</t>
  </si>
  <si>
    <t>Machina</t>
  </si>
  <si>
    <t>NG036011</t>
  </si>
  <si>
    <t>Madagali</t>
  </si>
  <si>
    <t>NG002010</t>
  </si>
  <si>
    <t>Madobi</t>
  </si>
  <si>
    <t>NG020028</t>
  </si>
  <si>
    <t>Mafa</t>
  </si>
  <si>
    <t>NG008019</t>
  </si>
  <si>
    <t>Magama</t>
  </si>
  <si>
    <t>NG027014</t>
  </si>
  <si>
    <t>Magumeri</t>
  </si>
  <si>
    <t>NG008020</t>
  </si>
  <si>
    <t>Mai'adua</t>
  </si>
  <si>
    <t>NG021024</t>
  </si>
  <si>
    <t>Lamurde</t>
  </si>
  <si>
    <t>NG002009</t>
  </si>
  <si>
    <t>Langtang North</t>
  </si>
  <si>
    <t>NG032009</t>
  </si>
  <si>
    <t>Langtang South</t>
  </si>
  <si>
    <t>NG032010</t>
  </si>
  <si>
    <t>Lapai</t>
  </si>
  <si>
    <t>NG027012</t>
  </si>
  <si>
    <t>Lau</t>
  </si>
  <si>
    <t>NG035010</t>
  </si>
  <si>
    <t>Malam Madori</t>
  </si>
  <si>
    <t>NG018021</t>
  </si>
  <si>
    <t>Malumfashi</t>
  </si>
  <si>
    <t>NG021025</t>
  </si>
  <si>
    <t>Mangu</t>
  </si>
  <si>
    <t>NG032011</t>
  </si>
  <si>
    <t>Mani</t>
  </si>
  <si>
    <t>NG021026</t>
  </si>
  <si>
    <t>Maradun</t>
  </si>
  <si>
    <t>NG037009</t>
  </si>
  <si>
    <t>Mariga</t>
  </si>
  <si>
    <t>NG027015</t>
  </si>
  <si>
    <t>Markafi</t>
  </si>
  <si>
    <t>NG019018</t>
  </si>
  <si>
    <t>Marte</t>
  </si>
  <si>
    <t>NG008022</t>
  </si>
  <si>
    <t>Maru</t>
  </si>
  <si>
    <t>NG037010</t>
  </si>
  <si>
    <t>Mashegu</t>
  </si>
  <si>
    <t>NG027016</t>
  </si>
  <si>
    <t>Mashi</t>
  </si>
  <si>
    <t>NG021027</t>
  </si>
  <si>
    <t>Matazu</t>
  </si>
  <si>
    <t>NG021028</t>
  </si>
  <si>
    <t>Mayo-Belwa</t>
  </si>
  <si>
    <t>NG002012</t>
  </si>
  <si>
    <t>Mbaitoli</t>
  </si>
  <si>
    <t>NG017011</t>
  </si>
  <si>
    <t>Mbo</t>
  </si>
  <si>
    <t>NG003017</t>
  </si>
  <si>
    <t>Michika</t>
  </si>
  <si>
    <t>NG002013</t>
  </si>
  <si>
    <t>Miga</t>
  </si>
  <si>
    <t>NG018022</t>
  </si>
  <si>
    <t>Mikang</t>
  </si>
  <si>
    <t>NG032012</t>
  </si>
  <si>
    <t>Minjibir</t>
  </si>
  <si>
    <t>NG020030</t>
  </si>
  <si>
    <t>Misau</t>
  </si>
  <si>
    <t>NG005014</t>
  </si>
  <si>
    <t>Mkpat Enin</t>
  </si>
  <si>
    <t>NG003018</t>
  </si>
  <si>
    <t>Moba</t>
  </si>
  <si>
    <t>NG013015</t>
  </si>
  <si>
    <t>Mobbar</t>
  </si>
  <si>
    <t>NG008023</t>
  </si>
  <si>
    <t>Mokwa</t>
  </si>
  <si>
    <t>NG027017</t>
  </si>
  <si>
    <t>Monguno</t>
  </si>
  <si>
    <t>NG008024</t>
  </si>
  <si>
    <t>Mopa-Muro</t>
  </si>
  <si>
    <t>NG023013</t>
  </si>
  <si>
    <t>Moro</t>
  </si>
  <si>
    <t>NG024012</t>
  </si>
  <si>
    <t>Mubi North</t>
  </si>
  <si>
    <t>NG002014</t>
  </si>
  <si>
    <t>Mubi South</t>
  </si>
  <si>
    <t>NG002015</t>
  </si>
  <si>
    <t>Musawa</t>
  </si>
  <si>
    <t>NG021029</t>
  </si>
  <si>
    <t>Mushin</t>
  </si>
  <si>
    <t>NG025016</t>
  </si>
  <si>
    <t>Muya</t>
  </si>
  <si>
    <t>NG027018</t>
  </si>
  <si>
    <t>Nafada</t>
  </si>
  <si>
    <t>NG016009</t>
  </si>
  <si>
    <t>Nangere</t>
  </si>
  <si>
    <t>NG036012</t>
  </si>
  <si>
    <t>NG020031</t>
  </si>
  <si>
    <t>NG026009</t>
  </si>
  <si>
    <t>Nasarawa-Eggon</t>
  </si>
  <si>
    <t>NG026010</t>
  </si>
  <si>
    <t>Ndokwa East</t>
  </si>
  <si>
    <t>NG010011</t>
  </si>
  <si>
    <t>Ndokwa West</t>
  </si>
  <si>
    <t>NG010012</t>
  </si>
  <si>
    <t>Nembe</t>
  </si>
  <si>
    <t>NG006004</t>
  </si>
  <si>
    <t>Ngala</t>
  </si>
  <si>
    <t>NG008025</t>
  </si>
  <si>
    <t>Nganzai</t>
  </si>
  <si>
    <t>NG008026</t>
  </si>
  <si>
    <t>Ngaski</t>
  </si>
  <si>
    <t>NG022015</t>
  </si>
  <si>
    <t>Ngor-Okpala</t>
  </si>
  <si>
    <t>NG017012</t>
  </si>
  <si>
    <t>Nguru</t>
  </si>
  <si>
    <t>NG036013</t>
  </si>
  <si>
    <t>Ningi</t>
  </si>
  <si>
    <t>NG005015</t>
  </si>
  <si>
    <t>Njaba</t>
  </si>
  <si>
    <t>NG017013</t>
  </si>
  <si>
    <t>Njikoka</t>
  </si>
  <si>
    <t>NG004013</t>
  </si>
  <si>
    <t>Nkanu East</t>
  </si>
  <si>
    <t>NG014011</t>
  </si>
  <si>
    <t>Nkanu West</t>
  </si>
  <si>
    <t>NG014012</t>
  </si>
  <si>
    <t>Nkwerre</t>
  </si>
  <si>
    <t>NG017014</t>
  </si>
  <si>
    <t>Nnewi North</t>
  </si>
  <si>
    <t>NG004014</t>
  </si>
  <si>
    <t>Nnewi South</t>
  </si>
  <si>
    <t>NG004015</t>
  </si>
  <si>
    <t>Nsit Atai</t>
  </si>
  <si>
    <t>NG003019</t>
  </si>
  <si>
    <t>Nsit Ibom</t>
  </si>
  <si>
    <t>NG003020</t>
  </si>
  <si>
    <t>Nsit Ubium</t>
  </si>
  <si>
    <t>NG003021</t>
  </si>
  <si>
    <t>Nsukka</t>
  </si>
  <si>
    <t>NG014013</t>
  </si>
  <si>
    <t>Numan</t>
  </si>
  <si>
    <t>NG002016</t>
  </si>
  <si>
    <t>Nwangele</t>
  </si>
  <si>
    <t>NG017015</t>
  </si>
  <si>
    <t>Obafemi-Owode</t>
  </si>
  <si>
    <t>NG028015</t>
  </si>
  <si>
    <t>Obanliku</t>
  </si>
  <si>
    <t>NG009013</t>
  </si>
  <si>
    <t>Obi</t>
  </si>
  <si>
    <t>NG007014</t>
  </si>
  <si>
    <t>NG026011</t>
  </si>
  <si>
    <t>Obi Ngwa</t>
  </si>
  <si>
    <t>NG001009</t>
  </si>
  <si>
    <t>Obia/Akpor</t>
  </si>
  <si>
    <t>NG033015</t>
  </si>
  <si>
    <t>Obokun</t>
  </si>
  <si>
    <t>NG030024</t>
  </si>
  <si>
    <t>Obot Akara</t>
  </si>
  <si>
    <t>NG003022</t>
  </si>
  <si>
    <t>Obowo</t>
  </si>
  <si>
    <t>NG017016</t>
  </si>
  <si>
    <t>Obubra</t>
  </si>
  <si>
    <t>NG009014</t>
  </si>
  <si>
    <t>Obudu</t>
  </si>
  <si>
    <t>NG009015</t>
  </si>
  <si>
    <t>Odeda</t>
  </si>
  <si>
    <t>NG028016</t>
  </si>
  <si>
    <t>Odigbo</t>
  </si>
  <si>
    <t>NG029013</t>
  </si>
  <si>
    <t>Odo-Otin</t>
  </si>
  <si>
    <t>NG030025</t>
  </si>
  <si>
    <t>Odogbolu</t>
  </si>
  <si>
    <t>NG028017</t>
  </si>
  <si>
    <t>Odukpani</t>
  </si>
  <si>
    <t>NG009016</t>
  </si>
  <si>
    <t>Offa</t>
  </si>
  <si>
    <t>NG024013</t>
  </si>
  <si>
    <t>Ofu</t>
  </si>
  <si>
    <t>NG023014</t>
  </si>
  <si>
    <t>Ogba/Egbema/Ndoni</t>
  </si>
  <si>
    <t>NG033016</t>
  </si>
  <si>
    <t>Ogbadibo</t>
  </si>
  <si>
    <t>NG007015</t>
  </si>
  <si>
    <t>Ogbaru</t>
  </si>
  <si>
    <t>NG004016</t>
  </si>
  <si>
    <t>Ogbia</t>
  </si>
  <si>
    <t>NG006005</t>
  </si>
  <si>
    <t>Ogbomosho North</t>
  </si>
  <si>
    <t>NG031021</t>
  </si>
  <si>
    <t>Ogbomosho South</t>
  </si>
  <si>
    <t>NG031022</t>
  </si>
  <si>
    <t>Ogo Oluwa</t>
  </si>
  <si>
    <t>NG031023</t>
  </si>
  <si>
    <t>Ogoja</t>
  </si>
  <si>
    <t>NG009017</t>
  </si>
  <si>
    <t>Ogori/Magongo</t>
  </si>
  <si>
    <t>NG023015</t>
  </si>
  <si>
    <t>Ogu/Bolo</t>
  </si>
  <si>
    <t>NG033017</t>
  </si>
  <si>
    <t>Ogun waterside</t>
  </si>
  <si>
    <t>NG028018</t>
  </si>
  <si>
    <t>Oguta</t>
  </si>
  <si>
    <t>NG017017</t>
  </si>
  <si>
    <t>Ohafia</t>
  </si>
  <si>
    <t>NG001010</t>
  </si>
  <si>
    <t>Ohaji/Egbema</t>
  </si>
  <si>
    <t>NG017018</t>
  </si>
  <si>
    <t>Ohaozara</t>
  </si>
  <si>
    <t>NG011011</t>
  </si>
  <si>
    <t>Ohaukwu</t>
  </si>
  <si>
    <t>NG011012</t>
  </si>
  <si>
    <t>Ohimini</t>
  </si>
  <si>
    <t>NG007016</t>
  </si>
  <si>
    <t>Oji-River</t>
  </si>
  <si>
    <t>NG014014</t>
  </si>
  <si>
    <t>Ojo</t>
  </si>
  <si>
    <t>NG025017</t>
  </si>
  <si>
    <t>Oju</t>
  </si>
  <si>
    <t>NG007017</t>
  </si>
  <si>
    <t>Oke-Ero</t>
  </si>
  <si>
    <t>NG024014</t>
  </si>
  <si>
    <t>Okehi</t>
  </si>
  <si>
    <t>NG023016</t>
  </si>
  <si>
    <t>Okene</t>
  </si>
  <si>
    <t>NG023017</t>
  </si>
  <si>
    <t>Okigwe</t>
  </si>
  <si>
    <t>NG017019</t>
  </si>
  <si>
    <t>Okitipupa</t>
  </si>
  <si>
    <t>NG029014</t>
  </si>
  <si>
    <t>Okobo</t>
  </si>
  <si>
    <t>NG003023</t>
  </si>
  <si>
    <t>Okpe</t>
  </si>
  <si>
    <t>NG010013</t>
  </si>
  <si>
    <t>Okpokwu</t>
  </si>
  <si>
    <t>NG007018</t>
  </si>
  <si>
    <t>Okrika</t>
  </si>
  <si>
    <t>NG033018</t>
  </si>
  <si>
    <t>Ola-oluwa</t>
  </si>
  <si>
    <t>NG030026</t>
  </si>
  <si>
    <t>Olamabolo</t>
  </si>
  <si>
    <t>NG023018</t>
  </si>
  <si>
    <t>Olorunda</t>
  </si>
  <si>
    <t>NG030027</t>
  </si>
  <si>
    <t>Olorunsogo</t>
  </si>
  <si>
    <t>NG031024</t>
  </si>
  <si>
    <t>Oluyole</t>
  </si>
  <si>
    <t>NG031025</t>
  </si>
  <si>
    <t>Omala</t>
  </si>
  <si>
    <t>NG023019</t>
  </si>
  <si>
    <t>Omumma</t>
  </si>
  <si>
    <t>NG033019</t>
  </si>
  <si>
    <t>Ona-Ara</t>
  </si>
  <si>
    <t>NG031026</t>
  </si>
  <si>
    <t>Ondo East</t>
  </si>
  <si>
    <t>NG029015</t>
  </si>
  <si>
    <t>Ondo West</t>
  </si>
  <si>
    <t>NG029016</t>
  </si>
  <si>
    <t>Onicha</t>
  </si>
  <si>
    <t>NG011013</t>
  </si>
  <si>
    <t>Onitsha North</t>
  </si>
  <si>
    <t>NG004017</t>
  </si>
  <si>
    <t>Onitsha South</t>
  </si>
  <si>
    <t>NG004018</t>
  </si>
  <si>
    <t>Onna</t>
  </si>
  <si>
    <t>NG003024</t>
  </si>
  <si>
    <t>Opobo/Nkoro</t>
  </si>
  <si>
    <t>NG033020</t>
  </si>
  <si>
    <t>Oredo</t>
  </si>
  <si>
    <t>NG012012</t>
  </si>
  <si>
    <t>Orelope</t>
  </si>
  <si>
    <t>NG031027</t>
  </si>
  <si>
    <t>Orhionmwon</t>
  </si>
  <si>
    <t>NG012013</t>
  </si>
  <si>
    <t>Ori Ire</t>
  </si>
  <si>
    <t>NG031028</t>
  </si>
  <si>
    <t>Oriade</t>
  </si>
  <si>
    <t>NG030028</t>
  </si>
  <si>
    <t>Orlu</t>
  </si>
  <si>
    <t>NG017020</t>
  </si>
  <si>
    <t>Orolu</t>
  </si>
  <si>
    <t>NG030029</t>
  </si>
  <si>
    <t>Oron</t>
  </si>
  <si>
    <t>NG003025</t>
  </si>
  <si>
    <t>Orsu</t>
  </si>
  <si>
    <t>NG017021</t>
  </si>
  <si>
    <t>Oru East</t>
  </si>
  <si>
    <t>NG017022</t>
  </si>
  <si>
    <t>Oru West</t>
  </si>
  <si>
    <t>NG017023</t>
  </si>
  <si>
    <t>Oruk Anam</t>
  </si>
  <si>
    <t>NG003026</t>
  </si>
  <si>
    <t>Orumba North</t>
  </si>
  <si>
    <t>NG004019</t>
  </si>
  <si>
    <t>Orumba South</t>
  </si>
  <si>
    <t>NG004020</t>
  </si>
  <si>
    <t>Ose</t>
  </si>
  <si>
    <t>NG029017</t>
  </si>
  <si>
    <t>Oshimili North</t>
  </si>
  <si>
    <t>NG010014</t>
  </si>
  <si>
    <t>Oshimili South</t>
  </si>
  <si>
    <t>NG010015</t>
  </si>
  <si>
    <t>Oshodi-Isolo</t>
  </si>
  <si>
    <t>NG025018</t>
  </si>
  <si>
    <t>Osisioma Ngwa</t>
  </si>
  <si>
    <t>NG001011</t>
  </si>
  <si>
    <t>Osogbo</t>
  </si>
  <si>
    <t>NG030030</t>
  </si>
  <si>
    <t>Oturkpo</t>
  </si>
  <si>
    <t>NG007019</t>
  </si>
  <si>
    <t>Ovia North East</t>
  </si>
  <si>
    <t>NG012014</t>
  </si>
  <si>
    <t>Ovia South West</t>
  </si>
  <si>
    <t>NG012015</t>
  </si>
  <si>
    <t>Owan East</t>
  </si>
  <si>
    <t>NG012016</t>
  </si>
  <si>
    <t>Owan West</t>
  </si>
  <si>
    <t>NG012017</t>
  </si>
  <si>
    <t>Owerri-Municipal</t>
  </si>
  <si>
    <t>NG017026</t>
  </si>
  <si>
    <t>Owerri North</t>
  </si>
  <si>
    <t>NG017024</t>
  </si>
  <si>
    <t>Owerri West</t>
  </si>
  <si>
    <t>NG017025</t>
  </si>
  <si>
    <t>Owo</t>
  </si>
  <si>
    <t>NG029018</t>
  </si>
  <si>
    <t>Oye</t>
  </si>
  <si>
    <t>NG013016</t>
  </si>
  <si>
    <t>Oyi</t>
  </si>
  <si>
    <t>NG004021</t>
  </si>
  <si>
    <t>Oyigbo</t>
  </si>
  <si>
    <t>NG033021</t>
  </si>
  <si>
    <t>Oyo East</t>
  </si>
  <si>
    <t>NG031029</t>
  </si>
  <si>
    <t>Oyo West</t>
  </si>
  <si>
    <t>NG031030</t>
  </si>
  <si>
    <t>Oyun</t>
  </si>
  <si>
    <t>NG024015</t>
  </si>
  <si>
    <t>Paikoro</t>
  </si>
  <si>
    <t>NG027019</t>
  </si>
  <si>
    <t>Pankshin</t>
  </si>
  <si>
    <t>NG032013</t>
  </si>
  <si>
    <t>Patani</t>
  </si>
  <si>
    <t>NG010016</t>
  </si>
  <si>
    <t>Pategi</t>
  </si>
  <si>
    <t>NG024016</t>
  </si>
  <si>
    <t>Port-Harcourt</t>
  </si>
  <si>
    <t>NG033022</t>
  </si>
  <si>
    <t>Potiskum</t>
  </si>
  <si>
    <t>NG036014</t>
  </si>
  <si>
    <t>Qua'an Pan</t>
  </si>
  <si>
    <t>NG032014</t>
  </si>
  <si>
    <t>Rabah</t>
  </si>
  <si>
    <t>NG034012</t>
  </si>
  <si>
    <t>Rafi</t>
  </si>
  <si>
    <t>NG027020</t>
  </si>
  <si>
    <t>Rano</t>
  </si>
  <si>
    <t>NG020032</t>
  </si>
  <si>
    <t>Remo North</t>
  </si>
  <si>
    <t>NG028019</t>
  </si>
  <si>
    <t>Rijau</t>
  </si>
  <si>
    <t>NG027021</t>
  </si>
  <si>
    <t>Rimi</t>
  </si>
  <si>
    <t>NG021030</t>
  </si>
  <si>
    <t>Rimin Gado</t>
  </si>
  <si>
    <t>NG020033</t>
  </si>
  <si>
    <t>Ringim</t>
  </si>
  <si>
    <t>NG018023</t>
  </si>
  <si>
    <t>Riyom</t>
  </si>
  <si>
    <t>NG032015</t>
  </si>
  <si>
    <t>Rogo</t>
  </si>
  <si>
    <t>NG020034</t>
  </si>
  <si>
    <t>Roni</t>
  </si>
  <si>
    <t>NG018024</t>
  </si>
  <si>
    <t>Sabon-Gari</t>
  </si>
  <si>
    <t>NG019019</t>
  </si>
  <si>
    <t>Sabon Birni</t>
  </si>
  <si>
    <t>NG034013</t>
  </si>
  <si>
    <t>Sabuwa</t>
  </si>
  <si>
    <t>NG021031</t>
  </si>
  <si>
    <t>Safana</t>
  </si>
  <si>
    <t>NG021032</t>
  </si>
  <si>
    <t>Sagbama</t>
  </si>
  <si>
    <t>NG006006</t>
  </si>
  <si>
    <t>Sakaba</t>
  </si>
  <si>
    <t>NG022016</t>
  </si>
  <si>
    <t>Saki East</t>
  </si>
  <si>
    <t>NG031031</t>
  </si>
  <si>
    <t>Saki West</t>
  </si>
  <si>
    <t>NG031032</t>
  </si>
  <si>
    <t>Sandamu</t>
  </si>
  <si>
    <t>NG021033</t>
  </si>
  <si>
    <t>Sanga</t>
  </si>
  <si>
    <t>NG019020</t>
  </si>
  <si>
    <t>Sapele</t>
  </si>
  <si>
    <t>NG010017</t>
  </si>
  <si>
    <t>Sardauna</t>
  </si>
  <si>
    <t>NG035011</t>
  </si>
  <si>
    <t>Shagamu</t>
  </si>
  <si>
    <t>NG028020</t>
  </si>
  <si>
    <t>Shagari</t>
  </si>
  <si>
    <t>NG034014</t>
  </si>
  <si>
    <t>Shanga</t>
  </si>
  <si>
    <t>NG022017</t>
  </si>
  <si>
    <t>Shani</t>
  </si>
  <si>
    <t>NG008027</t>
  </si>
  <si>
    <t>Shanono</t>
  </si>
  <si>
    <t>NG020035</t>
  </si>
  <si>
    <t>Shelleng</t>
  </si>
  <si>
    <t>NG002017</t>
  </si>
  <si>
    <t>Shendam</t>
  </si>
  <si>
    <t>NG032016</t>
  </si>
  <si>
    <t>Shinkafi</t>
  </si>
  <si>
    <t>NG037011</t>
  </si>
  <si>
    <t>Shira</t>
  </si>
  <si>
    <t>NG005016</t>
  </si>
  <si>
    <t>Shiroro</t>
  </si>
  <si>
    <t>NG027022</t>
  </si>
  <si>
    <t>Shomgom</t>
  </si>
  <si>
    <t>NG016010</t>
  </si>
  <si>
    <t>Shomolu</t>
  </si>
  <si>
    <t>NG025019</t>
  </si>
  <si>
    <t>Silame</t>
  </si>
  <si>
    <t>NG034015</t>
  </si>
  <si>
    <t>Soba</t>
  </si>
  <si>
    <t>NG019021</t>
  </si>
  <si>
    <t>Sokoto North</t>
  </si>
  <si>
    <t>NG034016</t>
  </si>
  <si>
    <t>Sokoto South</t>
  </si>
  <si>
    <t>NG034017</t>
  </si>
  <si>
    <t>Song</t>
  </si>
  <si>
    <t>NG002018</t>
  </si>
  <si>
    <t>Southern Ijaw</t>
  </si>
  <si>
    <t>NG006007</t>
  </si>
  <si>
    <t>Sule-Tankarkar</t>
  </si>
  <si>
    <t>NG018025</t>
  </si>
  <si>
    <t>Suleja</t>
  </si>
  <si>
    <t>NG027023</t>
  </si>
  <si>
    <t>Sumaila</t>
  </si>
  <si>
    <t>NG020036</t>
  </si>
  <si>
    <t>Suru</t>
  </si>
  <si>
    <t>NG022018</t>
  </si>
  <si>
    <t>Surulere</t>
  </si>
  <si>
    <t>NG025020</t>
  </si>
  <si>
    <t>NG031033</t>
  </si>
  <si>
    <t>Tafa</t>
  </si>
  <si>
    <t>NG027024</t>
  </si>
  <si>
    <t>Tafawa-Balewa</t>
  </si>
  <si>
    <t>NG005017</t>
  </si>
  <si>
    <t>Tai</t>
  </si>
  <si>
    <t>NG033023</t>
  </si>
  <si>
    <t>Takai</t>
  </si>
  <si>
    <t>NG020037</t>
  </si>
  <si>
    <t>Takum</t>
  </si>
  <si>
    <t>NG035012</t>
  </si>
  <si>
    <t>Talata Mafara</t>
  </si>
  <si>
    <t>NG037012</t>
  </si>
  <si>
    <t>Tambuwal</t>
  </si>
  <si>
    <t>NG034018</t>
  </si>
  <si>
    <t>Tangaza</t>
  </si>
  <si>
    <t>NG034019</t>
  </si>
  <si>
    <t>Tarauni</t>
  </si>
  <si>
    <t>NG020038</t>
  </si>
  <si>
    <t>Tarka</t>
  </si>
  <si>
    <t>NG007020</t>
  </si>
  <si>
    <t>Tarmua</t>
  </si>
  <si>
    <t>NG036015</t>
  </si>
  <si>
    <t>Taura</t>
  </si>
  <si>
    <t>NG018026</t>
  </si>
  <si>
    <t>Tofa</t>
  </si>
  <si>
    <t>NG020039</t>
  </si>
  <si>
    <t>Toro</t>
  </si>
  <si>
    <t>NG005018</t>
  </si>
  <si>
    <t>Toto</t>
  </si>
  <si>
    <t>NG026012</t>
  </si>
  <si>
    <t>Toungo</t>
  </si>
  <si>
    <t>NG002019</t>
  </si>
  <si>
    <t>Tsafe</t>
  </si>
  <si>
    <t>NG037013</t>
  </si>
  <si>
    <t>Tsanyawa</t>
  </si>
  <si>
    <t>NG020040</t>
  </si>
  <si>
    <t>Tureta</t>
  </si>
  <si>
    <t>NG034020</t>
  </si>
  <si>
    <t>Udenu</t>
  </si>
  <si>
    <t>NG014015</t>
  </si>
  <si>
    <t>Udi</t>
  </si>
  <si>
    <t>NG014016</t>
  </si>
  <si>
    <t>Udu</t>
  </si>
  <si>
    <t>NG010018</t>
  </si>
  <si>
    <t>Udung Uko</t>
  </si>
  <si>
    <t>NG003027</t>
  </si>
  <si>
    <t>Ughelli North</t>
  </si>
  <si>
    <t>NG010019</t>
  </si>
  <si>
    <t>Ughelli South</t>
  </si>
  <si>
    <t>NG010020</t>
  </si>
  <si>
    <t>Ugwunagbo</t>
  </si>
  <si>
    <t>NG001012</t>
  </si>
  <si>
    <t>Uhunmwonde</t>
  </si>
  <si>
    <t>NG012018</t>
  </si>
  <si>
    <t>Ukanafun</t>
  </si>
  <si>
    <t>NG003028</t>
  </si>
  <si>
    <t>Ukum</t>
  </si>
  <si>
    <t>NG007021</t>
  </si>
  <si>
    <t>Ukwa East</t>
  </si>
  <si>
    <t>NG001013</t>
  </si>
  <si>
    <t>Ukwa West</t>
  </si>
  <si>
    <t>NG001014</t>
  </si>
  <si>
    <t>Ukwuani</t>
  </si>
  <si>
    <t>NG010021</t>
  </si>
  <si>
    <t>Umu-Nneochi</t>
  </si>
  <si>
    <t>NG001017</t>
  </si>
  <si>
    <t>Umuahia North</t>
  </si>
  <si>
    <t>NG001015</t>
  </si>
  <si>
    <t>Umuahia South</t>
  </si>
  <si>
    <t>NG001016</t>
  </si>
  <si>
    <t>Ungogo</t>
  </si>
  <si>
    <t>NG020042</t>
  </si>
  <si>
    <t>Unuimo</t>
  </si>
  <si>
    <t>NG017027</t>
  </si>
  <si>
    <t>Uruan</t>
  </si>
  <si>
    <t>NG003029</t>
  </si>
  <si>
    <t>Urue-Offong/Oruko</t>
  </si>
  <si>
    <t>NG003030</t>
  </si>
  <si>
    <t>Ushongo</t>
  </si>
  <si>
    <t>NG007022</t>
  </si>
  <si>
    <t>Ussa</t>
  </si>
  <si>
    <t>NG035013</t>
  </si>
  <si>
    <t>Uvwie</t>
  </si>
  <si>
    <t>NG010022</t>
  </si>
  <si>
    <t>Uyo</t>
  </si>
  <si>
    <t>NG003031</t>
  </si>
  <si>
    <t>Uzo-Uwani</t>
  </si>
  <si>
    <t>NG014017</t>
  </si>
  <si>
    <t>Vandeikya</t>
  </si>
  <si>
    <t>NG007023</t>
  </si>
  <si>
    <t>Wamako</t>
  </si>
  <si>
    <t>NG034021</t>
  </si>
  <si>
    <t>Wamba</t>
  </si>
  <si>
    <t>NG026013</t>
  </si>
  <si>
    <t>Warawa</t>
  </si>
  <si>
    <t>NG020043</t>
  </si>
  <si>
    <t>Warji</t>
  </si>
  <si>
    <t>NG005019</t>
  </si>
  <si>
    <t>Warri North</t>
  </si>
  <si>
    <t>NG010023</t>
  </si>
  <si>
    <t>Warri South</t>
  </si>
  <si>
    <t>NG010024</t>
  </si>
  <si>
    <t>Warri South West</t>
  </si>
  <si>
    <t>NG010025</t>
  </si>
  <si>
    <t>Wasagu/Danko</t>
  </si>
  <si>
    <t>NG022019</t>
  </si>
  <si>
    <t>Wase</t>
  </si>
  <si>
    <t>NG032017</t>
  </si>
  <si>
    <t>Wudil</t>
  </si>
  <si>
    <t>NG020044</t>
  </si>
  <si>
    <t>Wukari</t>
  </si>
  <si>
    <t>NG035014</t>
  </si>
  <si>
    <t>Wurno</t>
  </si>
  <si>
    <t>NG034022</t>
  </si>
  <si>
    <t>Wushishi</t>
  </si>
  <si>
    <t>NG027025</t>
  </si>
  <si>
    <t>Yabo</t>
  </si>
  <si>
    <t>NG034023</t>
  </si>
  <si>
    <t>Yagba East</t>
  </si>
  <si>
    <t>NG023020</t>
  </si>
  <si>
    <t>Yagba West</t>
  </si>
  <si>
    <t>NG023021</t>
  </si>
  <si>
    <t>Yakurr</t>
  </si>
  <si>
    <t>NG009018</t>
  </si>
  <si>
    <t>Yala</t>
  </si>
  <si>
    <t>NG009019</t>
  </si>
  <si>
    <t>Yamaltu/Deba</t>
  </si>
  <si>
    <t>NG016011</t>
  </si>
  <si>
    <t>Yankwashi</t>
  </si>
  <si>
    <t>NG018027</t>
  </si>
  <si>
    <t>Yauri</t>
  </si>
  <si>
    <t>NG022020</t>
  </si>
  <si>
    <t>Yenegoa</t>
  </si>
  <si>
    <t>NG006008</t>
  </si>
  <si>
    <t>Yola North</t>
  </si>
  <si>
    <t>NG002020</t>
  </si>
  <si>
    <t>Yola South</t>
  </si>
  <si>
    <t>NG002021</t>
  </si>
  <si>
    <t>Yorro</t>
  </si>
  <si>
    <t>NG035015</t>
  </si>
  <si>
    <t>Yunusari</t>
  </si>
  <si>
    <t>NG036016</t>
  </si>
  <si>
    <t>Yusufari</t>
  </si>
  <si>
    <t>NG036017</t>
  </si>
  <si>
    <t>Zaki</t>
  </si>
  <si>
    <t>NG005020</t>
  </si>
  <si>
    <t>Zango</t>
  </si>
  <si>
    <t>NG021034</t>
  </si>
  <si>
    <t>Zango-Kataf</t>
  </si>
  <si>
    <t>NG019022</t>
  </si>
  <si>
    <t>Zaria</t>
  </si>
  <si>
    <t>NG019023</t>
  </si>
  <si>
    <t>Zing</t>
  </si>
  <si>
    <t>NG035016</t>
  </si>
  <si>
    <t>Zurmi</t>
  </si>
  <si>
    <t>NG037014</t>
  </si>
  <si>
    <t>Zuru</t>
  </si>
  <si>
    <t>NG022021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</si>
</sst>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b/>
      <sz val="12"/>
      <color theme="0"/>
      <name val="Calibri"/>
      <family val="2"/>
      <scheme val="minor"/>
    </font>
    <font>
      <b/>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b/>
      <sz val="11"/>
      <name val="Calibri"/>
      <family val="2"/>
      <scheme val="minor"/>
    </font>
    <font>
      <b/>
      <sz val="14"/>
      <name val="Calibri"/>
      <family val="2"/>
      <scheme val="minor"/>
    </font>
    <font>
      <sz val="14"/>
      <name val="Calibri"/>
      <family val="2"/>
      <scheme val="minor"/>
    </font>
    <font>
      <sz val="14"/>
      <color theme="1"/>
      <name val="Calibri"/>
      <family val="2"/>
      <scheme val="minor"/>
    </font>
    <font>
      <sz val="14"/>
      <color rgb="FFFF0000"/>
      <name val="Calibri"/>
      <family val="2"/>
      <scheme val="minor"/>
    </font>
    <font>
      <sz val="14"/>
      <color rgb="FF0070C0"/>
      <name val="Calibri"/>
      <family val="2"/>
      <scheme val="minor"/>
    </font>
    <font>
      <b/>
      <sz val="14"/>
      <color rgb="FF0070C0"/>
      <name val="Calibri"/>
      <family val="2"/>
      <scheme val="minor"/>
    </font>
    <font>
      <i/>
      <sz val="14"/>
      <name val="Calibri"/>
      <family val="2"/>
      <scheme val="minor"/>
    </font>
    <font>
      <sz val="14"/>
      <color theme="9" tint="-0.499984740745262"/>
      <name val="Calibri"/>
      <family val="2"/>
      <scheme val="minor"/>
    </font>
    <font>
      <b/>
      <sz val="14"/>
      <color theme="4"/>
      <name val="Calibri"/>
      <family val="2"/>
      <scheme val="minor"/>
    </font>
    <font>
      <b/>
      <i/>
      <sz val="14"/>
      <name val="Calibri"/>
      <family val="2"/>
      <scheme val="minor"/>
    </font>
    <font>
      <b/>
      <sz val="14"/>
      <color rgb="FFFF0000"/>
      <name val="Calibri"/>
      <family val="2"/>
      <scheme val="minor"/>
    </font>
    <font>
      <sz val="14"/>
      <color rgb="FF000000"/>
      <name val="Calibri"/>
      <family val="2"/>
      <scheme val="minor"/>
    </font>
    <font>
      <b/>
      <i/>
      <sz val="14"/>
      <color theme="1"/>
      <name val="Calibri"/>
      <family val="2"/>
      <scheme val="minor"/>
    </font>
    <font>
      <sz val="14"/>
      <color theme="4"/>
      <name val="Calibri"/>
      <family val="2"/>
      <scheme val="minor"/>
    </font>
    <font>
      <b/>
      <i/>
      <sz val="14"/>
      <color rgb="FFFF0000"/>
      <name val="Calibri"/>
      <family val="2"/>
      <scheme val="minor"/>
    </font>
    <font>
      <b/>
      <sz val="14"/>
      <color theme="9" tint="-0.499984740745262"/>
      <name val="Calibri"/>
      <family val="2"/>
      <scheme val="minor"/>
    </font>
    <font>
      <b/>
      <strike/>
      <sz val="14"/>
      <color rgb="FFFF0000"/>
      <name val="Calibri"/>
      <family val="2"/>
      <scheme val="minor"/>
    </font>
    <font>
      <b/>
      <sz val="18"/>
      <color theme="0"/>
      <name val="Calibri"/>
      <family val="2"/>
      <scheme val="minor"/>
    </font>
    <font>
      <b/>
      <sz val="18"/>
      <name val="Calibri"/>
      <family val="2"/>
      <scheme val="minor"/>
    </font>
    <font>
      <b/>
      <sz val="18"/>
      <color theme="1"/>
      <name val="Calibri"/>
      <family val="2"/>
      <scheme val="minor"/>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99CC"/>
        <bgColor indexed="64"/>
      </patternFill>
    </fill>
    <fill>
      <patternFill patternType="solid">
        <fgColor theme="0"/>
        <bgColor rgb="FF000000"/>
      </patternFill>
    </fill>
  </fills>
  <borders count="8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auto="1"/>
      </left>
      <right style="thin">
        <color theme="1"/>
      </right>
      <top style="thin">
        <color theme="1"/>
      </top>
      <bottom style="thin">
        <color theme="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medium">
        <color indexed="64"/>
      </left>
      <right style="thin">
        <color auto="1"/>
      </right>
      <top/>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diagonal/>
    </border>
    <border>
      <left/>
      <right/>
      <top/>
      <bottom style="thin">
        <color auto="1"/>
      </bottom>
      <diagonal/>
    </border>
    <border>
      <left style="thin">
        <color theme="1"/>
      </left>
      <right style="thin">
        <color theme="1"/>
      </right>
      <top style="thin">
        <color theme="1"/>
      </top>
      <bottom style="medium">
        <color indexed="64"/>
      </bottom>
      <diagonal/>
    </border>
    <border>
      <left style="thin">
        <color auto="1"/>
      </left>
      <right/>
      <top/>
      <bottom style="medium">
        <color indexed="64"/>
      </bottom>
      <diagonal/>
    </border>
    <border>
      <left style="thin">
        <color theme="0" tint="-0.499984740745262"/>
      </left>
      <right style="thin">
        <color theme="0" tint="-0.499984740745262"/>
      </right>
      <top/>
      <bottom style="thin">
        <color theme="0" tint="-0.499984740745262"/>
      </bottom>
      <diagonal/>
    </border>
    <border>
      <left style="medium">
        <color indexed="64"/>
      </left>
      <right style="medium">
        <color indexed="64"/>
      </right>
      <top style="medium">
        <color indexed="64"/>
      </top>
      <bottom/>
      <diagonal/>
    </border>
    <border>
      <left style="medium">
        <color indexed="64"/>
      </left>
      <right/>
      <top style="medium">
        <color indexed="64"/>
      </top>
      <bottom style="thin">
        <color auto="1"/>
      </bottom>
      <diagonal/>
    </border>
    <border>
      <left style="medium">
        <color indexed="64"/>
      </left>
      <right/>
      <top/>
      <bottom style="thin">
        <color auto="1"/>
      </bottom>
      <diagonal/>
    </border>
    <border>
      <left style="medium">
        <color indexed="64"/>
      </left>
      <right/>
      <top style="thin">
        <color auto="1"/>
      </top>
      <bottom style="medium">
        <color indexed="64"/>
      </bottom>
      <diagonal/>
    </border>
    <border>
      <left style="thin">
        <color auto="1"/>
      </left>
      <right style="thin">
        <color auto="1"/>
      </right>
      <top style="thin">
        <color auto="1"/>
      </top>
      <bottom style="thin">
        <color auto="1"/>
      </bottom>
      <diagonal/>
    </border>
  </borders>
  <cellStyleXfs count="17">
    <xf numFmtId="0" fontId="0" fillId="0" borderId="0"/>
    <xf numFmtId="0" fontId="5" fillId="0" borderId="0"/>
    <xf numFmtId="0" fontId="6" fillId="0" borderId="0"/>
    <xf numFmtId="0" fontId="4" fillId="0" borderId="0"/>
    <xf numFmtId="0" fontId="5" fillId="0" borderId="0"/>
    <xf numFmtId="0" fontId="4" fillId="0" borderId="0"/>
    <xf numFmtId="0" fontId="4" fillId="0" borderId="0"/>
    <xf numFmtId="0" fontId="8" fillId="5" borderId="18"/>
    <xf numFmtId="0" fontId="5" fillId="0" borderId="0"/>
    <xf numFmtId="0" fontId="5" fillId="0" borderId="0"/>
    <xf numFmtId="0" fontId="5" fillId="0" borderId="0"/>
    <xf numFmtId="9" fontId="4" fillId="0" borderId="0"/>
    <xf numFmtId="0" fontId="5" fillId="0" borderId="0"/>
    <xf numFmtId="0" fontId="5" fillId="0" borderId="0"/>
    <xf numFmtId="0" fontId="5" fillId="0" borderId="0"/>
    <xf numFmtId="0" fontId="5" fillId="0" borderId="0"/>
    <xf numFmtId="0" fontId="4" fillId="0" borderId="0"/>
  </cellStyleXfs>
  <cellXfs count="686">
    <xf numFmtId="0" fontId="0" fillId="0" borderId="0" xfId="0"/>
    <xf numFmtId="0" fontId="0" fillId="0" borderId="19" xfId="0" applyBorder="1"/>
    <xf numFmtId="0" fontId="7" fillId="0" borderId="19" xfId="0" applyFont="1" applyBorder="1" applyAlignment="1">
      <alignment horizontal="center" vertical="center"/>
    </xf>
    <xf numFmtId="0" fontId="0" fillId="0" borderId="20" xfId="0" applyBorder="1"/>
    <xf numFmtId="0" fontId="7" fillId="0" borderId="22" xfId="0" applyFont="1" applyBorder="1" applyAlignment="1">
      <alignment horizontal="center" vertical="center"/>
    </xf>
    <xf numFmtId="0" fontId="0" fillId="0" borderId="22" xfId="0" applyBorder="1"/>
    <xf numFmtId="0" fontId="7" fillId="0" borderId="23" xfId="0" applyFont="1" applyBorder="1" applyAlignment="1">
      <alignment horizontal="center" vertical="center"/>
    </xf>
    <xf numFmtId="0" fontId="0" fillId="0" borderId="23" xfId="0" applyBorder="1"/>
    <xf numFmtId="0" fontId="7" fillId="0" borderId="1" xfId="0" applyFont="1" applyBorder="1"/>
    <xf numFmtId="0" fontId="15" fillId="0" borderId="1" xfId="0" applyFont="1" applyBorder="1"/>
    <xf numFmtId="0" fontId="9" fillId="9" borderId="1" xfId="7" applyFont="1" applyFill="1" applyBorder="1" applyAlignment="1" applyProtection="1">
      <alignment horizontal="center" vertical="center"/>
      <protection locked="0"/>
    </xf>
    <xf numFmtId="1" fontId="0" fillId="0" borderId="0" xfId="0" applyNumberFormat="1"/>
    <xf numFmtId="9" fontId="0" fillId="0" borderId="0" xfId="11" applyFont="1"/>
    <xf numFmtId="0" fontId="3" fillId="0" borderId="19" xfId="10" applyFont="1" applyBorder="1"/>
    <xf numFmtId="0" fontId="3" fillId="0" borderId="22" xfId="10" applyFont="1" applyBorder="1"/>
    <xf numFmtId="0" fontId="3" fillId="0" borderId="20" xfId="10" applyFont="1" applyBorder="1"/>
    <xf numFmtId="0" fontId="3" fillId="0" borderId="51" xfId="10" applyFont="1" applyBorder="1"/>
    <xf numFmtId="0" fontId="10" fillId="0" borderId="5" xfId="10" applyFont="1" applyBorder="1" applyAlignment="1">
      <alignment horizontal="center"/>
    </xf>
    <xf numFmtId="0" fontId="10" fillId="0" borderId="4" xfId="10" applyFont="1" applyBorder="1" applyAlignment="1">
      <alignment horizontal="center"/>
    </xf>
    <xf numFmtId="0" fontId="10" fillId="0" borderId="30" xfId="10" applyFont="1" applyBorder="1" applyAlignment="1">
      <alignment horizontal="center"/>
    </xf>
    <xf numFmtId="0" fontId="3" fillId="0" borderId="21" xfId="10" applyFont="1" applyBorder="1"/>
    <xf numFmtId="0" fontId="11" fillId="0" borderId="39" xfId="10" applyFont="1" applyBorder="1" applyAlignment="1">
      <alignment vertical="center"/>
    </xf>
    <xf numFmtId="0" fontId="11" fillId="0" borderId="42" xfId="10" applyFont="1" applyBorder="1" applyAlignment="1">
      <alignment horizontal="center" vertical="center" wrapText="1"/>
    </xf>
    <xf numFmtId="0" fontId="11" fillId="0" borderId="7" xfId="10" applyFont="1" applyBorder="1" applyAlignment="1">
      <alignment vertical="center"/>
    </xf>
    <xf numFmtId="0" fontId="11" fillId="0" borderId="36" xfId="10" applyFont="1" applyBorder="1" applyAlignment="1">
      <alignment horizontal="center" vertical="center" wrapText="1"/>
    </xf>
    <xf numFmtId="0" fontId="12" fillId="0" borderId="36" xfId="10" applyFont="1" applyBorder="1" applyAlignment="1">
      <alignment horizontal="center" vertical="center" wrapText="1"/>
    </xf>
    <xf numFmtId="0" fontId="12" fillId="0" borderId="43" xfId="10" applyFont="1" applyBorder="1" applyAlignment="1">
      <alignment horizontal="center" vertical="center" wrapText="1"/>
    </xf>
    <xf numFmtId="0" fontId="11" fillId="0" borderId="6" xfId="10" applyFont="1" applyBorder="1" applyAlignment="1">
      <alignment vertical="center"/>
    </xf>
    <xf numFmtId="0" fontId="11" fillId="0" borderId="55" xfId="10" applyFont="1" applyBorder="1" applyAlignment="1">
      <alignment horizontal="center" vertical="center" wrapText="1"/>
    </xf>
    <xf numFmtId="0" fontId="13" fillId="0" borderId="7" xfId="10" applyFont="1" applyBorder="1" applyAlignment="1">
      <alignment vertical="center"/>
    </xf>
    <xf numFmtId="0" fontId="13" fillId="0" borderId="8" xfId="10" applyFont="1" applyBorder="1" applyAlignment="1">
      <alignment vertical="center"/>
    </xf>
    <xf numFmtId="0" fontId="3" fillId="0" borderId="25" xfId="10" applyFont="1" applyBorder="1" applyAlignment="1">
      <alignment wrapText="1"/>
    </xf>
    <xf numFmtId="0" fontId="11" fillId="0" borderId="52" xfId="10" applyFont="1" applyBorder="1" applyAlignment="1">
      <alignment vertical="center"/>
    </xf>
    <xf numFmtId="0" fontId="12" fillId="0" borderId="48" xfId="10" applyFont="1" applyBorder="1" applyAlignment="1">
      <alignment horizontal="center" vertical="center" wrapText="1"/>
    </xf>
    <xf numFmtId="0" fontId="13" fillId="0" borderId="6" xfId="10" applyFont="1" applyBorder="1" applyAlignment="1">
      <alignment horizontal="left" vertical="center" wrapText="1"/>
    </xf>
    <xf numFmtId="9" fontId="12" fillId="0" borderId="44" xfId="11" applyFont="1" applyBorder="1" applyAlignment="1">
      <alignment horizontal="center" vertical="center" wrapText="1"/>
    </xf>
    <xf numFmtId="0" fontId="13" fillId="0" borderId="7" xfId="10" applyFont="1" applyBorder="1" applyAlignment="1">
      <alignment horizontal="left" vertical="center" wrapText="1"/>
    </xf>
    <xf numFmtId="9" fontId="12" fillId="0" borderId="38" xfId="11" applyFont="1" applyBorder="1" applyAlignment="1">
      <alignment horizontal="center" vertical="center" wrapText="1"/>
    </xf>
    <xf numFmtId="0" fontId="13" fillId="0" borderId="8" xfId="10" applyFont="1" applyBorder="1" applyAlignment="1">
      <alignment horizontal="left" vertical="center" wrapText="1"/>
    </xf>
    <xf numFmtId="9" fontId="12" fillId="0" borderId="43" xfId="11" applyFont="1" applyBorder="1" applyAlignment="1">
      <alignment horizontal="center" vertical="center" wrapText="1"/>
    </xf>
    <xf numFmtId="0" fontId="3" fillId="0" borderId="23" xfId="10" applyFont="1" applyBorder="1"/>
    <xf numFmtId="0" fontId="3" fillId="0" borderId="22" xfId="10" applyFont="1" applyBorder="1" applyAlignment="1">
      <alignment horizontal="left" vertical="center"/>
    </xf>
    <xf numFmtId="0" fontId="10" fillId="0" borderId="35" xfId="10" applyFont="1" applyBorder="1" applyAlignment="1">
      <alignment horizontal="left" vertical="center"/>
    </xf>
    <xf numFmtId="0" fontId="11" fillId="0" borderId="41" xfId="10" applyFont="1" applyBorder="1" applyAlignment="1">
      <alignment horizontal="left" vertical="center" wrapText="1"/>
    </xf>
    <xf numFmtId="0" fontId="11" fillId="0" borderId="37" xfId="10" applyFont="1" applyBorder="1" applyAlignment="1">
      <alignment horizontal="left" vertical="center" wrapText="1"/>
    </xf>
    <xf numFmtId="0" fontId="12" fillId="0" borderId="37" xfId="10" applyFont="1" applyBorder="1" applyAlignment="1">
      <alignment horizontal="left" vertical="center" wrapText="1"/>
    </xf>
    <xf numFmtId="0" fontId="12" fillId="0" borderId="53" xfId="10" applyFont="1" applyBorder="1" applyAlignment="1">
      <alignment horizontal="left" vertical="center" wrapText="1"/>
    </xf>
    <xf numFmtId="0" fontId="11" fillId="0" borderId="54" xfId="10" applyFont="1" applyBorder="1" applyAlignment="1">
      <alignment horizontal="left" vertical="center" wrapText="1"/>
    </xf>
    <xf numFmtId="0" fontId="12" fillId="0" borderId="50" xfId="10" applyFont="1" applyBorder="1" applyAlignment="1">
      <alignment horizontal="left" vertical="center" wrapText="1"/>
    </xf>
    <xf numFmtId="0" fontId="14" fillId="0" borderId="3" xfId="10" applyFont="1" applyBorder="1" applyAlignment="1">
      <alignment horizontal="left" vertical="center" wrapText="1"/>
    </xf>
    <xf numFmtId="0" fontId="14" fillId="0" borderId="1" xfId="10" applyFont="1" applyBorder="1" applyAlignment="1">
      <alignment horizontal="left" vertical="center" wrapText="1"/>
    </xf>
    <xf numFmtId="0" fontId="14" fillId="0" borderId="9" xfId="10" applyFont="1" applyBorder="1" applyAlignment="1">
      <alignment horizontal="left" vertical="center" wrapText="1"/>
    </xf>
    <xf numFmtId="0" fontId="3" fillId="0" borderId="23" xfId="10" applyFont="1" applyBorder="1" applyAlignment="1">
      <alignment horizontal="left" vertical="center"/>
    </xf>
    <xf numFmtId="0" fontId="3" fillId="0" borderId="19" xfId="10" applyFont="1" applyBorder="1" applyAlignment="1">
      <alignment horizontal="left" vertical="center"/>
    </xf>
    <xf numFmtId="2" fontId="2" fillId="6" borderId="1" xfId="12" applyNumberFormat="1" applyFont="1" applyFill="1" applyBorder="1" applyAlignment="1" applyProtection="1">
      <alignment horizontal="center" vertical="center"/>
      <protection locked="0"/>
    </xf>
    <xf numFmtId="4" fontId="12" fillId="0" borderId="36" xfId="10" applyNumberFormat="1" applyFont="1" applyBorder="1" applyAlignment="1">
      <alignment horizontal="center" vertical="center" wrapText="1"/>
    </xf>
    <xf numFmtId="0" fontId="12" fillId="4" borderId="0" xfId="10" applyFont="1" applyFill="1" applyAlignment="1">
      <alignment wrapText="1"/>
    </xf>
    <xf numFmtId="0" fontId="15" fillId="0" borderId="1" xfId="0" applyFont="1" applyBorder="1" applyAlignment="1">
      <alignment horizontal="center" vertical="center"/>
    </xf>
    <xf numFmtId="0" fontId="7" fillId="0" borderId="1" xfId="0" applyFont="1" applyBorder="1" applyAlignment="1">
      <alignment horizontal="center"/>
    </xf>
    <xf numFmtId="0" fontId="7" fillId="0" borderId="22" xfId="0" applyFont="1" applyBorder="1"/>
    <xf numFmtId="0" fontId="15" fillId="0" borderId="1" xfId="0" applyFont="1" applyBorder="1" applyAlignment="1">
      <alignment horizontal="center" vertical="center" wrapText="1"/>
    </xf>
    <xf numFmtId="0" fontId="7" fillId="0" borderId="23" xfId="0" applyFont="1" applyBorder="1"/>
    <xf numFmtId="0" fontId="7" fillId="0" borderId="19" xfId="0" applyFont="1" applyBorder="1"/>
    <xf numFmtId="0" fontId="12" fillId="0" borderId="53" xfId="12" applyFont="1" applyBorder="1" applyAlignment="1">
      <alignment vertical="center" wrapText="1"/>
    </xf>
    <xf numFmtId="0" fontId="11" fillId="0" borderId="7" xfId="12" applyFont="1" applyBorder="1" applyAlignment="1">
      <alignment horizontal="left" vertical="center"/>
    </xf>
    <xf numFmtId="0" fontId="12" fillId="0" borderId="37" xfId="10" applyFont="1" applyBorder="1" applyAlignment="1">
      <alignment vertical="center" wrapText="1"/>
    </xf>
    <xf numFmtId="4" fontId="12" fillId="0" borderId="36" xfId="12" applyNumberFormat="1" applyFont="1" applyBorder="1" applyAlignment="1">
      <alignment horizontal="center" vertical="center" wrapText="1"/>
    </xf>
    <xf numFmtId="0" fontId="12" fillId="0" borderId="37" xfId="12" applyFont="1" applyBorder="1" applyAlignment="1">
      <alignment vertical="center" wrapText="1"/>
    </xf>
    <xf numFmtId="0" fontId="9" fillId="0" borderId="1" xfId="7" applyFont="1" applyFill="1" applyBorder="1" applyAlignment="1">
      <alignment horizontal="center" vertical="center"/>
    </xf>
    <xf numFmtId="2" fontId="12" fillId="0" borderId="48" xfId="10" applyNumberFormat="1" applyFont="1" applyBorder="1" applyAlignment="1">
      <alignment horizontal="center" vertical="center" wrapText="1"/>
    </xf>
    <xf numFmtId="0" fontId="13" fillId="0" borderId="52" xfId="10" applyFont="1" applyBorder="1" applyAlignment="1">
      <alignment vertical="center"/>
    </xf>
    <xf numFmtId="0" fontId="1" fillId="6" borderId="40" xfId="10" applyFont="1" applyFill="1" applyBorder="1" applyAlignment="1" applyProtection="1">
      <alignment horizontal="center" vertical="center"/>
      <protection locked="0"/>
    </xf>
    <xf numFmtId="0" fontId="1" fillId="6" borderId="1" xfId="10" applyFont="1" applyFill="1" applyBorder="1" applyAlignment="1" applyProtection="1">
      <alignment horizontal="center" vertical="center"/>
      <protection locked="0"/>
    </xf>
    <xf numFmtId="0" fontId="1" fillId="0" borderId="19" xfId="10" applyFont="1" applyBorder="1"/>
    <xf numFmtId="2" fontId="1" fillId="6" borderId="10" xfId="10" applyNumberFormat="1" applyFont="1" applyFill="1" applyBorder="1" applyAlignment="1" applyProtection="1">
      <alignment horizontal="center" vertical="center"/>
      <protection locked="0"/>
    </xf>
    <xf numFmtId="0" fontId="1" fillId="6" borderId="3" xfId="10" applyFont="1" applyFill="1" applyBorder="1" applyAlignment="1" applyProtection="1">
      <alignment horizontal="center" vertical="center"/>
      <protection locked="0"/>
    </xf>
    <xf numFmtId="4" fontId="1" fillId="6" borderId="1" xfId="10" applyNumberFormat="1" applyFont="1" applyFill="1" applyBorder="1" applyAlignment="1" applyProtection="1">
      <alignment horizontal="center" vertical="center"/>
      <protection locked="0"/>
    </xf>
    <xf numFmtId="0" fontId="1" fillId="0" borderId="10" xfId="10" applyFont="1" applyBorder="1" applyAlignment="1">
      <alignment horizontal="center" vertical="center"/>
    </xf>
    <xf numFmtId="164" fontId="1" fillId="6" borderId="3" xfId="10" applyNumberFormat="1" applyFont="1" applyFill="1" applyBorder="1" applyAlignment="1" applyProtection="1">
      <alignment horizontal="center" vertical="center"/>
      <protection locked="0"/>
    </xf>
    <xf numFmtId="164" fontId="1" fillId="6" borderId="1" xfId="10" applyNumberFormat="1" applyFont="1" applyFill="1" applyBorder="1" applyAlignment="1" applyProtection="1">
      <alignment horizontal="center" vertical="center"/>
      <protection locked="0"/>
    </xf>
    <xf numFmtId="164" fontId="1" fillId="6" borderId="9" xfId="10" applyNumberFormat="1" applyFont="1" applyFill="1" applyBorder="1" applyAlignment="1" applyProtection="1">
      <alignment horizontal="center" vertical="center"/>
      <protection locked="0"/>
    </xf>
    <xf numFmtId="0" fontId="1" fillId="6" borderId="9" xfId="10" applyFont="1" applyFill="1" applyBorder="1" applyAlignment="1" applyProtection="1">
      <alignment horizontal="center" vertical="center" wrapText="1"/>
      <protection locked="0"/>
    </xf>
    <xf numFmtId="0" fontId="1" fillId="6" borderId="1" xfId="10" applyFont="1" applyFill="1" applyBorder="1" applyAlignment="1" applyProtection="1">
      <alignment horizontal="center" vertical="center" wrapText="1"/>
      <protection locked="0"/>
    </xf>
    <xf numFmtId="0" fontId="17" fillId="0" borderId="3" xfId="2" applyFont="1" applyBorder="1" applyAlignment="1">
      <alignment horizontal="left" vertical="center" wrapText="1"/>
    </xf>
    <xf numFmtId="0" fontId="17" fillId="0" borderId="3" xfId="2" applyFont="1" applyBorder="1" applyAlignment="1">
      <alignment horizontal="center" vertical="center" wrapText="1"/>
    </xf>
    <xf numFmtId="0" fontId="17" fillId="0" borderId="64" xfId="2" applyFont="1" applyBorder="1" applyAlignment="1">
      <alignment horizontal="left" vertical="center" wrapText="1"/>
    </xf>
    <xf numFmtId="0" fontId="17" fillId="0" borderId="64" xfId="2" applyFont="1" applyBorder="1" applyAlignment="1">
      <alignment horizontal="center" vertical="center" wrapText="1"/>
    </xf>
    <xf numFmtId="0" fontId="17" fillId="0" borderId="64" xfId="3" applyFont="1" applyBorder="1" applyAlignment="1">
      <alignment horizontal="left" vertical="center" wrapText="1"/>
    </xf>
    <xf numFmtId="0" fontId="18" fillId="0" borderId="45" xfId="3" applyFont="1" applyBorder="1" applyAlignment="1">
      <alignment horizontal="left" vertical="center" wrapText="1"/>
    </xf>
    <xf numFmtId="0" fontId="17" fillId="0" borderId="64" xfId="0" applyFont="1" applyBorder="1" applyAlignment="1" applyProtection="1">
      <alignment horizontal="left" vertical="center" wrapText="1"/>
      <protection locked="0"/>
    </xf>
    <xf numFmtId="0" fontId="17" fillId="0" borderId="64" xfId="0" applyFont="1" applyBorder="1" applyAlignment="1">
      <alignment horizontal="left" vertical="center" wrapText="1"/>
    </xf>
    <xf numFmtId="0" fontId="17" fillId="0" borderId="9" xfId="2" applyFont="1" applyBorder="1" applyAlignment="1">
      <alignment horizontal="left" vertical="center" wrapText="1"/>
    </xf>
    <xf numFmtId="0" fontId="17" fillId="0" borderId="9" xfId="2" applyFont="1" applyBorder="1" applyAlignment="1">
      <alignment horizontal="center" vertical="center" wrapText="1"/>
    </xf>
    <xf numFmtId="0" fontId="17" fillId="0" borderId="9" xfId="3" applyFont="1" applyBorder="1" applyAlignment="1">
      <alignment horizontal="left" vertical="center" wrapText="1"/>
    </xf>
    <xf numFmtId="0" fontId="17" fillId="4" borderId="64" xfId="2" applyFont="1" applyFill="1" applyBorder="1" applyAlignment="1">
      <alignment horizontal="left" vertical="center" wrapText="1"/>
    </xf>
    <xf numFmtId="0" fontId="17" fillId="0" borderId="64" xfId="2" applyFont="1" applyBorder="1" applyAlignment="1">
      <alignment horizontal="center" vertical="center"/>
    </xf>
    <xf numFmtId="0" fontId="17" fillId="0" borderId="3" xfId="2" applyFont="1" applyBorder="1" applyAlignment="1">
      <alignment horizontal="center" vertical="center"/>
    </xf>
    <xf numFmtId="0" fontId="17" fillId="0" borderId="3" xfId="3" applyFont="1" applyBorder="1" applyAlignment="1">
      <alignment horizontal="left" vertical="center" wrapText="1"/>
    </xf>
    <xf numFmtId="49" fontId="17" fillId="0" borderId="67" xfId="0" applyNumberFormat="1" applyFont="1" applyBorder="1" applyAlignment="1">
      <alignment horizontal="left" vertical="center" wrapText="1"/>
    </xf>
    <xf numFmtId="0" fontId="17" fillId="4" borderId="64" xfId="2" applyFont="1" applyFill="1" applyBorder="1" applyAlignment="1">
      <alignment horizontal="center" vertical="center" wrapText="1"/>
    </xf>
    <xf numFmtId="49" fontId="17" fillId="4" borderId="67" xfId="0" applyNumberFormat="1" applyFont="1" applyFill="1" applyBorder="1" applyAlignment="1">
      <alignment horizontal="left" vertical="center" wrapText="1"/>
    </xf>
    <xf numFmtId="49" fontId="17" fillId="0" borderId="64" xfId="0" applyNumberFormat="1" applyFont="1" applyBorder="1" applyAlignment="1">
      <alignment horizontal="left" vertical="center" wrapText="1"/>
    </xf>
    <xf numFmtId="0" fontId="17" fillId="0" borderId="2" xfId="2" applyFont="1" applyBorder="1" applyAlignment="1">
      <alignment horizontal="center" vertical="center" wrapText="1"/>
    </xf>
    <xf numFmtId="0" fontId="17" fillId="0" borderId="3" xfId="0" applyFont="1" applyBorder="1" applyAlignment="1">
      <alignment horizontal="left" vertical="center" wrapText="1"/>
    </xf>
    <xf numFmtId="0" fontId="18" fillId="4" borderId="64" xfId="0" applyFont="1" applyFill="1" applyBorder="1" applyAlignment="1">
      <alignment horizontal="left" vertical="center" wrapText="1"/>
    </xf>
    <xf numFmtId="0" fontId="17" fillId="0" borderId="64" xfId="2" applyFont="1" applyBorder="1" applyAlignment="1" applyProtection="1">
      <alignment horizontal="left" vertical="center" wrapText="1"/>
      <protection locked="0"/>
    </xf>
    <xf numFmtId="0" fontId="17" fillId="0" borderId="64" xfId="2" applyFont="1" applyBorder="1" applyAlignment="1" applyProtection="1">
      <alignment horizontal="center" vertical="center" wrapText="1"/>
      <protection locked="0"/>
    </xf>
    <xf numFmtId="0" fontId="17" fillId="0" borderId="9" xfId="2" applyFont="1" applyBorder="1" applyAlignment="1" applyProtection="1">
      <alignment horizontal="left" vertical="center" wrapText="1"/>
      <protection locked="0"/>
    </xf>
    <xf numFmtId="0" fontId="17" fillId="0" borderId="2" xfId="2" applyFont="1" applyBorder="1" applyAlignment="1" applyProtection="1">
      <alignment horizontal="center" vertical="center" wrapText="1"/>
      <protection locked="0"/>
    </xf>
    <xf numFmtId="0" fontId="17" fillId="0" borderId="9" xfId="0" applyFont="1" applyBorder="1" applyAlignment="1" applyProtection="1">
      <alignment horizontal="left" vertical="center" wrapText="1"/>
      <protection locked="0"/>
    </xf>
    <xf numFmtId="0" fontId="17" fillId="0" borderId="45" xfId="3" applyFont="1" applyBorder="1" applyAlignment="1">
      <alignment horizontal="left" vertical="center" wrapText="1"/>
    </xf>
    <xf numFmtId="0" fontId="17" fillId="0" borderId="64" xfId="3" applyFont="1" applyBorder="1" applyAlignment="1" applyProtection="1">
      <alignment horizontal="left" vertical="center" wrapText="1"/>
      <protection locked="0"/>
    </xf>
    <xf numFmtId="0" fontId="17" fillId="0" borderId="3" xfId="2" applyFont="1" applyBorder="1" applyAlignment="1" applyProtection="1">
      <alignment horizontal="left" vertical="center" wrapText="1"/>
      <protection locked="0"/>
    </xf>
    <xf numFmtId="0" fontId="18" fillId="0" borderId="64" xfId="3" applyFont="1" applyBorder="1" applyAlignment="1">
      <alignment horizontal="left" vertical="center" wrapText="1"/>
    </xf>
    <xf numFmtId="0" fontId="17" fillId="0" borderId="3" xfId="0" applyFont="1" applyBorder="1" applyAlignment="1" applyProtection="1">
      <alignment horizontal="left" vertical="center" wrapText="1"/>
      <protection locked="0"/>
    </xf>
    <xf numFmtId="0" fontId="17" fillId="0" borderId="45" xfId="3" applyFont="1" applyBorder="1" applyAlignment="1" applyProtection="1">
      <alignment horizontal="left" vertical="center" wrapText="1"/>
      <protection locked="0"/>
    </xf>
    <xf numFmtId="0" fontId="17" fillId="0" borderId="63" xfId="2" applyFont="1" applyBorder="1" applyAlignment="1" applyProtection="1">
      <alignment horizontal="center" vertical="center" wrapText="1"/>
      <protection locked="0"/>
    </xf>
    <xf numFmtId="0" fontId="18" fillId="0" borderId="59" xfId="0" applyFont="1" applyBorder="1" applyAlignment="1">
      <alignment horizontal="left" vertical="center" wrapText="1"/>
    </xf>
    <xf numFmtId="0" fontId="17" fillId="4" borderId="3" xfId="2" applyFont="1" applyFill="1" applyBorder="1" applyAlignment="1">
      <alignment horizontal="left" vertical="center" wrapText="1"/>
    </xf>
    <xf numFmtId="0" fontId="17" fillId="4" borderId="3" xfId="2" applyFont="1" applyFill="1" applyBorder="1" applyAlignment="1">
      <alignment horizontal="center" vertical="center" wrapText="1"/>
    </xf>
    <xf numFmtId="0" fontId="17" fillId="0" borderId="63" xfId="2" applyFont="1" applyBorder="1" applyAlignment="1">
      <alignment horizontal="left" vertical="center" wrapText="1"/>
    </xf>
    <xf numFmtId="0" fontId="17" fillId="0" borderId="63" xfId="2" applyFont="1" applyBorder="1" applyAlignment="1">
      <alignment horizontal="center" vertical="center" wrapText="1"/>
    </xf>
    <xf numFmtId="0" fontId="17" fillId="0" borderId="59" xfId="3" applyFont="1" applyBorder="1" applyAlignment="1">
      <alignment horizontal="left" vertical="center" wrapText="1"/>
    </xf>
    <xf numFmtId="0" fontId="17" fillId="0" borderId="4" xfId="2" applyFont="1" applyBorder="1" applyAlignment="1">
      <alignment horizontal="left" vertical="center" wrapText="1"/>
    </xf>
    <xf numFmtId="0" fontId="17" fillId="0" borderId="4" xfId="2" applyFont="1" applyBorder="1" applyAlignment="1">
      <alignment horizontal="center" vertical="center" wrapText="1"/>
    </xf>
    <xf numFmtId="0" fontId="17" fillId="0" borderId="4" xfId="3" applyFont="1" applyBorder="1" applyAlignment="1">
      <alignment horizontal="left" vertical="center" wrapText="1"/>
    </xf>
    <xf numFmtId="0" fontId="17" fillId="0" borderId="10" xfId="2" applyFont="1" applyBorder="1" applyAlignment="1">
      <alignment horizontal="left" vertical="center" wrapText="1"/>
    </xf>
    <xf numFmtId="0" fontId="17" fillId="0" borderId="10" xfId="2" applyFont="1" applyBorder="1" applyAlignment="1">
      <alignment horizontal="center" vertical="center" wrapText="1"/>
    </xf>
    <xf numFmtId="0" fontId="17" fillId="0" borderId="45" xfId="6" applyFont="1" applyBorder="1" applyAlignment="1">
      <alignment horizontal="left" vertical="center" wrapText="1"/>
    </xf>
    <xf numFmtId="0" fontId="18" fillId="0" borderId="64" xfId="3" applyFont="1" applyBorder="1" applyAlignment="1" applyProtection="1">
      <alignment horizontal="left" vertical="center" wrapText="1"/>
      <protection locked="0"/>
    </xf>
    <xf numFmtId="0" fontId="17" fillId="0" borderId="1" xfId="3" applyFont="1" applyBorder="1" applyAlignment="1">
      <alignment horizontal="left" vertical="center" wrapText="1"/>
    </xf>
    <xf numFmtId="0" fontId="17" fillId="0" borderId="1" xfId="5" applyFont="1" applyBorder="1" applyAlignment="1">
      <alignment horizontal="left" vertical="center" wrapText="1"/>
    </xf>
    <xf numFmtId="0" fontId="17" fillId="0" borderId="1" xfId="0" applyFont="1" applyBorder="1" applyAlignment="1" applyProtection="1">
      <alignment horizontal="left" vertical="center" wrapText="1"/>
      <protection locked="0"/>
    </xf>
    <xf numFmtId="0" fontId="17" fillId="0" borderId="1" xfId="0" applyFont="1" applyBorder="1" applyAlignment="1">
      <alignment horizontal="left" vertical="center" wrapText="1"/>
    </xf>
    <xf numFmtId="49" fontId="17" fillId="0" borderId="64" xfId="0" applyNumberFormat="1" applyFont="1" applyBorder="1" applyAlignment="1">
      <alignment vertical="center" wrapText="1"/>
    </xf>
    <xf numFmtId="0" fontId="18" fillId="4" borderId="1" xfId="0" applyFont="1" applyFill="1" applyBorder="1" applyAlignment="1">
      <alignment horizontal="left" vertical="center" wrapText="1"/>
    </xf>
    <xf numFmtId="0" fontId="17" fillId="0" borderId="12" xfId="3" applyFont="1" applyBorder="1" applyAlignment="1">
      <alignment horizontal="left" vertical="center" wrapText="1"/>
    </xf>
    <xf numFmtId="0" fontId="17" fillId="0" borderId="1" xfId="3" applyFont="1" applyBorder="1" applyAlignment="1" applyProtection="1">
      <alignment horizontal="left" vertical="center" wrapText="1"/>
      <protection locked="0"/>
    </xf>
    <xf numFmtId="0" fontId="17" fillId="0" borderId="1" xfId="3" applyFont="1" applyBorder="1" applyAlignment="1">
      <alignment vertical="center" wrapText="1"/>
    </xf>
    <xf numFmtId="0" fontId="17" fillId="0" borderId="1" xfId="0" applyFont="1" applyBorder="1" applyAlignment="1">
      <alignment vertical="center" wrapText="1"/>
    </xf>
    <xf numFmtId="0" fontId="17" fillId="0" borderId="1" xfId="3" applyFont="1" applyBorder="1" applyAlignment="1">
      <alignment vertical="top" wrapText="1"/>
    </xf>
    <xf numFmtId="0" fontId="17" fillId="0" borderId="3" xfId="3" applyFont="1" applyBorder="1" applyAlignment="1">
      <alignment vertical="center" wrapText="1"/>
    </xf>
    <xf numFmtId="0" fontId="17" fillId="0" borderId="1" xfId="3" applyFont="1" applyBorder="1" applyAlignment="1" applyProtection="1">
      <alignment vertical="center" wrapText="1"/>
      <protection locked="0"/>
    </xf>
    <xf numFmtId="0" fontId="17" fillId="0" borderId="45" xfId="3" applyFont="1" applyBorder="1" applyAlignment="1" applyProtection="1">
      <alignment vertical="center" wrapText="1"/>
      <protection locked="0"/>
    </xf>
    <xf numFmtId="0" fontId="17" fillId="0" borderId="11" xfId="0" applyFont="1" applyBorder="1" applyAlignment="1" applyProtection="1">
      <alignment horizontal="left" vertical="center" wrapText="1"/>
      <protection locked="0"/>
    </xf>
    <xf numFmtId="0" fontId="17" fillId="0" borderId="45" xfId="3" applyFont="1" applyBorder="1" applyAlignment="1">
      <alignment vertical="center" wrapText="1"/>
    </xf>
    <xf numFmtId="0" fontId="17" fillId="0" borderId="45" xfId="6" applyFont="1" applyBorder="1" applyAlignment="1">
      <alignment vertical="center" wrapText="1"/>
    </xf>
    <xf numFmtId="0" fontId="18" fillId="0" borderId="1" xfId="3" applyFont="1" applyBorder="1" applyAlignment="1" applyProtection="1">
      <alignment vertical="center" wrapText="1"/>
      <protection locked="0"/>
    </xf>
    <xf numFmtId="0" fontId="17" fillId="0" borderId="2" xfId="3" applyFont="1" applyBorder="1" applyAlignment="1" applyProtection="1">
      <alignment horizontal="left" vertical="center" wrapText="1"/>
      <protection locked="0"/>
    </xf>
    <xf numFmtId="0" fontId="17" fillId="0" borderId="4" xfId="16" applyFont="1" applyBorder="1" applyAlignment="1">
      <alignment horizontal="left" vertical="center" wrapText="1"/>
    </xf>
    <xf numFmtId="0" fontId="17" fillId="0" borderId="10" xfId="16" applyFont="1" applyBorder="1" applyAlignment="1">
      <alignment horizontal="left" vertical="center" wrapText="1"/>
    </xf>
    <xf numFmtId="0" fontId="17" fillId="0" borderId="0" xfId="0" applyFont="1" applyAlignment="1" applyProtection="1">
      <alignment wrapText="1"/>
      <protection locked="0"/>
    </xf>
    <xf numFmtId="0" fontId="16" fillId="0" borderId="28" xfId="0" applyFont="1" applyBorder="1" applyAlignment="1" applyProtection="1">
      <alignment wrapText="1"/>
      <protection locked="0"/>
    </xf>
    <xf numFmtId="0" fontId="16" fillId="0" borderId="61" xfId="0" applyFont="1" applyBorder="1" applyAlignment="1" applyProtection="1">
      <alignment wrapText="1"/>
      <protection locked="0"/>
    </xf>
    <xf numFmtId="0" fontId="18" fillId="0" borderId="45" xfId="0" applyFont="1" applyBorder="1" applyAlignment="1">
      <alignment vertical="center" wrapText="1"/>
    </xf>
    <xf numFmtId="0" fontId="18" fillId="0" borderId="3" xfId="2" applyFont="1" applyBorder="1" applyAlignment="1">
      <alignment horizontal="left" vertical="center" wrapText="1"/>
    </xf>
    <xf numFmtId="0" fontId="18" fillId="0" borderId="3" xfId="2" applyFont="1" applyBorder="1" applyAlignment="1">
      <alignment horizontal="center" vertical="center" wrapText="1"/>
    </xf>
    <xf numFmtId="0" fontId="18" fillId="0" borderId="3" xfId="3" applyFont="1" applyBorder="1" applyAlignment="1">
      <alignment horizontal="left" vertical="center" wrapText="1"/>
    </xf>
    <xf numFmtId="0" fontId="18" fillId="0" borderId="64" xfId="2" applyFont="1" applyBorder="1" applyAlignment="1">
      <alignment horizontal="left" vertical="center" wrapText="1"/>
    </xf>
    <xf numFmtId="0" fontId="18" fillId="0" borderId="64" xfId="2" applyFont="1" applyBorder="1" applyAlignment="1">
      <alignment horizontal="center" vertical="center" wrapText="1"/>
    </xf>
    <xf numFmtId="0" fontId="18" fillId="0" borderId="2" xfId="3" applyFont="1" applyBorder="1" applyAlignment="1">
      <alignment horizontal="left" vertical="center" wrapText="1"/>
    </xf>
    <xf numFmtId="0" fontId="18" fillId="0" borderId="9" xfId="2" applyFont="1" applyBorder="1" applyAlignment="1">
      <alignment horizontal="left" vertical="center" wrapText="1"/>
    </xf>
    <xf numFmtId="0" fontId="18" fillId="0" borderId="2" xfId="2" applyFont="1" applyBorder="1" applyAlignment="1">
      <alignment horizontal="center" vertical="center" wrapText="1"/>
    </xf>
    <xf numFmtId="0" fontId="18" fillId="0" borderId="9" xfId="3" applyFont="1" applyBorder="1" applyAlignment="1">
      <alignment horizontal="left" vertical="center" wrapText="1"/>
    </xf>
    <xf numFmtId="0" fontId="18" fillId="0" borderId="64" xfId="2" applyFont="1" applyBorder="1" applyAlignment="1" applyProtection="1">
      <alignment horizontal="left" vertical="center" wrapText="1"/>
      <protection locked="0"/>
    </xf>
    <xf numFmtId="0" fontId="18" fillId="0" borderId="64" xfId="2" applyFont="1" applyBorder="1" applyAlignment="1" applyProtection="1">
      <alignment horizontal="center" vertical="center" wrapText="1"/>
      <protection locked="0"/>
    </xf>
    <xf numFmtId="0" fontId="18" fillId="11" borderId="64" xfId="2" applyFont="1" applyFill="1" applyBorder="1" applyAlignment="1" applyProtection="1">
      <alignment horizontal="left" vertical="center" wrapText="1"/>
      <protection locked="0"/>
    </xf>
    <xf numFmtId="0" fontId="18" fillId="11" borderId="64" xfId="0" applyFont="1" applyFill="1" applyBorder="1" applyAlignment="1" applyProtection="1">
      <alignment horizontal="left" vertical="center" wrapText="1"/>
      <protection locked="0"/>
    </xf>
    <xf numFmtId="0" fontId="18" fillId="11" borderId="64" xfId="2" applyFont="1" applyFill="1" applyBorder="1" applyAlignment="1">
      <alignment horizontal="left" vertical="center" wrapText="1"/>
    </xf>
    <xf numFmtId="0" fontId="18" fillId="11" borderId="64" xfId="3" applyFont="1" applyFill="1" applyBorder="1" applyAlignment="1">
      <alignment horizontal="left" vertical="center" wrapText="1"/>
    </xf>
    <xf numFmtId="0" fontId="18" fillId="4" borderId="3" xfId="2" applyFont="1" applyFill="1" applyBorder="1" applyAlignment="1">
      <alignment horizontal="left" vertical="center" wrapText="1"/>
    </xf>
    <xf numFmtId="0" fontId="18" fillId="4" borderId="3" xfId="2" applyFont="1" applyFill="1" applyBorder="1" applyAlignment="1">
      <alignment horizontal="center" vertical="center" wrapText="1"/>
    </xf>
    <xf numFmtId="0" fontId="18" fillId="4" borderId="3" xfId="3" applyFont="1" applyFill="1" applyBorder="1" applyAlignment="1">
      <alignment horizontal="left" vertical="center" wrapText="1"/>
    </xf>
    <xf numFmtId="0" fontId="17" fillId="10" borderId="3" xfId="2" applyFont="1" applyFill="1" applyBorder="1" applyAlignment="1">
      <alignment horizontal="center" vertical="center" wrapText="1"/>
    </xf>
    <xf numFmtId="0" fontId="17" fillId="0" borderId="0" xfId="0" applyFont="1" applyAlignment="1" applyProtection="1">
      <alignment horizontal="center"/>
      <protection locked="0"/>
    </xf>
    <xf numFmtId="0" fontId="17" fillId="0" borderId="0" xfId="0" applyFont="1" applyProtection="1">
      <protection locked="0"/>
    </xf>
    <xf numFmtId="0" fontId="17" fillId="0" borderId="6" xfId="2" applyFont="1" applyBorder="1" applyAlignment="1" applyProtection="1">
      <alignment horizontal="center" vertical="center"/>
      <protection locked="0"/>
    </xf>
    <xf numFmtId="0" fontId="17" fillId="0" borderId="3" xfId="14" applyFont="1" applyBorder="1" applyAlignment="1">
      <alignment horizontal="center" vertical="center" wrapText="1"/>
    </xf>
    <xf numFmtId="0" fontId="17" fillId="0" borderId="15" xfId="3" applyFont="1" applyBorder="1" applyAlignment="1">
      <alignment horizontal="center" vertical="center" wrapText="1"/>
    </xf>
    <xf numFmtId="0" fontId="17" fillId="0" borderId="15" xfId="3" applyFont="1" applyBorder="1" applyAlignment="1">
      <alignment horizontal="left" vertical="center" wrapText="1"/>
    </xf>
    <xf numFmtId="0" fontId="17" fillId="0" borderId="15" xfId="3" applyFont="1" applyBorder="1" applyAlignment="1" applyProtection="1">
      <alignment horizontal="center" vertical="center" wrapText="1"/>
      <protection locked="0"/>
    </xf>
    <xf numFmtId="0" fontId="17" fillId="0" borderId="32" xfId="3" applyFont="1" applyBorder="1" applyAlignment="1" applyProtection="1">
      <alignment horizontal="left" vertical="center" wrapText="1"/>
      <protection locked="0"/>
    </xf>
    <xf numFmtId="0" fontId="17" fillId="0" borderId="3" xfId="0" applyFont="1" applyBorder="1" applyAlignment="1">
      <alignment horizontal="center" vertical="center" wrapText="1"/>
    </xf>
    <xf numFmtId="0" fontId="17" fillId="0" borderId="46" xfId="3" applyFont="1" applyBorder="1" applyAlignment="1" applyProtection="1">
      <alignment horizontal="left" vertical="center" wrapText="1"/>
      <protection locked="0"/>
    </xf>
    <xf numFmtId="0" fontId="17" fillId="0" borderId="7" xfId="2" applyFont="1" applyBorder="1" applyAlignment="1" applyProtection="1">
      <alignment horizontal="center" vertical="center"/>
      <protection locked="0"/>
    </xf>
    <xf numFmtId="0" fontId="17" fillId="0" borderId="1" xfId="2" applyFont="1" applyBorder="1" applyAlignment="1">
      <alignment horizontal="center" vertical="center" wrapText="1"/>
    </xf>
    <xf numFmtId="0" fontId="17" fillId="0" borderId="1" xfId="3" applyFont="1" applyBorder="1" applyAlignment="1">
      <alignment horizontal="center" vertical="center" wrapText="1"/>
    </xf>
    <xf numFmtId="0" fontId="17" fillId="0" borderId="33" xfId="3" applyFont="1" applyBorder="1" applyAlignment="1" applyProtection="1">
      <alignment horizontal="left" vertical="center" wrapText="1"/>
      <protection locked="0"/>
    </xf>
    <xf numFmtId="0" fontId="17" fillId="0" borderId="12" xfId="5" applyFont="1" applyBorder="1" applyAlignment="1">
      <alignment horizontal="left" vertical="center" wrapText="1"/>
    </xf>
    <xf numFmtId="0" fontId="17" fillId="0" borderId="33" xfId="5" applyFont="1" applyBorder="1" applyAlignment="1" applyProtection="1">
      <alignment horizontal="left" vertical="center" wrapText="1"/>
      <protection locked="0"/>
    </xf>
    <xf numFmtId="0" fontId="22" fillId="6" borderId="33" xfId="3" applyFont="1" applyFill="1" applyBorder="1" applyAlignment="1" applyProtection="1">
      <alignment horizontal="left" vertical="center" wrapText="1"/>
      <protection locked="0"/>
    </xf>
    <xf numFmtId="0" fontId="17" fillId="0" borderId="12" xfId="3" applyFont="1" applyBorder="1" applyAlignment="1" applyProtection="1">
      <alignment horizontal="left" vertical="center" wrapText="1"/>
      <protection locked="0"/>
    </xf>
    <xf numFmtId="0" fontId="17" fillId="0" borderId="0" xfId="3" applyFont="1" applyProtection="1">
      <protection locked="0"/>
    </xf>
    <xf numFmtId="0" fontId="17" fillId="10" borderId="12" xfId="3" applyFont="1" applyFill="1" applyBorder="1" applyAlignment="1" applyProtection="1">
      <alignment horizontal="left" vertical="center" wrapText="1"/>
      <protection locked="0"/>
    </xf>
    <xf numFmtId="0" fontId="17" fillId="0" borderId="8" xfId="2" applyFont="1" applyBorder="1" applyAlignment="1" applyProtection="1">
      <alignment horizontal="center" vertical="center"/>
      <protection locked="0"/>
    </xf>
    <xf numFmtId="0" fontId="17" fillId="0" borderId="10" xfId="0" applyFont="1" applyBorder="1" applyAlignment="1">
      <alignment horizontal="center" vertical="center" wrapText="1"/>
    </xf>
    <xf numFmtId="0" fontId="17" fillId="0" borderId="9" xfId="3" applyFont="1" applyBorder="1" applyAlignment="1">
      <alignment horizontal="center" vertical="center" wrapText="1"/>
    </xf>
    <xf numFmtId="0" fontId="17" fillId="0" borderId="16" xfId="3" applyFont="1" applyBorder="1" applyAlignment="1">
      <alignment horizontal="left" vertical="center" wrapText="1"/>
    </xf>
    <xf numFmtId="0" fontId="17" fillId="0" borderId="17" xfId="3" applyFont="1" applyBorder="1" applyAlignment="1">
      <alignment horizontal="left" vertical="center" wrapText="1"/>
    </xf>
    <xf numFmtId="0" fontId="17" fillId="0" borderId="34" xfId="3" applyFont="1" applyBorder="1" applyAlignment="1" applyProtection="1">
      <alignment horizontal="left" vertical="center" wrapText="1"/>
      <protection locked="0"/>
    </xf>
    <xf numFmtId="0" fontId="17" fillId="0" borderId="0" xfId="3" applyFont="1"/>
    <xf numFmtId="0" fontId="17" fillId="0" borderId="1" xfId="2" applyFont="1" applyBorder="1" applyAlignment="1">
      <alignment horizontal="center" vertical="center"/>
    </xf>
    <xf numFmtId="0" fontId="17" fillId="0" borderId="1" xfId="3" applyFont="1" applyBorder="1" applyAlignment="1">
      <alignment horizontal="center" vertical="center"/>
    </xf>
    <xf numFmtId="0" fontId="17" fillId="0" borderId="15" xfId="2" applyFont="1" applyBorder="1" applyAlignment="1">
      <alignment horizontal="left" vertical="center"/>
    </xf>
    <xf numFmtId="0" fontId="17" fillId="0" borderId="46" xfId="3" applyFont="1" applyBorder="1" applyAlignment="1" applyProtection="1">
      <alignment horizontal="left" vertical="center"/>
      <protection locked="0"/>
    </xf>
    <xf numFmtId="0" fontId="17" fillId="0" borderId="15" xfId="2" applyFont="1" applyBorder="1" applyAlignment="1">
      <alignment horizontal="left" vertical="center" wrapText="1"/>
    </xf>
    <xf numFmtId="0" fontId="17" fillId="0" borderId="3" xfId="0" applyFont="1" applyBorder="1" applyAlignment="1">
      <alignment horizontal="center" vertical="center"/>
    </xf>
    <xf numFmtId="0" fontId="17" fillId="0" borderId="15" xfId="3" applyFont="1" applyBorder="1" applyAlignment="1" applyProtection="1">
      <alignment horizontal="left" vertical="center" wrapText="1"/>
      <protection locked="0"/>
    </xf>
    <xf numFmtId="0" fontId="17" fillId="0" borderId="64" xfId="3" applyFont="1" applyBorder="1" applyAlignment="1">
      <alignment horizontal="center" vertical="center" wrapText="1"/>
    </xf>
    <xf numFmtId="0" fontId="17" fillId="0" borderId="3" xfId="3" applyFont="1" applyBorder="1" applyAlignment="1">
      <alignment horizontal="center" vertical="center" wrapText="1"/>
    </xf>
    <xf numFmtId="0" fontId="17" fillId="0" borderId="33" xfId="3" applyFont="1" applyBorder="1" applyAlignment="1" applyProtection="1">
      <alignment horizontal="center" vertical="center" wrapText="1"/>
      <protection locked="0"/>
    </xf>
    <xf numFmtId="0" fontId="17" fillId="0" borderId="11" xfId="0" applyFont="1" applyBorder="1" applyAlignment="1">
      <alignment horizontal="center" vertical="center" wrapText="1"/>
    </xf>
    <xf numFmtId="0" fontId="17" fillId="0" borderId="2" xfId="14" applyFont="1" applyBorder="1" applyAlignment="1">
      <alignment horizontal="center" vertical="center" wrapText="1"/>
    </xf>
    <xf numFmtId="0" fontId="17" fillId="0" borderId="2" xfId="3" applyFont="1" applyBorder="1" applyAlignment="1">
      <alignment horizontal="center" vertical="center" wrapText="1"/>
    </xf>
    <xf numFmtId="0" fontId="17" fillId="0" borderId="13" xfId="3" applyFont="1" applyBorder="1" applyAlignment="1">
      <alignment horizontal="left" vertical="center" wrapText="1"/>
    </xf>
    <xf numFmtId="0" fontId="17" fillId="0" borderId="17" xfId="3" applyFont="1" applyBorder="1" applyAlignment="1" applyProtection="1">
      <alignment horizontal="left" vertical="center" wrapText="1"/>
      <protection locked="0"/>
    </xf>
    <xf numFmtId="0" fontId="17" fillId="0" borderId="31" xfId="3" applyFont="1" applyBorder="1" applyAlignment="1" applyProtection="1">
      <alignment horizontal="left" vertical="center" wrapText="1"/>
      <protection locked="0"/>
    </xf>
    <xf numFmtId="0" fontId="17" fillId="0" borderId="1" xfId="0" applyFont="1" applyBorder="1" applyAlignment="1">
      <alignment horizontal="center" vertical="center" wrapText="1"/>
    </xf>
    <xf numFmtId="0" fontId="17" fillId="0" borderId="1" xfId="14" applyFont="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25" fillId="0" borderId="26" xfId="3" applyFont="1" applyBorder="1" applyAlignment="1" applyProtection="1">
      <alignment horizontal="center" vertical="center" wrapText="1"/>
      <protection locked="0"/>
    </xf>
    <xf numFmtId="0" fontId="17" fillId="4" borderId="15" xfId="3" applyFont="1" applyFill="1" applyBorder="1" applyAlignment="1" applyProtection="1">
      <alignment horizontal="left" vertical="center" wrapText="1"/>
      <protection locked="0"/>
    </xf>
    <xf numFmtId="0" fontId="17" fillId="4" borderId="33" xfId="3" applyFont="1" applyFill="1" applyBorder="1" applyAlignment="1" applyProtection="1">
      <alignment horizontal="left" vertical="center" wrapText="1"/>
      <protection locked="0"/>
    </xf>
    <xf numFmtId="0" fontId="17" fillId="4" borderId="0" xfId="3" applyFont="1" applyFill="1" applyProtection="1">
      <protection locked="0"/>
    </xf>
    <xf numFmtId="0" fontId="17" fillId="0" borderId="2" xfId="14" applyFont="1" applyBorder="1" applyAlignment="1" applyProtection="1">
      <alignment horizontal="center" vertical="center" wrapText="1"/>
      <protection locked="0"/>
    </xf>
    <xf numFmtId="0" fontId="21" fillId="0" borderId="15" xfId="3" applyFont="1" applyBorder="1" applyAlignment="1" applyProtection="1">
      <alignment horizontal="left" vertical="center" wrapText="1"/>
      <protection locked="0"/>
    </xf>
    <xf numFmtId="0" fontId="17" fillId="4" borderId="3" xfId="0" applyFont="1" applyFill="1" applyBorder="1" applyAlignment="1">
      <alignment horizontal="center" vertical="center" wrapText="1"/>
    </xf>
    <xf numFmtId="0" fontId="17" fillId="4" borderId="15" xfId="3" applyFont="1" applyFill="1" applyBorder="1" applyAlignment="1">
      <alignment horizontal="center" vertical="center" wrapText="1"/>
    </xf>
    <xf numFmtId="0" fontId="17" fillId="4" borderId="15" xfId="3" applyFont="1" applyFill="1" applyBorder="1" applyAlignment="1">
      <alignment horizontal="left" vertical="center" wrapText="1"/>
    </xf>
    <xf numFmtId="0" fontId="21" fillId="4" borderId="15" xfId="3" applyFont="1" applyFill="1" applyBorder="1" applyAlignment="1">
      <alignment horizontal="left" vertical="center" wrapText="1"/>
    </xf>
    <xf numFmtId="0" fontId="17" fillId="4" borderId="15" xfId="0" applyFont="1" applyFill="1" applyBorder="1" applyAlignment="1">
      <alignment horizontal="left" vertical="center" wrapText="1"/>
    </xf>
    <xf numFmtId="0" fontId="17" fillId="4" borderId="15" xfId="0" applyFont="1" applyFill="1" applyBorder="1" applyAlignment="1" applyProtection="1">
      <alignment horizontal="left" vertical="center" wrapText="1"/>
      <protection locked="0"/>
    </xf>
    <xf numFmtId="0" fontId="17" fillId="4" borderId="46" xfId="3" applyFont="1" applyFill="1" applyBorder="1" applyAlignment="1" applyProtection="1">
      <alignment horizontal="left" vertical="center" wrapText="1"/>
      <protection locked="0"/>
    </xf>
    <xf numFmtId="0" fontId="17" fillId="0" borderId="15" xfId="0" applyFont="1" applyBorder="1" applyAlignment="1">
      <alignment horizontal="left" vertical="center" wrapText="1"/>
    </xf>
    <xf numFmtId="0" fontId="17" fillId="7" borderId="15" xfId="0" applyFont="1" applyFill="1" applyBorder="1" applyAlignment="1" applyProtection="1">
      <alignment horizontal="left" vertical="center" wrapText="1"/>
      <protection locked="0"/>
    </xf>
    <xf numFmtId="0" fontId="17" fillId="0" borderId="3" xfId="0" applyFont="1" applyBorder="1" applyAlignment="1" applyProtection="1">
      <alignment horizontal="center" vertical="center" wrapText="1"/>
      <protection locked="0"/>
    </xf>
    <xf numFmtId="0" fontId="22" fillId="0" borderId="12" xfId="0" applyFont="1" applyBorder="1" applyAlignment="1" applyProtection="1">
      <alignment horizontal="left" vertical="center" wrapText="1"/>
      <protection locked="0"/>
    </xf>
    <xf numFmtId="0" fontId="17" fillId="0" borderId="3" xfId="3" applyFont="1" applyBorder="1" applyAlignment="1" applyProtection="1">
      <alignment horizontal="center" vertical="center" wrapText="1"/>
      <protection locked="0"/>
    </xf>
    <xf numFmtId="0" fontId="17" fillId="0" borderId="3" xfId="2" applyFont="1" applyBorder="1" applyAlignment="1" applyProtection="1">
      <alignment horizontal="center" vertical="center" wrapText="1"/>
      <protection locked="0"/>
    </xf>
    <xf numFmtId="0" fontId="17" fillId="0" borderId="15" xfId="0" applyFont="1" applyBorder="1" applyAlignment="1" applyProtection="1">
      <alignment horizontal="left" vertical="center" wrapText="1"/>
      <protection locked="0"/>
    </xf>
    <xf numFmtId="0" fontId="17" fillId="0" borderId="12" xfId="2" applyFont="1" applyBorder="1" applyAlignment="1">
      <alignment horizontal="left" vertical="center" wrapText="1"/>
    </xf>
    <xf numFmtId="0" fontId="17" fillId="0" borderId="12" xfId="2" applyFont="1" applyBorder="1" applyAlignment="1" applyProtection="1">
      <alignment horizontal="left" vertical="center" wrapText="1"/>
      <protection locked="0"/>
    </xf>
    <xf numFmtId="0" fontId="17" fillId="0" borderId="0" xfId="3" applyFont="1" applyAlignment="1" applyProtection="1">
      <alignment wrapText="1"/>
      <protection locked="0"/>
    </xf>
    <xf numFmtId="0" fontId="21" fillId="0" borderId="15" xfId="2" applyFont="1" applyBorder="1" applyAlignment="1">
      <alignment horizontal="left" vertical="center" wrapText="1"/>
    </xf>
    <xf numFmtId="0" fontId="17" fillId="6" borderId="12" xfId="2" applyFont="1" applyFill="1" applyBorder="1" applyAlignment="1" applyProtection="1">
      <alignment horizontal="left" vertical="center" wrapText="1"/>
      <protection locked="0"/>
    </xf>
    <xf numFmtId="0" fontId="16" fillId="0" borderId="33" xfId="3" applyFont="1" applyBorder="1" applyAlignment="1" applyProtection="1">
      <alignment horizontal="center" vertical="center" wrapText="1"/>
      <protection locked="0"/>
    </xf>
    <xf numFmtId="0" fontId="17" fillId="4" borderId="7" xfId="2" applyFont="1" applyFill="1" applyBorder="1" applyAlignment="1" applyProtection="1">
      <alignment horizontal="center" vertical="center"/>
      <protection locked="0"/>
    </xf>
    <xf numFmtId="0" fontId="25" fillId="0" borderId="15" xfId="0" applyFont="1" applyBorder="1" applyAlignment="1" applyProtection="1">
      <alignment horizontal="center" vertical="center" wrapText="1"/>
      <protection locked="0"/>
    </xf>
    <xf numFmtId="0" fontId="22" fillId="0" borderId="33" xfId="3" applyFont="1" applyBorder="1" applyAlignment="1" applyProtection="1">
      <alignment vertical="center" wrapText="1"/>
      <protection locked="0"/>
    </xf>
    <xf numFmtId="0" fontId="19" fillId="0" borderId="0" xfId="3" applyFont="1" applyProtection="1">
      <protection locked="0"/>
    </xf>
    <xf numFmtId="0" fontId="22" fillId="0" borderId="46" xfId="3" applyFont="1" applyBorder="1" applyAlignment="1" applyProtection="1">
      <alignment vertical="center" wrapText="1"/>
      <protection locked="0"/>
    </xf>
    <xf numFmtId="0" fontId="17" fillId="0" borderId="45" xfId="2" applyFont="1" applyBorder="1" applyAlignment="1">
      <alignment horizontal="left" vertical="center" wrapText="1"/>
    </xf>
    <xf numFmtId="0" fontId="18" fillId="0" borderId="49" xfId="2" applyFont="1" applyBorder="1" applyAlignment="1" applyProtection="1">
      <alignment horizontal="left" vertical="center" wrapText="1"/>
      <protection locked="0"/>
    </xf>
    <xf numFmtId="0" fontId="18" fillId="0" borderId="45" xfId="2" applyFont="1" applyBorder="1" applyAlignment="1">
      <alignment horizontal="left" vertical="center" wrapText="1"/>
    </xf>
    <xf numFmtId="0" fontId="18" fillId="6" borderId="49" xfId="2" applyFont="1" applyFill="1" applyBorder="1" applyAlignment="1" applyProtection="1">
      <alignment horizontal="left" vertical="center" wrapText="1"/>
      <protection locked="0"/>
    </xf>
    <xf numFmtId="0" fontId="17" fillId="0" borderId="15" xfId="2" applyFont="1" applyBorder="1" applyAlignment="1" applyProtection="1">
      <alignment horizontal="left" vertical="center" wrapText="1"/>
      <protection locked="0"/>
    </xf>
    <xf numFmtId="0" fontId="22" fillId="0" borderId="15" xfId="0" applyFont="1" applyBorder="1" applyAlignment="1" applyProtection="1">
      <alignment horizontal="left" vertical="center" wrapText="1"/>
      <protection locked="0"/>
    </xf>
    <xf numFmtId="0" fontId="17" fillId="0" borderId="1" xfId="14" applyFont="1" applyBorder="1" applyAlignment="1">
      <alignment horizontal="center" vertical="center" wrapText="1"/>
    </xf>
    <xf numFmtId="0" fontId="27" fillId="0" borderId="47" xfId="0" applyFont="1" applyBorder="1" applyAlignment="1">
      <alignment horizontal="left" vertical="center" wrapText="1"/>
    </xf>
    <xf numFmtId="0" fontId="27" fillId="6" borderId="0" xfId="0" applyFont="1" applyFill="1" applyAlignment="1" applyProtection="1">
      <alignment horizontal="left" vertical="center" wrapText="1"/>
      <protection locked="0"/>
    </xf>
    <xf numFmtId="0" fontId="17" fillId="0" borderId="45" xfId="0" applyFont="1" applyBorder="1" applyAlignment="1" applyProtection="1">
      <alignment horizontal="center" vertical="center"/>
      <protection locked="0"/>
    </xf>
    <xf numFmtId="0" fontId="17" fillId="0" borderId="45" xfId="3" applyFont="1" applyBorder="1" applyAlignment="1" applyProtection="1">
      <alignment horizontal="center" vertical="center" wrapText="1"/>
      <protection locked="0"/>
    </xf>
    <xf numFmtId="0" fontId="17" fillId="0" borderId="12" xfId="0" applyFont="1" applyBorder="1" applyAlignment="1" applyProtection="1">
      <alignment horizontal="left" vertical="center" wrapText="1"/>
      <protection locked="0"/>
    </xf>
    <xf numFmtId="0" fontId="21" fillId="0" borderId="15" xfId="3" applyFont="1" applyBorder="1" applyAlignment="1">
      <alignment horizontal="left" vertical="center" wrapText="1"/>
    </xf>
    <xf numFmtId="0" fontId="17" fillId="6" borderId="12" xfId="3" applyFont="1" applyFill="1" applyBorder="1" applyAlignment="1" applyProtection="1">
      <alignment horizontal="left" vertical="center" wrapText="1"/>
      <protection locked="0"/>
    </xf>
    <xf numFmtId="0" fontId="17" fillId="0" borderId="63" xfId="0" applyFont="1" applyBorder="1" applyAlignment="1">
      <alignment horizontal="center" vertical="center" wrapText="1"/>
    </xf>
    <xf numFmtId="0" fontId="17" fillId="0" borderId="11" xfId="14" applyFont="1" applyBorder="1" applyAlignment="1" applyProtection="1">
      <alignment horizontal="center" vertical="center" wrapText="1"/>
      <protection locked="0"/>
    </xf>
    <xf numFmtId="0" fontId="17" fillId="0" borderId="11" xfId="2" applyFont="1" applyBorder="1" applyAlignment="1" applyProtection="1">
      <alignment horizontal="center" vertical="center" wrapText="1"/>
      <protection locked="0"/>
    </xf>
    <xf numFmtId="0" fontId="17" fillId="0" borderId="11" xfId="0" applyFont="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25" fillId="0" borderId="15" xfId="3" applyFont="1" applyBorder="1" applyAlignment="1" applyProtection="1">
      <alignment horizontal="left" vertical="center" wrapText="1"/>
      <protection locked="0"/>
    </xf>
    <xf numFmtId="0" fontId="18" fillId="0" borderId="45" xfId="0" applyFont="1" applyBorder="1" applyAlignment="1">
      <alignment horizontal="center" vertical="center"/>
    </xf>
    <xf numFmtId="0" fontId="17" fillId="6" borderId="15" xfId="3" applyFont="1" applyFill="1" applyBorder="1" applyAlignment="1" applyProtection="1">
      <alignment horizontal="left" vertical="center" wrapText="1"/>
      <protection locked="0"/>
    </xf>
    <xf numFmtId="0" fontId="17" fillId="0" borderId="64" xfId="0" applyFont="1" applyBorder="1" applyAlignment="1">
      <alignment horizontal="center" vertical="center" wrapText="1"/>
    </xf>
    <xf numFmtId="0" fontId="29" fillId="0" borderId="15" xfId="3" applyFont="1" applyBorder="1" applyAlignment="1">
      <alignment horizontal="left" vertical="center" wrapText="1"/>
    </xf>
    <xf numFmtId="0" fontId="17" fillId="0" borderId="1" xfId="0" applyFont="1" applyBorder="1" applyAlignment="1">
      <alignment horizontal="center" vertical="center"/>
    </xf>
    <xf numFmtId="0" fontId="17" fillId="0" borderId="12" xfId="0" applyFont="1" applyBorder="1" applyAlignment="1">
      <alignment vertical="center"/>
    </xf>
    <xf numFmtId="0" fontId="17" fillId="0" borderId="15" xfId="0" applyFont="1" applyBorder="1" applyAlignment="1">
      <alignment vertical="center"/>
    </xf>
    <xf numFmtId="0" fontId="17" fillId="0" borderId="15" xfId="0" applyFont="1" applyBorder="1" applyAlignment="1" applyProtection="1">
      <alignment vertical="center"/>
      <protection locked="0"/>
    </xf>
    <xf numFmtId="0" fontId="17" fillId="0" borderId="56" xfId="3" applyFont="1" applyBorder="1" applyAlignment="1">
      <alignment horizontal="left" vertical="center" wrapText="1"/>
    </xf>
    <xf numFmtId="0" fontId="17" fillId="0" borderId="40" xfId="3" applyFont="1" applyBorder="1" applyAlignment="1" applyProtection="1">
      <alignment horizontal="left" vertical="center" wrapText="1"/>
      <protection locked="0"/>
    </xf>
    <xf numFmtId="0" fontId="17" fillId="0" borderId="13" xfId="0" applyFont="1" applyBorder="1" applyAlignment="1">
      <alignment horizontal="left" vertical="center" wrapText="1"/>
    </xf>
    <xf numFmtId="0" fontId="17" fillId="0" borderId="13" xfId="0" applyFont="1" applyBorder="1" applyAlignment="1" applyProtection="1">
      <alignment horizontal="left" vertical="center" wrapText="1"/>
      <protection locked="0"/>
    </xf>
    <xf numFmtId="0" fontId="17" fillId="0" borderId="13" xfId="3" applyFont="1" applyBorder="1" applyAlignment="1" applyProtection="1">
      <alignment horizontal="left" vertical="center" wrapText="1"/>
      <protection locked="0"/>
    </xf>
    <xf numFmtId="0" fontId="25" fillId="6" borderId="32" xfId="3" applyFont="1" applyFill="1" applyBorder="1" applyAlignment="1" applyProtection="1">
      <alignment horizontal="left" vertical="center" wrapText="1"/>
      <protection locked="0"/>
    </xf>
    <xf numFmtId="0" fontId="17" fillId="0" borderId="12" xfId="0" applyFont="1" applyBorder="1" applyAlignment="1">
      <alignment horizontal="left" vertical="center" wrapText="1"/>
    </xf>
    <xf numFmtId="0" fontId="16" fillId="0" borderId="0" xfId="3" applyFont="1" applyProtection="1">
      <protection locked="0"/>
    </xf>
    <xf numFmtId="0" fontId="17" fillId="6" borderId="12" xfId="0" applyFont="1" applyFill="1" applyBorder="1" applyAlignment="1" applyProtection="1">
      <alignment horizontal="left" vertical="center" wrapText="1"/>
      <protection locked="0"/>
    </xf>
    <xf numFmtId="0" fontId="17" fillId="0" borderId="1" xfId="3" applyFont="1" applyBorder="1" applyAlignment="1" applyProtection="1">
      <alignment horizontal="center" vertical="center" wrapText="1"/>
      <protection locked="0"/>
    </xf>
    <xf numFmtId="0" fontId="19" fillId="0" borderId="15" xfId="3" applyFont="1" applyBorder="1" applyAlignment="1" applyProtection="1">
      <alignment horizontal="left" vertical="center" wrapText="1"/>
      <protection locked="0"/>
    </xf>
    <xf numFmtId="0" fontId="19" fillId="0" borderId="1" xfId="3" applyFont="1" applyBorder="1" applyProtection="1">
      <protection locked="0"/>
    </xf>
    <xf numFmtId="0" fontId="19" fillId="0" borderId="12" xfId="3" applyFont="1" applyBorder="1" applyProtection="1">
      <protection locked="0"/>
    </xf>
    <xf numFmtId="0" fontId="19" fillId="0" borderId="33" xfId="3" applyFont="1" applyBorder="1" applyAlignment="1" applyProtection="1">
      <alignment horizontal="left" vertical="center" wrapText="1"/>
      <protection locked="0"/>
    </xf>
    <xf numFmtId="0" fontId="25" fillId="0" borderId="1" xfId="3" applyFont="1" applyBorder="1" applyAlignment="1" applyProtection="1">
      <alignment vertical="center" wrapText="1"/>
      <protection locked="0"/>
    </xf>
    <xf numFmtId="0" fontId="25" fillId="0" borderId="12" xfId="3" applyFont="1" applyBorder="1" applyAlignment="1" applyProtection="1">
      <alignment vertical="center" wrapText="1"/>
      <protection locked="0"/>
    </xf>
    <xf numFmtId="0" fontId="17" fillId="0" borderId="11" xfId="2" applyFont="1" applyBorder="1" applyAlignment="1">
      <alignment horizontal="center" vertical="center" wrapText="1"/>
    </xf>
    <xf numFmtId="0" fontId="17" fillId="0" borderId="46" xfId="3" applyFont="1" applyBorder="1" applyAlignment="1" applyProtection="1">
      <alignment horizontal="center" vertical="center" wrapText="1"/>
      <protection locked="0"/>
    </xf>
    <xf numFmtId="0" fontId="17" fillId="0" borderId="6" xfId="2" applyFont="1" applyBorder="1" applyAlignment="1" applyProtection="1">
      <alignment horizontal="center" vertical="center" wrapText="1"/>
      <protection locked="0"/>
    </xf>
    <xf numFmtId="0" fontId="17" fillId="0" borderId="2" xfId="0" applyFont="1" applyBorder="1" applyAlignment="1">
      <alignment horizontal="center" vertical="center" wrapText="1"/>
    </xf>
    <xf numFmtId="0" fontId="17" fillId="0" borderId="45" xfId="0" applyFont="1" applyBorder="1" applyAlignment="1">
      <alignment horizontal="center" vertical="center"/>
    </xf>
    <xf numFmtId="0" fontId="17" fillId="0" borderId="15" xfId="0" applyFont="1" applyBorder="1" applyAlignment="1">
      <alignment horizontal="center" vertical="center" wrapText="1"/>
    </xf>
    <xf numFmtId="0" fontId="17" fillId="0" borderId="45" xfId="0" applyFont="1" applyBorder="1" applyAlignment="1" applyProtection="1">
      <alignment horizontal="center" vertical="center" wrapText="1"/>
      <protection locked="0"/>
    </xf>
    <xf numFmtId="0" fontId="17" fillId="0" borderId="2" xfId="0" applyFont="1" applyBorder="1" applyAlignment="1" applyProtection="1">
      <alignment horizontal="center" vertical="center" wrapText="1"/>
      <protection locked="0"/>
    </xf>
    <xf numFmtId="0" fontId="17" fillId="0" borderId="62" xfId="3" applyFont="1" applyBorder="1" applyAlignment="1" applyProtection="1">
      <alignment horizontal="left" vertical="center" wrapText="1"/>
      <protection locked="0"/>
    </xf>
    <xf numFmtId="0" fontId="17" fillId="0" borderId="26" xfId="3" applyFont="1" applyBorder="1" applyAlignment="1" applyProtection="1">
      <alignment horizontal="left" vertical="center" wrapText="1"/>
      <protection locked="0"/>
    </xf>
    <xf numFmtId="0" fontId="17" fillId="0" borderId="17" xfId="3" applyFont="1" applyBorder="1" applyAlignment="1">
      <alignment horizontal="center" vertical="center" wrapText="1"/>
    </xf>
    <xf numFmtId="0" fontId="17" fillId="0" borderId="17" xfId="3" applyFont="1" applyBorder="1" applyAlignment="1" applyProtection="1">
      <alignment horizontal="center" vertical="center" wrapText="1"/>
      <protection locked="0"/>
    </xf>
    <xf numFmtId="0" fontId="17" fillId="0" borderId="26" xfId="3" applyFont="1" applyBorder="1" applyAlignment="1" applyProtection="1">
      <alignment horizontal="center" vertical="center" wrapText="1"/>
      <protection locked="0"/>
    </xf>
    <xf numFmtId="0" fontId="17" fillId="0" borderId="5" xfId="2" applyFont="1" applyBorder="1" applyAlignment="1" applyProtection="1">
      <alignment horizontal="center" vertical="center"/>
      <protection locked="0"/>
    </xf>
    <xf numFmtId="0" fontId="17" fillId="0" borderId="4" xfId="0" applyFont="1" applyBorder="1" applyAlignment="1">
      <alignment horizontal="center" vertical="center" wrapText="1"/>
    </xf>
    <xf numFmtId="0" fontId="17" fillId="0" borderId="14" xfId="2" applyFont="1" applyBorder="1" applyAlignment="1">
      <alignment horizontal="left" vertical="center" wrapText="1"/>
    </xf>
    <xf numFmtId="0" fontId="17" fillId="0" borderId="14" xfId="2" applyFont="1" applyBorder="1" applyAlignment="1">
      <alignment horizontal="center" vertical="center" wrapText="1"/>
    </xf>
    <xf numFmtId="0" fontId="17" fillId="0" borderId="14" xfId="2" applyFont="1" applyBorder="1" applyAlignment="1" applyProtection="1">
      <alignment horizontal="center" vertical="center" wrapText="1"/>
      <protection locked="0"/>
    </xf>
    <xf numFmtId="0" fontId="17" fillId="0" borderId="25" xfId="3" applyFont="1" applyBorder="1" applyAlignment="1" applyProtection="1">
      <alignment horizontal="left" vertical="center" wrapText="1"/>
      <protection locked="0"/>
    </xf>
    <xf numFmtId="0" fontId="17" fillId="0" borderId="4" xfId="4" applyFont="1" applyBorder="1" applyAlignment="1">
      <alignment horizontal="center" vertical="center" wrapText="1"/>
    </xf>
    <xf numFmtId="0" fontId="17" fillId="0" borderId="14" xfId="0" applyFont="1" applyBorder="1" applyAlignment="1" applyProtection="1">
      <alignment horizontal="center"/>
      <protection locked="0"/>
    </xf>
    <xf numFmtId="0" fontId="17" fillId="0" borderId="52" xfId="2" applyFont="1" applyBorder="1" applyAlignment="1" applyProtection="1">
      <alignment horizontal="center" vertical="center"/>
      <protection locked="0"/>
    </xf>
    <xf numFmtId="0" fontId="16" fillId="0" borderId="29" xfId="0" applyFont="1" applyBorder="1" applyProtection="1">
      <protection locked="0"/>
    </xf>
    <xf numFmtId="0" fontId="16" fillId="0" borderId="60" xfId="0" applyFont="1" applyBorder="1" applyProtection="1">
      <protection locked="0"/>
    </xf>
    <xf numFmtId="0" fontId="17" fillId="0" borderId="64" xfId="14" applyFont="1" applyBorder="1" applyAlignment="1">
      <alignment horizontal="center" vertical="center" wrapText="1"/>
    </xf>
    <xf numFmtId="0" fontId="23" fillId="0" borderId="33" xfId="3" applyFont="1" applyBorder="1" applyAlignment="1" applyProtection="1">
      <alignment horizontal="left" vertical="center" wrapText="1"/>
      <protection locked="0"/>
    </xf>
    <xf numFmtId="0" fontId="23" fillId="0" borderId="0" xfId="3" applyFont="1" applyProtection="1">
      <protection locked="0"/>
    </xf>
    <xf numFmtId="0" fontId="17" fillId="4" borderId="64" xfId="14" applyFont="1" applyFill="1" applyBorder="1" applyAlignment="1">
      <alignment horizontal="center" vertical="center" wrapText="1"/>
    </xf>
    <xf numFmtId="0" fontId="17" fillId="4" borderId="64" xfId="3" applyFont="1" applyFill="1" applyBorder="1" applyAlignment="1">
      <alignment horizontal="center" vertical="center" wrapText="1"/>
    </xf>
    <xf numFmtId="0" fontId="23" fillId="4" borderId="15" xfId="3" applyFont="1" applyFill="1" applyBorder="1" applyAlignment="1">
      <alignment horizontal="left" vertical="center" wrapText="1"/>
    </xf>
    <xf numFmtId="0" fontId="23" fillId="4" borderId="33" xfId="3" applyFont="1" applyFill="1" applyBorder="1" applyAlignment="1" applyProtection="1">
      <alignment horizontal="left" vertical="center" wrapText="1"/>
      <protection locked="0"/>
    </xf>
    <xf numFmtId="0" fontId="23" fillId="4" borderId="15" xfId="3" applyFont="1" applyFill="1" applyBorder="1" applyAlignment="1" applyProtection="1">
      <alignment horizontal="left" vertical="center" wrapText="1"/>
      <protection locked="0"/>
    </xf>
    <xf numFmtId="0" fontId="17" fillId="0" borderId="45" xfId="0" applyFont="1" applyBorder="1" applyAlignment="1">
      <alignment wrapText="1"/>
    </xf>
    <xf numFmtId="0" fontId="17" fillId="0" borderId="68" xfId="0" applyFont="1" applyBorder="1" applyAlignment="1">
      <alignment wrapText="1"/>
    </xf>
    <xf numFmtId="0" fontId="18" fillId="0" borderId="64" xfId="3" applyFont="1" applyBorder="1" applyAlignment="1">
      <alignment vertical="center" wrapText="1"/>
    </xf>
    <xf numFmtId="0" fontId="17" fillId="0" borderId="64" xfId="3" applyFont="1" applyBorder="1" applyAlignment="1">
      <alignment vertical="center" wrapText="1"/>
    </xf>
    <xf numFmtId="0" fontId="17" fillId="0" borderId="64" xfId="3" applyFont="1" applyBorder="1" applyAlignment="1" applyProtection="1">
      <alignment vertical="center" wrapText="1"/>
      <protection locked="0"/>
    </xf>
    <xf numFmtId="0" fontId="17" fillId="0" borderId="47" xfId="3" applyFont="1" applyBorder="1" applyAlignment="1">
      <alignment horizontal="left" vertical="center" wrapText="1"/>
    </xf>
    <xf numFmtId="0" fontId="17" fillId="0" borderId="68" xfId="3" applyFont="1" applyBorder="1" applyAlignment="1">
      <alignment horizontal="left" vertical="center" wrapText="1"/>
    </xf>
    <xf numFmtId="0" fontId="27" fillId="0" borderId="64" xfId="3" applyFont="1" applyBorder="1" applyAlignment="1" applyProtection="1">
      <alignment vertical="center" wrapText="1"/>
      <protection locked="0"/>
    </xf>
    <xf numFmtId="0" fontId="17" fillId="0" borderId="68" xfId="3" applyFont="1" applyBorder="1" applyAlignment="1" applyProtection="1">
      <alignment horizontal="left" vertical="center" wrapText="1"/>
      <protection locked="0"/>
    </xf>
    <xf numFmtId="0" fontId="17" fillId="4" borderId="1" xfId="0" applyFont="1" applyFill="1" applyBorder="1" applyAlignment="1">
      <alignment horizontal="center" vertical="center" wrapText="1"/>
    </xf>
    <xf numFmtId="0" fontId="17" fillId="4" borderId="12" xfId="3" applyFont="1" applyFill="1" applyBorder="1" applyAlignment="1">
      <alignment horizontal="left" vertical="center" wrapText="1"/>
    </xf>
    <xf numFmtId="0" fontId="23" fillId="0" borderId="0" xfId="0" applyFont="1" applyProtection="1">
      <protection locked="0"/>
    </xf>
    <xf numFmtId="49" fontId="17" fillId="4" borderId="64" xfId="0" applyNumberFormat="1" applyFont="1" applyFill="1" applyBorder="1" applyAlignment="1">
      <alignment horizontal="left" vertical="center" wrapText="1"/>
    </xf>
    <xf numFmtId="0" fontId="18" fillId="0" borderId="12" xfId="3" applyFont="1" applyBorder="1" applyAlignment="1">
      <alignment horizontal="left" vertical="center" wrapText="1"/>
    </xf>
    <xf numFmtId="0" fontId="26" fillId="10" borderId="64" xfId="14" applyFont="1" applyFill="1" applyBorder="1" applyAlignment="1" applyProtection="1">
      <alignment horizontal="center" vertical="center" wrapText="1"/>
      <protection locked="0"/>
    </xf>
    <xf numFmtId="0" fontId="26" fillId="10" borderId="64" xfId="2" applyFont="1" applyFill="1" applyBorder="1" applyAlignment="1" applyProtection="1">
      <alignment horizontal="center" vertical="center"/>
      <protection locked="0"/>
    </xf>
    <xf numFmtId="0" fontId="26" fillId="10" borderId="64" xfId="0" applyFont="1" applyFill="1" applyBorder="1" applyAlignment="1" applyProtection="1">
      <alignment horizontal="center" vertical="center" wrapText="1"/>
      <protection locked="0"/>
    </xf>
    <xf numFmtId="0" fontId="26" fillId="10" borderId="64" xfId="3" applyFont="1" applyFill="1" applyBorder="1" applyAlignment="1" applyProtection="1">
      <alignment horizontal="left" vertical="center" wrapText="1"/>
      <protection locked="0"/>
    </xf>
    <xf numFmtId="0" fontId="26" fillId="10" borderId="64" xfId="2" applyFont="1" applyFill="1" applyBorder="1" applyAlignment="1" applyProtection="1">
      <alignment horizontal="center" vertical="center" wrapText="1"/>
      <protection locked="0"/>
    </xf>
    <xf numFmtId="0" fontId="26" fillId="10" borderId="64" xfId="3" applyFont="1" applyFill="1" applyBorder="1" applyAlignment="1" applyProtection="1">
      <alignment horizontal="center" vertical="center" wrapText="1"/>
      <protection locked="0"/>
    </xf>
    <xf numFmtId="0" fontId="30" fillId="10" borderId="64" xfId="3" applyFont="1" applyFill="1" applyBorder="1" applyAlignment="1" applyProtection="1">
      <alignment horizontal="left" vertical="center" wrapText="1"/>
      <protection locked="0"/>
    </xf>
    <xf numFmtId="0" fontId="17" fillId="10" borderId="12" xfId="3" applyFont="1" applyFill="1" applyBorder="1" applyAlignment="1">
      <alignment horizontal="left" vertical="center" wrapText="1"/>
    </xf>
    <xf numFmtId="0" fontId="26" fillId="10" borderId="1" xfId="3" applyFont="1" applyFill="1" applyBorder="1" applyAlignment="1">
      <alignment horizontal="center" vertical="center" wrapText="1"/>
    </xf>
    <xf numFmtId="0" fontId="26" fillId="10" borderId="1" xfId="2" applyFont="1" applyFill="1" applyBorder="1" applyAlignment="1">
      <alignment horizontal="center" vertical="center" wrapText="1"/>
    </xf>
    <xf numFmtId="0" fontId="26" fillId="10" borderId="64" xfId="2" applyFont="1" applyFill="1" applyBorder="1" applyAlignment="1">
      <alignment horizontal="center" vertical="center" wrapText="1"/>
    </xf>
    <xf numFmtId="0" fontId="17" fillId="4" borderId="0" xfId="0" applyFont="1" applyFill="1" applyAlignment="1" applyProtection="1">
      <alignment horizontal="center" vertical="center"/>
      <protection locked="0"/>
    </xf>
    <xf numFmtId="0" fontId="17" fillId="4" borderId="0" xfId="0" applyFont="1" applyFill="1" applyProtection="1">
      <protection locked="0"/>
    </xf>
    <xf numFmtId="165" fontId="17" fillId="4" borderId="0" xfId="0" applyNumberFormat="1" applyFont="1" applyFill="1" applyAlignment="1" applyProtection="1">
      <alignment horizontal="center" vertical="center"/>
      <protection locked="0"/>
    </xf>
    <xf numFmtId="0" fontId="17" fillId="4" borderId="64" xfId="0" applyFont="1" applyFill="1" applyBorder="1" applyAlignment="1" applyProtection="1">
      <alignment horizontal="center" vertical="center"/>
      <protection locked="0"/>
    </xf>
    <xf numFmtId="0" fontId="17" fillId="0" borderId="39" xfId="2" applyFont="1" applyBorder="1" applyAlignment="1">
      <alignment horizontal="center" vertical="center"/>
    </xf>
    <xf numFmtId="0" fontId="17" fillId="0" borderId="7" xfId="2" applyFont="1" applyBorder="1" applyAlignment="1">
      <alignment horizontal="center" vertical="center"/>
    </xf>
    <xf numFmtId="0" fontId="17" fillId="4" borderId="7" xfId="2" applyFont="1" applyFill="1" applyBorder="1" applyAlignment="1">
      <alignment horizontal="center" vertical="center"/>
    </xf>
    <xf numFmtId="0" fontId="23" fillId="4" borderId="0" xfId="3" applyFont="1" applyFill="1" applyProtection="1">
      <protection locked="0"/>
    </xf>
    <xf numFmtId="165" fontId="23" fillId="4" borderId="0" xfId="0" applyNumberFormat="1" applyFont="1" applyFill="1" applyAlignment="1">
      <alignment horizontal="center" vertical="center"/>
    </xf>
    <xf numFmtId="165" fontId="17" fillId="4" borderId="0" xfId="0" applyNumberFormat="1" applyFont="1" applyFill="1" applyAlignment="1">
      <alignment horizontal="center" vertical="center"/>
    </xf>
    <xf numFmtId="0" fontId="26" fillId="10" borderId="3" xfId="14" applyFont="1" applyFill="1" applyBorder="1" applyAlignment="1">
      <alignment horizontal="center" vertical="center" wrapText="1"/>
    </xf>
    <xf numFmtId="0" fontId="26" fillId="10" borderId="7" xfId="2" applyFont="1" applyFill="1" applyBorder="1" applyAlignment="1">
      <alignment horizontal="center" vertical="center"/>
    </xf>
    <xf numFmtId="49" fontId="26" fillId="10" borderId="67" xfId="0" applyNumberFormat="1" applyFont="1" applyFill="1" applyBorder="1" applyAlignment="1">
      <alignment vertical="center" wrapText="1"/>
    </xf>
    <xf numFmtId="0" fontId="26" fillId="10" borderId="64" xfId="3" applyFont="1" applyFill="1" applyBorder="1" applyAlignment="1">
      <alignment horizontal="center" vertical="center" wrapText="1"/>
    </xf>
    <xf numFmtId="0" fontId="26" fillId="10" borderId="15" xfId="3" applyFont="1" applyFill="1" applyBorder="1" applyAlignment="1">
      <alignment horizontal="center" vertical="center" wrapText="1"/>
    </xf>
    <xf numFmtId="0" fontId="26" fillId="10" borderId="57" xfId="3" applyFont="1" applyFill="1" applyBorder="1" applyAlignment="1" applyProtection="1">
      <alignment horizontal="left" vertical="center" wrapText="1"/>
      <protection locked="0"/>
    </xf>
    <xf numFmtId="0" fontId="18" fillId="4" borderId="7" xfId="2" applyFont="1" applyFill="1" applyBorder="1" applyAlignment="1">
      <alignment horizontal="center" vertical="center"/>
    </xf>
    <xf numFmtId="0" fontId="26" fillId="10" borderId="33" xfId="3" applyFont="1" applyFill="1" applyBorder="1" applyAlignment="1" applyProtection="1">
      <alignment horizontal="left" vertical="center" wrapText="1"/>
      <protection locked="0"/>
    </xf>
    <xf numFmtId="0" fontId="18" fillId="0" borderId="3" xfId="14" applyFont="1" applyBorder="1" applyAlignment="1">
      <alignment horizontal="center" vertical="center" wrapText="1"/>
    </xf>
    <xf numFmtId="0" fontId="18" fillId="0" borderId="3" xfId="0" applyFont="1" applyBorder="1" applyAlignment="1">
      <alignment horizontal="center" vertical="center" wrapText="1"/>
    </xf>
    <xf numFmtId="0" fontId="18" fillId="0" borderId="3" xfId="3" applyFont="1" applyBorder="1" applyAlignment="1">
      <alignment horizontal="center" vertical="center" wrapText="1"/>
    </xf>
    <xf numFmtId="0" fontId="18" fillId="0" borderId="15" xfId="3" applyFont="1" applyBorder="1" applyAlignment="1">
      <alignment horizontal="center" vertical="center" wrapText="1"/>
    </xf>
    <xf numFmtId="0" fontId="18" fillId="0" borderId="15" xfId="3" applyFont="1" applyBorder="1" applyAlignment="1">
      <alignment horizontal="left" vertical="center" wrapText="1"/>
    </xf>
    <xf numFmtId="0" fontId="17" fillId="0" borderId="9" xfId="14" applyFont="1" applyBorder="1" applyAlignment="1">
      <alignment horizontal="center" vertical="center" wrapText="1"/>
    </xf>
    <xf numFmtId="0" fontId="17" fillId="0" borderId="3" xfId="14" applyFont="1" applyBorder="1" applyAlignment="1">
      <alignment horizontal="center" vertical="center"/>
    </xf>
    <xf numFmtId="0" fontId="17" fillId="4" borderId="3" xfId="14" applyFont="1" applyFill="1" applyBorder="1" applyAlignment="1">
      <alignment horizontal="center" vertical="center" wrapText="1"/>
    </xf>
    <xf numFmtId="0" fontId="17" fillId="0" borderId="66" xfId="0" applyFont="1" applyBorder="1" applyAlignment="1" applyProtection="1">
      <alignment horizontal="center" vertical="center" wrapText="1"/>
      <protection locked="0"/>
    </xf>
    <xf numFmtId="0" fontId="17" fillId="0" borderId="11" xfId="14" applyFont="1" applyBorder="1" applyAlignment="1">
      <alignment horizontal="center" vertical="center" wrapText="1"/>
    </xf>
    <xf numFmtId="0" fontId="17" fillId="0" borderId="4" xfId="14" applyFont="1" applyBorder="1" applyAlignment="1">
      <alignment horizontal="center" vertical="center" wrapText="1"/>
    </xf>
    <xf numFmtId="0" fontId="18" fillId="0" borderId="1" xfId="14" applyFont="1" applyBorder="1" applyAlignment="1">
      <alignment horizontal="center" vertical="center" wrapText="1"/>
    </xf>
    <xf numFmtId="0" fontId="18" fillId="0" borderId="2" xfId="0" applyFont="1" applyBorder="1" applyAlignment="1">
      <alignment horizontal="left" vertical="top" wrapText="1"/>
    </xf>
    <xf numFmtId="0" fontId="18" fillId="0" borderId="1" xfId="2" applyFont="1" applyBorder="1" applyAlignment="1">
      <alignment horizontal="center" vertical="center" wrapText="1"/>
    </xf>
    <xf numFmtId="0" fontId="18" fillId="0" borderId="2" xfId="0" applyFont="1" applyBorder="1" applyAlignment="1">
      <alignment horizontal="left" vertical="center" wrapText="1"/>
    </xf>
    <xf numFmtId="0" fontId="18" fillId="0" borderId="1" xfId="3" applyFont="1" applyBorder="1" applyAlignment="1">
      <alignment horizontal="center" vertical="center" wrapText="1"/>
    </xf>
    <xf numFmtId="0" fontId="17" fillId="0" borderId="6" xfId="2" applyFont="1" applyBorder="1" applyAlignment="1">
      <alignment horizontal="center" vertical="center"/>
    </xf>
    <xf numFmtId="0" fontId="17" fillId="0" borderId="63" xfId="14" applyFont="1" applyBorder="1" applyAlignment="1">
      <alignment horizontal="center" vertical="center" wrapText="1"/>
    </xf>
    <xf numFmtId="0" fontId="17" fillId="0" borderId="8" xfId="2" applyFont="1" applyBorder="1" applyAlignment="1">
      <alignment horizontal="center" vertical="center"/>
    </xf>
    <xf numFmtId="0" fontId="18" fillId="0" borderId="9" xfId="14" applyFont="1" applyBorder="1" applyAlignment="1">
      <alignment horizontal="center" vertical="center" wrapText="1"/>
    </xf>
    <xf numFmtId="0" fontId="18" fillId="0" borderId="9" xfId="0" applyFont="1" applyBorder="1" applyAlignment="1">
      <alignment horizontal="center" vertical="center" wrapText="1"/>
    </xf>
    <xf numFmtId="0" fontId="18" fillId="0" borderId="9" xfId="0" applyFont="1" applyBorder="1" applyAlignment="1">
      <alignment horizontal="left" vertical="center" wrapText="1"/>
    </xf>
    <xf numFmtId="0" fontId="18" fillId="0" borderId="9" xfId="2" applyFont="1" applyBorder="1" applyAlignment="1">
      <alignment horizontal="center" vertical="center" wrapText="1"/>
    </xf>
    <xf numFmtId="0" fontId="18" fillId="0" borderId="9" xfId="3" applyFont="1" applyBorder="1" applyAlignment="1">
      <alignment horizontal="center" vertical="center" wrapText="1"/>
    </xf>
    <xf numFmtId="0" fontId="18" fillId="0" borderId="16" xfId="3" applyFont="1" applyBorder="1" applyAlignment="1">
      <alignment horizontal="center" vertical="center" wrapText="1"/>
    </xf>
    <xf numFmtId="0" fontId="18" fillId="0" borderId="16" xfId="3" applyFont="1" applyBorder="1" applyAlignment="1">
      <alignment horizontal="left" vertical="center" wrapText="1"/>
    </xf>
    <xf numFmtId="0" fontId="17" fillId="0" borderId="34" xfId="3" applyFont="1" applyBorder="1" applyAlignment="1" applyProtection="1">
      <alignment horizontal="center" vertical="center" wrapText="1"/>
      <protection locked="0"/>
    </xf>
    <xf numFmtId="0" fontId="18" fillId="0" borderId="63" xfId="2" applyFont="1" applyBorder="1" applyAlignment="1">
      <alignment horizontal="center" vertical="center" wrapText="1"/>
    </xf>
    <xf numFmtId="0" fontId="17" fillId="0" borderId="5" xfId="2" applyFont="1" applyBorder="1" applyAlignment="1">
      <alignment horizontal="center" vertical="center"/>
    </xf>
    <xf numFmtId="0" fontId="17" fillId="0" borderId="4" xfId="3" applyFont="1" applyBorder="1" applyAlignment="1">
      <alignment horizontal="center" vertical="center" wrapText="1"/>
    </xf>
    <xf numFmtId="0" fontId="17" fillId="0" borderId="14" xfId="3" applyFont="1" applyBorder="1" applyAlignment="1">
      <alignment horizontal="center" vertical="center" wrapText="1"/>
    </xf>
    <xf numFmtId="0" fontId="17" fillId="0" borderId="14" xfId="3" applyFont="1" applyBorder="1" applyAlignment="1">
      <alignment horizontal="left" vertical="center" wrapText="1"/>
    </xf>
    <xf numFmtId="0" fontId="17" fillId="0" borderId="71" xfId="2" applyFont="1" applyBorder="1" applyAlignment="1">
      <alignment horizontal="center" vertical="center"/>
    </xf>
    <xf numFmtId="0" fontId="17" fillId="0" borderId="72" xfId="14" applyFont="1" applyBorder="1" applyAlignment="1">
      <alignment horizontal="center" vertical="center" wrapText="1"/>
    </xf>
    <xf numFmtId="0" fontId="17" fillId="0" borderId="72" xfId="0" applyFont="1" applyBorder="1" applyAlignment="1">
      <alignment horizontal="center" vertical="center" wrapText="1"/>
    </xf>
    <xf numFmtId="0" fontId="17" fillId="0" borderId="72" xfId="3" applyFont="1" applyBorder="1" applyAlignment="1">
      <alignment horizontal="left" vertical="center" wrapText="1"/>
    </xf>
    <xf numFmtId="0" fontId="17" fillId="0" borderId="72" xfId="2" applyFont="1" applyBorder="1" applyAlignment="1">
      <alignment horizontal="center" vertical="center" wrapText="1"/>
    </xf>
    <xf numFmtId="0" fontId="17" fillId="0" borderId="72" xfId="2" applyFont="1" applyBorder="1" applyAlignment="1">
      <alignment horizontal="left" vertical="center" wrapText="1"/>
    </xf>
    <xf numFmtId="0" fontId="17" fillId="0" borderId="72" xfId="3" applyFont="1" applyBorder="1" applyAlignment="1">
      <alignment horizontal="center" vertical="center" wrapText="1"/>
    </xf>
    <xf numFmtId="0" fontId="17" fillId="0" borderId="73" xfId="3" applyFont="1" applyBorder="1" applyAlignment="1">
      <alignment horizontal="center" vertical="center" wrapText="1"/>
    </xf>
    <xf numFmtId="0" fontId="17" fillId="0" borderId="73" xfId="3" applyFont="1" applyBorder="1" applyAlignment="1">
      <alignment horizontal="left" vertical="center" wrapText="1"/>
    </xf>
    <xf numFmtId="0" fontId="17" fillId="4" borderId="6" xfId="2" applyFont="1" applyFill="1" applyBorder="1" applyAlignment="1">
      <alignment horizontal="center" vertical="center"/>
    </xf>
    <xf numFmtId="0" fontId="17" fillId="4" borderId="3" xfId="2" applyFont="1" applyFill="1" applyBorder="1" applyAlignment="1" applyProtection="1">
      <alignment horizontal="center" vertical="center" wrapText="1"/>
      <protection locked="0"/>
    </xf>
    <xf numFmtId="0" fontId="16" fillId="4" borderId="0" xfId="3" applyFont="1" applyFill="1" applyAlignment="1" applyProtection="1">
      <alignment horizontal="center" vertical="center"/>
      <protection locked="0"/>
    </xf>
    <xf numFmtId="0" fontId="26" fillId="10" borderId="6" xfId="2" applyFont="1" applyFill="1" applyBorder="1" applyAlignment="1">
      <alignment horizontal="center" vertical="center"/>
    </xf>
    <xf numFmtId="0" fontId="26" fillId="10" borderId="3" xfId="14" applyFont="1" applyFill="1" applyBorder="1" applyAlignment="1" applyProtection="1">
      <alignment horizontal="center" vertical="center" wrapText="1"/>
      <protection locked="0"/>
    </xf>
    <xf numFmtId="0" fontId="26" fillId="10" borderId="3" xfId="0" applyFont="1" applyFill="1" applyBorder="1" applyAlignment="1" applyProtection="1">
      <alignment horizontal="center" vertical="center" wrapText="1"/>
      <protection locked="0"/>
    </xf>
    <xf numFmtId="0" fontId="26" fillId="10" borderId="63" xfId="0" applyFont="1" applyFill="1" applyBorder="1" applyAlignment="1" applyProtection="1">
      <alignment horizontal="left" vertical="center" wrapText="1"/>
      <protection locked="0"/>
    </xf>
    <xf numFmtId="0" fontId="26" fillId="10" borderId="3" xfId="2" applyFont="1" applyFill="1" applyBorder="1" applyAlignment="1" applyProtection="1">
      <alignment horizontal="center" vertical="center" wrapText="1"/>
      <protection locked="0"/>
    </xf>
    <xf numFmtId="0" fontId="26" fillId="10" borderId="46" xfId="3" applyFont="1" applyFill="1" applyBorder="1" applyAlignment="1" applyProtection="1">
      <alignment horizontal="left" vertical="center" wrapText="1"/>
      <protection locked="0"/>
    </xf>
    <xf numFmtId="0" fontId="17" fillId="4" borderId="64" xfId="14" applyFont="1" applyFill="1" applyBorder="1" applyAlignment="1" applyProtection="1">
      <alignment horizontal="center" vertical="center" wrapText="1"/>
      <protection locked="0"/>
    </xf>
    <xf numFmtId="0" fontId="26" fillId="10" borderId="3" xfId="2" applyFont="1" applyFill="1" applyBorder="1" applyAlignment="1">
      <alignment horizontal="center" vertical="center" wrapText="1"/>
    </xf>
    <xf numFmtId="0" fontId="26" fillId="10" borderId="64" xfId="3" applyFont="1" applyFill="1" applyBorder="1" applyAlignment="1" applyProtection="1">
      <alignment vertical="center" wrapText="1"/>
      <protection locked="0"/>
    </xf>
    <xf numFmtId="0" fontId="26" fillId="10" borderId="64" xfId="0" applyFont="1" applyFill="1" applyBorder="1" applyAlignment="1" applyProtection="1">
      <alignment horizontal="left" vertical="center" wrapText="1"/>
      <protection locked="0"/>
    </xf>
    <xf numFmtId="0" fontId="26" fillId="10" borderId="64" xfId="2" applyFont="1" applyFill="1" applyBorder="1" applyAlignment="1">
      <alignment horizontal="center" vertical="center"/>
    </xf>
    <xf numFmtId="0" fontId="17" fillId="4" borderId="64" xfId="0" applyFont="1" applyFill="1" applyBorder="1" applyAlignment="1" applyProtection="1">
      <alignment horizontal="center" vertical="center" wrapText="1"/>
      <protection locked="0"/>
    </xf>
    <xf numFmtId="0" fontId="17" fillId="4" borderId="64" xfId="0" applyFont="1" applyFill="1" applyBorder="1" applyAlignment="1" applyProtection="1">
      <alignment horizontal="left" vertical="center" wrapText="1"/>
      <protection locked="0"/>
    </xf>
    <xf numFmtId="0" fontId="17" fillId="4" borderId="64" xfId="2" applyFont="1" applyFill="1" applyBorder="1" applyAlignment="1" applyProtection="1">
      <alignment horizontal="center" vertical="center" wrapText="1"/>
      <protection locked="0"/>
    </xf>
    <xf numFmtId="0" fontId="17" fillId="4" borderId="64" xfId="3" applyFont="1" applyFill="1" applyBorder="1" applyAlignment="1" applyProtection="1">
      <alignment horizontal="center" vertical="center" wrapText="1"/>
      <protection locked="0"/>
    </xf>
    <xf numFmtId="0" fontId="17" fillId="0" borderId="63" xfId="14" applyFont="1" applyBorder="1" applyAlignment="1" applyProtection="1">
      <alignment horizontal="center" vertical="center" wrapText="1"/>
      <protection locked="0"/>
    </xf>
    <xf numFmtId="0" fontId="17" fillId="0" borderId="63" xfId="0" applyFont="1" applyBorder="1" applyAlignment="1" applyProtection="1">
      <alignment horizontal="left" vertical="center" wrapText="1"/>
      <protection locked="0"/>
    </xf>
    <xf numFmtId="0" fontId="17" fillId="0" borderId="10" xfId="2" applyFont="1" applyBorder="1" applyAlignment="1" applyProtection="1">
      <alignment horizontal="left" vertical="center" wrapText="1"/>
      <protection locked="0"/>
    </xf>
    <xf numFmtId="0" fontId="17" fillId="0" borderId="10" xfId="0" applyFont="1" applyBorder="1" applyAlignment="1" applyProtection="1">
      <alignment horizontal="left" vertical="center" wrapText="1"/>
      <protection locked="0"/>
    </xf>
    <xf numFmtId="0" fontId="17" fillId="0" borderId="3" xfId="3" applyFont="1" applyBorder="1" applyAlignment="1" applyProtection="1">
      <alignment horizontal="left" vertical="center" wrapText="1"/>
      <protection locked="0"/>
    </xf>
    <xf numFmtId="0" fontId="17" fillId="4" borderId="3" xfId="3" applyFont="1" applyFill="1" applyBorder="1" applyAlignment="1">
      <alignment horizontal="left" vertical="top" wrapText="1"/>
    </xf>
    <xf numFmtId="0" fontId="26" fillId="10" borderId="64" xfId="0" applyFont="1" applyFill="1" applyBorder="1" applyAlignment="1" applyProtection="1">
      <alignment horizontal="left" vertical="top" wrapText="1"/>
      <protection locked="0"/>
    </xf>
    <xf numFmtId="0" fontId="18" fillId="4" borderId="15" xfId="3" applyFont="1" applyFill="1" applyBorder="1" applyAlignment="1">
      <alignment horizontal="left" vertical="center" wrapText="1"/>
    </xf>
    <xf numFmtId="0" fontId="18" fillId="0" borderId="1" xfId="14"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8" fillId="0" borderId="1" xfId="3" applyFont="1" applyBorder="1" applyAlignment="1" applyProtection="1">
      <alignment horizontal="left" vertical="center" wrapText="1"/>
      <protection locked="0"/>
    </xf>
    <xf numFmtId="0" fontId="18" fillId="0" borderId="1" xfId="2" applyFont="1" applyBorder="1" applyAlignment="1" applyProtection="1">
      <alignment horizontal="center" vertical="center" wrapText="1"/>
      <protection locked="0"/>
    </xf>
    <xf numFmtId="0" fontId="18" fillId="0" borderId="15" xfId="3" applyFont="1" applyBorder="1" applyAlignment="1" applyProtection="1">
      <alignment horizontal="center" vertical="center" wrapText="1"/>
      <protection locked="0"/>
    </xf>
    <xf numFmtId="0" fontId="18" fillId="0" borderId="12" xfId="3" applyFont="1" applyBorder="1" applyAlignment="1" applyProtection="1">
      <alignment horizontal="left" vertical="center" wrapText="1"/>
      <protection locked="0"/>
    </xf>
    <xf numFmtId="0" fontId="26" fillId="10" borderId="6" xfId="2" applyFont="1" applyFill="1" applyBorder="1" applyAlignment="1" applyProtection="1">
      <alignment horizontal="center" vertical="center"/>
      <protection locked="0"/>
    </xf>
    <xf numFmtId="0" fontId="26" fillId="10" borderId="15" xfId="3" applyFont="1" applyFill="1" applyBorder="1" applyAlignment="1" applyProtection="1">
      <alignment horizontal="left" vertical="center" wrapText="1"/>
      <protection locked="0"/>
    </xf>
    <xf numFmtId="0" fontId="26" fillId="10" borderId="63" xfId="14" applyFont="1" applyFill="1" applyBorder="1" applyAlignment="1" applyProtection="1">
      <alignment horizontal="center" vertical="center" wrapText="1"/>
      <protection locked="0"/>
    </xf>
    <xf numFmtId="0" fontId="18" fillId="10" borderId="12" xfId="3" applyFont="1" applyFill="1" applyBorder="1" applyAlignment="1" applyProtection="1">
      <alignment horizontal="left" vertical="center" wrapText="1"/>
      <protection locked="0"/>
    </xf>
    <xf numFmtId="0" fontId="18" fillId="0" borderId="63" xfId="14" applyFont="1" applyBorder="1" applyAlignment="1">
      <alignment horizontal="center" vertical="center" wrapText="1"/>
    </xf>
    <xf numFmtId="0" fontId="18" fillId="0" borderId="13" xfId="3" applyFont="1" applyBorder="1" applyAlignment="1">
      <alignment horizontal="left" vertical="center" wrapText="1"/>
    </xf>
    <xf numFmtId="0" fontId="18" fillId="0" borderId="63" xfId="2" applyFont="1" applyBorder="1" applyAlignment="1">
      <alignment horizontal="left" vertical="center" wrapText="1"/>
    </xf>
    <xf numFmtId="0" fontId="18" fillId="0" borderId="65" xfId="3" applyFont="1" applyBorder="1" applyAlignment="1">
      <alignment horizontal="left" vertical="center" wrapText="1"/>
    </xf>
    <xf numFmtId="0" fontId="18" fillId="0" borderId="63" xfId="0" applyFont="1" applyBorder="1" applyAlignment="1">
      <alignment horizontal="center" vertical="center" wrapText="1"/>
    </xf>
    <xf numFmtId="0" fontId="18" fillId="0" borderId="64" xfId="14" applyFont="1" applyBorder="1" applyAlignment="1" applyProtection="1">
      <alignment horizontal="center" vertical="center" wrapText="1"/>
      <protection locked="0"/>
    </xf>
    <xf numFmtId="0" fontId="18" fillId="0" borderId="64" xfId="0" applyFont="1" applyBorder="1" applyAlignment="1" applyProtection="1">
      <alignment horizontal="center" vertical="center" wrapText="1"/>
      <protection locked="0"/>
    </xf>
    <xf numFmtId="0" fontId="17" fillId="0" borderId="64" xfId="14" applyFont="1" applyBorder="1" applyAlignment="1" applyProtection="1">
      <alignment horizontal="center" vertical="center" wrapText="1"/>
      <protection locked="0"/>
    </xf>
    <xf numFmtId="0" fontId="17" fillId="0" borderId="64" xfId="3" applyFont="1" applyBorder="1" applyAlignment="1" applyProtection="1">
      <alignment horizontal="center" vertical="center" wrapText="1"/>
      <protection locked="0"/>
    </xf>
    <xf numFmtId="0" fontId="18" fillId="0" borderId="1" xfId="3" applyFont="1" applyBorder="1" applyAlignment="1">
      <alignment vertical="top" wrapText="1"/>
    </xf>
    <xf numFmtId="0" fontId="18" fillId="10" borderId="1" xfId="2" applyFont="1" applyFill="1" applyBorder="1" applyAlignment="1">
      <alignment horizontal="center" vertical="center" wrapText="1"/>
    </xf>
    <xf numFmtId="0" fontId="18" fillId="4" borderId="0" xfId="0" applyFont="1" applyFill="1" applyAlignment="1" applyProtection="1">
      <alignment horizontal="left" vertical="center"/>
      <protection locked="0"/>
    </xf>
    <xf numFmtId="0" fontId="17" fillId="0" borderId="74" xfId="3" applyFont="1" applyBorder="1" applyAlignment="1" applyProtection="1">
      <alignment horizontal="left" vertical="center" wrapText="1"/>
      <protection locked="0"/>
    </xf>
    <xf numFmtId="0" fontId="17" fillId="0" borderId="58" xfId="2" applyFont="1" applyBorder="1" applyAlignment="1">
      <alignment horizontal="left" vertical="center" wrapText="1"/>
    </xf>
    <xf numFmtId="0" fontId="17" fillId="0" borderId="74" xfId="0" applyFont="1" applyBorder="1" applyAlignment="1">
      <alignment horizontal="left" vertical="center" wrapText="1"/>
    </xf>
    <xf numFmtId="0" fontId="17" fillId="13" borderId="15" xfId="0" applyFont="1" applyFill="1" applyBorder="1" applyAlignment="1" applyProtection="1">
      <alignment horizontal="left" vertical="center" wrapText="1"/>
      <protection locked="0"/>
    </xf>
    <xf numFmtId="0" fontId="17" fillId="4" borderId="12" xfId="3" applyFont="1" applyFill="1" applyBorder="1" applyAlignment="1" applyProtection="1">
      <alignment horizontal="left" vertical="center" wrapText="1"/>
      <protection locked="0"/>
    </xf>
    <xf numFmtId="0" fontId="18" fillId="0" borderId="3" xfId="3" applyFont="1" applyBorder="1" applyAlignment="1">
      <alignment vertical="top" wrapText="1"/>
    </xf>
    <xf numFmtId="0" fontId="18" fillId="10" borderId="3" xfId="2" applyFont="1" applyFill="1" applyBorder="1" applyAlignment="1">
      <alignment horizontal="center" vertical="center" wrapText="1"/>
    </xf>
    <xf numFmtId="0" fontId="17" fillId="0" borderId="9" xfId="0" applyFont="1" applyBorder="1" applyAlignment="1">
      <alignment horizontal="center" vertical="center" wrapText="1"/>
    </xf>
    <xf numFmtId="0" fontId="17" fillId="0" borderId="9" xfId="3" applyFont="1" applyBorder="1" applyAlignment="1">
      <alignment vertical="center" wrapText="1"/>
    </xf>
    <xf numFmtId="0" fontId="18" fillId="0" borderId="9" xfId="3" applyFont="1" applyBorder="1" applyAlignment="1">
      <alignment vertical="center" wrapText="1"/>
    </xf>
    <xf numFmtId="0" fontId="17" fillId="0" borderId="16" xfId="3" applyFont="1" applyBorder="1" applyAlignment="1">
      <alignment horizontal="center" vertical="center" wrapText="1"/>
    </xf>
    <xf numFmtId="0" fontId="17" fillId="0" borderId="16" xfId="2" applyFont="1" applyBorder="1" applyAlignment="1">
      <alignment horizontal="left" vertical="center" wrapText="1"/>
    </xf>
    <xf numFmtId="0" fontId="17" fillId="0" borderId="16" xfId="2" applyFont="1" applyBorder="1" applyAlignment="1" applyProtection="1">
      <alignment horizontal="left" vertical="center" wrapText="1"/>
      <protection locked="0"/>
    </xf>
    <xf numFmtId="0" fontId="18" fillId="0" borderId="12" xfId="2" applyFont="1" applyBorder="1" applyAlignment="1">
      <alignment horizontal="left" vertical="center" wrapText="1"/>
    </xf>
    <xf numFmtId="0" fontId="17" fillId="0" borderId="3" xfId="3" applyFont="1" applyBorder="1" applyAlignment="1">
      <alignment vertical="top" wrapText="1"/>
    </xf>
    <xf numFmtId="0" fontId="17" fillId="10" borderId="3" xfId="0" applyFont="1" applyFill="1" applyBorder="1" applyAlignment="1">
      <alignment horizontal="center" vertical="center" wrapText="1"/>
    </xf>
    <xf numFmtId="0" fontId="18" fillId="0" borderId="3" xfId="3" applyFont="1" applyBorder="1" applyAlignment="1">
      <alignment vertical="center" wrapText="1"/>
    </xf>
    <xf numFmtId="0" fontId="18" fillId="0" borderId="15" xfId="2" applyFont="1" applyBorder="1" applyAlignment="1">
      <alignment horizontal="left" vertical="center" wrapText="1"/>
    </xf>
    <xf numFmtId="0" fontId="17" fillId="0" borderId="65" xfId="3" applyFont="1" applyBorder="1" applyAlignment="1">
      <alignment horizontal="left" vertical="top" wrapText="1"/>
    </xf>
    <xf numFmtId="0" fontId="17" fillId="4" borderId="17" xfId="2" applyFont="1" applyFill="1" applyBorder="1" applyAlignment="1">
      <alignment horizontal="left" vertical="center" wrapText="1"/>
    </xf>
    <xf numFmtId="0" fontId="32" fillId="10" borderId="7" xfId="2" applyFont="1" applyFill="1" applyBorder="1" applyAlignment="1" applyProtection="1">
      <alignment horizontal="center" vertical="center"/>
      <protection locked="0"/>
    </xf>
    <xf numFmtId="0" fontId="32" fillId="10" borderId="2" xfId="14" applyFont="1" applyFill="1" applyBorder="1" applyAlignment="1">
      <alignment horizontal="center" vertical="center" wrapText="1"/>
    </xf>
    <xf numFmtId="0" fontId="32" fillId="10" borderId="3" xfId="0" applyFont="1" applyFill="1" applyBorder="1" applyAlignment="1">
      <alignment horizontal="center" vertical="center" wrapText="1"/>
    </xf>
    <xf numFmtId="0" fontId="32" fillId="10" borderId="64" xfId="3" applyFont="1" applyFill="1" applyBorder="1" applyAlignment="1">
      <alignment vertical="center" wrapText="1"/>
    </xf>
    <xf numFmtId="0" fontId="32" fillId="10" borderId="1" xfId="2" applyFont="1" applyFill="1" applyBorder="1" applyAlignment="1">
      <alignment horizontal="center" vertical="center" wrapText="1"/>
    </xf>
    <xf numFmtId="0" fontId="32" fillId="10" borderId="64" xfId="2" applyFont="1" applyFill="1" applyBorder="1" applyAlignment="1">
      <alignment horizontal="center" vertical="center" wrapText="1"/>
    </xf>
    <xf numFmtId="0" fontId="32" fillId="10" borderId="64" xfId="3" applyFont="1" applyFill="1" applyBorder="1" applyAlignment="1">
      <alignment horizontal="center" vertical="center" wrapText="1"/>
    </xf>
    <xf numFmtId="0" fontId="32" fillId="10" borderId="15" xfId="3" applyFont="1" applyFill="1" applyBorder="1" applyAlignment="1">
      <alignment horizontal="center" vertical="center" wrapText="1"/>
    </xf>
    <xf numFmtId="0" fontId="32" fillId="10" borderId="12" xfId="2" applyFont="1" applyFill="1" applyBorder="1" applyAlignment="1">
      <alignment horizontal="left" vertical="center" wrapText="1"/>
    </xf>
    <xf numFmtId="0" fontId="26" fillId="10" borderId="13" xfId="3" applyFont="1" applyFill="1" applyBorder="1" applyAlignment="1">
      <alignment horizontal="left" vertical="center" wrapText="1"/>
    </xf>
    <xf numFmtId="0" fontId="18" fillId="0" borderId="1" xfId="0" applyFont="1" applyBorder="1" applyAlignment="1" applyProtection="1">
      <alignment horizontal="center" vertical="top" wrapText="1"/>
      <protection locked="0"/>
    </xf>
    <xf numFmtId="0" fontId="20" fillId="10" borderId="3" xfId="2" applyFont="1" applyFill="1" applyBorder="1" applyAlignment="1">
      <alignment horizontal="center" vertical="center" wrapText="1"/>
    </xf>
    <xf numFmtId="0" fontId="18" fillId="0" borderId="40" xfId="0" applyFont="1" applyBorder="1" applyAlignment="1">
      <alignment horizontal="left" vertical="top" wrapText="1"/>
    </xf>
    <xf numFmtId="0" fontId="18" fillId="0" borderId="63" xfId="3" applyFont="1" applyBorder="1" applyAlignment="1">
      <alignment horizontal="left" vertical="center" wrapText="1"/>
    </xf>
    <xf numFmtId="0" fontId="17" fillId="0" borderId="3" xfId="3" applyFont="1" applyBorder="1" applyAlignment="1">
      <alignment horizontal="center" vertical="center"/>
    </xf>
    <xf numFmtId="0" fontId="32" fillId="10" borderId="6" xfId="2" applyFont="1" applyFill="1" applyBorder="1" applyAlignment="1" applyProtection="1">
      <alignment horizontal="center" vertical="center"/>
      <protection locked="0"/>
    </xf>
    <xf numFmtId="0" fontId="32" fillId="10" borderId="11" xfId="0" applyFont="1" applyFill="1" applyBorder="1" applyAlignment="1">
      <alignment horizontal="center" vertical="center" wrapText="1"/>
    </xf>
    <xf numFmtId="0" fontId="32" fillId="10" borderId="1" xfId="3" applyFont="1" applyFill="1" applyBorder="1" applyAlignment="1">
      <alignment horizontal="center" vertical="center" wrapText="1"/>
    </xf>
    <xf numFmtId="0" fontId="26" fillId="10" borderId="1" xfId="3" applyFont="1" applyFill="1" applyBorder="1" applyAlignment="1">
      <alignment horizontal="left" vertical="center" wrapText="1"/>
    </xf>
    <xf numFmtId="0" fontId="18" fillId="0" borderId="11" xfId="2" applyFont="1" applyBorder="1" applyAlignment="1" applyProtection="1">
      <alignment horizontal="center" vertical="center" wrapText="1"/>
      <protection locked="0"/>
    </xf>
    <xf numFmtId="0" fontId="17" fillId="0" borderId="65" xfId="0" applyFont="1" applyBorder="1" applyAlignment="1">
      <alignment vertical="center" wrapText="1"/>
    </xf>
    <xf numFmtId="0" fontId="26" fillId="10" borderId="45" xfId="3" applyFont="1" applyFill="1" applyBorder="1" applyAlignment="1" applyProtection="1">
      <alignment horizontal="left" vertical="center" wrapText="1"/>
      <protection locked="0"/>
    </xf>
    <xf numFmtId="0" fontId="26" fillId="10" borderId="12" xfId="3" applyFont="1" applyFill="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3" xfId="3" applyFont="1" applyBorder="1" applyAlignment="1" applyProtection="1">
      <alignment vertical="center" wrapText="1"/>
      <protection locked="0"/>
    </xf>
    <xf numFmtId="0" fontId="25" fillId="0" borderId="63" xfId="3" applyFont="1" applyBorder="1" applyAlignment="1" applyProtection="1">
      <alignment vertical="center" wrapText="1"/>
      <protection locked="0"/>
    </xf>
    <xf numFmtId="0" fontId="25" fillId="0" borderId="17" xfId="3" applyFont="1" applyBorder="1" applyAlignment="1" applyProtection="1">
      <alignment vertical="center" wrapText="1"/>
      <protection locked="0"/>
    </xf>
    <xf numFmtId="0" fontId="25" fillId="0" borderId="46" xfId="3" applyFont="1" applyBorder="1" applyAlignment="1" applyProtection="1">
      <alignment horizontal="left" vertical="center" wrapText="1"/>
      <protection locked="0"/>
    </xf>
    <xf numFmtId="0" fontId="17" fillId="0" borderId="75" xfId="6" applyFont="1" applyBorder="1" applyAlignment="1">
      <alignment vertical="center" wrapText="1"/>
    </xf>
    <xf numFmtId="0" fontId="17" fillId="0" borderId="75" xfId="6" applyFont="1" applyBorder="1" applyAlignment="1">
      <alignment horizontal="left" vertical="center" wrapText="1"/>
    </xf>
    <xf numFmtId="0" fontId="17" fillId="0" borderId="76" xfId="3" applyFont="1" applyBorder="1" applyAlignment="1">
      <alignment horizontal="center" vertical="center" wrapText="1"/>
    </xf>
    <xf numFmtId="0" fontId="17" fillId="0" borderId="76" xfId="3" applyFont="1" applyBorder="1" applyAlignment="1">
      <alignment horizontal="left" vertical="center" wrapText="1"/>
    </xf>
    <xf numFmtId="0" fontId="17" fillId="0" borderId="16" xfId="0" applyFont="1" applyBorder="1" applyAlignment="1">
      <alignment horizontal="left" vertical="center" wrapText="1"/>
    </xf>
    <xf numFmtId="0" fontId="17" fillId="6" borderId="16" xfId="0" applyFont="1" applyFill="1" applyBorder="1" applyAlignment="1" applyProtection="1">
      <alignment horizontal="left" vertical="center" wrapText="1"/>
      <protection locked="0"/>
    </xf>
    <xf numFmtId="0" fontId="17" fillId="0" borderId="9" xfId="0" applyFont="1" applyBorder="1" applyAlignment="1" applyProtection="1">
      <alignment horizontal="center" vertical="center" wrapText="1"/>
      <protection locked="0"/>
    </xf>
    <xf numFmtId="0" fontId="17" fillId="0" borderId="9" xfId="3" applyFont="1" applyBorder="1" applyAlignment="1" applyProtection="1">
      <alignment horizontal="left" vertical="center" wrapText="1"/>
      <protection locked="0"/>
    </xf>
    <xf numFmtId="0" fontId="17" fillId="0" borderId="9" xfId="2" applyFont="1" applyBorder="1" applyAlignment="1" applyProtection="1">
      <alignment horizontal="center" vertical="center" wrapText="1"/>
      <protection locked="0"/>
    </xf>
    <xf numFmtId="0" fontId="17" fillId="0" borderId="9" xfId="3" applyFont="1" applyBorder="1" applyAlignment="1" applyProtection="1">
      <alignment horizontal="center" vertical="center" wrapText="1"/>
      <protection locked="0"/>
    </xf>
    <xf numFmtId="0" fontId="17" fillId="0" borderId="16" xfId="3" applyFont="1" applyBorder="1" applyAlignment="1" applyProtection="1">
      <alignment horizontal="center" vertical="center" wrapText="1"/>
      <protection locked="0"/>
    </xf>
    <xf numFmtId="0" fontId="17" fillId="0" borderId="16" xfId="3" applyFont="1" applyBorder="1" applyAlignment="1" applyProtection="1">
      <alignment horizontal="left" vertical="center" wrapText="1"/>
      <protection locked="0"/>
    </xf>
    <xf numFmtId="0" fontId="19" fillId="0" borderId="16" xfId="3" applyFont="1" applyBorder="1" applyAlignment="1" applyProtection="1">
      <alignment horizontal="left" vertical="center" wrapText="1"/>
      <protection locked="0"/>
    </xf>
    <xf numFmtId="0" fontId="30" fillId="0" borderId="9" xfId="3" applyFont="1" applyBorder="1" applyAlignment="1" applyProtection="1">
      <alignment vertical="center" wrapText="1"/>
      <protection locked="0"/>
    </xf>
    <xf numFmtId="0" fontId="30" fillId="0" borderId="16" xfId="3" applyFont="1" applyBorder="1" applyAlignment="1" applyProtection="1">
      <alignment vertical="center" wrapText="1"/>
      <protection locked="0"/>
    </xf>
    <xf numFmtId="0" fontId="19" fillId="0" borderId="34" xfId="3" applyFont="1" applyBorder="1" applyAlignment="1" applyProtection="1">
      <alignment horizontal="left" vertical="center" wrapText="1"/>
      <protection locked="0"/>
    </xf>
    <xf numFmtId="0" fontId="18" fillId="0" borderId="4" xfId="3" applyFont="1" applyBorder="1" applyAlignment="1">
      <alignment vertical="top" wrapText="1"/>
    </xf>
    <xf numFmtId="0" fontId="18" fillId="0" borderId="4" xfId="3" applyFont="1" applyBorder="1" applyAlignment="1">
      <alignment horizontal="left" vertical="center" wrapText="1"/>
    </xf>
    <xf numFmtId="0" fontId="17" fillId="0" borderId="14" xfId="3" applyFont="1" applyBorder="1" applyAlignment="1" applyProtection="1">
      <alignment horizontal="left" vertical="center" wrapText="1"/>
      <protection locked="0"/>
    </xf>
    <xf numFmtId="0" fontId="17" fillId="0" borderId="25" xfId="3" applyFont="1" applyBorder="1" applyAlignment="1" applyProtection="1">
      <alignment vertical="center" wrapText="1"/>
      <protection locked="0"/>
    </xf>
    <xf numFmtId="0" fontId="18" fillId="0" borderId="3" xfId="3" applyFont="1" applyBorder="1" applyAlignment="1" applyProtection="1">
      <alignment vertical="center" wrapText="1"/>
      <protection locked="0"/>
    </xf>
    <xf numFmtId="0" fontId="18" fillId="0" borderId="3" xfId="3" applyFont="1" applyBorder="1" applyAlignment="1" applyProtection="1">
      <alignment horizontal="left" vertical="center" wrapText="1"/>
      <protection locked="0"/>
    </xf>
    <xf numFmtId="0" fontId="17" fillId="0" borderId="9" xfId="14" applyFont="1" applyBorder="1" applyAlignment="1" applyProtection="1">
      <alignment horizontal="center" vertical="center" wrapText="1"/>
      <protection locked="0"/>
    </xf>
    <xf numFmtId="0" fontId="18" fillId="0" borderId="9" xfId="3" applyFont="1" applyBorder="1" applyAlignment="1" applyProtection="1">
      <alignment vertical="center" wrapText="1"/>
      <protection locked="0"/>
    </xf>
    <xf numFmtId="0" fontId="17" fillId="0" borderId="1" xfId="2" applyFont="1" applyBorder="1" applyAlignment="1">
      <alignment horizontal="center" vertical="top" wrapText="1"/>
    </xf>
    <xf numFmtId="0" fontId="17" fillId="0" borderId="45" xfId="3" applyFont="1" applyBorder="1" applyAlignment="1">
      <alignment horizontal="left" vertical="top" wrapText="1"/>
    </xf>
    <xf numFmtId="0" fontId="18" fillId="0" borderId="15" xfId="3" applyFont="1" applyBorder="1" applyAlignment="1" applyProtection="1">
      <alignment horizontal="left" vertical="center" wrapText="1"/>
      <protection locked="0"/>
    </xf>
    <xf numFmtId="0" fontId="18" fillId="0" borderId="16" xfId="3" applyFont="1" applyBorder="1" applyAlignment="1" applyProtection="1">
      <alignment horizontal="left" vertical="center" wrapText="1"/>
      <protection locked="0"/>
    </xf>
    <xf numFmtId="0" fontId="18" fillId="0" borderId="17" xfId="3" applyFont="1" applyBorder="1" applyAlignment="1">
      <alignment horizontal="left" vertical="center" wrapText="1"/>
    </xf>
    <xf numFmtId="0" fontId="18" fillId="0" borderId="14" xfId="3" applyFont="1" applyBorder="1" applyAlignment="1">
      <alignment horizontal="left" vertical="center" wrapText="1"/>
    </xf>
    <xf numFmtId="0" fontId="17" fillId="6" borderId="14" xfId="3" applyFont="1" applyFill="1" applyBorder="1" applyAlignment="1" applyProtection="1">
      <alignment horizontal="left" vertical="center" wrapText="1"/>
      <protection locked="0"/>
    </xf>
    <xf numFmtId="0" fontId="18" fillId="0" borderId="13" xfId="0" applyFont="1" applyBorder="1" applyAlignment="1">
      <alignment horizontal="left" vertical="center" wrapText="1"/>
    </xf>
    <xf numFmtId="49" fontId="17" fillId="0" borderId="3" xfId="0" applyNumberFormat="1" applyFont="1" applyBorder="1" applyAlignment="1">
      <alignment horizontal="left" vertical="center" wrapText="1"/>
    </xf>
    <xf numFmtId="49" fontId="17" fillId="4" borderId="77" xfId="0" applyNumberFormat="1" applyFont="1" applyFill="1" applyBorder="1" applyAlignment="1">
      <alignment horizontal="left" vertical="center" wrapText="1"/>
    </xf>
    <xf numFmtId="0" fontId="23" fillId="4" borderId="46" xfId="3" applyFont="1" applyFill="1" applyBorder="1" applyAlignment="1" applyProtection="1">
      <alignment horizontal="left" vertical="center" wrapText="1"/>
      <protection locked="0"/>
    </xf>
    <xf numFmtId="0" fontId="23" fillId="4" borderId="0" xfId="3" applyFont="1" applyFill="1" applyAlignment="1" applyProtection="1">
      <alignment wrapText="1"/>
      <protection locked="0"/>
    </xf>
    <xf numFmtId="0" fontId="32" fillId="10" borderId="64" xfId="2" applyFont="1" applyFill="1" applyBorder="1" applyAlignment="1" applyProtection="1">
      <alignment horizontal="center" vertical="center" wrapText="1"/>
      <protection locked="0"/>
    </xf>
    <xf numFmtId="0" fontId="32" fillId="10" borderId="64" xfId="0" applyFont="1" applyFill="1" applyBorder="1" applyAlignment="1" applyProtection="1">
      <alignment horizontal="center" vertical="center" wrapText="1"/>
      <protection locked="0"/>
    </xf>
    <xf numFmtId="49" fontId="32" fillId="10" borderId="64" xfId="0" applyNumberFormat="1" applyFont="1" applyFill="1" applyBorder="1" applyAlignment="1" applyProtection="1">
      <alignment horizontal="left" vertical="center" wrapText="1"/>
      <protection locked="0"/>
    </xf>
    <xf numFmtId="0" fontId="32" fillId="10" borderId="64" xfId="2" applyFont="1" applyFill="1" applyBorder="1" applyAlignment="1">
      <alignment horizontal="left" vertical="center" wrapText="1"/>
    </xf>
    <xf numFmtId="49" fontId="32" fillId="10" borderId="64" xfId="0" applyNumberFormat="1" applyFont="1" applyFill="1" applyBorder="1" applyAlignment="1">
      <alignment horizontal="left" vertical="center" wrapText="1"/>
    </xf>
    <xf numFmtId="0" fontId="32" fillId="10" borderId="64" xfId="3" applyFont="1" applyFill="1" applyBorder="1" applyAlignment="1" applyProtection="1">
      <alignment horizontal="center" vertical="center" wrapText="1"/>
      <protection locked="0"/>
    </xf>
    <xf numFmtId="0" fontId="32" fillId="10" borderId="64" xfId="3" applyFont="1" applyFill="1" applyBorder="1" applyAlignment="1" applyProtection="1">
      <alignment horizontal="left" vertical="center" wrapText="1"/>
      <protection locked="0"/>
    </xf>
    <xf numFmtId="0" fontId="18" fillId="4" borderId="6" xfId="2" applyFont="1" applyFill="1" applyBorder="1" applyAlignment="1">
      <alignment horizontal="center" vertical="center" wrapText="1"/>
    </xf>
    <xf numFmtId="0" fontId="17" fillId="0" borderId="76" xfId="0" applyFont="1" applyBorder="1" applyAlignment="1" applyProtection="1">
      <alignment horizontal="center"/>
      <protection locked="0"/>
    </xf>
    <xf numFmtId="0" fontId="17" fillId="0" borderId="29" xfId="0" applyFont="1" applyBorder="1" applyProtection="1">
      <protection locked="0"/>
    </xf>
    <xf numFmtId="0" fontId="17" fillId="0" borderId="30" xfId="0" applyFont="1" applyBorder="1" applyProtection="1">
      <protection locked="0"/>
    </xf>
    <xf numFmtId="0" fontId="17" fillId="0" borderId="60" xfId="0" applyFont="1" applyBorder="1" applyProtection="1">
      <protection locked="0"/>
    </xf>
    <xf numFmtId="0" fontId="17" fillId="0" borderId="48" xfId="0" applyFont="1" applyBorder="1" applyProtection="1">
      <protection locked="0"/>
    </xf>
    <xf numFmtId="0" fontId="26" fillId="10" borderId="3" xfId="3" applyFont="1" applyFill="1" applyBorder="1" applyAlignment="1">
      <alignment horizontal="left" vertical="center" wrapText="1"/>
    </xf>
    <xf numFmtId="0" fontId="18" fillId="0" borderId="46" xfId="0" applyFont="1" applyBorder="1"/>
    <xf numFmtId="0" fontId="18" fillId="4" borderId="64" xfId="0" applyFont="1" applyFill="1" applyBorder="1" applyAlignment="1" applyProtection="1">
      <alignment horizontal="left" vertical="center"/>
      <protection locked="0"/>
    </xf>
    <xf numFmtId="0" fontId="17" fillId="10" borderId="64" xfId="2" applyFont="1" applyFill="1" applyBorder="1" applyAlignment="1">
      <alignment horizontal="center" vertical="center" wrapText="1"/>
    </xf>
    <xf numFmtId="0" fontId="18" fillId="0" borderId="6" xfId="2" applyFont="1" applyBorder="1" applyAlignment="1">
      <alignment horizontal="center" vertical="center"/>
    </xf>
    <xf numFmtId="0" fontId="17" fillId="4" borderId="9" xfId="14" applyFont="1" applyFill="1" applyBorder="1" applyAlignment="1">
      <alignment horizontal="center" vertical="center" wrapText="1"/>
    </xf>
    <xf numFmtId="0" fontId="16" fillId="4" borderId="9" xfId="14" applyFont="1" applyFill="1" applyBorder="1" applyAlignment="1">
      <alignment horizontal="center" vertical="center" wrapText="1"/>
    </xf>
    <xf numFmtId="49" fontId="17" fillId="0" borderId="9" xfId="0" applyNumberFormat="1" applyFont="1" applyBorder="1" applyAlignment="1">
      <alignment vertical="center" wrapText="1"/>
    </xf>
    <xf numFmtId="0" fontId="17" fillId="4" borderId="9" xfId="2" applyFont="1" applyFill="1" applyBorder="1" applyAlignment="1">
      <alignment horizontal="center" vertical="center" wrapText="1"/>
    </xf>
    <xf numFmtId="0" fontId="17" fillId="4" borderId="9" xfId="2" applyFont="1" applyFill="1" applyBorder="1" applyAlignment="1">
      <alignment horizontal="left" vertical="center" wrapText="1"/>
    </xf>
    <xf numFmtId="49" fontId="17" fillId="0" borderId="9" xfId="0" applyNumberFormat="1" applyFont="1" applyBorder="1" applyAlignment="1">
      <alignment horizontal="left" vertical="center" wrapText="1"/>
    </xf>
    <xf numFmtId="0" fontId="17" fillId="4" borderId="9" xfId="3" applyFont="1" applyFill="1" applyBorder="1" applyAlignment="1">
      <alignment horizontal="center" vertical="center" wrapText="1"/>
    </xf>
    <xf numFmtId="0" fontId="17" fillId="10" borderId="9" xfId="2" applyFont="1" applyFill="1" applyBorder="1" applyAlignment="1">
      <alignment horizontal="center" vertical="center" wrapText="1"/>
    </xf>
    <xf numFmtId="0" fontId="23" fillId="4" borderId="34" xfId="3" applyFont="1" applyFill="1" applyBorder="1" applyAlignment="1" applyProtection="1">
      <alignment horizontal="left" vertical="center" wrapText="1"/>
      <protection locked="0"/>
    </xf>
    <xf numFmtId="0" fontId="17" fillId="4" borderId="26" xfId="0" applyFont="1" applyFill="1" applyBorder="1" applyProtection="1">
      <protection locked="0"/>
    </xf>
    <xf numFmtId="0" fontId="17" fillId="0" borderId="32" xfId="3" applyFont="1" applyBorder="1" applyAlignment="1" applyProtection="1">
      <alignment horizontal="center" vertical="center" wrapText="1"/>
      <protection locked="0"/>
    </xf>
    <xf numFmtId="0" fontId="17" fillId="0" borderId="33" xfId="5" applyFont="1" applyBorder="1" applyAlignment="1" applyProtection="1">
      <alignment horizontal="center" vertical="center" wrapText="1"/>
      <protection locked="0"/>
    </xf>
    <xf numFmtId="0" fontId="22" fillId="0" borderId="33" xfId="3" applyFont="1" applyBorder="1" applyAlignment="1" applyProtection="1">
      <alignment horizontal="left" vertical="center" wrapText="1"/>
      <protection locked="0"/>
    </xf>
    <xf numFmtId="0" fontId="16" fillId="4" borderId="26" xfId="0" applyFont="1" applyFill="1" applyBorder="1" applyAlignment="1" applyProtection="1">
      <alignment horizontal="center" vertical="center"/>
      <protection locked="0"/>
    </xf>
    <xf numFmtId="0" fontId="17" fillId="0" borderId="32" xfId="3" applyFont="1" applyBorder="1" applyAlignment="1">
      <alignment horizontal="center" vertical="center" wrapText="1"/>
    </xf>
    <xf numFmtId="0" fontId="17" fillId="0" borderId="46" xfId="3" applyFont="1" applyBorder="1" applyAlignment="1">
      <alignment horizontal="center" vertical="center" wrapText="1"/>
    </xf>
    <xf numFmtId="0" fontId="17" fillId="0" borderId="33" xfId="3" applyFont="1" applyBorder="1" applyAlignment="1">
      <alignment horizontal="center" vertical="center" wrapText="1"/>
    </xf>
    <xf numFmtId="0" fontId="17" fillId="0" borderId="33" xfId="5" applyFont="1" applyBorder="1" applyAlignment="1">
      <alignment horizontal="center" vertical="center" wrapText="1"/>
    </xf>
    <xf numFmtId="0" fontId="22" fillId="0" borderId="33" xfId="3" applyFont="1" applyBorder="1" applyAlignment="1">
      <alignment horizontal="left" vertical="center" wrapText="1"/>
    </xf>
    <xf numFmtId="0" fontId="17" fillId="0" borderId="33" xfId="3" applyFont="1" applyBorder="1" applyAlignment="1">
      <alignment horizontal="left" vertical="center" wrapText="1"/>
    </xf>
    <xf numFmtId="0" fontId="17" fillId="4" borderId="33" xfId="3" applyFont="1" applyFill="1" applyBorder="1" applyProtection="1">
      <protection locked="0"/>
    </xf>
    <xf numFmtId="0" fontId="17" fillId="0" borderId="34" xfId="3" applyFont="1" applyBorder="1" applyAlignment="1">
      <alignment horizontal="center" vertical="center" wrapText="1"/>
    </xf>
    <xf numFmtId="9" fontId="26" fillId="10" borderId="12" xfId="11" applyFont="1" applyFill="1" applyBorder="1" applyAlignment="1" applyProtection="1">
      <alignment horizontal="left" vertical="center"/>
      <protection locked="0"/>
    </xf>
    <xf numFmtId="0" fontId="17" fillId="0" borderId="32" xfId="3" applyFont="1" applyBorder="1" applyAlignment="1">
      <alignment horizontal="left" vertical="center" wrapText="1"/>
    </xf>
    <xf numFmtId="0" fontId="17" fillId="0" borderId="46" xfId="3" applyFont="1" applyBorder="1" applyAlignment="1">
      <alignment horizontal="left" vertical="center" wrapText="1"/>
    </xf>
    <xf numFmtId="0" fontId="17" fillId="0" borderId="46" xfId="5" applyFont="1" applyBorder="1" applyAlignment="1">
      <alignment horizontal="left" vertical="center" wrapText="1"/>
    </xf>
    <xf numFmtId="0" fontId="29" fillId="0" borderId="46" xfId="3" applyFont="1" applyBorder="1" applyAlignment="1">
      <alignment horizontal="left" vertical="center" wrapText="1"/>
    </xf>
    <xf numFmtId="0" fontId="17" fillId="0" borderId="27" xfId="3" applyFont="1" applyBorder="1" applyAlignment="1">
      <alignment horizontal="left" vertical="center" wrapText="1"/>
    </xf>
    <xf numFmtId="9" fontId="26" fillId="10" borderId="12" xfId="11" applyFont="1" applyFill="1" applyBorder="1" applyAlignment="1">
      <alignment horizontal="left" vertical="center" wrapText="1"/>
    </xf>
    <xf numFmtId="0" fontId="26" fillId="10" borderId="12" xfId="3" applyFont="1" applyFill="1" applyBorder="1" applyAlignment="1">
      <alignment horizontal="left" vertical="center" wrapText="1"/>
    </xf>
    <xf numFmtId="0" fontId="17" fillId="4" borderId="16" xfId="3" applyFont="1" applyFill="1" applyBorder="1" applyAlignment="1">
      <alignment horizontal="left" vertical="center" wrapText="1"/>
    </xf>
    <xf numFmtId="0" fontId="17" fillId="0" borderId="32" xfId="2" applyFont="1" applyBorder="1" applyAlignment="1">
      <alignment horizontal="left" vertical="center"/>
    </xf>
    <xf numFmtId="0" fontId="17" fillId="0" borderId="46" xfId="2" applyFont="1" applyBorder="1" applyAlignment="1">
      <alignment horizontal="left" vertical="center"/>
    </xf>
    <xf numFmtId="0" fontId="23" fillId="0" borderId="46" xfId="3" applyFont="1" applyBorder="1" applyAlignment="1">
      <alignment horizontal="left" vertical="center" wrapText="1"/>
    </xf>
    <xf numFmtId="0" fontId="23" fillId="0" borderId="33" xfId="3" applyFont="1" applyBorder="1" applyAlignment="1">
      <alignment horizontal="left" vertical="center" wrapText="1"/>
    </xf>
    <xf numFmtId="0" fontId="23" fillId="4" borderId="33" xfId="3" applyFont="1" applyFill="1" applyBorder="1" applyAlignment="1">
      <alignment horizontal="left" vertical="center" wrapText="1"/>
    </xf>
    <xf numFmtId="0" fontId="23" fillId="4" borderId="46" xfId="3" applyFont="1" applyFill="1" applyBorder="1" applyAlignment="1">
      <alignment horizontal="left" vertical="center" wrapText="1"/>
    </xf>
    <xf numFmtId="0" fontId="23" fillId="4" borderId="34" xfId="3" applyFont="1" applyFill="1" applyBorder="1" applyAlignment="1">
      <alignment horizontal="left" vertical="center" wrapText="1"/>
    </xf>
    <xf numFmtId="0" fontId="24" fillId="0" borderId="46" xfId="3" applyFont="1" applyBorder="1" applyAlignment="1">
      <alignment horizontal="left" vertical="center" wrapText="1"/>
    </xf>
    <xf numFmtId="0" fontId="24" fillId="0" borderId="34" xfId="3" applyFont="1" applyBorder="1" applyAlignment="1">
      <alignment horizontal="left" vertical="center" wrapText="1"/>
    </xf>
    <xf numFmtId="0" fontId="17" fillId="0" borderId="78" xfId="3" applyFont="1" applyBorder="1" applyAlignment="1">
      <alignment horizontal="left" vertical="center" wrapText="1"/>
    </xf>
    <xf numFmtId="0" fontId="17" fillId="0" borderId="32" xfId="2" applyFont="1" applyBorder="1" applyAlignment="1">
      <alignment horizontal="left" vertical="center" wrapText="1"/>
    </xf>
    <xf numFmtId="0" fontId="17" fillId="0" borderId="46" xfId="2" applyFont="1" applyBorder="1" applyAlignment="1">
      <alignment horizontal="left" vertical="center" wrapText="1"/>
    </xf>
    <xf numFmtId="0" fontId="22" fillId="0" borderId="46" xfId="3" applyFont="1" applyBorder="1" applyAlignment="1">
      <alignment horizontal="left" vertical="center" wrapText="1"/>
    </xf>
    <xf numFmtId="0" fontId="23" fillId="4" borderId="33" xfId="3" applyFont="1" applyFill="1" applyBorder="1" applyProtection="1">
      <protection locked="0"/>
    </xf>
    <xf numFmtId="0" fontId="18" fillId="0" borderId="34" xfId="0" applyFont="1" applyBorder="1"/>
    <xf numFmtId="0" fontId="17" fillId="0" borderId="78" xfId="2" applyFont="1" applyBorder="1" applyAlignment="1">
      <alignment horizontal="left" vertical="center" wrapText="1"/>
    </xf>
    <xf numFmtId="0" fontId="17" fillId="4" borderId="34" xfId="3" applyFont="1" applyFill="1" applyBorder="1" applyProtection="1">
      <protection locked="0"/>
    </xf>
    <xf numFmtId="0" fontId="17" fillId="0" borderId="32" xfId="2" applyFont="1" applyBorder="1" applyAlignment="1" applyProtection="1">
      <alignment horizontal="left" vertical="center"/>
      <protection locked="0"/>
    </xf>
    <xf numFmtId="0" fontId="17" fillId="0" borderId="46" xfId="2" applyFont="1" applyBorder="1" applyAlignment="1" applyProtection="1">
      <alignment horizontal="left" vertical="center"/>
      <protection locked="0"/>
    </xf>
    <xf numFmtId="0" fontId="22" fillId="0" borderId="46" xfId="3" applyFont="1" applyBorder="1" applyAlignment="1" applyProtection="1">
      <alignment horizontal="left" vertical="center"/>
      <protection locked="0"/>
    </xf>
    <xf numFmtId="0" fontId="23" fillId="0" borderId="46" xfId="3" applyFont="1" applyBorder="1" applyAlignment="1" applyProtection="1">
      <alignment horizontal="left" vertical="center" wrapText="1"/>
      <protection locked="0"/>
    </xf>
    <xf numFmtId="0" fontId="31" fillId="4" borderId="26" xfId="3" applyFont="1" applyFill="1" applyBorder="1" applyAlignment="1">
      <alignment horizontal="center" vertical="center" wrapText="1"/>
    </xf>
    <xf numFmtId="0" fontId="17" fillId="0" borderId="78" xfId="2" applyFont="1" applyBorder="1" applyAlignment="1" applyProtection="1">
      <alignment horizontal="center" vertical="center"/>
      <protection locked="0"/>
    </xf>
    <xf numFmtId="0" fontId="16" fillId="4" borderId="27" xfId="3" applyFont="1" applyFill="1" applyBorder="1" applyAlignment="1" applyProtection="1">
      <alignment horizontal="center" vertical="center"/>
      <protection locked="0"/>
    </xf>
    <xf numFmtId="0" fontId="17" fillId="0" borderId="32" xfId="3" applyFont="1" applyBorder="1" applyAlignment="1" applyProtection="1">
      <alignment horizontal="left" vertical="center"/>
      <protection locked="0"/>
    </xf>
    <xf numFmtId="0" fontId="23" fillId="4" borderId="26" xfId="0" applyFont="1" applyFill="1" applyBorder="1" applyProtection="1">
      <protection locked="0"/>
    </xf>
    <xf numFmtId="0" fontId="17" fillId="4" borderId="27" xfId="0" applyFont="1" applyFill="1" applyBorder="1" applyProtection="1">
      <protection locked="0"/>
    </xf>
    <xf numFmtId="0" fontId="26" fillId="10" borderId="12" xfId="3" applyFont="1" applyFill="1" applyBorder="1" applyAlignment="1" applyProtection="1">
      <alignment vertical="center" wrapText="1"/>
      <protection locked="0"/>
    </xf>
    <xf numFmtId="9" fontId="26" fillId="10" borderId="12" xfId="11" applyFont="1" applyFill="1" applyBorder="1" applyAlignment="1">
      <alignment horizontal="left" vertical="center"/>
    </xf>
    <xf numFmtId="0" fontId="17" fillId="0" borderId="79" xfId="2" applyFont="1" applyBorder="1" applyAlignment="1">
      <alignment horizontal="left" vertical="center" wrapText="1"/>
    </xf>
    <xf numFmtId="0" fontId="17" fillId="0" borderId="80" xfId="3" applyFont="1" applyBorder="1" applyAlignment="1">
      <alignment horizontal="left" vertical="center" wrapText="1"/>
    </xf>
    <xf numFmtId="0" fontId="20" fillId="0" borderId="57" xfId="3" applyFont="1" applyBorder="1" applyAlignment="1" applyProtection="1">
      <alignment vertical="center" wrapText="1"/>
      <protection locked="0"/>
    </xf>
    <xf numFmtId="0" fontId="17" fillId="4" borderId="57" xfId="3" applyFont="1" applyFill="1" applyBorder="1" applyAlignment="1" applyProtection="1">
      <alignment horizontal="left" vertical="center" wrapText="1"/>
      <protection locked="0"/>
    </xf>
    <xf numFmtId="0" fontId="21" fillId="0" borderId="61" xfId="3" applyFont="1" applyBorder="1" applyAlignment="1" applyProtection="1">
      <alignment horizontal="left" vertical="center" wrapText="1"/>
      <protection locked="0"/>
    </xf>
    <xf numFmtId="0" fontId="17" fillId="0" borderId="57" xfId="3" applyFont="1" applyBorder="1" applyAlignment="1">
      <alignment horizontal="left" vertical="center" wrapText="1"/>
    </xf>
    <xf numFmtId="0" fontId="17" fillId="0" borderId="57" xfId="3" applyFont="1" applyBorder="1" applyAlignment="1" applyProtection="1">
      <alignment vertical="center" wrapText="1"/>
      <protection locked="0"/>
    </xf>
    <xf numFmtId="0" fontId="17" fillId="4" borderId="57" xfId="3" applyFont="1" applyFill="1" applyBorder="1" applyProtection="1">
      <protection locked="0"/>
    </xf>
    <xf numFmtId="0" fontId="17" fillId="4" borderId="57" xfId="3" applyFont="1" applyFill="1" applyBorder="1" applyAlignment="1" applyProtection="1">
      <alignment vertical="center" wrapText="1"/>
      <protection locked="0"/>
    </xf>
    <xf numFmtId="0" fontId="17" fillId="0" borderId="81" xfId="3" applyFont="1" applyBorder="1" applyAlignment="1" applyProtection="1">
      <alignment vertical="center" wrapText="1"/>
      <protection locked="0"/>
    </xf>
    <xf numFmtId="0" fontId="17" fillId="6" borderId="26" xfId="3" applyFont="1" applyFill="1" applyBorder="1" applyAlignment="1" applyProtection="1">
      <alignment vertical="center" wrapText="1"/>
      <protection locked="0"/>
    </xf>
    <xf numFmtId="0" fontId="16" fillId="4" borderId="26" xfId="3" applyFont="1" applyFill="1" applyBorder="1" applyAlignment="1" applyProtection="1">
      <alignment horizontal="center" vertical="center"/>
      <protection locked="0"/>
    </xf>
    <xf numFmtId="0" fontId="17" fillId="4" borderId="26" xfId="3" applyFont="1" applyFill="1" applyBorder="1" applyAlignment="1" applyProtection="1">
      <alignment horizontal="center" vertical="center" wrapText="1"/>
      <protection locked="0"/>
    </xf>
    <xf numFmtId="0" fontId="25" fillId="0" borderId="27" xfId="3" applyFont="1" applyBorder="1" applyAlignment="1" applyProtection="1">
      <alignment horizontal="center" vertical="center" wrapText="1"/>
      <protection locked="0"/>
    </xf>
    <xf numFmtId="0" fontId="17" fillId="4" borderId="64" xfId="0" applyFont="1" applyFill="1" applyBorder="1" applyProtection="1">
      <protection locked="0"/>
    </xf>
    <xf numFmtId="0" fontId="16" fillId="4" borderId="64" xfId="3" applyFont="1" applyFill="1" applyBorder="1" applyAlignment="1" applyProtection="1">
      <alignment horizontal="center" vertical="center"/>
      <protection locked="0"/>
    </xf>
    <xf numFmtId="0" fontId="26" fillId="10" borderId="12" xfId="2" applyFont="1" applyFill="1" applyBorder="1" applyAlignment="1">
      <alignment horizontal="left" vertical="center" wrapText="1"/>
    </xf>
    <xf numFmtId="0" fontId="26" fillId="10" borderId="63" xfId="3" applyFont="1" applyFill="1" applyBorder="1" applyAlignment="1" applyProtection="1">
      <alignment horizontal="left" vertical="center" wrapText="1"/>
      <protection locked="0"/>
    </xf>
    <xf numFmtId="0" fontId="26" fillId="10" borderId="63" xfId="2" applyFont="1" applyFill="1" applyBorder="1" applyAlignment="1">
      <alignment horizontal="center" vertical="center" wrapText="1"/>
    </xf>
    <xf numFmtId="0" fontId="26" fillId="10" borderId="69" xfId="2" applyFont="1" applyFill="1" applyBorder="1" applyAlignment="1">
      <alignment horizontal="center" vertical="center"/>
    </xf>
    <xf numFmtId="0" fontId="18" fillId="0" borderId="15" xfId="3" applyFont="1" applyBorder="1" applyAlignment="1">
      <alignment horizontal="center" vertical="top" wrapText="1"/>
    </xf>
    <xf numFmtId="0" fontId="26" fillId="4" borderId="64" xfId="2" applyFont="1" applyFill="1" applyBorder="1" applyAlignment="1">
      <alignment horizontal="left" vertical="center" wrapText="1"/>
    </xf>
    <xf numFmtId="0" fontId="26" fillId="4" borderId="33" xfId="0" applyFont="1" applyFill="1" applyBorder="1" applyAlignment="1" applyProtection="1">
      <alignment horizontal="left" vertical="center"/>
      <protection locked="0"/>
    </xf>
    <xf numFmtId="0" fontId="26" fillId="4" borderId="34" xfId="0" applyFont="1" applyFill="1" applyBorder="1" applyAlignment="1" applyProtection="1">
      <alignment horizontal="left" vertical="center"/>
      <protection locked="0"/>
    </xf>
    <xf numFmtId="0" fontId="26" fillId="4" borderId="57" xfId="0" applyFont="1" applyFill="1" applyBorder="1" applyAlignment="1" applyProtection="1">
      <alignment horizontal="left" vertical="center"/>
      <protection locked="0"/>
    </xf>
    <xf numFmtId="0" fontId="26" fillId="4" borderId="24" xfId="0" applyFont="1" applyFill="1" applyBorder="1" applyAlignment="1" applyProtection="1">
      <alignment horizontal="left" vertical="center"/>
      <protection locked="0"/>
    </xf>
    <xf numFmtId="0" fontId="21" fillId="4" borderId="17" xfId="3" applyFont="1" applyFill="1" applyBorder="1" applyAlignment="1" applyProtection="1">
      <alignment horizontal="left" vertical="center" wrapText="1"/>
      <protection locked="0"/>
    </xf>
    <xf numFmtId="0" fontId="26" fillId="10" borderId="2" xfId="14" applyFont="1" applyFill="1" applyBorder="1" applyAlignment="1" applyProtection="1">
      <alignment horizontal="center" vertical="center" wrapText="1"/>
      <protection locked="0"/>
    </xf>
    <xf numFmtId="0" fontId="26" fillId="10" borderId="2" xfId="3" applyFont="1" applyFill="1" applyBorder="1" applyAlignment="1" applyProtection="1">
      <alignment horizontal="center" vertical="center" wrapText="1"/>
      <protection locked="0"/>
    </xf>
    <xf numFmtId="0" fontId="26" fillId="10" borderId="2" xfId="2" applyFont="1" applyFill="1" applyBorder="1" applyAlignment="1" applyProtection="1">
      <alignment horizontal="center" vertical="center" wrapText="1"/>
      <protection locked="0"/>
    </xf>
    <xf numFmtId="0" fontId="26" fillId="10" borderId="2" xfId="3" applyFont="1" applyFill="1" applyBorder="1" applyAlignment="1" applyProtection="1">
      <alignment horizontal="left" vertical="center" wrapText="1"/>
      <protection locked="0"/>
    </xf>
    <xf numFmtId="0" fontId="26" fillId="4" borderId="2" xfId="0" applyFont="1" applyFill="1" applyBorder="1" applyAlignment="1" applyProtection="1">
      <alignment horizontal="left" vertical="center"/>
      <protection locked="0"/>
    </xf>
    <xf numFmtId="0" fontId="17" fillId="4" borderId="2" xfId="3" applyFont="1" applyFill="1" applyBorder="1" applyProtection="1">
      <protection locked="0"/>
    </xf>
    <xf numFmtId="0" fontId="16" fillId="4" borderId="2" xfId="3" applyFont="1" applyFill="1" applyBorder="1" applyAlignment="1" applyProtection="1">
      <alignment horizontal="center" vertical="center"/>
      <protection locked="0"/>
    </xf>
    <xf numFmtId="0" fontId="17" fillId="0" borderId="14" xfId="0" applyFont="1" applyBorder="1" applyAlignment="1">
      <alignment horizontal="center"/>
    </xf>
    <xf numFmtId="0" fontId="17" fillId="0" borderId="76" xfId="0" applyFont="1" applyBorder="1" applyAlignment="1">
      <alignment horizontal="center"/>
    </xf>
    <xf numFmtId="0" fontId="34" fillId="12" borderId="5" xfId="2" applyFont="1" applyFill="1" applyBorder="1" applyAlignment="1">
      <alignment horizontal="center" vertical="center"/>
    </xf>
    <xf numFmtId="0" fontId="34" fillId="12" borderId="4" xfId="2" applyFont="1" applyFill="1" applyBorder="1" applyAlignment="1">
      <alignment horizontal="center" vertical="center" wrapText="1"/>
    </xf>
    <xf numFmtId="0" fontId="34" fillId="12" borderId="14" xfId="2" applyFont="1" applyFill="1" applyBorder="1" applyAlignment="1">
      <alignment horizontal="center" vertical="center" wrapText="1"/>
    </xf>
    <xf numFmtId="0" fontId="35" fillId="12" borderId="14" xfId="2" applyFont="1" applyFill="1" applyBorder="1" applyAlignment="1">
      <alignment horizontal="center" vertical="center" wrapText="1"/>
    </xf>
    <xf numFmtId="0" fontId="34" fillId="3" borderId="70" xfId="2" applyFont="1" applyFill="1" applyBorder="1" applyAlignment="1">
      <alignment horizontal="center" vertical="center" wrapText="1"/>
    </xf>
    <xf numFmtId="0" fontId="34" fillId="0" borderId="0" xfId="0" applyFont="1" applyProtection="1">
      <protection locked="0"/>
    </xf>
    <xf numFmtId="0" fontId="26" fillId="10" borderId="12" xfId="3" applyFont="1" applyFill="1" applyBorder="1" applyAlignment="1" applyProtection="1">
      <alignment horizontal="center" vertical="center" wrapText="1"/>
      <protection locked="0"/>
    </xf>
    <xf numFmtId="0" fontId="36" fillId="0" borderId="82" xfId="0" applyFont="1" applyBorder="1" applyAlignment="1">
      <alignment horizontal="center" vertical="top"/>
    </xf>
    <xf numFmtId="0" fontId="26" fillId="4" borderId="64" xfId="3" applyFont="1" applyFill="1" applyBorder="1" applyAlignment="1" applyProtection="1">
      <alignment horizontal="left" vertical="center" wrapText="1"/>
      <protection locked="0"/>
    </xf>
    <xf numFmtId="0" fontId="0" fillId="0" borderId="63" xfId="0" applyBorder="1"/>
    <xf numFmtId="0" fontId="0" fillId="0" borderId="3" xfId="0" applyBorder="1"/>
    <xf numFmtId="0" fontId="22" fillId="8" borderId="46" xfId="3" applyFont="1" applyFill="1" applyBorder="1" applyAlignment="1">
      <alignment horizontal="center" vertical="center" wrapText="1"/>
    </xf>
    <xf numFmtId="0" fontId="0" fillId="0" borderId="46" xfId="0" applyBorder="1"/>
    <xf numFmtId="0" fontId="16" fillId="11" borderId="25" xfId="2" applyFont="1" applyFill="1" applyBorder="1" applyAlignment="1">
      <alignment horizontal="center" vertical="center"/>
    </xf>
    <xf numFmtId="0" fontId="0" fillId="0" borderId="29" xfId="0" applyBorder="1"/>
    <xf numFmtId="0" fontId="0" fillId="0" borderId="30" xfId="0" applyBorder="1"/>
    <xf numFmtId="0" fontId="33" fillId="2" borderId="24" xfId="14" applyFont="1" applyFill="1" applyBorder="1" applyAlignment="1">
      <alignment horizontal="center" vertical="center" wrapText="1"/>
    </xf>
    <xf numFmtId="0" fontId="17" fillId="0" borderId="0" xfId="0" applyFont="1" applyProtection="1">
      <protection locked="0"/>
    </xf>
    <xf numFmtId="0" fontId="17" fillId="0" borderId="0" xfId="0" applyFont="1" applyAlignment="1" applyProtection="1">
      <alignment horizontal="center"/>
      <protection locked="0"/>
    </xf>
    <xf numFmtId="0" fontId="17" fillId="0" borderId="0" xfId="0" applyFont="1" applyAlignment="1" applyProtection="1">
      <alignment wrapText="1"/>
      <protection locked="0"/>
    </xf>
    <xf numFmtId="0" fontId="33" fillId="3" borderId="25" xfId="14" applyFont="1" applyFill="1" applyBorder="1" applyAlignment="1">
      <alignment horizontal="center" vertical="center" wrapText="1"/>
    </xf>
    <xf numFmtId="0" fontId="16" fillId="3" borderId="25" xfId="2" applyFont="1" applyFill="1" applyBorder="1" applyAlignment="1">
      <alignment horizontal="center" vertical="center" wrapText="1"/>
    </xf>
    <xf numFmtId="0" fontId="0" fillId="0" borderId="27" xfId="0" applyBorder="1"/>
    <xf numFmtId="0" fontId="22" fillId="0" borderId="33" xfId="3" applyFont="1" applyBorder="1" applyAlignment="1" applyProtection="1">
      <alignment horizontal="center" vertical="center" wrapText="1"/>
      <protection locked="0"/>
    </xf>
    <xf numFmtId="0" fontId="28" fillId="6" borderId="33" xfId="3" applyFont="1" applyFill="1" applyBorder="1" applyAlignment="1" applyProtection="1">
      <alignment horizontal="center" vertical="center" wrapText="1"/>
      <protection locked="0"/>
    </xf>
    <xf numFmtId="0" fontId="0" fillId="0" borderId="26" xfId="0" applyBorder="1"/>
    <xf numFmtId="0" fontId="1" fillId="0" borderId="25" xfId="10" applyFont="1" applyBorder="1" applyAlignment="1">
      <alignment horizontal="center" vertical="top" textRotation="90"/>
    </xf>
    <xf numFmtId="0" fontId="1" fillId="0" borderId="25" xfId="10" applyFont="1" applyBorder="1" applyAlignment="1">
      <alignment horizontal="center" vertical="top" textRotation="90" wrapText="1"/>
    </xf>
  </cellXfs>
  <cellStyles count="17">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3 2 2" xfId="16" xr:uid="{00000000-0005-0000-0000-000010000000}"/>
    <cellStyle name="Normal 4" xfId="5" xr:uid="{00000000-0005-0000-0000-000005000000}"/>
    <cellStyle name="Normal 4 2" xfId="10" xr:uid="{00000000-0005-0000-0000-00000A000000}"/>
    <cellStyle name="Normal 4 2 2" xfId="12" xr:uid="{00000000-0005-0000-0000-00000C000000}"/>
    <cellStyle name="Normal 5" xfId="2" xr:uid="{00000000-0005-0000-0000-000002000000}"/>
    <cellStyle name="Percent" xfId="11" builtinId="5"/>
  </cellStyles>
  <dxfs count="218">
    <dxf>
      <font>
        <color rgb="FF9C0006"/>
      </font>
      <fill>
        <patternFill>
          <bgColor rgb="FFFFC7CE"/>
        </patternFill>
      </fill>
    </dxf>
    <dxf>
      <font>
        <color rgb="FF9C0006"/>
      </font>
      <fill>
        <patternFill>
          <bgColor rgb="FFFFC7CE"/>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patternType="solid">
          <fgColor indexed="64"/>
          <bgColor rgb="FFBA005D"/>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DDE8C6"/>
        </patternFill>
      </fill>
    </dxf>
    <dxf>
      <fill>
        <patternFill>
          <bgColor rgb="FFEEB400"/>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6" tint="0.39994506668294322"/>
        </patternFill>
      </fill>
    </dxf>
    <dxf>
      <fill>
        <patternFill>
          <bgColor rgb="FFFFD44B"/>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FF99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E4E300"/>
        </patternFill>
      </fill>
    </dxf>
    <dxf>
      <fill>
        <patternFill>
          <bgColor rgb="FFEEB400"/>
        </patternFill>
      </fill>
    </dxf>
    <dxf>
      <fill>
        <patternFill>
          <bgColor rgb="FFFFD44B"/>
        </patternFill>
      </fill>
    </dxf>
    <dxf>
      <fill>
        <patternFill>
          <bgColor rgb="FFEEB400"/>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FF9900"/>
        </patternFill>
      </fill>
    </dxf>
    <dxf>
      <fill>
        <patternFill>
          <bgColor rgb="FFE1AAA9"/>
        </patternFill>
      </fill>
    </dxf>
    <dxf>
      <fill>
        <patternFill>
          <bgColor theme="7" tint="0.59996337778862885"/>
        </patternFill>
      </fill>
    </dxf>
    <dxf>
      <fill>
        <patternFill>
          <bgColor theme="7" tint="0.39994506668294322"/>
        </patternFill>
      </fill>
    </dxf>
    <dxf>
      <fill>
        <patternFill>
          <bgColor theme="9" tint="0.39994506668294322"/>
        </patternFill>
      </fill>
    </dxf>
    <dxf>
      <fill>
        <patternFill>
          <bgColor rgb="FF4685D2"/>
        </patternFill>
      </fill>
    </dxf>
    <dxf>
      <fill>
        <patternFill>
          <bgColor theme="9" tint="0.59996337778862885"/>
        </patternFill>
      </fill>
    </dxf>
    <dxf>
      <fill>
        <patternFill>
          <bgColor rgb="FFEEB400"/>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FFBB57"/>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N198"/>
  <sheetViews>
    <sheetView tabSelected="1" zoomScale="60" zoomScaleNormal="60" workbookViewId="0">
      <pane xSplit="4" ySplit="3" topLeftCell="E4" activePane="bottomRight" state="frozen"/>
      <selection pane="topRight" activeCell="E1" sqref="E1"/>
      <selection pane="bottomLeft" activeCell="A4" sqref="A4"/>
      <selection pane="bottomRight" activeCell="D12" sqref="D12"/>
    </sheetView>
  </sheetViews>
  <sheetFormatPr baseColWidth="10" defaultColWidth="8.83203125" defaultRowHeight="19" x14ac:dyDescent="0.25"/>
  <cols>
    <col min="1" max="1" width="16.83203125" style="175" customWidth="1"/>
    <col min="2" max="2" width="42.1640625" style="175" customWidth="1"/>
    <col min="3" max="3" width="13" style="174" hidden="1" customWidth="1"/>
    <col min="4" max="4" width="101.6640625" style="151" customWidth="1"/>
    <col min="5" max="5" width="17.83203125" style="175" customWidth="1"/>
    <col min="6" max="6" width="110" style="175" hidden="1" customWidth="1"/>
    <col min="7" max="7" width="12.1640625" style="175" hidden="1" customWidth="1"/>
    <col min="8" max="8" width="98.33203125" style="175" hidden="1" customWidth="1"/>
    <col min="9" max="9" width="14.83203125" style="175" hidden="1" customWidth="1"/>
    <col min="10" max="10" width="21" style="175" customWidth="1"/>
    <col min="11" max="11" width="25.6640625" style="175" hidden="1" customWidth="1"/>
    <col min="12" max="12" width="53.1640625" style="175" customWidth="1"/>
    <col min="13" max="13" width="51.6640625" style="175" customWidth="1"/>
    <col min="14" max="14" width="42.6640625" style="175" customWidth="1"/>
    <col min="15" max="15" width="60.5" style="175" customWidth="1"/>
    <col min="16" max="16" width="44.6640625" style="175" customWidth="1"/>
    <col min="17" max="17" width="47.5" style="175" customWidth="1"/>
    <col min="18" max="18" width="22.5" style="175" customWidth="1"/>
    <col min="19" max="19" width="40.83203125" style="175" customWidth="1"/>
    <col min="20" max="20" width="8.83203125" style="175" customWidth="1"/>
    <col min="21" max="16384" width="8.83203125" style="175"/>
  </cols>
  <sheetData>
    <row r="1" spans="1:24" ht="38" customHeight="1" thickBot="1" x14ac:dyDescent="0.3">
      <c r="A1" s="674" t="s">
        <v>0</v>
      </c>
      <c r="B1" s="675"/>
      <c r="C1" s="676"/>
      <c r="D1" s="677"/>
      <c r="E1" s="675"/>
      <c r="F1" s="675"/>
      <c r="G1" s="675"/>
      <c r="H1" s="675"/>
      <c r="I1" s="675"/>
      <c r="J1" s="675"/>
      <c r="K1" s="675"/>
      <c r="L1" s="675"/>
      <c r="M1" s="675"/>
      <c r="N1" s="675"/>
      <c r="O1" s="675"/>
      <c r="P1" s="675"/>
      <c r="Q1" s="675"/>
      <c r="R1" s="675"/>
      <c r="S1" s="675"/>
    </row>
    <row r="2" spans="1:24" ht="24" customHeight="1" thickBot="1" x14ac:dyDescent="0.3">
      <c r="A2" s="678" t="s">
        <v>1</v>
      </c>
      <c r="B2" s="672"/>
      <c r="C2" s="672"/>
      <c r="D2" s="672"/>
      <c r="E2" s="672"/>
      <c r="F2" s="672"/>
      <c r="G2" s="672"/>
      <c r="H2" s="672"/>
      <c r="I2" s="672"/>
      <c r="J2" s="672"/>
      <c r="K2" s="672"/>
      <c r="L2" s="672"/>
      <c r="M2" s="672"/>
      <c r="N2" s="672"/>
      <c r="O2" s="672"/>
      <c r="P2" s="672"/>
      <c r="Q2" s="672"/>
      <c r="R2" s="673"/>
      <c r="S2" s="679" t="s">
        <v>2</v>
      </c>
    </row>
    <row r="3" spans="1:24" s="663" customFormat="1" ht="29" customHeight="1" thickBot="1" x14ac:dyDescent="0.35">
      <c r="A3" s="658" t="s">
        <v>3</v>
      </c>
      <c r="B3" s="659" t="s">
        <v>4</v>
      </c>
      <c r="C3" s="659" t="s">
        <v>5</v>
      </c>
      <c r="D3" s="659" t="s">
        <v>6</v>
      </c>
      <c r="E3" s="659" t="s">
        <v>7</v>
      </c>
      <c r="F3" s="659" t="s">
        <v>8</v>
      </c>
      <c r="G3" s="659" t="s">
        <v>7</v>
      </c>
      <c r="H3" s="659" t="s">
        <v>9</v>
      </c>
      <c r="I3" s="659" t="s">
        <v>7</v>
      </c>
      <c r="J3" s="659" t="s">
        <v>10</v>
      </c>
      <c r="K3" s="659" t="s">
        <v>11</v>
      </c>
      <c r="L3" s="659" t="s">
        <v>12</v>
      </c>
      <c r="M3" s="659" t="s">
        <v>13</v>
      </c>
      <c r="N3" s="660" t="s">
        <v>14</v>
      </c>
      <c r="O3" s="660" t="s">
        <v>15</v>
      </c>
      <c r="P3" s="661" t="s">
        <v>16</v>
      </c>
      <c r="Q3" s="660" t="s">
        <v>17</v>
      </c>
      <c r="R3" s="662" t="s">
        <v>18</v>
      </c>
      <c r="S3" s="680"/>
    </row>
    <row r="4" spans="1:24" ht="26.5" customHeight="1" thickBot="1" x14ac:dyDescent="0.3">
      <c r="A4" s="671" t="s">
        <v>19</v>
      </c>
      <c r="B4" s="672"/>
      <c r="C4" s="672"/>
      <c r="D4" s="672"/>
      <c r="E4" s="672"/>
      <c r="F4" s="672"/>
      <c r="G4" s="672"/>
      <c r="H4" s="672"/>
      <c r="I4" s="672"/>
      <c r="J4" s="672"/>
      <c r="K4" s="672"/>
      <c r="L4" s="672"/>
      <c r="M4" s="672"/>
      <c r="N4" s="672"/>
      <c r="O4" s="672"/>
      <c r="P4" s="672"/>
      <c r="Q4" s="672"/>
      <c r="R4" s="672"/>
      <c r="S4" s="673"/>
    </row>
    <row r="5" spans="1:24" ht="40" customHeight="1" x14ac:dyDescent="0.25">
      <c r="A5" s="176" t="s">
        <v>20</v>
      </c>
      <c r="B5" s="177" t="s">
        <v>21</v>
      </c>
      <c r="C5" s="177"/>
      <c r="D5" s="97" t="s">
        <v>21</v>
      </c>
      <c r="E5" s="84">
        <f t="shared" ref="E5:E20" si="0">LEN(D5)</f>
        <v>5</v>
      </c>
      <c r="F5" s="83" t="s">
        <v>21</v>
      </c>
      <c r="G5" s="84">
        <f t="shared" ref="G5:G14" si="1">LEN(F5)</f>
        <v>5</v>
      </c>
      <c r="H5" s="83" t="s">
        <v>21</v>
      </c>
      <c r="I5" s="84">
        <f t="shared" ref="I5:I14" si="2">LEN(H5)</f>
        <v>5</v>
      </c>
      <c r="J5" s="84" t="s">
        <v>22</v>
      </c>
      <c r="K5" s="84" t="s">
        <v>20</v>
      </c>
      <c r="L5" s="84" t="s">
        <v>20</v>
      </c>
      <c r="M5" s="84" t="s">
        <v>23</v>
      </c>
      <c r="N5" s="178" t="s">
        <v>20</v>
      </c>
      <c r="O5" s="179" t="s">
        <v>24</v>
      </c>
      <c r="P5" s="585"/>
      <c r="Q5" s="576" t="s">
        <v>20</v>
      </c>
      <c r="R5" s="572"/>
      <c r="S5" s="181"/>
    </row>
    <row r="6" spans="1:24" ht="60" customHeight="1" x14ac:dyDescent="0.25">
      <c r="A6" s="176" t="s">
        <v>20</v>
      </c>
      <c r="B6" s="182" t="s">
        <v>25</v>
      </c>
      <c r="C6" s="182" t="s">
        <v>25</v>
      </c>
      <c r="D6" s="130" t="s">
        <v>26</v>
      </c>
      <c r="E6" s="84">
        <f t="shared" si="0"/>
        <v>48</v>
      </c>
      <c r="F6" s="83" t="s">
        <v>27</v>
      </c>
      <c r="G6" s="84">
        <f t="shared" si="1"/>
        <v>40</v>
      </c>
      <c r="H6" s="83" t="s">
        <v>28</v>
      </c>
      <c r="I6" s="84">
        <f t="shared" si="2"/>
        <v>42</v>
      </c>
      <c r="J6" s="84" t="s">
        <v>22</v>
      </c>
      <c r="K6" s="84" t="s">
        <v>20</v>
      </c>
      <c r="L6" s="84" t="s">
        <v>20</v>
      </c>
      <c r="M6" s="84" t="s">
        <v>23</v>
      </c>
      <c r="N6" s="178" t="s">
        <v>20</v>
      </c>
      <c r="O6" s="179" t="s">
        <v>29</v>
      </c>
      <c r="P6" s="586"/>
      <c r="Q6" s="577" t="s">
        <v>20</v>
      </c>
      <c r="R6" s="297"/>
      <c r="S6" s="183"/>
    </row>
    <row r="7" spans="1:24" ht="190" customHeight="1" x14ac:dyDescent="0.25">
      <c r="A7" s="184" t="s">
        <v>20</v>
      </c>
      <c r="B7" s="258" t="s">
        <v>30</v>
      </c>
      <c r="C7" s="182" t="s">
        <v>30</v>
      </c>
      <c r="D7" s="130" t="s">
        <v>31</v>
      </c>
      <c r="E7" s="185">
        <f t="shared" si="0"/>
        <v>146</v>
      </c>
      <c r="F7" s="85" t="s">
        <v>32</v>
      </c>
      <c r="G7" s="86">
        <f t="shared" si="1"/>
        <v>147</v>
      </c>
      <c r="H7" s="87" t="s">
        <v>33</v>
      </c>
      <c r="I7" s="185">
        <f t="shared" si="2"/>
        <v>154</v>
      </c>
      <c r="J7" s="186" t="s">
        <v>34</v>
      </c>
      <c r="K7" s="185" t="s">
        <v>20</v>
      </c>
      <c r="L7" s="185" t="s">
        <v>20</v>
      </c>
      <c r="M7" s="185" t="s">
        <v>35</v>
      </c>
      <c r="N7" s="178" t="s">
        <v>20</v>
      </c>
      <c r="O7" s="136" t="s">
        <v>36</v>
      </c>
      <c r="P7" s="586"/>
      <c r="Q7" s="578" t="s">
        <v>20</v>
      </c>
      <c r="R7" s="210"/>
      <c r="S7" s="187"/>
    </row>
    <row r="8" spans="1:24" ht="41.5" customHeight="1" x14ac:dyDescent="0.25">
      <c r="A8" s="184" t="s">
        <v>20</v>
      </c>
      <c r="B8" s="258" t="s">
        <v>37</v>
      </c>
      <c r="C8" s="182" t="s">
        <v>38</v>
      </c>
      <c r="D8" s="131" t="s">
        <v>39</v>
      </c>
      <c r="E8" s="185">
        <f t="shared" si="0"/>
        <v>29</v>
      </c>
      <c r="F8" s="85" t="s">
        <v>40</v>
      </c>
      <c r="G8" s="86">
        <f t="shared" si="1"/>
        <v>24</v>
      </c>
      <c r="H8" s="85" t="s">
        <v>41</v>
      </c>
      <c r="I8" s="185">
        <f t="shared" si="2"/>
        <v>23</v>
      </c>
      <c r="J8" s="186" t="s">
        <v>20</v>
      </c>
      <c r="K8" s="186" t="s">
        <v>20</v>
      </c>
      <c r="L8" s="186" t="s">
        <v>20</v>
      </c>
      <c r="M8" s="186" t="s">
        <v>20</v>
      </c>
      <c r="N8" s="178" t="s">
        <v>20</v>
      </c>
      <c r="O8" s="188" t="s">
        <v>42</v>
      </c>
      <c r="P8" s="587"/>
      <c r="Q8" s="579" t="s">
        <v>20</v>
      </c>
      <c r="R8" s="573"/>
      <c r="S8" s="189"/>
    </row>
    <row r="9" spans="1:24" ht="31" customHeight="1" x14ac:dyDescent="0.25">
      <c r="A9" s="184" t="s">
        <v>20</v>
      </c>
      <c r="B9" s="258" t="s">
        <v>43</v>
      </c>
      <c r="C9" s="182" t="s">
        <v>44</v>
      </c>
      <c r="D9" s="131" t="s">
        <v>45</v>
      </c>
      <c r="E9" s="185">
        <f t="shared" si="0"/>
        <v>31</v>
      </c>
      <c r="F9" s="85" t="s">
        <v>46</v>
      </c>
      <c r="G9" s="86">
        <f t="shared" si="1"/>
        <v>34</v>
      </c>
      <c r="H9" s="85" t="s">
        <v>47</v>
      </c>
      <c r="I9" s="185">
        <f t="shared" si="2"/>
        <v>41</v>
      </c>
      <c r="J9" s="186" t="s">
        <v>20</v>
      </c>
      <c r="K9" s="186" t="s">
        <v>20</v>
      </c>
      <c r="L9" s="186" t="s">
        <v>20</v>
      </c>
      <c r="M9" s="186" t="s">
        <v>20</v>
      </c>
      <c r="N9" s="178" t="s">
        <v>20</v>
      </c>
      <c r="O9" s="188" t="s">
        <v>48</v>
      </c>
      <c r="P9" s="587"/>
      <c r="Q9" s="579" t="s">
        <v>20</v>
      </c>
      <c r="R9" s="573"/>
      <c r="S9" s="189"/>
    </row>
    <row r="10" spans="1:24" ht="31.5" customHeight="1" x14ac:dyDescent="0.25">
      <c r="A10" s="184" t="s">
        <v>20</v>
      </c>
      <c r="B10" s="258" t="s">
        <v>49</v>
      </c>
      <c r="C10" s="182" t="s">
        <v>50</v>
      </c>
      <c r="D10" s="131" t="s">
        <v>51</v>
      </c>
      <c r="E10" s="185">
        <f t="shared" si="0"/>
        <v>34</v>
      </c>
      <c r="F10" s="85" t="s">
        <v>52</v>
      </c>
      <c r="G10" s="86">
        <f t="shared" si="1"/>
        <v>43</v>
      </c>
      <c r="H10" s="85" t="s">
        <v>53</v>
      </c>
      <c r="I10" s="185">
        <f t="shared" si="2"/>
        <v>37</v>
      </c>
      <c r="J10" s="186" t="s">
        <v>20</v>
      </c>
      <c r="K10" s="186" t="s">
        <v>20</v>
      </c>
      <c r="L10" s="186" t="s">
        <v>20</v>
      </c>
      <c r="M10" s="186" t="s">
        <v>20</v>
      </c>
      <c r="N10" s="178" t="s">
        <v>20</v>
      </c>
      <c r="O10" s="188" t="s">
        <v>54</v>
      </c>
      <c r="P10" s="587"/>
      <c r="Q10" s="579" t="s">
        <v>20</v>
      </c>
      <c r="R10" s="573"/>
      <c r="S10" s="189"/>
    </row>
    <row r="11" spans="1:24" ht="26.5" customHeight="1" x14ac:dyDescent="0.25">
      <c r="A11" s="184" t="s">
        <v>20</v>
      </c>
      <c r="B11" s="258" t="s">
        <v>55</v>
      </c>
      <c r="C11" s="182" t="s">
        <v>56</v>
      </c>
      <c r="D11" s="131" t="s">
        <v>57</v>
      </c>
      <c r="E11" s="185">
        <f t="shared" si="0"/>
        <v>41</v>
      </c>
      <c r="F11" s="85" t="s">
        <v>58</v>
      </c>
      <c r="G11" s="86">
        <f t="shared" si="1"/>
        <v>29</v>
      </c>
      <c r="H11" s="85" t="s">
        <v>59</v>
      </c>
      <c r="I11" s="185">
        <f t="shared" si="2"/>
        <v>46</v>
      </c>
      <c r="J11" s="186" t="s">
        <v>20</v>
      </c>
      <c r="K11" s="186" t="s">
        <v>20</v>
      </c>
      <c r="L11" s="186" t="s">
        <v>20</v>
      </c>
      <c r="M11" s="186" t="s">
        <v>20</v>
      </c>
      <c r="N11" s="178" t="s">
        <v>20</v>
      </c>
      <c r="O11" s="188" t="s">
        <v>60</v>
      </c>
      <c r="P11" s="587"/>
      <c r="Q11" s="579" t="s">
        <v>20</v>
      </c>
      <c r="R11" s="573"/>
      <c r="S11" s="189"/>
    </row>
    <row r="12" spans="1:24" ht="186" customHeight="1" x14ac:dyDescent="0.25">
      <c r="A12" s="184">
        <v>1</v>
      </c>
      <c r="B12" s="258" t="s">
        <v>61</v>
      </c>
      <c r="C12" s="182" t="s">
        <v>61</v>
      </c>
      <c r="D12" s="88" t="s">
        <v>62</v>
      </c>
      <c r="E12" s="185">
        <f t="shared" si="0"/>
        <v>122</v>
      </c>
      <c r="F12" s="85" t="s">
        <v>63</v>
      </c>
      <c r="G12" s="86">
        <f t="shared" si="1"/>
        <v>113</v>
      </c>
      <c r="H12" s="88" t="s">
        <v>64</v>
      </c>
      <c r="I12" s="185">
        <f t="shared" si="2"/>
        <v>143</v>
      </c>
      <c r="J12" s="186" t="s">
        <v>34</v>
      </c>
      <c r="K12" s="185" t="s">
        <v>20</v>
      </c>
      <c r="L12" s="185" t="s">
        <v>20</v>
      </c>
      <c r="M12" s="185" t="s">
        <v>35</v>
      </c>
      <c r="N12" s="178" t="s">
        <v>20</v>
      </c>
      <c r="O12" s="341" t="s">
        <v>65</v>
      </c>
      <c r="P12" s="588"/>
      <c r="Q12" s="580" t="s">
        <v>66</v>
      </c>
      <c r="R12" s="574"/>
      <c r="S12" s="190" t="s">
        <v>67</v>
      </c>
    </row>
    <row r="13" spans="1:24" ht="409.5" customHeight="1" x14ac:dyDescent="0.25">
      <c r="A13" s="184">
        <f>A12+1</f>
        <v>2</v>
      </c>
      <c r="B13" s="258" t="s">
        <v>68</v>
      </c>
      <c r="C13" s="182" t="s">
        <v>68</v>
      </c>
      <c r="D13" s="132" t="s">
        <v>69</v>
      </c>
      <c r="E13" s="185">
        <f t="shared" si="0"/>
        <v>1098</v>
      </c>
      <c r="F13" s="85" t="s">
        <v>70</v>
      </c>
      <c r="G13" s="86">
        <f t="shared" si="1"/>
        <v>1004</v>
      </c>
      <c r="H13" s="89" t="s">
        <v>71</v>
      </c>
      <c r="I13" s="185">
        <f t="shared" si="2"/>
        <v>1152</v>
      </c>
      <c r="J13" s="186" t="s">
        <v>34</v>
      </c>
      <c r="K13" s="185" t="s">
        <v>20</v>
      </c>
      <c r="L13" s="185" t="s">
        <v>20</v>
      </c>
      <c r="M13" s="185" t="s">
        <v>35</v>
      </c>
      <c r="N13" s="178" t="s">
        <v>20</v>
      </c>
      <c r="O13" s="136" t="s">
        <v>72</v>
      </c>
      <c r="P13" s="586"/>
      <c r="Q13" s="580" t="s">
        <v>73</v>
      </c>
      <c r="R13" s="574"/>
      <c r="S13" s="190" t="s">
        <v>74</v>
      </c>
    </row>
    <row r="14" spans="1:24" s="192" customFormat="1" ht="170" customHeight="1" x14ac:dyDescent="0.25">
      <c r="A14" s="184">
        <f>A13+1</f>
        <v>3</v>
      </c>
      <c r="B14" s="258" t="s">
        <v>75</v>
      </c>
      <c r="C14" s="182" t="s">
        <v>76</v>
      </c>
      <c r="D14" s="130" t="s">
        <v>77</v>
      </c>
      <c r="E14" s="185">
        <f t="shared" si="0"/>
        <v>134</v>
      </c>
      <c r="F14" s="85" t="s">
        <v>78</v>
      </c>
      <c r="G14" s="86">
        <f t="shared" si="1"/>
        <v>133</v>
      </c>
      <c r="H14" s="87" t="s">
        <v>79</v>
      </c>
      <c r="I14" s="185">
        <f t="shared" si="2"/>
        <v>135</v>
      </c>
      <c r="J14" s="186" t="s">
        <v>80</v>
      </c>
      <c r="K14" s="185" t="s">
        <v>20</v>
      </c>
      <c r="L14" s="185" t="s">
        <v>20</v>
      </c>
      <c r="M14" s="185" t="s">
        <v>35</v>
      </c>
      <c r="N14" s="178" t="s">
        <v>20</v>
      </c>
      <c r="O14" s="349" t="s">
        <v>81</v>
      </c>
      <c r="P14" s="581"/>
      <c r="Q14" s="581" t="s">
        <v>82</v>
      </c>
      <c r="R14" s="187"/>
      <c r="S14" s="187"/>
    </row>
    <row r="15" spans="1:24" s="224" customFormat="1" ht="196" customHeight="1" x14ac:dyDescent="0.25">
      <c r="A15" s="343">
        <f>A14+1</f>
        <v>4</v>
      </c>
      <c r="B15" s="342" t="s">
        <v>83</v>
      </c>
      <c r="C15" s="344" t="s">
        <v>83</v>
      </c>
      <c r="D15" s="345" t="s">
        <v>84</v>
      </c>
      <c r="E15" s="352">
        <f t="shared" si="0"/>
        <v>172</v>
      </c>
      <c r="F15" s="347"/>
      <c r="G15" s="346"/>
      <c r="H15" s="346"/>
      <c r="I15" s="346"/>
      <c r="J15" s="350" t="s">
        <v>34</v>
      </c>
      <c r="K15" s="351" t="s">
        <v>20</v>
      </c>
      <c r="L15" s="351" t="s">
        <v>20</v>
      </c>
      <c r="M15" s="351" t="s">
        <v>35</v>
      </c>
      <c r="N15" s="348" t="s">
        <v>85</v>
      </c>
      <c r="O15" s="584" t="s">
        <v>86</v>
      </c>
      <c r="P15" s="644" t="s">
        <v>87</v>
      </c>
      <c r="Q15" s="582"/>
      <c r="R15" s="575" t="s">
        <v>88</v>
      </c>
      <c r="S15" s="571"/>
      <c r="V15" s="355"/>
      <c r="W15" s="355"/>
      <c r="X15" s="353"/>
    </row>
    <row r="16" spans="1:24" s="192" customFormat="1" ht="184.5" customHeight="1" x14ac:dyDescent="0.25">
      <c r="A16" s="184" t="s">
        <v>20</v>
      </c>
      <c r="B16" s="258" t="s">
        <v>89</v>
      </c>
      <c r="C16" s="182" t="s">
        <v>89</v>
      </c>
      <c r="D16" s="133" t="s">
        <v>90</v>
      </c>
      <c r="E16" s="185">
        <f t="shared" si="0"/>
        <v>153</v>
      </c>
      <c r="F16" s="85" t="s">
        <v>91</v>
      </c>
      <c r="G16" s="86">
        <f>LEN(F16)</f>
        <v>149</v>
      </c>
      <c r="H16" s="90" t="s">
        <v>92</v>
      </c>
      <c r="I16" s="185">
        <f>LEN(H16)</f>
        <v>152</v>
      </c>
      <c r="J16" s="186" t="s">
        <v>93</v>
      </c>
      <c r="K16" s="185" t="s">
        <v>20</v>
      </c>
      <c r="L16" s="185" t="s">
        <v>20</v>
      </c>
      <c r="M16" s="185" t="s">
        <v>94</v>
      </c>
      <c r="N16" s="178" t="s">
        <v>20</v>
      </c>
      <c r="O16" s="136" t="s">
        <v>95</v>
      </c>
      <c r="P16" s="581"/>
      <c r="Q16" s="581" t="s">
        <v>96</v>
      </c>
      <c r="R16" s="187"/>
      <c r="S16" s="187"/>
    </row>
    <row r="17" spans="1:24" s="192" customFormat="1" ht="113" customHeight="1" x14ac:dyDescent="0.25">
      <c r="A17" s="184" t="s">
        <v>20</v>
      </c>
      <c r="B17" s="258" t="s">
        <v>97</v>
      </c>
      <c r="C17" s="182" t="s">
        <v>98</v>
      </c>
      <c r="D17" s="130" t="s">
        <v>99</v>
      </c>
      <c r="E17" s="185">
        <f t="shared" si="0"/>
        <v>80</v>
      </c>
      <c r="F17" s="85" t="s">
        <v>100</v>
      </c>
      <c r="G17" s="86">
        <f>LEN(F17)</f>
        <v>74</v>
      </c>
      <c r="H17" s="87" t="s">
        <v>101</v>
      </c>
      <c r="I17" s="185">
        <f>LEN(H17)</f>
        <v>66</v>
      </c>
      <c r="J17" s="186" t="s">
        <v>22</v>
      </c>
      <c r="K17" s="185" t="s">
        <v>20</v>
      </c>
      <c r="L17" s="185" t="s">
        <v>20</v>
      </c>
      <c r="M17" s="185" t="s">
        <v>102</v>
      </c>
      <c r="N17" s="178" t="s">
        <v>20</v>
      </c>
      <c r="O17" s="136" t="s">
        <v>103</v>
      </c>
      <c r="P17" s="586"/>
      <c r="Q17" s="581" t="s">
        <v>104</v>
      </c>
      <c r="R17" s="187"/>
      <c r="S17" s="187"/>
    </row>
    <row r="18" spans="1:24" s="192" customFormat="1" ht="115" customHeight="1" x14ac:dyDescent="0.25">
      <c r="A18" s="184" t="s">
        <v>20</v>
      </c>
      <c r="B18" s="258" t="s">
        <v>105</v>
      </c>
      <c r="C18" s="182" t="s">
        <v>106</v>
      </c>
      <c r="D18" s="130" t="s">
        <v>107</v>
      </c>
      <c r="E18" s="185">
        <f t="shared" si="0"/>
        <v>176</v>
      </c>
      <c r="F18" s="85" t="s">
        <v>108</v>
      </c>
      <c r="G18" s="86">
        <f>LEN(F18)</f>
        <v>173</v>
      </c>
      <c r="H18" s="87" t="s">
        <v>109</v>
      </c>
      <c r="I18" s="185">
        <f>LEN(H18)</f>
        <v>174</v>
      </c>
      <c r="J18" s="186" t="s">
        <v>22</v>
      </c>
      <c r="K18" s="185" t="s">
        <v>20</v>
      </c>
      <c r="L18" s="185" t="s">
        <v>20</v>
      </c>
      <c r="M18" s="185" t="s">
        <v>23</v>
      </c>
      <c r="N18" s="178" t="s">
        <v>20</v>
      </c>
      <c r="O18" s="136" t="s">
        <v>110</v>
      </c>
      <c r="P18" s="586"/>
      <c r="Q18" s="578" t="s">
        <v>20</v>
      </c>
      <c r="R18" s="210"/>
      <c r="S18" s="187"/>
    </row>
    <row r="19" spans="1:24" s="192" customFormat="1" ht="84.5" customHeight="1" x14ac:dyDescent="0.25">
      <c r="A19" s="184" t="s">
        <v>20</v>
      </c>
      <c r="B19" s="258" t="s">
        <v>111</v>
      </c>
      <c r="C19" s="182" t="s">
        <v>20</v>
      </c>
      <c r="D19" s="130" t="s">
        <v>112</v>
      </c>
      <c r="E19" s="185">
        <f t="shared" si="0"/>
        <v>99</v>
      </c>
      <c r="F19" s="85" t="s">
        <v>113</v>
      </c>
      <c r="G19" s="86">
        <f>LEN(F19)</f>
        <v>143</v>
      </c>
      <c r="H19" s="87" t="s">
        <v>114</v>
      </c>
      <c r="I19" s="185">
        <f>LEN(H19)</f>
        <v>157</v>
      </c>
      <c r="J19" s="186" t="s">
        <v>20</v>
      </c>
      <c r="K19" s="185" t="s">
        <v>20</v>
      </c>
      <c r="L19" s="185" t="s">
        <v>20</v>
      </c>
      <c r="M19" s="185" t="s">
        <v>20</v>
      </c>
      <c r="N19" s="178" t="s">
        <v>20</v>
      </c>
      <c r="O19" s="136" t="s">
        <v>115</v>
      </c>
      <c r="P19" s="586"/>
      <c r="Q19" s="578" t="s">
        <v>20</v>
      </c>
      <c r="R19" s="210"/>
      <c r="S19" s="187"/>
    </row>
    <row r="20" spans="1:24" s="192" customFormat="1" ht="76.5" customHeight="1" thickBot="1" x14ac:dyDescent="0.3">
      <c r="A20" s="194" t="s">
        <v>20</v>
      </c>
      <c r="B20" s="376" t="s">
        <v>116</v>
      </c>
      <c r="C20" s="195" t="s">
        <v>117</v>
      </c>
      <c r="D20" s="93" t="s">
        <v>118</v>
      </c>
      <c r="E20" s="92">
        <f t="shared" si="0"/>
        <v>65</v>
      </c>
      <c r="F20" s="91" t="s">
        <v>119</v>
      </c>
      <c r="G20" s="92">
        <f>LEN(F20)</f>
        <v>61</v>
      </c>
      <c r="H20" s="93" t="s">
        <v>120</v>
      </c>
      <c r="I20" s="92">
        <f>LEN(H20)</f>
        <v>68</v>
      </c>
      <c r="J20" s="196" t="s">
        <v>20</v>
      </c>
      <c r="K20" s="92" t="s">
        <v>20</v>
      </c>
      <c r="L20" s="92" t="s">
        <v>20</v>
      </c>
      <c r="M20" s="92" t="s">
        <v>20</v>
      </c>
      <c r="N20" s="178" t="s">
        <v>20</v>
      </c>
      <c r="O20" s="197" t="s">
        <v>121</v>
      </c>
      <c r="P20" s="589"/>
      <c r="Q20" s="583" t="s">
        <v>20</v>
      </c>
      <c r="R20" s="397"/>
      <c r="S20" s="199"/>
    </row>
    <row r="21" spans="1:24" s="200" customFormat="1" ht="50" customHeight="1" thickBot="1" x14ac:dyDescent="0.3">
      <c r="A21" s="671" t="s">
        <v>122</v>
      </c>
      <c r="B21" s="672"/>
      <c r="C21" s="672"/>
      <c r="D21" s="672"/>
      <c r="E21" s="672"/>
      <c r="F21" s="672"/>
      <c r="G21" s="672"/>
      <c r="H21" s="672"/>
      <c r="I21" s="672"/>
      <c r="J21" s="672"/>
      <c r="K21" s="672"/>
      <c r="L21" s="672"/>
      <c r="M21" s="672"/>
      <c r="N21" s="672"/>
      <c r="O21" s="672"/>
      <c r="P21" s="672"/>
      <c r="Q21" s="672"/>
      <c r="R21" s="672"/>
      <c r="S21" s="673"/>
    </row>
    <row r="22" spans="1:24" s="192" customFormat="1" ht="111.5" customHeight="1" x14ac:dyDescent="0.25">
      <c r="A22" s="357">
        <f>A15+1</f>
        <v>5</v>
      </c>
      <c r="B22" s="96" t="s">
        <v>123</v>
      </c>
      <c r="C22" s="96" t="s">
        <v>123</v>
      </c>
      <c r="D22" s="83" t="s">
        <v>124</v>
      </c>
      <c r="E22" s="201">
        <f t="shared" ref="E22:E41" si="3">LEN(D22)</f>
        <v>96</v>
      </c>
      <c r="F22" s="94" t="s">
        <v>125</v>
      </c>
      <c r="G22" s="95">
        <f t="shared" ref="G22:G27" si="4">LEN(F22)</f>
        <v>100</v>
      </c>
      <c r="H22" s="83" t="s">
        <v>126</v>
      </c>
      <c r="I22" s="201">
        <f t="shared" ref="I22:I30" si="5">LEN(H22)</f>
        <v>111</v>
      </c>
      <c r="J22" s="202" t="s">
        <v>22</v>
      </c>
      <c r="K22" s="201" t="s">
        <v>20</v>
      </c>
      <c r="L22" s="201" t="s">
        <v>20</v>
      </c>
      <c r="M22" s="201" t="s">
        <v>23</v>
      </c>
      <c r="N22" s="178" t="s">
        <v>20</v>
      </c>
      <c r="O22" s="203" t="s">
        <v>127</v>
      </c>
      <c r="P22" s="593"/>
      <c r="Q22" s="603" t="s">
        <v>128</v>
      </c>
      <c r="R22" s="610"/>
      <c r="S22" s="617"/>
    </row>
    <row r="23" spans="1:24" s="192" customFormat="1" ht="117" customHeight="1" x14ac:dyDescent="0.25">
      <c r="A23" s="358">
        <f t="shared" ref="A23:A42" si="6">A22+1</f>
        <v>6</v>
      </c>
      <c r="B23" s="96" t="s">
        <v>129</v>
      </c>
      <c r="C23" s="96" t="s">
        <v>129</v>
      </c>
      <c r="D23" s="83" t="s">
        <v>130</v>
      </c>
      <c r="E23" s="201">
        <f t="shared" si="3"/>
        <v>95</v>
      </c>
      <c r="F23" s="85" t="s">
        <v>131</v>
      </c>
      <c r="G23" s="95">
        <f t="shared" si="4"/>
        <v>99</v>
      </c>
      <c r="H23" s="83" t="s">
        <v>132</v>
      </c>
      <c r="I23" s="201">
        <f t="shared" si="5"/>
        <v>111</v>
      </c>
      <c r="J23" s="202" t="s">
        <v>22</v>
      </c>
      <c r="K23" s="201" t="s">
        <v>20</v>
      </c>
      <c r="L23" s="201" t="s">
        <v>20</v>
      </c>
      <c r="M23" s="201" t="s">
        <v>23</v>
      </c>
      <c r="N23" s="178" t="s">
        <v>20</v>
      </c>
      <c r="O23" s="203" t="s">
        <v>133</v>
      </c>
      <c r="P23" s="594"/>
      <c r="Q23" s="604" t="s">
        <v>134</v>
      </c>
      <c r="R23" s="611"/>
      <c r="S23" s="204"/>
    </row>
    <row r="24" spans="1:24" s="192" customFormat="1" ht="122.5" customHeight="1" x14ac:dyDescent="0.25">
      <c r="A24" s="358">
        <f t="shared" si="6"/>
        <v>7</v>
      </c>
      <c r="B24" s="377" t="s">
        <v>135</v>
      </c>
      <c r="C24" s="206" t="s">
        <v>135</v>
      </c>
      <c r="D24" s="97" t="s">
        <v>136</v>
      </c>
      <c r="E24" s="96">
        <f t="shared" si="3"/>
        <v>177</v>
      </c>
      <c r="F24" s="83" t="s">
        <v>137</v>
      </c>
      <c r="G24" s="96">
        <f t="shared" si="4"/>
        <v>190</v>
      </c>
      <c r="H24" s="97" t="s">
        <v>138</v>
      </c>
      <c r="I24" s="96">
        <f t="shared" si="5"/>
        <v>175</v>
      </c>
      <c r="J24" s="96" t="s">
        <v>139</v>
      </c>
      <c r="K24" s="96" t="s">
        <v>20</v>
      </c>
      <c r="L24" s="96" t="s">
        <v>20</v>
      </c>
      <c r="M24" s="96" t="s">
        <v>23</v>
      </c>
      <c r="N24" s="178" t="s">
        <v>20</v>
      </c>
      <c r="O24" s="179" t="s">
        <v>140</v>
      </c>
      <c r="P24" s="586"/>
      <c r="Q24" s="605" t="s">
        <v>141</v>
      </c>
      <c r="R24" s="612"/>
      <c r="S24" s="204"/>
    </row>
    <row r="25" spans="1:24" s="192" customFormat="1" ht="211.5" customHeight="1" x14ac:dyDescent="0.25">
      <c r="A25" s="358">
        <f t="shared" si="6"/>
        <v>8</v>
      </c>
      <c r="B25" s="258" t="s">
        <v>142</v>
      </c>
      <c r="C25" s="182" t="s">
        <v>142</v>
      </c>
      <c r="D25" s="130" t="s">
        <v>143</v>
      </c>
      <c r="E25" s="185">
        <f t="shared" si="3"/>
        <v>168</v>
      </c>
      <c r="F25" s="85" t="s">
        <v>144</v>
      </c>
      <c r="G25" s="86">
        <f t="shared" si="4"/>
        <v>168</v>
      </c>
      <c r="H25" s="87" t="s">
        <v>145</v>
      </c>
      <c r="I25" s="185">
        <f t="shared" si="5"/>
        <v>157</v>
      </c>
      <c r="J25" s="186" t="s">
        <v>34</v>
      </c>
      <c r="K25" s="185" t="s">
        <v>20</v>
      </c>
      <c r="L25" s="185" t="s">
        <v>20</v>
      </c>
      <c r="M25" s="185" t="s">
        <v>35</v>
      </c>
      <c r="N25" s="178" t="s">
        <v>20</v>
      </c>
      <c r="O25" s="136" t="s">
        <v>146</v>
      </c>
      <c r="P25" s="586"/>
      <c r="Q25" s="586" t="s">
        <v>147</v>
      </c>
      <c r="R25" s="183"/>
      <c r="S25" s="187"/>
    </row>
    <row r="26" spans="1:24" s="322" customFormat="1" ht="200" customHeight="1" x14ac:dyDescent="0.25">
      <c r="A26" s="358">
        <f t="shared" si="6"/>
        <v>9</v>
      </c>
      <c r="B26" s="320" t="s">
        <v>148</v>
      </c>
      <c r="C26" s="320" t="s">
        <v>148</v>
      </c>
      <c r="D26" s="134" t="s">
        <v>149</v>
      </c>
      <c r="E26" s="86">
        <f t="shared" si="3"/>
        <v>134</v>
      </c>
      <c r="F26" s="85" t="s">
        <v>150</v>
      </c>
      <c r="G26" s="86">
        <f t="shared" si="4"/>
        <v>132</v>
      </c>
      <c r="H26" s="98" t="s">
        <v>151</v>
      </c>
      <c r="I26" s="86">
        <f t="shared" si="5"/>
        <v>149</v>
      </c>
      <c r="J26" s="208" t="s">
        <v>34</v>
      </c>
      <c r="K26" s="86" t="s">
        <v>20</v>
      </c>
      <c r="L26" s="86" t="s">
        <v>20</v>
      </c>
      <c r="M26" s="86" t="s">
        <v>35</v>
      </c>
      <c r="N26" s="208" t="s">
        <v>20</v>
      </c>
      <c r="O26" s="136" t="s">
        <v>152</v>
      </c>
      <c r="P26" s="595"/>
      <c r="Q26" s="595" t="s">
        <v>153</v>
      </c>
      <c r="R26" s="613"/>
      <c r="S26" s="321"/>
    </row>
    <row r="27" spans="1:24" s="322" customFormat="1" ht="124" customHeight="1" x14ac:dyDescent="0.25">
      <c r="A27" s="358">
        <f t="shared" si="6"/>
        <v>10</v>
      </c>
      <c r="B27" s="320" t="s">
        <v>154</v>
      </c>
      <c r="C27" s="320" t="s">
        <v>155</v>
      </c>
      <c r="D27" s="134" t="s">
        <v>156</v>
      </c>
      <c r="E27" s="86">
        <f t="shared" si="3"/>
        <v>63</v>
      </c>
      <c r="F27" s="85" t="s">
        <v>157</v>
      </c>
      <c r="G27" s="86">
        <f t="shared" si="4"/>
        <v>67</v>
      </c>
      <c r="H27" s="98" t="s">
        <v>158</v>
      </c>
      <c r="I27" s="86">
        <f t="shared" si="5"/>
        <v>89</v>
      </c>
      <c r="J27" s="208" t="s">
        <v>22</v>
      </c>
      <c r="K27" s="86" t="s">
        <v>20</v>
      </c>
      <c r="L27" s="86" t="s">
        <v>20</v>
      </c>
      <c r="M27" s="86" t="s">
        <v>23</v>
      </c>
      <c r="N27" s="208" t="s">
        <v>20</v>
      </c>
      <c r="O27" s="136" t="s">
        <v>159</v>
      </c>
      <c r="P27" s="596"/>
      <c r="Q27" s="596" t="s">
        <v>160</v>
      </c>
      <c r="R27" s="321"/>
      <c r="S27" s="321"/>
    </row>
    <row r="28" spans="1:24" s="360" customFormat="1" ht="267.5" customHeight="1" x14ac:dyDescent="0.25">
      <c r="A28" s="364">
        <f t="shared" si="6"/>
        <v>11</v>
      </c>
      <c r="B28" s="363" t="s">
        <v>161</v>
      </c>
      <c r="C28" s="363" t="s">
        <v>161</v>
      </c>
      <c r="D28" s="365" t="s">
        <v>162</v>
      </c>
      <c r="E28" s="352">
        <f t="shared" si="3"/>
        <v>319</v>
      </c>
      <c r="F28" s="366" t="s">
        <v>34</v>
      </c>
      <c r="G28" s="352" t="s">
        <v>20</v>
      </c>
      <c r="H28" s="352" t="s">
        <v>20</v>
      </c>
      <c r="I28" s="352">
        <f t="shared" si="5"/>
        <v>2</v>
      </c>
      <c r="J28" s="352" t="s">
        <v>34</v>
      </c>
      <c r="K28" s="367" t="s">
        <v>20</v>
      </c>
      <c r="L28" s="367" t="s">
        <v>20</v>
      </c>
      <c r="M28" s="352" t="s">
        <v>35</v>
      </c>
      <c r="N28" s="368"/>
      <c r="O28" s="590" t="s">
        <v>163</v>
      </c>
      <c r="P28" s="644" t="s">
        <v>164</v>
      </c>
      <c r="Q28" s="606"/>
      <c r="R28" s="614" t="s">
        <v>165</v>
      </c>
      <c r="S28" s="618"/>
      <c r="V28" s="361">
        <v>10.14181709289551</v>
      </c>
      <c r="W28" s="362" t="e">
        <f>IF(V28="","",V28*O28)</f>
        <v>#VALUE!</v>
      </c>
      <c r="X28" s="353" t="str">
        <f>IF(R28="yes",W28,"")</f>
        <v/>
      </c>
    </row>
    <row r="29" spans="1:24" s="322" customFormat="1" ht="92" customHeight="1" x14ac:dyDescent="0.25">
      <c r="A29" s="369">
        <f t="shared" si="6"/>
        <v>12</v>
      </c>
      <c r="B29" s="323" t="s">
        <v>166</v>
      </c>
      <c r="C29" s="323" t="s">
        <v>166</v>
      </c>
      <c r="D29" s="134" t="s">
        <v>167</v>
      </c>
      <c r="E29" s="99">
        <f t="shared" si="3"/>
        <v>73</v>
      </c>
      <c r="F29" s="94" t="s">
        <v>168</v>
      </c>
      <c r="G29" s="99">
        <f>LEN(F29)</f>
        <v>71</v>
      </c>
      <c r="H29" s="98" t="s">
        <v>169</v>
      </c>
      <c r="I29" s="99">
        <f t="shared" si="5"/>
        <v>99</v>
      </c>
      <c r="J29" s="324" t="s">
        <v>22</v>
      </c>
      <c r="K29" s="99" t="s">
        <v>20</v>
      </c>
      <c r="L29" s="99" t="s">
        <v>20</v>
      </c>
      <c r="M29" s="99" t="s">
        <v>23</v>
      </c>
      <c r="N29" s="208" t="s">
        <v>20</v>
      </c>
      <c r="O29" s="338" t="s">
        <v>170</v>
      </c>
      <c r="P29" s="597"/>
      <c r="Q29" s="597" t="s">
        <v>171</v>
      </c>
      <c r="R29" s="326"/>
      <c r="S29" s="326"/>
    </row>
    <row r="30" spans="1:24" s="322" customFormat="1" ht="107" customHeight="1" x14ac:dyDescent="0.25">
      <c r="A30" s="369">
        <f t="shared" si="6"/>
        <v>13</v>
      </c>
      <c r="B30" s="323" t="s">
        <v>172</v>
      </c>
      <c r="C30" s="323" t="s">
        <v>172</v>
      </c>
      <c r="D30" s="134" t="s">
        <v>173</v>
      </c>
      <c r="E30" s="99">
        <f t="shared" si="3"/>
        <v>98</v>
      </c>
      <c r="F30" s="94" t="s">
        <v>174</v>
      </c>
      <c r="G30" s="99">
        <f>LEN(F30)</f>
        <v>65</v>
      </c>
      <c r="H30" s="98" t="s">
        <v>175</v>
      </c>
      <c r="I30" s="99">
        <f t="shared" si="5"/>
        <v>72</v>
      </c>
      <c r="J30" s="324" t="s">
        <v>22</v>
      </c>
      <c r="K30" s="99" t="s">
        <v>20</v>
      </c>
      <c r="L30" s="560" t="s">
        <v>176</v>
      </c>
      <c r="M30" s="99" t="s">
        <v>23</v>
      </c>
      <c r="N30" s="208" t="s">
        <v>20</v>
      </c>
      <c r="O30" s="338" t="s">
        <v>177</v>
      </c>
      <c r="P30" s="598"/>
      <c r="Q30" s="597" t="s">
        <v>178</v>
      </c>
      <c r="R30" s="542"/>
      <c r="S30" s="326"/>
    </row>
    <row r="31" spans="1:24" s="360" customFormat="1" ht="250" customHeight="1" x14ac:dyDescent="0.25">
      <c r="A31" s="364">
        <f t="shared" si="6"/>
        <v>14</v>
      </c>
      <c r="B31" s="363" t="s">
        <v>179</v>
      </c>
      <c r="C31" s="363" t="s">
        <v>179</v>
      </c>
      <c r="D31" s="365" t="s">
        <v>180</v>
      </c>
      <c r="E31" s="352">
        <f t="shared" si="3"/>
        <v>320</v>
      </c>
      <c r="F31" s="366"/>
      <c r="G31" s="352" t="s">
        <v>20</v>
      </c>
      <c r="H31" s="352"/>
      <c r="I31" s="352" t="s">
        <v>35</v>
      </c>
      <c r="J31" s="366" t="s">
        <v>34</v>
      </c>
      <c r="K31" s="352" t="s">
        <v>20</v>
      </c>
      <c r="L31" s="352" t="s">
        <v>20</v>
      </c>
      <c r="M31" s="352" t="s">
        <v>35</v>
      </c>
      <c r="N31" s="370"/>
      <c r="O31" s="591" t="s">
        <v>181</v>
      </c>
      <c r="P31" s="644" t="s">
        <v>182</v>
      </c>
      <c r="Q31" s="606"/>
      <c r="R31" s="614" t="s">
        <v>165</v>
      </c>
      <c r="S31" s="618"/>
      <c r="V31" s="361">
        <v>3.163594007492065</v>
      </c>
      <c r="W31" s="362" t="e">
        <f>IF(V31="","",V31*O31)</f>
        <v>#VALUE!</v>
      </c>
      <c r="X31" s="353" t="str">
        <f>IF(R31="yes",W31,"")</f>
        <v/>
      </c>
    </row>
    <row r="32" spans="1:24" s="322" customFormat="1" ht="101" customHeight="1" x14ac:dyDescent="0.25">
      <c r="A32" s="358">
        <f t="shared" si="6"/>
        <v>15</v>
      </c>
      <c r="B32" s="323" t="s">
        <v>183</v>
      </c>
      <c r="C32" s="323" t="s">
        <v>183</v>
      </c>
      <c r="D32" s="134" t="s">
        <v>167</v>
      </c>
      <c r="E32" s="99">
        <f t="shared" si="3"/>
        <v>73</v>
      </c>
      <c r="F32" s="94" t="s">
        <v>168</v>
      </c>
      <c r="G32" s="86">
        <f t="shared" ref="G32:G41" si="7">LEN(F32)</f>
        <v>71</v>
      </c>
      <c r="H32" s="101" t="s">
        <v>169</v>
      </c>
      <c r="I32" s="99">
        <f t="shared" ref="I32:I41" si="8">LEN(H32)</f>
        <v>99</v>
      </c>
      <c r="J32" s="324" t="s">
        <v>22</v>
      </c>
      <c r="K32" s="99" t="s">
        <v>20</v>
      </c>
      <c r="L32" s="99" t="s">
        <v>20</v>
      </c>
      <c r="M32" s="99" t="s">
        <v>23</v>
      </c>
      <c r="N32" s="208" t="s">
        <v>20</v>
      </c>
      <c r="O32" s="338" t="s">
        <v>184</v>
      </c>
      <c r="P32" s="597"/>
      <c r="Q32" s="597" t="s">
        <v>185</v>
      </c>
      <c r="R32" s="326"/>
      <c r="S32" s="326"/>
    </row>
    <row r="33" spans="1:24" s="322" customFormat="1" ht="102" customHeight="1" thickBot="1" x14ac:dyDescent="0.3">
      <c r="A33" s="389">
        <f t="shared" si="6"/>
        <v>16</v>
      </c>
      <c r="B33" s="562" t="s">
        <v>186</v>
      </c>
      <c r="C33" s="563" t="s">
        <v>187</v>
      </c>
      <c r="D33" s="564" t="s">
        <v>173</v>
      </c>
      <c r="E33" s="565">
        <f t="shared" si="3"/>
        <v>98</v>
      </c>
      <c r="F33" s="566" t="s">
        <v>174</v>
      </c>
      <c r="G33" s="92">
        <f t="shared" si="7"/>
        <v>65</v>
      </c>
      <c r="H33" s="567" t="s">
        <v>188</v>
      </c>
      <c r="I33" s="565">
        <f t="shared" si="8"/>
        <v>71</v>
      </c>
      <c r="J33" s="568" t="s">
        <v>22</v>
      </c>
      <c r="K33" s="565" t="s">
        <v>20</v>
      </c>
      <c r="L33" s="569" t="s">
        <v>189</v>
      </c>
      <c r="M33" s="565" t="s">
        <v>23</v>
      </c>
      <c r="N33" s="196" t="s">
        <v>20</v>
      </c>
      <c r="O33" s="592" t="s">
        <v>190</v>
      </c>
      <c r="P33" s="599"/>
      <c r="Q33" s="599" t="s">
        <v>191</v>
      </c>
      <c r="R33" s="570"/>
      <c r="S33" s="570"/>
    </row>
    <row r="34" spans="1:24" s="192" customFormat="1" ht="305.5" customHeight="1" x14ac:dyDescent="0.25">
      <c r="A34" s="561">
        <f t="shared" si="6"/>
        <v>17</v>
      </c>
      <c r="B34" s="371" t="s">
        <v>192</v>
      </c>
      <c r="C34" s="372" t="s">
        <v>192</v>
      </c>
      <c r="D34" s="157" t="s">
        <v>193</v>
      </c>
      <c r="E34" s="156">
        <f t="shared" si="3"/>
        <v>266</v>
      </c>
      <c r="F34" s="155" t="s">
        <v>194</v>
      </c>
      <c r="G34" s="156">
        <f t="shared" si="7"/>
        <v>246</v>
      </c>
      <c r="H34" s="157" t="s">
        <v>195</v>
      </c>
      <c r="I34" s="156">
        <f t="shared" si="8"/>
        <v>272</v>
      </c>
      <c r="J34" s="373" t="s">
        <v>34</v>
      </c>
      <c r="K34" s="156" t="s">
        <v>20</v>
      </c>
      <c r="L34" s="156" t="s">
        <v>20</v>
      </c>
      <c r="M34" s="156" t="s">
        <v>196</v>
      </c>
      <c r="N34" s="374" t="s">
        <v>20</v>
      </c>
      <c r="O34" s="375" t="s">
        <v>197</v>
      </c>
      <c r="P34" s="600"/>
      <c r="Q34" s="669" t="s">
        <v>198</v>
      </c>
      <c r="R34" s="183"/>
      <c r="S34" s="183"/>
    </row>
    <row r="35" spans="1:24" s="192" customFormat="1" ht="409.5" customHeight="1" x14ac:dyDescent="0.25">
      <c r="A35" s="358">
        <f t="shared" si="6"/>
        <v>18</v>
      </c>
      <c r="B35" s="382" t="s">
        <v>199</v>
      </c>
      <c r="C35" s="372" t="s">
        <v>199</v>
      </c>
      <c r="D35" s="383" t="s">
        <v>200</v>
      </c>
      <c r="E35" s="384">
        <f t="shared" si="3"/>
        <v>395</v>
      </c>
      <c r="F35" s="158" t="s">
        <v>201</v>
      </c>
      <c r="G35" s="159">
        <f t="shared" si="7"/>
        <v>373</v>
      </c>
      <c r="H35" s="385" t="s">
        <v>202</v>
      </c>
      <c r="I35" s="384">
        <f t="shared" si="8"/>
        <v>383</v>
      </c>
      <c r="J35" s="386" t="s">
        <v>34</v>
      </c>
      <c r="K35" s="384" t="s">
        <v>20</v>
      </c>
      <c r="L35" s="384" t="s">
        <v>20</v>
      </c>
      <c r="M35" s="384" t="s">
        <v>203</v>
      </c>
      <c r="N35" s="374" t="s">
        <v>20</v>
      </c>
      <c r="O35" s="341" t="s">
        <v>204</v>
      </c>
      <c r="P35" s="600"/>
      <c r="Q35" s="670"/>
      <c r="R35" s="210"/>
      <c r="S35" s="210"/>
    </row>
    <row r="36" spans="1:24" s="192" customFormat="1" ht="409.5" customHeight="1" x14ac:dyDescent="0.25">
      <c r="A36" s="358">
        <f t="shared" si="6"/>
        <v>19</v>
      </c>
      <c r="B36" s="382" t="s">
        <v>205</v>
      </c>
      <c r="C36" s="372" t="s">
        <v>205</v>
      </c>
      <c r="D36" s="383" t="s">
        <v>206</v>
      </c>
      <c r="E36" s="384">
        <f t="shared" si="3"/>
        <v>345</v>
      </c>
      <c r="F36" s="158" t="s">
        <v>207</v>
      </c>
      <c r="G36" s="159">
        <f t="shared" si="7"/>
        <v>323</v>
      </c>
      <c r="H36" s="385" t="s">
        <v>208</v>
      </c>
      <c r="I36" s="384">
        <f t="shared" si="8"/>
        <v>320</v>
      </c>
      <c r="J36" s="386" t="s">
        <v>34</v>
      </c>
      <c r="K36" s="384" t="s">
        <v>20</v>
      </c>
      <c r="L36" s="384" t="s">
        <v>20</v>
      </c>
      <c r="M36" s="384" t="s">
        <v>203</v>
      </c>
      <c r="N36" s="374" t="s">
        <v>20</v>
      </c>
      <c r="O36" s="341" t="s">
        <v>209</v>
      </c>
      <c r="P36" s="600"/>
      <c r="Q36" s="558"/>
      <c r="R36" s="210"/>
      <c r="S36" s="210"/>
    </row>
    <row r="37" spans="1:24" s="192" customFormat="1" ht="409.5" customHeight="1" x14ac:dyDescent="0.25">
      <c r="A37" s="358">
        <f t="shared" si="6"/>
        <v>20</v>
      </c>
      <c r="B37" s="382" t="s">
        <v>210</v>
      </c>
      <c r="C37" s="372" t="s">
        <v>210</v>
      </c>
      <c r="D37" s="383" t="s">
        <v>211</v>
      </c>
      <c r="E37" s="384">
        <f t="shared" si="3"/>
        <v>298</v>
      </c>
      <c r="F37" s="158" t="s">
        <v>212</v>
      </c>
      <c r="G37" s="159">
        <f t="shared" si="7"/>
        <v>276</v>
      </c>
      <c r="H37" s="385" t="s">
        <v>213</v>
      </c>
      <c r="I37" s="384">
        <f t="shared" si="8"/>
        <v>273</v>
      </c>
      <c r="J37" s="386" t="s">
        <v>34</v>
      </c>
      <c r="K37" s="384" t="s">
        <v>20</v>
      </c>
      <c r="L37" s="384" t="s">
        <v>20</v>
      </c>
      <c r="M37" s="384" t="s">
        <v>203</v>
      </c>
      <c r="N37" s="374" t="s">
        <v>20</v>
      </c>
      <c r="O37" s="341" t="s">
        <v>214</v>
      </c>
      <c r="P37" s="600"/>
      <c r="Q37" s="558"/>
      <c r="R37" s="210"/>
      <c r="S37" s="210"/>
    </row>
    <row r="38" spans="1:24" s="192" customFormat="1" ht="409.5" customHeight="1" x14ac:dyDescent="0.25">
      <c r="A38" s="358">
        <f t="shared" si="6"/>
        <v>21</v>
      </c>
      <c r="B38" s="382" t="s">
        <v>215</v>
      </c>
      <c r="C38" s="372" t="s">
        <v>215</v>
      </c>
      <c r="D38" s="383" t="s">
        <v>216</v>
      </c>
      <c r="E38" s="384">
        <f t="shared" si="3"/>
        <v>473</v>
      </c>
      <c r="F38" s="158" t="s">
        <v>217</v>
      </c>
      <c r="G38" s="159">
        <f t="shared" si="7"/>
        <v>451</v>
      </c>
      <c r="H38" s="385" t="s">
        <v>218</v>
      </c>
      <c r="I38" s="384">
        <f t="shared" si="8"/>
        <v>448</v>
      </c>
      <c r="J38" s="386" t="s">
        <v>34</v>
      </c>
      <c r="K38" s="384" t="s">
        <v>20</v>
      </c>
      <c r="L38" s="384" t="s">
        <v>20</v>
      </c>
      <c r="M38" s="384" t="s">
        <v>203</v>
      </c>
      <c r="N38" s="374" t="s">
        <v>20</v>
      </c>
      <c r="O38" s="341" t="s">
        <v>219</v>
      </c>
      <c r="P38" s="600"/>
      <c r="Q38" s="558"/>
      <c r="R38" s="210"/>
      <c r="S38" s="210"/>
    </row>
    <row r="39" spans="1:24" s="192" customFormat="1" ht="401" customHeight="1" thickBot="1" x14ac:dyDescent="0.3">
      <c r="A39" s="389">
        <f t="shared" si="6"/>
        <v>22</v>
      </c>
      <c r="B39" s="390" t="s">
        <v>220</v>
      </c>
      <c r="C39" s="391" t="s">
        <v>220</v>
      </c>
      <c r="D39" s="392" t="s">
        <v>221</v>
      </c>
      <c r="E39" s="393">
        <f t="shared" si="3"/>
        <v>280</v>
      </c>
      <c r="F39" s="161" t="s">
        <v>222</v>
      </c>
      <c r="G39" s="393">
        <f t="shared" si="7"/>
        <v>258</v>
      </c>
      <c r="H39" s="392" t="s">
        <v>223</v>
      </c>
      <c r="I39" s="393">
        <f t="shared" si="8"/>
        <v>255</v>
      </c>
      <c r="J39" s="394" t="s">
        <v>34</v>
      </c>
      <c r="K39" s="393" t="s">
        <v>20</v>
      </c>
      <c r="L39" s="393" t="s">
        <v>20</v>
      </c>
      <c r="M39" s="393" t="s">
        <v>203</v>
      </c>
      <c r="N39" s="395" t="s">
        <v>20</v>
      </c>
      <c r="O39" s="396" t="s">
        <v>224</v>
      </c>
      <c r="P39" s="601"/>
      <c r="Q39" s="607"/>
      <c r="R39" s="397"/>
      <c r="S39" s="397"/>
    </row>
    <row r="40" spans="1:24" s="192" customFormat="1" ht="230" customHeight="1" thickBot="1" x14ac:dyDescent="0.3">
      <c r="A40" s="403">
        <f t="shared" si="6"/>
        <v>23</v>
      </c>
      <c r="B40" s="404" t="s">
        <v>225</v>
      </c>
      <c r="C40" s="405" t="s">
        <v>225</v>
      </c>
      <c r="D40" s="406" t="s">
        <v>226</v>
      </c>
      <c r="E40" s="407">
        <f t="shared" si="3"/>
        <v>218</v>
      </c>
      <c r="F40" s="408" t="s">
        <v>227</v>
      </c>
      <c r="G40" s="407">
        <f t="shared" si="7"/>
        <v>203</v>
      </c>
      <c r="H40" s="406" t="s">
        <v>228</v>
      </c>
      <c r="I40" s="407">
        <f t="shared" si="8"/>
        <v>201</v>
      </c>
      <c r="J40" s="409" t="s">
        <v>34</v>
      </c>
      <c r="K40" s="409" t="s">
        <v>20</v>
      </c>
      <c r="L40" s="409" t="s">
        <v>20</v>
      </c>
      <c r="M40" s="409" t="s">
        <v>35</v>
      </c>
      <c r="N40" s="410" t="s">
        <v>20</v>
      </c>
      <c r="O40" s="411" t="s">
        <v>229</v>
      </c>
      <c r="P40" s="602"/>
      <c r="Q40" s="608"/>
      <c r="R40" s="615"/>
      <c r="S40" s="314"/>
    </row>
    <row r="41" spans="1:24" s="192" customFormat="1" ht="379.5" customHeight="1" x14ac:dyDescent="0.25">
      <c r="A41" s="95">
        <f t="shared" si="6"/>
        <v>24</v>
      </c>
      <c r="B41" s="320" t="s">
        <v>230</v>
      </c>
      <c r="C41" s="320" t="s">
        <v>230</v>
      </c>
      <c r="D41" s="87" t="s">
        <v>231</v>
      </c>
      <c r="E41" s="86">
        <f t="shared" si="3"/>
        <v>656</v>
      </c>
      <c r="F41" s="158" t="s">
        <v>232</v>
      </c>
      <c r="G41" s="159">
        <f t="shared" si="7"/>
        <v>748</v>
      </c>
      <c r="H41" s="113" t="s">
        <v>233</v>
      </c>
      <c r="I41" s="86">
        <f t="shared" si="8"/>
        <v>738</v>
      </c>
      <c r="J41" s="208" t="s">
        <v>34</v>
      </c>
      <c r="K41" s="86" t="s">
        <v>20</v>
      </c>
      <c r="L41" s="86" t="s">
        <v>20</v>
      </c>
      <c r="M41" s="86" t="s">
        <v>35</v>
      </c>
      <c r="N41" s="208" t="s">
        <v>20</v>
      </c>
      <c r="O41" s="349" t="s">
        <v>234</v>
      </c>
      <c r="P41" s="581"/>
      <c r="Q41" s="581" t="s">
        <v>235</v>
      </c>
      <c r="R41" s="187"/>
      <c r="S41" s="305"/>
    </row>
    <row r="42" spans="1:24" s="224" customFormat="1" ht="264" customHeight="1" thickBot="1" x14ac:dyDescent="0.3">
      <c r="A42" s="415">
        <f t="shared" si="6"/>
        <v>25</v>
      </c>
      <c r="B42" s="416" t="s">
        <v>236</v>
      </c>
      <c r="C42" s="417" t="s">
        <v>236</v>
      </c>
      <c r="D42" s="418" t="s">
        <v>237</v>
      </c>
      <c r="E42" s="419">
        <v>116</v>
      </c>
      <c r="F42" s="417" t="s">
        <v>34</v>
      </c>
      <c r="G42" s="419" t="s">
        <v>20</v>
      </c>
      <c r="H42" s="419" t="s">
        <v>20</v>
      </c>
      <c r="I42" s="419" t="s">
        <v>35</v>
      </c>
      <c r="J42" s="366" t="s">
        <v>34</v>
      </c>
      <c r="K42" s="352" t="s">
        <v>20</v>
      </c>
      <c r="L42" s="352" t="s">
        <v>20</v>
      </c>
      <c r="M42" s="352" t="s">
        <v>35</v>
      </c>
      <c r="N42" s="420" t="s">
        <v>238</v>
      </c>
      <c r="O42" s="445" t="s">
        <v>239</v>
      </c>
      <c r="P42" s="645" t="s">
        <v>87</v>
      </c>
      <c r="Q42" s="609"/>
      <c r="R42" s="616"/>
      <c r="S42" s="619"/>
      <c r="V42" s="355"/>
      <c r="W42" s="355"/>
      <c r="X42" s="353"/>
    </row>
    <row r="43" spans="1:24" s="192" customFormat="1" ht="47.5" customHeight="1" thickBot="1" x14ac:dyDescent="0.3">
      <c r="A43" s="671" t="s">
        <v>240</v>
      </c>
      <c r="B43" s="672"/>
      <c r="C43" s="672"/>
      <c r="D43" s="672"/>
      <c r="E43" s="672"/>
      <c r="F43" s="672"/>
      <c r="G43" s="672"/>
      <c r="H43" s="672"/>
      <c r="I43" s="672"/>
      <c r="J43" s="672"/>
      <c r="K43" s="672"/>
      <c r="L43" s="672"/>
      <c r="M43" s="672"/>
      <c r="N43" s="672"/>
      <c r="O43" s="672"/>
      <c r="P43" s="672"/>
      <c r="Q43" s="672"/>
      <c r="R43" s="672"/>
      <c r="S43" s="673"/>
    </row>
    <row r="44" spans="1:24" s="192" customFormat="1" ht="179" customHeight="1" x14ac:dyDescent="0.25">
      <c r="A44" s="387">
        <f>A42+1</f>
        <v>26</v>
      </c>
      <c r="B44" s="96" t="s">
        <v>241</v>
      </c>
      <c r="C44" s="96" t="s">
        <v>241</v>
      </c>
      <c r="D44" s="328" t="s">
        <v>242</v>
      </c>
      <c r="E44" s="96">
        <f t="shared" ref="E44:E53" si="9">LEN(D44)</f>
        <v>97</v>
      </c>
      <c r="F44" s="329" t="s">
        <v>243</v>
      </c>
      <c r="G44" s="96">
        <f t="shared" ref="G44:G53" si="10">LEN(F44)</f>
        <v>103</v>
      </c>
      <c r="H44" s="329" t="s">
        <v>244</v>
      </c>
      <c r="I44" s="96">
        <f t="shared" ref="I44:I53" si="11">LEN(H44)</f>
        <v>103</v>
      </c>
      <c r="J44" s="96" t="s">
        <v>34</v>
      </c>
      <c r="K44" s="96" t="s">
        <v>20</v>
      </c>
      <c r="L44" s="96" t="s">
        <v>20</v>
      </c>
      <c r="M44" s="96" t="s">
        <v>35</v>
      </c>
      <c r="N44" s="178" t="s">
        <v>20</v>
      </c>
      <c r="O44" s="205" t="s">
        <v>245</v>
      </c>
      <c r="P44" s="622"/>
      <c r="Q44" s="622" t="s">
        <v>246</v>
      </c>
      <c r="R44" s="615"/>
      <c r="S44" s="181"/>
    </row>
    <row r="45" spans="1:24" s="192" customFormat="1" ht="195" customHeight="1" x14ac:dyDescent="0.25">
      <c r="A45" s="387">
        <f t="shared" ref="A45:A53" si="12">A44+1</f>
        <v>27</v>
      </c>
      <c r="B45" s="177" t="s">
        <v>247</v>
      </c>
      <c r="C45" s="182" t="s">
        <v>247</v>
      </c>
      <c r="D45" s="103" t="s">
        <v>248</v>
      </c>
      <c r="E45" s="84">
        <f t="shared" si="9"/>
        <v>116</v>
      </c>
      <c r="F45" s="83" t="s">
        <v>249</v>
      </c>
      <c r="G45" s="84">
        <f t="shared" si="10"/>
        <v>116</v>
      </c>
      <c r="H45" s="103" t="s">
        <v>250</v>
      </c>
      <c r="I45" s="84">
        <f t="shared" si="11"/>
        <v>104</v>
      </c>
      <c r="J45" s="182" t="s">
        <v>34</v>
      </c>
      <c r="K45" s="84" t="s">
        <v>20</v>
      </c>
      <c r="L45" s="84" t="s">
        <v>20</v>
      </c>
      <c r="M45" s="84" t="s">
        <v>35</v>
      </c>
      <c r="N45" s="178" t="s">
        <v>20</v>
      </c>
      <c r="O45" s="179" t="s">
        <v>251</v>
      </c>
      <c r="P45" s="623"/>
      <c r="Q45" s="627" t="s">
        <v>252</v>
      </c>
      <c r="R45" s="305"/>
      <c r="S45" s="183"/>
    </row>
    <row r="46" spans="1:24" s="192" customFormat="1" ht="242.5" customHeight="1" x14ac:dyDescent="0.25">
      <c r="A46" s="176">
        <f t="shared" si="12"/>
        <v>28</v>
      </c>
      <c r="B46" s="258" t="s">
        <v>253</v>
      </c>
      <c r="C46" s="182" t="s">
        <v>253</v>
      </c>
      <c r="D46" s="135" t="s">
        <v>254</v>
      </c>
      <c r="E46" s="185">
        <f t="shared" si="9"/>
        <v>314</v>
      </c>
      <c r="F46" s="85" t="s">
        <v>255</v>
      </c>
      <c r="G46" s="86">
        <f t="shared" si="10"/>
        <v>278</v>
      </c>
      <c r="H46" s="104" t="s">
        <v>256</v>
      </c>
      <c r="I46" s="185">
        <f t="shared" si="11"/>
        <v>316</v>
      </c>
      <c r="J46" s="217" t="s">
        <v>34</v>
      </c>
      <c r="K46" s="185" t="s">
        <v>20</v>
      </c>
      <c r="L46" s="185" t="s">
        <v>20</v>
      </c>
      <c r="M46" s="185" t="s">
        <v>35</v>
      </c>
      <c r="N46" s="178" t="s">
        <v>20</v>
      </c>
      <c r="O46" s="341" t="s">
        <v>257</v>
      </c>
      <c r="P46" s="623"/>
      <c r="Q46" s="627" t="s">
        <v>258</v>
      </c>
      <c r="R46" s="305"/>
      <c r="S46" s="216"/>
    </row>
    <row r="47" spans="1:24" s="192" customFormat="1" ht="235.5" customHeight="1" x14ac:dyDescent="0.25">
      <c r="A47" s="387">
        <f t="shared" si="12"/>
        <v>29</v>
      </c>
      <c r="B47" s="218" t="s">
        <v>259</v>
      </c>
      <c r="C47" s="218" t="s">
        <v>259</v>
      </c>
      <c r="D47" s="132" t="s">
        <v>260</v>
      </c>
      <c r="E47" s="185">
        <f t="shared" si="9"/>
        <v>312</v>
      </c>
      <c r="F47" s="105" t="s">
        <v>261</v>
      </c>
      <c r="G47" s="106">
        <f t="shared" si="10"/>
        <v>291</v>
      </c>
      <c r="H47" s="89" t="s">
        <v>262</v>
      </c>
      <c r="I47" s="219">
        <f t="shared" si="11"/>
        <v>391</v>
      </c>
      <c r="J47" s="220" t="s">
        <v>34</v>
      </c>
      <c r="K47" s="219" t="s">
        <v>20</v>
      </c>
      <c r="L47" s="219" t="s">
        <v>20</v>
      </c>
      <c r="M47" s="219" t="s">
        <v>35</v>
      </c>
      <c r="N47" s="180" t="s">
        <v>20</v>
      </c>
      <c r="O47" s="620" t="s">
        <v>263</v>
      </c>
      <c r="P47" s="624"/>
      <c r="Q47" s="628" t="s">
        <v>264</v>
      </c>
      <c r="R47" s="632"/>
      <c r="S47" s="221"/>
    </row>
    <row r="48" spans="1:24" s="224" customFormat="1" ht="409.5" customHeight="1" x14ac:dyDescent="0.25">
      <c r="A48" s="364">
        <f t="shared" si="12"/>
        <v>30</v>
      </c>
      <c r="B48" s="342" t="s">
        <v>265</v>
      </c>
      <c r="C48" s="344" t="s">
        <v>265</v>
      </c>
      <c r="D48" s="436" t="s">
        <v>266</v>
      </c>
      <c r="E48" s="352">
        <f t="shared" si="9"/>
        <v>1334</v>
      </c>
      <c r="F48" s="344"/>
      <c r="G48" s="352">
        <f t="shared" si="10"/>
        <v>0</v>
      </c>
      <c r="H48" s="344"/>
      <c r="I48" s="352">
        <f t="shared" si="11"/>
        <v>0</v>
      </c>
      <c r="J48" s="344" t="s">
        <v>34</v>
      </c>
      <c r="K48" s="347" t="s">
        <v>20</v>
      </c>
      <c r="L48" s="346" t="s">
        <v>20</v>
      </c>
      <c r="M48" s="346" t="s">
        <v>35</v>
      </c>
      <c r="N48" s="345" t="s">
        <v>267</v>
      </c>
      <c r="O48" s="502" t="s">
        <v>268</v>
      </c>
      <c r="P48" s="646" t="s">
        <v>87</v>
      </c>
      <c r="Q48" s="629"/>
      <c r="R48" s="633" t="s">
        <v>88</v>
      </c>
      <c r="S48" s="571"/>
      <c r="V48" s="355">
        <v>13.220664978027299</v>
      </c>
      <c r="W48" s="355" t="e">
        <f>IF(V48="","",V48*O48)</f>
        <v>#VALUE!</v>
      </c>
      <c r="X48" s="353" t="str">
        <f>IF(R48="yes",W48,"")</f>
        <v/>
      </c>
    </row>
    <row r="49" spans="1:16368" s="224" customFormat="1" ht="164.5" customHeight="1" x14ac:dyDescent="0.25">
      <c r="A49" s="95">
        <f t="shared" si="12"/>
        <v>31</v>
      </c>
      <c r="B49" s="421" t="s">
        <v>269</v>
      </c>
      <c r="C49" s="426" t="s">
        <v>269</v>
      </c>
      <c r="D49" s="427" t="s">
        <v>270</v>
      </c>
      <c r="E49" s="99">
        <f t="shared" si="9"/>
        <v>269</v>
      </c>
      <c r="F49" s="105" t="s">
        <v>271</v>
      </c>
      <c r="G49" s="106">
        <f t="shared" si="10"/>
        <v>207</v>
      </c>
      <c r="H49" s="89" t="s">
        <v>272</v>
      </c>
      <c r="I49" s="428">
        <f t="shared" si="11"/>
        <v>243</v>
      </c>
      <c r="J49" s="426" t="s">
        <v>139</v>
      </c>
      <c r="K49" s="428" t="s">
        <v>20</v>
      </c>
      <c r="L49" s="428" t="s">
        <v>20</v>
      </c>
      <c r="M49" s="428" t="s">
        <v>23</v>
      </c>
      <c r="N49" s="429" t="s">
        <v>20</v>
      </c>
      <c r="O49" s="502" t="s">
        <v>273</v>
      </c>
      <c r="P49" s="625"/>
      <c r="Q49" s="630" t="s">
        <v>274</v>
      </c>
      <c r="R49" s="634"/>
      <c r="S49" s="223"/>
    </row>
    <row r="50" spans="1:16368" s="224" customFormat="1" ht="299.5" customHeight="1" x14ac:dyDescent="0.25">
      <c r="A50" s="425">
        <f t="shared" si="12"/>
        <v>32</v>
      </c>
      <c r="B50" s="342" t="s">
        <v>275</v>
      </c>
      <c r="C50" s="342" t="s">
        <v>276</v>
      </c>
      <c r="D50" s="424" t="s">
        <v>277</v>
      </c>
      <c r="E50" s="352">
        <f t="shared" si="9"/>
        <v>432</v>
      </c>
      <c r="F50" s="344"/>
      <c r="G50" s="346">
        <f t="shared" si="10"/>
        <v>0</v>
      </c>
      <c r="H50" s="344"/>
      <c r="I50" s="346">
        <f t="shared" si="11"/>
        <v>0</v>
      </c>
      <c r="J50" s="344" t="s">
        <v>278</v>
      </c>
      <c r="K50" s="347" t="s">
        <v>20</v>
      </c>
      <c r="L50" s="347" t="s">
        <v>20</v>
      </c>
      <c r="M50" s="346" t="s">
        <v>279</v>
      </c>
      <c r="N50" s="345" t="s">
        <v>280</v>
      </c>
      <c r="O50" s="502" t="s">
        <v>281</v>
      </c>
      <c r="P50" s="647" t="s">
        <v>87</v>
      </c>
      <c r="Q50" s="629"/>
      <c r="R50" s="633" t="s">
        <v>88</v>
      </c>
      <c r="S50" s="571"/>
      <c r="V50" s="355">
        <v>16.957803726196289</v>
      </c>
      <c r="W50" s="355" t="e">
        <f>IF(V50="","",V50*O50)</f>
        <v>#VALUE!</v>
      </c>
      <c r="X50" s="353" t="str">
        <f>IF(R50="yes",W50,"")</f>
        <v/>
      </c>
    </row>
    <row r="51" spans="1:16368" s="224" customFormat="1" ht="338.5" customHeight="1" x14ac:dyDescent="0.25">
      <c r="A51" s="425">
        <f t="shared" si="12"/>
        <v>33</v>
      </c>
      <c r="B51" s="342" t="s">
        <v>282</v>
      </c>
      <c r="C51" s="347" t="s">
        <v>283</v>
      </c>
      <c r="D51" s="424" t="s">
        <v>284</v>
      </c>
      <c r="E51" s="352">
        <f t="shared" si="9"/>
        <v>400</v>
      </c>
      <c r="F51" s="344"/>
      <c r="G51" s="346">
        <f t="shared" si="10"/>
        <v>0</v>
      </c>
      <c r="H51" s="344"/>
      <c r="I51" s="346">
        <f t="shared" si="11"/>
        <v>0</v>
      </c>
      <c r="J51" s="344" t="s">
        <v>278</v>
      </c>
      <c r="K51" s="347" t="s">
        <v>20</v>
      </c>
      <c r="L51" s="347" t="s">
        <v>20</v>
      </c>
      <c r="M51" s="346" t="s">
        <v>285</v>
      </c>
      <c r="N51" s="345" t="s">
        <v>286</v>
      </c>
      <c r="O51" s="502" t="s">
        <v>287</v>
      </c>
      <c r="P51" s="646" t="s">
        <v>87</v>
      </c>
      <c r="Q51" s="629"/>
      <c r="R51" s="633" t="s">
        <v>88</v>
      </c>
      <c r="S51" s="571"/>
      <c r="V51" s="355">
        <v>11.02202892303467</v>
      </c>
      <c r="W51" s="355" t="e">
        <f>IF(V51="","",V51*O51)</f>
        <v>#VALUE!</v>
      </c>
      <c r="X51" s="353" t="str">
        <f>IF(R51="yes",W51,"")</f>
        <v/>
      </c>
    </row>
    <row r="52" spans="1:16368" s="224" customFormat="1" ht="262" customHeight="1" x14ac:dyDescent="0.25">
      <c r="A52" s="425">
        <f t="shared" si="12"/>
        <v>34</v>
      </c>
      <c r="B52" s="342" t="s">
        <v>288</v>
      </c>
      <c r="C52" s="342" t="s">
        <v>288</v>
      </c>
      <c r="D52" s="424" t="s">
        <v>289</v>
      </c>
      <c r="E52" s="352">
        <f t="shared" si="9"/>
        <v>180</v>
      </c>
      <c r="F52" s="344"/>
      <c r="G52" s="346">
        <f t="shared" si="10"/>
        <v>0</v>
      </c>
      <c r="H52" s="344"/>
      <c r="I52" s="346">
        <f t="shared" si="11"/>
        <v>0</v>
      </c>
      <c r="J52" s="346" t="s">
        <v>34</v>
      </c>
      <c r="K52" s="347" t="s">
        <v>20</v>
      </c>
      <c r="L52" s="347" t="s">
        <v>20</v>
      </c>
      <c r="M52" s="346" t="s">
        <v>35</v>
      </c>
      <c r="N52" s="345"/>
      <c r="O52" s="621" t="s">
        <v>290</v>
      </c>
      <c r="P52" s="646" t="s">
        <v>87</v>
      </c>
      <c r="Q52" s="629"/>
      <c r="R52" s="633" t="s">
        <v>88</v>
      </c>
      <c r="S52" s="571"/>
      <c r="V52" s="355">
        <v>9.9618663787841797</v>
      </c>
      <c r="W52" s="355" t="e">
        <f>IF(V52="","",V52*O52)</f>
        <v>#VALUE!</v>
      </c>
      <c r="X52" s="353" t="str">
        <f>IF(R52="yes",W52,"")</f>
        <v/>
      </c>
    </row>
    <row r="53" spans="1:16368" s="192" customFormat="1" ht="201" customHeight="1" thickBot="1" x14ac:dyDescent="0.3">
      <c r="A53" s="387">
        <f t="shared" si="12"/>
        <v>35</v>
      </c>
      <c r="B53" s="430" t="s">
        <v>291</v>
      </c>
      <c r="C53" s="430" t="s">
        <v>291</v>
      </c>
      <c r="D53" s="431" t="s">
        <v>292</v>
      </c>
      <c r="E53" s="121">
        <f t="shared" si="9"/>
        <v>133</v>
      </c>
      <c r="F53" s="432" t="s">
        <v>293</v>
      </c>
      <c r="G53" s="116">
        <f t="shared" si="10"/>
        <v>150</v>
      </c>
      <c r="H53" s="433" t="s">
        <v>294</v>
      </c>
      <c r="I53" s="116">
        <f t="shared" si="11"/>
        <v>146</v>
      </c>
      <c r="J53" s="236" t="s">
        <v>34</v>
      </c>
      <c r="K53" s="116" t="s">
        <v>20</v>
      </c>
      <c r="L53" s="413" t="s">
        <v>20</v>
      </c>
      <c r="M53" s="239" t="s">
        <v>35</v>
      </c>
      <c r="N53" s="180" t="s">
        <v>20</v>
      </c>
      <c r="O53" s="207" t="s">
        <v>295</v>
      </c>
      <c r="P53" s="626"/>
      <c r="Q53" s="631" t="s">
        <v>274</v>
      </c>
      <c r="R53" s="635"/>
      <c r="S53" s="199"/>
    </row>
    <row r="54" spans="1:16368" s="200" customFormat="1" ht="39.5" customHeight="1" thickBot="1" x14ac:dyDescent="0.3">
      <c r="A54" s="671" t="s">
        <v>296</v>
      </c>
      <c r="B54" s="672"/>
      <c r="C54" s="672"/>
      <c r="D54" s="672"/>
      <c r="E54" s="672"/>
      <c r="F54" s="672"/>
      <c r="G54" s="672"/>
      <c r="H54" s="672"/>
      <c r="I54" s="672"/>
      <c r="J54" s="672"/>
      <c r="K54" s="672"/>
      <c r="L54" s="672"/>
      <c r="M54" s="672"/>
      <c r="N54" s="672"/>
      <c r="O54" s="672"/>
      <c r="P54" s="672"/>
      <c r="Q54" s="672"/>
      <c r="R54" s="672"/>
      <c r="S54" s="673"/>
    </row>
    <row r="55" spans="1:16368" s="224" customFormat="1" ht="409.5" customHeight="1" x14ac:dyDescent="0.25">
      <c r="A55" s="412">
        <f>A53+1</f>
        <v>36</v>
      </c>
      <c r="B55" s="378" t="s">
        <v>297</v>
      </c>
      <c r="C55" s="227" t="s">
        <v>297</v>
      </c>
      <c r="D55" s="435" t="s">
        <v>298</v>
      </c>
      <c r="E55" s="119">
        <f t="shared" ref="E55:E79" si="13">LEN(D55)</f>
        <v>1223</v>
      </c>
      <c r="F55" s="170" t="s">
        <v>299</v>
      </c>
      <c r="G55" s="171">
        <f t="shared" ref="G55:G79" si="14">LEN(F55)</f>
        <v>1285</v>
      </c>
      <c r="H55" s="172" t="s">
        <v>300</v>
      </c>
      <c r="I55" s="119">
        <f t="shared" ref="I55:I79" si="15">LEN(H55)</f>
        <v>1187</v>
      </c>
      <c r="J55" s="227" t="s">
        <v>34</v>
      </c>
      <c r="K55" s="119" t="s">
        <v>20</v>
      </c>
      <c r="L55" s="119" t="s">
        <v>20</v>
      </c>
      <c r="M55" s="173" t="s">
        <v>301</v>
      </c>
      <c r="N55" s="228" t="s">
        <v>20</v>
      </c>
      <c r="O55" s="437" t="s">
        <v>302</v>
      </c>
      <c r="P55" s="230"/>
      <c r="Q55" s="231" t="s">
        <v>303</v>
      </c>
      <c r="R55" s="232"/>
      <c r="S55" s="233"/>
    </row>
    <row r="56" spans="1:16368" s="192" customFormat="1" ht="205.5" customHeight="1" x14ac:dyDescent="0.25">
      <c r="A56" s="387">
        <f t="shared" ref="A56:A79" si="16">A55+1</f>
        <v>37</v>
      </c>
      <c r="B56" s="177" t="s">
        <v>304</v>
      </c>
      <c r="C56" s="177" t="s">
        <v>304</v>
      </c>
      <c r="D56" s="136" t="s">
        <v>305</v>
      </c>
      <c r="E56" s="84">
        <f t="shared" si="13"/>
        <v>143</v>
      </c>
      <c r="F56" s="83" t="s">
        <v>306</v>
      </c>
      <c r="G56" s="84">
        <f t="shared" si="14"/>
        <v>147</v>
      </c>
      <c r="H56" s="110" t="s">
        <v>307</v>
      </c>
      <c r="I56" s="84">
        <f t="shared" si="15"/>
        <v>148</v>
      </c>
      <c r="J56" s="182" t="s">
        <v>34</v>
      </c>
      <c r="K56" s="84" t="s">
        <v>20</v>
      </c>
      <c r="L56" s="84" t="s">
        <v>20</v>
      </c>
      <c r="M56" s="84" t="s">
        <v>35</v>
      </c>
      <c r="N56" s="178" t="s">
        <v>20</v>
      </c>
      <c r="O56" s="375" t="s">
        <v>308</v>
      </c>
      <c r="P56" s="179"/>
      <c r="Q56" s="234" t="s">
        <v>309</v>
      </c>
      <c r="R56" s="235"/>
      <c r="S56" s="183"/>
    </row>
    <row r="57" spans="1:16368" s="192" customFormat="1" ht="187.5" customHeight="1" x14ac:dyDescent="0.25">
      <c r="A57" s="387">
        <f t="shared" si="16"/>
        <v>38</v>
      </c>
      <c r="B57" s="371" t="s">
        <v>310</v>
      </c>
      <c r="C57" s="371" t="s">
        <v>310</v>
      </c>
      <c r="D57" s="341" t="s">
        <v>311</v>
      </c>
      <c r="E57" s="156">
        <f t="shared" si="13"/>
        <v>170</v>
      </c>
      <c r="F57" s="155" t="s">
        <v>312</v>
      </c>
      <c r="G57" s="156">
        <f t="shared" si="14"/>
        <v>139</v>
      </c>
      <c r="H57" s="88" t="s">
        <v>313</v>
      </c>
      <c r="I57" s="156">
        <f t="shared" si="15"/>
        <v>160</v>
      </c>
      <c r="J57" s="372" t="s">
        <v>34</v>
      </c>
      <c r="K57" s="156" t="s">
        <v>20</v>
      </c>
      <c r="L57" s="156" t="s">
        <v>20</v>
      </c>
      <c r="M57" s="156" t="s">
        <v>35</v>
      </c>
      <c r="N57" s="374" t="s">
        <v>20</v>
      </c>
      <c r="O57" s="375" t="s">
        <v>308</v>
      </c>
      <c r="P57" s="179"/>
      <c r="Q57" s="234" t="s">
        <v>314</v>
      </c>
      <c r="R57" s="235"/>
      <c r="S57" s="183"/>
    </row>
    <row r="58" spans="1:16368" s="192" customFormat="1" ht="226" customHeight="1" x14ac:dyDescent="0.25">
      <c r="A58" s="387">
        <f t="shared" si="16"/>
        <v>39</v>
      </c>
      <c r="B58" s="448" t="s">
        <v>315</v>
      </c>
      <c r="C58" s="448" t="s">
        <v>315</v>
      </c>
      <c r="D58" s="449" t="s">
        <v>316</v>
      </c>
      <c r="E58" s="398">
        <f t="shared" si="13"/>
        <v>164</v>
      </c>
      <c r="F58" s="450" t="s">
        <v>317</v>
      </c>
      <c r="G58" s="398">
        <f t="shared" si="14"/>
        <v>168</v>
      </c>
      <c r="H58" s="451" t="s">
        <v>318</v>
      </c>
      <c r="I58" s="398">
        <f t="shared" si="15"/>
        <v>156</v>
      </c>
      <c r="J58" s="452" t="s">
        <v>34</v>
      </c>
      <c r="K58" s="398" t="s">
        <v>20</v>
      </c>
      <c r="L58" s="398" t="s">
        <v>20</v>
      </c>
      <c r="M58" s="398" t="s">
        <v>35</v>
      </c>
      <c r="N58" s="374" t="s">
        <v>20</v>
      </c>
      <c r="O58" s="375" t="s">
        <v>308</v>
      </c>
      <c r="P58" s="179"/>
      <c r="Q58" s="234" t="s">
        <v>319</v>
      </c>
      <c r="R58" s="235"/>
      <c r="S58" s="183"/>
    </row>
    <row r="59" spans="1:16368" s="192" customFormat="1" ht="166.5" customHeight="1" x14ac:dyDescent="0.25">
      <c r="A59" s="387">
        <f t="shared" si="16"/>
        <v>40</v>
      </c>
      <c r="B59" s="453" t="s">
        <v>320</v>
      </c>
      <c r="C59" s="454" t="s">
        <v>320</v>
      </c>
      <c r="D59" s="129" t="s">
        <v>321</v>
      </c>
      <c r="E59" s="159">
        <f t="shared" si="13"/>
        <v>228</v>
      </c>
      <c r="F59" s="164" t="s">
        <v>322</v>
      </c>
      <c r="G59" s="165">
        <f t="shared" si="14"/>
        <v>257</v>
      </c>
      <c r="H59" s="129" t="s">
        <v>323</v>
      </c>
      <c r="I59" s="165">
        <f t="shared" si="15"/>
        <v>242</v>
      </c>
      <c r="J59" s="165" t="s">
        <v>139</v>
      </c>
      <c r="K59" s="165" t="s">
        <v>20</v>
      </c>
      <c r="L59" s="165" t="s">
        <v>20</v>
      </c>
      <c r="M59" s="165" t="s">
        <v>23</v>
      </c>
      <c r="N59" s="442" t="s">
        <v>20</v>
      </c>
      <c r="O59" s="447" t="s">
        <v>324</v>
      </c>
      <c r="P59" s="226"/>
      <c r="Q59" s="237" t="s">
        <v>325</v>
      </c>
      <c r="R59" s="237"/>
      <c r="S59" s="681" t="s">
        <v>326</v>
      </c>
    </row>
    <row r="60" spans="1:16368" s="192" customFormat="1" ht="180" customHeight="1" x14ac:dyDescent="0.25">
      <c r="A60" s="387">
        <f t="shared" si="16"/>
        <v>41</v>
      </c>
      <c r="B60" s="455" t="s">
        <v>327</v>
      </c>
      <c r="C60" s="455" t="s">
        <v>327</v>
      </c>
      <c r="D60" s="111" t="s">
        <v>328</v>
      </c>
      <c r="E60" s="159">
        <f t="shared" si="13"/>
        <v>249</v>
      </c>
      <c r="F60" s="105" t="s">
        <v>329</v>
      </c>
      <c r="G60" s="86">
        <f t="shared" si="14"/>
        <v>232</v>
      </c>
      <c r="H60" s="111" t="s">
        <v>330</v>
      </c>
      <c r="I60" s="106">
        <f t="shared" si="15"/>
        <v>252</v>
      </c>
      <c r="J60" s="456" t="s">
        <v>34</v>
      </c>
      <c r="K60" s="106" t="s">
        <v>20</v>
      </c>
      <c r="L60" s="106" t="s">
        <v>20</v>
      </c>
      <c r="M60" s="106" t="s">
        <v>35</v>
      </c>
      <c r="N60" s="180" t="s">
        <v>20</v>
      </c>
      <c r="O60" s="445" t="s">
        <v>331</v>
      </c>
      <c r="P60" s="207"/>
      <c r="Q60" s="240" t="s">
        <v>332</v>
      </c>
      <c r="R60" s="240"/>
      <c r="S60" s="670"/>
    </row>
    <row r="61" spans="1:16368" s="224" customFormat="1" ht="199" customHeight="1" x14ac:dyDescent="0.25">
      <c r="A61" s="444">
        <f t="shared" si="16"/>
        <v>42</v>
      </c>
      <c r="B61" s="416" t="s">
        <v>333</v>
      </c>
      <c r="C61" s="416" t="s">
        <v>333</v>
      </c>
      <c r="D61" s="423" t="s">
        <v>334</v>
      </c>
      <c r="E61" s="422">
        <f t="shared" si="13"/>
        <v>181</v>
      </c>
      <c r="F61" s="417"/>
      <c r="G61" s="422">
        <f t="shared" si="14"/>
        <v>0</v>
      </c>
      <c r="H61" s="419"/>
      <c r="I61" s="422">
        <f t="shared" si="15"/>
        <v>0</v>
      </c>
      <c r="J61" s="417" t="s">
        <v>34</v>
      </c>
      <c r="K61" s="419" t="s">
        <v>20</v>
      </c>
      <c r="L61" s="419" t="s">
        <v>20</v>
      </c>
      <c r="M61" s="419" t="s">
        <v>35</v>
      </c>
      <c r="N61" s="419" t="s">
        <v>20</v>
      </c>
      <c r="O61" s="445" t="s">
        <v>335</v>
      </c>
      <c r="P61" s="226"/>
      <c r="Q61" s="463" t="s">
        <v>336</v>
      </c>
      <c r="R61" s="637" t="s">
        <v>88</v>
      </c>
      <c r="S61" s="636"/>
      <c r="V61" s="355">
        <v>4.7874016761779794</v>
      </c>
      <c r="W61" s="355" t="e">
        <f>IF(V61="","",V61*O61)</f>
        <v>#VALUE!</v>
      </c>
      <c r="X61" s="353" t="str">
        <f>IF(R61="yes",W61,"")</f>
        <v/>
      </c>
    </row>
    <row r="62" spans="1:16368" s="224" customFormat="1" ht="203" customHeight="1" x14ac:dyDescent="0.25">
      <c r="A62" s="415">
        <f t="shared" si="16"/>
        <v>43</v>
      </c>
      <c r="B62" s="446" t="s">
        <v>337</v>
      </c>
      <c r="C62" s="342" t="s">
        <v>337</v>
      </c>
      <c r="D62" s="345" t="s">
        <v>338</v>
      </c>
      <c r="E62" s="422">
        <f t="shared" si="13"/>
        <v>215</v>
      </c>
      <c r="F62" s="347"/>
      <c r="G62" s="422">
        <f t="shared" si="14"/>
        <v>0</v>
      </c>
      <c r="H62" s="346"/>
      <c r="I62" s="422">
        <f t="shared" si="15"/>
        <v>0</v>
      </c>
      <c r="J62" s="347" t="s">
        <v>34</v>
      </c>
      <c r="K62" s="346" t="s">
        <v>20</v>
      </c>
      <c r="L62" s="346" t="s">
        <v>20</v>
      </c>
      <c r="M62" s="346" t="s">
        <v>35</v>
      </c>
      <c r="N62" s="346" t="s">
        <v>20</v>
      </c>
      <c r="O62" s="445" t="s">
        <v>339</v>
      </c>
      <c r="P62" s="226"/>
      <c r="Q62" s="464" t="s">
        <v>340</v>
      </c>
      <c r="R62" s="637" t="s">
        <v>88</v>
      </c>
      <c r="S62" s="636"/>
      <c r="T62" s="459"/>
      <c r="U62" s="459"/>
      <c r="V62" s="355">
        <v>20.918367385864261</v>
      </c>
      <c r="W62" s="355" t="e">
        <f>IF(V62="","",V62*O62)</f>
        <v>#VALUE!</v>
      </c>
      <c r="X62" s="353" t="str">
        <f>IF(R62="yes",W62,"")</f>
        <v/>
      </c>
      <c r="Y62" s="459"/>
      <c r="Z62" s="459"/>
      <c r="AA62" s="459"/>
      <c r="AB62" s="459"/>
      <c r="AC62" s="459"/>
      <c r="AD62" s="459"/>
      <c r="AE62" s="459"/>
      <c r="AF62" s="459"/>
      <c r="AG62" s="459"/>
      <c r="AH62" s="459"/>
      <c r="AI62" s="459"/>
      <c r="AJ62" s="459"/>
      <c r="AK62" s="459"/>
      <c r="AL62" s="459"/>
      <c r="AM62" s="459"/>
      <c r="AN62" s="459"/>
      <c r="AO62" s="459"/>
      <c r="AP62" s="459"/>
      <c r="AQ62" s="459"/>
      <c r="AR62" s="459"/>
      <c r="AS62" s="459"/>
      <c r="AT62" s="459"/>
      <c r="AU62" s="459"/>
      <c r="AV62" s="459"/>
      <c r="AW62" s="459"/>
      <c r="AX62" s="459"/>
      <c r="AY62" s="459"/>
      <c r="AZ62" s="459"/>
      <c r="BA62" s="459"/>
      <c r="BB62" s="459"/>
      <c r="BC62" s="459"/>
      <c r="BD62" s="459"/>
      <c r="BE62" s="459"/>
      <c r="BF62" s="459"/>
      <c r="BG62" s="459"/>
      <c r="BH62" s="459"/>
      <c r="BI62" s="459"/>
      <c r="BJ62" s="459"/>
      <c r="BK62" s="459"/>
      <c r="BL62" s="459"/>
      <c r="BM62" s="459"/>
      <c r="BN62" s="459"/>
      <c r="BO62" s="459"/>
      <c r="BP62" s="459"/>
      <c r="BQ62" s="459"/>
      <c r="BR62" s="459"/>
      <c r="BS62" s="459"/>
      <c r="BT62" s="459"/>
      <c r="BU62" s="459"/>
      <c r="BV62" s="459"/>
      <c r="BW62" s="459"/>
      <c r="BX62" s="459"/>
      <c r="BY62" s="459"/>
      <c r="BZ62" s="459"/>
      <c r="CA62" s="459"/>
      <c r="CB62" s="459"/>
      <c r="CC62" s="459"/>
      <c r="CD62" s="459"/>
      <c r="CE62" s="459"/>
      <c r="CF62" s="459"/>
      <c r="CG62" s="459"/>
      <c r="CH62" s="459"/>
      <c r="CI62" s="459"/>
      <c r="CJ62" s="459"/>
      <c r="CK62" s="459"/>
      <c r="CL62" s="459"/>
      <c r="CM62" s="459"/>
      <c r="CN62" s="459"/>
      <c r="CO62" s="459"/>
      <c r="CP62" s="459"/>
      <c r="CQ62" s="459"/>
      <c r="CR62" s="459"/>
      <c r="CS62" s="459"/>
      <c r="CT62" s="459"/>
      <c r="CU62" s="459"/>
      <c r="CV62" s="459"/>
      <c r="CW62" s="459"/>
      <c r="CX62" s="459"/>
      <c r="CY62" s="459"/>
      <c r="CZ62" s="459"/>
      <c r="DA62" s="459"/>
      <c r="DB62" s="459"/>
      <c r="DC62" s="459"/>
      <c r="DD62" s="459"/>
      <c r="DE62" s="459"/>
      <c r="DF62" s="459"/>
      <c r="DG62" s="459"/>
      <c r="DH62" s="459"/>
      <c r="DI62" s="459"/>
      <c r="DJ62" s="459"/>
      <c r="DK62" s="459"/>
      <c r="DL62" s="459"/>
      <c r="DM62" s="459"/>
      <c r="DN62" s="459"/>
      <c r="DO62" s="459"/>
      <c r="DP62" s="459"/>
      <c r="DQ62" s="459"/>
      <c r="DR62" s="459"/>
      <c r="DS62" s="459"/>
      <c r="DT62" s="459"/>
      <c r="DU62" s="459"/>
      <c r="DV62" s="459"/>
      <c r="DW62" s="459"/>
      <c r="DX62" s="459"/>
      <c r="DY62" s="459"/>
      <c r="DZ62" s="459"/>
      <c r="EA62" s="459"/>
      <c r="EB62" s="459"/>
      <c r="EC62" s="459"/>
      <c r="ED62" s="459"/>
      <c r="EE62" s="459"/>
      <c r="EF62" s="459"/>
      <c r="EG62" s="459"/>
      <c r="EH62" s="459"/>
      <c r="EI62" s="459"/>
      <c r="EJ62" s="459"/>
      <c r="EK62" s="459"/>
      <c r="EL62" s="459"/>
      <c r="EM62" s="459"/>
      <c r="EN62" s="459"/>
      <c r="EO62" s="459"/>
      <c r="EP62" s="459"/>
      <c r="EQ62" s="459"/>
      <c r="ER62" s="459"/>
      <c r="ES62" s="459"/>
      <c r="ET62" s="459"/>
      <c r="EU62" s="459"/>
      <c r="EV62" s="459"/>
      <c r="EW62" s="459"/>
      <c r="EX62" s="459"/>
      <c r="EY62" s="459"/>
      <c r="EZ62" s="459"/>
      <c r="FA62" s="459"/>
      <c r="FB62" s="459"/>
      <c r="FC62" s="459"/>
      <c r="FD62" s="459"/>
      <c r="FE62" s="459"/>
      <c r="FF62" s="459"/>
      <c r="FG62" s="459"/>
      <c r="FH62" s="459"/>
      <c r="FI62" s="459"/>
      <c r="FJ62" s="459"/>
      <c r="FK62" s="459"/>
      <c r="FL62" s="459"/>
      <c r="FM62" s="459"/>
      <c r="FN62" s="459"/>
      <c r="FO62" s="459"/>
      <c r="FP62" s="459"/>
      <c r="FQ62" s="459"/>
      <c r="FR62" s="459"/>
      <c r="FS62" s="459"/>
      <c r="FT62" s="459"/>
      <c r="FU62" s="459"/>
      <c r="FV62" s="459"/>
      <c r="FW62" s="459"/>
      <c r="FX62" s="459"/>
      <c r="FY62" s="459"/>
      <c r="FZ62" s="459"/>
      <c r="GA62" s="459"/>
      <c r="GB62" s="459"/>
      <c r="GC62" s="459"/>
      <c r="GD62" s="459"/>
      <c r="GE62" s="459"/>
      <c r="GF62" s="459"/>
      <c r="GG62" s="459"/>
      <c r="GH62" s="459"/>
      <c r="GI62" s="459"/>
      <c r="GJ62" s="459"/>
      <c r="GK62" s="459"/>
      <c r="GL62" s="459"/>
      <c r="GM62" s="459"/>
      <c r="GN62" s="459"/>
      <c r="GO62" s="459"/>
      <c r="GP62" s="459"/>
      <c r="GQ62" s="459"/>
      <c r="GR62" s="459"/>
      <c r="GS62" s="459"/>
      <c r="GT62" s="459"/>
      <c r="GU62" s="459"/>
      <c r="GV62" s="459"/>
      <c r="GW62" s="459"/>
      <c r="GX62" s="459"/>
      <c r="GY62" s="459"/>
      <c r="GZ62" s="459"/>
      <c r="HA62" s="459"/>
      <c r="HB62" s="459"/>
      <c r="HC62" s="459"/>
      <c r="HD62" s="459"/>
      <c r="HE62" s="459"/>
      <c r="HF62" s="459"/>
      <c r="HG62" s="459"/>
      <c r="HH62" s="459"/>
      <c r="HI62" s="459"/>
      <c r="HJ62" s="459"/>
      <c r="HK62" s="459"/>
      <c r="HL62" s="459"/>
      <c r="HM62" s="459"/>
      <c r="HN62" s="459"/>
      <c r="HO62" s="459"/>
      <c r="HP62" s="459"/>
      <c r="HQ62" s="459"/>
      <c r="HR62" s="459"/>
      <c r="HS62" s="459"/>
      <c r="HT62" s="459"/>
      <c r="HU62" s="459"/>
      <c r="HV62" s="459"/>
      <c r="HW62" s="459"/>
      <c r="HX62" s="459"/>
      <c r="HY62" s="459"/>
      <c r="HZ62" s="459"/>
      <c r="IA62" s="459"/>
      <c r="IB62" s="459"/>
      <c r="IC62" s="459"/>
      <c r="ID62" s="459"/>
      <c r="IE62" s="459"/>
      <c r="IF62" s="459"/>
      <c r="IG62" s="459"/>
      <c r="IH62" s="459"/>
      <c r="II62" s="459"/>
      <c r="IJ62" s="459"/>
      <c r="IK62" s="459"/>
      <c r="IL62" s="459"/>
      <c r="IM62" s="459"/>
      <c r="IN62" s="459"/>
      <c r="IO62" s="459"/>
      <c r="IP62" s="459"/>
      <c r="IQ62" s="459"/>
      <c r="IR62" s="459"/>
      <c r="IS62" s="459"/>
      <c r="IT62" s="459"/>
      <c r="IU62" s="459"/>
      <c r="IV62" s="459"/>
      <c r="IW62" s="459"/>
      <c r="IX62" s="459"/>
      <c r="IY62" s="459"/>
      <c r="IZ62" s="459"/>
      <c r="JA62" s="459"/>
      <c r="JB62" s="459"/>
      <c r="JC62" s="459"/>
      <c r="JD62" s="459"/>
      <c r="JE62" s="459"/>
      <c r="JF62" s="459"/>
      <c r="JG62" s="459"/>
      <c r="JH62" s="459"/>
      <c r="JI62" s="459"/>
      <c r="JJ62" s="459"/>
      <c r="JK62" s="459"/>
      <c r="JL62" s="459"/>
      <c r="JM62" s="459"/>
      <c r="JN62" s="459"/>
      <c r="JO62" s="459"/>
      <c r="JP62" s="459"/>
      <c r="JQ62" s="459"/>
      <c r="JR62" s="459"/>
      <c r="JS62" s="459"/>
      <c r="JT62" s="459"/>
      <c r="JU62" s="459"/>
      <c r="JV62" s="459"/>
      <c r="JW62" s="459"/>
      <c r="JX62" s="459"/>
      <c r="JY62" s="459"/>
      <c r="JZ62" s="459"/>
      <c r="KA62" s="459"/>
      <c r="KB62" s="459"/>
      <c r="KC62" s="459"/>
      <c r="KD62" s="459"/>
      <c r="KE62" s="459"/>
      <c r="KF62" s="459"/>
      <c r="KG62" s="459"/>
      <c r="KH62" s="459"/>
      <c r="KI62" s="459"/>
      <c r="KJ62" s="459"/>
      <c r="KK62" s="459"/>
      <c r="KL62" s="459"/>
      <c r="KM62" s="459"/>
      <c r="KN62" s="459"/>
      <c r="KO62" s="459"/>
      <c r="KP62" s="459"/>
      <c r="KQ62" s="459"/>
      <c r="KR62" s="459"/>
      <c r="KS62" s="459"/>
      <c r="KT62" s="459"/>
      <c r="KU62" s="459"/>
      <c r="KV62" s="459"/>
      <c r="KW62" s="459"/>
      <c r="KX62" s="459"/>
      <c r="KY62" s="459"/>
      <c r="KZ62" s="459"/>
      <c r="LA62" s="459"/>
      <c r="LB62" s="459"/>
      <c r="LC62" s="459"/>
      <c r="LD62" s="459"/>
      <c r="LE62" s="459"/>
      <c r="LF62" s="459"/>
      <c r="LG62" s="459"/>
      <c r="LH62" s="459"/>
      <c r="LI62" s="459"/>
      <c r="LJ62" s="459"/>
      <c r="LK62" s="459"/>
      <c r="LL62" s="459"/>
      <c r="LM62" s="459"/>
      <c r="LN62" s="459"/>
      <c r="LO62" s="459"/>
      <c r="LP62" s="459"/>
      <c r="LQ62" s="459"/>
      <c r="LR62" s="459"/>
      <c r="LS62" s="459"/>
      <c r="LT62" s="459"/>
      <c r="LU62" s="459"/>
      <c r="LV62" s="459"/>
      <c r="LW62" s="459"/>
      <c r="LX62" s="459"/>
      <c r="LY62" s="459"/>
      <c r="LZ62" s="459"/>
      <c r="MA62" s="459"/>
      <c r="MB62" s="459"/>
      <c r="MC62" s="459"/>
      <c r="MD62" s="459"/>
      <c r="ME62" s="459"/>
      <c r="MF62" s="459"/>
      <c r="MG62" s="459"/>
      <c r="MH62" s="459"/>
      <c r="MI62" s="459"/>
      <c r="MJ62" s="459"/>
      <c r="MK62" s="459"/>
      <c r="ML62" s="459"/>
      <c r="MM62" s="459"/>
      <c r="MN62" s="459"/>
      <c r="MO62" s="459"/>
      <c r="MP62" s="459"/>
      <c r="MQ62" s="459"/>
      <c r="MR62" s="459"/>
      <c r="MS62" s="459"/>
      <c r="MT62" s="459"/>
      <c r="MU62" s="459"/>
      <c r="MV62" s="459"/>
      <c r="MW62" s="459"/>
      <c r="MX62" s="459"/>
      <c r="MY62" s="459"/>
      <c r="MZ62" s="459"/>
      <c r="NA62" s="459"/>
      <c r="NB62" s="459"/>
      <c r="NC62" s="459"/>
      <c r="ND62" s="459"/>
      <c r="NE62" s="459"/>
      <c r="NF62" s="459"/>
      <c r="NG62" s="459"/>
      <c r="NH62" s="459"/>
      <c r="NI62" s="459"/>
      <c r="NJ62" s="459"/>
      <c r="NK62" s="459"/>
      <c r="NL62" s="459"/>
      <c r="NM62" s="459"/>
      <c r="NN62" s="459"/>
      <c r="NO62" s="459"/>
      <c r="NP62" s="459"/>
      <c r="NQ62" s="459"/>
      <c r="NR62" s="459"/>
      <c r="NS62" s="459"/>
      <c r="NT62" s="459"/>
      <c r="NU62" s="459"/>
      <c r="NV62" s="459"/>
      <c r="NW62" s="459"/>
      <c r="NX62" s="459"/>
      <c r="NY62" s="459"/>
      <c r="NZ62" s="459"/>
      <c r="OA62" s="459"/>
      <c r="OB62" s="459"/>
      <c r="OC62" s="459"/>
      <c r="OD62" s="459"/>
      <c r="OE62" s="459"/>
      <c r="OF62" s="459"/>
      <c r="OG62" s="459"/>
      <c r="OH62" s="459"/>
      <c r="OI62" s="459"/>
      <c r="OJ62" s="459"/>
      <c r="OK62" s="459"/>
      <c r="OL62" s="459"/>
      <c r="OM62" s="459"/>
      <c r="ON62" s="459"/>
      <c r="OO62" s="459"/>
      <c r="OP62" s="459"/>
      <c r="OQ62" s="459"/>
      <c r="OR62" s="459"/>
      <c r="OS62" s="459"/>
      <c r="OT62" s="459"/>
      <c r="OU62" s="459"/>
      <c r="OV62" s="459"/>
      <c r="OW62" s="459"/>
      <c r="OX62" s="459"/>
      <c r="OY62" s="459"/>
      <c r="OZ62" s="459"/>
      <c r="PA62" s="459"/>
      <c r="PB62" s="459"/>
      <c r="PC62" s="459"/>
      <c r="PD62" s="459"/>
      <c r="PE62" s="459"/>
      <c r="PF62" s="459"/>
      <c r="PG62" s="459"/>
      <c r="PH62" s="459"/>
      <c r="PI62" s="459"/>
      <c r="PJ62" s="459"/>
      <c r="PK62" s="459"/>
      <c r="PL62" s="459"/>
      <c r="PM62" s="459"/>
      <c r="PN62" s="459"/>
      <c r="PO62" s="459"/>
      <c r="PP62" s="459"/>
      <c r="PQ62" s="459"/>
      <c r="PR62" s="459"/>
      <c r="PS62" s="459"/>
      <c r="PT62" s="459"/>
      <c r="PU62" s="459"/>
      <c r="PV62" s="459"/>
      <c r="PW62" s="459"/>
      <c r="PX62" s="459"/>
      <c r="PY62" s="459"/>
      <c r="PZ62" s="459"/>
      <c r="QA62" s="459"/>
      <c r="QB62" s="459"/>
      <c r="QC62" s="459"/>
      <c r="QD62" s="459"/>
      <c r="QE62" s="459"/>
      <c r="QF62" s="459"/>
      <c r="QG62" s="459"/>
      <c r="QH62" s="459"/>
      <c r="QI62" s="459"/>
      <c r="QJ62" s="459"/>
      <c r="QK62" s="459"/>
      <c r="QL62" s="459"/>
      <c r="QM62" s="459"/>
      <c r="QN62" s="459"/>
      <c r="QO62" s="459"/>
      <c r="QP62" s="459"/>
      <c r="QQ62" s="459"/>
      <c r="QR62" s="459"/>
      <c r="QS62" s="459"/>
      <c r="QT62" s="459"/>
      <c r="QU62" s="459"/>
      <c r="QV62" s="459"/>
      <c r="QW62" s="459"/>
      <c r="QX62" s="459"/>
      <c r="QY62" s="459"/>
      <c r="QZ62" s="459"/>
      <c r="RA62" s="459"/>
      <c r="RB62" s="459"/>
      <c r="RC62" s="459"/>
      <c r="RD62" s="459"/>
      <c r="RE62" s="459"/>
      <c r="RF62" s="459"/>
      <c r="RG62" s="459"/>
      <c r="RH62" s="459"/>
      <c r="RI62" s="459"/>
      <c r="RJ62" s="459"/>
      <c r="RK62" s="459"/>
      <c r="RL62" s="459"/>
      <c r="RM62" s="459"/>
      <c r="RN62" s="459"/>
      <c r="RO62" s="459"/>
      <c r="RP62" s="459"/>
      <c r="RQ62" s="459"/>
      <c r="RR62" s="459"/>
      <c r="RS62" s="459"/>
      <c r="RT62" s="459"/>
      <c r="RU62" s="459"/>
      <c r="RV62" s="459"/>
      <c r="RW62" s="459"/>
      <c r="RX62" s="459"/>
      <c r="RY62" s="459"/>
      <c r="RZ62" s="459"/>
      <c r="SA62" s="459"/>
      <c r="SB62" s="459"/>
      <c r="SC62" s="459"/>
      <c r="SD62" s="459"/>
      <c r="SE62" s="459"/>
      <c r="SF62" s="459"/>
      <c r="SG62" s="459"/>
      <c r="SH62" s="459"/>
      <c r="SI62" s="459"/>
      <c r="SJ62" s="459"/>
      <c r="SK62" s="459"/>
      <c r="SL62" s="459"/>
      <c r="SM62" s="459"/>
      <c r="SN62" s="459"/>
      <c r="SO62" s="459"/>
      <c r="SP62" s="459"/>
      <c r="SQ62" s="459"/>
      <c r="SR62" s="459"/>
      <c r="SS62" s="459"/>
      <c r="ST62" s="459"/>
      <c r="SU62" s="459"/>
      <c r="SV62" s="459"/>
      <c r="SW62" s="459"/>
      <c r="SX62" s="459"/>
      <c r="SY62" s="459"/>
      <c r="SZ62" s="459"/>
      <c r="TA62" s="459"/>
      <c r="TB62" s="459"/>
      <c r="TC62" s="459"/>
      <c r="TD62" s="459"/>
      <c r="TE62" s="459"/>
      <c r="TF62" s="459"/>
      <c r="TG62" s="459"/>
      <c r="TH62" s="459"/>
      <c r="TI62" s="459"/>
      <c r="TJ62" s="459"/>
      <c r="TK62" s="459"/>
      <c r="TL62" s="459"/>
      <c r="TM62" s="459"/>
      <c r="TN62" s="459"/>
      <c r="TO62" s="459"/>
      <c r="TP62" s="459"/>
      <c r="TQ62" s="459"/>
      <c r="TR62" s="459"/>
      <c r="TS62" s="459"/>
      <c r="TT62" s="459"/>
      <c r="TU62" s="459"/>
      <c r="TV62" s="459"/>
      <c r="TW62" s="459"/>
      <c r="TX62" s="459"/>
      <c r="TY62" s="459"/>
      <c r="TZ62" s="459"/>
      <c r="UA62" s="459"/>
      <c r="UB62" s="459"/>
      <c r="UC62" s="459"/>
      <c r="UD62" s="459"/>
      <c r="UE62" s="459"/>
      <c r="UF62" s="459"/>
      <c r="UG62" s="459"/>
      <c r="UH62" s="459"/>
      <c r="UI62" s="459"/>
      <c r="UJ62" s="459"/>
      <c r="UK62" s="459"/>
      <c r="UL62" s="459"/>
      <c r="UM62" s="459"/>
      <c r="UN62" s="459"/>
      <c r="UO62" s="459"/>
      <c r="UP62" s="459"/>
      <c r="UQ62" s="459"/>
      <c r="UR62" s="459"/>
      <c r="US62" s="459"/>
      <c r="UT62" s="459"/>
      <c r="UU62" s="459"/>
      <c r="UV62" s="459"/>
      <c r="UW62" s="459"/>
      <c r="UX62" s="459"/>
      <c r="UY62" s="459"/>
      <c r="UZ62" s="459"/>
      <c r="VA62" s="459"/>
      <c r="VB62" s="459"/>
      <c r="VC62" s="459"/>
      <c r="VD62" s="459"/>
      <c r="VE62" s="459"/>
      <c r="VF62" s="459"/>
      <c r="VG62" s="459"/>
      <c r="VH62" s="459"/>
      <c r="VI62" s="459"/>
      <c r="VJ62" s="459"/>
      <c r="VK62" s="459"/>
      <c r="VL62" s="459"/>
      <c r="VM62" s="459"/>
      <c r="VN62" s="459"/>
      <c r="VO62" s="459"/>
      <c r="VP62" s="459"/>
      <c r="VQ62" s="459"/>
      <c r="VR62" s="459"/>
      <c r="VS62" s="459"/>
      <c r="VT62" s="459"/>
      <c r="VU62" s="459"/>
      <c r="VV62" s="459"/>
      <c r="VW62" s="459"/>
      <c r="VX62" s="459"/>
      <c r="VY62" s="459"/>
      <c r="VZ62" s="459"/>
      <c r="WA62" s="459"/>
      <c r="WB62" s="459"/>
      <c r="WC62" s="459"/>
      <c r="WD62" s="459"/>
      <c r="WE62" s="459"/>
      <c r="WF62" s="459"/>
      <c r="WG62" s="459"/>
      <c r="WH62" s="459"/>
      <c r="WI62" s="459"/>
      <c r="WJ62" s="459"/>
      <c r="WK62" s="459"/>
      <c r="WL62" s="459"/>
      <c r="WM62" s="459"/>
      <c r="WN62" s="459"/>
      <c r="WO62" s="459"/>
      <c r="WP62" s="459"/>
      <c r="WQ62" s="459"/>
      <c r="WR62" s="459"/>
      <c r="WS62" s="459"/>
      <c r="WT62" s="459"/>
      <c r="WU62" s="459"/>
      <c r="WV62" s="459"/>
      <c r="WW62" s="459"/>
      <c r="WX62" s="459"/>
      <c r="WY62" s="459"/>
      <c r="WZ62" s="459"/>
      <c r="XA62" s="459"/>
      <c r="XB62" s="459"/>
      <c r="XC62" s="459"/>
      <c r="XD62" s="459"/>
      <c r="XE62" s="459"/>
      <c r="XF62" s="459"/>
      <c r="XG62" s="459"/>
      <c r="XH62" s="459"/>
      <c r="XI62" s="459"/>
      <c r="XJ62" s="459"/>
      <c r="XK62" s="459"/>
      <c r="XL62" s="459"/>
      <c r="XM62" s="459"/>
      <c r="XN62" s="459"/>
      <c r="XO62" s="459"/>
      <c r="XP62" s="459"/>
      <c r="XQ62" s="459"/>
      <c r="XR62" s="459"/>
      <c r="XS62" s="459"/>
      <c r="XT62" s="459"/>
      <c r="XU62" s="459"/>
      <c r="XV62" s="459"/>
      <c r="XW62" s="459"/>
      <c r="XX62" s="459"/>
      <c r="XY62" s="459"/>
      <c r="XZ62" s="459"/>
      <c r="YA62" s="459"/>
      <c r="YB62" s="459"/>
      <c r="YC62" s="459"/>
      <c r="YD62" s="459"/>
      <c r="YE62" s="459"/>
      <c r="YF62" s="459"/>
      <c r="YG62" s="459"/>
      <c r="YH62" s="459"/>
      <c r="YI62" s="459"/>
      <c r="YJ62" s="459"/>
      <c r="YK62" s="459"/>
      <c r="YL62" s="459"/>
      <c r="YM62" s="459"/>
      <c r="YN62" s="459"/>
      <c r="YO62" s="459"/>
      <c r="YP62" s="459"/>
      <c r="YQ62" s="459"/>
      <c r="YR62" s="459"/>
      <c r="YS62" s="459"/>
      <c r="YT62" s="459"/>
      <c r="YU62" s="459"/>
      <c r="YV62" s="459"/>
      <c r="YW62" s="459"/>
      <c r="YX62" s="459"/>
      <c r="YY62" s="459"/>
      <c r="YZ62" s="459"/>
      <c r="ZA62" s="459"/>
      <c r="ZB62" s="459"/>
      <c r="ZC62" s="459"/>
      <c r="ZD62" s="459"/>
      <c r="ZE62" s="459"/>
      <c r="ZF62" s="459"/>
      <c r="ZG62" s="459"/>
      <c r="ZH62" s="459"/>
      <c r="ZI62" s="459"/>
      <c r="ZJ62" s="459"/>
      <c r="ZK62" s="459"/>
      <c r="ZL62" s="459"/>
      <c r="ZM62" s="459"/>
      <c r="ZN62" s="459"/>
      <c r="ZO62" s="459"/>
      <c r="ZP62" s="459"/>
      <c r="ZQ62" s="459"/>
      <c r="ZR62" s="459"/>
      <c r="ZS62" s="459"/>
      <c r="ZT62" s="459"/>
      <c r="ZU62" s="459"/>
      <c r="ZV62" s="459"/>
      <c r="ZW62" s="459"/>
      <c r="ZX62" s="459"/>
      <c r="ZY62" s="459"/>
      <c r="ZZ62" s="459"/>
      <c r="AAA62" s="459"/>
      <c r="AAB62" s="459"/>
      <c r="AAC62" s="459"/>
      <c r="AAD62" s="459"/>
      <c r="AAE62" s="459"/>
      <c r="AAF62" s="459"/>
      <c r="AAG62" s="459"/>
      <c r="AAH62" s="459"/>
      <c r="AAI62" s="459"/>
      <c r="AAJ62" s="459"/>
      <c r="AAK62" s="459"/>
      <c r="AAL62" s="459"/>
      <c r="AAM62" s="459"/>
      <c r="AAN62" s="459"/>
      <c r="AAO62" s="459"/>
      <c r="AAP62" s="459"/>
      <c r="AAQ62" s="459"/>
      <c r="AAR62" s="459"/>
      <c r="AAS62" s="459"/>
      <c r="AAT62" s="459"/>
      <c r="AAU62" s="459"/>
      <c r="AAV62" s="459"/>
      <c r="AAW62" s="459"/>
      <c r="AAX62" s="459"/>
      <c r="AAY62" s="459"/>
      <c r="AAZ62" s="459"/>
      <c r="ABA62" s="459"/>
      <c r="ABB62" s="459"/>
      <c r="ABC62" s="459"/>
      <c r="ABD62" s="459"/>
      <c r="ABE62" s="459"/>
      <c r="ABF62" s="459"/>
      <c r="ABG62" s="459"/>
      <c r="ABH62" s="459"/>
      <c r="ABI62" s="459"/>
      <c r="ABJ62" s="459"/>
      <c r="ABK62" s="459"/>
      <c r="ABL62" s="459"/>
      <c r="ABM62" s="459"/>
      <c r="ABN62" s="459"/>
      <c r="ABO62" s="459"/>
      <c r="ABP62" s="459"/>
      <c r="ABQ62" s="459"/>
      <c r="ABR62" s="459"/>
      <c r="ABS62" s="459"/>
      <c r="ABT62" s="459"/>
      <c r="ABU62" s="459"/>
      <c r="ABV62" s="459"/>
      <c r="ABW62" s="459"/>
      <c r="ABX62" s="459"/>
      <c r="ABY62" s="459"/>
      <c r="ABZ62" s="459"/>
      <c r="ACA62" s="459"/>
      <c r="ACB62" s="459"/>
      <c r="ACC62" s="459"/>
      <c r="ACD62" s="459"/>
      <c r="ACE62" s="459"/>
      <c r="ACF62" s="459"/>
      <c r="ACG62" s="459"/>
      <c r="ACH62" s="459"/>
      <c r="ACI62" s="459"/>
      <c r="ACJ62" s="459"/>
      <c r="ACK62" s="459"/>
      <c r="ACL62" s="459"/>
      <c r="ACM62" s="459"/>
      <c r="ACN62" s="459"/>
      <c r="ACO62" s="459"/>
      <c r="ACP62" s="459"/>
      <c r="ACQ62" s="459"/>
      <c r="ACR62" s="459"/>
      <c r="ACS62" s="459"/>
      <c r="ACT62" s="459"/>
      <c r="ACU62" s="459"/>
      <c r="ACV62" s="459"/>
      <c r="ACW62" s="459"/>
      <c r="ACX62" s="459"/>
      <c r="ACY62" s="459"/>
      <c r="ACZ62" s="459"/>
      <c r="ADA62" s="459"/>
      <c r="ADB62" s="459"/>
      <c r="ADC62" s="459"/>
      <c r="ADD62" s="459"/>
      <c r="ADE62" s="459"/>
      <c r="ADF62" s="459"/>
      <c r="ADG62" s="459"/>
      <c r="ADH62" s="459"/>
      <c r="ADI62" s="459"/>
      <c r="ADJ62" s="459"/>
      <c r="ADK62" s="459"/>
      <c r="ADL62" s="459"/>
      <c r="ADM62" s="459"/>
      <c r="ADN62" s="459"/>
      <c r="ADO62" s="459"/>
      <c r="ADP62" s="459"/>
      <c r="ADQ62" s="459"/>
      <c r="ADR62" s="459"/>
      <c r="ADS62" s="459"/>
      <c r="ADT62" s="459"/>
      <c r="ADU62" s="459"/>
      <c r="ADV62" s="459"/>
      <c r="ADW62" s="459"/>
      <c r="ADX62" s="459"/>
      <c r="ADY62" s="459"/>
      <c r="ADZ62" s="459"/>
      <c r="AEA62" s="459"/>
      <c r="AEB62" s="459"/>
      <c r="AEC62" s="459"/>
      <c r="AED62" s="459"/>
      <c r="AEE62" s="459"/>
      <c r="AEF62" s="459"/>
      <c r="AEG62" s="459"/>
      <c r="AEH62" s="459"/>
      <c r="AEI62" s="459"/>
      <c r="AEJ62" s="459"/>
      <c r="AEK62" s="459"/>
      <c r="AEL62" s="459"/>
      <c r="AEM62" s="459"/>
      <c r="AEN62" s="459"/>
      <c r="AEO62" s="459"/>
      <c r="AEP62" s="459"/>
      <c r="AEQ62" s="459"/>
      <c r="AER62" s="459"/>
      <c r="AES62" s="459"/>
      <c r="AET62" s="459"/>
      <c r="AEU62" s="459"/>
      <c r="AEV62" s="459"/>
      <c r="AEW62" s="459"/>
      <c r="AEX62" s="459"/>
      <c r="AEY62" s="459"/>
      <c r="AEZ62" s="459"/>
      <c r="AFA62" s="459"/>
      <c r="AFB62" s="459"/>
      <c r="AFC62" s="459"/>
      <c r="AFD62" s="459"/>
      <c r="AFE62" s="459"/>
      <c r="AFF62" s="459"/>
      <c r="AFG62" s="459"/>
      <c r="AFH62" s="459"/>
      <c r="AFI62" s="459"/>
      <c r="AFJ62" s="459"/>
      <c r="AFK62" s="459"/>
      <c r="AFL62" s="459"/>
      <c r="AFM62" s="459"/>
      <c r="AFN62" s="459"/>
      <c r="AFO62" s="459"/>
      <c r="AFP62" s="459"/>
      <c r="AFQ62" s="459"/>
      <c r="AFR62" s="459"/>
      <c r="AFS62" s="459"/>
      <c r="AFT62" s="459"/>
      <c r="AFU62" s="459"/>
      <c r="AFV62" s="459"/>
      <c r="AFW62" s="459"/>
      <c r="AFX62" s="459"/>
      <c r="AFY62" s="459"/>
      <c r="AFZ62" s="459"/>
      <c r="AGA62" s="459"/>
      <c r="AGB62" s="459"/>
      <c r="AGC62" s="459"/>
      <c r="AGD62" s="459"/>
      <c r="AGE62" s="459"/>
      <c r="AGF62" s="459"/>
      <c r="AGG62" s="459"/>
      <c r="AGH62" s="459"/>
      <c r="AGI62" s="459"/>
      <c r="AGJ62" s="459"/>
      <c r="AGK62" s="459"/>
      <c r="AGL62" s="459"/>
      <c r="AGM62" s="459"/>
      <c r="AGN62" s="459"/>
      <c r="AGO62" s="459"/>
      <c r="AGP62" s="459"/>
      <c r="AGQ62" s="459"/>
      <c r="AGR62" s="459"/>
      <c r="AGS62" s="459"/>
      <c r="AGT62" s="459"/>
      <c r="AGU62" s="459"/>
      <c r="AGV62" s="459"/>
      <c r="AGW62" s="459"/>
      <c r="AGX62" s="459"/>
      <c r="AGY62" s="459"/>
      <c r="AGZ62" s="459"/>
      <c r="AHA62" s="459"/>
      <c r="AHB62" s="459"/>
      <c r="AHC62" s="459"/>
      <c r="AHD62" s="459"/>
      <c r="AHE62" s="459"/>
      <c r="AHF62" s="459"/>
      <c r="AHG62" s="459"/>
      <c r="AHH62" s="459"/>
      <c r="AHI62" s="459"/>
      <c r="AHJ62" s="459"/>
      <c r="AHK62" s="459"/>
      <c r="AHL62" s="459"/>
      <c r="AHM62" s="459"/>
      <c r="AHN62" s="459"/>
      <c r="AHO62" s="459"/>
      <c r="AHP62" s="459"/>
      <c r="AHQ62" s="459"/>
      <c r="AHR62" s="459"/>
      <c r="AHS62" s="459"/>
      <c r="AHT62" s="459"/>
      <c r="AHU62" s="459"/>
      <c r="AHV62" s="459"/>
      <c r="AHW62" s="459"/>
      <c r="AHX62" s="459"/>
      <c r="AHY62" s="459"/>
      <c r="AHZ62" s="459"/>
      <c r="AIA62" s="459"/>
      <c r="AIB62" s="459"/>
      <c r="AIC62" s="459"/>
      <c r="AID62" s="459"/>
      <c r="AIE62" s="459"/>
      <c r="AIF62" s="459"/>
      <c r="AIG62" s="459"/>
      <c r="AIH62" s="459"/>
      <c r="AII62" s="459"/>
      <c r="AIJ62" s="459"/>
      <c r="AIK62" s="459"/>
      <c r="AIL62" s="459"/>
      <c r="AIM62" s="459"/>
      <c r="AIN62" s="459"/>
      <c r="AIO62" s="459"/>
      <c r="AIP62" s="459"/>
      <c r="AIQ62" s="459"/>
      <c r="AIR62" s="459"/>
      <c r="AIS62" s="459"/>
      <c r="AIT62" s="459"/>
      <c r="AIU62" s="459"/>
      <c r="AIV62" s="459"/>
      <c r="AIW62" s="459"/>
      <c r="AIX62" s="459"/>
      <c r="AIY62" s="459"/>
      <c r="AIZ62" s="459"/>
      <c r="AJA62" s="459"/>
      <c r="AJB62" s="459"/>
      <c r="AJC62" s="459"/>
      <c r="AJD62" s="459"/>
      <c r="AJE62" s="459"/>
      <c r="AJF62" s="459"/>
      <c r="AJG62" s="459"/>
      <c r="AJH62" s="459"/>
      <c r="AJI62" s="459"/>
      <c r="AJJ62" s="459"/>
      <c r="AJK62" s="459"/>
      <c r="AJL62" s="459"/>
      <c r="AJM62" s="459"/>
      <c r="AJN62" s="459"/>
      <c r="AJO62" s="459"/>
      <c r="AJP62" s="459"/>
      <c r="AJQ62" s="459"/>
      <c r="AJR62" s="459"/>
      <c r="AJS62" s="459"/>
      <c r="AJT62" s="459"/>
      <c r="AJU62" s="459"/>
      <c r="AJV62" s="459"/>
      <c r="AJW62" s="459"/>
      <c r="AJX62" s="459"/>
      <c r="AJY62" s="459"/>
      <c r="AJZ62" s="459"/>
      <c r="AKA62" s="459"/>
      <c r="AKB62" s="459"/>
      <c r="AKC62" s="459"/>
      <c r="AKD62" s="459"/>
      <c r="AKE62" s="459"/>
      <c r="AKF62" s="459"/>
      <c r="AKG62" s="459"/>
      <c r="AKH62" s="459"/>
      <c r="AKI62" s="459"/>
      <c r="AKJ62" s="459"/>
      <c r="AKK62" s="459"/>
      <c r="AKL62" s="459"/>
      <c r="AKM62" s="459"/>
      <c r="AKN62" s="459"/>
      <c r="AKO62" s="459"/>
      <c r="AKP62" s="459"/>
      <c r="AKQ62" s="459"/>
      <c r="AKR62" s="459"/>
      <c r="AKS62" s="459"/>
      <c r="AKT62" s="459"/>
      <c r="AKU62" s="459"/>
      <c r="AKV62" s="459"/>
      <c r="AKW62" s="459"/>
      <c r="AKX62" s="459"/>
      <c r="AKY62" s="459"/>
      <c r="AKZ62" s="459"/>
      <c r="ALA62" s="459"/>
      <c r="ALB62" s="459"/>
      <c r="ALC62" s="459"/>
      <c r="ALD62" s="459"/>
      <c r="ALE62" s="459"/>
      <c r="ALF62" s="459"/>
      <c r="ALG62" s="459"/>
      <c r="ALH62" s="459"/>
      <c r="ALI62" s="459"/>
      <c r="ALJ62" s="459"/>
      <c r="ALK62" s="459"/>
      <c r="ALL62" s="459"/>
      <c r="ALM62" s="459"/>
      <c r="ALN62" s="459"/>
      <c r="ALO62" s="459"/>
      <c r="ALP62" s="459"/>
      <c r="ALQ62" s="459"/>
      <c r="ALR62" s="459"/>
      <c r="ALS62" s="459"/>
      <c r="ALT62" s="459"/>
      <c r="ALU62" s="459"/>
      <c r="ALV62" s="459"/>
      <c r="ALW62" s="459"/>
      <c r="ALX62" s="459"/>
      <c r="ALY62" s="459"/>
      <c r="ALZ62" s="459"/>
      <c r="AMA62" s="459"/>
      <c r="AMB62" s="459"/>
      <c r="AMC62" s="459"/>
      <c r="AMD62" s="459"/>
      <c r="AME62" s="459"/>
      <c r="AMF62" s="459"/>
      <c r="AMG62" s="459"/>
      <c r="AMH62" s="459"/>
      <c r="AMI62" s="459"/>
      <c r="AMJ62" s="459"/>
      <c r="AMK62" s="459"/>
      <c r="AML62" s="459"/>
      <c r="AMM62" s="459"/>
      <c r="AMN62" s="459"/>
      <c r="AMO62" s="459"/>
      <c r="AMP62" s="459"/>
      <c r="AMQ62" s="459"/>
      <c r="AMR62" s="459"/>
      <c r="AMS62" s="459"/>
      <c r="AMT62" s="459"/>
      <c r="AMU62" s="459"/>
      <c r="AMV62" s="459"/>
      <c r="AMW62" s="459"/>
      <c r="AMX62" s="459"/>
      <c r="AMY62" s="459"/>
      <c r="AMZ62" s="459"/>
      <c r="ANA62" s="459"/>
      <c r="ANB62" s="459"/>
      <c r="ANC62" s="459"/>
      <c r="AND62" s="459"/>
      <c r="ANE62" s="459"/>
      <c r="ANF62" s="459"/>
      <c r="ANG62" s="459"/>
      <c r="ANH62" s="459"/>
      <c r="ANI62" s="459"/>
      <c r="ANJ62" s="459"/>
      <c r="ANK62" s="459"/>
      <c r="ANL62" s="459"/>
      <c r="ANM62" s="459"/>
      <c r="ANN62" s="459"/>
      <c r="ANO62" s="459"/>
      <c r="ANP62" s="459"/>
      <c r="ANQ62" s="459"/>
      <c r="ANR62" s="459"/>
      <c r="ANS62" s="459"/>
      <c r="ANT62" s="459"/>
      <c r="ANU62" s="459"/>
      <c r="ANV62" s="459"/>
      <c r="ANW62" s="459"/>
      <c r="ANX62" s="459"/>
      <c r="ANY62" s="459"/>
      <c r="ANZ62" s="459"/>
      <c r="AOA62" s="459"/>
      <c r="AOB62" s="459"/>
      <c r="AOC62" s="459"/>
      <c r="AOD62" s="459"/>
      <c r="AOE62" s="459"/>
      <c r="AOF62" s="459"/>
      <c r="AOG62" s="459"/>
      <c r="AOH62" s="459"/>
      <c r="AOI62" s="459"/>
      <c r="AOJ62" s="459"/>
      <c r="AOK62" s="459"/>
      <c r="AOL62" s="459"/>
      <c r="AOM62" s="459"/>
      <c r="AON62" s="459"/>
      <c r="AOO62" s="459"/>
      <c r="AOP62" s="459"/>
      <c r="AOQ62" s="459"/>
      <c r="AOR62" s="459"/>
      <c r="AOS62" s="459"/>
      <c r="AOT62" s="459"/>
      <c r="AOU62" s="459"/>
      <c r="AOV62" s="459"/>
      <c r="AOW62" s="459"/>
      <c r="AOX62" s="459"/>
      <c r="AOY62" s="459"/>
      <c r="AOZ62" s="459"/>
      <c r="APA62" s="459"/>
      <c r="APB62" s="459"/>
      <c r="APC62" s="459"/>
      <c r="APD62" s="459"/>
      <c r="APE62" s="459"/>
      <c r="APF62" s="459"/>
      <c r="APG62" s="459"/>
      <c r="APH62" s="459"/>
      <c r="API62" s="459"/>
      <c r="APJ62" s="459"/>
      <c r="APK62" s="459"/>
      <c r="APL62" s="459"/>
      <c r="APM62" s="459"/>
      <c r="APN62" s="459"/>
      <c r="APO62" s="459"/>
      <c r="APP62" s="459"/>
      <c r="APQ62" s="459"/>
      <c r="APR62" s="459"/>
      <c r="APS62" s="459"/>
      <c r="APT62" s="459"/>
      <c r="APU62" s="459"/>
      <c r="APV62" s="459"/>
      <c r="APW62" s="459"/>
      <c r="APX62" s="459"/>
      <c r="APY62" s="459"/>
      <c r="APZ62" s="459"/>
      <c r="AQA62" s="459"/>
      <c r="AQB62" s="459"/>
      <c r="AQC62" s="459"/>
      <c r="AQD62" s="459"/>
      <c r="AQE62" s="459"/>
      <c r="AQF62" s="459"/>
      <c r="AQG62" s="459"/>
      <c r="AQH62" s="459"/>
      <c r="AQI62" s="459"/>
      <c r="AQJ62" s="459"/>
      <c r="AQK62" s="459"/>
      <c r="AQL62" s="459"/>
      <c r="AQM62" s="459"/>
      <c r="AQN62" s="459"/>
      <c r="AQO62" s="459"/>
      <c r="AQP62" s="459"/>
      <c r="AQQ62" s="459"/>
      <c r="AQR62" s="459"/>
      <c r="AQS62" s="459"/>
      <c r="AQT62" s="459"/>
      <c r="AQU62" s="459"/>
      <c r="AQV62" s="459"/>
      <c r="AQW62" s="459"/>
      <c r="AQX62" s="459"/>
      <c r="AQY62" s="459"/>
      <c r="AQZ62" s="459"/>
      <c r="ARA62" s="459"/>
      <c r="ARB62" s="459"/>
      <c r="ARC62" s="459"/>
      <c r="ARD62" s="459"/>
      <c r="ARE62" s="459"/>
      <c r="ARF62" s="459"/>
      <c r="ARG62" s="459"/>
      <c r="ARH62" s="459"/>
      <c r="ARI62" s="459"/>
      <c r="ARJ62" s="459"/>
      <c r="ARK62" s="459"/>
      <c r="ARL62" s="459"/>
      <c r="ARM62" s="459"/>
      <c r="ARN62" s="459"/>
      <c r="ARO62" s="459"/>
      <c r="ARP62" s="459"/>
      <c r="ARQ62" s="459"/>
      <c r="ARR62" s="459"/>
      <c r="ARS62" s="459"/>
      <c r="ART62" s="459"/>
      <c r="ARU62" s="459"/>
      <c r="ARV62" s="459"/>
      <c r="ARW62" s="459"/>
      <c r="ARX62" s="459"/>
      <c r="ARY62" s="459"/>
      <c r="ARZ62" s="459"/>
      <c r="ASA62" s="459"/>
      <c r="ASB62" s="459"/>
      <c r="ASC62" s="459"/>
      <c r="ASD62" s="459"/>
      <c r="ASE62" s="459"/>
      <c r="ASF62" s="459"/>
      <c r="ASG62" s="459"/>
      <c r="ASH62" s="459"/>
      <c r="ASI62" s="459"/>
      <c r="ASJ62" s="459"/>
      <c r="ASK62" s="459"/>
      <c r="ASL62" s="459"/>
      <c r="ASM62" s="459"/>
      <c r="ASN62" s="459"/>
      <c r="ASO62" s="459"/>
      <c r="ASP62" s="459"/>
      <c r="ASQ62" s="459"/>
      <c r="ASR62" s="459"/>
      <c r="ASS62" s="459"/>
      <c r="AST62" s="459"/>
      <c r="ASU62" s="459"/>
      <c r="ASV62" s="459"/>
      <c r="ASW62" s="459"/>
      <c r="ASX62" s="459"/>
      <c r="ASY62" s="459"/>
      <c r="ASZ62" s="459"/>
      <c r="ATA62" s="459"/>
      <c r="ATB62" s="459"/>
      <c r="ATC62" s="459"/>
      <c r="ATD62" s="459"/>
      <c r="ATE62" s="459"/>
      <c r="ATF62" s="459"/>
      <c r="ATG62" s="459"/>
      <c r="ATH62" s="459"/>
      <c r="ATI62" s="459"/>
      <c r="ATJ62" s="459"/>
      <c r="ATK62" s="459"/>
      <c r="ATL62" s="459"/>
      <c r="ATM62" s="459"/>
      <c r="ATN62" s="459"/>
      <c r="ATO62" s="459"/>
      <c r="ATP62" s="459"/>
      <c r="ATQ62" s="459"/>
      <c r="ATR62" s="459"/>
      <c r="ATS62" s="459"/>
      <c r="ATT62" s="459"/>
      <c r="ATU62" s="459"/>
      <c r="ATV62" s="459"/>
      <c r="ATW62" s="459"/>
      <c r="ATX62" s="459"/>
      <c r="ATY62" s="459"/>
      <c r="ATZ62" s="459"/>
      <c r="AUA62" s="459"/>
      <c r="AUB62" s="459"/>
      <c r="AUC62" s="459"/>
      <c r="AUD62" s="459"/>
      <c r="AUE62" s="459"/>
      <c r="AUF62" s="459"/>
      <c r="AUG62" s="459"/>
      <c r="AUH62" s="459"/>
      <c r="AUI62" s="459"/>
      <c r="AUJ62" s="459"/>
      <c r="AUK62" s="459"/>
      <c r="AUL62" s="459"/>
      <c r="AUM62" s="459"/>
      <c r="AUN62" s="459"/>
      <c r="AUO62" s="459"/>
      <c r="AUP62" s="459"/>
      <c r="AUQ62" s="459"/>
      <c r="AUR62" s="459"/>
      <c r="AUS62" s="459"/>
      <c r="AUT62" s="459"/>
      <c r="AUU62" s="459"/>
      <c r="AUV62" s="459"/>
      <c r="AUW62" s="459"/>
      <c r="AUX62" s="459"/>
      <c r="AUY62" s="459"/>
      <c r="AUZ62" s="459"/>
      <c r="AVA62" s="459"/>
      <c r="AVB62" s="459"/>
      <c r="AVC62" s="459"/>
      <c r="AVD62" s="459"/>
      <c r="AVE62" s="459"/>
      <c r="AVF62" s="459"/>
      <c r="AVG62" s="459"/>
      <c r="AVH62" s="459"/>
      <c r="AVI62" s="459"/>
      <c r="AVJ62" s="459"/>
      <c r="AVK62" s="459"/>
      <c r="AVL62" s="459"/>
      <c r="AVM62" s="459"/>
      <c r="AVN62" s="459"/>
      <c r="AVO62" s="459"/>
      <c r="AVP62" s="459"/>
      <c r="AVQ62" s="459"/>
      <c r="AVR62" s="459"/>
      <c r="AVS62" s="459"/>
      <c r="AVT62" s="459"/>
      <c r="AVU62" s="459"/>
      <c r="AVV62" s="459"/>
      <c r="AVW62" s="459"/>
      <c r="AVX62" s="459"/>
      <c r="AVY62" s="459"/>
      <c r="AVZ62" s="459"/>
      <c r="AWA62" s="459"/>
      <c r="AWB62" s="459"/>
      <c r="AWC62" s="459"/>
      <c r="AWD62" s="459"/>
      <c r="AWE62" s="459"/>
      <c r="AWF62" s="459"/>
      <c r="AWG62" s="459"/>
      <c r="AWH62" s="459"/>
      <c r="AWI62" s="459"/>
      <c r="AWJ62" s="459"/>
      <c r="AWK62" s="459"/>
      <c r="AWL62" s="459"/>
      <c r="AWM62" s="459"/>
      <c r="AWN62" s="459"/>
      <c r="AWO62" s="459"/>
      <c r="AWP62" s="459"/>
      <c r="AWQ62" s="459"/>
      <c r="AWR62" s="459"/>
      <c r="AWS62" s="459"/>
      <c r="AWT62" s="459"/>
      <c r="AWU62" s="459"/>
      <c r="AWV62" s="459"/>
      <c r="AWW62" s="459"/>
      <c r="AWX62" s="459"/>
      <c r="AWY62" s="459"/>
      <c r="AWZ62" s="459"/>
      <c r="AXA62" s="459"/>
      <c r="AXB62" s="459"/>
      <c r="AXC62" s="459"/>
      <c r="AXD62" s="459"/>
      <c r="AXE62" s="459"/>
      <c r="AXF62" s="459"/>
      <c r="AXG62" s="459"/>
      <c r="AXH62" s="459"/>
      <c r="AXI62" s="459"/>
      <c r="AXJ62" s="459"/>
      <c r="AXK62" s="459"/>
      <c r="AXL62" s="459"/>
      <c r="AXM62" s="459"/>
      <c r="AXN62" s="459"/>
      <c r="AXO62" s="459"/>
      <c r="AXP62" s="459"/>
      <c r="AXQ62" s="459"/>
      <c r="AXR62" s="459"/>
      <c r="AXS62" s="459"/>
      <c r="AXT62" s="459"/>
      <c r="AXU62" s="459"/>
      <c r="AXV62" s="459"/>
      <c r="AXW62" s="459"/>
      <c r="AXX62" s="459"/>
      <c r="AXY62" s="459"/>
      <c r="AXZ62" s="459"/>
      <c r="AYA62" s="459"/>
      <c r="AYB62" s="459"/>
      <c r="AYC62" s="459"/>
      <c r="AYD62" s="459"/>
      <c r="AYE62" s="459"/>
      <c r="AYF62" s="459"/>
      <c r="AYG62" s="459"/>
      <c r="AYH62" s="459"/>
      <c r="AYI62" s="459"/>
      <c r="AYJ62" s="459"/>
      <c r="AYK62" s="459"/>
      <c r="AYL62" s="459"/>
      <c r="AYM62" s="459"/>
      <c r="AYN62" s="459"/>
      <c r="AYO62" s="459"/>
      <c r="AYP62" s="459"/>
      <c r="AYQ62" s="459"/>
      <c r="AYR62" s="459"/>
      <c r="AYS62" s="459"/>
      <c r="AYT62" s="459"/>
      <c r="AYU62" s="459"/>
      <c r="AYV62" s="459"/>
      <c r="AYW62" s="459"/>
      <c r="AYX62" s="459"/>
      <c r="AYY62" s="459"/>
      <c r="AYZ62" s="459"/>
      <c r="AZA62" s="459"/>
      <c r="AZB62" s="459"/>
      <c r="AZC62" s="459"/>
      <c r="AZD62" s="459"/>
      <c r="AZE62" s="459"/>
      <c r="AZF62" s="459"/>
      <c r="AZG62" s="459"/>
      <c r="AZH62" s="459"/>
      <c r="AZI62" s="459"/>
      <c r="AZJ62" s="459"/>
      <c r="AZK62" s="459"/>
      <c r="AZL62" s="459"/>
      <c r="AZM62" s="459"/>
      <c r="AZN62" s="459"/>
      <c r="AZO62" s="459"/>
      <c r="AZP62" s="459"/>
      <c r="AZQ62" s="459"/>
      <c r="AZR62" s="459"/>
      <c r="AZS62" s="459"/>
      <c r="AZT62" s="459"/>
      <c r="AZU62" s="459"/>
      <c r="AZV62" s="459"/>
      <c r="AZW62" s="459"/>
      <c r="AZX62" s="459"/>
      <c r="AZY62" s="459"/>
      <c r="AZZ62" s="459"/>
      <c r="BAA62" s="459"/>
      <c r="BAB62" s="459"/>
      <c r="BAC62" s="459"/>
      <c r="BAD62" s="459"/>
      <c r="BAE62" s="459"/>
      <c r="BAF62" s="459"/>
      <c r="BAG62" s="459"/>
      <c r="BAH62" s="459"/>
      <c r="BAI62" s="459"/>
      <c r="BAJ62" s="459"/>
      <c r="BAK62" s="459"/>
      <c r="BAL62" s="459"/>
      <c r="BAM62" s="459"/>
      <c r="BAN62" s="459"/>
      <c r="BAO62" s="459"/>
      <c r="BAP62" s="459"/>
      <c r="BAQ62" s="459"/>
      <c r="BAR62" s="459"/>
      <c r="BAS62" s="459"/>
      <c r="BAT62" s="459"/>
      <c r="BAU62" s="459"/>
      <c r="BAV62" s="459"/>
      <c r="BAW62" s="459"/>
      <c r="BAX62" s="459"/>
      <c r="BAY62" s="459"/>
      <c r="BAZ62" s="459"/>
      <c r="BBA62" s="459"/>
      <c r="BBB62" s="459"/>
      <c r="BBC62" s="459"/>
      <c r="BBD62" s="459"/>
      <c r="BBE62" s="459"/>
      <c r="BBF62" s="459"/>
      <c r="BBG62" s="459"/>
      <c r="BBH62" s="459"/>
      <c r="BBI62" s="459"/>
      <c r="BBJ62" s="459"/>
      <c r="BBK62" s="459"/>
      <c r="BBL62" s="459"/>
      <c r="BBM62" s="459"/>
      <c r="BBN62" s="459"/>
      <c r="BBO62" s="459"/>
      <c r="BBP62" s="459"/>
      <c r="BBQ62" s="459"/>
      <c r="BBR62" s="459"/>
      <c r="BBS62" s="459"/>
      <c r="BBT62" s="459"/>
      <c r="BBU62" s="459"/>
      <c r="BBV62" s="459"/>
      <c r="BBW62" s="459"/>
      <c r="BBX62" s="459"/>
      <c r="BBY62" s="459"/>
      <c r="BBZ62" s="459"/>
      <c r="BCA62" s="459"/>
      <c r="BCB62" s="459"/>
      <c r="BCC62" s="459"/>
      <c r="BCD62" s="459"/>
      <c r="BCE62" s="459"/>
      <c r="BCF62" s="459"/>
      <c r="BCG62" s="459"/>
      <c r="BCH62" s="459"/>
      <c r="BCI62" s="459"/>
      <c r="BCJ62" s="459"/>
      <c r="BCK62" s="459"/>
      <c r="BCL62" s="459"/>
      <c r="BCM62" s="459"/>
      <c r="BCN62" s="459"/>
      <c r="BCO62" s="459"/>
      <c r="BCP62" s="459"/>
      <c r="BCQ62" s="459"/>
      <c r="BCR62" s="459"/>
      <c r="BCS62" s="459"/>
      <c r="BCT62" s="459"/>
      <c r="BCU62" s="459"/>
      <c r="BCV62" s="459"/>
      <c r="BCW62" s="459"/>
      <c r="BCX62" s="459"/>
      <c r="BCY62" s="459"/>
      <c r="BCZ62" s="459"/>
      <c r="BDA62" s="459"/>
      <c r="BDB62" s="459"/>
      <c r="BDC62" s="459"/>
      <c r="BDD62" s="459"/>
      <c r="BDE62" s="459"/>
      <c r="BDF62" s="459"/>
      <c r="BDG62" s="459"/>
      <c r="BDH62" s="459"/>
      <c r="BDI62" s="459"/>
      <c r="BDJ62" s="459"/>
      <c r="BDK62" s="459"/>
      <c r="BDL62" s="459"/>
      <c r="BDM62" s="459"/>
      <c r="BDN62" s="459"/>
      <c r="BDO62" s="459"/>
      <c r="BDP62" s="459"/>
      <c r="BDQ62" s="459"/>
      <c r="BDR62" s="459"/>
      <c r="BDS62" s="459"/>
      <c r="BDT62" s="459"/>
      <c r="BDU62" s="459"/>
      <c r="BDV62" s="459"/>
      <c r="BDW62" s="459"/>
      <c r="BDX62" s="459"/>
      <c r="BDY62" s="459"/>
      <c r="BDZ62" s="459"/>
      <c r="BEA62" s="459"/>
      <c r="BEB62" s="459"/>
      <c r="BEC62" s="459"/>
      <c r="BED62" s="459"/>
      <c r="BEE62" s="459"/>
      <c r="BEF62" s="459"/>
      <c r="BEG62" s="459"/>
      <c r="BEH62" s="459"/>
      <c r="BEI62" s="459"/>
      <c r="BEJ62" s="459"/>
      <c r="BEK62" s="459"/>
      <c r="BEL62" s="459"/>
      <c r="BEM62" s="459"/>
      <c r="BEN62" s="459"/>
      <c r="BEO62" s="459"/>
      <c r="BEP62" s="459"/>
      <c r="BEQ62" s="459"/>
      <c r="BER62" s="459"/>
      <c r="BES62" s="459"/>
      <c r="BET62" s="459"/>
      <c r="BEU62" s="459"/>
      <c r="BEV62" s="459"/>
      <c r="BEW62" s="459"/>
      <c r="BEX62" s="459"/>
      <c r="BEY62" s="459"/>
      <c r="BEZ62" s="459"/>
      <c r="BFA62" s="459"/>
      <c r="BFB62" s="459"/>
      <c r="BFC62" s="459"/>
      <c r="BFD62" s="459"/>
      <c r="BFE62" s="459"/>
      <c r="BFF62" s="459"/>
      <c r="BFG62" s="459"/>
      <c r="BFH62" s="459"/>
      <c r="BFI62" s="459"/>
      <c r="BFJ62" s="459"/>
      <c r="BFK62" s="459"/>
      <c r="BFL62" s="459"/>
      <c r="BFM62" s="459"/>
      <c r="BFN62" s="459"/>
      <c r="BFO62" s="459"/>
      <c r="BFP62" s="459"/>
      <c r="BFQ62" s="459"/>
      <c r="BFR62" s="459"/>
      <c r="BFS62" s="459"/>
      <c r="BFT62" s="459"/>
      <c r="BFU62" s="459"/>
      <c r="BFV62" s="459"/>
      <c r="BFW62" s="459"/>
      <c r="BFX62" s="459"/>
      <c r="BFY62" s="459"/>
      <c r="BFZ62" s="459"/>
      <c r="BGA62" s="459"/>
      <c r="BGB62" s="459"/>
      <c r="BGC62" s="459"/>
      <c r="BGD62" s="459"/>
      <c r="BGE62" s="459"/>
      <c r="BGF62" s="459"/>
      <c r="BGG62" s="459"/>
      <c r="BGH62" s="459"/>
      <c r="BGI62" s="459"/>
      <c r="BGJ62" s="459"/>
      <c r="BGK62" s="459"/>
      <c r="BGL62" s="459"/>
      <c r="BGM62" s="459"/>
      <c r="BGN62" s="459"/>
      <c r="BGO62" s="459"/>
      <c r="BGP62" s="459"/>
      <c r="BGQ62" s="459"/>
      <c r="BGR62" s="459"/>
      <c r="BGS62" s="459"/>
      <c r="BGT62" s="459"/>
      <c r="BGU62" s="459"/>
      <c r="BGV62" s="459"/>
      <c r="BGW62" s="459"/>
      <c r="BGX62" s="459"/>
      <c r="BGY62" s="459"/>
      <c r="BGZ62" s="459"/>
      <c r="BHA62" s="459"/>
      <c r="BHB62" s="459"/>
      <c r="BHC62" s="459"/>
      <c r="BHD62" s="459"/>
      <c r="BHE62" s="459"/>
      <c r="BHF62" s="459"/>
      <c r="BHG62" s="459"/>
      <c r="BHH62" s="459"/>
      <c r="BHI62" s="459"/>
      <c r="BHJ62" s="459"/>
      <c r="BHK62" s="459"/>
      <c r="BHL62" s="459"/>
      <c r="BHM62" s="459"/>
      <c r="BHN62" s="459"/>
      <c r="BHO62" s="459"/>
      <c r="BHP62" s="459"/>
      <c r="BHQ62" s="459"/>
      <c r="BHR62" s="459"/>
      <c r="BHS62" s="459"/>
      <c r="BHT62" s="459"/>
      <c r="BHU62" s="459"/>
      <c r="BHV62" s="459"/>
      <c r="BHW62" s="459"/>
      <c r="BHX62" s="459"/>
      <c r="BHY62" s="459"/>
      <c r="BHZ62" s="459"/>
      <c r="BIA62" s="459"/>
      <c r="BIB62" s="459"/>
      <c r="BIC62" s="459"/>
      <c r="BID62" s="459"/>
      <c r="BIE62" s="459"/>
      <c r="BIF62" s="459"/>
      <c r="BIG62" s="459"/>
      <c r="BIH62" s="459"/>
      <c r="BII62" s="459"/>
      <c r="BIJ62" s="459"/>
      <c r="BIK62" s="459"/>
      <c r="BIL62" s="459"/>
      <c r="BIM62" s="459"/>
      <c r="BIN62" s="459"/>
      <c r="BIO62" s="459"/>
      <c r="BIP62" s="459"/>
      <c r="BIQ62" s="459"/>
      <c r="BIR62" s="459"/>
      <c r="BIS62" s="459"/>
      <c r="BIT62" s="459"/>
      <c r="BIU62" s="459"/>
      <c r="BIV62" s="459"/>
      <c r="BIW62" s="459"/>
      <c r="BIX62" s="459"/>
      <c r="BIY62" s="459"/>
      <c r="BIZ62" s="459"/>
      <c r="BJA62" s="459"/>
      <c r="BJB62" s="459"/>
      <c r="BJC62" s="459"/>
      <c r="BJD62" s="459"/>
      <c r="BJE62" s="459"/>
      <c r="BJF62" s="459"/>
      <c r="BJG62" s="459"/>
      <c r="BJH62" s="459"/>
      <c r="BJI62" s="459"/>
      <c r="BJJ62" s="459"/>
      <c r="BJK62" s="459"/>
      <c r="BJL62" s="459"/>
      <c r="BJM62" s="459"/>
      <c r="BJN62" s="459"/>
      <c r="BJO62" s="459"/>
      <c r="BJP62" s="459"/>
      <c r="BJQ62" s="459"/>
      <c r="BJR62" s="459"/>
      <c r="BJS62" s="459"/>
      <c r="BJT62" s="459"/>
      <c r="BJU62" s="459"/>
      <c r="BJV62" s="459"/>
      <c r="BJW62" s="459"/>
      <c r="BJX62" s="459"/>
      <c r="BJY62" s="459"/>
      <c r="BJZ62" s="459"/>
      <c r="BKA62" s="459"/>
      <c r="BKB62" s="459"/>
      <c r="BKC62" s="459"/>
      <c r="BKD62" s="459"/>
      <c r="BKE62" s="459"/>
      <c r="BKF62" s="459"/>
      <c r="BKG62" s="459"/>
      <c r="BKH62" s="459"/>
      <c r="BKI62" s="459"/>
      <c r="BKJ62" s="459"/>
      <c r="BKK62" s="459"/>
      <c r="BKL62" s="459"/>
      <c r="BKM62" s="459"/>
      <c r="BKN62" s="459"/>
      <c r="BKO62" s="459"/>
      <c r="BKP62" s="459"/>
      <c r="BKQ62" s="459"/>
      <c r="BKR62" s="459"/>
      <c r="BKS62" s="459"/>
      <c r="BKT62" s="459"/>
      <c r="BKU62" s="459"/>
      <c r="BKV62" s="459"/>
      <c r="BKW62" s="459"/>
      <c r="BKX62" s="459"/>
      <c r="BKY62" s="459"/>
      <c r="BKZ62" s="459"/>
      <c r="BLA62" s="459"/>
      <c r="BLB62" s="459"/>
      <c r="BLC62" s="459"/>
      <c r="BLD62" s="459"/>
      <c r="BLE62" s="459"/>
      <c r="BLF62" s="459"/>
      <c r="BLG62" s="459"/>
      <c r="BLH62" s="459"/>
      <c r="BLI62" s="459"/>
      <c r="BLJ62" s="459"/>
      <c r="BLK62" s="459"/>
      <c r="BLL62" s="459"/>
      <c r="BLM62" s="459"/>
      <c r="BLN62" s="459"/>
      <c r="BLO62" s="459"/>
      <c r="BLP62" s="459"/>
      <c r="BLQ62" s="459"/>
      <c r="BLR62" s="459"/>
      <c r="BLS62" s="459"/>
      <c r="BLT62" s="459"/>
      <c r="BLU62" s="459"/>
      <c r="BLV62" s="459"/>
      <c r="BLW62" s="459"/>
      <c r="BLX62" s="459"/>
      <c r="BLY62" s="459"/>
      <c r="BLZ62" s="459"/>
      <c r="BMA62" s="459"/>
      <c r="BMB62" s="459"/>
      <c r="BMC62" s="459"/>
      <c r="BMD62" s="459"/>
      <c r="BME62" s="459"/>
      <c r="BMF62" s="459"/>
      <c r="BMG62" s="459"/>
      <c r="BMH62" s="459"/>
      <c r="BMI62" s="459"/>
      <c r="BMJ62" s="459"/>
      <c r="BMK62" s="459"/>
      <c r="BML62" s="459"/>
      <c r="BMM62" s="459"/>
      <c r="BMN62" s="459"/>
      <c r="BMO62" s="459"/>
      <c r="BMP62" s="459"/>
      <c r="BMQ62" s="459"/>
      <c r="BMR62" s="459"/>
      <c r="BMS62" s="459"/>
      <c r="BMT62" s="459"/>
      <c r="BMU62" s="459"/>
      <c r="BMV62" s="459"/>
      <c r="BMW62" s="459"/>
      <c r="BMX62" s="459"/>
      <c r="BMY62" s="459"/>
      <c r="BMZ62" s="459"/>
      <c r="BNA62" s="459"/>
      <c r="BNB62" s="459"/>
      <c r="BNC62" s="459"/>
      <c r="BND62" s="459"/>
      <c r="BNE62" s="459"/>
      <c r="BNF62" s="459"/>
      <c r="BNG62" s="459"/>
      <c r="BNH62" s="459"/>
      <c r="BNI62" s="459"/>
      <c r="BNJ62" s="459"/>
      <c r="BNK62" s="459"/>
      <c r="BNL62" s="459"/>
      <c r="BNM62" s="459"/>
      <c r="BNN62" s="459"/>
      <c r="BNO62" s="459"/>
      <c r="BNP62" s="459"/>
      <c r="BNQ62" s="459"/>
      <c r="BNR62" s="459"/>
      <c r="BNS62" s="459"/>
      <c r="BNT62" s="459"/>
      <c r="BNU62" s="459"/>
      <c r="BNV62" s="459"/>
      <c r="BNW62" s="459"/>
      <c r="BNX62" s="459"/>
      <c r="BNY62" s="459"/>
      <c r="BNZ62" s="459"/>
      <c r="BOA62" s="459"/>
      <c r="BOB62" s="459"/>
      <c r="BOC62" s="459"/>
      <c r="BOD62" s="459"/>
      <c r="BOE62" s="459"/>
      <c r="BOF62" s="459"/>
      <c r="BOG62" s="459"/>
      <c r="BOH62" s="459"/>
      <c r="BOI62" s="459"/>
      <c r="BOJ62" s="459"/>
      <c r="BOK62" s="459"/>
      <c r="BOL62" s="459"/>
      <c r="BOM62" s="459"/>
      <c r="BON62" s="459"/>
      <c r="BOO62" s="459"/>
      <c r="BOP62" s="459"/>
      <c r="BOQ62" s="459"/>
      <c r="BOR62" s="459"/>
      <c r="BOS62" s="459"/>
      <c r="BOT62" s="459"/>
      <c r="BOU62" s="459"/>
      <c r="BOV62" s="459"/>
      <c r="BOW62" s="459"/>
      <c r="BOX62" s="459"/>
      <c r="BOY62" s="459"/>
      <c r="BOZ62" s="459"/>
      <c r="BPA62" s="459"/>
      <c r="BPB62" s="459"/>
      <c r="BPC62" s="459"/>
      <c r="BPD62" s="459"/>
      <c r="BPE62" s="459"/>
      <c r="BPF62" s="459"/>
      <c r="BPG62" s="459"/>
      <c r="BPH62" s="459"/>
      <c r="BPI62" s="459"/>
      <c r="BPJ62" s="459"/>
      <c r="BPK62" s="459"/>
      <c r="BPL62" s="459"/>
      <c r="BPM62" s="459"/>
      <c r="BPN62" s="459"/>
      <c r="BPO62" s="459"/>
      <c r="BPP62" s="459"/>
      <c r="BPQ62" s="459"/>
      <c r="BPR62" s="459"/>
      <c r="BPS62" s="459"/>
      <c r="BPT62" s="459"/>
      <c r="BPU62" s="459"/>
      <c r="BPV62" s="459"/>
      <c r="BPW62" s="459"/>
      <c r="BPX62" s="459"/>
      <c r="BPY62" s="459"/>
      <c r="BPZ62" s="459"/>
      <c r="BQA62" s="459"/>
      <c r="BQB62" s="459"/>
      <c r="BQC62" s="459"/>
      <c r="BQD62" s="459"/>
      <c r="BQE62" s="459"/>
      <c r="BQF62" s="459"/>
      <c r="BQG62" s="459"/>
      <c r="BQH62" s="459"/>
      <c r="BQI62" s="459"/>
      <c r="BQJ62" s="459"/>
      <c r="BQK62" s="459"/>
      <c r="BQL62" s="459"/>
      <c r="BQM62" s="459"/>
      <c r="BQN62" s="459"/>
      <c r="BQO62" s="459"/>
      <c r="BQP62" s="459"/>
      <c r="BQQ62" s="459"/>
      <c r="BQR62" s="459"/>
      <c r="BQS62" s="459"/>
      <c r="BQT62" s="459"/>
      <c r="BQU62" s="459"/>
      <c r="BQV62" s="459"/>
      <c r="BQW62" s="459"/>
      <c r="BQX62" s="459"/>
      <c r="BQY62" s="459"/>
      <c r="BQZ62" s="459"/>
      <c r="BRA62" s="459"/>
      <c r="BRB62" s="459"/>
      <c r="BRC62" s="459"/>
      <c r="BRD62" s="459"/>
      <c r="BRE62" s="459"/>
      <c r="BRF62" s="459"/>
      <c r="BRG62" s="459"/>
      <c r="BRH62" s="459"/>
      <c r="BRI62" s="459"/>
      <c r="BRJ62" s="459"/>
      <c r="BRK62" s="459"/>
      <c r="BRL62" s="459"/>
      <c r="BRM62" s="459"/>
      <c r="BRN62" s="459"/>
      <c r="BRO62" s="459"/>
      <c r="BRP62" s="459"/>
      <c r="BRQ62" s="459"/>
      <c r="BRR62" s="459"/>
      <c r="BRS62" s="459"/>
      <c r="BRT62" s="459"/>
      <c r="BRU62" s="459"/>
      <c r="BRV62" s="459"/>
      <c r="BRW62" s="459"/>
      <c r="BRX62" s="459"/>
      <c r="BRY62" s="459"/>
      <c r="BRZ62" s="459"/>
      <c r="BSA62" s="459"/>
      <c r="BSB62" s="459"/>
      <c r="BSC62" s="459"/>
      <c r="BSD62" s="459"/>
      <c r="BSE62" s="459"/>
      <c r="BSF62" s="459"/>
      <c r="BSG62" s="459"/>
      <c r="BSH62" s="459"/>
      <c r="BSI62" s="459"/>
      <c r="BSJ62" s="459"/>
      <c r="BSK62" s="459"/>
      <c r="BSL62" s="459"/>
      <c r="BSM62" s="459"/>
      <c r="BSN62" s="459"/>
      <c r="BSO62" s="459"/>
      <c r="BSP62" s="459"/>
      <c r="BSQ62" s="459"/>
      <c r="BSR62" s="459"/>
      <c r="BSS62" s="459"/>
      <c r="BST62" s="459"/>
      <c r="BSU62" s="459"/>
      <c r="BSV62" s="459"/>
      <c r="BSW62" s="459"/>
      <c r="BSX62" s="459"/>
      <c r="BSY62" s="459"/>
      <c r="BSZ62" s="459"/>
      <c r="BTA62" s="459"/>
      <c r="BTB62" s="459"/>
      <c r="BTC62" s="459"/>
      <c r="BTD62" s="459"/>
      <c r="BTE62" s="459"/>
      <c r="BTF62" s="459"/>
      <c r="BTG62" s="459"/>
      <c r="BTH62" s="459"/>
      <c r="BTI62" s="459"/>
      <c r="BTJ62" s="459"/>
      <c r="BTK62" s="459"/>
      <c r="BTL62" s="459"/>
      <c r="BTM62" s="459"/>
      <c r="BTN62" s="459"/>
      <c r="BTO62" s="459"/>
      <c r="BTP62" s="459"/>
      <c r="BTQ62" s="459"/>
      <c r="BTR62" s="459"/>
      <c r="BTS62" s="459"/>
      <c r="BTT62" s="459"/>
      <c r="BTU62" s="459"/>
      <c r="BTV62" s="459"/>
      <c r="BTW62" s="459"/>
      <c r="BTX62" s="459"/>
      <c r="BTY62" s="459"/>
      <c r="BTZ62" s="459"/>
      <c r="BUA62" s="459"/>
      <c r="BUB62" s="459"/>
      <c r="BUC62" s="459"/>
      <c r="BUD62" s="459"/>
      <c r="BUE62" s="459"/>
      <c r="BUF62" s="459"/>
      <c r="BUG62" s="459"/>
      <c r="BUH62" s="459"/>
      <c r="BUI62" s="459"/>
      <c r="BUJ62" s="459"/>
      <c r="BUK62" s="459"/>
      <c r="BUL62" s="459"/>
      <c r="BUM62" s="459"/>
      <c r="BUN62" s="459"/>
      <c r="BUO62" s="459"/>
      <c r="BUP62" s="459"/>
      <c r="BUQ62" s="459"/>
      <c r="BUR62" s="459"/>
      <c r="BUS62" s="459"/>
      <c r="BUT62" s="459"/>
      <c r="BUU62" s="459"/>
      <c r="BUV62" s="459"/>
      <c r="BUW62" s="459"/>
      <c r="BUX62" s="459"/>
      <c r="BUY62" s="459"/>
      <c r="BUZ62" s="459"/>
      <c r="BVA62" s="459"/>
      <c r="BVB62" s="459"/>
      <c r="BVC62" s="459"/>
      <c r="BVD62" s="459"/>
      <c r="BVE62" s="459"/>
      <c r="BVF62" s="459"/>
      <c r="BVG62" s="459"/>
      <c r="BVH62" s="459"/>
      <c r="BVI62" s="459"/>
      <c r="BVJ62" s="459"/>
      <c r="BVK62" s="459"/>
      <c r="BVL62" s="459"/>
      <c r="BVM62" s="459"/>
      <c r="BVN62" s="459"/>
      <c r="BVO62" s="459"/>
      <c r="BVP62" s="459"/>
      <c r="BVQ62" s="459"/>
      <c r="BVR62" s="459"/>
      <c r="BVS62" s="459"/>
      <c r="BVT62" s="459"/>
      <c r="BVU62" s="459"/>
      <c r="BVV62" s="459"/>
      <c r="BVW62" s="459"/>
      <c r="BVX62" s="459"/>
      <c r="BVY62" s="459"/>
      <c r="BVZ62" s="459"/>
      <c r="BWA62" s="459"/>
      <c r="BWB62" s="459"/>
      <c r="BWC62" s="459"/>
      <c r="BWD62" s="459"/>
      <c r="BWE62" s="459"/>
      <c r="BWF62" s="459"/>
      <c r="BWG62" s="459"/>
      <c r="BWH62" s="459"/>
      <c r="BWI62" s="459"/>
      <c r="BWJ62" s="459"/>
      <c r="BWK62" s="459"/>
      <c r="BWL62" s="459"/>
      <c r="BWM62" s="459"/>
      <c r="BWN62" s="459"/>
      <c r="BWO62" s="459"/>
      <c r="BWP62" s="459"/>
      <c r="BWQ62" s="459"/>
      <c r="BWR62" s="459"/>
      <c r="BWS62" s="459"/>
      <c r="BWT62" s="459"/>
      <c r="BWU62" s="459"/>
      <c r="BWV62" s="459"/>
      <c r="BWW62" s="459"/>
      <c r="BWX62" s="459"/>
      <c r="BWY62" s="459"/>
      <c r="BWZ62" s="459"/>
      <c r="BXA62" s="459"/>
      <c r="BXB62" s="459"/>
      <c r="BXC62" s="459"/>
      <c r="BXD62" s="459"/>
      <c r="BXE62" s="459"/>
      <c r="BXF62" s="459"/>
      <c r="BXG62" s="459"/>
      <c r="BXH62" s="459"/>
      <c r="BXI62" s="459"/>
      <c r="BXJ62" s="459"/>
      <c r="BXK62" s="459"/>
      <c r="BXL62" s="459"/>
      <c r="BXM62" s="459"/>
      <c r="BXN62" s="459"/>
      <c r="BXO62" s="459"/>
      <c r="BXP62" s="459"/>
      <c r="BXQ62" s="459"/>
      <c r="BXR62" s="459"/>
      <c r="BXS62" s="459"/>
      <c r="BXT62" s="459"/>
      <c r="BXU62" s="459"/>
      <c r="BXV62" s="459"/>
      <c r="BXW62" s="459"/>
      <c r="BXX62" s="459"/>
      <c r="BXY62" s="459"/>
      <c r="BXZ62" s="459"/>
      <c r="BYA62" s="459"/>
      <c r="BYB62" s="459"/>
      <c r="BYC62" s="459"/>
      <c r="BYD62" s="459"/>
      <c r="BYE62" s="459"/>
      <c r="BYF62" s="459"/>
      <c r="BYG62" s="459"/>
      <c r="BYH62" s="459"/>
      <c r="BYI62" s="459"/>
      <c r="BYJ62" s="459"/>
      <c r="BYK62" s="459"/>
      <c r="BYL62" s="459"/>
      <c r="BYM62" s="459"/>
      <c r="BYN62" s="459"/>
      <c r="BYO62" s="459"/>
      <c r="BYP62" s="459"/>
      <c r="BYQ62" s="459"/>
      <c r="BYR62" s="459"/>
      <c r="BYS62" s="459"/>
      <c r="BYT62" s="459"/>
      <c r="BYU62" s="459"/>
      <c r="BYV62" s="459"/>
      <c r="BYW62" s="459"/>
      <c r="BYX62" s="459"/>
      <c r="BYY62" s="459"/>
      <c r="BYZ62" s="459"/>
      <c r="BZA62" s="459"/>
      <c r="BZB62" s="459"/>
      <c r="BZC62" s="459"/>
      <c r="BZD62" s="459"/>
      <c r="BZE62" s="459"/>
      <c r="BZF62" s="459"/>
      <c r="BZG62" s="459"/>
      <c r="BZH62" s="459"/>
      <c r="BZI62" s="459"/>
      <c r="BZJ62" s="459"/>
      <c r="BZK62" s="459"/>
      <c r="BZL62" s="459"/>
      <c r="BZM62" s="459"/>
      <c r="BZN62" s="459"/>
      <c r="BZO62" s="459"/>
      <c r="BZP62" s="459"/>
      <c r="BZQ62" s="459"/>
      <c r="BZR62" s="459"/>
      <c r="BZS62" s="459"/>
      <c r="BZT62" s="459"/>
      <c r="BZU62" s="459"/>
      <c r="BZV62" s="459"/>
      <c r="BZW62" s="459"/>
      <c r="BZX62" s="459"/>
      <c r="BZY62" s="459"/>
      <c r="BZZ62" s="459"/>
      <c r="CAA62" s="459"/>
      <c r="CAB62" s="459"/>
      <c r="CAC62" s="459"/>
      <c r="CAD62" s="459"/>
      <c r="CAE62" s="459"/>
      <c r="CAF62" s="459"/>
      <c r="CAG62" s="459"/>
      <c r="CAH62" s="459"/>
      <c r="CAI62" s="459"/>
      <c r="CAJ62" s="459"/>
      <c r="CAK62" s="459"/>
      <c r="CAL62" s="459"/>
      <c r="CAM62" s="459"/>
      <c r="CAN62" s="459"/>
      <c r="CAO62" s="459"/>
      <c r="CAP62" s="459"/>
      <c r="CAQ62" s="459"/>
      <c r="CAR62" s="459"/>
      <c r="CAS62" s="459"/>
      <c r="CAT62" s="459"/>
      <c r="CAU62" s="459"/>
      <c r="CAV62" s="459"/>
      <c r="CAW62" s="459"/>
      <c r="CAX62" s="459"/>
      <c r="CAY62" s="459"/>
      <c r="CAZ62" s="459"/>
      <c r="CBA62" s="459"/>
      <c r="CBB62" s="459"/>
      <c r="CBC62" s="459"/>
      <c r="CBD62" s="459"/>
      <c r="CBE62" s="459"/>
      <c r="CBF62" s="459"/>
      <c r="CBG62" s="459"/>
      <c r="CBH62" s="459"/>
      <c r="CBI62" s="459"/>
      <c r="CBJ62" s="459"/>
      <c r="CBK62" s="459"/>
      <c r="CBL62" s="459"/>
      <c r="CBM62" s="459"/>
      <c r="CBN62" s="459"/>
      <c r="CBO62" s="459"/>
      <c r="CBP62" s="459"/>
      <c r="CBQ62" s="459"/>
      <c r="CBR62" s="459"/>
      <c r="CBS62" s="459"/>
      <c r="CBT62" s="459"/>
      <c r="CBU62" s="459"/>
      <c r="CBV62" s="459"/>
      <c r="CBW62" s="459"/>
      <c r="CBX62" s="459"/>
      <c r="CBY62" s="459"/>
      <c r="CBZ62" s="459"/>
      <c r="CCA62" s="459"/>
      <c r="CCB62" s="459"/>
      <c r="CCC62" s="459"/>
      <c r="CCD62" s="459"/>
      <c r="CCE62" s="459"/>
      <c r="CCF62" s="459"/>
      <c r="CCG62" s="459"/>
      <c r="CCH62" s="459"/>
      <c r="CCI62" s="459"/>
      <c r="CCJ62" s="459"/>
      <c r="CCK62" s="459"/>
      <c r="CCL62" s="459"/>
      <c r="CCM62" s="459"/>
      <c r="CCN62" s="459"/>
      <c r="CCO62" s="459"/>
      <c r="CCP62" s="459"/>
      <c r="CCQ62" s="459"/>
      <c r="CCR62" s="459"/>
      <c r="CCS62" s="459"/>
      <c r="CCT62" s="459"/>
      <c r="CCU62" s="459"/>
      <c r="CCV62" s="459"/>
      <c r="CCW62" s="459"/>
      <c r="CCX62" s="459"/>
      <c r="CCY62" s="459"/>
      <c r="CCZ62" s="459"/>
      <c r="CDA62" s="459"/>
      <c r="CDB62" s="459"/>
      <c r="CDC62" s="459"/>
      <c r="CDD62" s="459"/>
      <c r="CDE62" s="459"/>
      <c r="CDF62" s="459"/>
      <c r="CDG62" s="459"/>
      <c r="CDH62" s="459"/>
      <c r="CDI62" s="459"/>
      <c r="CDJ62" s="459"/>
      <c r="CDK62" s="459"/>
      <c r="CDL62" s="459"/>
      <c r="CDM62" s="459"/>
      <c r="CDN62" s="459"/>
      <c r="CDO62" s="459"/>
      <c r="CDP62" s="459"/>
      <c r="CDQ62" s="459"/>
      <c r="CDR62" s="459"/>
      <c r="CDS62" s="459"/>
      <c r="CDT62" s="459"/>
      <c r="CDU62" s="459"/>
      <c r="CDV62" s="459"/>
      <c r="CDW62" s="459"/>
      <c r="CDX62" s="459"/>
      <c r="CDY62" s="459"/>
      <c r="CDZ62" s="459"/>
      <c r="CEA62" s="459"/>
      <c r="CEB62" s="459"/>
      <c r="CEC62" s="459"/>
      <c r="CED62" s="459"/>
      <c r="CEE62" s="459"/>
      <c r="CEF62" s="459"/>
      <c r="CEG62" s="459"/>
      <c r="CEH62" s="459"/>
      <c r="CEI62" s="459"/>
      <c r="CEJ62" s="459"/>
      <c r="CEK62" s="459"/>
      <c r="CEL62" s="459"/>
      <c r="CEM62" s="459"/>
      <c r="CEN62" s="459"/>
      <c r="CEO62" s="459"/>
      <c r="CEP62" s="459"/>
      <c r="CEQ62" s="459"/>
      <c r="CER62" s="459"/>
      <c r="CES62" s="459"/>
      <c r="CET62" s="459"/>
      <c r="CEU62" s="459"/>
      <c r="CEV62" s="459"/>
      <c r="CEW62" s="459"/>
      <c r="CEX62" s="459"/>
      <c r="CEY62" s="459"/>
      <c r="CEZ62" s="459"/>
      <c r="CFA62" s="459"/>
      <c r="CFB62" s="459"/>
      <c r="CFC62" s="459"/>
      <c r="CFD62" s="459"/>
      <c r="CFE62" s="459"/>
      <c r="CFF62" s="459"/>
      <c r="CFG62" s="459"/>
      <c r="CFH62" s="459"/>
      <c r="CFI62" s="459"/>
      <c r="CFJ62" s="459"/>
      <c r="CFK62" s="459"/>
      <c r="CFL62" s="459"/>
      <c r="CFM62" s="459"/>
      <c r="CFN62" s="459"/>
      <c r="CFO62" s="459"/>
      <c r="CFP62" s="459"/>
      <c r="CFQ62" s="459"/>
      <c r="CFR62" s="459"/>
      <c r="CFS62" s="459"/>
      <c r="CFT62" s="459"/>
      <c r="CFU62" s="459"/>
      <c r="CFV62" s="459"/>
      <c r="CFW62" s="459"/>
      <c r="CFX62" s="459"/>
      <c r="CFY62" s="459"/>
      <c r="CFZ62" s="459"/>
      <c r="CGA62" s="459"/>
      <c r="CGB62" s="459"/>
      <c r="CGC62" s="459"/>
      <c r="CGD62" s="459"/>
      <c r="CGE62" s="459"/>
      <c r="CGF62" s="459"/>
      <c r="CGG62" s="459"/>
      <c r="CGH62" s="459"/>
      <c r="CGI62" s="459"/>
      <c r="CGJ62" s="459"/>
      <c r="CGK62" s="459"/>
      <c r="CGL62" s="459"/>
      <c r="CGM62" s="459"/>
      <c r="CGN62" s="459"/>
      <c r="CGO62" s="459"/>
      <c r="CGP62" s="459"/>
      <c r="CGQ62" s="459"/>
      <c r="CGR62" s="459"/>
      <c r="CGS62" s="459"/>
      <c r="CGT62" s="459"/>
      <c r="CGU62" s="459"/>
      <c r="CGV62" s="459"/>
      <c r="CGW62" s="459"/>
      <c r="CGX62" s="459"/>
      <c r="CGY62" s="459"/>
      <c r="CGZ62" s="459"/>
      <c r="CHA62" s="459"/>
      <c r="CHB62" s="459"/>
      <c r="CHC62" s="459"/>
      <c r="CHD62" s="459"/>
      <c r="CHE62" s="459"/>
      <c r="CHF62" s="459"/>
      <c r="CHG62" s="459"/>
      <c r="CHH62" s="459"/>
      <c r="CHI62" s="459"/>
      <c r="CHJ62" s="459"/>
      <c r="CHK62" s="459"/>
      <c r="CHL62" s="459"/>
      <c r="CHM62" s="459"/>
      <c r="CHN62" s="459"/>
      <c r="CHO62" s="459"/>
      <c r="CHP62" s="459"/>
      <c r="CHQ62" s="459"/>
      <c r="CHR62" s="459"/>
      <c r="CHS62" s="459"/>
      <c r="CHT62" s="459"/>
      <c r="CHU62" s="459"/>
      <c r="CHV62" s="459"/>
      <c r="CHW62" s="459"/>
      <c r="CHX62" s="459"/>
      <c r="CHY62" s="459"/>
      <c r="CHZ62" s="459"/>
      <c r="CIA62" s="459"/>
      <c r="CIB62" s="459"/>
      <c r="CIC62" s="459"/>
      <c r="CID62" s="459"/>
      <c r="CIE62" s="459"/>
      <c r="CIF62" s="459"/>
      <c r="CIG62" s="459"/>
      <c r="CIH62" s="459"/>
      <c r="CII62" s="459"/>
      <c r="CIJ62" s="459"/>
      <c r="CIK62" s="459"/>
      <c r="CIL62" s="459"/>
      <c r="CIM62" s="459"/>
      <c r="CIN62" s="459"/>
      <c r="CIO62" s="459"/>
      <c r="CIP62" s="459"/>
      <c r="CIQ62" s="459"/>
      <c r="CIR62" s="459"/>
      <c r="CIS62" s="459"/>
      <c r="CIT62" s="459"/>
      <c r="CIU62" s="459"/>
      <c r="CIV62" s="459"/>
      <c r="CIW62" s="459"/>
      <c r="CIX62" s="459"/>
      <c r="CIY62" s="459"/>
      <c r="CIZ62" s="459"/>
      <c r="CJA62" s="459"/>
      <c r="CJB62" s="459"/>
      <c r="CJC62" s="459"/>
      <c r="CJD62" s="459"/>
      <c r="CJE62" s="459"/>
      <c r="CJF62" s="459"/>
      <c r="CJG62" s="459"/>
      <c r="CJH62" s="459"/>
      <c r="CJI62" s="459"/>
      <c r="CJJ62" s="459"/>
      <c r="CJK62" s="459"/>
      <c r="CJL62" s="459"/>
      <c r="CJM62" s="459"/>
      <c r="CJN62" s="459"/>
      <c r="CJO62" s="459"/>
      <c r="CJP62" s="459"/>
      <c r="CJQ62" s="459"/>
      <c r="CJR62" s="459"/>
      <c r="CJS62" s="459"/>
      <c r="CJT62" s="459"/>
      <c r="CJU62" s="459"/>
      <c r="CJV62" s="459"/>
      <c r="CJW62" s="459"/>
      <c r="CJX62" s="459"/>
      <c r="CJY62" s="459"/>
      <c r="CJZ62" s="459"/>
      <c r="CKA62" s="459"/>
      <c r="CKB62" s="459"/>
      <c r="CKC62" s="459"/>
      <c r="CKD62" s="459"/>
      <c r="CKE62" s="459"/>
      <c r="CKF62" s="459"/>
      <c r="CKG62" s="459"/>
      <c r="CKH62" s="459"/>
      <c r="CKI62" s="459"/>
      <c r="CKJ62" s="459"/>
      <c r="CKK62" s="459"/>
      <c r="CKL62" s="459"/>
      <c r="CKM62" s="459"/>
      <c r="CKN62" s="459"/>
      <c r="CKO62" s="459"/>
      <c r="CKP62" s="459"/>
      <c r="CKQ62" s="459"/>
      <c r="CKR62" s="459"/>
      <c r="CKS62" s="459"/>
      <c r="CKT62" s="459"/>
      <c r="CKU62" s="459"/>
      <c r="CKV62" s="459"/>
      <c r="CKW62" s="459"/>
      <c r="CKX62" s="459"/>
      <c r="CKY62" s="459"/>
      <c r="CKZ62" s="459"/>
      <c r="CLA62" s="459"/>
      <c r="CLB62" s="459"/>
      <c r="CLC62" s="459"/>
      <c r="CLD62" s="459"/>
      <c r="CLE62" s="459"/>
      <c r="CLF62" s="459"/>
      <c r="CLG62" s="459"/>
      <c r="CLH62" s="459"/>
      <c r="CLI62" s="459"/>
      <c r="CLJ62" s="459"/>
      <c r="CLK62" s="459"/>
      <c r="CLL62" s="459"/>
      <c r="CLM62" s="459"/>
      <c r="CLN62" s="459"/>
      <c r="CLO62" s="459"/>
      <c r="CLP62" s="459"/>
      <c r="CLQ62" s="459"/>
      <c r="CLR62" s="459"/>
      <c r="CLS62" s="459"/>
      <c r="CLT62" s="459"/>
      <c r="CLU62" s="459"/>
      <c r="CLV62" s="459"/>
      <c r="CLW62" s="459"/>
      <c r="CLX62" s="459"/>
      <c r="CLY62" s="459"/>
      <c r="CLZ62" s="459"/>
      <c r="CMA62" s="459"/>
      <c r="CMB62" s="459"/>
      <c r="CMC62" s="459"/>
      <c r="CMD62" s="459"/>
      <c r="CME62" s="459"/>
      <c r="CMF62" s="459"/>
      <c r="CMG62" s="459"/>
      <c r="CMH62" s="459"/>
      <c r="CMI62" s="459"/>
      <c r="CMJ62" s="459"/>
      <c r="CMK62" s="459"/>
      <c r="CML62" s="459"/>
      <c r="CMM62" s="459"/>
      <c r="CMN62" s="459"/>
      <c r="CMO62" s="459"/>
      <c r="CMP62" s="459"/>
      <c r="CMQ62" s="459"/>
      <c r="CMR62" s="459"/>
      <c r="CMS62" s="459"/>
      <c r="CMT62" s="459"/>
      <c r="CMU62" s="459"/>
      <c r="CMV62" s="459"/>
      <c r="CMW62" s="459"/>
      <c r="CMX62" s="459"/>
      <c r="CMY62" s="459"/>
      <c r="CMZ62" s="459"/>
      <c r="CNA62" s="459"/>
      <c r="CNB62" s="459"/>
      <c r="CNC62" s="459"/>
      <c r="CND62" s="459"/>
      <c r="CNE62" s="459"/>
      <c r="CNF62" s="459"/>
      <c r="CNG62" s="459"/>
      <c r="CNH62" s="459"/>
      <c r="CNI62" s="459"/>
      <c r="CNJ62" s="459"/>
      <c r="CNK62" s="459"/>
      <c r="CNL62" s="459"/>
      <c r="CNM62" s="459"/>
      <c r="CNN62" s="459"/>
      <c r="CNO62" s="459"/>
      <c r="CNP62" s="459"/>
      <c r="CNQ62" s="459"/>
      <c r="CNR62" s="459"/>
      <c r="CNS62" s="459"/>
      <c r="CNT62" s="459"/>
      <c r="CNU62" s="459"/>
      <c r="CNV62" s="459"/>
      <c r="CNW62" s="459"/>
      <c r="CNX62" s="459"/>
      <c r="CNY62" s="459"/>
      <c r="CNZ62" s="459"/>
      <c r="COA62" s="459"/>
      <c r="COB62" s="459"/>
      <c r="COC62" s="459"/>
      <c r="COD62" s="459"/>
      <c r="COE62" s="459"/>
      <c r="COF62" s="459"/>
      <c r="COG62" s="459"/>
      <c r="COH62" s="459"/>
      <c r="COI62" s="459"/>
      <c r="COJ62" s="459"/>
      <c r="COK62" s="459"/>
      <c r="COL62" s="459"/>
      <c r="COM62" s="459"/>
      <c r="CON62" s="459"/>
      <c r="COO62" s="459"/>
      <c r="COP62" s="459"/>
      <c r="COQ62" s="459"/>
      <c r="COR62" s="459"/>
      <c r="COS62" s="459"/>
      <c r="COT62" s="459"/>
      <c r="COU62" s="459"/>
      <c r="COV62" s="459"/>
      <c r="COW62" s="459"/>
      <c r="COX62" s="459"/>
      <c r="COY62" s="459"/>
      <c r="COZ62" s="459"/>
      <c r="CPA62" s="459"/>
      <c r="CPB62" s="459"/>
      <c r="CPC62" s="459"/>
      <c r="CPD62" s="459"/>
      <c r="CPE62" s="459"/>
      <c r="CPF62" s="459"/>
      <c r="CPG62" s="459"/>
      <c r="CPH62" s="459"/>
      <c r="CPI62" s="459"/>
      <c r="CPJ62" s="459"/>
      <c r="CPK62" s="459"/>
      <c r="CPL62" s="459"/>
      <c r="CPM62" s="459"/>
      <c r="CPN62" s="459"/>
      <c r="CPO62" s="459"/>
      <c r="CPP62" s="459"/>
      <c r="CPQ62" s="459"/>
      <c r="CPR62" s="459"/>
      <c r="CPS62" s="459"/>
      <c r="CPT62" s="459"/>
      <c r="CPU62" s="459"/>
      <c r="CPV62" s="459"/>
      <c r="CPW62" s="459"/>
      <c r="CPX62" s="459"/>
      <c r="CPY62" s="459"/>
      <c r="CPZ62" s="459"/>
      <c r="CQA62" s="459"/>
      <c r="CQB62" s="459"/>
      <c r="CQC62" s="459"/>
      <c r="CQD62" s="459"/>
      <c r="CQE62" s="459"/>
      <c r="CQF62" s="459"/>
      <c r="CQG62" s="459"/>
      <c r="CQH62" s="459"/>
      <c r="CQI62" s="459"/>
      <c r="CQJ62" s="459"/>
      <c r="CQK62" s="459"/>
      <c r="CQL62" s="459"/>
      <c r="CQM62" s="459"/>
      <c r="CQN62" s="459"/>
      <c r="CQO62" s="459"/>
      <c r="CQP62" s="459"/>
      <c r="CQQ62" s="459"/>
      <c r="CQR62" s="459"/>
      <c r="CQS62" s="459"/>
      <c r="CQT62" s="459"/>
      <c r="CQU62" s="459"/>
      <c r="CQV62" s="459"/>
      <c r="CQW62" s="459"/>
      <c r="CQX62" s="459"/>
      <c r="CQY62" s="459"/>
      <c r="CQZ62" s="459"/>
      <c r="CRA62" s="459"/>
      <c r="CRB62" s="459"/>
      <c r="CRC62" s="459"/>
      <c r="CRD62" s="459"/>
      <c r="CRE62" s="459"/>
      <c r="CRF62" s="459"/>
      <c r="CRG62" s="459"/>
      <c r="CRH62" s="459"/>
      <c r="CRI62" s="459"/>
      <c r="CRJ62" s="459"/>
      <c r="CRK62" s="459"/>
      <c r="CRL62" s="459"/>
      <c r="CRM62" s="459"/>
      <c r="CRN62" s="459"/>
      <c r="CRO62" s="459"/>
      <c r="CRP62" s="459"/>
      <c r="CRQ62" s="459"/>
      <c r="CRR62" s="459"/>
      <c r="CRS62" s="459"/>
      <c r="CRT62" s="459"/>
      <c r="CRU62" s="459"/>
      <c r="CRV62" s="459"/>
      <c r="CRW62" s="459"/>
      <c r="CRX62" s="459"/>
      <c r="CRY62" s="459"/>
      <c r="CRZ62" s="459"/>
      <c r="CSA62" s="459"/>
      <c r="CSB62" s="459"/>
      <c r="CSC62" s="459"/>
      <c r="CSD62" s="459"/>
      <c r="CSE62" s="459"/>
      <c r="CSF62" s="459"/>
      <c r="CSG62" s="459"/>
      <c r="CSH62" s="459"/>
      <c r="CSI62" s="459"/>
      <c r="CSJ62" s="459"/>
      <c r="CSK62" s="459"/>
      <c r="CSL62" s="459"/>
      <c r="CSM62" s="459"/>
      <c r="CSN62" s="459"/>
      <c r="CSO62" s="459"/>
      <c r="CSP62" s="459"/>
      <c r="CSQ62" s="459"/>
      <c r="CSR62" s="459"/>
      <c r="CSS62" s="459"/>
      <c r="CST62" s="459"/>
      <c r="CSU62" s="459"/>
      <c r="CSV62" s="459"/>
      <c r="CSW62" s="459"/>
      <c r="CSX62" s="459"/>
      <c r="CSY62" s="459"/>
      <c r="CSZ62" s="459"/>
      <c r="CTA62" s="459"/>
      <c r="CTB62" s="459"/>
      <c r="CTC62" s="459"/>
      <c r="CTD62" s="459"/>
      <c r="CTE62" s="459"/>
      <c r="CTF62" s="459"/>
      <c r="CTG62" s="459"/>
      <c r="CTH62" s="459"/>
      <c r="CTI62" s="459"/>
      <c r="CTJ62" s="459"/>
      <c r="CTK62" s="459"/>
      <c r="CTL62" s="459"/>
      <c r="CTM62" s="459"/>
      <c r="CTN62" s="459"/>
      <c r="CTO62" s="459"/>
      <c r="CTP62" s="459"/>
      <c r="CTQ62" s="459"/>
      <c r="CTR62" s="459"/>
      <c r="CTS62" s="459"/>
      <c r="CTT62" s="459"/>
      <c r="CTU62" s="459"/>
      <c r="CTV62" s="459"/>
      <c r="CTW62" s="459"/>
      <c r="CTX62" s="459"/>
      <c r="CTY62" s="459"/>
      <c r="CTZ62" s="459"/>
      <c r="CUA62" s="459"/>
      <c r="CUB62" s="459"/>
      <c r="CUC62" s="459"/>
      <c r="CUD62" s="459"/>
      <c r="CUE62" s="459"/>
      <c r="CUF62" s="459"/>
      <c r="CUG62" s="459"/>
      <c r="CUH62" s="459"/>
      <c r="CUI62" s="459"/>
      <c r="CUJ62" s="459"/>
      <c r="CUK62" s="459"/>
      <c r="CUL62" s="459"/>
      <c r="CUM62" s="459"/>
      <c r="CUN62" s="459"/>
      <c r="CUO62" s="459"/>
      <c r="CUP62" s="459"/>
      <c r="CUQ62" s="459"/>
      <c r="CUR62" s="459"/>
      <c r="CUS62" s="459"/>
      <c r="CUT62" s="459"/>
      <c r="CUU62" s="459"/>
      <c r="CUV62" s="459"/>
      <c r="CUW62" s="459"/>
      <c r="CUX62" s="459"/>
      <c r="CUY62" s="459"/>
      <c r="CUZ62" s="459"/>
      <c r="CVA62" s="459"/>
      <c r="CVB62" s="459"/>
      <c r="CVC62" s="459"/>
      <c r="CVD62" s="459"/>
      <c r="CVE62" s="459"/>
      <c r="CVF62" s="459"/>
      <c r="CVG62" s="459"/>
      <c r="CVH62" s="459"/>
      <c r="CVI62" s="459"/>
      <c r="CVJ62" s="459"/>
      <c r="CVK62" s="459"/>
      <c r="CVL62" s="459"/>
      <c r="CVM62" s="459"/>
      <c r="CVN62" s="459"/>
      <c r="CVO62" s="459"/>
      <c r="CVP62" s="459"/>
      <c r="CVQ62" s="459"/>
      <c r="CVR62" s="459"/>
      <c r="CVS62" s="459"/>
      <c r="CVT62" s="459"/>
      <c r="CVU62" s="459"/>
      <c r="CVV62" s="459"/>
      <c r="CVW62" s="459"/>
      <c r="CVX62" s="459"/>
      <c r="CVY62" s="459"/>
      <c r="CVZ62" s="459"/>
      <c r="CWA62" s="459"/>
      <c r="CWB62" s="459"/>
      <c r="CWC62" s="459"/>
      <c r="CWD62" s="459"/>
      <c r="CWE62" s="459"/>
      <c r="CWF62" s="459"/>
      <c r="CWG62" s="459"/>
      <c r="CWH62" s="459"/>
      <c r="CWI62" s="459"/>
      <c r="CWJ62" s="459"/>
      <c r="CWK62" s="459"/>
      <c r="CWL62" s="459"/>
      <c r="CWM62" s="459"/>
      <c r="CWN62" s="459"/>
      <c r="CWO62" s="459"/>
      <c r="CWP62" s="459"/>
      <c r="CWQ62" s="459"/>
      <c r="CWR62" s="459"/>
      <c r="CWS62" s="459"/>
      <c r="CWT62" s="459"/>
      <c r="CWU62" s="459"/>
      <c r="CWV62" s="459"/>
      <c r="CWW62" s="459"/>
      <c r="CWX62" s="459"/>
      <c r="CWY62" s="459"/>
      <c r="CWZ62" s="459"/>
      <c r="CXA62" s="459"/>
      <c r="CXB62" s="459"/>
      <c r="CXC62" s="459"/>
      <c r="CXD62" s="459"/>
      <c r="CXE62" s="459"/>
      <c r="CXF62" s="459"/>
      <c r="CXG62" s="459"/>
      <c r="CXH62" s="459"/>
      <c r="CXI62" s="459"/>
      <c r="CXJ62" s="459"/>
      <c r="CXK62" s="459"/>
      <c r="CXL62" s="459"/>
      <c r="CXM62" s="459"/>
      <c r="CXN62" s="459"/>
      <c r="CXO62" s="459"/>
      <c r="CXP62" s="459"/>
      <c r="CXQ62" s="459"/>
      <c r="CXR62" s="459"/>
      <c r="CXS62" s="459"/>
      <c r="CXT62" s="459"/>
      <c r="CXU62" s="459"/>
      <c r="CXV62" s="459"/>
      <c r="CXW62" s="459"/>
      <c r="CXX62" s="459"/>
      <c r="CXY62" s="459"/>
      <c r="CXZ62" s="459"/>
      <c r="CYA62" s="459"/>
      <c r="CYB62" s="459"/>
      <c r="CYC62" s="459"/>
      <c r="CYD62" s="459"/>
      <c r="CYE62" s="459"/>
      <c r="CYF62" s="459"/>
      <c r="CYG62" s="459"/>
      <c r="CYH62" s="459"/>
      <c r="CYI62" s="459"/>
      <c r="CYJ62" s="459"/>
      <c r="CYK62" s="459"/>
      <c r="CYL62" s="459"/>
      <c r="CYM62" s="459"/>
      <c r="CYN62" s="459"/>
      <c r="CYO62" s="459"/>
      <c r="CYP62" s="459"/>
      <c r="CYQ62" s="459"/>
      <c r="CYR62" s="459"/>
      <c r="CYS62" s="459"/>
      <c r="CYT62" s="459"/>
      <c r="CYU62" s="459"/>
      <c r="CYV62" s="459"/>
      <c r="CYW62" s="459"/>
      <c r="CYX62" s="459"/>
      <c r="CYY62" s="459"/>
      <c r="CYZ62" s="459"/>
      <c r="CZA62" s="459"/>
      <c r="CZB62" s="459"/>
      <c r="CZC62" s="459"/>
      <c r="CZD62" s="459"/>
      <c r="CZE62" s="459"/>
      <c r="CZF62" s="459"/>
      <c r="CZG62" s="459"/>
      <c r="CZH62" s="459"/>
      <c r="CZI62" s="459"/>
      <c r="CZJ62" s="459"/>
      <c r="CZK62" s="459"/>
      <c r="CZL62" s="459"/>
      <c r="CZM62" s="459"/>
      <c r="CZN62" s="459"/>
      <c r="CZO62" s="459"/>
      <c r="CZP62" s="459"/>
      <c r="CZQ62" s="459"/>
      <c r="CZR62" s="459"/>
      <c r="CZS62" s="459"/>
      <c r="CZT62" s="459"/>
      <c r="CZU62" s="459"/>
      <c r="CZV62" s="459"/>
      <c r="CZW62" s="459"/>
      <c r="CZX62" s="459"/>
      <c r="CZY62" s="459"/>
      <c r="CZZ62" s="459"/>
      <c r="DAA62" s="459"/>
      <c r="DAB62" s="459"/>
      <c r="DAC62" s="459"/>
      <c r="DAD62" s="459"/>
      <c r="DAE62" s="459"/>
      <c r="DAF62" s="459"/>
      <c r="DAG62" s="459"/>
      <c r="DAH62" s="459"/>
      <c r="DAI62" s="459"/>
      <c r="DAJ62" s="459"/>
      <c r="DAK62" s="459"/>
      <c r="DAL62" s="459"/>
      <c r="DAM62" s="459"/>
      <c r="DAN62" s="459"/>
      <c r="DAO62" s="459"/>
      <c r="DAP62" s="459"/>
      <c r="DAQ62" s="459"/>
      <c r="DAR62" s="459"/>
      <c r="DAS62" s="459"/>
      <c r="DAT62" s="459"/>
      <c r="DAU62" s="459"/>
      <c r="DAV62" s="459"/>
      <c r="DAW62" s="459"/>
      <c r="DAX62" s="459"/>
      <c r="DAY62" s="459"/>
      <c r="DAZ62" s="459"/>
      <c r="DBA62" s="459"/>
      <c r="DBB62" s="459"/>
      <c r="DBC62" s="459"/>
      <c r="DBD62" s="459"/>
      <c r="DBE62" s="459"/>
      <c r="DBF62" s="459"/>
      <c r="DBG62" s="459"/>
      <c r="DBH62" s="459"/>
      <c r="DBI62" s="459"/>
      <c r="DBJ62" s="459"/>
      <c r="DBK62" s="459"/>
      <c r="DBL62" s="459"/>
      <c r="DBM62" s="459"/>
      <c r="DBN62" s="459"/>
      <c r="DBO62" s="459"/>
      <c r="DBP62" s="459"/>
      <c r="DBQ62" s="459"/>
      <c r="DBR62" s="459"/>
      <c r="DBS62" s="459"/>
      <c r="DBT62" s="459"/>
      <c r="DBU62" s="459"/>
      <c r="DBV62" s="459"/>
      <c r="DBW62" s="459"/>
      <c r="DBX62" s="459"/>
      <c r="DBY62" s="459"/>
      <c r="DBZ62" s="459"/>
      <c r="DCA62" s="459"/>
      <c r="DCB62" s="459"/>
      <c r="DCC62" s="459"/>
      <c r="DCD62" s="459"/>
      <c r="DCE62" s="459"/>
      <c r="DCF62" s="459"/>
      <c r="DCG62" s="459"/>
      <c r="DCH62" s="459"/>
      <c r="DCI62" s="459"/>
      <c r="DCJ62" s="459"/>
      <c r="DCK62" s="459"/>
      <c r="DCL62" s="459"/>
      <c r="DCM62" s="459"/>
      <c r="DCN62" s="459"/>
      <c r="DCO62" s="459"/>
      <c r="DCP62" s="459"/>
      <c r="DCQ62" s="459"/>
      <c r="DCR62" s="459"/>
      <c r="DCS62" s="459"/>
      <c r="DCT62" s="459"/>
      <c r="DCU62" s="459"/>
      <c r="DCV62" s="459"/>
      <c r="DCW62" s="459"/>
      <c r="DCX62" s="459"/>
      <c r="DCY62" s="459"/>
      <c r="DCZ62" s="459"/>
      <c r="DDA62" s="459"/>
      <c r="DDB62" s="459"/>
      <c r="DDC62" s="459"/>
      <c r="DDD62" s="459"/>
      <c r="DDE62" s="459"/>
      <c r="DDF62" s="459"/>
      <c r="DDG62" s="459"/>
      <c r="DDH62" s="459"/>
      <c r="DDI62" s="459"/>
      <c r="DDJ62" s="459"/>
      <c r="DDK62" s="459"/>
      <c r="DDL62" s="459"/>
      <c r="DDM62" s="459"/>
      <c r="DDN62" s="459"/>
      <c r="DDO62" s="459"/>
      <c r="DDP62" s="459"/>
      <c r="DDQ62" s="459"/>
      <c r="DDR62" s="459"/>
      <c r="DDS62" s="459"/>
      <c r="DDT62" s="459"/>
      <c r="DDU62" s="459"/>
      <c r="DDV62" s="459"/>
      <c r="DDW62" s="459"/>
      <c r="DDX62" s="459"/>
      <c r="DDY62" s="459"/>
      <c r="DDZ62" s="459"/>
      <c r="DEA62" s="459"/>
      <c r="DEB62" s="459"/>
      <c r="DEC62" s="459"/>
      <c r="DED62" s="459"/>
      <c r="DEE62" s="459"/>
      <c r="DEF62" s="459"/>
      <c r="DEG62" s="459"/>
      <c r="DEH62" s="459"/>
      <c r="DEI62" s="459"/>
      <c r="DEJ62" s="459"/>
      <c r="DEK62" s="459"/>
      <c r="DEL62" s="459"/>
      <c r="DEM62" s="459"/>
      <c r="DEN62" s="459"/>
      <c r="DEO62" s="459"/>
      <c r="DEP62" s="459"/>
      <c r="DEQ62" s="459"/>
      <c r="DER62" s="459"/>
      <c r="DES62" s="459"/>
      <c r="DET62" s="459"/>
      <c r="DEU62" s="459"/>
      <c r="DEV62" s="459"/>
      <c r="DEW62" s="459"/>
      <c r="DEX62" s="459"/>
      <c r="DEY62" s="459"/>
      <c r="DEZ62" s="459"/>
      <c r="DFA62" s="459"/>
      <c r="DFB62" s="459"/>
      <c r="DFC62" s="459"/>
      <c r="DFD62" s="459"/>
      <c r="DFE62" s="459"/>
      <c r="DFF62" s="459"/>
      <c r="DFG62" s="459"/>
      <c r="DFH62" s="459"/>
      <c r="DFI62" s="459"/>
      <c r="DFJ62" s="459"/>
      <c r="DFK62" s="459"/>
      <c r="DFL62" s="459"/>
      <c r="DFM62" s="459"/>
      <c r="DFN62" s="459"/>
      <c r="DFO62" s="459"/>
      <c r="DFP62" s="459"/>
      <c r="DFQ62" s="459"/>
      <c r="DFR62" s="459"/>
      <c r="DFS62" s="459"/>
      <c r="DFT62" s="459"/>
      <c r="DFU62" s="459"/>
      <c r="DFV62" s="459"/>
      <c r="DFW62" s="459"/>
      <c r="DFX62" s="459"/>
      <c r="DFY62" s="459"/>
      <c r="DFZ62" s="459"/>
      <c r="DGA62" s="459"/>
      <c r="DGB62" s="459"/>
      <c r="DGC62" s="459"/>
      <c r="DGD62" s="459"/>
      <c r="DGE62" s="459"/>
      <c r="DGF62" s="459"/>
      <c r="DGG62" s="459"/>
      <c r="DGH62" s="459"/>
      <c r="DGI62" s="459"/>
      <c r="DGJ62" s="459"/>
      <c r="DGK62" s="459"/>
      <c r="DGL62" s="459"/>
      <c r="DGM62" s="459"/>
      <c r="DGN62" s="459"/>
      <c r="DGO62" s="459"/>
      <c r="DGP62" s="459"/>
      <c r="DGQ62" s="459"/>
      <c r="DGR62" s="459"/>
      <c r="DGS62" s="459"/>
      <c r="DGT62" s="459"/>
      <c r="DGU62" s="459"/>
      <c r="DGV62" s="459"/>
      <c r="DGW62" s="459"/>
      <c r="DGX62" s="459"/>
      <c r="DGY62" s="459"/>
      <c r="DGZ62" s="459"/>
      <c r="DHA62" s="459"/>
      <c r="DHB62" s="459"/>
      <c r="DHC62" s="459"/>
      <c r="DHD62" s="459"/>
      <c r="DHE62" s="459"/>
      <c r="DHF62" s="459"/>
      <c r="DHG62" s="459"/>
      <c r="DHH62" s="459"/>
      <c r="DHI62" s="459"/>
      <c r="DHJ62" s="459"/>
      <c r="DHK62" s="459"/>
      <c r="DHL62" s="459"/>
      <c r="DHM62" s="459"/>
      <c r="DHN62" s="459"/>
      <c r="DHO62" s="459"/>
      <c r="DHP62" s="459"/>
      <c r="DHQ62" s="459"/>
      <c r="DHR62" s="459"/>
      <c r="DHS62" s="459"/>
      <c r="DHT62" s="459"/>
      <c r="DHU62" s="459"/>
      <c r="DHV62" s="459"/>
      <c r="DHW62" s="459"/>
      <c r="DHX62" s="459"/>
      <c r="DHY62" s="459"/>
      <c r="DHZ62" s="459"/>
      <c r="DIA62" s="459"/>
      <c r="DIB62" s="459"/>
      <c r="DIC62" s="459"/>
      <c r="DID62" s="459"/>
      <c r="DIE62" s="459"/>
      <c r="DIF62" s="459"/>
      <c r="DIG62" s="459"/>
      <c r="DIH62" s="459"/>
      <c r="DII62" s="459"/>
      <c r="DIJ62" s="459"/>
      <c r="DIK62" s="459"/>
      <c r="DIL62" s="459"/>
      <c r="DIM62" s="459"/>
      <c r="DIN62" s="459"/>
      <c r="DIO62" s="459"/>
      <c r="DIP62" s="459"/>
      <c r="DIQ62" s="459"/>
      <c r="DIR62" s="459"/>
      <c r="DIS62" s="459"/>
      <c r="DIT62" s="459"/>
      <c r="DIU62" s="459"/>
      <c r="DIV62" s="459"/>
      <c r="DIW62" s="459"/>
      <c r="DIX62" s="459"/>
      <c r="DIY62" s="459"/>
      <c r="DIZ62" s="459"/>
      <c r="DJA62" s="459"/>
      <c r="DJB62" s="459"/>
      <c r="DJC62" s="459"/>
      <c r="DJD62" s="459"/>
      <c r="DJE62" s="459"/>
      <c r="DJF62" s="459"/>
      <c r="DJG62" s="459"/>
      <c r="DJH62" s="459"/>
      <c r="DJI62" s="459"/>
      <c r="DJJ62" s="459"/>
      <c r="DJK62" s="459"/>
      <c r="DJL62" s="459"/>
      <c r="DJM62" s="459"/>
      <c r="DJN62" s="459"/>
      <c r="DJO62" s="459"/>
      <c r="DJP62" s="459"/>
      <c r="DJQ62" s="459"/>
      <c r="DJR62" s="459"/>
      <c r="DJS62" s="459"/>
      <c r="DJT62" s="459"/>
      <c r="DJU62" s="459"/>
      <c r="DJV62" s="459"/>
      <c r="DJW62" s="459"/>
      <c r="DJX62" s="459"/>
      <c r="DJY62" s="459"/>
      <c r="DJZ62" s="459"/>
      <c r="DKA62" s="459"/>
      <c r="DKB62" s="459"/>
      <c r="DKC62" s="459"/>
      <c r="DKD62" s="459"/>
      <c r="DKE62" s="459"/>
      <c r="DKF62" s="459"/>
      <c r="DKG62" s="459"/>
      <c r="DKH62" s="459"/>
      <c r="DKI62" s="459"/>
      <c r="DKJ62" s="459"/>
      <c r="DKK62" s="459"/>
      <c r="DKL62" s="459"/>
      <c r="DKM62" s="459"/>
      <c r="DKN62" s="459"/>
      <c r="DKO62" s="459"/>
      <c r="DKP62" s="459"/>
      <c r="DKQ62" s="459"/>
      <c r="DKR62" s="459"/>
      <c r="DKS62" s="459"/>
      <c r="DKT62" s="459"/>
      <c r="DKU62" s="459"/>
      <c r="DKV62" s="459"/>
      <c r="DKW62" s="459"/>
      <c r="DKX62" s="459"/>
      <c r="DKY62" s="459"/>
      <c r="DKZ62" s="459"/>
      <c r="DLA62" s="459"/>
      <c r="DLB62" s="459"/>
      <c r="DLC62" s="459"/>
      <c r="DLD62" s="459"/>
      <c r="DLE62" s="459"/>
      <c r="DLF62" s="459"/>
      <c r="DLG62" s="459"/>
      <c r="DLH62" s="459"/>
      <c r="DLI62" s="459"/>
      <c r="DLJ62" s="459"/>
      <c r="DLK62" s="459"/>
      <c r="DLL62" s="459"/>
      <c r="DLM62" s="459"/>
      <c r="DLN62" s="459"/>
      <c r="DLO62" s="459"/>
      <c r="DLP62" s="459"/>
      <c r="DLQ62" s="459"/>
      <c r="DLR62" s="459"/>
      <c r="DLS62" s="459"/>
      <c r="DLT62" s="459"/>
      <c r="DLU62" s="459"/>
      <c r="DLV62" s="459"/>
      <c r="DLW62" s="459"/>
      <c r="DLX62" s="459"/>
      <c r="DLY62" s="459"/>
      <c r="DLZ62" s="459"/>
      <c r="DMA62" s="459"/>
      <c r="DMB62" s="459"/>
      <c r="DMC62" s="459"/>
      <c r="DMD62" s="459"/>
      <c r="DME62" s="459"/>
      <c r="DMF62" s="459"/>
      <c r="DMG62" s="459"/>
      <c r="DMH62" s="459"/>
      <c r="DMI62" s="459"/>
      <c r="DMJ62" s="459"/>
      <c r="DMK62" s="459"/>
      <c r="DML62" s="459"/>
      <c r="DMM62" s="459"/>
      <c r="DMN62" s="459"/>
      <c r="DMO62" s="459"/>
      <c r="DMP62" s="459"/>
      <c r="DMQ62" s="459"/>
      <c r="DMR62" s="459"/>
      <c r="DMS62" s="459"/>
      <c r="DMT62" s="459"/>
      <c r="DMU62" s="459"/>
      <c r="DMV62" s="459"/>
      <c r="DMW62" s="459"/>
      <c r="DMX62" s="459"/>
      <c r="DMY62" s="459"/>
      <c r="DMZ62" s="459"/>
      <c r="DNA62" s="459"/>
      <c r="DNB62" s="459"/>
      <c r="DNC62" s="459"/>
      <c r="DND62" s="459"/>
      <c r="DNE62" s="459"/>
      <c r="DNF62" s="459"/>
      <c r="DNG62" s="459"/>
      <c r="DNH62" s="459"/>
      <c r="DNI62" s="459"/>
      <c r="DNJ62" s="459"/>
      <c r="DNK62" s="459"/>
      <c r="DNL62" s="459"/>
      <c r="DNM62" s="459"/>
      <c r="DNN62" s="459"/>
      <c r="DNO62" s="459"/>
      <c r="DNP62" s="459"/>
      <c r="DNQ62" s="459"/>
      <c r="DNR62" s="459"/>
      <c r="DNS62" s="459"/>
      <c r="DNT62" s="459"/>
      <c r="DNU62" s="459"/>
      <c r="DNV62" s="459"/>
      <c r="DNW62" s="459"/>
      <c r="DNX62" s="459"/>
      <c r="DNY62" s="459"/>
      <c r="DNZ62" s="459"/>
      <c r="DOA62" s="459"/>
      <c r="DOB62" s="459"/>
      <c r="DOC62" s="459"/>
      <c r="DOD62" s="459"/>
      <c r="DOE62" s="459"/>
      <c r="DOF62" s="459"/>
      <c r="DOG62" s="459"/>
      <c r="DOH62" s="459"/>
      <c r="DOI62" s="459"/>
      <c r="DOJ62" s="459"/>
      <c r="DOK62" s="459"/>
      <c r="DOL62" s="459"/>
      <c r="DOM62" s="459"/>
      <c r="DON62" s="459"/>
      <c r="DOO62" s="459"/>
      <c r="DOP62" s="459"/>
      <c r="DOQ62" s="459"/>
      <c r="DOR62" s="459"/>
      <c r="DOS62" s="459"/>
      <c r="DOT62" s="459"/>
      <c r="DOU62" s="459"/>
      <c r="DOV62" s="459"/>
      <c r="DOW62" s="459"/>
      <c r="DOX62" s="459"/>
      <c r="DOY62" s="459"/>
      <c r="DOZ62" s="459"/>
      <c r="DPA62" s="459"/>
      <c r="DPB62" s="459"/>
      <c r="DPC62" s="459"/>
      <c r="DPD62" s="459"/>
      <c r="DPE62" s="459"/>
      <c r="DPF62" s="459"/>
      <c r="DPG62" s="459"/>
      <c r="DPH62" s="459"/>
      <c r="DPI62" s="459"/>
      <c r="DPJ62" s="459"/>
      <c r="DPK62" s="459"/>
      <c r="DPL62" s="459"/>
      <c r="DPM62" s="459"/>
      <c r="DPN62" s="459"/>
      <c r="DPO62" s="459"/>
      <c r="DPP62" s="459"/>
      <c r="DPQ62" s="459"/>
      <c r="DPR62" s="459"/>
      <c r="DPS62" s="459"/>
      <c r="DPT62" s="459"/>
      <c r="DPU62" s="459"/>
      <c r="DPV62" s="459"/>
      <c r="DPW62" s="459"/>
      <c r="DPX62" s="459"/>
      <c r="DPY62" s="459"/>
      <c r="DPZ62" s="459"/>
      <c r="DQA62" s="459"/>
      <c r="DQB62" s="459"/>
      <c r="DQC62" s="459"/>
      <c r="DQD62" s="459"/>
      <c r="DQE62" s="459"/>
      <c r="DQF62" s="459"/>
      <c r="DQG62" s="459"/>
      <c r="DQH62" s="459"/>
      <c r="DQI62" s="459"/>
      <c r="DQJ62" s="459"/>
      <c r="DQK62" s="459"/>
      <c r="DQL62" s="459"/>
      <c r="DQM62" s="459"/>
      <c r="DQN62" s="459"/>
      <c r="DQO62" s="459"/>
      <c r="DQP62" s="459"/>
      <c r="DQQ62" s="459"/>
      <c r="DQR62" s="459"/>
      <c r="DQS62" s="459"/>
      <c r="DQT62" s="459"/>
      <c r="DQU62" s="459"/>
      <c r="DQV62" s="459"/>
      <c r="DQW62" s="459"/>
      <c r="DQX62" s="459"/>
      <c r="DQY62" s="459"/>
      <c r="DQZ62" s="459"/>
      <c r="DRA62" s="459"/>
      <c r="DRB62" s="459"/>
      <c r="DRC62" s="459"/>
      <c r="DRD62" s="459"/>
      <c r="DRE62" s="459"/>
      <c r="DRF62" s="459"/>
      <c r="DRG62" s="459"/>
      <c r="DRH62" s="459"/>
      <c r="DRI62" s="459"/>
      <c r="DRJ62" s="459"/>
      <c r="DRK62" s="459"/>
      <c r="DRL62" s="459"/>
      <c r="DRM62" s="459"/>
      <c r="DRN62" s="459"/>
      <c r="DRO62" s="459"/>
      <c r="DRP62" s="459"/>
      <c r="DRQ62" s="459"/>
      <c r="DRR62" s="459"/>
      <c r="DRS62" s="459"/>
      <c r="DRT62" s="459"/>
      <c r="DRU62" s="459"/>
      <c r="DRV62" s="459"/>
      <c r="DRW62" s="459"/>
      <c r="DRX62" s="459"/>
      <c r="DRY62" s="459"/>
      <c r="DRZ62" s="459"/>
      <c r="DSA62" s="459"/>
      <c r="DSB62" s="459"/>
      <c r="DSC62" s="459"/>
      <c r="DSD62" s="459"/>
      <c r="DSE62" s="459"/>
      <c r="DSF62" s="459"/>
      <c r="DSG62" s="459"/>
      <c r="DSH62" s="459"/>
      <c r="DSI62" s="459"/>
      <c r="DSJ62" s="459"/>
      <c r="DSK62" s="459"/>
      <c r="DSL62" s="459"/>
      <c r="DSM62" s="459"/>
      <c r="DSN62" s="459"/>
      <c r="DSO62" s="459"/>
      <c r="DSP62" s="459"/>
      <c r="DSQ62" s="459"/>
      <c r="DSR62" s="459"/>
      <c r="DSS62" s="459"/>
      <c r="DST62" s="459"/>
      <c r="DSU62" s="459"/>
      <c r="DSV62" s="459"/>
      <c r="DSW62" s="459"/>
      <c r="DSX62" s="459"/>
      <c r="DSY62" s="459"/>
      <c r="DSZ62" s="459"/>
      <c r="DTA62" s="459"/>
      <c r="DTB62" s="459"/>
      <c r="DTC62" s="459"/>
      <c r="DTD62" s="459"/>
      <c r="DTE62" s="459"/>
      <c r="DTF62" s="459"/>
      <c r="DTG62" s="459"/>
      <c r="DTH62" s="459"/>
      <c r="DTI62" s="459"/>
      <c r="DTJ62" s="459"/>
      <c r="DTK62" s="459"/>
      <c r="DTL62" s="459"/>
      <c r="DTM62" s="459"/>
      <c r="DTN62" s="459"/>
      <c r="DTO62" s="459"/>
      <c r="DTP62" s="459"/>
      <c r="DTQ62" s="459"/>
      <c r="DTR62" s="459"/>
      <c r="DTS62" s="459"/>
      <c r="DTT62" s="459"/>
      <c r="DTU62" s="459"/>
      <c r="DTV62" s="459"/>
      <c r="DTW62" s="459"/>
      <c r="DTX62" s="459"/>
      <c r="DTY62" s="459"/>
      <c r="DTZ62" s="459"/>
      <c r="DUA62" s="459"/>
      <c r="DUB62" s="459"/>
      <c r="DUC62" s="459"/>
      <c r="DUD62" s="459"/>
      <c r="DUE62" s="459"/>
      <c r="DUF62" s="459"/>
      <c r="DUG62" s="459"/>
      <c r="DUH62" s="459"/>
      <c r="DUI62" s="459"/>
      <c r="DUJ62" s="459"/>
      <c r="DUK62" s="459"/>
      <c r="DUL62" s="459"/>
      <c r="DUM62" s="459"/>
      <c r="DUN62" s="459"/>
      <c r="DUO62" s="459"/>
      <c r="DUP62" s="459"/>
      <c r="DUQ62" s="459"/>
      <c r="DUR62" s="459"/>
      <c r="DUS62" s="459"/>
      <c r="DUT62" s="459"/>
      <c r="DUU62" s="459"/>
      <c r="DUV62" s="459"/>
      <c r="DUW62" s="459"/>
      <c r="DUX62" s="459"/>
      <c r="DUY62" s="459"/>
      <c r="DUZ62" s="459"/>
      <c r="DVA62" s="459"/>
      <c r="DVB62" s="459"/>
      <c r="DVC62" s="459"/>
      <c r="DVD62" s="459"/>
      <c r="DVE62" s="459"/>
      <c r="DVF62" s="459"/>
      <c r="DVG62" s="459"/>
      <c r="DVH62" s="459"/>
      <c r="DVI62" s="459"/>
      <c r="DVJ62" s="459"/>
      <c r="DVK62" s="459"/>
      <c r="DVL62" s="459"/>
      <c r="DVM62" s="459"/>
      <c r="DVN62" s="459"/>
      <c r="DVO62" s="459"/>
      <c r="DVP62" s="459"/>
      <c r="DVQ62" s="459"/>
      <c r="DVR62" s="459"/>
      <c r="DVS62" s="459"/>
      <c r="DVT62" s="459"/>
      <c r="DVU62" s="459"/>
      <c r="DVV62" s="459"/>
      <c r="DVW62" s="459"/>
      <c r="DVX62" s="459"/>
      <c r="DVY62" s="459"/>
      <c r="DVZ62" s="459"/>
      <c r="DWA62" s="459"/>
      <c r="DWB62" s="459"/>
      <c r="DWC62" s="459"/>
      <c r="DWD62" s="459"/>
      <c r="DWE62" s="459"/>
      <c r="DWF62" s="459"/>
      <c r="DWG62" s="459"/>
      <c r="DWH62" s="459"/>
      <c r="DWI62" s="459"/>
      <c r="DWJ62" s="459"/>
      <c r="DWK62" s="459"/>
      <c r="DWL62" s="459"/>
      <c r="DWM62" s="459"/>
      <c r="DWN62" s="459"/>
      <c r="DWO62" s="459"/>
      <c r="DWP62" s="459"/>
      <c r="DWQ62" s="459"/>
      <c r="DWR62" s="459"/>
      <c r="DWS62" s="459"/>
      <c r="DWT62" s="459"/>
      <c r="DWU62" s="459"/>
      <c r="DWV62" s="459"/>
      <c r="DWW62" s="459"/>
      <c r="DWX62" s="459"/>
      <c r="DWY62" s="459"/>
      <c r="DWZ62" s="459"/>
      <c r="DXA62" s="459"/>
      <c r="DXB62" s="459"/>
      <c r="DXC62" s="459"/>
      <c r="DXD62" s="459"/>
      <c r="DXE62" s="459"/>
      <c r="DXF62" s="459"/>
      <c r="DXG62" s="459"/>
      <c r="DXH62" s="459"/>
      <c r="DXI62" s="459"/>
      <c r="DXJ62" s="459"/>
      <c r="DXK62" s="459"/>
      <c r="DXL62" s="459"/>
      <c r="DXM62" s="459"/>
      <c r="DXN62" s="459"/>
      <c r="DXO62" s="459"/>
      <c r="DXP62" s="459"/>
      <c r="DXQ62" s="459"/>
      <c r="DXR62" s="459"/>
      <c r="DXS62" s="459"/>
      <c r="DXT62" s="459"/>
      <c r="DXU62" s="459"/>
      <c r="DXV62" s="459"/>
      <c r="DXW62" s="459"/>
      <c r="DXX62" s="459"/>
      <c r="DXY62" s="459"/>
      <c r="DXZ62" s="459"/>
      <c r="DYA62" s="459"/>
      <c r="DYB62" s="459"/>
      <c r="DYC62" s="459"/>
      <c r="DYD62" s="459"/>
      <c r="DYE62" s="459"/>
      <c r="DYF62" s="459"/>
      <c r="DYG62" s="459"/>
      <c r="DYH62" s="459"/>
      <c r="DYI62" s="459"/>
      <c r="DYJ62" s="459"/>
      <c r="DYK62" s="459"/>
      <c r="DYL62" s="459"/>
      <c r="DYM62" s="459"/>
      <c r="DYN62" s="459"/>
      <c r="DYO62" s="459"/>
      <c r="DYP62" s="459"/>
      <c r="DYQ62" s="459"/>
      <c r="DYR62" s="459"/>
      <c r="DYS62" s="459"/>
      <c r="DYT62" s="459"/>
      <c r="DYU62" s="459"/>
      <c r="DYV62" s="459"/>
      <c r="DYW62" s="459"/>
      <c r="DYX62" s="459"/>
      <c r="DYY62" s="459"/>
      <c r="DYZ62" s="459"/>
      <c r="DZA62" s="459"/>
      <c r="DZB62" s="459"/>
      <c r="DZC62" s="459"/>
      <c r="DZD62" s="459"/>
      <c r="DZE62" s="459"/>
      <c r="DZF62" s="459"/>
      <c r="DZG62" s="459"/>
      <c r="DZH62" s="459"/>
      <c r="DZI62" s="459"/>
      <c r="DZJ62" s="459"/>
      <c r="DZK62" s="459"/>
      <c r="DZL62" s="459"/>
      <c r="DZM62" s="459"/>
      <c r="DZN62" s="459"/>
      <c r="DZO62" s="459"/>
      <c r="DZP62" s="459"/>
      <c r="DZQ62" s="459"/>
      <c r="DZR62" s="459"/>
      <c r="DZS62" s="459"/>
      <c r="DZT62" s="459"/>
      <c r="DZU62" s="459"/>
      <c r="DZV62" s="459"/>
      <c r="DZW62" s="459"/>
      <c r="DZX62" s="459"/>
      <c r="DZY62" s="459"/>
      <c r="DZZ62" s="459"/>
      <c r="EAA62" s="459"/>
      <c r="EAB62" s="459"/>
      <c r="EAC62" s="459"/>
      <c r="EAD62" s="459"/>
      <c r="EAE62" s="459"/>
      <c r="EAF62" s="459"/>
      <c r="EAG62" s="459"/>
      <c r="EAH62" s="459"/>
      <c r="EAI62" s="459"/>
      <c r="EAJ62" s="459"/>
      <c r="EAK62" s="459"/>
      <c r="EAL62" s="459"/>
      <c r="EAM62" s="459"/>
      <c r="EAN62" s="459"/>
      <c r="EAO62" s="459"/>
      <c r="EAP62" s="459"/>
      <c r="EAQ62" s="459"/>
      <c r="EAR62" s="459"/>
      <c r="EAS62" s="459"/>
      <c r="EAT62" s="459"/>
      <c r="EAU62" s="459"/>
      <c r="EAV62" s="459"/>
      <c r="EAW62" s="459"/>
      <c r="EAX62" s="459"/>
      <c r="EAY62" s="459"/>
      <c r="EAZ62" s="459"/>
      <c r="EBA62" s="459"/>
      <c r="EBB62" s="459"/>
      <c r="EBC62" s="459"/>
      <c r="EBD62" s="459"/>
      <c r="EBE62" s="459"/>
      <c r="EBF62" s="459"/>
      <c r="EBG62" s="459"/>
      <c r="EBH62" s="459"/>
      <c r="EBI62" s="459"/>
      <c r="EBJ62" s="459"/>
      <c r="EBK62" s="459"/>
      <c r="EBL62" s="459"/>
      <c r="EBM62" s="459"/>
      <c r="EBN62" s="459"/>
      <c r="EBO62" s="459"/>
      <c r="EBP62" s="459"/>
      <c r="EBQ62" s="459"/>
      <c r="EBR62" s="459"/>
      <c r="EBS62" s="459"/>
      <c r="EBT62" s="459"/>
      <c r="EBU62" s="459"/>
      <c r="EBV62" s="459"/>
      <c r="EBW62" s="459"/>
      <c r="EBX62" s="459"/>
      <c r="EBY62" s="459"/>
      <c r="EBZ62" s="459"/>
      <c r="ECA62" s="459"/>
      <c r="ECB62" s="459"/>
      <c r="ECC62" s="459"/>
      <c r="ECD62" s="459"/>
      <c r="ECE62" s="459"/>
      <c r="ECF62" s="459"/>
      <c r="ECG62" s="459"/>
      <c r="ECH62" s="459"/>
      <c r="ECI62" s="459"/>
      <c r="ECJ62" s="459"/>
      <c r="ECK62" s="459"/>
      <c r="ECL62" s="459"/>
      <c r="ECM62" s="459"/>
      <c r="ECN62" s="459"/>
      <c r="ECO62" s="459"/>
      <c r="ECP62" s="459"/>
      <c r="ECQ62" s="459"/>
      <c r="ECR62" s="459"/>
      <c r="ECS62" s="459"/>
      <c r="ECT62" s="459"/>
      <c r="ECU62" s="459"/>
      <c r="ECV62" s="459"/>
      <c r="ECW62" s="459"/>
      <c r="ECX62" s="459"/>
      <c r="ECY62" s="459"/>
      <c r="ECZ62" s="459"/>
      <c r="EDA62" s="459"/>
      <c r="EDB62" s="459"/>
      <c r="EDC62" s="459"/>
      <c r="EDD62" s="459"/>
      <c r="EDE62" s="459"/>
      <c r="EDF62" s="459"/>
      <c r="EDG62" s="459"/>
      <c r="EDH62" s="459"/>
      <c r="EDI62" s="459"/>
      <c r="EDJ62" s="459"/>
      <c r="EDK62" s="459"/>
      <c r="EDL62" s="459"/>
      <c r="EDM62" s="459"/>
      <c r="EDN62" s="459"/>
      <c r="EDO62" s="459"/>
      <c r="EDP62" s="459"/>
      <c r="EDQ62" s="459"/>
      <c r="EDR62" s="459"/>
      <c r="EDS62" s="459"/>
      <c r="EDT62" s="459"/>
      <c r="EDU62" s="459"/>
      <c r="EDV62" s="459"/>
      <c r="EDW62" s="459"/>
      <c r="EDX62" s="459"/>
      <c r="EDY62" s="459"/>
      <c r="EDZ62" s="459"/>
      <c r="EEA62" s="459"/>
      <c r="EEB62" s="459"/>
      <c r="EEC62" s="459"/>
      <c r="EED62" s="459"/>
      <c r="EEE62" s="459"/>
      <c r="EEF62" s="459"/>
      <c r="EEG62" s="459"/>
      <c r="EEH62" s="459"/>
      <c r="EEI62" s="459"/>
      <c r="EEJ62" s="459"/>
      <c r="EEK62" s="459"/>
      <c r="EEL62" s="459"/>
      <c r="EEM62" s="459"/>
      <c r="EEN62" s="459"/>
      <c r="EEO62" s="459"/>
      <c r="EEP62" s="459"/>
      <c r="EEQ62" s="459"/>
      <c r="EER62" s="459"/>
      <c r="EES62" s="459"/>
      <c r="EET62" s="459"/>
      <c r="EEU62" s="459"/>
      <c r="EEV62" s="459"/>
      <c r="EEW62" s="459"/>
      <c r="EEX62" s="459"/>
      <c r="EEY62" s="459"/>
      <c r="EEZ62" s="459"/>
      <c r="EFA62" s="459"/>
      <c r="EFB62" s="459"/>
      <c r="EFC62" s="459"/>
      <c r="EFD62" s="459"/>
      <c r="EFE62" s="459"/>
      <c r="EFF62" s="459"/>
      <c r="EFG62" s="459"/>
      <c r="EFH62" s="459"/>
      <c r="EFI62" s="459"/>
      <c r="EFJ62" s="459"/>
      <c r="EFK62" s="459"/>
      <c r="EFL62" s="459"/>
      <c r="EFM62" s="459"/>
      <c r="EFN62" s="459"/>
      <c r="EFO62" s="459"/>
      <c r="EFP62" s="459"/>
      <c r="EFQ62" s="459"/>
      <c r="EFR62" s="459"/>
      <c r="EFS62" s="459"/>
      <c r="EFT62" s="459"/>
      <c r="EFU62" s="459"/>
      <c r="EFV62" s="459"/>
      <c r="EFW62" s="459"/>
      <c r="EFX62" s="459"/>
      <c r="EFY62" s="459"/>
      <c r="EFZ62" s="459"/>
      <c r="EGA62" s="459"/>
      <c r="EGB62" s="459"/>
      <c r="EGC62" s="459"/>
      <c r="EGD62" s="459"/>
      <c r="EGE62" s="459"/>
      <c r="EGF62" s="459"/>
      <c r="EGG62" s="459"/>
      <c r="EGH62" s="459"/>
      <c r="EGI62" s="459"/>
      <c r="EGJ62" s="459"/>
      <c r="EGK62" s="459"/>
      <c r="EGL62" s="459"/>
      <c r="EGM62" s="459"/>
      <c r="EGN62" s="459"/>
      <c r="EGO62" s="459"/>
      <c r="EGP62" s="459"/>
      <c r="EGQ62" s="459"/>
      <c r="EGR62" s="459"/>
      <c r="EGS62" s="459"/>
      <c r="EGT62" s="459"/>
      <c r="EGU62" s="459"/>
      <c r="EGV62" s="459"/>
      <c r="EGW62" s="459"/>
      <c r="EGX62" s="459"/>
      <c r="EGY62" s="459"/>
      <c r="EGZ62" s="459"/>
      <c r="EHA62" s="459"/>
      <c r="EHB62" s="459"/>
      <c r="EHC62" s="459"/>
      <c r="EHD62" s="459"/>
      <c r="EHE62" s="459"/>
      <c r="EHF62" s="459"/>
      <c r="EHG62" s="459"/>
      <c r="EHH62" s="459"/>
      <c r="EHI62" s="459"/>
      <c r="EHJ62" s="459"/>
      <c r="EHK62" s="459"/>
      <c r="EHL62" s="459"/>
      <c r="EHM62" s="459"/>
      <c r="EHN62" s="459"/>
      <c r="EHO62" s="459"/>
      <c r="EHP62" s="459"/>
      <c r="EHQ62" s="459"/>
      <c r="EHR62" s="459"/>
      <c r="EHS62" s="459"/>
      <c r="EHT62" s="459"/>
      <c r="EHU62" s="459"/>
      <c r="EHV62" s="459"/>
      <c r="EHW62" s="459"/>
      <c r="EHX62" s="459"/>
      <c r="EHY62" s="459"/>
      <c r="EHZ62" s="459"/>
      <c r="EIA62" s="459"/>
      <c r="EIB62" s="459"/>
      <c r="EIC62" s="459"/>
      <c r="EID62" s="459"/>
      <c r="EIE62" s="459"/>
      <c r="EIF62" s="459"/>
      <c r="EIG62" s="459"/>
      <c r="EIH62" s="459"/>
      <c r="EII62" s="459"/>
      <c r="EIJ62" s="459"/>
      <c r="EIK62" s="459"/>
      <c r="EIL62" s="459"/>
      <c r="EIM62" s="459"/>
      <c r="EIN62" s="459"/>
      <c r="EIO62" s="459"/>
      <c r="EIP62" s="459"/>
      <c r="EIQ62" s="459"/>
      <c r="EIR62" s="459"/>
      <c r="EIS62" s="459"/>
      <c r="EIT62" s="459"/>
      <c r="EIU62" s="459"/>
      <c r="EIV62" s="459"/>
      <c r="EIW62" s="459"/>
      <c r="EIX62" s="459"/>
      <c r="EIY62" s="459"/>
      <c r="EIZ62" s="459"/>
      <c r="EJA62" s="459"/>
      <c r="EJB62" s="459"/>
      <c r="EJC62" s="459"/>
      <c r="EJD62" s="459"/>
      <c r="EJE62" s="459"/>
      <c r="EJF62" s="459"/>
      <c r="EJG62" s="459"/>
      <c r="EJH62" s="459"/>
      <c r="EJI62" s="459"/>
      <c r="EJJ62" s="459"/>
      <c r="EJK62" s="459"/>
      <c r="EJL62" s="459"/>
      <c r="EJM62" s="459"/>
      <c r="EJN62" s="459"/>
      <c r="EJO62" s="459"/>
      <c r="EJP62" s="459"/>
      <c r="EJQ62" s="459"/>
      <c r="EJR62" s="459"/>
      <c r="EJS62" s="459"/>
      <c r="EJT62" s="459"/>
      <c r="EJU62" s="459"/>
      <c r="EJV62" s="459"/>
      <c r="EJW62" s="459"/>
      <c r="EJX62" s="459"/>
      <c r="EJY62" s="459"/>
      <c r="EJZ62" s="459"/>
      <c r="EKA62" s="459"/>
      <c r="EKB62" s="459"/>
      <c r="EKC62" s="459"/>
      <c r="EKD62" s="459"/>
      <c r="EKE62" s="459"/>
      <c r="EKF62" s="459"/>
      <c r="EKG62" s="459"/>
      <c r="EKH62" s="459"/>
      <c r="EKI62" s="459"/>
      <c r="EKJ62" s="459"/>
      <c r="EKK62" s="459"/>
      <c r="EKL62" s="459"/>
      <c r="EKM62" s="459"/>
      <c r="EKN62" s="459"/>
      <c r="EKO62" s="459"/>
      <c r="EKP62" s="459"/>
      <c r="EKQ62" s="459"/>
      <c r="EKR62" s="459"/>
      <c r="EKS62" s="459"/>
      <c r="EKT62" s="459"/>
      <c r="EKU62" s="459"/>
      <c r="EKV62" s="459"/>
      <c r="EKW62" s="459"/>
      <c r="EKX62" s="459"/>
      <c r="EKY62" s="459"/>
      <c r="EKZ62" s="459"/>
      <c r="ELA62" s="459"/>
      <c r="ELB62" s="459"/>
      <c r="ELC62" s="459"/>
      <c r="ELD62" s="459"/>
      <c r="ELE62" s="459"/>
      <c r="ELF62" s="459"/>
      <c r="ELG62" s="459"/>
      <c r="ELH62" s="459"/>
      <c r="ELI62" s="459"/>
      <c r="ELJ62" s="459"/>
      <c r="ELK62" s="459"/>
      <c r="ELL62" s="459"/>
      <c r="ELM62" s="459"/>
      <c r="ELN62" s="459"/>
      <c r="ELO62" s="459"/>
      <c r="ELP62" s="459"/>
      <c r="ELQ62" s="459"/>
      <c r="ELR62" s="459"/>
      <c r="ELS62" s="459"/>
      <c r="ELT62" s="459"/>
      <c r="ELU62" s="459"/>
      <c r="ELV62" s="459"/>
      <c r="ELW62" s="459"/>
      <c r="ELX62" s="459"/>
      <c r="ELY62" s="459"/>
      <c r="ELZ62" s="459"/>
      <c r="EMA62" s="459"/>
      <c r="EMB62" s="459"/>
      <c r="EMC62" s="459"/>
      <c r="EMD62" s="459"/>
      <c r="EME62" s="459"/>
      <c r="EMF62" s="459"/>
      <c r="EMG62" s="459"/>
      <c r="EMH62" s="459"/>
      <c r="EMI62" s="459"/>
      <c r="EMJ62" s="459"/>
      <c r="EMK62" s="459"/>
      <c r="EML62" s="459"/>
      <c r="EMM62" s="459"/>
      <c r="EMN62" s="459"/>
      <c r="EMO62" s="459"/>
      <c r="EMP62" s="459"/>
      <c r="EMQ62" s="459"/>
      <c r="EMR62" s="459"/>
      <c r="EMS62" s="459"/>
      <c r="EMT62" s="459"/>
      <c r="EMU62" s="459"/>
      <c r="EMV62" s="459"/>
      <c r="EMW62" s="459"/>
      <c r="EMX62" s="459"/>
      <c r="EMY62" s="459"/>
      <c r="EMZ62" s="459"/>
      <c r="ENA62" s="459"/>
      <c r="ENB62" s="459"/>
      <c r="ENC62" s="459"/>
      <c r="END62" s="459"/>
      <c r="ENE62" s="459"/>
      <c r="ENF62" s="459"/>
      <c r="ENG62" s="459"/>
      <c r="ENH62" s="459"/>
      <c r="ENI62" s="459"/>
      <c r="ENJ62" s="459"/>
      <c r="ENK62" s="459"/>
      <c r="ENL62" s="459"/>
      <c r="ENM62" s="459"/>
      <c r="ENN62" s="459"/>
      <c r="ENO62" s="459"/>
      <c r="ENP62" s="459"/>
      <c r="ENQ62" s="459"/>
      <c r="ENR62" s="459"/>
      <c r="ENS62" s="459"/>
      <c r="ENT62" s="459"/>
      <c r="ENU62" s="459"/>
      <c r="ENV62" s="459"/>
      <c r="ENW62" s="459"/>
      <c r="ENX62" s="459"/>
      <c r="ENY62" s="459"/>
      <c r="ENZ62" s="459"/>
      <c r="EOA62" s="459"/>
      <c r="EOB62" s="459"/>
      <c r="EOC62" s="459"/>
      <c r="EOD62" s="459"/>
      <c r="EOE62" s="459"/>
      <c r="EOF62" s="459"/>
      <c r="EOG62" s="459"/>
      <c r="EOH62" s="459"/>
      <c r="EOI62" s="459"/>
      <c r="EOJ62" s="459"/>
      <c r="EOK62" s="459"/>
      <c r="EOL62" s="459"/>
      <c r="EOM62" s="459"/>
      <c r="EON62" s="459"/>
      <c r="EOO62" s="459"/>
      <c r="EOP62" s="459"/>
      <c r="EOQ62" s="459"/>
      <c r="EOR62" s="459"/>
      <c r="EOS62" s="459"/>
      <c r="EOT62" s="459"/>
      <c r="EOU62" s="459"/>
      <c r="EOV62" s="459"/>
      <c r="EOW62" s="459"/>
      <c r="EOX62" s="459"/>
      <c r="EOY62" s="459"/>
      <c r="EOZ62" s="459"/>
      <c r="EPA62" s="459"/>
      <c r="EPB62" s="459"/>
      <c r="EPC62" s="459"/>
      <c r="EPD62" s="459"/>
      <c r="EPE62" s="459"/>
      <c r="EPF62" s="459"/>
      <c r="EPG62" s="459"/>
      <c r="EPH62" s="459"/>
      <c r="EPI62" s="459"/>
      <c r="EPJ62" s="459"/>
      <c r="EPK62" s="459"/>
      <c r="EPL62" s="459"/>
      <c r="EPM62" s="459"/>
      <c r="EPN62" s="459"/>
      <c r="EPO62" s="459"/>
      <c r="EPP62" s="459"/>
      <c r="EPQ62" s="459"/>
      <c r="EPR62" s="459"/>
      <c r="EPS62" s="459"/>
      <c r="EPT62" s="459"/>
      <c r="EPU62" s="459"/>
      <c r="EPV62" s="459"/>
      <c r="EPW62" s="459"/>
      <c r="EPX62" s="459"/>
      <c r="EPY62" s="459"/>
      <c r="EPZ62" s="459"/>
      <c r="EQA62" s="459"/>
      <c r="EQB62" s="459"/>
      <c r="EQC62" s="459"/>
      <c r="EQD62" s="459"/>
      <c r="EQE62" s="459"/>
      <c r="EQF62" s="459"/>
      <c r="EQG62" s="459"/>
      <c r="EQH62" s="459"/>
      <c r="EQI62" s="459"/>
      <c r="EQJ62" s="459"/>
      <c r="EQK62" s="459"/>
      <c r="EQL62" s="459"/>
      <c r="EQM62" s="459"/>
      <c r="EQN62" s="459"/>
      <c r="EQO62" s="459"/>
      <c r="EQP62" s="459"/>
      <c r="EQQ62" s="459"/>
      <c r="EQR62" s="459"/>
      <c r="EQS62" s="459"/>
      <c r="EQT62" s="459"/>
      <c r="EQU62" s="459"/>
      <c r="EQV62" s="459"/>
      <c r="EQW62" s="459"/>
      <c r="EQX62" s="459"/>
      <c r="EQY62" s="459"/>
      <c r="EQZ62" s="459"/>
      <c r="ERA62" s="459"/>
      <c r="ERB62" s="459"/>
      <c r="ERC62" s="459"/>
      <c r="ERD62" s="459"/>
      <c r="ERE62" s="459"/>
      <c r="ERF62" s="459"/>
      <c r="ERG62" s="459"/>
      <c r="ERH62" s="459"/>
      <c r="ERI62" s="459"/>
      <c r="ERJ62" s="459"/>
      <c r="ERK62" s="459"/>
      <c r="ERL62" s="459"/>
      <c r="ERM62" s="459"/>
      <c r="ERN62" s="459"/>
      <c r="ERO62" s="459"/>
      <c r="ERP62" s="459"/>
      <c r="ERQ62" s="459"/>
      <c r="ERR62" s="459"/>
      <c r="ERS62" s="459"/>
      <c r="ERT62" s="459"/>
      <c r="ERU62" s="459"/>
      <c r="ERV62" s="459"/>
      <c r="ERW62" s="459"/>
      <c r="ERX62" s="459"/>
      <c r="ERY62" s="459"/>
      <c r="ERZ62" s="459"/>
      <c r="ESA62" s="459"/>
      <c r="ESB62" s="459"/>
      <c r="ESC62" s="459"/>
      <c r="ESD62" s="459"/>
      <c r="ESE62" s="459"/>
      <c r="ESF62" s="459"/>
      <c r="ESG62" s="459"/>
      <c r="ESH62" s="459"/>
      <c r="ESI62" s="459"/>
      <c r="ESJ62" s="459"/>
      <c r="ESK62" s="459"/>
      <c r="ESL62" s="459"/>
      <c r="ESM62" s="459"/>
      <c r="ESN62" s="459"/>
      <c r="ESO62" s="459"/>
      <c r="ESP62" s="459"/>
      <c r="ESQ62" s="459"/>
      <c r="ESR62" s="459"/>
      <c r="ESS62" s="459"/>
      <c r="EST62" s="459"/>
      <c r="ESU62" s="459"/>
      <c r="ESV62" s="459"/>
      <c r="ESW62" s="459"/>
      <c r="ESX62" s="459"/>
      <c r="ESY62" s="459"/>
      <c r="ESZ62" s="459"/>
      <c r="ETA62" s="459"/>
      <c r="ETB62" s="459"/>
      <c r="ETC62" s="459"/>
      <c r="ETD62" s="459"/>
      <c r="ETE62" s="459"/>
      <c r="ETF62" s="459"/>
      <c r="ETG62" s="459"/>
      <c r="ETH62" s="459"/>
      <c r="ETI62" s="459"/>
      <c r="ETJ62" s="459"/>
      <c r="ETK62" s="459"/>
      <c r="ETL62" s="459"/>
      <c r="ETM62" s="459"/>
      <c r="ETN62" s="459"/>
      <c r="ETO62" s="459"/>
      <c r="ETP62" s="459"/>
      <c r="ETQ62" s="459"/>
      <c r="ETR62" s="459"/>
      <c r="ETS62" s="459"/>
      <c r="ETT62" s="459"/>
      <c r="ETU62" s="459"/>
      <c r="ETV62" s="459"/>
      <c r="ETW62" s="459"/>
      <c r="ETX62" s="459"/>
      <c r="ETY62" s="459"/>
      <c r="ETZ62" s="459"/>
      <c r="EUA62" s="459"/>
      <c r="EUB62" s="459"/>
      <c r="EUC62" s="459"/>
      <c r="EUD62" s="459"/>
      <c r="EUE62" s="459"/>
      <c r="EUF62" s="459"/>
      <c r="EUG62" s="459"/>
      <c r="EUH62" s="459"/>
      <c r="EUI62" s="459"/>
      <c r="EUJ62" s="459"/>
      <c r="EUK62" s="459"/>
      <c r="EUL62" s="459"/>
      <c r="EUM62" s="459"/>
      <c r="EUN62" s="459"/>
      <c r="EUO62" s="459"/>
      <c r="EUP62" s="459"/>
      <c r="EUQ62" s="459"/>
      <c r="EUR62" s="459"/>
      <c r="EUS62" s="459"/>
      <c r="EUT62" s="459"/>
      <c r="EUU62" s="459"/>
      <c r="EUV62" s="459"/>
      <c r="EUW62" s="459"/>
      <c r="EUX62" s="459"/>
      <c r="EUY62" s="459"/>
      <c r="EUZ62" s="459"/>
      <c r="EVA62" s="459"/>
      <c r="EVB62" s="459"/>
      <c r="EVC62" s="459"/>
      <c r="EVD62" s="459"/>
      <c r="EVE62" s="459"/>
      <c r="EVF62" s="459"/>
      <c r="EVG62" s="459"/>
      <c r="EVH62" s="459"/>
      <c r="EVI62" s="459"/>
      <c r="EVJ62" s="459"/>
      <c r="EVK62" s="459"/>
      <c r="EVL62" s="459"/>
      <c r="EVM62" s="459"/>
      <c r="EVN62" s="459"/>
      <c r="EVO62" s="459"/>
      <c r="EVP62" s="459"/>
      <c r="EVQ62" s="459"/>
      <c r="EVR62" s="459"/>
      <c r="EVS62" s="459"/>
      <c r="EVT62" s="459"/>
      <c r="EVU62" s="459"/>
      <c r="EVV62" s="459"/>
      <c r="EVW62" s="459"/>
      <c r="EVX62" s="459"/>
      <c r="EVY62" s="459"/>
      <c r="EVZ62" s="459"/>
      <c r="EWA62" s="459"/>
      <c r="EWB62" s="459"/>
      <c r="EWC62" s="459"/>
      <c r="EWD62" s="459"/>
      <c r="EWE62" s="459"/>
      <c r="EWF62" s="459"/>
      <c r="EWG62" s="459"/>
      <c r="EWH62" s="459"/>
      <c r="EWI62" s="459"/>
      <c r="EWJ62" s="459"/>
      <c r="EWK62" s="459"/>
      <c r="EWL62" s="459"/>
      <c r="EWM62" s="459"/>
      <c r="EWN62" s="459"/>
      <c r="EWO62" s="459"/>
      <c r="EWP62" s="459"/>
      <c r="EWQ62" s="459"/>
      <c r="EWR62" s="459"/>
      <c r="EWS62" s="459"/>
      <c r="EWT62" s="459"/>
      <c r="EWU62" s="459"/>
      <c r="EWV62" s="459"/>
      <c r="EWW62" s="459"/>
      <c r="EWX62" s="459"/>
      <c r="EWY62" s="459"/>
      <c r="EWZ62" s="459"/>
      <c r="EXA62" s="459"/>
      <c r="EXB62" s="459"/>
      <c r="EXC62" s="459"/>
      <c r="EXD62" s="459"/>
      <c r="EXE62" s="459"/>
      <c r="EXF62" s="459"/>
      <c r="EXG62" s="459"/>
      <c r="EXH62" s="459"/>
      <c r="EXI62" s="459"/>
      <c r="EXJ62" s="459"/>
      <c r="EXK62" s="459"/>
      <c r="EXL62" s="459"/>
      <c r="EXM62" s="459"/>
      <c r="EXN62" s="459"/>
      <c r="EXO62" s="459"/>
      <c r="EXP62" s="459"/>
      <c r="EXQ62" s="459"/>
      <c r="EXR62" s="459"/>
      <c r="EXS62" s="459"/>
      <c r="EXT62" s="459"/>
      <c r="EXU62" s="459"/>
      <c r="EXV62" s="459"/>
      <c r="EXW62" s="459"/>
      <c r="EXX62" s="459"/>
      <c r="EXY62" s="459"/>
      <c r="EXZ62" s="459"/>
      <c r="EYA62" s="459"/>
      <c r="EYB62" s="459"/>
      <c r="EYC62" s="459"/>
      <c r="EYD62" s="459"/>
      <c r="EYE62" s="459"/>
      <c r="EYF62" s="459"/>
      <c r="EYG62" s="459"/>
      <c r="EYH62" s="459"/>
      <c r="EYI62" s="459"/>
      <c r="EYJ62" s="459"/>
      <c r="EYK62" s="459"/>
      <c r="EYL62" s="459"/>
      <c r="EYM62" s="459"/>
      <c r="EYN62" s="459"/>
      <c r="EYO62" s="459"/>
      <c r="EYP62" s="459"/>
      <c r="EYQ62" s="459"/>
      <c r="EYR62" s="459"/>
      <c r="EYS62" s="459"/>
      <c r="EYT62" s="459"/>
      <c r="EYU62" s="459"/>
      <c r="EYV62" s="459"/>
      <c r="EYW62" s="459"/>
      <c r="EYX62" s="459"/>
      <c r="EYY62" s="459"/>
      <c r="EYZ62" s="459"/>
      <c r="EZA62" s="459"/>
      <c r="EZB62" s="459"/>
      <c r="EZC62" s="459"/>
      <c r="EZD62" s="459"/>
      <c r="EZE62" s="459"/>
      <c r="EZF62" s="459"/>
      <c r="EZG62" s="459"/>
      <c r="EZH62" s="459"/>
      <c r="EZI62" s="459"/>
      <c r="EZJ62" s="459"/>
      <c r="EZK62" s="459"/>
      <c r="EZL62" s="459"/>
      <c r="EZM62" s="459"/>
      <c r="EZN62" s="459"/>
      <c r="EZO62" s="459"/>
      <c r="EZP62" s="459"/>
      <c r="EZQ62" s="459"/>
      <c r="EZR62" s="459"/>
      <c r="EZS62" s="459"/>
      <c r="EZT62" s="459"/>
      <c r="EZU62" s="459"/>
      <c r="EZV62" s="459"/>
      <c r="EZW62" s="459"/>
      <c r="EZX62" s="459"/>
      <c r="EZY62" s="459"/>
      <c r="EZZ62" s="459"/>
      <c r="FAA62" s="459"/>
      <c r="FAB62" s="459"/>
      <c r="FAC62" s="459"/>
      <c r="FAD62" s="459"/>
      <c r="FAE62" s="459"/>
      <c r="FAF62" s="459"/>
      <c r="FAG62" s="459"/>
      <c r="FAH62" s="459"/>
      <c r="FAI62" s="459"/>
      <c r="FAJ62" s="459"/>
      <c r="FAK62" s="459"/>
      <c r="FAL62" s="459"/>
      <c r="FAM62" s="459"/>
      <c r="FAN62" s="459"/>
      <c r="FAO62" s="459"/>
      <c r="FAP62" s="459"/>
      <c r="FAQ62" s="459"/>
      <c r="FAR62" s="459"/>
      <c r="FAS62" s="459"/>
      <c r="FAT62" s="459"/>
      <c r="FAU62" s="459"/>
      <c r="FAV62" s="459"/>
      <c r="FAW62" s="459"/>
      <c r="FAX62" s="459"/>
      <c r="FAY62" s="459"/>
      <c r="FAZ62" s="459"/>
      <c r="FBA62" s="459"/>
      <c r="FBB62" s="459"/>
      <c r="FBC62" s="459"/>
      <c r="FBD62" s="459"/>
      <c r="FBE62" s="459"/>
      <c r="FBF62" s="459"/>
      <c r="FBG62" s="459"/>
      <c r="FBH62" s="459"/>
      <c r="FBI62" s="459"/>
      <c r="FBJ62" s="459"/>
      <c r="FBK62" s="459"/>
      <c r="FBL62" s="459"/>
      <c r="FBM62" s="459"/>
      <c r="FBN62" s="459"/>
      <c r="FBO62" s="459"/>
      <c r="FBP62" s="459"/>
      <c r="FBQ62" s="459"/>
      <c r="FBR62" s="459"/>
      <c r="FBS62" s="459"/>
      <c r="FBT62" s="459"/>
      <c r="FBU62" s="459"/>
      <c r="FBV62" s="459"/>
      <c r="FBW62" s="459"/>
      <c r="FBX62" s="459"/>
      <c r="FBY62" s="459"/>
      <c r="FBZ62" s="459"/>
      <c r="FCA62" s="459"/>
      <c r="FCB62" s="459"/>
      <c r="FCC62" s="459"/>
      <c r="FCD62" s="459"/>
      <c r="FCE62" s="459"/>
      <c r="FCF62" s="459"/>
      <c r="FCG62" s="459"/>
      <c r="FCH62" s="459"/>
      <c r="FCI62" s="459"/>
      <c r="FCJ62" s="459"/>
      <c r="FCK62" s="459"/>
      <c r="FCL62" s="459"/>
      <c r="FCM62" s="459"/>
      <c r="FCN62" s="459"/>
      <c r="FCO62" s="459"/>
      <c r="FCP62" s="459"/>
      <c r="FCQ62" s="459"/>
      <c r="FCR62" s="459"/>
      <c r="FCS62" s="459"/>
      <c r="FCT62" s="459"/>
      <c r="FCU62" s="459"/>
      <c r="FCV62" s="459"/>
      <c r="FCW62" s="459"/>
      <c r="FCX62" s="459"/>
      <c r="FCY62" s="459"/>
      <c r="FCZ62" s="459"/>
      <c r="FDA62" s="459"/>
      <c r="FDB62" s="459"/>
      <c r="FDC62" s="459"/>
      <c r="FDD62" s="459"/>
      <c r="FDE62" s="459"/>
      <c r="FDF62" s="459"/>
      <c r="FDG62" s="459"/>
      <c r="FDH62" s="459"/>
      <c r="FDI62" s="459"/>
      <c r="FDJ62" s="459"/>
      <c r="FDK62" s="459"/>
      <c r="FDL62" s="459"/>
      <c r="FDM62" s="459"/>
      <c r="FDN62" s="459"/>
      <c r="FDO62" s="459"/>
      <c r="FDP62" s="459"/>
      <c r="FDQ62" s="459"/>
      <c r="FDR62" s="459"/>
      <c r="FDS62" s="459"/>
      <c r="FDT62" s="459"/>
      <c r="FDU62" s="459"/>
      <c r="FDV62" s="459"/>
      <c r="FDW62" s="459"/>
      <c r="FDX62" s="459"/>
      <c r="FDY62" s="459"/>
      <c r="FDZ62" s="459"/>
      <c r="FEA62" s="459"/>
      <c r="FEB62" s="459"/>
      <c r="FEC62" s="459"/>
      <c r="FED62" s="459"/>
      <c r="FEE62" s="459"/>
      <c r="FEF62" s="459"/>
      <c r="FEG62" s="459"/>
      <c r="FEH62" s="459"/>
      <c r="FEI62" s="459"/>
      <c r="FEJ62" s="459"/>
      <c r="FEK62" s="459"/>
      <c r="FEL62" s="459"/>
      <c r="FEM62" s="459"/>
      <c r="FEN62" s="459"/>
      <c r="FEO62" s="459"/>
      <c r="FEP62" s="459"/>
      <c r="FEQ62" s="459"/>
      <c r="FER62" s="459"/>
      <c r="FES62" s="459"/>
      <c r="FET62" s="459"/>
      <c r="FEU62" s="459"/>
      <c r="FEV62" s="459"/>
      <c r="FEW62" s="459"/>
      <c r="FEX62" s="459"/>
      <c r="FEY62" s="459"/>
      <c r="FEZ62" s="459"/>
      <c r="FFA62" s="459"/>
      <c r="FFB62" s="459"/>
      <c r="FFC62" s="459"/>
      <c r="FFD62" s="459"/>
      <c r="FFE62" s="459"/>
      <c r="FFF62" s="459"/>
      <c r="FFG62" s="459"/>
      <c r="FFH62" s="459"/>
      <c r="FFI62" s="459"/>
      <c r="FFJ62" s="459"/>
      <c r="FFK62" s="459"/>
      <c r="FFL62" s="459"/>
      <c r="FFM62" s="459"/>
      <c r="FFN62" s="459"/>
      <c r="FFO62" s="459"/>
      <c r="FFP62" s="459"/>
      <c r="FFQ62" s="459"/>
      <c r="FFR62" s="459"/>
      <c r="FFS62" s="459"/>
      <c r="FFT62" s="459"/>
      <c r="FFU62" s="459"/>
      <c r="FFV62" s="459"/>
      <c r="FFW62" s="459"/>
      <c r="FFX62" s="459"/>
      <c r="FFY62" s="459"/>
      <c r="FFZ62" s="459"/>
      <c r="FGA62" s="459"/>
      <c r="FGB62" s="459"/>
      <c r="FGC62" s="459"/>
      <c r="FGD62" s="459"/>
      <c r="FGE62" s="459"/>
      <c r="FGF62" s="459"/>
      <c r="FGG62" s="459"/>
      <c r="FGH62" s="459"/>
      <c r="FGI62" s="459"/>
      <c r="FGJ62" s="459"/>
      <c r="FGK62" s="459"/>
      <c r="FGL62" s="459"/>
      <c r="FGM62" s="459"/>
      <c r="FGN62" s="459"/>
      <c r="FGO62" s="459"/>
      <c r="FGP62" s="459"/>
      <c r="FGQ62" s="459"/>
      <c r="FGR62" s="459"/>
      <c r="FGS62" s="459"/>
      <c r="FGT62" s="459"/>
      <c r="FGU62" s="459"/>
      <c r="FGV62" s="459"/>
      <c r="FGW62" s="459"/>
      <c r="FGX62" s="459"/>
      <c r="FGY62" s="459"/>
      <c r="FGZ62" s="459"/>
      <c r="FHA62" s="459"/>
      <c r="FHB62" s="459"/>
      <c r="FHC62" s="459"/>
      <c r="FHD62" s="459"/>
      <c r="FHE62" s="459"/>
      <c r="FHF62" s="459"/>
      <c r="FHG62" s="459"/>
      <c r="FHH62" s="459"/>
      <c r="FHI62" s="459"/>
      <c r="FHJ62" s="459"/>
      <c r="FHK62" s="459"/>
      <c r="FHL62" s="459"/>
      <c r="FHM62" s="459"/>
      <c r="FHN62" s="459"/>
      <c r="FHO62" s="459"/>
      <c r="FHP62" s="459"/>
      <c r="FHQ62" s="459"/>
      <c r="FHR62" s="459"/>
      <c r="FHS62" s="459"/>
      <c r="FHT62" s="459"/>
      <c r="FHU62" s="459"/>
      <c r="FHV62" s="459"/>
      <c r="FHW62" s="459"/>
      <c r="FHX62" s="459"/>
      <c r="FHY62" s="459"/>
      <c r="FHZ62" s="459"/>
      <c r="FIA62" s="459"/>
      <c r="FIB62" s="459"/>
      <c r="FIC62" s="459"/>
      <c r="FID62" s="459"/>
      <c r="FIE62" s="459"/>
      <c r="FIF62" s="459"/>
      <c r="FIG62" s="459"/>
      <c r="FIH62" s="459"/>
      <c r="FII62" s="459"/>
      <c r="FIJ62" s="459"/>
      <c r="FIK62" s="459"/>
      <c r="FIL62" s="459"/>
      <c r="FIM62" s="459"/>
      <c r="FIN62" s="459"/>
      <c r="FIO62" s="459"/>
      <c r="FIP62" s="459"/>
      <c r="FIQ62" s="459"/>
      <c r="FIR62" s="459"/>
      <c r="FIS62" s="459"/>
      <c r="FIT62" s="459"/>
      <c r="FIU62" s="459"/>
      <c r="FIV62" s="459"/>
      <c r="FIW62" s="459"/>
      <c r="FIX62" s="459"/>
      <c r="FIY62" s="459"/>
      <c r="FIZ62" s="459"/>
      <c r="FJA62" s="459"/>
      <c r="FJB62" s="459"/>
      <c r="FJC62" s="459"/>
      <c r="FJD62" s="459"/>
      <c r="FJE62" s="459"/>
      <c r="FJF62" s="459"/>
      <c r="FJG62" s="459"/>
      <c r="FJH62" s="459"/>
      <c r="FJI62" s="459"/>
      <c r="FJJ62" s="459"/>
      <c r="FJK62" s="459"/>
      <c r="FJL62" s="459"/>
      <c r="FJM62" s="459"/>
      <c r="FJN62" s="459"/>
      <c r="FJO62" s="459"/>
      <c r="FJP62" s="459"/>
      <c r="FJQ62" s="459"/>
      <c r="FJR62" s="459"/>
      <c r="FJS62" s="459"/>
      <c r="FJT62" s="459"/>
      <c r="FJU62" s="459"/>
      <c r="FJV62" s="459"/>
      <c r="FJW62" s="459"/>
      <c r="FJX62" s="459"/>
      <c r="FJY62" s="459"/>
      <c r="FJZ62" s="459"/>
      <c r="FKA62" s="459"/>
      <c r="FKB62" s="459"/>
      <c r="FKC62" s="459"/>
      <c r="FKD62" s="459"/>
      <c r="FKE62" s="459"/>
      <c r="FKF62" s="459"/>
      <c r="FKG62" s="459"/>
      <c r="FKH62" s="459"/>
      <c r="FKI62" s="459"/>
      <c r="FKJ62" s="459"/>
      <c r="FKK62" s="459"/>
      <c r="FKL62" s="459"/>
      <c r="FKM62" s="459"/>
      <c r="FKN62" s="459"/>
      <c r="FKO62" s="459"/>
      <c r="FKP62" s="459"/>
      <c r="FKQ62" s="459"/>
      <c r="FKR62" s="459"/>
      <c r="FKS62" s="459"/>
      <c r="FKT62" s="459"/>
      <c r="FKU62" s="459"/>
      <c r="FKV62" s="459"/>
      <c r="FKW62" s="459"/>
      <c r="FKX62" s="459"/>
      <c r="FKY62" s="459"/>
      <c r="FKZ62" s="459"/>
      <c r="FLA62" s="459"/>
      <c r="FLB62" s="459"/>
      <c r="FLC62" s="459"/>
      <c r="FLD62" s="459"/>
      <c r="FLE62" s="459"/>
      <c r="FLF62" s="459"/>
      <c r="FLG62" s="459"/>
      <c r="FLH62" s="459"/>
      <c r="FLI62" s="459"/>
      <c r="FLJ62" s="459"/>
      <c r="FLK62" s="459"/>
      <c r="FLL62" s="459"/>
      <c r="FLM62" s="459"/>
      <c r="FLN62" s="459"/>
      <c r="FLO62" s="459"/>
      <c r="FLP62" s="459"/>
      <c r="FLQ62" s="459"/>
      <c r="FLR62" s="459"/>
      <c r="FLS62" s="459"/>
      <c r="FLT62" s="459"/>
      <c r="FLU62" s="459"/>
      <c r="FLV62" s="459"/>
      <c r="FLW62" s="459"/>
      <c r="FLX62" s="459"/>
      <c r="FLY62" s="459"/>
      <c r="FLZ62" s="459"/>
      <c r="FMA62" s="459"/>
      <c r="FMB62" s="459"/>
      <c r="FMC62" s="459"/>
      <c r="FMD62" s="459"/>
      <c r="FME62" s="459"/>
      <c r="FMF62" s="459"/>
      <c r="FMG62" s="459"/>
      <c r="FMH62" s="459"/>
      <c r="FMI62" s="459"/>
      <c r="FMJ62" s="459"/>
      <c r="FMK62" s="459"/>
      <c r="FML62" s="459"/>
      <c r="FMM62" s="459"/>
      <c r="FMN62" s="459"/>
      <c r="FMO62" s="459"/>
      <c r="FMP62" s="459"/>
      <c r="FMQ62" s="459"/>
      <c r="FMR62" s="459"/>
      <c r="FMS62" s="459"/>
      <c r="FMT62" s="459"/>
      <c r="FMU62" s="459"/>
      <c r="FMV62" s="459"/>
      <c r="FMW62" s="459"/>
      <c r="FMX62" s="459"/>
      <c r="FMY62" s="459"/>
      <c r="FMZ62" s="459"/>
      <c r="FNA62" s="459"/>
      <c r="FNB62" s="459"/>
      <c r="FNC62" s="459"/>
      <c r="FND62" s="459"/>
      <c r="FNE62" s="459"/>
      <c r="FNF62" s="459"/>
      <c r="FNG62" s="459"/>
      <c r="FNH62" s="459"/>
      <c r="FNI62" s="459"/>
      <c r="FNJ62" s="459"/>
      <c r="FNK62" s="459"/>
      <c r="FNL62" s="459"/>
      <c r="FNM62" s="459"/>
      <c r="FNN62" s="459"/>
      <c r="FNO62" s="459"/>
      <c r="FNP62" s="459"/>
      <c r="FNQ62" s="459"/>
      <c r="FNR62" s="459"/>
      <c r="FNS62" s="459"/>
      <c r="FNT62" s="459"/>
      <c r="FNU62" s="459"/>
      <c r="FNV62" s="459"/>
      <c r="FNW62" s="459"/>
      <c r="FNX62" s="459"/>
      <c r="FNY62" s="459"/>
      <c r="FNZ62" s="459"/>
      <c r="FOA62" s="459"/>
      <c r="FOB62" s="459"/>
      <c r="FOC62" s="459"/>
      <c r="FOD62" s="459"/>
      <c r="FOE62" s="459"/>
      <c r="FOF62" s="459"/>
      <c r="FOG62" s="459"/>
      <c r="FOH62" s="459"/>
      <c r="FOI62" s="459"/>
      <c r="FOJ62" s="459"/>
      <c r="FOK62" s="459"/>
      <c r="FOL62" s="459"/>
      <c r="FOM62" s="459"/>
      <c r="FON62" s="459"/>
      <c r="FOO62" s="459"/>
      <c r="FOP62" s="459"/>
      <c r="FOQ62" s="459"/>
      <c r="FOR62" s="459"/>
      <c r="FOS62" s="459"/>
      <c r="FOT62" s="459"/>
      <c r="FOU62" s="459"/>
      <c r="FOV62" s="459"/>
      <c r="FOW62" s="459"/>
      <c r="FOX62" s="459"/>
      <c r="FOY62" s="459"/>
      <c r="FOZ62" s="459"/>
      <c r="FPA62" s="459"/>
      <c r="FPB62" s="459"/>
      <c r="FPC62" s="459"/>
      <c r="FPD62" s="459"/>
      <c r="FPE62" s="459"/>
      <c r="FPF62" s="459"/>
      <c r="FPG62" s="459"/>
      <c r="FPH62" s="459"/>
      <c r="FPI62" s="459"/>
      <c r="FPJ62" s="459"/>
      <c r="FPK62" s="459"/>
      <c r="FPL62" s="459"/>
      <c r="FPM62" s="459"/>
      <c r="FPN62" s="459"/>
      <c r="FPO62" s="459"/>
      <c r="FPP62" s="459"/>
      <c r="FPQ62" s="459"/>
      <c r="FPR62" s="459"/>
      <c r="FPS62" s="459"/>
      <c r="FPT62" s="459"/>
      <c r="FPU62" s="459"/>
      <c r="FPV62" s="459"/>
      <c r="FPW62" s="459"/>
      <c r="FPX62" s="459"/>
      <c r="FPY62" s="459"/>
      <c r="FPZ62" s="459"/>
      <c r="FQA62" s="459"/>
      <c r="FQB62" s="459"/>
      <c r="FQC62" s="459"/>
      <c r="FQD62" s="459"/>
      <c r="FQE62" s="459"/>
      <c r="FQF62" s="459"/>
      <c r="FQG62" s="459"/>
      <c r="FQH62" s="459"/>
      <c r="FQI62" s="459"/>
      <c r="FQJ62" s="459"/>
      <c r="FQK62" s="459"/>
      <c r="FQL62" s="459"/>
      <c r="FQM62" s="459"/>
      <c r="FQN62" s="459"/>
      <c r="FQO62" s="459"/>
      <c r="FQP62" s="459"/>
      <c r="FQQ62" s="459"/>
      <c r="FQR62" s="459"/>
      <c r="FQS62" s="459"/>
      <c r="FQT62" s="459"/>
      <c r="FQU62" s="459"/>
      <c r="FQV62" s="459"/>
      <c r="FQW62" s="459"/>
      <c r="FQX62" s="459"/>
      <c r="FQY62" s="459"/>
      <c r="FQZ62" s="459"/>
      <c r="FRA62" s="459"/>
      <c r="FRB62" s="459"/>
      <c r="FRC62" s="459"/>
      <c r="FRD62" s="459"/>
      <c r="FRE62" s="459"/>
      <c r="FRF62" s="459"/>
      <c r="FRG62" s="459"/>
      <c r="FRH62" s="459"/>
      <c r="FRI62" s="459"/>
      <c r="FRJ62" s="459"/>
      <c r="FRK62" s="459"/>
      <c r="FRL62" s="459"/>
      <c r="FRM62" s="459"/>
      <c r="FRN62" s="459"/>
      <c r="FRO62" s="459"/>
      <c r="FRP62" s="459"/>
      <c r="FRQ62" s="459"/>
      <c r="FRR62" s="459"/>
      <c r="FRS62" s="459"/>
      <c r="FRT62" s="459"/>
      <c r="FRU62" s="459"/>
      <c r="FRV62" s="459"/>
      <c r="FRW62" s="459"/>
      <c r="FRX62" s="459"/>
      <c r="FRY62" s="459"/>
      <c r="FRZ62" s="459"/>
      <c r="FSA62" s="459"/>
      <c r="FSB62" s="459"/>
      <c r="FSC62" s="459"/>
      <c r="FSD62" s="459"/>
      <c r="FSE62" s="459"/>
      <c r="FSF62" s="459"/>
      <c r="FSG62" s="459"/>
      <c r="FSH62" s="459"/>
      <c r="FSI62" s="459"/>
      <c r="FSJ62" s="459"/>
      <c r="FSK62" s="459"/>
      <c r="FSL62" s="459"/>
      <c r="FSM62" s="459"/>
      <c r="FSN62" s="459"/>
      <c r="FSO62" s="459"/>
      <c r="FSP62" s="459"/>
      <c r="FSQ62" s="459"/>
      <c r="FSR62" s="459"/>
      <c r="FSS62" s="459"/>
      <c r="FST62" s="459"/>
      <c r="FSU62" s="459"/>
      <c r="FSV62" s="459"/>
      <c r="FSW62" s="459"/>
      <c r="FSX62" s="459"/>
      <c r="FSY62" s="459"/>
      <c r="FSZ62" s="459"/>
      <c r="FTA62" s="459"/>
      <c r="FTB62" s="459"/>
      <c r="FTC62" s="459"/>
      <c r="FTD62" s="459"/>
      <c r="FTE62" s="459"/>
      <c r="FTF62" s="459"/>
      <c r="FTG62" s="459"/>
      <c r="FTH62" s="459"/>
      <c r="FTI62" s="459"/>
      <c r="FTJ62" s="459"/>
      <c r="FTK62" s="459"/>
      <c r="FTL62" s="459"/>
      <c r="FTM62" s="459"/>
      <c r="FTN62" s="459"/>
      <c r="FTO62" s="459"/>
      <c r="FTP62" s="459"/>
      <c r="FTQ62" s="459"/>
      <c r="FTR62" s="459"/>
      <c r="FTS62" s="459"/>
      <c r="FTT62" s="459"/>
      <c r="FTU62" s="459"/>
      <c r="FTV62" s="459"/>
      <c r="FTW62" s="459"/>
      <c r="FTX62" s="459"/>
      <c r="FTY62" s="459"/>
      <c r="FTZ62" s="459"/>
      <c r="FUA62" s="459"/>
      <c r="FUB62" s="459"/>
      <c r="FUC62" s="459"/>
      <c r="FUD62" s="459"/>
      <c r="FUE62" s="459"/>
      <c r="FUF62" s="459"/>
      <c r="FUG62" s="459"/>
      <c r="FUH62" s="459"/>
      <c r="FUI62" s="459"/>
      <c r="FUJ62" s="459"/>
      <c r="FUK62" s="459"/>
      <c r="FUL62" s="459"/>
      <c r="FUM62" s="459"/>
      <c r="FUN62" s="459"/>
      <c r="FUO62" s="459"/>
      <c r="FUP62" s="459"/>
      <c r="FUQ62" s="459"/>
      <c r="FUR62" s="459"/>
      <c r="FUS62" s="459"/>
      <c r="FUT62" s="459"/>
      <c r="FUU62" s="459"/>
      <c r="FUV62" s="459"/>
      <c r="FUW62" s="459"/>
      <c r="FUX62" s="459"/>
      <c r="FUY62" s="459"/>
      <c r="FUZ62" s="459"/>
      <c r="FVA62" s="459"/>
      <c r="FVB62" s="459"/>
      <c r="FVC62" s="459"/>
      <c r="FVD62" s="459"/>
      <c r="FVE62" s="459"/>
      <c r="FVF62" s="459"/>
      <c r="FVG62" s="459"/>
      <c r="FVH62" s="459"/>
      <c r="FVI62" s="459"/>
      <c r="FVJ62" s="459"/>
      <c r="FVK62" s="459"/>
      <c r="FVL62" s="459"/>
      <c r="FVM62" s="459"/>
      <c r="FVN62" s="459"/>
      <c r="FVO62" s="459"/>
      <c r="FVP62" s="459"/>
      <c r="FVQ62" s="459"/>
      <c r="FVR62" s="459"/>
      <c r="FVS62" s="459"/>
      <c r="FVT62" s="459"/>
      <c r="FVU62" s="459"/>
      <c r="FVV62" s="459"/>
      <c r="FVW62" s="459"/>
      <c r="FVX62" s="459"/>
      <c r="FVY62" s="459"/>
      <c r="FVZ62" s="459"/>
      <c r="FWA62" s="459"/>
      <c r="FWB62" s="459"/>
      <c r="FWC62" s="459"/>
      <c r="FWD62" s="459"/>
      <c r="FWE62" s="459"/>
      <c r="FWF62" s="459"/>
      <c r="FWG62" s="459"/>
      <c r="FWH62" s="459"/>
      <c r="FWI62" s="459"/>
      <c r="FWJ62" s="459"/>
      <c r="FWK62" s="459"/>
      <c r="FWL62" s="459"/>
      <c r="FWM62" s="459"/>
      <c r="FWN62" s="459"/>
      <c r="FWO62" s="459"/>
      <c r="FWP62" s="459"/>
      <c r="FWQ62" s="459"/>
      <c r="FWR62" s="459"/>
      <c r="FWS62" s="459"/>
      <c r="FWT62" s="459"/>
      <c r="FWU62" s="459"/>
      <c r="FWV62" s="459"/>
      <c r="FWW62" s="459"/>
      <c r="FWX62" s="459"/>
      <c r="FWY62" s="459"/>
      <c r="FWZ62" s="459"/>
      <c r="FXA62" s="459"/>
      <c r="FXB62" s="459"/>
      <c r="FXC62" s="459"/>
      <c r="FXD62" s="459"/>
      <c r="FXE62" s="459"/>
      <c r="FXF62" s="459"/>
      <c r="FXG62" s="459"/>
      <c r="FXH62" s="459"/>
      <c r="FXI62" s="459"/>
      <c r="FXJ62" s="459"/>
      <c r="FXK62" s="459"/>
      <c r="FXL62" s="459"/>
      <c r="FXM62" s="459"/>
      <c r="FXN62" s="459"/>
      <c r="FXO62" s="459"/>
      <c r="FXP62" s="459"/>
      <c r="FXQ62" s="459"/>
      <c r="FXR62" s="459"/>
      <c r="FXS62" s="459"/>
      <c r="FXT62" s="459"/>
      <c r="FXU62" s="459"/>
      <c r="FXV62" s="459"/>
      <c r="FXW62" s="459"/>
      <c r="FXX62" s="459"/>
      <c r="FXY62" s="459"/>
      <c r="FXZ62" s="459"/>
      <c r="FYA62" s="459"/>
      <c r="FYB62" s="459"/>
      <c r="FYC62" s="459"/>
      <c r="FYD62" s="459"/>
      <c r="FYE62" s="459"/>
      <c r="FYF62" s="459"/>
      <c r="FYG62" s="459"/>
      <c r="FYH62" s="459"/>
      <c r="FYI62" s="459"/>
      <c r="FYJ62" s="459"/>
      <c r="FYK62" s="459"/>
      <c r="FYL62" s="459"/>
      <c r="FYM62" s="459"/>
      <c r="FYN62" s="459"/>
      <c r="FYO62" s="459"/>
      <c r="FYP62" s="459"/>
      <c r="FYQ62" s="459"/>
      <c r="FYR62" s="459"/>
      <c r="FYS62" s="459"/>
      <c r="FYT62" s="459"/>
      <c r="FYU62" s="459"/>
      <c r="FYV62" s="459"/>
      <c r="FYW62" s="459"/>
      <c r="FYX62" s="459"/>
      <c r="FYY62" s="459"/>
      <c r="FYZ62" s="459"/>
      <c r="FZA62" s="459"/>
      <c r="FZB62" s="459"/>
      <c r="FZC62" s="459"/>
      <c r="FZD62" s="459"/>
      <c r="FZE62" s="459"/>
      <c r="FZF62" s="459"/>
      <c r="FZG62" s="459"/>
      <c r="FZH62" s="459"/>
      <c r="FZI62" s="459"/>
      <c r="FZJ62" s="459"/>
      <c r="FZK62" s="459"/>
      <c r="FZL62" s="459"/>
      <c r="FZM62" s="459"/>
      <c r="FZN62" s="459"/>
      <c r="FZO62" s="459"/>
      <c r="FZP62" s="459"/>
      <c r="FZQ62" s="459"/>
      <c r="FZR62" s="459"/>
      <c r="FZS62" s="459"/>
      <c r="FZT62" s="459"/>
      <c r="FZU62" s="459"/>
      <c r="FZV62" s="459"/>
      <c r="FZW62" s="459"/>
      <c r="FZX62" s="459"/>
      <c r="FZY62" s="459"/>
      <c r="FZZ62" s="459"/>
      <c r="GAA62" s="459"/>
      <c r="GAB62" s="459"/>
      <c r="GAC62" s="459"/>
      <c r="GAD62" s="459"/>
      <c r="GAE62" s="459"/>
      <c r="GAF62" s="459"/>
      <c r="GAG62" s="459"/>
      <c r="GAH62" s="459"/>
      <c r="GAI62" s="459"/>
      <c r="GAJ62" s="459"/>
      <c r="GAK62" s="459"/>
      <c r="GAL62" s="459"/>
      <c r="GAM62" s="459"/>
      <c r="GAN62" s="459"/>
      <c r="GAO62" s="459"/>
      <c r="GAP62" s="459"/>
      <c r="GAQ62" s="459"/>
      <c r="GAR62" s="459"/>
      <c r="GAS62" s="459"/>
      <c r="GAT62" s="459"/>
      <c r="GAU62" s="459"/>
      <c r="GAV62" s="459"/>
      <c r="GAW62" s="459"/>
      <c r="GAX62" s="459"/>
      <c r="GAY62" s="459"/>
      <c r="GAZ62" s="459"/>
      <c r="GBA62" s="459"/>
      <c r="GBB62" s="459"/>
      <c r="GBC62" s="459"/>
      <c r="GBD62" s="459"/>
      <c r="GBE62" s="459"/>
      <c r="GBF62" s="459"/>
      <c r="GBG62" s="459"/>
      <c r="GBH62" s="459"/>
      <c r="GBI62" s="459"/>
      <c r="GBJ62" s="459"/>
      <c r="GBK62" s="459"/>
      <c r="GBL62" s="459"/>
      <c r="GBM62" s="459"/>
      <c r="GBN62" s="459"/>
      <c r="GBO62" s="459"/>
      <c r="GBP62" s="459"/>
      <c r="GBQ62" s="459"/>
      <c r="GBR62" s="459"/>
      <c r="GBS62" s="459"/>
      <c r="GBT62" s="459"/>
      <c r="GBU62" s="459"/>
      <c r="GBV62" s="459"/>
      <c r="GBW62" s="459"/>
      <c r="GBX62" s="459"/>
      <c r="GBY62" s="459"/>
      <c r="GBZ62" s="459"/>
      <c r="GCA62" s="459"/>
      <c r="GCB62" s="459"/>
      <c r="GCC62" s="459"/>
      <c r="GCD62" s="459"/>
      <c r="GCE62" s="459"/>
      <c r="GCF62" s="459"/>
      <c r="GCG62" s="459"/>
      <c r="GCH62" s="459"/>
      <c r="GCI62" s="459"/>
      <c r="GCJ62" s="459"/>
      <c r="GCK62" s="459"/>
      <c r="GCL62" s="459"/>
      <c r="GCM62" s="459"/>
      <c r="GCN62" s="459"/>
      <c r="GCO62" s="459"/>
      <c r="GCP62" s="459"/>
      <c r="GCQ62" s="459"/>
      <c r="GCR62" s="459"/>
      <c r="GCS62" s="459"/>
      <c r="GCT62" s="459"/>
      <c r="GCU62" s="459"/>
      <c r="GCV62" s="459"/>
      <c r="GCW62" s="459"/>
      <c r="GCX62" s="459"/>
      <c r="GCY62" s="459"/>
      <c r="GCZ62" s="459"/>
      <c r="GDA62" s="459"/>
      <c r="GDB62" s="459"/>
      <c r="GDC62" s="459"/>
      <c r="GDD62" s="459"/>
      <c r="GDE62" s="459"/>
      <c r="GDF62" s="459"/>
      <c r="GDG62" s="459"/>
      <c r="GDH62" s="459"/>
      <c r="GDI62" s="459"/>
      <c r="GDJ62" s="459"/>
      <c r="GDK62" s="459"/>
      <c r="GDL62" s="459"/>
      <c r="GDM62" s="459"/>
      <c r="GDN62" s="459"/>
      <c r="GDO62" s="459"/>
      <c r="GDP62" s="459"/>
      <c r="GDQ62" s="459"/>
      <c r="GDR62" s="459"/>
      <c r="GDS62" s="459"/>
      <c r="GDT62" s="459"/>
      <c r="GDU62" s="459"/>
      <c r="GDV62" s="459"/>
      <c r="GDW62" s="459"/>
      <c r="GDX62" s="459"/>
      <c r="GDY62" s="459"/>
      <c r="GDZ62" s="459"/>
      <c r="GEA62" s="459"/>
      <c r="GEB62" s="459"/>
      <c r="GEC62" s="459"/>
      <c r="GED62" s="459"/>
      <c r="GEE62" s="459"/>
      <c r="GEF62" s="459"/>
      <c r="GEG62" s="459"/>
      <c r="GEH62" s="459"/>
      <c r="GEI62" s="459"/>
      <c r="GEJ62" s="459"/>
      <c r="GEK62" s="459"/>
      <c r="GEL62" s="459"/>
      <c r="GEM62" s="459"/>
      <c r="GEN62" s="459"/>
      <c r="GEO62" s="459"/>
      <c r="GEP62" s="459"/>
      <c r="GEQ62" s="459"/>
      <c r="GER62" s="459"/>
      <c r="GES62" s="459"/>
      <c r="GET62" s="459"/>
      <c r="GEU62" s="459"/>
      <c r="GEV62" s="459"/>
      <c r="GEW62" s="459"/>
      <c r="GEX62" s="459"/>
      <c r="GEY62" s="459"/>
      <c r="GEZ62" s="459"/>
      <c r="GFA62" s="459"/>
      <c r="GFB62" s="459"/>
      <c r="GFC62" s="459"/>
      <c r="GFD62" s="459"/>
      <c r="GFE62" s="459"/>
      <c r="GFF62" s="459"/>
      <c r="GFG62" s="459"/>
      <c r="GFH62" s="459"/>
      <c r="GFI62" s="459"/>
      <c r="GFJ62" s="459"/>
      <c r="GFK62" s="459"/>
      <c r="GFL62" s="459"/>
      <c r="GFM62" s="459"/>
      <c r="GFN62" s="459"/>
      <c r="GFO62" s="459"/>
      <c r="GFP62" s="459"/>
      <c r="GFQ62" s="459"/>
      <c r="GFR62" s="459"/>
      <c r="GFS62" s="459"/>
      <c r="GFT62" s="459"/>
      <c r="GFU62" s="459"/>
      <c r="GFV62" s="459"/>
      <c r="GFW62" s="459"/>
      <c r="GFX62" s="459"/>
      <c r="GFY62" s="459"/>
      <c r="GFZ62" s="459"/>
      <c r="GGA62" s="459"/>
      <c r="GGB62" s="459"/>
      <c r="GGC62" s="459"/>
      <c r="GGD62" s="459"/>
      <c r="GGE62" s="459"/>
      <c r="GGF62" s="459"/>
      <c r="GGG62" s="459"/>
      <c r="GGH62" s="459"/>
      <c r="GGI62" s="459"/>
      <c r="GGJ62" s="459"/>
      <c r="GGK62" s="459"/>
      <c r="GGL62" s="459"/>
      <c r="GGM62" s="459"/>
      <c r="GGN62" s="459"/>
      <c r="GGO62" s="459"/>
      <c r="GGP62" s="459"/>
      <c r="GGQ62" s="459"/>
      <c r="GGR62" s="459"/>
      <c r="GGS62" s="459"/>
      <c r="GGT62" s="459"/>
      <c r="GGU62" s="459"/>
      <c r="GGV62" s="459"/>
      <c r="GGW62" s="459"/>
      <c r="GGX62" s="459"/>
      <c r="GGY62" s="459"/>
      <c r="GGZ62" s="459"/>
      <c r="GHA62" s="459"/>
      <c r="GHB62" s="459"/>
      <c r="GHC62" s="459"/>
      <c r="GHD62" s="459"/>
      <c r="GHE62" s="459"/>
      <c r="GHF62" s="459"/>
      <c r="GHG62" s="459"/>
      <c r="GHH62" s="459"/>
      <c r="GHI62" s="459"/>
      <c r="GHJ62" s="459"/>
      <c r="GHK62" s="459"/>
      <c r="GHL62" s="459"/>
      <c r="GHM62" s="459"/>
      <c r="GHN62" s="459"/>
      <c r="GHO62" s="459"/>
      <c r="GHP62" s="459"/>
      <c r="GHQ62" s="459"/>
      <c r="GHR62" s="459"/>
      <c r="GHS62" s="459"/>
      <c r="GHT62" s="459"/>
      <c r="GHU62" s="459"/>
      <c r="GHV62" s="459"/>
      <c r="GHW62" s="459"/>
      <c r="GHX62" s="459"/>
      <c r="GHY62" s="459"/>
      <c r="GHZ62" s="459"/>
      <c r="GIA62" s="459"/>
      <c r="GIB62" s="459"/>
      <c r="GIC62" s="459"/>
      <c r="GID62" s="459"/>
      <c r="GIE62" s="459"/>
      <c r="GIF62" s="459"/>
      <c r="GIG62" s="459"/>
      <c r="GIH62" s="459"/>
      <c r="GII62" s="459"/>
      <c r="GIJ62" s="459"/>
      <c r="GIK62" s="459"/>
      <c r="GIL62" s="459"/>
      <c r="GIM62" s="459"/>
      <c r="GIN62" s="459"/>
      <c r="GIO62" s="459"/>
      <c r="GIP62" s="459"/>
      <c r="GIQ62" s="459"/>
      <c r="GIR62" s="459"/>
      <c r="GIS62" s="459"/>
      <c r="GIT62" s="459"/>
      <c r="GIU62" s="459"/>
      <c r="GIV62" s="459"/>
      <c r="GIW62" s="459"/>
      <c r="GIX62" s="459"/>
      <c r="GIY62" s="459"/>
      <c r="GIZ62" s="459"/>
      <c r="GJA62" s="459"/>
      <c r="GJB62" s="459"/>
      <c r="GJC62" s="459"/>
      <c r="GJD62" s="459"/>
      <c r="GJE62" s="459"/>
      <c r="GJF62" s="459"/>
      <c r="GJG62" s="459"/>
      <c r="GJH62" s="459"/>
      <c r="GJI62" s="459"/>
      <c r="GJJ62" s="459"/>
      <c r="GJK62" s="459"/>
      <c r="GJL62" s="459"/>
      <c r="GJM62" s="459"/>
      <c r="GJN62" s="459"/>
      <c r="GJO62" s="459"/>
      <c r="GJP62" s="459"/>
      <c r="GJQ62" s="459"/>
      <c r="GJR62" s="459"/>
      <c r="GJS62" s="459"/>
      <c r="GJT62" s="459"/>
      <c r="GJU62" s="459"/>
      <c r="GJV62" s="459"/>
      <c r="GJW62" s="459"/>
      <c r="GJX62" s="459"/>
      <c r="GJY62" s="459"/>
      <c r="GJZ62" s="459"/>
      <c r="GKA62" s="459"/>
      <c r="GKB62" s="459"/>
      <c r="GKC62" s="459"/>
      <c r="GKD62" s="459"/>
      <c r="GKE62" s="459"/>
      <c r="GKF62" s="459"/>
      <c r="GKG62" s="459"/>
      <c r="GKH62" s="459"/>
      <c r="GKI62" s="459"/>
      <c r="GKJ62" s="459"/>
      <c r="GKK62" s="459"/>
      <c r="GKL62" s="459"/>
      <c r="GKM62" s="459"/>
      <c r="GKN62" s="459"/>
      <c r="GKO62" s="459"/>
      <c r="GKP62" s="459"/>
      <c r="GKQ62" s="459"/>
      <c r="GKR62" s="459"/>
      <c r="GKS62" s="459"/>
      <c r="GKT62" s="459"/>
      <c r="GKU62" s="459"/>
      <c r="GKV62" s="459"/>
      <c r="GKW62" s="459"/>
      <c r="GKX62" s="459"/>
      <c r="GKY62" s="459"/>
      <c r="GKZ62" s="459"/>
      <c r="GLA62" s="459"/>
      <c r="GLB62" s="459"/>
      <c r="GLC62" s="459"/>
      <c r="GLD62" s="459"/>
      <c r="GLE62" s="459"/>
      <c r="GLF62" s="459"/>
      <c r="GLG62" s="459"/>
      <c r="GLH62" s="459"/>
      <c r="GLI62" s="459"/>
      <c r="GLJ62" s="459"/>
      <c r="GLK62" s="459"/>
      <c r="GLL62" s="459"/>
      <c r="GLM62" s="459"/>
      <c r="GLN62" s="459"/>
      <c r="GLO62" s="459"/>
      <c r="GLP62" s="459"/>
      <c r="GLQ62" s="459"/>
      <c r="GLR62" s="459"/>
      <c r="GLS62" s="459"/>
      <c r="GLT62" s="459"/>
      <c r="GLU62" s="459"/>
      <c r="GLV62" s="459"/>
      <c r="GLW62" s="459"/>
      <c r="GLX62" s="459"/>
      <c r="GLY62" s="459"/>
      <c r="GLZ62" s="459"/>
      <c r="GMA62" s="459"/>
      <c r="GMB62" s="459"/>
      <c r="GMC62" s="459"/>
      <c r="GMD62" s="459"/>
      <c r="GME62" s="459"/>
      <c r="GMF62" s="459"/>
      <c r="GMG62" s="459"/>
      <c r="GMH62" s="459"/>
      <c r="GMI62" s="459"/>
      <c r="GMJ62" s="459"/>
      <c r="GMK62" s="459"/>
      <c r="GML62" s="459"/>
      <c r="GMM62" s="459"/>
      <c r="GMN62" s="459"/>
      <c r="GMO62" s="459"/>
      <c r="GMP62" s="459"/>
      <c r="GMQ62" s="459"/>
      <c r="GMR62" s="459"/>
      <c r="GMS62" s="459"/>
      <c r="GMT62" s="459"/>
      <c r="GMU62" s="459"/>
      <c r="GMV62" s="459"/>
      <c r="GMW62" s="459"/>
      <c r="GMX62" s="459"/>
      <c r="GMY62" s="459"/>
      <c r="GMZ62" s="459"/>
      <c r="GNA62" s="459"/>
      <c r="GNB62" s="459"/>
      <c r="GNC62" s="459"/>
      <c r="GND62" s="459"/>
      <c r="GNE62" s="459"/>
      <c r="GNF62" s="459"/>
      <c r="GNG62" s="459"/>
      <c r="GNH62" s="459"/>
      <c r="GNI62" s="459"/>
      <c r="GNJ62" s="459"/>
      <c r="GNK62" s="459"/>
      <c r="GNL62" s="459"/>
      <c r="GNM62" s="459"/>
      <c r="GNN62" s="459"/>
      <c r="GNO62" s="459"/>
      <c r="GNP62" s="459"/>
      <c r="GNQ62" s="459"/>
      <c r="GNR62" s="459"/>
      <c r="GNS62" s="459"/>
      <c r="GNT62" s="459"/>
      <c r="GNU62" s="459"/>
      <c r="GNV62" s="459"/>
      <c r="GNW62" s="459"/>
      <c r="GNX62" s="459"/>
      <c r="GNY62" s="459"/>
      <c r="GNZ62" s="459"/>
      <c r="GOA62" s="459"/>
      <c r="GOB62" s="459"/>
      <c r="GOC62" s="459"/>
      <c r="GOD62" s="459"/>
      <c r="GOE62" s="459"/>
      <c r="GOF62" s="459"/>
      <c r="GOG62" s="459"/>
      <c r="GOH62" s="459"/>
      <c r="GOI62" s="459"/>
      <c r="GOJ62" s="459"/>
      <c r="GOK62" s="459"/>
      <c r="GOL62" s="459"/>
      <c r="GOM62" s="459"/>
      <c r="GON62" s="459"/>
      <c r="GOO62" s="459"/>
      <c r="GOP62" s="459"/>
      <c r="GOQ62" s="459"/>
      <c r="GOR62" s="459"/>
      <c r="GOS62" s="459"/>
      <c r="GOT62" s="459"/>
      <c r="GOU62" s="459"/>
      <c r="GOV62" s="459"/>
      <c r="GOW62" s="459"/>
      <c r="GOX62" s="459"/>
      <c r="GOY62" s="459"/>
      <c r="GOZ62" s="459"/>
      <c r="GPA62" s="459"/>
      <c r="GPB62" s="459"/>
      <c r="GPC62" s="459"/>
      <c r="GPD62" s="459"/>
      <c r="GPE62" s="459"/>
      <c r="GPF62" s="459"/>
      <c r="GPG62" s="459"/>
      <c r="GPH62" s="459"/>
      <c r="GPI62" s="459"/>
      <c r="GPJ62" s="459"/>
      <c r="GPK62" s="459"/>
      <c r="GPL62" s="459"/>
      <c r="GPM62" s="459"/>
      <c r="GPN62" s="459"/>
      <c r="GPO62" s="459"/>
      <c r="GPP62" s="459"/>
      <c r="GPQ62" s="459"/>
      <c r="GPR62" s="459"/>
      <c r="GPS62" s="459"/>
      <c r="GPT62" s="459"/>
      <c r="GPU62" s="459"/>
      <c r="GPV62" s="459"/>
      <c r="GPW62" s="459"/>
      <c r="GPX62" s="459"/>
      <c r="GPY62" s="459"/>
      <c r="GPZ62" s="459"/>
      <c r="GQA62" s="459"/>
      <c r="GQB62" s="459"/>
      <c r="GQC62" s="459"/>
      <c r="GQD62" s="459"/>
      <c r="GQE62" s="459"/>
      <c r="GQF62" s="459"/>
      <c r="GQG62" s="459"/>
      <c r="GQH62" s="459"/>
      <c r="GQI62" s="459"/>
      <c r="GQJ62" s="459"/>
      <c r="GQK62" s="459"/>
      <c r="GQL62" s="459"/>
      <c r="GQM62" s="459"/>
      <c r="GQN62" s="459"/>
      <c r="GQO62" s="459"/>
      <c r="GQP62" s="459"/>
      <c r="GQQ62" s="459"/>
      <c r="GQR62" s="459"/>
      <c r="GQS62" s="459"/>
      <c r="GQT62" s="459"/>
      <c r="GQU62" s="459"/>
      <c r="GQV62" s="459"/>
      <c r="GQW62" s="459"/>
      <c r="GQX62" s="459"/>
      <c r="GQY62" s="459"/>
      <c r="GQZ62" s="459"/>
      <c r="GRA62" s="459"/>
      <c r="GRB62" s="459"/>
      <c r="GRC62" s="459"/>
      <c r="GRD62" s="459"/>
      <c r="GRE62" s="459"/>
      <c r="GRF62" s="459"/>
      <c r="GRG62" s="459"/>
      <c r="GRH62" s="459"/>
      <c r="GRI62" s="459"/>
      <c r="GRJ62" s="459"/>
      <c r="GRK62" s="459"/>
      <c r="GRL62" s="459"/>
      <c r="GRM62" s="459"/>
      <c r="GRN62" s="459"/>
      <c r="GRO62" s="459"/>
      <c r="GRP62" s="459"/>
      <c r="GRQ62" s="459"/>
      <c r="GRR62" s="459"/>
      <c r="GRS62" s="459"/>
      <c r="GRT62" s="459"/>
      <c r="GRU62" s="459"/>
      <c r="GRV62" s="459"/>
      <c r="GRW62" s="459"/>
      <c r="GRX62" s="459"/>
      <c r="GRY62" s="459"/>
      <c r="GRZ62" s="459"/>
      <c r="GSA62" s="459"/>
      <c r="GSB62" s="459"/>
      <c r="GSC62" s="459"/>
      <c r="GSD62" s="459"/>
      <c r="GSE62" s="459"/>
      <c r="GSF62" s="459"/>
      <c r="GSG62" s="459"/>
      <c r="GSH62" s="459"/>
      <c r="GSI62" s="459"/>
      <c r="GSJ62" s="459"/>
      <c r="GSK62" s="459"/>
      <c r="GSL62" s="459"/>
      <c r="GSM62" s="459"/>
      <c r="GSN62" s="459"/>
      <c r="GSO62" s="459"/>
      <c r="GSP62" s="459"/>
      <c r="GSQ62" s="459"/>
      <c r="GSR62" s="459"/>
      <c r="GSS62" s="459"/>
      <c r="GST62" s="459"/>
      <c r="GSU62" s="459"/>
      <c r="GSV62" s="459"/>
      <c r="GSW62" s="459"/>
      <c r="GSX62" s="459"/>
      <c r="GSY62" s="459"/>
      <c r="GSZ62" s="459"/>
      <c r="GTA62" s="459"/>
      <c r="GTB62" s="459"/>
      <c r="GTC62" s="459"/>
      <c r="GTD62" s="459"/>
      <c r="GTE62" s="459"/>
      <c r="GTF62" s="459"/>
      <c r="GTG62" s="459"/>
      <c r="GTH62" s="459"/>
      <c r="GTI62" s="459"/>
      <c r="GTJ62" s="459"/>
      <c r="GTK62" s="459"/>
      <c r="GTL62" s="459"/>
      <c r="GTM62" s="459"/>
      <c r="GTN62" s="459"/>
      <c r="GTO62" s="459"/>
      <c r="GTP62" s="459"/>
      <c r="GTQ62" s="459"/>
      <c r="GTR62" s="459"/>
      <c r="GTS62" s="459"/>
      <c r="GTT62" s="459"/>
      <c r="GTU62" s="459"/>
      <c r="GTV62" s="459"/>
      <c r="GTW62" s="459"/>
      <c r="GTX62" s="459"/>
      <c r="GTY62" s="459"/>
      <c r="GTZ62" s="459"/>
      <c r="GUA62" s="459"/>
      <c r="GUB62" s="459"/>
      <c r="GUC62" s="459"/>
      <c r="GUD62" s="459"/>
      <c r="GUE62" s="459"/>
      <c r="GUF62" s="459"/>
      <c r="GUG62" s="459"/>
      <c r="GUH62" s="459"/>
      <c r="GUI62" s="459"/>
      <c r="GUJ62" s="459"/>
      <c r="GUK62" s="459"/>
      <c r="GUL62" s="459"/>
      <c r="GUM62" s="459"/>
      <c r="GUN62" s="459"/>
      <c r="GUO62" s="459"/>
      <c r="GUP62" s="459"/>
      <c r="GUQ62" s="459"/>
      <c r="GUR62" s="459"/>
      <c r="GUS62" s="459"/>
      <c r="GUT62" s="459"/>
      <c r="GUU62" s="459"/>
      <c r="GUV62" s="459"/>
      <c r="GUW62" s="459"/>
      <c r="GUX62" s="459"/>
      <c r="GUY62" s="459"/>
      <c r="GUZ62" s="459"/>
      <c r="GVA62" s="459"/>
      <c r="GVB62" s="459"/>
      <c r="GVC62" s="459"/>
      <c r="GVD62" s="459"/>
      <c r="GVE62" s="459"/>
      <c r="GVF62" s="459"/>
      <c r="GVG62" s="459"/>
      <c r="GVH62" s="459"/>
      <c r="GVI62" s="459"/>
      <c r="GVJ62" s="459"/>
      <c r="GVK62" s="459"/>
      <c r="GVL62" s="459"/>
      <c r="GVM62" s="459"/>
      <c r="GVN62" s="459"/>
      <c r="GVO62" s="459"/>
      <c r="GVP62" s="459"/>
      <c r="GVQ62" s="459"/>
      <c r="GVR62" s="459"/>
      <c r="GVS62" s="459"/>
      <c r="GVT62" s="459"/>
      <c r="GVU62" s="459"/>
      <c r="GVV62" s="459"/>
      <c r="GVW62" s="459"/>
      <c r="GVX62" s="459"/>
      <c r="GVY62" s="459"/>
      <c r="GVZ62" s="459"/>
      <c r="GWA62" s="459"/>
      <c r="GWB62" s="459"/>
      <c r="GWC62" s="459"/>
      <c r="GWD62" s="459"/>
      <c r="GWE62" s="459"/>
      <c r="GWF62" s="459"/>
      <c r="GWG62" s="459"/>
      <c r="GWH62" s="459"/>
      <c r="GWI62" s="459"/>
      <c r="GWJ62" s="459"/>
      <c r="GWK62" s="459"/>
      <c r="GWL62" s="459"/>
      <c r="GWM62" s="459"/>
      <c r="GWN62" s="459"/>
      <c r="GWO62" s="459"/>
      <c r="GWP62" s="459"/>
      <c r="GWQ62" s="459"/>
      <c r="GWR62" s="459"/>
      <c r="GWS62" s="459"/>
      <c r="GWT62" s="459"/>
      <c r="GWU62" s="459"/>
      <c r="GWV62" s="459"/>
      <c r="GWW62" s="459"/>
      <c r="GWX62" s="459"/>
      <c r="GWY62" s="459"/>
      <c r="GWZ62" s="459"/>
      <c r="GXA62" s="459"/>
      <c r="GXB62" s="459"/>
      <c r="GXC62" s="459"/>
      <c r="GXD62" s="459"/>
      <c r="GXE62" s="459"/>
      <c r="GXF62" s="459"/>
      <c r="GXG62" s="459"/>
      <c r="GXH62" s="459"/>
      <c r="GXI62" s="459"/>
      <c r="GXJ62" s="459"/>
      <c r="GXK62" s="459"/>
      <c r="GXL62" s="459"/>
      <c r="GXM62" s="459"/>
      <c r="GXN62" s="459"/>
      <c r="GXO62" s="459"/>
      <c r="GXP62" s="459"/>
      <c r="GXQ62" s="459"/>
      <c r="GXR62" s="459"/>
      <c r="GXS62" s="459"/>
      <c r="GXT62" s="459"/>
      <c r="GXU62" s="459"/>
      <c r="GXV62" s="459"/>
      <c r="GXW62" s="459"/>
      <c r="GXX62" s="459"/>
      <c r="GXY62" s="459"/>
      <c r="GXZ62" s="459"/>
      <c r="GYA62" s="459"/>
      <c r="GYB62" s="459"/>
      <c r="GYC62" s="459"/>
      <c r="GYD62" s="459"/>
      <c r="GYE62" s="459"/>
      <c r="GYF62" s="459"/>
      <c r="GYG62" s="459"/>
      <c r="GYH62" s="459"/>
      <c r="GYI62" s="459"/>
      <c r="GYJ62" s="459"/>
      <c r="GYK62" s="459"/>
      <c r="GYL62" s="459"/>
      <c r="GYM62" s="459"/>
      <c r="GYN62" s="459"/>
      <c r="GYO62" s="459"/>
      <c r="GYP62" s="459"/>
      <c r="GYQ62" s="459"/>
      <c r="GYR62" s="459"/>
      <c r="GYS62" s="459"/>
      <c r="GYT62" s="459"/>
      <c r="GYU62" s="459"/>
      <c r="GYV62" s="459"/>
      <c r="GYW62" s="459"/>
      <c r="GYX62" s="459"/>
      <c r="GYY62" s="459"/>
      <c r="GYZ62" s="459"/>
      <c r="GZA62" s="459"/>
      <c r="GZB62" s="459"/>
      <c r="GZC62" s="459"/>
      <c r="GZD62" s="459"/>
      <c r="GZE62" s="459"/>
      <c r="GZF62" s="459"/>
      <c r="GZG62" s="459"/>
      <c r="GZH62" s="459"/>
      <c r="GZI62" s="459"/>
      <c r="GZJ62" s="459"/>
      <c r="GZK62" s="459"/>
      <c r="GZL62" s="459"/>
      <c r="GZM62" s="459"/>
      <c r="GZN62" s="459"/>
      <c r="GZO62" s="459"/>
      <c r="GZP62" s="459"/>
      <c r="GZQ62" s="459"/>
      <c r="GZR62" s="459"/>
      <c r="GZS62" s="459"/>
      <c r="GZT62" s="459"/>
      <c r="GZU62" s="459"/>
      <c r="GZV62" s="459"/>
      <c r="GZW62" s="459"/>
      <c r="GZX62" s="459"/>
      <c r="GZY62" s="459"/>
      <c r="GZZ62" s="459"/>
      <c r="HAA62" s="459"/>
      <c r="HAB62" s="459"/>
      <c r="HAC62" s="459"/>
      <c r="HAD62" s="459"/>
      <c r="HAE62" s="459"/>
      <c r="HAF62" s="459"/>
      <c r="HAG62" s="459"/>
      <c r="HAH62" s="459"/>
      <c r="HAI62" s="459"/>
      <c r="HAJ62" s="459"/>
      <c r="HAK62" s="459"/>
      <c r="HAL62" s="459"/>
      <c r="HAM62" s="459"/>
      <c r="HAN62" s="459"/>
      <c r="HAO62" s="459"/>
      <c r="HAP62" s="459"/>
      <c r="HAQ62" s="459"/>
      <c r="HAR62" s="459"/>
      <c r="HAS62" s="459"/>
      <c r="HAT62" s="459"/>
      <c r="HAU62" s="459"/>
      <c r="HAV62" s="459"/>
      <c r="HAW62" s="459"/>
      <c r="HAX62" s="459"/>
      <c r="HAY62" s="459"/>
      <c r="HAZ62" s="459"/>
      <c r="HBA62" s="459"/>
      <c r="HBB62" s="459"/>
      <c r="HBC62" s="459"/>
      <c r="HBD62" s="459"/>
      <c r="HBE62" s="459"/>
      <c r="HBF62" s="459"/>
      <c r="HBG62" s="459"/>
      <c r="HBH62" s="459"/>
      <c r="HBI62" s="459"/>
      <c r="HBJ62" s="459"/>
      <c r="HBK62" s="459"/>
      <c r="HBL62" s="459"/>
      <c r="HBM62" s="459"/>
      <c r="HBN62" s="459"/>
      <c r="HBO62" s="459"/>
      <c r="HBP62" s="459"/>
      <c r="HBQ62" s="459"/>
      <c r="HBR62" s="459"/>
      <c r="HBS62" s="459"/>
      <c r="HBT62" s="459"/>
      <c r="HBU62" s="459"/>
      <c r="HBV62" s="459"/>
      <c r="HBW62" s="459"/>
      <c r="HBX62" s="459"/>
      <c r="HBY62" s="459"/>
      <c r="HBZ62" s="459"/>
      <c r="HCA62" s="459"/>
      <c r="HCB62" s="459"/>
      <c r="HCC62" s="459"/>
      <c r="HCD62" s="459"/>
      <c r="HCE62" s="459"/>
      <c r="HCF62" s="459"/>
      <c r="HCG62" s="459"/>
      <c r="HCH62" s="459"/>
      <c r="HCI62" s="459"/>
      <c r="HCJ62" s="459"/>
      <c r="HCK62" s="459"/>
      <c r="HCL62" s="459"/>
      <c r="HCM62" s="459"/>
      <c r="HCN62" s="459"/>
      <c r="HCO62" s="459"/>
      <c r="HCP62" s="459"/>
      <c r="HCQ62" s="459"/>
      <c r="HCR62" s="459"/>
      <c r="HCS62" s="459"/>
      <c r="HCT62" s="459"/>
      <c r="HCU62" s="459"/>
      <c r="HCV62" s="459"/>
      <c r="HCW62" s="459"/>
      <c r="HCX62" s="459"/>
      <c r="HCY62" s="459"/>
      <c r="HCZ62" s="459"/>
      <c r="HDA62" s="459"/>
      <c r="HDB62" s="459"/>
      <c r="HDC62" s="459"/>
      <c r="HDD62" s="459"/>
      <c r="HDE62" s="459"/>
      <c r="HDF62" s="459"/>
      <c r="HDG62" s="459"/>
      <c r="HDH62" s="459"/>
      <c r="HDI62" s="459"/>
      <c r="HDJ62" s="459"/>
      <c r="HDK62" s="459"/>
      <c r="HDL62" s="459"/>
      <c r="HDM62" s="459"/>
      <c r="HDN62" s="459"/>
      <c r="HDO62" s="459"/>
      <c r="HDP62" s="459"/>
      <c r="HDQ62" s="459"/>
      <c r="HDR62" s="459"/>
      <c r="HDS62" s="459"/>
      <c r="HDT62" s="459"/>
      <c r="HDU62" s="459"/>
      <c r="HDV62" s="459"/>
      <c r="HDW62" s="459"/>
      <c r="HDX62" s="459"/>
      <c r="HDY62" s="459"/>
      <c r="HDZ62" s="459"/>
      <c r="HEA62" s="459"/>
      <c r="HEB62" s="459"/>
      <c r="HEC62" s="459"/>
      <c r="HED62" s="459"/>
      <c r="HEE62" s="459"/>
      <c r="HEF62" s="459"/>
      <c r="HEG62" s="459"/>
      <c r="HEH62" s="459"/>
      <c r="HEI62" s="459"/>
      <c r="HEJ62" s="459"/>
      <c r="HEK62" s="459"/>
      <c r="HEL62" s="459"/>
      <c r="HEM62" s="459"/>
      <c r="HEN62" s="459"/>
      <c r="HEO62" s="459"/>
      <c r="HEP62" s="459"/>
      <c r="HEQ62" s="459"/>
      <c r="HER62" s="459"/>
      <c r="HES62" s="459"/>
      <c r="HET62" s="459"/>
      <c r="HEU62" s="459"/>
      <c r="HEV62" s="459"/>
      <c r="HEW62" s="459"/>
      <c r="HEX62" s="459"/>
      <c r="HEY62" s="459"/>
      <c r="HEZ62" s="459"/>
      <c r="HFA62" s="459"/>
      <c r="HFB62" s="459"/>
      <c r="HFC62" s="459"/>
      <c r="HFD62" s="459"/>
      <c r="HFE62" s="459"/>
      <c r="HFF62" s="459"/>
      <c r="HFG62" s="459"/>
      <c r="HFH62" s="459"/>
      <c r="HFI62" s="459"/>
      <c r="HFJ62" s="459"/>
      <c r="HFK62" s="459"/>
      <c r="HFL62" s="459"/>
      <c r="HFM62" s="459"/>
      <c r="HFN62" s="459"/>
      <c r="HFO62" s="459"/>
      <c r="HFP62" s="459"/>
      <c r="HFQ62" s="459"/>
      <c r="HFR62" s="459"/>
      <c r="HFS62" s="459"/>
      <c r="HFT62" s="459"/>
      <c r="HFU62" s="459"/>
      <c r="HFV62" s="459"/>
      <c r="HFW62" s="459"/>
      <c r="HFX62" s="459"/>
      <c r="HFY62" s="459"/>
      <c r="HFZ62" s="459"/>
      <c r="HGA62" s="459"/>
      <c r="HGB62" s="459"/>
      <c r="HGC62" s="459"/>
      <c r="HGD62" s="459"/>
      <c r="HGE62" s="459"/>
      <c r="HGF62" s="459"/>
      <c r="HGG62" s="459"/>
      <c r="HGH62" s="459"/>
      <c r="HGI62" s="459"/>
      <c r="HGJ62" s="459"/>
      <c r="HGK62" s="459"/>
      <c r="HGL62" s="459"/>
      <c r="HGM62" s="459"/>
      <c r="HGN62" s="459"/>
      <c r="HGO62" s="459"/>
      <c r="HGP62" s="459"/>
      <c r="HGQ62" s="459"/>
      <c r="HGR62" s="459"/>
      <c r="HGS62" s="459"/>
      <c r="HGT62" s="459"/>
      <c r="HGU62" s="459"/>
      <c r="HGV62" s="459"/>
      <c r="HGW62" s="459"/>
      <c r="HGX62" s="459"/>
      <c r="HGY62" s="459"/>
      <c r="HGZ62" s="459"/>
      <c r="HHA62" s="459"/>
      <c r="HHB62" s="459"/>
      <c r="HHC62" s="459"/>
      <c r="HHD62" s="459"/>
      <c r="HHE62" s="459"/>
      <c r="HHF62" s="459"/>
      <c r="HHG62" s="459"/>
      <c r="HHH62" s="459"/>
      <c r="HHI62" s="459"/>
      <c r="HHJ62" s="459"/>
      <c r="HHK62" s="459"/>
      <c r="HHL62" s="459"/>
      <c r="HHM62" s="459"/>
      <c r="HHN62" s="459"/>
      <c r="HHO62" s="459"/>
      <c r="HHP62" s="459"/>
      <c r="HHQ62" s="459"/>
      <c r="HHR62" s="459"/>
      <c r="HHS62" s="459"/>
      <c r="HHT62" s="459"/>
      <c r="HHU62" s="459"/>
      <c r="HHV62" s="459"/>
      <c r="HHW62" s="459"/>
      <c r="HHX62" s="459"/>
      <c r="HHY62" s="459"/>
      <c r="HHZ62" s="459"/>
      <c r="HIA62" s="459"/>
      <c r="HIB62" s="459"/>
      <c r="HIC62" s="459"/>
      <c r="HID62" s="459"/>
      <c r="HIE62" s="459"/>
      <c r="HIF62" s="459"/>
      <c r="HIG62" s="459"/>
      <c r="HIH62" s="459"/>
      <c r="HII62" s="459"/>
      <c r="HIJ62" s="459"/>
      <c r="HIK62" s="459"/>
      <c r="HIL62" s="459"/>
      <c r="HIM62" s="459"/>
      <c r="HIN62" s="459"/>
      <c r="HIO62" s="459"/>
      <c r="HIP62" s="459"/>
      <c r="HIQ62" s="459"/>
      <c r="HIR62" s="459"/>
      <c r="HIS62" s="459"/>
      <c r="HIT62" s="459"/>
      <c r="HIU62" s="459"/>
      <c r="HIV62" s="459"/>
      <c r="HIW62" s="459"/>
      <c r="HIX62" s="459"/>
      <c r="HIY62" s="459"/>
      <c r="HIZ62" s="459"/>
      <c r="HJA62" s="459"/>
      <c r="HJB62" s="459"/>
      <c r="HJC62" s="459"/>
      <c r="HJD62" s="459"/>
      <c r="HJE62" s="459"/>
      <c r="HJF62" s="459"/>
      <c r="HJG62" s="459"/>
      <c r="HJH62" s="459"/>
      <c r="HJI62" s="459"/>
      <c r="HJJ62" s="459"/>
      <c r="HJK62" s="459"/>
      <c r="HJL62" s="459"/>
      <c r="HJM62" s="459"/>
      <c r="HJN62" s="459"/>
      <c r="HJO62" s="459"/>
      <c r="HJP62" s="459"/>
      <c r="HJQ62" s="459"/>
      <c r="HJR62" s="459"/>
      <c r="HJS62" s="459"/>
      <c r="HJT62" s="459"/>
      <c r="HJU62" s="459"/>
      <c r="HJV62" s="459"/>
      <c r="HJW62" s="459"/>
      <c r="HJX62" s="459"/>
      <c r="HJY62" s="459"/>
      <c r="HJZ62" s="459"/>
      <c r="HKA62" s="459"/>
      <c r="HKB62" s="459"/>
      <c r="HKC62" s="459"/>
      <c r="HKD62" s="459"/>
      <c r="HKE62" s="459"/>
      <c r="HKF62" s="459"/>
      <c r="HKG62" s="459"/>
      <c r="HKH62" s="459"/>
      <c r="HKI62" s="459"/>
      <c r="HKJ62" s="459"/>
      <c r="HKK62" s="459"/>
      <c r="HKL62" s="459"/>
      <c r="HKM62" s="459"/>
      <c r="HKN62" s="459"/>
      <c r="HKO62" s="459"/>
      <c r="HKP62" s="459"/>
      <c r="HKQ62" s="459"/>
      <c r="HKR62" s="459"/>
      <c r="HKS62" s="459"/>
      <c r="HKT62" s="459"/>
      <c r="HKU62" s="459"/>
      <c r="HKV62" s="459"/>
      <c r="HKW62" s="459"/>
      <c r="HKX62" s="459"/>
      <c r="HKY62" s="459"/>
      <c r="HKZ62" s="459"/>
      <c r="HLA62" s="459"/>
      <c r="HLB62" s="459"/>
      <c r="HLC62" s="459"/>
      <c r="HLD62" s="459"/>
      <c r="HLE62" s="459"/>
      <c r="HLF62" s="459"/>
      <c r="HLG62" s="459"/>
      <c r="HLH62" s="459"/>
      <c r="HLI62" s="459"/>
      <c r="HLJ62" s="459"/>
      <c r="HLK62" s="459"/>
      <c r="HLL62" s="459"/>
      <c r="HLM62" s="459"/>
      <c r="HLN62" s="459"/>
      <c r="HLO62" s="459"/>
      <c r="HLP62" s="459"/>
      <c r="HLQ62" s="459"/>
      <c r="HLR62" s="459"/>
      <c r="HLS62" s="459"/>
      <c r="HLT62" s="459"/>
      <c r="HLU62" s="459"/>
      <c r="HLV62" s="459"/>
      <c r="HLW62" s="459"/>
      <c r="HLX62" s="459"/>
      <c r="HLY62" s="459"/>
      <c r="HLZ62" s="459"/>
      <c r="HMA62" s="459"/>
      <c r="HMB62" s="459"/>
      <c r="HMC62" s="459"/>
      <c r="HMD62" s="459"/>
      <c r="HME62" s="459"/>
      <c r="HMF62" s="459"/>
      <c r="HMG62" s="459"/>
      <c r="HMH62" s="459"/>
      <c r="HMI62" s="459"/>
      <c r="HMJ62" s="459"/>
      <c r="HMK62" s="459"/>
      <c r="HML62" s="459"/>
      <c r="HMM62" s="459"/>
      <c r="HMN62" s="459"/>
      <c r="HMO62" s="459"/>
      <c r="HMP62" s="459"/>
      <c r="HMQ62" s="459"/>
      <c r="HMR62" s="459"/>
      <c r="HMS62" s="459"/>
      <c r="HMT62" s="459"/>
      <c r="HMU62" s="459"/>
      <c r="HMV62" s="459"/>
      <c r="HMW62" s="459"/>
      <c r="HMX62" s="459"/>
      <c r="HMY62" s="459"/>
      <c r="HMZ62" s="459"/>
      <c r="HNA62" s="459"/>
      <c r="HNB62" s="459"/>
      <c r="HNC62" s="459"/>
      <c r="HND62" s="459"/>
      <c r="HNE62" s="459"/>
      <c r="HNF62" s="459"/>
      <c r="HNG62" s="459"/>
      <c r="HNH62" s="459"/>
      <c r="HNI62" s="459"/>
      <c r="HNJ62" s="459"/>
      <c r="HNK62" s="459"/>
      <c r="HNL62" s="459"/>
      <c r="HNM62" s="459"/>
      <c r="HNN62" s="459"/>
      <c r="HNO62" s="459"/>
      <c r="HNP62" s="459"/>
      <c r="HNQ62" s="459"/>
      <c r="HNR62" s="459"/>
      <c r="HNS62" s="459"/>
      <c r="HNT62" s="459"/>
      <c r="HNU62" s="459"/>
      <c r="HNV62" s="459"/>
      <c r="HNW62" s="459"/>
      <c r="HNX62" s="459"/>
      <c r="HNY62" s="459"/>
      <c r="HNZ62" s="459"/>
      <c r="HOA62" s="459"/>
      <c r="HOB62" s="459"/>
      <c r="HOC62" s="459"/>
      <c r="HOD62" s="459"/>
      <c r="HOE62" s="459"/>
      <c r="HOF62" s="459"/>
      <c r="HOG62" s="459"/>
      <c r="HOH62" s="459"/>
      <c r="HOI62" s="459"/>
      <c r="HOJ62" s="459"/>
      <c r="HOK62" s="459"/>
      <c r="HOL62" s="459"/>
      <c r="HOM62" s="459"/>
      <c r="HON62" s="459"/>
      <c r="HOO62" s="459"/>
      <c r="HOP62" s="459"/>
      <c r="HOQ62" s="459"/>
      <c r="HOR62" s="459"/>
      <c r="HOS62" s="459"/>
      <c r="HOT62" s="459"/>
      <c r="HOU62" s="459"/>
      <c r="HOV62" s="459"/>
      <c r="HOW62" s="459"/>
      <c r="HOX62" s="459"/>
      <c r="HOY62" s="459"/>
      <c r="HOZ62" s="459"/>
      <c r="HPA62" s="459"/>
      <c r="HPB62" s="459"/>
      <c r="HPC62" s="459"/>
      <c r="HPD62" s="459"/>
      <c r="HPE62" s="459"/>
      <c r="HPF62" s="459"/>
      <c r="HPG62" s="459"/>
      <c r="HPH62" s="459"/>
      <c r="HPI62" s="459"/>
      <c r="HPJ62" s="459"/>
      <c r="HPK62" s="459"/>
      <c r="HPL62" s="459"/>
      <c r="HPM62" s="459"/>
      <c r="HPN62" s="459"/>
      <c r="HPO62" s="459"/>
      <c r="HPP62" s="459"/>
      <c r="HPQ62" s="459"/>
      <c r="HPR62" s="459"/>
      <c r="HPS62" s="459"/>
      <c r="HPT62" s="459"/>
      <c r="HPU62" s="459"/>
      <c r="HPV62" s="459"/>
      <c r="HPW62" s="459"/>
      <c r="HPX62" s="459"/>
      <c r="HPY62" s="459"/>
      <c r="HPZ62" s="459"/>
      <c r="HQA62" s="459"/>
      <c r="HQB62" s="459"/>
      <c r="HQC62" s="459"/>
      <c r="HQD62" s="459"/>
      <c r="HQE62" s="459"/>
      <c r="HQF62" s="459"/>
      <c r="HQG62" s="459"/>
      <c r="HQH62" s="459"/>
      <c r="HQI62" s="459"/>
      <c r="HQJ62" s="459"/>
      <c r="HQK62" s="459"/>
      <c r="HQL62" s="459"/>
      <c r="HQM62" s="459"/>
      <c r="HQN62" s="459"/>
      <c r="HQO62" s="459"/>
      <c r="HQP62" s="459"/>
      <c r="HQQ62" s="459"/>
      <c r="HQR62" s="459"/>
      <c r="HQS62" s="459"/>
      <c r="HQT62" s="459"/>
      <c r="HQU62" s="459"/>
      <c r="HQV62" s="459"/>
      <c r="HQW62" s="459"/>
      <c r="HQX62" s="459"/>
      <c r="HQY62" s="459"/>
      <c r="HQZ62" s="459"/>
      <c r="HRA62" s="459"/>
      <c r="HRB62" s="459"/>
      <c r="HRC62" s="459"/>
      <c r="HRD62" s="459"/>
      <c r="HRE62" s="459"/>
      <c r="HRF62" s="459"/>
      <c r="HRG62" s="459"/>
      <c r="HRH62" s="459"/>
      <c r="HRI62" s="459"/>
      <c r="HRJ62" s="459"/>
      <c r="HRK62" s="459"/>
      <c r="HRL62" s="459"/>
      <c r="HRM62" s="459"/>
      <c r="HRN62" s="459"/>
      <c r="HRO62" s="459"/>
      <c r="HRP62" s="459"/>
      <c r="HRQ62" s="459"/>
      <c r="HRR62" s="459"/>
      <c r="HRS62" s="459"/>
      <c r="HRT62" s="459"/>
      <c r="HRU62" s="459"/>
      <c r="HRV62" s="459"/>
      <c r="HRW62" s="459"/>
      <c r="HRX62" s="459"/>
      <c r="HRY62" s="459"/>
      <c r="HRZ62" s="459"/>
      <c r="HSA62" s="459"/>
      <c r="HSB62" s="459"/>
      <c r="HSC62" s="459"/>
      <c r="HSD62" s="459"/>
      <c r="HSE62" s="459"/>
      <c r="HSF62" s="459"/>
      <c r="HSG62" s="459"/>
      <c r="HSH62" s="459"/>
      <c r="HSI62" s="459"/>
      <c r="HSJ62" s="459"/>
      <c r="HSK62" s="459"/>
      <c r="HSL62" s="459"/>
      <c r="HSM62" s="459"/>
      <c r="HSN62" s="459"/>
      <c r="HSO62" s="459"/>
      <c r="HSP62" s="459"/>
      <c r="HSQ62" s="459"/>
      <c r="HSR62" s="459"/>
      <c r="HSS62" s="459"/>
      <c r="HST62" s="459"/>
      <c r="HSU62" s="459"/>
      <c r="HSV62" s="459"/>
      <c r="HSW62" s="459"/>
      <c r="HSX62" s="459"/>
      <c r="HSY62" s="459"/>
      <c r="HSZ62" s="459"/>
      <c r="HTA62" s="459"/>
      <c r="HTB62" s="459"/>
      <c r="HTC62" s="459"/>
      <c r="HTD62" s="459"/>
      <c r="HTE62" s="459"/>
      <c r="HTF62" s="459"/>
      <c r="HTG62" s="459"/>
      <c r="HTH62" s="459"/>
      <c r="HTI62" s="459"/>
      <c r="HTJ62" s="459"/>
      <c r="HTK62" s="459"/>
      <c r="HTL62" s="459"/>
      <c r="HTM62" s="459"/>
      <c r="HTN62" s="459"/>
      <c r="HTO62" s="459"/>
      <c r="HTP62" s="459"/>
      <c r="HTQ62" s="459"/>
      <c r="HTR62" s="459"/>
      <c r="HTS62" s="459"/>
      <c r="HTT62" s="459"/>
      <c r="HTU62" s="459"/>
      <c r="HTV62" s="459"/>
      <c r="HTW62" s="459"/>
      <c r="HTX62" s="459"/>
      <c r="HTY62" s="459"/>
      <c r="HTZ62" s="459"/>
      <c r="HUA62" s="459"/>
      <c r="HUB62" s="459"/>
      <c r="HUC62" s="459"/>
      <c r="HUD62" s="459"/>
      <c r="HUE62" s="459"/>
      <c r="HUF62" s="459"/>
      <c r="HUG62" s="459"/>
      <c r="HUH62" s="459"/>
      <c r="HUI62" s="459"/>
      <c r="HUJ62" s="459"/>
      <c r="HUK62" s="459"/>
      <c r="HUL62" s="459"/>
      <c r="HUM62" s="459"/>
      <c r="HUN62" s="459"/>
      <c r="HUO62" s="459"/>
      <c r="HUP62" s="459"/>
      <c r="HUQ62" s="459"/>
      <c r="HUR62" s="459"/>
      <c r="HUS62" s="459"/>
      <c r="HUT62" s="459"/>
      <c r="HUU62" s="459"/>
      <c r="HUV62" s="459"/>
      <c r="HUW62" s="459"/>
      <c r="HUX62" s="459"/>
      <c r="HUY62" s="459"/>
      <c r="HUZ62" s="459"/>
      <c r="HVA62" s="459"/>
      <c r="HVB62" s="459"/>
      <c r="HVC62" s="459"/>
      <c r="HVD62" s="459"/>
      <c r="HVE62" s="459"/>
      <c r="HVF62" s="459"/>
      <c r="HVG62" s="459"/>
      <c r="HVH62" s="459"/>
      <c r="HVI62" s="459"/>
      <c r="HVJ62" s="459"/>
      <c r="HVK62" s="459"/>
      <c r="HVL62" s="459"/>
      <c r="HVM62" s="459"/>
      <c r="HVN62" s="459"/>
      <c r="HVO62" s="459"/>
      <c r="HVP62" s="459"/>
      <c r="HVQ62" s="459"/>
      <c r="HVR62" s="459"/>
      <c r="HVS62" s="459"/>
      <c r="HVT62" s="459"/>
      <c r="HVU62" s="459"/>
      <c r="HVV62" s="459"/>
      <c r="HVW62" s="459"/>
      <c r="HVX62" s="459"/>
      <c r="HVY62" s="459"/>
      <c r="HVZ62" s="459"/>
      <c r="HWA62" s="459"/>
      <c r="HWB62" s="459"/>
      <c r="HWC62" s="459"/>
      <c r="HWD62" s="459"/>
      <c r="HWE62" s="459"/>
      <c r="HWF62" s="459"/>
      <c r="HWG62" s="459"/>
      <c r="HWH62" s="459"/>
      <c r="HWI62" s="459"/>
      <c r="HWJ62" s="459"/>
      <c r="HWK62" s="459"/>
      <c r="HWL62" s="459"/>
      <c r="HWM62" s="459"/>
      <c r="HWN62" s="459"/>
      <c r="HWO62" s="459"/>
      <c r="HWP62" s="459"/>
      <c r="HWQ62" s="459"/>
      <c r="HWR62" s="459"/>
      <c r="HWS62" s="459"/>
      <c r="HWT62" s="459"/>
      <c r="HWU62" s="459"/>
      <c r="HWV62" s="459"/>
      <c r="HWW62" s="459"/>
      <c r="HWX62" s="459"/>
      <c r="HWY62" s="459"/>
      <c r="HWZ62" s="459"/>
      <c r="HXA62" s="459"/>
      <c r="HXB62" s="459"/>
      <c r="HXC62" s="459"/>
      <c r="HXD62" s="459"/>
      <c r="HXE62" s="459"/>
      <c r="HXF62" s="459"/>
      <c r="HXG62" s="459"/>
      <c r="HXH62" s="459"/>
      <c r="HXI62" s="459"/>
      <c r="HXJ62" s="459"/>
      <c r="HXK62" s="459"/>
      <c r="HXL62" s="459"/>
      <c r="HXM62" s="459"/>
      <c r="HXN62" s="459"/>
      <c r="HXO62" s="459"/>
      <c r="HXP62" s="459"/>
      <c r="HXQ62" s="459"/>
      <c r="HXR62" s="459"/>
      <c r="HXS62" s="459"/>
      <c r="HXT62" s="459"/>
      <c r="HXU62" s="459"/>
      <c r="HXV62" s="459"/>
      <c r="HXW62" s="459"/>
      <c r="HXX62" s="459"/>
      <c r="HXY62" s="459"/>
      <c r="HXZ62" s="459"/>
      <c r="HYA62" s="459"/>
      <c r="HYB62" s="459"/>
      <c r="HYC62" s="459"/>
      <c r="HYD62" s="459"/>
      <c r="HYE62" s="459"/>
      <c r="HYF62" s="459"/>
      <c r="HYG62" s="459"/>
      <c r="HYH62" s="459"/>
      <c r="HYI62" s="459"/>
      <c r="HYJ62" s="459"/>
      <c r="HYK62" s="459"/>
      <c r="HYL62" s="459"/>
      <c r="HYM62" s="459"/>
      <c r="HYN62" s="459"/>
      <c r="HYO62" s="459"/>
      <c r="HYP62" s="459"/>
      <c r="HYQ62" s="459"/>
      <c r="HYR62" s="459"/>
      <c r="HYS62" s="459"/>
      <c r="HYT62" s="459"/>
      <c r="HYU62" s="459"/>
      <c r="HYV62" s="459"/>
      <c r="HYW62" s="459"/>
      <c r="HYX62" s="459"/>
      <c r="HYY62" s="459"/>
      <c r="HYZ62" s="459"/>
      <c r="HZA62" s="459"/>
      <c r="HZB62" s="459"/>
      <c r="HZC62" s="459"/>
      <c r="HZD62" s="459"/>
      <c r="HZE62" s="459"/>
      <c r="HZF62" s="459"/>
      <c r="HZG62" s="459"/>
      <c r="HZH62" s="459"/>
      <c r="HZI62" s="459"/>
      <c r="HZJ62" s="459"/>
      <c r="HZK62" s="459"/>
      <c r="HZL62" s="459"/>
      <c r="HZM62" s="459"/>
      <c r="HZN62" s="459"/>
      <c r="HZO62" s="459"/>
      <c r="HZP62" s="459"/>
      <c r="HZQ62" s="459"/>
      <c r="HZR62" s="459"/>
      <c r="HZS62" s="459"/>
      <c r="HZT62" s="459"/>
      <c r="HZU62" s="459"/>
      <c r="HZV62" s="459"/>
      <c r="HZW62" s="459"/>
      <c r="HZX62" s="459"/>
      <c r="HZY62" s="459"/>
      <c r="HZZ62" s="459"/>
      <c r="IAA62" s="459"/>
      <c r="IAB62" s="459"/>
      <c r="IAC62" s="459"/>
      <c r="IAD62" s="459"/>
      <c r="IAE62" s="459"/>
      <c r="IAF62" s="459"/>
      <c r="IAG62" s="459"/>
      <c r="IAH62" s="459"/>
      <c r="IAI62" s="459"/>
      <c r="IAJ62" s="459"/>
      <c r="IAK62" s="459"/>
      <c r="IAL62" s="459"/>
      <c r="IAM62" s="459"/>
      <c r="IAN62" s="459"/>
      <c r="IAO62" s="459"/>
      <c r="IAP62" s="459"/>
      <c r="IAQ62" s="459"/>
      <c r="IAR62" s="459"/>
      <c r="IAS62" s="459"/>
      <c r="IAT62" s="459"/>
      <c r="IAU62" s="459"/>
      <c r="IAV62" s="459"/>
      <c r="IAW62" s="459"/>
      <c r="IAX62" s="459"/>
      <c r="IAY62" s="459"/>
      <c r="IAZ62" s="459"/>
      <c r="IBA62" s="459"/>
      <c r="IBB62" s="459"/>
      <c r="IBC62" s="459"/>
      <c r="IBD62" s="459"/>
      <c r="IBE62" s="459"/>
      <c r="IBF62" s="459"/>
      <c r="IBG62" s="459"/>
      <c r="IBH62" s="459"/>
      <c r="IBI62" s="459"/>
      <c r="IBJ62" s="459"/>
      <c r="IBK62" s="459"/>
      <c r="IBL62" s="459"/>
      <c r="IBM62" s="459"/>
      <c r="IBN62" s="459"/>
      <c r="IBO62" s="459"/>
      <c r="IBP62" s="459"/>
      <c r="IBQ62" s="459"/>
      <c r="IBR62" s="459"/>
      <c r="IBS62" s="459"/>
      <c r="IBT62" s="459"/>
      <c r="IBU62" s="459"/>
      <c r="IBV62" s="459"/>
      <c r="IBW62" s="459"/>
      <c r="IBX62" s="459"/>
      <c r="IBY62" s="459"/>
      <c r="IBZ62" s="459"/>
      <c r="ICA62" s="459"/>
      <c r="ICB62" s="459"/>
      <c r="ICC62" s="459"/>
      <c r="ICD62" s="459"/>
      <c r="ICE62" s="459"/>
      <c r="ICF62" s="459"/>
      <c r="ICG62" s="459"/>
      <c r="ICH62" s="459"/>
      <c r="ICI62" s="459"/>
      <c r="ICJ62" s="459"/>
      <c r="ICK62" s="459"/>
      <c r="ICL62" s="459"/>
      <c r="ICM62" s="459"/>
      <c r="ICN62" s="459"/>
      <c r="ICO62" s="459"/>
      <c r="ICP62" s="459"/>
      <c r="ICQ62" s="459"/>
      <c r="ICR62" s="459"/>
      <c r="ICS62" s="459"/>
      <c r="ICT62" s="459"/>
      <c r="ICU62" s="459"/>
      <c r="ICV62" s="459"/>
      <c r="ICW62" s="459"/>
      <c r="ICX62" s="459"/>
      <c r="ICY62" s="459"/>
      <c r="ICZ62" s="459"/>
      <c r="IDA62" s="459"/>
      <c r="IDB62" s="459"/>
      <c r="IDC62" s="459"/>
      <c r="IDD62" s="459"/>
      <c r="IDE62" s="459"/>
      <c r="IDF62" s="459"/>
      <c r="IDG62" s="459"/>
      <c r="IDH62" s="459"/>
      <c r="IDI62" s="459"/>
      <c r="IDJ62" s="459"/>
      <c r="IDK62" s="459"/>
      <c r="IDL62" s="459"/>
      <c r="IDM62" s="459"/>
      <c r="IDN62" s="459"/>
      <c r="IDO62" s="459"/>
      <c r="IDP62" s="459"/>
      <c r="IDQ62" s="459"/>
      <c r="IDR62" s="459"/>
      <c r="IDS62" s="459"/>
      <c r="IDT62" s="459"/>
      <c r="IDU62" s="459"/>
      <c r="IDV62" s="459"/>
      <c r="IDW62" s="459"/>
      <c r="IDX62" s="459"/>
      <c r="IDY62" s="459"/>
      <c r="IDZ62" s="459"/>
      <c r="IEA62" s="459"/>
      <c r="IEB62" s="459"/>
      <c r="IEC62" s="459"/>
      <c r="IED62" s="459"/>
      <c r="IEE62" s="459"/>
      <c r="IEF62" s="459"/>
      <c r="IEG62" s="459"/>
      <c r="IEH62" s="459"/>
      <c r="IEI62" s="459"/>
      <c r="IEJ62" s="459"/>
      <c r="IEK62" s="459"/>
      <c r="IEL62" s="459"/>
      <c r="IEM62" s="459"/>
      <c r="IEN62" s="459"/>
      <c r="IEO62" s="459"/>
      <c r="IEP62" s="459"/>
      <c r="IEQ62" s="459"/>
      <c r="IER62" s="459"/>
      <c r="IES62" s="459"/>
      <c r="IET62" s="459"/>
      <c r="IEU62" s="459"/>
      <c r="IEV62" s="459"/>
      <c r="IEW62" s="459"/>
      <c r="IEX62" s="459"/>
      <c r="IEY62" s="459"/>
      <c r="IEZ62" s="459"/>
      <c r="IFA62" s="459"/>
      <c r="IFB62" s="459"/>
      <c r="IFC62" s="459"/>
      <c r="IFD62" s="459"/>
      <c r="IFE62" s="459"/>
      <c r="IFF62" s="459"/>
      <c r="IFG62" s="459"/>
      <c r="IFH62" s="459"/>
      <c r="IFI62" s="459"/>
      <c r="IFJ62" s="459"/>
      <c r="IFK62" s="459"/>
      <c r="IFL62" s="459"/>
      <c r="IFM62" s="459"/>
      <c r="IFN62" s="459"/>
      <c r="IFO62" s="459"/>
      <c r="IFP62" s="459"/>
      <c r="IFQ62" s="459"/>
      <c r="IFR62" s="459"/>
      <c r="IFS62" s="459"/>
      <c r="IFT62" s="459"/>
      <c r="IFU62" s="459"/>
      <c r="IFV62" s="459"/>
      <c r="IFW62" s="459"/>
      <c r="IFX62" s="459"/>
      <c r="IFY62" s="459"/>
      <c r="IFZ62" s="459"/>
      <c r="IGA62" s="459"/>
      <c r="IGB62" s="459"/>
      <c r="IGC62" s="459"/>
      <c r="IGD62" s="459"/>
      <c r="IGE62" s="459"/>
      <c r="IGF62" s="459"/>
      <c r="IGG62" s="459"/>
      <c r="IGH62" s="459"/>
      <c r="IGI62" s="459"/>
      <c r="IGJ62" s="459"/>
      <c r="IGK62" s="459"/>
      <c r="IGL62" s="459"/>
      <c r="IGM62" s="459"/>
      <c r="IGN62" s="459"/>
      <c r="IGO62" s="459"/>
      <c r="IGP62" s="459"/>
      <c r="IGQ62" s="459"/>
      <c r="IGR62" s="459"/>
      <c r="IGS62" s="459"/>
      <c r="IGT62" s="459"/>
      <c r="IGU62" s="459"/>
      <c r="IGV62" s="459"/>
      <c r="IGW62" s="459"/>
      <c r="IGX62" s="459"/>
      <c r="IGY62" s="459"/>
      <c r="IGZ62" s="459"/>
      <c r="IHA62" s="459"/>
      <c r="IHB62" s="459"/>
      <c r="IHC62" s="459"/>
      <c r="IHD62" s="459"/>
      <c r="IHE62" s="459"/>
      <c r="IHF62" s="459"/>
      <c r="IHG62" s="459"/>
      <c r="IHH62" s="459"/>
      <c r="IHI62" s="459"/>
      <c r="IHJ62" s="459"/>
      <c r="IHK62" s="459"/>
      <c r="IHL62" s="459"/>
      <c r="IHM62" s="459"/>
      <c r="IHN62" s="459"/>
      <c r="IHO62" s="459"/>
      <c r="IHP62" s="459"/>
      <c r="IHQ62" s="459"/>
      <c r="IHR62" s="459"/>
      <c r="IHS62" s="459"/>
      <c r="IHT62" s="459"/>
      <c r="IHU62" s="459"/>
      <c r="IHV62" s="459"/>
      <c r="IHW62" s="459"/>
      <c r="IHX62" s="459"/>
      <c r="IHY62" s="459"/>
      <c r="IHZ62" s="459"/>
      <c r="IIA62" s="459"/>
      <c r="IIB62" s="459"/>
      <c r="IIC62" s="459"/>
      <c r="IID62" s="459"/>
      <c r="IIE62" s="459"/>
      <c r="IIF62" s="459"/>
      <c r="IIG62" s="459"/>
      <c r="IIH62" s="459"/>
      <c r="III62" s="459"/>
      <c r="IIJ62" s="459"/>
      <c r="IIK62" s="459"/>
      <c r="IIL62" s="459"/>
      <c r="IIM62" s="459"/>
      <c r="IIN62" s="459"/>
      <c r="IIO62" s="459"/>
      <c r="IIP62" s="459"/>
      <c r="IIQ62" s="459"/>
      <c r="IIR62" s="459"/>
      <c r="IIS62" s="459"/>
      <c r="IIT62" s="459"/>
      <c r="IIU62" s="459"/>
      <c r="IIV62" s="459"/>
      <c r="IIW62" s="459"/>
      <c r="IIX62" s="459"/>
      <c r="IIY62" s="459"/>
      <c r="IIZ62" s="459"/>
      <c r="IJA62" s="459"/>
      <c r="IJB62" s="459"/>
      <c r="IJC62" s="459"/>
      <c r="IJD62" s="459"/>
      <c r="IJE62" s="459"/>
      <c r="IJF62" s="459"/>
      <c r="IJG62" s="459"/>
      <c r="IJH62" s="459"/>
      <c r="IJI62" s="459"/>
      <c r="IJJ62" s="459"/>
      <c r="IJK62" s="459"/>
      <c r="IJL62" s="459"/>
      <c r="IJM62" s="459"/>
      <c r="IJN62" s="459"/>
      <c r="IJO62" s="459"/>
      <c r="IJP62" s="459"/>
      <c r="IJQ62" s="459"/>
      <c r="IJR62" s="459"/>
      <c r="IJS62" s="459"/>
      <c r="IJT62" s="459"/>
      <c r="IJU62" s="459"/>
      <c r="IJV62" s="459"/>
      <c r="IJW62" s="459"/>
      <c r="IJX62" s="459"/>
      <c r="IJY62" s="459"/>
      <c r="IJZ62" s="459"/>
      <c r="IKA62" s="459"/>
      <c r="IKB62" s="459"/>
      <c r="IKC62" s="459"/>
      <c r="IKD62" s="459"/>
      <c r="IKE62" s="459"/>
      <c r="IKF62" s="459"/>
      <c r="IKG62" s="459"/>
      <c r="IKH62" s="459"/>
      <c r="IKI62" s="459"/>
      <c r="IKJ62" s="459"/>
      <c r="IKK62" s="459"/>
      <c r="IKL62" s="459"/>
      <c r="IKM62" s="459"/>
      <c r="IKN62" s="459"/>
      <c r="IKO62" s="459"/>
      <c r="IKP62" s="459"/>
      <c r="IKQ62" s="459"/>
      <c r="IKR62" s="459"/>
      <c r="IKS62" s="459"/>
      <c r="IKT62" s="459"/>
      <c r="IKU62" s="459"/>
      <c r="IKV62" s="459"/>
      <c r="IKW62" s="459"/>
      <c r="IKX62" s="459"/>
      <c r="IKY62" s="459"/>
      <c r="IKZ62" s="459"/>
      <c r="ILA62" s="459"/>
      <c r="ILB62" s="459"/>
      <c r="ILC62" s="459"/>
      <c r="ILD62" s="459"/>
      <c r="ILE62" s="459"/>
      <c r="ILF62" s="459"/>
      <c r="ILG62" s="459"/>
      <c r="ILH62" s="459"/>
      <c r="ILI62" s="459"/>
      <c r="ILJ62" s="459"/>
      <c r="ILK62" s="459"/>
      <c r="ILL62" s="459"/>
      <c r="ILM62" s="459"/>
      <c r="ILN62" s="459"/>
      <c r="ILO62" s="459"/>
      <c r="ILP62" s="459"/>
      <c r="ILQ62" s="459"/>
      <c r="ILR62" s="459"/>
      <c r="ILS62" s="459"/>
      <c r="ILT62" s="459"/>
      <c r="ILU62" s="459"/>
      <c r="ILV62" s="459"/>
      <c r="ILW62" s="459"/>
      <c r="ILX62" s="459"/>
      <c r="ILY62" s="459"/>
      <c r="ILZ62" s="459"/>
      <c r="IMA62" s="459"/>
      <c r="IMB62" s="459"/>
      <c r="IMC62" s="459"/>
      <c r="IMD62" s="459"/>
      <c r="IME62" s="459"/>
      <c r="IMF62" s="459"/>
      <c r="IMG62" s="459"/>
      <c r="IMH62" s="459"/>
      <c r="IMI62" s="459"/>
      <c r="IMJ62" s="459"/>
      <c r="IMK62" s="459"/>
      <c r="IML62" s="459"/>
      <c r="IMM62" s="459"/>
      <c r="IMN62" s="459"/>
      <c r="IMO62" s="459"/>
      <c r="IMP62" s="459"/>
      <c r="IMQ62" s="459"/>
      <c r="IMR62" s="459"/>
      <c r="IMS62" s="459"/>
      <c r="IMT62" s="459"/>
      <c r="IMU62" s="459"/>
      <c r="IMV62" s="459"/>
      <c r="IMW62" s="459"/>
      <c r="IMX62" s="459"/>
      <c r="IMY62" s="459"/>
      <c r="IMZ62" s="459"/>
      <c r="INA62" s="459"/>
      <c r="INB62" s="459"/>
      <c r="INC62" s="459"/>
      <c r="IND62" s="459"/>
      <c r="INE62" s="459"/>
      <c r="INF62" s="459"/>
      <c r="ING62" s="459"/>
      <c r="INH62" s="459"/>
      <c r="INI62" s="459"/>
      <c r="INJ62" s="459"/>
      <c r="INK62" s="459"/>
      <c r="INL62" s="459"/>
      <c r="INM62" s="459"/>
      <c r="INN62" s="459"/>
      <c r="INO62" s="459"/>
      <c r="INP62" s="459"/>
      <c r="INQ62" s="459"/>
      <c r="INR62" s="459"/>
      <c r="INS62" s="459"/>
      <c r="INT62" s="459"/>
      <c r="INU62" s="459"/>
      <c r="INV62" s="459"/>
      <c r="INW62" s="459"/>
      <c r="INX62" s="459"/>
      <c r="INY62" s="459"/>
      <c r="INZ62" s="459"/>
      <c r="IOA62" s="459"/>
      <c r="IOB62" s="459"/>
      <c r="IOC62" s="459"/>
      <c r="IOD62" s="459"/>
      <c r="IOE62" s="459"/>
      <c r="IOF62" s="459"/>
      <c r="IOG62" s="459"/>
      <c r="IOH62" s="459"/>
      <c r="IOI62" s="459"/>
      <c r="IOJ62" s="459"/>
      <c r="IOK62" s="459"/>
      <c r="IOL62" s="459"/>
      <c r="IOM62" s="459"/>
      <c r="ION62" s="459"/>
      <c r="IOO62" s="459"/>
      <c r="IOP62" s="459"/>
      <c r="IOQ62" s="459"/>
      <c r="IOR62" s="459"/>
      <c r="IOS62" s="459"/>
      <c r="IOT62" s="459"/>
      <c r="IOU62" s="459"/>
      <c r="IOV62" s="459"/>
      <c r="IOW62" s="459"/>
      <c r="IOX62" s="459"/>
      <c r="IOY62" s="459"/>
      <c r="IOZ62" s="459"/>
      <c r="IPA62" s="459"/>
      <c r="IPB62" s="459"/>
      <c r="IPC62" s="459"/>
      <c r="IPD62" s="459"/>
      <c r="IPE62" s="459"/>
      <c r="IPF62" s="459"/>
      <c r="IPG62" s="459"/>
      <c r="IPH62" s="459"/>
      <c r="IPI62" s="459"/>
      <c r="IPJ62" s="459"/>
      <c r="IPK62" s="459"/>
      <c r="IPL62" s="459"/>
      <c r="IPM62" s="459"/>
      <c r="IPN62" s="459"/>
      <c r="IPO62" s="459"/>
      <c r="IPP62" s="459"/>
      <c r="IPQ62" s="459"/>
      <c r="IPR62" s="459"/>
      <c r="IPS62" s="459"/>
      <c r="IPT62" s="459"/>
      <c r="IPU62" s="459"/>
      <c r="IPV62" s="459"/>
      <c r="IPW62" s="459"/>
      <c r="IPX62" s="459"/>
      <c r="IPY62" s="459"/>
      <c r="IPZ62" s="459"/>
      <c r="IQA62" s="459"/>
      <c r="IQB62" s="459"/>
      <c r="IQC62" s="459"/>
      <c r="IQD62" s="459"/>
      <c r="IQE62" s="459"/>
      <c r="IQF62" s="459"/>
      <c r="IQG62" s="459"/>
      <c r="IQH62" s="459"/>
      <c r="IQI62" s="459"/>
      <c r="IQJ62" s="459"/>
      <c r="IQK62" s="459"/>
      <c r="IQL62" s="459"/>
      <c r="IQM62" s="459"/>
      <c r="IQN62" s="459"/>
      <c r="IQO62" s="459"/>
      <c r="IQP62" s="459"/>
      <c r="IQQ62" s="459"/>
      <c r="IQR62" s="459"/>
      <c r="IQS62" s="459"/>
      <c r="IQT62" s="459"/>
      <c r="IQU62" s="459"/>
      <c r="IQV62" s="459"/>
      <c r="IQW62" s="459"/>
      <c r="IQX62" s="459"/>
      <c r="IQY62" s="459"/>
      <c r="IQZ62" s="459"/>
      <c r="IRA62" s="459"/>
      <c r="IRB62" s="459"/>
      <c r="IRC62" s="459"/>
      <c r="IRD62" s="459"/>
      <c r="IRE62" s="459"/>
      <c r="IRF62" s="459"/>
      <c r="IRG62" s="459"/>
      <c r="IRH62" s="459"/>
      <c r="IRI62" s="459"/>
      <c r="IRJ62" s="459"/>
      <c r="IRK62" s="459"/>
      <c r="IRL62" s="459"/>
      <c r="IRM62" s="459"/>
      <c r="IRN62" s="459"/>
      <c r="IRO62" s="459"/>
      <c r="IRP62" s="459"/>
      <c r="IRQ62" s="459"/>
      <c r="IRR62" s="459"/>
      <c r="IRS62" s="459"/>
      <c r="IRT62" s="459"/>
      <c r="IRU62" s="459"/>
      <c r="IRV62" s="459"/>
      <c r="IRW62" s="459"/>
      <c r="IRX62" s="459"/>
      <c r="IRY62" s="459"/>
      <c r="IRZ62" s="459"/>
      <c r="ISA62" s="459"/>
      <c r="ISB62" s="459"/>
      <c r="ISC62" s="459"/>
      <c r="ISD62" s="459"/>
      <c r="ISE62" s="459"/>
      <c r="ISF62" s="459"/>
      <c r="ISG62" s="459"/>
      <c r="ISH62" s="459"/>
      <c r="ISI62" s="459"/>
      <c r="ISJ62" s="459"/>
      <c r="ISK62" s="459"/>
      <c r="ISL62" s="459"/>
      <c r="ISM62" s="459"/>
      <c r="ISN62" s="459"/>
      <c r="ISO62" s="459"/>
      <c r="ISP62" s="459"/>
      <c r="ISQ62" s="459"/>
      <c r="ISR62" s="459"/>
      <c r="ISS62" s="459"/>
      <c r="IST62" s="459"/>
      <c r="ISU62" s="459"/>
      <c r="ISV62" s="459"/>
      <c r="ISW62" s="459"/>
      <c r="ISX62" s="459"/>
      <c r="ISY62" s="459"/>
      <c r="ISZ62" s="459"/>
      <c r="ITA62" s="459"/>
      <c r="ITB62" s="459"/>
      <c r="ITC62" s="459"/>
      <c r="ITD62" s="459"/>
      <c r="ITE62" s="459"/>
      <c r="ITF62" s="459"/>
      <c r="ITG62" s="459"/>
      <c r="ITH62" s="459"/>
      <c r="ITI62" s="459"/>
      <c r="ITJ62" s="459"/>
      <c r="ITK62" s="459"/>
      <c r="ITL62" s="459"/>
      <c r="ITM62" s="459"/>
      <c r="ITN62" s="459"/>
      <c r="ITO62" s="459"/>
      <c r="ITP62" s="459"/>
      <c r="ITQ62" s="459"/>
      <c r="ITR62" s="459"/>
      <c r="ITS62" s="459"/>
      <c r="ITT62" s="459"/>
      <c r="ITU62" s="459"/>
      <c r="ITV62" s="459"/>
      <c r="ITW62" s="459"/>
      <c r="ITX62" s="459"/>
      <c r="ITY62" s="459"/>
      <c r="ITZ62" s="459"/>
      <c r="IUA62" s="459"/>
      <c r="IUB62" s="459"/>
      <c r="IUC62" s="459"/>
      <c r="IUD62" s="459"/>
      <c r="IUE62" s="459"/>
      <c r="IUF62" s="459"/>
      <c r="IUG62" s="459"/>
      <c r="IUH62" s="459"/>
      <c r="IUI62" s="459"/>
      <c r="IUJ62" s="459"/>
      <c r="IUK62" s="459"/>
      <c r="IUL62" s="459"/>
      <c r="IUM62" s="459"/>
      <c r="IUN62" s="459"/>
      <c r="IUO62" s="459"/>
      <c r="IUP62" s="459"/>
      <c r="IUQ62" s="459"/>
      <c r="IUR62" s="459"/>
      <c r="IUS62" s="459"/>
      <c r="IUT62" s="459"/>
      <c r="IUU62" s="459"/>
      <c r="IUV62" s="459"/>
      <c r="IUW62" s="459"/>
      <c r="IUX62" s="459"/>
      <c r="IUY62" s="459"/>
      <c r="IUZ62" s="459"/>
      <c r="IVA62" s="459"/>
      <c r="IVB62" s="459"/>
      <c r="IVC62" s="459"/>
      <c r="IVD62" s="459"/>
      <c r="IVE62" s="459"/>
      <c r="IVF62" s="459"/>
      <c r="IVG62" s="459"/>
      <c r="IVH62" s="459"/>
      <c r="IVI62" s="459"/>
      <c r="IVJ62" s="459"/>
      <c r="IVK62" s="459"/>
      <c r="IVL62" s="459"/>
      <c r="IVM62" s="459"/>
      <c r="IVN62" s="459"/>
      <c r="IVO62" s="459"/>
      <c r="IVP62" s="459"/>
      <c r="IVQ62" s="459"/>
      <c r="IVR62" s="459"/>
      <c r="IVS62" s="459"/>
      <c r="IVT62" s="459"/>
      <c r="IVU62" s="459"/>
      <c r="IVV62" s="459"/>
      <c r="IVW62" s="459"/>
      <c r="IVX62" s="459"/>
      <c r="IVY62" s="459"/>
      <c r="IVZ62" s="459"/>
      <c r="IWA62" s="459"/>
      <c r="IWB62" s="459"/>
      <c r="IWC62" s="459"/>
      <c r="IWD62" s="459"/>
      <c r="IWE62" s="459"/>
      <c r="IWF62" s="459"/>
      <c r="IWG62" s="459"/>
      <c r="IWH62" s="459"/>
      <c r="IWI62" s="459"/>
      <c r="IWJ62" s="459"/>
      <c r="IWK62" s="459"/>
      <c r="IWL62" s="459"/>
      <c r="IWM62" s="459"/>
      <c r="IWN62" s="459"/>
      <c r="IWO62" s="459"/>
      <c r="IWP62" s="459"/>
      <c r="IWQ62" s="459"/>
      <c r="IWR62" s="459"/>
      <c r="IWS62" s="459"/>
      <c r="IWT62" s="459"/>
      <c r="IWU62" s="459"/>
      <c r="IWV62" s="459"/>
      <c r="IWW62" s="459"/>
      <c r="IWX62" s="459"/>
      <c r="IWY62" s="459"/>
      <c r="IWZ62" s="459"/>
      <c r="IXA62" s="459"/>
      <c r="IXB62" s="459"/>
      <c r="IXC62" s="459"/>
      <c r="IXD62" s="459"/>
      <c r="IXE62" s="459"/>
      <c r="IXF62" s="459"/>
      <c r="IXG62" s="459"/>
      <c r="IXH62" s="459"/>
      <c r="IXI62" s="459"/>
      <c r="IXJ62" s="459"/>
      <c r="IXK62" s="459"/>
      <c r="IXL62" s="459"/>
      <c r="IXM62" s="459"/>
      <c r="IXN62" s="459"/>
      <c r="IXO62" s="459"/>
      <c r="IXP62" s="459"/>
      <c r="IXQ62" s="459"/>
      <c r="IXR62" s="459"/>
      <c r="IXS62" s="459"/>
      <c r="IXT62" s="459"/>
      <c r="IXU62" s="459"/>
      <c r="IXV62" s="459"/>
      <c r="IXW62" s="459"/>
      <c r="IXX62" s="459"/>
      <c r="IXY62" s="459"/>
      <c r="IXZ62" s="459"/>
      <c r="IYA62" s="459"/>
      <c r="IYB62" s="459"/>
      <c r="IYC62" s="459"/>
      <c r="IYD62" s="459"/>
      <c r="IYE62" s="459"/>
      <c r="IYF62" s="459"/>
      <c r="IYG62" s="459"/>
      <c r="IYH62" s="459"/>
      <c r="IYI62" s="459"/>
      <c r="IYJ62" s="459"/>
      <c r="IYK62" s="459"/>
      <c r="IYL62" s="459"/>
      <c r="IYM62" s="459"/>
      <c r="IYN62" s="459"/>
      <c r="IYO62" s="459"/>
      <c r="IYP62" s="459"/>
      <c r="IYQ62" s="459"/>
      <c r="IYR62" s="459"/>
      <c r="IYS62" s="459"/>
      <c r="IYT62" s="459"/>
      <c r="IYU62" s="459"/>
      <c r="IYV62" s="459"/>
      <c r="IYW62" s="459"/>
      <c r="IYX62" s="459"/>
      <c r="IYY62" s="459"/>
      <c r="IYZ62" s="459"/>
      <c r="IZA62" s="459"/>
      <c r="IZB62" s="459"/>
      <c r="IZC62" s="459"/>
      <c r="IZD62" s="459"/>
      <c r="IZE62" s="459"/>
      <c r="IZF62" s="459"/>
      <c r="IZG62" s="459"/>
      <c r="IZH62" s="459"/>
      <c r="IZI62" s="459"/>
      <c r="IZJ62" s="459"/>
      <c r="IZK62" s="459"/>
      <c r="IZL62" s="459"/>
      <c r="IZM62" s="459"/>
      <c r="IZN62" s="459"/>
      <c r="IZO62" s="459"/>
      <c r="IZP62" s="459"/>
      <c r="IZQ62" s="459"/>
      <c r="IZR62" s="459"/>
      <c r="IZS62" s="459"/>
      <c r="IZT62" s="459"/>
      <c r="IZU62" s="459"/>
      <c r="IZV62" s="459"/>
      <c r="IZW62" s="459"/>
      <c r="IZX62" s="459"/>
      <c r="IZY62" s="459"/>
      <c r="IZZ62" s="459"/>
      <c r="JAA62" s="459"/>
      <c r="JAB62" s="459"/>
      <c r="JAC62" s="459"/>
      <c r="JAD62" s="459"/>
      <c r="JAE62" s="459"/>
      <c r="JAF62" s="459"/>
      <c r="JAG62" s="459"/>
      <c r="JAH62" s="459"/>
      <c r="JAI62" s="459"/>
      <c r="JAJ62" s="459"/>
      <c r="JAK62" s="459"/>
      <c r="JAL62" s="459"/>
      <c r="JAM62" s="459"/>
      <c r="JAN62" s="459"/>
      <c r="JAO62" s="459"/>
      <c r="JAP62" s="459"/>
      <c r="JAQ62" s="459"/>
      <c r="JAR62" s="459"/>
      <c r="JAS62" s="459"/>
      <c r="JAT62" s="459"/>
      <c r="JAU62" s="459"/>
      <c r="JAV62" s="459"/>
      <c r="JAW62" s="459"/>
      <c r="JAX62" s="459"/>
      <c r="JAY62" s="459"/>
      <c r="JAZ62" s="459"/>
      <c r="JBA62" s="459"/>
      <c r="JBB62" s="459"/>
      <c r="JBC62" s="459"/>
      <c r="JBD62" s="459"/>
      <c r="JBE62" s="459"/>
      <c r="JBF62" s="459"/>
      <c r="JBG62" s="459"/>
      <c r="JBH62" s="459"/>
      <c r="JBI62" s="459"/>
      <c r="JBJ62" s="459"/>
      <c r="JBK62" s="459"/>
      <c r="JBL62" s="459"/>
      <c r="JBM62" s="459"/>
      <c r="JBN62" s="459"/>
      <c r="JBO62" s="459"/>
      <c r="JBP62" s="459"/>
      <c r="JBQ62" s="459"/>
      <c r="JBR62" s="459"/>
      <c r="JBS62" s="459"/>
      <c r="JBT62" s="459"/>
      <c r="JBU62" s="459"/>
      <c r="JBV62" s="459"/>
      <c r="JBW62" s="459"/>
      <c r="JBX62" s="459"/>
      <c r="JBY62" s="459"/>
      <c r="JBZ62" s="459"/>
      <c r="JCA62" s="459"/>
      <c r="JCB62" s="459"/>
      <c r="JCC62" s="459"/>
      <c r="JCD62" s="459"/>
      <c r="JCE62" s="459"/>
      <c r="JCF62" s="459"/>
      <c r="JCG62" s="459"/>
      <c r="JCH62" s="459"/>
      <c r="JCI62" s="459"/>
      <c r="JCJ62" s="459"/>
      <c r="JCK62" s="459"/>
      <c r="JCL62" s="459"/>
      <c r="JCM62" s="459"/>
      <c r="JCN62" s="459"/>
      <c r="JCO62" s="459"/>
      <c r="JCP62" s="459"/>
      <c r="JCQ62" s="459"/>
      <c r="JCR62" s="459"/>
      <c r="JCS62" s="459"/>
      <c r="JCT62" s="459"/>
      <c r="JCU62" s="459"/>
      <c r="JCV62" s="459"/>
      <c r="JCW62" s="459"/>
      <c r="JCX62" s="459"/>
      <c r="JCY62" s="459"/>
      <c r="JCZ62" s="459"/>
      <c r="JDA62" s="459"/>
      <c r="JDB62" s="459"/>
      <c r="JDC62" s="459"/>
      <c r="JDD62" s="459"/>
      <c r="JDE62" s="459"/>
      <c r="JDF62" s="459"/>
      <c r="JDG62" s="459"/>
      <c r="JDH62" s="459"/>
      <c r="JDI62" s="459"/>
      <c r="JDJ62" s="459"/>
      <c r="JDK62" s="459"/>
      <c r="JDL62" s="459"/>
      <c r="JDM62" s="459"/>
      <c r="JDN62" s="459"/>
      <c r="JDO62" s="459"/>
      <c r="JDP62" s="459"/>
      <c r="JDQ62" s="459"/>
      <c r="JDR62" s="459"/>
      <c r="JDS62" s="459"/>
      <c r="JDT62" s="459"/>
      <c r="JDU62" s="459"/>
      <c r="JDV62" s="459"/>
      <c r="JDW62" s="459"/>
      <c r="JDX62" s="459"/>
      <c r="JDY62" s="459"/>
      <c r="JDZ62" s="459"/>
      <c r="JEA62" s="459"/>
      <c r="JEB62" s="459"/>
      <c r="JEC62" s="459"/>
      <c r="JED62" s="459"/>
      <c r="JEE62" s="459"/>
      <c r="JEF62" s="459"/>
      <c r="JEG62" s="459"/>
      <c r="JEH62" s="459"/>
      <c r="JEI62" s="459"/>
      <c r="JEJ62" s="459"/>
      <c r="JEK62" s="459"/>
      <c r="JEL62" s="459"/>
      <c r="JEM62" s="459"/>
      <c r="JEN62" s="459"/>
      <c r="JEO62" s="459"/>
      <c r="JEP62" s="459"/>
      <c r="JEQ62" s="459"/>
      <c r="JER62" s="459"/>
      <c r="JES62" s="459"/>
      <c r="JET62" s="459"/>
      <c r="JEU62" s="459"/>
      <c r="JEV62" s="459"/>
      <c r="JEW62" s="459"/>
      <c r="JEX62" s="459"/>
      <c r="JEY62" s="459"/>
      <c r="JEZ62" s="459"/>
      <c r="JFA62" s="459"/>
      <c r="JFB62" s="459"/>
      <c r="JFC62" s="459"/>
      <c r="JFD62" s="459"/>
      <c r="JFE62" s="459"/>
      <c r="JFF62" s="459"/>
      <c r="JFG62" s="459"/>
      <c r="JFH62" s="459"/>
      <c r="JFI62" s="459"/>
      <c r="JFJ62" s="459"/>
      <c r="JFK62" s="459"/>
      <c r="JFL62" s="459"/>
      <c r="JFM62" s="459"/>
      <c r="JFN62" s="459"/>
      <c r="JFO62" s="459"/>
      <c r="JFP62" s="459"/>
      <c r="JFQ62" s="459"/>
      <c r="JFR62" s="459"/>
      <c r="JFS62" s="459"/>
      <c r="JFT62" s="459"/>
      <c r="JFU62" s="459"/>
      <c r="JFV62" s="459"/>
      <c r="JFW62" s="459"/>
      <c r="JFX62" s="459"/>
      <c r="JFY62" s="459"/>
      <c r="JFZ62" s="459"/>
      <c r="JGA62" s="459"/>
      <c r="JGB62" s="459"/>
      <c r="JGC62" s="459"/>
      <c r="JGD62" s="459"/>
      <c r="JGE62" s="459"/>
      <c r="JGF62" s="459"/>
      <c r="JGG62" s="459"/>
      <c r="JGH62" s="459"/>
      <c r="JGI62" s="459"/>
      <c r="JGJ62" s="459"/>
      <c r="JGK62" s="459"/>
      <c r="JGL62" s="459"/>
      <c r="JGM62" s="459"/>
      <c r="JGN62" s="459"/>
      <c r="JGO62" s="459"/>
      <c r="JGP62" s="459"/>
      <c r="JGQ62" s="459"/>
      <c r="JGR62" s="459"/>
      <c r="JGS62" s="459"/>
      <c r="JGT62" s="459"/>
      <c r="JGU62" s="459"/>
      <c r="JGV62" s="459"/>
      <c r="JGW62" s="459"/>
      <c r="JGX62" s="459"/>
      <c r="JGY62" s="459"/>
      <c r="JGZ62" s="459"/>
      <c r="JHA62" s="459"/>
      <c r="JHB62" s="459"/>
      <c r="JHC62" s="459"/>
      <c r="JHD62" s="459"/>
      <c r="JHE62" s="459"/>
      <c r="JHF62" s="459"/>
      <c r="JHG62" s="459"/>
      <c r="JHH62" s="459"/>
      <c r="JHI62" s="459"/>
      <c r="JHJ62" s="459"/>
      <c r="JHK62" s="459"/>
      <c r="JHL62" s="459"/>
      <c r="JHM62" s="459"/>
      <c r="JHN62" s="459"/>
      <c r="JHO62" s="459"/>
      <c r="JHP62" s="459"/>
      <c r="JHQ62" s="459"/>
      <c r="JHR62" s="459"/>
      <c r="JHS62" s="459"/>
      <c r="JHT62" s="459"/>
      <c r="JHU62" s="459"/>
      <c r="JHV62" s="459"/>
      <c r="JHW62" s="459"/>
      <c r="JHX62" s="459"/>
      <c r="JHY62" s="459"/>
      <c r="JHZ62" s="459"/>
      <c r="JIA62" s="459"/>
      <c r="JIB62" s="459"/>
      <c r="JIC62" s="459"/>
      <c r="JID62" s="459"/>
      <c r="JIE62" s="459"/>
      <c r="JIF62" s="459"/>
      <c r="JIG62" s="459"/>
      <c r="JIH62" s="459"/>
      <c r="JII62" s="459"/>
      <c r="JIJ62" s="459"/>
      <c r="JIK62" s="459"/>
      <c r="JIL62" s="459"/>
      <c r="JIM62" s="459"/>
      <c r="JIN62" s="459"/>
      <c r="JIO62" s="459"/>
      <c r="JIP62" s="459"/>
      <c r="JIQ62" s="459"/>
      <c r="JIR62" s="459"/>
      <c r="JIS62" s="459"/>
      <c r="JIT62" s="459"/>
      <c r="JIU62" s="459"/>
      <c r="JIV62" s="459"/>
      <c r="JIW62" s="459"/>
      <c r="JIX62" s="459"/>
      <c r="JIY62" s="459"/>
      <c r="JIZ62" s="459"/>
      <c r="JJA62" s="459"/>
      <c r="JJB62" s="459"/>
      <c r="JJC62" s="459"/>
      <c r="JJD62" s="459"/>
      <c r="JJE62" s="459"/>
      <c r="JJF62" s="459"/>
      <c r="JJG62" s="459"/>
      <c r="JJH62" s="459"/>
      <c r="JJI62" s="459"/>
      <c r="JJJ62" s="459"/>
      <c r="JJK62" s="459"/>
      <c r="JJL62" s="459"/>
      <c r="JJM62" s="459"/>
      <c r="JJN62" s="459"/>
      <c r="JJO62" s="459"/>
      <c r="JJP62" s="459"/>
      <c r="JJQ62" s="459"/>
      <c r="JJR62" s="459"/>
      <c r="JJS62" s="459"/>
      <c r="JJT62" s="459"/>
      <c r="JJU62" s="459"/>
      <c r="JJV62" s="459"/>
      <c r="JJW62" s="459"/>
      <c r="JJX62" s="459"/>
      <c r="JJY62" s="459"/>
      <c r="JJZ62" s="459"/>
      <c r="JKA62" s="459"/>
      <c r="JKB62" s="459"/>
      <c r="JKC62" s="459"/>
      <c r="JKD62" s="459"/>
      <c r="JKE62" s="459"/>
      <c r="JKF62" s="459"/>
      <c r="JKG62" s="459"/>
      <c r="JKH62" s="459"/>
      <c r="JKI62" s="459"/>
      <c r="JKJ62" s="459"/>
      <c r="JKK62" s="459"/>
      <c r="JKL62" s="459"/>
      <c r="JKM62" s="459"/>
      <c r="JKN62" s="459"/>
      <c r="JKO62" s="459"/>
      <c r="JKP62" s="459"/>
      <c r="JKQ62" s="459"/>
      <c r="JKR62" s="459"/>
      <c r="JKS62" s="459"/>
      <c r="JKT62" s="459"/>
      <c r="JKU62" s="459"/>
      <c r="JKV62" s="459"/>
      <c r="JKW62" s="459"/>
      <c r="JKX62" s="459"/>
      <c r="JKY62" s="459"/>
      <c r="JKZ62" s="459"/>
      <c r="JLA62" s="459"/>
      <c r="JLB62" s="459"/>
      <c r="JLC62" s="459"/>
      <c r="JLD62" s="459"/>
      <c r="JLE62" s="459"/>
      <c r="JLF62" s="459"/>
      <c r="JLG62" s="459"/>
      <c r="JLH62" s="459"/>
      <c r="JLI62" s="459"/>
      <c r="JLJ62" s="459"/>
      <c r="JLK62" s="459"/>
      <c r="JLL62" s="459"/>
      <c r="JLM62" s="459"/>
      <c r="JLN62" s="459"/>
      <c r="JLO62" s="459"/>
      <c r="JLP62" s="459"/>
      <c r="JLQ62" s="459"/>
      <c r="JLR62" s="459"/>
      <c r="JLS62" s="459"/>
      <c r="JLT62" s="459"/>
      <c r="JLU62" s="459"/>
      <c r="JLV62" s="459"/>
      <c r="JLW62" s="459"/>
      <c r="JLX62" s="459"/>
      <c r="JLY62" s="459"/>
      <c r="JLZ62" s="459"/>
      <c r="JMA62" s="459"/>
      <c r="JMB62" s="459"/>
      <c r="JMC62" s="459"/>
      <c r="JMD62" s="459"/>
      <c r="JME62" s="459"/>
      <c r="JMF62" s="459"/>
      <c r="JMG62" s="459"/>
      <c r="JMH62" s="459"/>
      <c r="JMI62" s="459"/>
      <c r="JMJ62" s="459"/>
      <c r="JMK62" s="459"/>
      <c r="JML62" s="459"/>
      <c r="JMM62" s="459"/>
      <c r="JMN62" s="459"/>
      <c r="JMO62" s="459"/>
      <c r="JMP62" s="459"/>
      <c r="JMQ62" s="459"/>
      <c r="JMR62" s="459"/>
      <c r="JMS62" s="459"/>
      <c r="JMT62" s="459"/>
      <c r="JMU62" s="459"/>
      <c r="JMV62" s="459"/>
      <c r="JMW62" s="459"/>
      <c r="JMX62" s="459"/>
      <c r="JMY62" s="459"/>
      <c r="JMZ62" s="459"/>
      <c r="JNA62" s="459"/>
      <c r="JNB62" s="459"/>
      <c r="JNC62" s="459"/>
      <c r="JND62" s="459"/>
      <c r="JNE62" s="459"/>
      <c r="JNF62" s="459"/>
      <c r="JNG62" s="459"/>
      <c r="JNH62" s="459"/>
      <c r="JNI62" s="459"/>
      <c r="JNJ62" s="459"/>
      <c r="JNK62" s="459"/>
      <c r="JNL62" s="459"/>
      <c r="JNM62" s="459"/>
      <c r="JNN62" s="459"/>
      <c r="JNO62" s="459"/>
      <c r="JNP62" s="459"/>
      <c r="JNQ62" s="459"/>
      <c r="JNR62" s="459"/>
      <c r="JNS62" s="459"/>
      <c r="JNT62" s="459"/>
      <c r="JNU62" s="459"/>
      <c r="JNV62" s="459"/>
      <c r="JNW62" s="459"/>
      <c r="JNX62" s="459"/>
      <c r="JNY62" s="459"/>
      <c r="JNZ62" s="459"/>
      <c r="JOA62" s="459"/>
      <c r="JOB62" s="459"/>
      <c r="JOC62" s="459"/>
      <c r="JOD62" s="459"/>
      <c r="JOE62" s="459"/>
      <c r="JOF62" s="459"/>
      <c r="JOG62" s="459"/>
      <c r="JOH62" s="459"/>
      <c r="JOI62" s="459"/>
      <c r="JOJ62" s="459"/>
      <c r="JOK62" s="459"/>
      <c r="JOL62" s="459"/>
      <c r="JOM62" s="459"/>
      <c r="JON62" s="459"/>
      <c r="JOO62" s="459"/>
      <c r="JOP62" s="459"/>
      <c r="JOQ62" s="459"/>
      <c r="JOR62" s="459"/>
      <c r="JOS62" s="459"/>
      <c r="JOT62" s="459"/>
      <c r="JOU62" s="459"/>
      <c r="JOV62" s="459"/>
      <c r="JOW62" s="459"/>
      <c r="JOX62" s="459"/>
      <c r="JOY62" s="459"/>
      <c r="JOZ62" s="459"/>
      <c r="JPA62" s="459"/>
      <c r="JPB62" s="459"/>
      <c r="JPC62" s="459"/>
      <c r="JPD62" s="459"/>
      <c r="JPE62" s="459"/>
      <c r="JPF62" s="459"/>
      <c r="JPG62" s="459"/>
      <c r="JPH62" s="459"/>
      <c r="JPI62" s="459"/>
      <c r="JPJ62" s="459"/>
      <c r="JPK62" s="459"/>
      <c r="JPL62" s="459"/>
      <c r="JPM62" s="459"/>
      <c r="JPN62" s="459"/>
      <c r="JPO62" s="459"/>
      <c r="JPP62" s="459"/>
      <c r="JPQ62" s="459"/>
      <c r="JPR62" s="459"/>
      <c r="JPS62" s="459"/>
      <c r="JPT62" s="459"/>
      <c r="JPU62" s="459"/>
      <c r="JPV62" s="459"/>
      <c r="JPW62" s="459"/>
      <c r="JPX62" s="459"/>
      <c r="JPY62" s="459"/>
      <c r="JPZ62" s="459"/>
      <c r="JQA62" s="459"/>
      <c r="JQB62" s="459"/>
      <c r="JQC62" s="459"/>
      <c r="JQD62" s="459"/>
      <c r="JQE62" s="459"/>
      <c r="JQF62" s="459"/>
      <c r="JQG62" s="459"/>
      <c r="JQH62" s="459"/>
      <c r="JQI62" s="459"/>
      <c r="JQJ62" s="459"/>
      <c r="JQK62" s="459"/>
      <c r="JQL62" s="459"/>
      <c r="JQM62" s="459"/>
      <c r="JQN62" s="459"/>
      <c r="JQO62" s="459"/>
      <c r="JQP62" s="459"/>
      <c r="JQQ62" s="459"/>
      <c r="JQR62" s="459"/>
      <c r="JQS62" s="459"/>
      <c r="JQT62" s="459"/>
      <c r="JQU62" s="459"/>
      <c r="JQV62" s="459"/>
      <c r="JQW62" s="459"/>
      <c r="JQX62" s="459"/>
      <c r="JQY62" s="459"/>
      <c r="JQZ62" s="459"/>
      <c r="JRA62" s="459"/>
      <c r="JRB62" s="459"/>
      <c r="JRC62" s="459"/>
      <c r="JRD62" s="459"/>
      <c r="JRE62" s="459"/>
      <c r="JRF62" s="459"/>
      <c r="JRG62" s="459"/>
      <c r="JRH62" s="459"/>
      <c r="JRI62" s="459"/>
      <c r="JRJ62" s="459"/>
      <c r="JRK62" s="459"/>
      <c r="JRL62" s="459"/>
      <c r="JRM62" s="459"/>
      <c r="JRN62" s="459"/>
      <c r="JRO62" s="459"/>
      <c r="JRP62" s="459"/>
      <c r="JRQ62" s="459"/>
      <c r="JRR62" s="459"/>
      <c r="JRS62" s="459"/>
      <c r="JRT62" s="459"/>
      <c r="JRU62" s="459"/>
      <c r="JRV62" s="459"/>
      <c r="JRW62" s="459"/>
      <c r="JRX62" s="459"/>
      <c r="JRY62" s="459"/>
      <c r="JRZ62" s="459"/>
      <c r="JSA62" s="459"/>
      <c r="JSB62" s="459"/>
      <c r="JSC62" s="459"/>
      <c r="JSD62" s="459"/>
      <c r="JSE62" s="459"/>
      <c r="JSF62" s="459"/>
      <c r="JSG62" s="459"/>
      <c r="JSH62" s="459"/>
      <c r="JSI62" s="459"/>
      <c r="JSJ62" s="459"/>
      <c r="JSK62" s="459"/>
      <c r="JSL62" s="459"/>
      <c r="JSM62" s="459"/>
      <c r="JSN62" s="459"/>
      <c r="JSO62" s="459"/>
      <c r="JSP62" s="459"/>
      <c r="JSQ62" s="459"/>
      <c r="JSR62" s="459"/>
      <c r="JSS62" s="459"/>
      <c r="JST62" s="459"/>
      <c r="JSU62" s="459"/>
      <c r="JSV62" s="459"/>
      <c r="JSW62" s="459"/>
      <c r="JSX62" s="459"/>
      <c r="JSY62" s="459"/>
      <c r="JSZ62" s="459"/>
      <c r="JTA62" s="459"/>
      <c r="JTB62" s="459"/>
      <c r="JTC62" s="459"/>
      <c r="JTD62" s="459"/>
      <c r="JTE62" s="459"/>
      <c r="JTF62" s="459"/>
      <c r="JTG62" s="459"/>
      <c r="JTH62" s="459"/>
      <c r="JTI62" s="459"/>
      <c r="JTJ62" s="459"/>
      <c r="JTK62" s="459"/>
      <c r="JTL62" s="459"/>
      <c r="JTM62" s="459"/>
      <c r="JTN62" s="459"/>
      <c r="JTO62" s="459"/>
      <c r="JTP62" s="459"/>
      <c r="JTQ62" s="459"/>
      <c r="JTR62" s="459"/>
      <c r="JTS62" s="459"/>
      <c r="JTT62" s="459"/>
      <c r="JTU62" s="459"/>
      <c r="JTV62" s="459"/>
      <c r="JTW62" s="459"/>
      <c r="JTX62" s="459"/>
      <c r="JTY62" s="459"/>
      <c r="JTZ62" s="459"/>
      <c r="JUA62" s="459"/>
      <c r="JUB62" s="459"/>
      <c r="JUC62" s="459"/>
      <c r="JUD62" s="459"/>
      <c r="JUE62" s="459"/>
      <c r="JUF62" s="459"/>
      <c r="JUG62" s="459"/>
      <c r="JUH62" s="459"/>
      <c r="JUI62" s="459"/>
      <c r="JUJ62" s="459"/>
      <c r="JUK62" s="459"/>
      <c r="JUL62" s="459"/>
      <c r="JUM62" s="459"/>
      <c r="JUN62" s="459"/>
      <c r="JUO62" s="459"/>
      <c r="JUP62" s="459"/>
      <c r="JUQ62" s="459"/>
      <c r="JUR62" s="459"/>
      <c r="JUS62" s="459"/>
      <c r="JUT62" s="459"/>
      <c r="JUU62" s="459"/>
      <c r="JUV62" s="459"/>
      <c r="JUW62" s="459"/>
      <c r="JUX62" s="459"/>
      <c r="JUY62" s="459"/>
      <c r="JUZ62" s="459"/>
      <c r="JVA62" s="459"/>
      <c r="JVB62" s="459"/>
      <c r="JVC62" s="459"/>
      <c r="JVD62" s="459"/>
      <c r="JVE62" s="459"/>
      <c r="JVF62" s="459"/>
      <c r="JVG62" s="459"/>
      <c r="JVH62" s="459"/>
      <c r="JVI62" s="459"/>
      <c r="JVJ62" s="459"/>
      <c r="JVK62" s="459"/>
      <c r="JVL62" s="459"/>
      <c r="JVM62" s="459"/>
      <c r="JVN62" s="459"/>
      <c r="JVO62" s="459"/>
      <c r="JVP62" s="459"/>
      <c r="JVQ62" s="459"/>
      <c r="JVR62" s="459"/>
      <c r="JVS62" s="459"/>
      <c r="JVT62" s="459"/>
      <c r="JVU62" s="459"/>
      <c r="JVV62" s="459"/>
      <c r="JVW62" s="459"/>
      <c r="JVX62" s="459"/>
      <c r="JVY62" s="459"/>
      <c r="JVZ62" s="459"/>
      <c r="JWA62" s="459"/>
      <c r="JWB62" s="459"/>
      <c r="JWC62" s="459"/>
      <c r="JWD62" s="459"/>
      <c r="JWE62" s="459"/>
      <c r="JWF62" s="459"/>
      <c r="JWG62" s="459"/>
      <c r="JWH62" s="459"/>
      <c r="JWI62" s="459"/>
      <c r="JWJ62" s="459"/>
      <c r="JWK62" s="459"/>
      <c r="JWL62" s="459"/>
      <c r="JWM62" s="459"/>
      <c r="JWN62" s="459"/>
      <c r="JWO62" s="459"/>
      <c r="JWP62" s="459"/>
      <c r="JWQ62" s="459"/>
      <c r="JWR62" s="459"/>
      <c r="JWS62" s="459"/>
      <c r="JWT62" s="459"/>
      <c r="JWU62" s="459"/>
      <c r="JWV62" s="459"/>
      <c r="JWW62" s="459"/>
      <c r="JWX62" s="459"/>
      <c r="JWY62" s="459"/>
      <c r="JWZ62" s="459"/>
      <c r="JXA62" s="459"/>
      <c r="JXB62" s="459"/>
      <c r="JXC62" s="459"/>
      <c r="JXD62" s="459"/>
      <c r="JXE62" s="459"/>
      <c r="JXF62" s="459"/>
      <c r="JXG62" s="459"/>
      <c r="JXH62" s="459"/>
      <c r="JXI62" s="459"/>
      <c r="JXJ62" s="459"/>
      <c r="JXK62" s="459"/>
      <c r="JXL62" s="459"/>
      <c r="JXM62" s="459"/>
      <c r="JXN62" s="459"/>
      <c r="JXO62" s="459"/>
      <c r="JXP62" s="459"/>
      <c r="JXQ62" s="459"/>
      <c r="JXR62" s="459"/>
      <c r="JXS62" s="459"/>
      <c r="JXT62" s="459"/>
      <c r="JXU62" s="459"/>
      <c r="JXV62" s="459"/>
      <c r="JXW62" s="459"/>
      <c r="JXX62" s="459"/>
      <c r="JXY62" s="459"/>
      <c r="JXZ62" s="459"/>
      <c r="JYA62" s="459"/>
      <c r="JYB62" s="459"/>
      <c r="JYC62" s="459"/>
      <c r="JYD62" s="459"/>
      <c r="JYE62" s="459"/>
      <c r="JYF62" s="459"/>
      <c r="JYG62" s="459"/>
      <c r="JYH62" s="459"/>
      <c r="JYI62" s="459"/>
      <c r="JYJ62" s="459"/>
      <c r="JYK62" s="459"/>
      <c r="JYL62" s="459"/>
      <c r="JYM62" s="459"/>
      <c r="JYN62" s="459"/>
      <c r="JYO62" s="459"/>
      <c r="JYP62" s="459"/>
      <c r="JYQ62" s="459"/>
      <c r="JYR62" s="459"/>
      <c r="JYS62" s="459"/>
      <c r="JYT62" s="459"/>
      <c r="JYU62" s="459"/>
      <c r="JYV62" s="459"/>
      <c r="JYW62" s="459"/>
      <c r="JYX62" s="459"/>
      <c r="JYY62" s="459"/>
      <c r="JYZ62" s="459"/>
      <c r="JZA62" s="459"/>
      <c r="JZB62" s="459"/>
      <c r="JZC62" s="459"/>
      <c r="JZD62" s="459"/>
      <c r="JZE62" s="459"/>
      <c r="JZF62" s="459"/>
      <c r="JZG62" s="459"/>
      <c r="JZH62" s="459"/>
      <c r="JZI62" s="459"/>
      <c r="JZJ62" s="459"/>
      <c r="JZK62" s="459"/>
      <c r="JZL62" s="459"/>
      <c r="JZM62" s="459"/>
      <c r="JZN62" s="459"/>
      <c r="JZO62" s="459"/>
      <c r="JZP62" s="459"/>
      <c r="JZQ62" s="459"/>
      <c r="JZR62" s="459"/>
      <c r="JZS62" s="459"/>
      <c r="JZT62" s="459"/>
      <c r="JZU62" s="459"/>
      <c r="JZV62" s="459"/>
      <c r="JZW62" s="459"/>
      <c r="JZX62" s="459"/>
      <c r="JZY62" s="459"/>
      <c r="JZZ62" s="459"/>
      <c r="KAA62" s="459"/>
      <c r="KAB62" s="459"/>
      <c r="KAC62" s="459"/>
      <c r="KAD62" s="459"/>
      <c r="KAE62" s="459"/>
      <c r="KAF62" s="459"/>
      <c r="KAG62" s="459"/>
      <c r="KAH62" s="459"/>
      <c r="KAI62" s="459"/>
      <c r="KAJ62" s="459"/>
      <c r="KAK62" s="459"/>
      <c r="KAL62" s="459"/>
      <c r="KAM62" s="459"/>
      <c r="KAN62" s="459"/>
      <c r="KAO62" s="459"/>
      <c r="KAP62" s="459"/>
      <c r="KAQ62" s="459"/>
      <c r="KAR62" s="459"/>
      <c r="KAS62" s="459"/>
      <c r="KAT62" s="459"/>
      <c r="KAU62" s="459"/>
      <c r="KAV62" s="459"/>
      <c r="KAW62" s="459"/>
      <c r="KAX62" s="459"/>
      <c r="KAY62" s="459"/>
      <c r="KAZ62" s="459"/>
      <c r="KBA62" s="459"/>
      <c r="KBB62" s="459"/>
      <c r="KBC62" s="459"/>
      <c r="KBD62" s="459"/>
      <c r="KBE62" s="459"/>
      <c r="KBF62" s="459"/>
      <c r="KBG62" s="459"/>
      <c r="KBH62" s="459"/>
      <c r="KBI62" s="459"/>
      <c r="KBJ62" s="459"/>
      <c r="KBK62" s="459"/>
      <c r="KBL62" s="459"/>
      <c r="KBM62" s="459"/>
      <c r="KBN62" s="459"/>
      <c r="KBO62" s="459"/>
      <c r="KBP62" s="459"/>
      <c r="KBQ62" s="459"/>
      <c r="KBR62" s="459"/>
      <c r="KBS62" s="459"/>
      <c r="KBT62" s="459"/>
      <c r="KBU62" s="459"/>
      <c r="KBV62" s="459"/>
      <c r="KBW62" s="459"/>
      <c r="KBX62" s="459"/>
      <c r="KBY62" s="459"/>
      <c r="KBZ62" s="459"/>
      <c r="KCA62" s="459"/>
      <c r="KCB62" s="459"/>
      <c r="KCC62" s="459"/>
      <c r="KCD62" s="459"/>
      <c r="KCE62" s="459"/>
      <c r="KCF62" s="459"/>
      <c r="KCG62" s="459"/>
      <c r="KCH62" s="459"/>
      <c r="KCI62" s="459"/>
      <c r="KCJ62" s="459"/>
      <c r="KCK62" s="459"/>
      <c r="KCL62" s="459"/>
      <c r="KCM62" s="459"/>
      <c r="KCN62" s="459"/>
      <c r="KCO62" s="459"/>
      <c r="KCP62" s="459"/>
      <c r="KCQ62" s="459"/>
      <c r="KCR62" s="459"/>
      <c r="KCS62" s="459"/>
      <c r="KCT62" s="459"/>
      <c r="KCU62" s="459"/>
      <c r="KCV62" s="459"/>
      <c r="KCW62" s="459"/>
      <c r="KCX62" s="459"/>
      <c r="KCY62" s="459"/>
      <c r="KCZ62" s="459"/>
      <c r="KDA62" s="459"/>
      <c r="KDB62" s="459"/>
      <c r="KDC62" s="459"/>
      <c r="KDD62" s="459"/>
      <c r="KDE62" s="459"/>
      <c r="KDF62" s="459"/>
      <c r="KDG62" s="459"/>
      <c r="KDH62" s="459"/>
      <c r="KDI62" s="459"/>
      <c r="KDJ62" s="459"/>
      <c r="KDK62" s="459"/>
      <c r="KDL62" s="459"/>
      <c r="KDM62" s="459"/>
      <c r="KDN62" s="459"/>
      <c r="KDO62" s="459"/>
      <c r="KDP62" s="459"/>
      <c r="KDQ62" s="459"/>
      <c r="KDR62" s="459"/>
      <c r="KDS62" s="459"/>
      <c r="KDT62" s="459"/>
      <c r="KDU62" s="459"/>
      <c r="KDV62" s="459"/>
      <c r="KDW62" s="459"/>
      <c r="KDX62" s="459"/>
      <c r="KDY62" s="459"/>
      <c r="KDZ62" s="459"/>
      <c r="KEA62" s="459"/>
      <c r="KEB62" s="459"/>
      <c r="KEC62" s="459"/>
      <c r="KED62" s="459"/>
      <c r="KEE62" s="459"/>
      <c r="KEF62" s="459"/>
      <c r="KEG62" s="459"/>
      <c r="KEH62" s="459"/>
      <c r="KEI62" s="459"/>
      <c r="KEJ62" s="459"/>
      <c r="KEK62" s="459"/>
      <c r="KEL62" s="459"/>
      <c r="KEM62" s="459"/>
      <c r="KEN62" s="459"/>
      <c r="KEO62" s="459"/>
      <c r="KEP62" s="459"/>
      <c r="KEQ62" s="459"/>
      <c r="KER62" s="459"/>
      <c r="KES62" s="459"/>
      <c r="KET62" s="459"/>
      <c r="KEU62" s="459"/>
      <c r="KEV62" s="459"/>
      <c r="KEW62" s="459"/>
      <c r="KEX62" s="459"/>
      <c r="KEY62" s="459"/>
      <c r="KEZ62" s="459"/>
      <c r="KFA62" s="459"/>
      <c r="KFB62" s="459"/>
      <c r="KFC62" s="459"/>
      <c r="KFD62" s="459"/>
      <c r="KFE62" s="459"/>
      <c r="KFF62" s="459"/>
      <c r="KFG62" s="459"/>
      <c r="KFH62" s="459"/>
      <c r="KFI62" s="459"/>
      <c r="KFJ62" s="459"/>
      <c r="KFK62" s="459"/>
      <c r="KFL62" s="459"/>
      <c r="KFM62" s="459"/>
      <c r="KFN62" s="459"/>
      <c r="KFO62" s="459"/>
      <c r="KFP62" s="459"/>
      <c r="KFQ62" s="459"/>
      <c r="KFR62" s="459"/>
      <c r="KFS62" s="459"/>
      <c r="KFT62" s="459"/>
      <c r="KFU62" s="459"/>
      <c r="KFV62" s="459"/>
      <c r="KFW62" s="459"/>
      <c r="KFX62" s="459"/>
      <c r="KFY62" s="459"/>
      <c r="KFZ62" s="459"/>
      <c r="KGA62" s="459"/>
      <c r="KGB62" s="459"/>
      <c r="KGC62" s="459"/>
      <c r="KGD62" s="459"/>
      <c r="KGE62" s="459"/>
      <c r="KGF62" s="459"/>
      <c r="KGG62" s="459"/>
      <c r="KGH62" s="459"/>
      <c r="KGI62" s="459"/>
      <c r="KGJ62" s="459"/>
      <c r="KGK62" s="459"/>
      <c r="KGL62" s="459"/>
      <c r="KGM62" s="459"/>
      <c r="KGN62" s="459"/>
      <c r="KGO62" s="459"/>
      <c r="KGP62" s="459"/>
      <c r="KGQ62" s="459"/>
      <c r="KGR62" s="459"/>
      <c r="KGS62" s="459"/>
      <c r="KGT62" s="459"/>
      <c r="KGU62" s="459"/>
      <c r="KGV62" s="459"/>
      <c r="KGW62" s="459"/>
      <c r="KGX62" s="459"/>
      <c r="KGY62" s="459"/>
      <c r="KGZ62" s="459"/>
      <c r="KHA62" s="459"/>
      <c r="KHB62" s="459"/>
      <c r="KHC62" s="459"/>
      <c r="KHD62" s="459"/>
      <c r="KHE62" s="459"/>
      <c r="KHF62" s="459"/>
      <c r="KHG62" s="459"/>
      <c r="KHH62" s="459"/>
      <c r="KHI62" s="459"/>
      <c r="KHJ62" s="459"/>
      <c r="KHK62" s="459"/>
      <c r="KHL62" s="459"/>
      <c r="KHM62" s="459"/>
      <c r="KHN62" s="459"/>
      <c r="KHO62" s="459"/>
      <c r="KHP62" s="459"/>
      <c r="KHQ62" s="459"/>
      <c r="KHR62" s="459"/>
      <c r="KHS62" s="459"/>
      <c r="KHT62" s="459"/>
      <c r="KHU62" s="459"/>
      <c r="KHV62" s="459"/>
      <c r="KHW62" s="459"/>
      <c r="KHX62" s="459"/>
      <c r="KHY62" s="459"/>
      <c r="KHZ62" s="459"/>
      <c r="KIA62" s="459"/>
      <c r="KIB62" s="459"/>
      <c r="KIC62" s="459"/>
      <c r="KID62" s="459"/>
      <c r="KIE62" s="459"/>
      <c r="KIF62" s="459"/>
      <c r="KIG62" s="459"/>
      <c r="KIH62" s="459"/>
      <c r="KII62" s="459"/>
      <c r="KIJ62" s="459"/>
      <c r="KIK62" s="459"/>
      <c r="KIL62" s="459"/>
      <c r="KIM62" s="459"/>
      <c r="KIN62" s="459"/>
      <c r="KIO62" s="459"/>
      <c r="KIP62" s="459"/>
      <c r="KIQ62" s="459"/>
      <c r="KIR62" s="459"/>
      <c r="KIS62" s="459"/>
      <c r="KIT62" s="459"/>
      <c r="KIU62" s="459"/>
      <c r="KIV62" s="459"/>
      <c r="KIW62" s="459"/>
      <c r="KIX62" s="459"/>
      <c r="KIY62" s="459"/>
      <c r="KIZ62" s="459"/>
      <c r="KJA62" s="459"/>
      <c r="KJB62" s="459"/>
      <c r="KJC62" s="459"/>
      <c r="KJD62" s="459"/>
      <c r="KJE62" s="459"/>
      <c r="KJF62" s="459"/>
      <c r="KJG62" s="459"/>
      <c r="KJH62" s="459"/>
      <c r="KJI62" s="459"/>
      <c r="KJJ62" s="459"/>
      <c r="KJK62" s="459"/>
      <c r="KJL62" s="459"/>
      <c r="KJM62" s="459"/>
      <c r="KJN62" s="459"/>
      <c r="KJO62" s="459"/>
      <c r="KJP62" s="459"/>
      <c r="KJQ62" s="459"/>
      <c r="KJR62" s="459"/>
      <c r="KJS62" s="459"/>
      <c r="KJT62" s="459"/>
      <c r="KJU62" s="459"/>
      <c r="KJV62" s="459"/>
      <c r="KJW62" s="459"/>
      <c r="KJX62" s="459"/>
      <c r="KJY62" s="459"/>
      <c r="KJZ62" s="459"/>
      <c r="KKA62" s="459"/>
      <c r="KKB62" s="459"/>
      <c r="KKC62" s="459"/>
      <c r="KKD62" s="459"/>
      <c r="KKE62" s="459"/>
      <c r="KKF62" s="459"/>
      <c r="KKG62" s="459"/>
      <c r="KKH62" s="459"/>
      <c r="KKI62" s="459"/>
      <c r="KKJ62" s="459"/>
      <c r="KKK62" s="459"/>
      <c r="KKL62" s="459"/>
      <c r="KKM62" s="459"/>
      <c r="KKN62" s="459"/>
      <c r="KKO62" s="459"/>
      <c r="KKP62" s="459"/>
      <c r="KKQ62" s="459"/>
      <c r="KKR62" s="459"/>
      <c r="KKS62" s="459"/>
      <c r="KKT62" s="459"/>
      <c r="KKU62" s="459"/>
      <c r="KKV62" s="459"/>
      <c r="KKW62" s="459"/>
      <c r="KKX62" s="459"/>
      <c r="KKY62" s="459"/>
      <c r="KKZ62" s="459"/>
      <c r="KLA62" s="459"/>
      <c r="KLB62" s="459"/>
      <c r="KLC62" s="459"/>
      <c r="KLD62" s="459"/>
      <c r="KLE62" s="459"/>
      <c r="KLF62" s="459"/>
      <c r="KLG62" s="459"/>
      <c r="KLH62" s="459"/>
      <c r="KLI62" s="459"/>
      <c r="KLJ62" s="459"/>
      <c r="KLK62" s="459"/>
      <c r="KLL62" s="459"/>
      <c r="KLM62" s="459"/>
      <c r="KLN62" s="459"/>
      <c r="KLO62" s="459"/>
      <c r="KLP62" s="459"/>
      <c r="KLQ62" s="459"/>
      <c r="KLR62" s="459"/>
      <c r="KLS62" s="459"/>
      <c r="KLT62" s="459"/>
      <c r="KLU62" s="459"/>
      <c r="KLV62" s="459"/>
      <c r="KLW62" s="459"/>
      <c r="KLX62" s="459"/>
      <c r="KLY62" s="459"/>
      <c r="KLZ62" s="459"/>
      <c r="KMA62" s="459"/>
      <c r="KMB62" s="459"/>
      <c r="KMC62" s="459"/>
      <c r="KMD62" s="459"/>
      <c r="KME62" s="459"/>
      <c r="KMF62" s="459"/>
      <c r="KMG62" s="459"/>
      <c r="KMH62" s="459"/>
      <c r="KMI62" s="459"/>
      <c r="KMJ62" s="459"/>
      <c r="KMK62" s="459"/>
      <c r="KML62" s="459"/>
      <c r="KMM62" s="459"/>
      <c r="KMN62" s="459"/>
      <c r="KMO62" s="459"/>
      <c r="KMP62" s="459"/>
      <c r="KMQ62" s="459"/>
      <c r="KMR62" s="459"/>
      <c r="KMS62" s="459"/>
      <c r="KMT62" s="459"/>
      <c r="KMU62" s="459"/>
      <c r="KMV62" s="459"/>
      <c r="KMW62" s="459"/>
      <c r="KMX62" s="459"/>
      <c r="KMY62" s="459"/>
      <c r="KMZ62" s="459"/>
      <c r="KNA62" s="459"/>
      <c r="KNB62" s="459"/>
      <c r="KNC62" s="459"/>
      <c r="KND62" s="459"/>
      <c r="KNE62" s="459"/>
      <c r="KNF62" s="459"/>
      <c r="KNG62" s="459"/>
      <c r="KNH62" s="459"/>
      <c r="KNI62" s="459"/>
      <c r="KNJ62" s="459"/>
      <c r="KNK62" s="459"/>
      <c r="KNL62" s="459"/>
      <c r="KNM62" s="459"/>
      <c r="KNN62" s="459"/>
      <c r="KNO62" s="459"/>
      <c r="KNP62" s="459"/>
      <c r="KNQ62" s="459"/>
      <c r="KNR62" s="459"/>
      <c r="KNS62" s="459"/>
      <c r="KNT62" s="459"/>
      <c r="KNU62" s="459"/>
      <c r="KNV62" s="459"/>
      <c r="KNW62" s="459"/>
      <c r="KNX62" s="459"/>
      <c r="KNY62" s="459"/>
      <c r="KNZ62" s="459"/>
      <c r="KOA62" s="459"/>
      <c r="KOB62" s="459"/>
      <c r="KOC62" s="459"/>
      <c r="KOD62" s="459"/>
      <c r="KOE62" s="459"/>
      <c r="KOF62" s="459"/>
      <c r="KOG62" s="459"/>
      <c r="KOH62" s="459"/>
      <c r="KOI62" s="459"/>
      <c r="KOJ62" s="459"/>
      <c r="KOK62" s="459"/>
      <c r="KOL62" s="459"/>
      <c r="KOM62" s="459"/>
      <c r="KON62" s="459"/>
      <c r="KOO62" s="459"/>
      <c r="KOP62" s="459"/>
      <c r="KOQ62" s="459"/>
      <c r="KOR62" s="459"/>
      <c r="KOS62" s="459"/>
      <c r="KOT62" s="459"/>
      <c r="KOU62" s="459"/>
      <c r="KOV62" s="459"/>
      <c r="KOW62" s="459"/>
      <c r="KOX62" s="459"/>
      <c r="KOY62" s="459"/>
      <c r="KOZ62" s="459"/>
      <c r="KPA62" s="459"/>
      <c r="KPB62" s="459"/>
      <c r="KPC62" s="459"/>
      <c r="KPD62" s="459"/>
      <c r="KPE62" s="459"/>
      <c r="KPF62" s="459"/>
      <c r="KPG62" s="459"/>
      <c r="KPH62" s="459"/>
      <c r="KPI62" s="459"/>
      <c r="KPJ62" s="459"/>
      <c r="KPK62" s="459"/>
      <c r="KPL62" s="459"/>
      <c r="KPM62" s="459"/>
      <c r="KPN62" s="459"/>
      <c r="KPO62" s="459"/>
      <c r="KPP62" s="459"/>
      <c r="KPQ62" s="459"/>
      <c r="KPR62" s="459"/>
      <c r="KPS62" s="459"/>
      <c r="KPT62" s="459"/>
      <c r="KPU62" s="459"/>
      <c r="KPV62" s="459"/>
      <c r="KPW62" s="459"/>
      <c r="KPX62" s="459"/>
      <c r="KPY62" s="459"/>
      <c r="KPZ62" s="459"/>
      <c r="KQA62" s="459"/>
      <c r="KQB62" s="459"/>
      <c r="KQC62" s="459"/>
      <c r="KQD62" s="459"/>
      <c r="KQE62" s="459"/>
      <c r="KQF62" s="459"/>
      <c r="KQG62" s="459"/>
      <c r="KQH62" s="459"/>
      <c r="KQI62" s="459"/>
      <c r="KQJ62" s="459"/>
      <c r="KQK62" s="459"/>
      <c r="KQL62" s="459"/>
      <c r="KQM62" s="459"/>
      <c r="KQN62" s="459"/>
      <c r="KQO62" s="459"/>
      <c r="KQP62" s="459"/>
      <c r="KQQ62" s="459"/>
      <c r="KQR62" s="459"/>
      <c r="KQS62" s="459"/>
      <c r="KQT62" s="459"/>
      <c r="KQU62" s="459"/>
      <c r="KQV62" s="459"/>
      <c r="KQW62" s="459"/>
      <c r="KQX62" s="459"/>
      <c r="KQY62" s="459"/>
      <c r="KQZ62" s="459"/>
      <c r="KRA62" s="459"/>
      <c r="KRB62" s="459"/>
      <c r="KRC62" s="459"/>
      <c r="KRD62" s="459"/>
      <c r="KRE62" s="459"/>
      <c r="KRF62" s="459"/>
      <c r="KRG62" s="459"/>
      <c r="KRH62" s="459"/>
      <c r="KRI62" s="459"/>
      <c r="KRJ62" s="459"/>
      <c r="KRK62" s="459"/>
      <c r="KRL62" s="459"/>
      <c r="KRM62" s="459"/>
      <c r="KRN62" s="459"/>
      <c r="KRO62" s="459"/>
      <c r="KRP62" s="459"/>
      <c r="KRQ62" s="459"/>
      <c r="KRR62" s="459"/>
      <c r="KRS62" s="459"/>
      <c r="KRT62" s="459"/>
      <c r="KRU62" s="459"/>
      <c r="KRV62" s="459"/>
      <c r="KRW62" s="459"/>
      <c r="KRX62" s="459"/>
      <c r="KRY62" s="459"/>
      <c r="KRZ62" s="459"/>
      <c r="KSA62" s="459"/>
      <c r="KSB62" s="459"/>
      <c r="KSC62" s="459"/>
      <c r="KSD62" s="459"/>
      <c r="KSE62" s="459"/>
      <c r="KSF62" s="459"/>
      <c r="KSG62" s="459"/>
      <c r="KSH62" s="459"/>
      <c r="KSI62" s="459"/>
      <c r="KSJ62" s="459"/>
      <c r="KSK62" s="459"/>
      <c r="KSL62" s="459"/>
      <c r="KSM62" s="459"/>
      <c r="KSN62" s="459"/>
      <c r="KSO62" s="459"/>
      <c r="KSP62" s="459"/>
      <c r="KSQ62" s="459"/>
      <c r="KSR62" s="459"/>
      <c r="KSS62" s="459"/>
      <c r="KST62" s="459"/>
      <c r="KSU62" s="459"/>
      <c r="KSV62" s="459"/>
      <c r="KSW62" s="459"/>
      <c r="KSX62" s="459"/>
      <c r="KSY62" s="459"/>
      <c r="KSZ62" s="459"/>
      <c r="KTA62" s="459"/>
      <c r="KTB62" s="459"/>
      <c r="KTC62" s="459"/>
      <c r="KTD62" s="459"/>
      <c r="KTE62" s="459"/>
      <c r="KTF62" s="459"/>
      <c r="KTG62" s="459"/>
      <c r="KTH62" s="459"/>
      <c r="KTI62" s="459"/>
      <c r="KTJ62" s="459"/>
      <c r="KTK62" s="459"/>
      <c r="KTL62" s="459"/>
      <c r="KTM62" s="459"/>
      <c r="KTN62" s="459"/>
      <c r="KTO62" s="459"/>
      <c r="KTP62" s="459"/>
      <c r="KTQ62" s="459"/>
      <c r="KTR62" s="459"/>
      <c r="KTS62" s="459"/>
      <c r="KTT62" s="459"/>
      <c r="KTU62" s="459"/>
      <c r="KTV62" s="459"/>
      <c r="KTW62" s="459"/>
      <c r="KTX62" s="459"/>
      <c r="KTY62" s="459"/>
      <c r="KTZ62" s="459"/>
      <c r="KUA62" s="459"/>
      <c r="KUB62" s="459"/>
      <c r="KUC62" s="459"/>
      <c r="KUD62" s="459"/>
      <c r="KUE62" s="459"/>
      <c r="KUF62" s="459"/>
      <c r="KUG62" s="459"/>
      <c r="KUH62" s="459"/>
      <c r="KUI62" s="459"/>
      <c r="KUJ62" s="459"/>
      <c r="KUK62" s="459"/>
      <c r="KUL62" s="459"/>
      <c r="KUM62" s="459"/>
      <c r="KUN62" s="459"/>
      <c r="KUO62" s="459"/>
      <c r="KUP62" s="459"/>
      <c r="KUQ62" s="459"/>
      <c r="KUR62" s="459"/>
      <c r="KUS62" s="459"/>
      <c r="KUT62" s="459"/>
      <c r="KUU62" s="459"/>
      <c r="KUV62" s="459"/>
      <c r="KUW62" s="459"/>
      <c r="KUX62" s="459"/>
      <c r="KUY62" s="459"/>
      <c r="KUZ62" s="459"/>
      <c r="KVA62" s="459"/>
      <c r="KVB62" s="459"/>
      <c r="KVC62" s="459"/>
      <c r="KVD62" s="459"/>
      <c r="KVE62" s="459"/>
      <c r="KVF62" s="459"/>
      <c r="KVG62" s="459"/>
      <c r="KVH62" s="459"/>
      <c r="KVI62" s="459"/>
      <c r="KVJ62" s="459"/>
      <c r="KVK62" s="459"/>
      <c r="KVL62" s="459"/>
      <c r="KVM62" s="459"/>
      <c r="KVN62" s="459"/>
      <c r="KVO62" s="459"/>
      <c r="KVP62" s="459"/>
      <c r="KVQ62" s="459"/>
      <c r="KVR62" s="459"/>
      <c r="KVS62" s="459"/>
      <c r="KVT62" s="459"/>
      <c r="KVU62" s="459"/>
      <c r="KVV62" s="459"/>
      <c r="KVW62" s="459"/>
      <c r="KVX62" s="459"/>
      <c r="KVY62" s="459"/>
      <c r="KVZ62" s="459"/>
      <c r="KWA62" s="459"/>
      <c r="KWB62" s="459"/>
      <c r="KWC62" s="459"/>
      <c r="KWD62" s="459"/>
      <c r="KWE62" s="459"/>
      <c r="KWF62" s="459"/>
      <c r="KWG62" s="459"/>
      <c r="KWH62" s="459"/>
      <c r="KWI62" s="459"/>
      <c r="KWJ62" s="459"/>
      <c r="KWK62" s="459"/>
      <c r="KWL62" s="459"/>
      <c r="KWM62" s="459"/>
      <c r="KWN62" s="459"/>
      <c r="KWO62" s="459"/>
      <c r="KWP62" s="459"/>
      <c r="KWQ62" s="459"/>
      <c r="KWR62" s="459"/>
      <c r="KWS62" s="459"/>
      <c r="KWT62" s="459"/>
      <c r="KWU62" s="459"/>
      <c r="KWV62" s="459"/>
      <c r="KWW62" s="459"/>
      <c r="KWX62" s="459"/>
      <c r="KWY62" s="459"/>
      <c r="KWZ62" s="459"/>
      <c r="KXA62" s="459"/>
      <c r="KXB62" s="459"/>
      <c r="KXC62" s="459"/>
      <c r="KXD62" s="459"/>
      <c r="KXE62" s="459"/>
      <c r="KXF62" s="459"/>
      <c r="KXG62" s="459"/>
      <c r="KXH62" s="459"/>
      <c r="KXI62" s="459"/>
      <c r="KXJ62" s="459"/>
      <c r="KXK62" s="459"/>
      <c r="KXL62" s="459"/>
      <c r="KXM62" s="459"/>
      <c r="KXN62" s="459"/>
      <c r="KXO62" s="459"/>
      <c r="KXP62" s="459"/>
      <c r="KXQ62" s="459"/>
      <c r="KXR62" s="459"/>
      <c r="KXS62" s="459"/>
      <c r="KXT62" s="459"/>
      <c r="KXU62" s="459"/>
      <c r="KXV62" s="459"/>
      <c r="KXW62" s="459"/>
      <c r="KXX62" s="459"/>
      <c r="KXY62" s="459"/>
      <c r="KXZ62" s="459"/>
      <c r="KYA62" s="459"/>
      <c r="KYB62" s="459"/>
      <c r="KYC62" s="459"/>
      <c r="KYD62" s="459"/>
      <c r="KYE62" s="459"/>
      <c r="KYF62" s="459"/>
      <c r="KYG62" s="459"/>
      <c r="KYH62" s="459"/>
      <c r="KYI62" s="459"/>
      <c r="KYJ62" s="459"/>
      <c r="KYK62" s="459"/>
      <c r="KYL62" s="459"/>
      <c r="KYM62" s="459"/>
      <c r="KYN62" s="459"/>
      <c r="KYO62" s="459"/>
      <c r="KYP62" s="459"/>
      <c r="KYQ62" s="459"/>
      <c r="KYR62" s="459"/>
      <c r="KYS62" s="459"/>
      <c r="KYT62" s="459"/>
      <c r="KYU62" s="459"/>
      <c r="KYV62" s="459"/>
      <c r="KYW62" s="459"/>
      <c r="KYX62" s="459"/>
      <c r="KYY62" s="459"/>
      <c r="KYZ62" s="459"/>
      <c r="KZA62" s="459"/>
      <c r="KZB62" s="459"/>
      <c r="KZC62" s="459"/>
      <c r="KZD62" s="459"/>
      <c r="KZE62" s="459"/>
      <c r="KZF62" s="459"/>
      <c r="KZG62" s="459"/>
      <c r="KZH62" s="459"/>
      <c r="KZI62" s="459"/>
      <c r="KZJ62" s="459"/>
      <c r="KZK62" s="459"/>
      <c r="KZL62" s="459"/>
      <c r="KZM62" s="459"/>
      <c r="KZN62" s="459"/>
      <c r="KZO62" s="459"/>
      <c r="KZP62" s="459"/>
      <c r="KZQ62" s="459"/>
      <c r="KZR62" s="459"/>
      <c r="KZS62" s="459"/>
      <c r="KZT62" s="459"/>
      <c r="KZU62" s="459"/>
      <c r="KZV62" s="459"/>
      <c r="KZW62" s="459"/>
      <c r="KZX62" s="459"/>
      <c r="KZY62" s="459"/>
      <c r="KZZ62" s="459"/>
      <c r="LAA62" s="459"/>
      <c r="LAB62" s="459"/>
      <c r="LAC62" s="459"/>
      <c r="LAD62" s="459"/>
      <c r="LAE62" s="459"/>
      <c r="LAF62" s="459"/>
      <c r="LAG62" s="459"/>
      <c r="LAH62" s="459"/>
      <c r="LAI62" s="459"/>
      <c r="LAJ62" s="459"/>
      <c r="LAK62" s="459"/>
      <c r="LAL62" s="459"/>
      <c r="LAM62" s="459"/>
      <c r="LAN62" s="459"/>
      <c r="LAO62" s="459"/>
      <c r="LAP62" s="459"/>
      <c r="LAQ62" s="459"/>
      <c r="LAR62" s="459"/>
      <c r="LAS62" s="459"/>
      <c r="LAT62" s="459"/>
      <c r="LAU62" s="459"/>
      <c r="LAV62" s="459"/>
      <c r="LAW62" s="459"/>
      <c r="LAX62" s="459"/>
      <c r="LAY62" s="459"/>
      <c r="LAZ62" s="459"/>
      <c r="LBA62" s="459"/>
      <c r="LBB62" s="459"/>
      <c r="LBC62" s="459"/>
      <c r="LBD62" s="459"/>
      <c r="LBE62" s="459"/>
      <c r="LBF62" s="459"/>
      <c r="LBG62" s="459"/>
      <c r="LBH62" s="459"/>
      <c r="LBI62" s="459"/>
      <c r="LBJ62" s="459"/>
      <c r="LBK62" s="459"/>
      <c r="LBL62" s="459"/>
      <c r="LBM62" s="459"/>
      <c r="LBN62" s="459"/>
      <c r="LBO62" s="459"/>
      <c r="LBP62" s="459"/>
      <c r="LBQ62" s="459"/>
      <c r="LBR62" s="459"/>
      <c r="LBS62" s="459"/>
      <c r="LBT62" s="459"/>
      <c r="LBU62" s="459"/>
      <c r="LBV62" s="459"/>
      <c r="LBW62" s="459"/>
      <c r="LBX62" s="459"/>
      <c r="LBY62" s="459"/>
      <c r="LBZ62" s="459"/>
      <c r="LCA62" s="459"/>
      <c r="LCB62" s="459"/>
      <c r="LCC62" s="459"/>
      <c r="LCD62" s="459"/>
      <c r="LCE62" s="459"/>
      <c r="LCF62" s="459"/>
      <c r="LCG62" s="459"/>
      <c r="LCH62" s="459"/>
      <c r="LCI62" s="459"/>
      <c r="LCJ62" s="459"/>
      <c r="LCK62" s="459"/>
      <c r="LCL62" s="459"/>
      <c r="LCM62" s="459"/>
      <c r="LCN62" s="459"/>
      <c r="LCO62" s="459"/>
      <c r="LCP62" s="459"/>
      <c r="LCQ62" s="459"/>
      <c r="LCR62" s="459"/>
      <c r="LCS62" s="459"/>
      <c r="LCT62" s="459"/>
      <c r="LCU62" s="459"/>
      <c r="LCV62" s="459"/>
      <c r="LCW62" s="459"/>
      <c r="LCX62" s="459"/>
      <c r="LCY62" s="459"/>
      <c r="LCZ62" s="459"/>
      <c r="LDA62" s="459"/>
      <c r="LDB62" s="459"/>
      <c r="LDC62" s="459"/>
      <c r="LDD62" s="459"/>
      <c r="LDE62" s="459"/>
      <c r="LDF62" s="459"/>
      <c r="LDG62" s="459"/>
      <c r="LDH62" s="459"/>
      <c r="LDI62" s="459"/>
      <c r="LDJ62" s="459"/>
      <c r="LDK62" s="459"/>
      <c r="LDL62" s="459"/>
      <c r="LDM62" s="459"/>
      <c r="LDN62" s="459"/>
      <c r="LDO62" s="459"/>
      <c r="LDP62" s="459"/>
      <c r="LDQ62" s="459"/>
      <c r="LDR62" s="459"/>
      <c r="LDS62" s="459"/>
      <c r="LDT62" s="459"/>
      <c r="LDU62" s="459"/>
      <c r="LDV62" s="459"/>
      <c r="LDW62" s="459"/>
      <c r="LDX62" s="459"/>
      <c r="LDY62" s="459"/>
      <c r="LDZ62" s="459"/>
      <c r="LEA62" s="459"/>
      <c r="LEB62" s="459"/>
      <c r="LEC62" s="459"/>
      <c r="LED62" s="459"/>
      <c r="LEE62" s="459"/>
      <c r="LEF62" s="459"/>
      <c r="LEG62" s="459"/>
      <c r="LEH62" s="459"/>
      <c r="LEI62" s="459"/>
      <c r="LEJ62" s="459"/>
      <c r="LEK62" s="459"/>
      <c r="LEL62" s="459"/>
      <c r="LEM62" s="459"/>
      <c r="LEN62" s="459"/>
      <c r="LEO62" s="459"/>
      <c r="LEP62" s="459"/>
      <c r="LEQ62" s="459"/>
      <c r="LER62" s="459"/>
      <c r="LES62" s="459"/>
      <c r="LET62" s="459"/>
      <c r="LEU62" s="459"/>
      <c r="LEV62" s="459"/>
      <c r="LEW62" s="459"/>
      <c r="LEX62" s="459"/>
      <c r="LEY62" s="459"/>
      <c r="LEZ62" s="459"/>
      <c r="LFA62" s="459"/>
      <c r="LFB62" s="459"/>
      <c r="LFC62" s="459"/>
      <c r="LFD62" s="459"/>
      <c r="LFE62" s="459"/>
      <c r="LFF62" s="459"/>
      <c r="LFG62" s="459"/>
      <c r="LFH62" s="459"/>
      <c r="LFI62" s="459"/>
      <c r="LFJ62" s="459"/>
      <c r="LFK62" s="459"/>
      <c r="LFL62" s="459"/>
      <c r="LFM62" s="459"/>
      <c r="LFN62" s="459"/>
      <c r="LFO62" s="459"/>
      <c r="LFP62" s="459"/>
      <c r="LFQ62" s="459"/>
      <c r="LFR62" s="459"/>
      <c r="LFS62" s="459"/>
      <c r="LFT62" s="459"/>
      <c r="LFU62" s="459"/>
      <c r="LFV62" s="459"/>
      <c r="LFW62" s="459"/>
      <c r="LFX62" s="459"/>
      <c r="LFY62" s="459"/>
      <c r="LFZ62" s="459"/>
      <c r="LGA62" s="459"/>
      <c r="LGB62" s="459"/>
      <c r="LGC62" s="459"/>
      <c r="LGD62" s="459"/>
      <c r="LGE62" s="459"/>
      <c r="LGF62" s="459"/>
      <c r="LGG62" s="459"/>
      <c r="LGH62" s="459"/>
      <c r="LGI62" s="459"/>
      <c r="LGJ62" s="459"/>
      <c r="LGK62" s="459"/>
      <c r="LGL62" s="459"/>
      <c r="LGM62" s="459"/>
      <c r="LGN62" s="459"/>
      <c r="LGO62" s="459"/>
      <c r="LGP62" s="459"/>
      <c r="LGQ62" s="459"/>
      <c r="LGR62" s="459"/>
      <c r="LGS62" s="459"/>
      <c r="LGT62" s="459"/>
      <c r="LGU62" s="459"/>
      <c r="LGV62" s="459"/>
      <c r="LGW62" s="459"/>
      <c r="LGX62" s="459"/>
      <c r="LGY62" s="459"/>
      <c r="LGZ62" s="459"/>
      <c r="LHA62" s="459"/>
      <c r="LHB62" s="459"/>
      <c r="LHC62" s="459"/>
      <c r="LHD62" s="459"/>
      <c r="LHE62" s="459"/>
      <c r="LHF62" s="459"/>
      <c r="LHG62" s="459"/>
      <c r="LHH62" s="459"/>
      <c r="LHI62" s="459"/>
      <c r="LHJ62" s="459"/>
      <c r="LHK62" s="459"/>
      <c r="LHL62" s="459"/>
      <c r="LHM62" s="459"/>
      <c r="LHN62" s="459"/>
      <c r="LHO62" s="459"/>
      <c r="LHP62" s="459"/>
      <c r="LHQ62" s="459"/>
      <c r="LHR62" s="459"/>
      <c r="LHS62" s="459"/>
      <c r="LHT62" s="459"/>
      <c r="LHU62" s="459"/>
      <c r="LHV62" s="459"/>
      <c r="LHW62" s="459"/>
      <c r="LHX62" s="459"/>
      <c r="LHY62" s="459"/>
      <c r="LHZ62" s="459"/>
      <c r="LIA62" s="459"/>
      <c r="LIB62" s="459"/>
      <c r="LIC62" s="459"/>
      <c r="LID62" s="459"/>
      <c r="LIE62" s="459"/>
      <c r="LIF62" s="459"/>
      <c r="LIG62" s="459"/>
      <c r="LIH62" s="459"/>
      <c r="LII62" s="459"/>
      <c r="LIJ62" s="459"/>
      <c r="LIK62" s="459"/>
      <c r="LIL62" s="459"/>
      <c r="LIM62" s="459"/>
      <c r="LIN62" s="459"/>
      <c r="LIO62" s="459"/>
      <c r="LIP62" s="459"/>
      <c r="LIQ62" s="459"/>
      <c r="LIR62" s="459"/>
      <c r="LIS62" s="459"/>
      <c r="LIT62" s="459"/>
      <c r="LIU62" s="459"/>
      <c r="LIV62" s="459"/>
      <c r="LIW62" s="459"/>
      <c r="LIX62" s="459"/>
      <c r="LIY62" s="459"/>
      <c r="LIZ62" s="459"/>
      <c r="LJA62" s="459"/>
      <c r="LJB62" s="459"/>
      <c r="LJC62" s="459"/>
      <c r="LJD62" s="459"/>
      <c r="LJE62" s="459"/>
      <c r="LJF62" s="459"/>
      <c r="LJG62" s="459"/>
      <c r="LJH62" s="459"/>
      <c r="LJI62" s="459"/>
      <c r="LJJ62" s="459"/>
      <c r="LJK62" s="459"/>
      <c r="LJL62" s="459"/>
      <c r="LJM62" s="459"/>
      <c r="LJN62" s="459"/>
      <c r="LJO62" s="459"/>
      <c r="LJP62" s="459"/>
      <c r="LJQ62" s="459"/>
      <c r="LJR62" s="459"/>
      <c r="LJS62" s="459"/>
      <c r="LJT62" s="459"/>
      <c r="LJU62" s="459"/>
      <c r="LJV62" s="459"/>
      <c r="LJW62" s="459"/>
      <c r="LJX62" s="459"/>
      <c r="LJY62" s="459"/>
      <c r="LJZ62" s="459"/>
      <c r="LKA62" s="459"/>
      <c r="LKB62" s="459"/>
      <c r="LKC62" s="459"/>
      <c r="LKD62" s="459"/>
      <c r="LKE62" s="459"/>
      <c r="LKF62" s="459"/>
      <c r="LKG62" s="459"/>
      <c r="LKH62" s="459"/>
      <c r="LKI62" s="459"/>
      <c r="LKJ62" s="459"/>
      <c r="LKK62" s="459"/>
      <c r="LKL62" s="459"/>
      <c r="LKM62" s="459"/>
      <c r="LKN62" s="459"/>
      <c r="LKO62" s="459"/>
      <c r="LKP62" s="459"/>
      <c r="LKQ62" s="459"/>
      <c r="LKR62" s="459"/>
      <c r="LKS62" s="459"/>
      <c r="LKT62" s="459"/>
      <c r="LKU62" s="459"/>
      <c r="LKV62" s="459"/>
      <c r="LKW62" s="459"/>
      <c r="LKX62" s="459"/>
      <c r="LKY62" s="459"/>
      <c r="LKZ62" s="459"/>
      <c r="LLA62" s="459"/>
      <c r="LLB62" s="459"/>
      <c r="LLC62" s="459"/>
      <c r="LLD62" s="459"/>
      <c r="LLE62" s="459"/>
      <c r="LLF62" s="459"/>
      <c r="LLG62" s="459"/>
      <c r="LLH62" s="459"/>
      <c r="LLI62" s="459"/>
      <c r="LLJ62" s="459"/>
      <c r="LLK62" s="459"/>
      <c r="LLL62" s="459"/>
      <c r="LLM62" s="459"/>
      <c r="LLN62" s="459"/>
      <c r="LLO62" s="459"/>
      <c r="LLP62" s="459"/>
      <c r="LLQ62" s="459"/>
      <c r="LLR62" s="459"/>
      <c r="LLS62" s="459"/>
      <c r="LLT62" s="459"/>
      <c r="LLU62" s="459"/>
      <c r="LLV62" s="459"/>
      <c r="LLW62" s="459"/>
      <c r="LLX62" s="459"/>
      <c r="LLY62" s="459"/>
      <c r="LLZ62" s="459"/>
      <c r="LMA62" s="459"/>
      <c r="LMB62" s="459"/>
      <c r="LMC62" s="459"/>
      <c r="LMD62" s="459"/>
      <c r="LME62" s="459"/>
      <c r="LMF62" s="459"/>
      <c r="LMG62" s="459"/>
      <c r="LMH62" s="459"/>
      <c r="LMI62" s="459"/>
      <c r="LMJ62" s="459"/>
      <c r="LMK62" s="459"/>
      <c r="LML62" s="459"/>
      <c r="LMM62" s="459"/>
      <c r="LMN62" s="459"/>
      <c r="LMO62" s="459"/>
      <c r="LMP62" s="459"/>
      <c r="LMQ62" s="459"/>
      <c r="LMR62" s="459"/>
      <c r="LMS62" s="459"/>
      <c r="LMT62" s="459"/>
      <c r="LMU62" s="459"/>
      <c r="LMV62" s="459"/>
      <c r="LMW62" s="459"/>
      <c r="LMX62" s="459"/>
      <c r="LMY62" s="459"/>
      <c r="LMZ62" s="459"/>
      <c r="LNA62" s="459"/>
      <c r="LNB62" s="459"/>
      <c r="LNC62" s="459"/>
      <c r="LND62" s="459"/>
      <c r="LNE62" s="459"/>
      <c r="LNF62" s="459"/>
      <c r="LNG62" s="459"/>
      <c r="LNH62" s="459"/>
      <c r="LNI62" s="459"/>
      <c r="LNJ62" s="459"/>
      <c r="LNK62" s="459"/>
      <c r="LNL62" s="459"/>
      <c r="LNM62" s="459"/>
      <c r="LNN62" s="459"/>
      <c r="LNO62" s="459"/>
      <c r="LNP62" s="459"/>
      <c r="LNQ62" s="459"/>
      <c r="LNR62" s="459"/>
      <c r="LNS62" s="459"/>
      <c r="LNT62" s="459"/>
      <c r="LNU62" s="459"/>
      <c r="LNV62" s="459"/>
      <c r="LNW62" s="459"/>
      <c r="LNX62" s="459"/>
      <c r="LNY62" s="459"/>
      <c r="LNZ62" s="459"/>
      <c r="LOA62" s="459"/>
      <c r="LOB62" s="459"/>
      <c r="LOC62" s="459"/>
      <c r="LOD62" s="459"/>
      <c r="LOE62" s="459"/>
      <c r="LOF62" s="459"/>
      <c r="LOG62" s="459"/>
      <c r="LOH62" s="459"/>
      <c r="LOI62" s="459"/>
      <c r="LOJ62" s="459"/>
      <c r="LOK62" s="459"/>
      <c r="LOL62" s="459"/>
      <c r="LOM62" s="459"/>
      <c r="LON62" s="459"/>
      <c r="LOO62" s="459"/>
      <c r="LOP62" s="459"/>
      <c r="LOQ62" s="459"/>
      <c r="LOR62" s="459"/>
      <c r="LOS62" s="459"/>
      <c r="LOT62" s="459"/>
      <c r="LOU62" s="459"/>
      <c r="LOV62" s="459"/>
      <c r="LOW62" s="459"/>
      <c r="LOX62" s="459"/>
      <c r="LOY62" s="459"/>
      <c r="LOZ62" s="459"/>
      <c r="LPA62" s="459"/>
      <c r="LPB62" s="459"/>
      <c r="LPC62" s="459"/>
      <c r="LPD62" s="459"/>
      <c r="LPE62" s="459"/>
      <c r="LPF62" s="459"/>
      <c r="LPG62" s="459"/>
      <c r="LPH62" s="459"/>
      <c r="LPI62" s="459"/>
      <c r="LPJ62" s="459"/>
      <c r="LPK62" s="459"/>
      <c r="LPL62" s="459"/>
      <c r="LPM62" s="459"/>
      <c r="LPN62" s="459"/>
      <c r="LPO62" s="459"/>
      <c r="LPP62" s="459"/>
      <c r="LPQ62" s="459"/>
      <c r="LPR62" s="459"/>
      <c r="LPS62" s="459"/>
      <c r="LPT62" s="459"/>
      <c r="LPU62" s="459"/>
      <c r="LPV62" s="459"/>
      <c r="LPW62" s="459"/>
      <c r="LPX62" s="459"/>
      <c r="LPY62" s="459"/>
      <c r="LPZ62" s="459"/>
      <c r="LQA62" s="459"/>
      <c r="LQB62" s="459"/>
      <c r="LQC62" s="459"/>
      <c r="LQD62" s="459"/>
      <c r="LQE62" s="459"/>
      <c r="LQF62" s="459"/>
      <c r="LQG62" s="459"/>
      <c r="LQH62" s="459"/>
      <c r="LQI62" s="459"/>
      <c r="LQJ62" s="459"/>
      <c r="LQK62" s="459"/>
      <c r="LQL62" s="459"/>
      <c r="LQM62" s="459"/>
      <c r="LQN62" s="459"/>
      <c r="LQO62" s="459"/>
      <c r="LQP62" s="459"/>
      <c r="LQQ62" s="459"/>
      <c r="LQR62" s="459"/>
      <c r="LQS62" s="459"/>
      <c r="LQT62" s="459"/>
      <c r="LQU62" s="459"/>
      <c r="LQV62" s="459"/>
      <c r="LQW62" s="459"/>
      <c r="LQX62" s="459"/>
      <c r="LQY62" s="459"/>
      <c r="LQZ62" s="459"/>
      <c r="LRA62" s="459"/>
      <c r="LRB62" s="459"/>
      <c r="LRC62" s="459"/>
      <c r="LRD62" s="459"/>
      <c r="LRE62" s="459"/>
      <c r="LRF62" s="459"/>
      <c r="LRG62" s="459"/>
      <c r="LRH62" s="459"/>
      <c r="LRI62" s="459"/>
      <c r="LRJ62" s="459"/>
      <c r="LRK62" s="459"/>
      <c r="LRL62" s="459"/>
      <c r="LRM62" s="459"/>
      <c r="LRN62" s="459"/>
      <c r="LRO62" s="459"/>
      <c r="LRP62" s="459"/>
      <c r="LRQ62" s="459"/>
      <c r="LRR62" s="459"/>
      <c r="LRS62" s="459"/>
      <c r="LRT62" s="459"/>
      <c r="LRU62" s="459"/>
      <c r="LRV62" s="459"/>
      <c r="LRW62" s="459"/>
      <c r="LRX62" s="459"/>
      <c r="LRY62" s="459"/>
      <c r="LRZ62" s="459"/>
      <c r="LSA62" s="459"/>
      <c r="LSB62" s="459"/>
      <c r="LSC62" s="459"/>
      <c r="LSD62" s="459"/>
      <c r="LSE62" s="459"/>
      <c r="LSF62" s="459"/>
      <c r="LSG62" s="459"/>
      <c r="LSH62" s="459"/>
      <c r="LSI62" s="459"/>
      <c r="LSJ62" s="459"/>
      <c r="LSK62" s="459"/>
      <c r="LSL62" s="459"/>
      <c r="LSM62" s="459"/>
      <c r="LSN62" s="459"/>
      <c r="LSO62" s="459"/>
      <c r="LSP62" s="459"/>
      <c r="LSQ62" s="459"/>
      <c r="LSR62" s="459"/>
      <c r="LSS62" s="459"/>
      <c r="LST62" s="459"/>
      <c r="LSU62" s="459"/>
      <c r="LSV62" s="459"/>
      <c r="LSW62" s="459"/>
      <c r="LSX62" s="459"/>
      <c r="LSY62" s="459"/>
      <c r="LSZ62" s="459"/>
      <c r="LTA62" s="459"/>
      <c r="LTB62" s="459"/>
      <c r="LTC62" s="459"/>
      <c r="LTD62" s="459"/>
      <c r="LTE62" s="459"/>
      <c r="LTF62" s="459"/>
      <c r="LTG62" s="459"/>
      <c r="LTH62" s="459"/>
      <c r="LTI62" s="459"/>
      <c r="LTJ62" s="459"/>
      <c r="LTK62" s="459"/>
      <c r="LTL62" s="459"/>
      <c r="LTM62" s="459"/>
      <c r="LTN62" s="459"/>
      <c r="LTO62" s="459"/>
      <c r="LTP62" s="459"/>
      <c r="LTQ62" s="459"/>
      <c r="LTR62" s="459"/>
      <c r="LTS62" s="459"/>
      <c r="LTT62" s="459"/>
      <c r="LTU62" s="459"/>
      <c r="LTV62" s="459"/>
      <c r="LTW62" s="459"/>
      <c r="LTX62" s="459"/>
      <c r="LTY62" s="459"/>
      <c r="LTZ62" s="459"/>
      <c r="LUA62" s="459"/>
      <c r="LUB62" s="459"/>
      <c r="LUC62" s="459"/>
      <c r="LUD62" s="459"/>
      <c r="LUE62" s="459"/>
      <c r="LUF62" s="459"/>
      <c r="LUG62" s="459"/>
      <c r="LUH62" s="459"/>
      <c r="LUI62" s="459"/>
      <c r="LUJ62" s="459"/>
      <c r="LUK62" s="459"/>
      <c r="LUL62" s="459"/>
      <c r="LUM62" s="459"/>
      <c r="LUN62" s="459"/>
      <c r="LUO62" s="459"/>
      <c r="LUP62" s="459"/>
      <c r="LUQ62" s="459"/>
      <c r="LUR62" s="459"/>
      <c r="LUS62" s="459"/>
      <c r="LUT62" s="459"/>
      <c r="LUU62" s="459"/>
      <c r="LUV62" s="459"/>
      <c r="LUW62" s="459"/>
      <c r="LUX62" s="459"/>
      <c r="LUY62" s="459"/>
      <c r="LUZ62" s="459"/>
      <c r="LVA62" s="459"/>
      <c r="LVB62" s="459"/>
      <c r="LVC62" s="459"/>
      <c r="LVD62" s="459"/>
      <c r="LVE62" s="459"/>
      <c r="LVF62" s="459"/>
      <c r="LVG62" s="459"/>
      <c r="LVH62" s="459"/>
      <c r="LVI62" s="459"/>
      <c r="LVJ62" s="459"/>
      <c r="LVK62" s="459"/>
      <c r="LVL62" s="459"/>
      <c r="LVM62" s="459"/>
      <c r="LVN62" s="459"/>
      <c r="LVO62" s="459"/>
      <c r="LVP62" s="459"/>
      <c r="LVQ62" s="459"/>
      <c r="LVR62" s="459"/>
      <c r="LVS62" s="459"/>
      <c r="LVT62" s="459"/>
      <c r="LVU62" s="459"/>
      <c r="LVV62" s="459"/>
      <c r="LVW62" s="459"/>
      <c r="LVX62" s="459"/>
      <c r="LVY62" s="459"/>
      <c r="LVZ62" s="459"/>
      <c r="LWA62" s="459"/>
      <c r="LWB62" s="459"/>
      <c r="LWC62" s="459"/>
      <c r="LWD62" s="459"/>
      <c r="LWE62" s="459"/>
      <c r="LWF62" s="459"/>
      <c r="LWG62" s="459"/>
      <c r="LWH62" s="459"/>
      <c r="LWI62" s="459"/>
      <c r="LWJ62" s="459"/>
      <c r="LWK62" s="459"/>
      <c r="LWL62" s="459"/>
      <c r="LWM62" s="459"/>
      <c r="LWN62" s="459"/>
      <c r="LWO62" s="459"/>
      <c r="LWP62" s="459"/>
      <c r="LWQ62" s="459"/>
      <c r="LWR62" s="459"/>
      <c r="LWS62" s="459"/>
      <c r="LWT62" s="459"/>
      <c r="LWU62" s="459"/>
      <c r="LWV62" s="459"/>
      <c r="LWW62" s="459"/>
      <c r="LWX62" s="459"/>
      <c r="LWY62" s="459"/>
      <c r="LWZ62" s="459"/>
      <c r="LXA62" s="459"/>
      <c r="LXB62" s="459"/>
      <c r="LXC62" s="459"/>
      <c r="LXD62" s="459"/>
      <c r="LXE62" s="459"/>
      <c r="LXF62" s="459"/>
      <c r="LXG62" s="459"/>
      <c r="LXH62" s="459"/>
      <c r="LXI62" s="459"/>
      <c r="LXJ62" s="459"/>
      <c r="LXK62" s="459"/>
      <c r="LXL62" s="459"/>
      <c r="LXM62" s="459"/>
      <c r="LXN62" s="459"/>
      <c r="LXO62" s="459"/>
      <c r="LXP62" s="459"/>
      <c r="LXQ62" s="459"/>
      <c r="LXR62" s="459"/>
      <c r="LXS62" s="459"/>
      <c r="LXT62" s="459"/>
      <c r="LXU62" s="459"/>
      <c r="LXV62" s="459"/>
      <c r="LXW62" s="459"/>
      <c r="LXX62" s="459"/>
      <c r="LXY62" s="459"/>
      <c r="LXZ62" s="459"/>
      <c r="LYA62" s="459"/>
      <c r="LYB62" s="459"/>
      <c r="LYC62" s="459"/>
      <c r="LYD62" s="459"/>
      <c r="LYE62" s="459"/>
      <c r="LYF62" s="459"/>
      <c r="LYG62" s="459"/>
      <c r="LYH62" s="459"/>
      <c r="LYI62" s="459"/>
      <c r="LYJ62" s="459"/>
      <c r="LYK62" s="459"/>
      <c r="LYL62" s="459"/>
      <c r="LYM62" s="459"/>
      <c r="LYN62" s="459"/>
      <c r="LYO62" s="459"/>
      <c r="LYP62" s="459"/>
      <c r="LYQ62" s="459"/>
      <c r="LYR62" s="459"/>
      <c r="LYS62" s="459"/>
      <c r="LYT62" s="459"/>
      <c r="LYU62" s="459"/>
      <c r="LYV62" s="459"/>
      <c r="LYW62" s="459"/>
      <c r="LYX62" s="459"/>
      <c r="LYY62" s="459"/>
      <c r="LYZ62" s="459"/>
      <c r="LZA62" s="459"/>
      <c r="LZB62" s="459"/>
      <c r="LZC62" s="459"/>
      <c r="LZD62" s="459"/>
      <c r="LZE62" s="459"/>
      <c r="LZF62" s="459"/>
      <c r="LZG62" s="459"/>
      <c r="LZH62" s="459"/>
      <c r="LZI62" s="459"/>
      <c r="LZJ62" s="459"/>
      <c r="LZK62" s="459"/>
      <c r="LZL62" s="459"/>
      <c r="LZM62" s="459"/>
      <c r="LZN62" s="459"/>
      <c r="LZO62" s="459"/>
      <c r="LZP62" s="459"/>
      <c r="LZQ62" s="459"/>
      <c r="LZR62" s="459"/>
      <c r="LZS62" s="459"/>
      <c r="LZT62" s="459"/>
      <c r="LZU62" s="459"/>
      <c r="LZV62" s="459"/>
      <c r="LZW62" s="459"/>
      <c r="LZX62" s="459"/>
      <c r="LZY62" s="459"/>
      <c r="LZZ62" s="459"/>
      <c r="MAA62" s="459"/>
      <c r="MAB62" s="459"/>
      <c r="MAC62" s="459"/>
      <c r="MAD62" s="459"/>
      <c r="MAE62" s="459"/>
      <c r="MAF62" s="459"/>
      <c r="MAG62" s="459"/>
      <c r="MAH62" s="459"/>
      <c r="MAI62" s="459"/>
      <c r="MAJ62" s="459"/>
      <c r="MAK62" s="459"/>
      <c r="MAL62" s="459"/>
      <c r="MAM62" s="459"/>
      <c r="MAN62" s="459"/>
      <c r="MAO62" s="459"/>
      <c r="MAP62" s="459"/>
      <c r="MAQ62" s="459"/>
      <c r="MAR62" s="459"/>
      <c r="MAS62" s="459"/>
      <c r="MAT62" s="459"/>
      <c r="MAU62" s="459"/>
      <c r="MAV62" s="459"/>
      <c r="MAW62" s="459"/>
      <c r="MAX62" s="459"/>
      <c r="MAY62" s="459"/>
      <c r="MAZ62" s="459"/>
      <c r="MBA62" s="459"/>
      <c r="MBB62" s="459"/>
      <c r="MBC62" s="459"/>
      <c r="MBD62" s="459"/>
      <c r="MBE62" s="459"/>
      <c r="MBF62" s="459"/>
      <c r="MBG62" s="459"/>
      <c r="MBH62" s="459"/>
      <c r="MBI62" s="459"/>
      <c r="MBJ62" s="459"/>
      <c r="MBK62" s="459"/>
      <c r="MBL62" s="459"/>
      <c r="MBM62" s="459"/>
      <c r="MBN62" s="459"/>
      <c r="MBO62" s="459"/>
      <c r="MBP62" s="459"/>
      <c r="MBQ62" s="459"/>
      <c r="MBR62" s="459"/>
      <c r="MBS62" s="459"/>
      <c r="MBT62" s="459"/>
      <c r="MBU62" s="459"/>
      <c r="MBV62" s="459"/>
      <c r="MBW62" s="459"/>
      <c r="MBX62" s="459"/>
      <c r="MBY62" s="459"/>
      <c r="MBZ62" s="459"/>
      <c r="MCA62" s="459"/>
      <c r="MCB62" s="459"/>
      <c r="MCC62" s="459"/>
      <c r="MCD62" s="459"/>
      <c r="MCE62" s="459"/>
      <c r="MCF62" s="459"/>
      <c r="MCG62" s="459"/>
      <c r="MCH62" s="459"/>
      <c r="MCI62" s="459"/>
      <c r="MCJ62" s="459"/>
      <c r="MCK62" s="459"/>
      <c r="MCL62" s="459"/>
      <c r="MCM62" s="459"/>
      <c r="MCN62" s="459"/>
      <c r="MCO62" s="459"/>
      <c r="MCP62" s="459"/>
      <c r="MCQ62" s="459"/>
      <c r="MCR62" s="459"/>
      <c r="MCS62" s="459"/>
      <c r="MCT62" s="459"/>
      <c r="MCU62" s="459"/>
      <c r="MCV62" s="459"/>
      <c r="MCW62" s="459"/>
      <c r="MCX62" s="459"/>
      <c r="MCY62" s="459"/>
      <c r="MCZ62" s="459"/>
      <c r="MDA62" s="459"/>
      <c r="MDB62" s="459"/>
      <c r="MDC62" s="459"/>
      <c r="MDD62" s="459"/>
      <c r="MDE62" s="459"/>
      <c r="MDF62" s="459"/>
      <c r="MDG62" s="459"/>
      <c r="MDH62" s="459"/>
      <c r="MDI62" s="459"/>
      <c r="MDJ62" s="459"/>
      <c r="MDK62" s="459"/>
      <c r="MDL62" s="459"/>
      <c r="MDM62" s="459"/>
      <c r="MDN62" s="459"/>
      <c r="MDO62" s="459"/>
      <c r="MDP62" s="459"/>
      <c r="MDQ62" s="459"/>
      <c r="MDR62" s="459"/>
      <c r="MDS62" s="459"/>
      <c r="MDT62" s="459"/>
      <c r="MDU62" s="459"/>
      <c r="MDV62" s="459"/>
      <c r="MDW62" s="459"/>
      <c r="MDX62" s="459"/>
      <c r="MDY62" s="459"/>
      <c r="MDZ62" s="459"/>
      <c r="MEA62" s="459"/>
      <c r="MEB62" s="459"/>
      <c r="MEC62" s="459"/>
      <c r="MED62" s="459"/>
      <c r="MEE62" s="459"/>
      <c r="MEF62" s="459"/>
      <c r="MEG62" s="459"/>
      <c r="MEH62" s="459"/>
      <c r="MEI62" s="459"/>
      <c r="MEJ62" s="459"/>
      <c r="MEK62" s="459"/>
      <c r="MEL62" s="459"/>
      <c r="MEM62" s="459"/>
      <c r="MEN62" s="459"/>
      <c r="MEO62" s="459"/>
      <c r="MEP62" s="459"/>
      <c r="MEQ62" s="459"/>
      <c r="MER62" s="459"/>
      <c r="MES62" s="459"/>
      <c r="MET62" s="459"/>
      <c r="MEU62" s="459"/>
      <c r="MEV62" s="459"/>
      <c r="MEW62" s="459"/>
      <c r="MEX62" s="459"/>
      <c r="MEY62" s="459"/>
      <c r="MEZ62" s="459"/>
      <c r="MFA62" s="459"/>
      <c r="MFB62" s="459"/>
      <c r="MFC62" s="459"/>
      <c r="MFD62" s="459"/>
      <c r="MFE62" s="459"/>
      <c r="MFF62" s="459"/>
      <c r="MFG62" s="459"/>
      <c r="MFH62" s="459"/>
      <c r="MFI62" s="459"/>
      <c r="MFJ62" s="459"/>
      <c r="MFK62" s="459"/>
      <c r="MFL62" s="459"/>
      <c r="MFM62" s="459"/>
      <c r="MFN62" s="459"/>
      <c r="MFO62" s="459"/>
      <c r="MFP62" s="459"/>
      <c r="MFQ62" s="459"/>
      <c r="MFR62" s="459"/>
      <c r="MFS62" s="459"/>
      <c r="MFT62" s="459"/>
      <c r="MFU62" s="459"/>
      <c r="MFV62" s="459"/>
      <c r="MFW62" s="459"/>
      <c r="MFX62" s="459"/>
      <c r="MFY62" s="459"/>
      <c r="MFZ62" s="459"/>
      <c r="MGA62" s="459"/>
      <c r="MGB62" s="459"/>
      <c r="MGC62" s="459"/>
      <c r="MGD62" s="459"/>
      <c r="MGE62" s="459"/>
      <c r="MGF62" s="459"/>
      <c r="MGG62" s="459"/>
      <c r="MGH62" s="459"/>
      <c r="MGI62" s="459"/>
      <c r="MGJ62" s="459"/>
      <c r="MGK62" s="459"/>
      <c r="MGL62" s="459"/>
      <c r="MGM62" s="459"/>
      <c r="MGN62" s="459"/>
      <c r="MGO62" s="459"/>
      <c r="MGP62" s="459"/>
      <c r="MGQ62" s="459"/>
      <c r="MGR62" s="459"/>
      <c r="MGS62" s="459"/>
      <c r="MGT62" s="459"/>
      <c r="MGU62" s="459"/>
      <c r="MGV62" s="459"/>
      <c r="MGW62" s="459"/>
      <c r="MGX62" s="459"/>
      <c r="MGY62" s="459"/>
      <c r="MGZ62" s="459"/>
      <c r="MHA62" s="459"/>
      <c r="MHB62" s="459"/>
      <c r="MHC62" s="459"/>
      <c r="MHD62" s="459"/>
      <c r="MHE62" s="459"/>
      <c r="MHF62" s="459"/>
      <c r="MHG62" s="459"/>
      <c r="MHH62" s="459"/>
      <c r="MHI62" s="459"/>
      <c r="MHJ62" s="459"/>
      <c r="MHK62" s="459"/>
      <c r="MHL62" s="459"/>
      <c r="MHM62" s="459"/>
      <c r="MHN62" s="459"/>
      <c r="MHO62" s="459"/>
      <c r="MHP62" s="459"/>
      <c r="MHQ62" s="459"/>
      <c r="MHR62" s="459"/>
      <c r="MHS62" s="459"/>
      <c r="MHT62" s="459"/>
      <c r="MHU62" s="459"/>
      <c r="MHV62" s="459"/>
      <c r="MHW62" s="459"/>
      <c r="MHX62" s="459"/>
      <c r="MHY62" s="459"/>
      <c r="MHZ62" s="459"/>
      <c r="MIA62" s="459"/>
      <c r="MIB62" s="459"/>
      <c r="MIC62" s="459"/>
      <c r="MID62" s="459"/>
      <c r="MIE62" s="459"/>
      <c r="MIF62" s="459"/>
      <c r="MIG62" s="459"/>
      <c r="MIH62" s="459"/>
      <c r="MII62" s="459"/>
      <c r="MIJ62" s="459"/>
      <c r="MIK62" s="459"/>
      <c r="MIL62" s="459"/>
      <c r="MIM62" s="459"/>
      <c r="MIN62" s="459"/>
      <c r="MIO62" s="459"/>
      <c r="MIP62" s="459"/>
      <c r="MIQ62" s="459"/>
      <c r="MIR62" s="459"/>
      <c r="MIS62" s="459"/>
      <c r="MIT62" s="459"/>
      <c r="MIU62" s="459"/>
      <c r="MIV62" s="459"/>
      <c r="MIW62" s="459"/>
      <c r="MIX62" s="459"/>
      <c r="MIY62" s="459"/>
      <c r="MIZ62" s="459"/>
      <c r="MJA62" s="459"/>
      <c r="MJB62" s="459"/>
      <c r="MJC62" s="459"/>
      <c r="MJD62" s="459"/>
      <c r="MJE62" s="459"/>
      <c r="MJF62" s="459"/>
      <c r="MJG62" s="459"/>
      <c r="MJH62" s="459"/>
      <c r="MJI62" s="459"/>
      <c r="MJJ62" s="459"/>
      <c r="MJK62" s="459"/>
      <c r="MJL62" s="459"/>
      <c r="MJM62" s="459"/>
      <c r="MJN62" s="459"/>
      <c r="MJO62" s="459"/>
      <c r="MJP62" s="459"/>
      <c r="MJQ62" s="459"/>
      <c r="MJR62" s="459"/>
      <c r="MJS62" s="459"/>
      <c r="MJT62" s="459"/>
      <c r="MJU62" s="459"/>
      <c r="MJV62" s="459"/>
      <c r="MJW62" s="459"/>
      <c r="MJX62" s="459"/>
      <c r="MJY62" s="459"/>
      <c r="MJZ62" s="459"/>
      <c r="MKA62" s="459"/>
      <c r="MKB62" s="459"/>
      <c r="MKC62" s="459"/>
      <c r="MKD62" s="459"/>
      <c r="MKE62" s="459"/>
      <c r="MKF62" s="459"/>
      <c r="MKG62" s="459"/>
      <c r="MKH62" s="459"/>
      <c r="MKI62" s="459"/>
      <c r="MKJ62" s="459"/>
      <c r="MKK62" s="459"/>
      <c r="MKL62" s="459"/>
      <c r="MKM62" s="459"/>
      <c r="MKN62" s="459"/>
      <c r="MKO62" s="459"/>
      <c r="MKP62" s="459"/>
      <c r="MKQ62" s="459"/>
      <c r="MKR62" s="459"/>
      <c r="MKS62" s="459"/>
      <c r="MKT62" s="459"/>
      <c r="MKU62" s="459"/>
      <c r="MKV62" s="459"/>
      <c r="MKW62" s="459"/>
      <c r="MKX62" s="459"/>
      <c r="MKY62" s="459"/>
      <c r="MKZ62" s="459"/>
      <c r="MLA62" s="459"/>
      <c r="MLB62" s="459"/>
      <c r="MLC62" s="459"/>
      <c r="MLD62" s="459"/>
      <c r="MLE62" s="459"/>
      <c r="MLF62" s="459"/>
      <c r="MLG62" s="459"/>
      <c r="MLH62" s="459"/>
      <c r="MLI62" s="459"/>
      <c r="MLJ62" s="459"/>
      <c r="MLK62" s="459"/>
      <c r="MLL62" s="459"/>
      <c r="MLM62" s="459"/>
      <c r="MLN62" s="459"/>
      <c r="MLO62" s="459"/>
      <c r="MLP62" s="459"/>
      <c r="MLQ62" s="459"/>
      <c r="MLR62" s="459"/>
      <c r="MLS62" s="459"/>
      <c r="MLT62" s="459"/>
      <c r="MLU62" s="459"/>
      <c r="MLV62" s="459"/>
      <c r="MLW62" s="459"/>
      <c r="MLX62" s="459"/>
      <c r="MLY62" s="459"/>
      <c r="MLZ62" s="459"/>
      <c r="MMA62" s="459"/>
      <c r="MMB62" s="459"/>
      <c r="MMC62" s="459"/>
      <c r="MMD62" s="459"/>
      <c r="MME62" s="459"/>
      <c r="MMF62" s="459"/>
      <c r="MMG62" s="459"/>
      <c r="MMH62" s="459"/>
      <c r="MMI62" s="459"/>
      <c r="MMJ62" s="459"/>
      <c r="MMK62" s="459"/>
      <c r="MML62" s="459"/>
      <c r="MMM62" s="459"/>
      <c r="MMN62" s="459"/>
      <c r="MMO62" s="459"/>
      <c r="MMP62" s="459"/>
      <c r="MMQ62" s="459"/>
      <c r="MMR62" s="459"/>
      <c r="MMS62" s="459"/>
      <c r="MMT62" s="459"/>
      <c r="MMU62" s="459"/>
      <c r="MMV62" s="459"/>
      <c r="MMW62" s="459"/>
      <c r="MMX62" s="459"/>
      <c r="MMY62" s="459"/>
      <c r="MMZ62" s="459"/>
      <c r="MNA62" s="459"/>
      <c r="MNB62" s="459"/>
      <c r="MNC62" s="459"/>
      <c r="MND62" s="459"/>
      <c r="MNE62" s="459"/>
      <c r="MNF62" s="459"/>
      <c r="MNG62" s="459"/>
      <c r="MNH62" s="459"/>
      <c r="MNI62" s="459"/>
      <c r="MNJ62" s="459"/>
      <c r="MNK62" s="459"/>
      <c r="MNL62" s="459"/>
      <c r="MNM62" s="459"/>
      <c r="MNN62" s="459"/>
      <c r="MNO62" s="459"/>
      <c r="MNP62" s="459"/>
      <c r="MNQ62" s="459"/>
      <c r="MNR62" s="459"/>
      <c r="MNS62" s="459"/>
      <c r="MNT62" s="459"/>
      <c r="MNU62" s="459"/>
      <c r="MNV62" s="459"/>
      <c r="MNW62" s="459"/>
      <c r="MNX62" s="459"/>
      <c r="MNY62" s="459"/>
      <c r="MNZ62" s="459"/>
      <c r="MOA62" s="459"/>
      <c r="MOB62" s="459"/>
      <c r="MOC62" s="459"/>
      <c r="MOD62" s="459"/>
      <c r="MOE62" s="459"/>
      <c r="MOF62" s="459"/>
      <c r="MOG62" s="459"/>
      <c r="MOH62" s="459"/>
      <c r="MOI62" s="459"/>
      <c r="MOJ62" s="459"/>
      <c r="MOK62" s="459"/>
      <c r="MOL62" s="459"/>
      <c r="MOM62" s="459"/>
      <c r="MON62" s="459"/>
      <c r="MOO62" s="459"/>
      <c r="MOP62" s="459"/>
      <c r="MOQ62" s="459"/>
      <c r="MOR62" s="459"/>
      <c r="MOS62" s="459"/>
      <c r="MOT62" s="459"/>
      <c r="MOU62" s="459"/>
      <c r="MOV62" s="459"/>
      <c r="MOW62" s="459"/>
      <c r="MOX62" s="459"/>
      <c r="MOY62" s="459"/>
      <c r="MOZ62" s="459"/>
      <c r="MPA62" s="459"/>
      <c r="MPB62" s="459"/>
      <c r="MPC62" s="459"/>
      <c r="MPD62" s="459"/>
      <c r="MPE62" s="459"/>
      <c r="MPF62" s="459"/>
      <c r="MPG62" s="459"/>
      <c r="MPH62" s="459"/>
      <c r="MPI62" s="459"/>
      <c r="MPJ62" s="459"/>
      <c r="MPK62" s="459"/>
      <c r="MPL62" s="459"/>
      <c r="MPM62" s="459"/>
      <c r="MPN62" s="459"/>
      <c r="MPO62" s="459"/>
      <c r="MPP62" s="459"/>
      <c r="MPQ62" s="459"/>
      <c r="MPR62" s="459"/>
      <c r="MPS62" s="459"/>
      <c r="MPT62" s="459"/>
      <c r="MPU62" s="459"/>
      <c r="MPV62" s="459"/>
      <c r="MPW62" s="459"/>
      <c r="MPX62" s="459"/>
      <c r="MPY62" s="459"/>
      <c r="MPZ62" s="459"/>
      <c r="MQA62" s="459"/>
      <c r="MQB62" s="459"/>
      <c r="MQC62" s="459"/>
      <c r="MQD62" s="459"/>
      <c r="MQE62" s="459"/>
      <c r="MQF62" s="459"/>
      <c r="MQG62" s="459"/>
      <c r="MQH62" s="459"/>
      <c r="MQI62" s="459"/>
      <c r="MQJ62" s="459"/>
      <c r="MQK62" s="459"/>
      <c r="MQL62" s="459"/>
      <c r="MQM62" s="459"/>
      <c r="MQN62" s="459"/>
      <c r="MQO62" s="459"/>
      <c r="MQP62" s="459"/>
      <c r="MQQ62" s="459"/>
      <c r="MQR62" s="459"/>
      <c r="MQS62" s="459"/>
      <c r="MQT62" s="459"/>
      <c r="MQU62" s="459"/>
      <c r="MQV62" s="459"/>
      <c r="MQW62" s="459"/>
      <c r="MQX62" s="459"/>
      <c r="MQY62" s="459"/>
      <c r="MQZ62" s="459"/>
      <c r="MRA62" s="459"/>
      <c r="MRB62" s="459"/>
      <c r="MRC62" s="459"/>
      <c r="MRD62" s="459"/>
      <c r="MRE62" s="459"/>
      <c r="MRF62" s="459"/>
      <c r="MRG62" s="459"/>
      <c r="MRH62" s="459"/>
      <c r="MRI62" s="459"/>
      <c r="MRJ62" s="459"/>
      <c r="MRK62" s="459"/>
      <c r="MRL62" s="459"/>
      <c r="MRM62" s="459"/>
      <c r="MRN62" s="459"/>
      <c r="MRO62" s="459"/>
      <c r="MRP62" s="459"/>
      <c r="MRQ62" s="459"/>
      <c r="MRR62" s="459"/>
      <c r="MRS62" s="459"/>
      <c r="MRT62" s="459"/>
      <c r="MRU62" s="459"/>
      <c r="MRV62" s="459"/>
      <c r="MRW62" s="459"/>
      <c r="MRX62" s="459"/>
      <c r="MRY62" s="459"/>
      <c r="MRZ62" s="459"/>
      <c r="MSA62" s="459"/>
      <c r="MSB62" s="459"/>
      <c r="MSC62" s="459"/>
      <c r="MSD62" s="459"/>
      <c r="MSE62" s="459"/>
      <c r="MSF62" s="459"/>
      <c r="MSG62" s="459"/>
      <c r="MSH62" s="459"/>
      <c r="MSI62" s="459"/>
      <c r="MSJ62" s="459"/>
      <c r="MSK62" s="459"/>
      <c r="MSL62" s="459"/>
      <c r="MSM62" s="459"/>
      <c r="MSN62" s="459"/>
      <c r="MSO62" s="459"/>
      <c r="MSP62" s="459"/>
      <c r="MSQ62" s="459"/>
      <c r="MSR62" s="459"/>
      <c r="MSS62" s="459"/>
      <c r="MST62" s="459"/>
      <c r="MSU62" s="459"/>
      <c r="MSV62" s="459"/>
      <c r="MSW62" s="459"/>
      <c r="MSX62" s="459"/>
      <c r="MSY62" s="459"/>
      <c r="MSZ62" s="459"/>
      <c r="MTA62" s="459"/>
      <c r="MTB62" s="459"/>
      <c r="MTC62" s="459"/>
      <c r="MTD62" s="459"/>
      <c r="MTE62" s="459"/>
      <c r="MTF62" s="459"/>
      <c r="MTG62" s="459"/>
      <c r="MTH62" s="459"/>
      <c r="MTI62" s="459"/>
      <c r="MTJ62" s="459"/>
      <c r="MTK62" s="459"/>
      <c r="MTL62" s="459"/>
      <c r="MTM62" s="459"/>
      <c r="MTN62" s="459"/>
      <c r="MTO62" s="459"/>
      <c r="MTP62" s="459"/>
      <c r="MTQ62" s="459"/>
      <c r="MTR62" s="459"/>
      <c r="MTS62" s="459"/>
      <c r="MTT62" s="459"/>
      <c r="MTU62" s="459"/>
      <c r="MTV62" s="459"/>
      <c r="MTW62" s="459"/>
      <c r="MTX62" s="459"/>
      <c r="MTY62" s="459"/>
      <c r="MTZ62" s="459"/>
      <c r="MUA62" s="459"/>
      <c r="MUB62" s="459"/>
      <c r="MUC62" s="459"/>
      <c r="MUD62" s="459"/>
      <c r="MUE62" s="459"/>
      <c r="MUF62" s="459"/>
      <c r="MUG62" s="459"/>
      <c r="MUH62" s="459"/>
      <c r="MUI62" s="459"/>
      <c r="MUJ62" s="459"/>
      <c r="MUK62" s="459"/>
      <c r="MUL62" s="459"/>
      <c r="MUM62" s="459"/>
      <c r="MUN62" s="459"/>
      <c r="MUO62" s="459"/>
      <c r="MUP62" s="459"/>
      <c r="MUQ62" s="459"/>
      <c r="MUR62" s="459"/>
      <c r="MUS62" s="459"/>
      <c r="MUT62" s="459"/>
      <c r="MUU62" s="459"/>
      <c r="MUV62" s="459"/>
      <c r="MUW62" s="459"/>
      <c r="MUX62" s="459"/>
      <c r="MUY62" s="459"/>
      <c r="MUZ62" s="459"/>
      <c r="MVA62" s="459"/>
      <c r="MVB62" s="459"/>
      <c r="MVC62" s="459"/>
      <c r="MVD62" s="459"/>
      <c r="MVE62" s="459"/>
      <c r="MVF62" s="459"/>
      <c r="MVG62" s="459"/>
      <c r="MVH62" s="459"/>
      <c r="MVI62" s="459"/>
      <c r="MVJ62" s="459"/>
      <c r="MVK62" s="459"/>
      <c r="MVL62" s="459"/>
      <c r="MVM62" s="459"/>
      <c r="MVN62" s="459"/>
      <c r="MVO62" s="459"/>
      <c r="MVP62" s="459"/>
      <c r="MVQ62" s="459"/>
      <c r="MVR62" s="459"/>
      <c r="MVS62" s="459"/>
      <c r="MVT62" s="459"/>
      <c r="MVU62" s="459"/>
      <c r="MVV62" s="459"/>
      <c r="MVW62" s="459"/>
      <c r="MVX62" s="459"/>
      <c r="MVY62" s="459"/>
      <c r="MVZ62" s="459"/>
      <c r="MWA62" s="459"/>
      <c r="MWB62" s="459"/>
      <c r="MWC62" s="459"/>
      <c r="MWD62" s="459"/>
      <c r="MWE62" s="459"/>
      <c r="MWF62" s="459"/>
      <c r="MWG62" s="459"/>
      <c r="MWH62" s="459"/>
      <c r="MWI62" s="459"/>
      <c r="MWJ62" s="459"/>
      <c r="MWK62" s="459"/>
      <c r="MWL62" s="459"/>
      <c r="MWM62" s="459"/>
      <c r="MWN62" s="459"/>
      <c r="MWO62" s="459"/>
      <c r="MWP62" s="459"/>
      <c r="MWQ62" s="459"/>
      <c r="MWR62" s="459"/>
      <c r="MWS62" s="459"/>
      <c r="MWT62" s="459"/>
      <c r="MWU62" s="459"/>
      <c r="MWV62" s="459"/>
      <c r="MWW62" s="459"/>
      <c r="MWX62" s="459"/>
      <c r="MWY62" s="459"/>
      <c r="MWZ62" s="459"/>
      <c r="MXA62" s="459"/>
      <c r="MXB62" s="459"/>
      <c r="MXC62" s="459"/>
      <c r="MXD62" s="459"/>
      <c r="MXE62" s="459"/>
      <c r="MXF62" s="459"/>
      <c r="MXG62" s="459"/>
      <c r="MXH62" s="459"/>
      <c r="MXI62" s="459"/>
      <c r="MXJ62" s="459"/>
      <c r="MXK62" s="459"/>
      <c r="MXL62" s="459"/>
      <c r="MXM62" s="459"/>
      <c r="MXN62" s="459"/>
      <c r="MXO62" s="459"/>
      <c r="MXP62" s="459"/>
      <c r="MXQ62" s="459"/>
      <c r="MXR62" s="459"/>
      <c r="MXS62" s="459"/>
      <c r="MXT62" s="459"/>
      <c r="MXU62" s="459"/>
      <c r="MXV62" s="459"/>
      <c r="MXW62" s="459"/>
      <c r="MXX62" s="459"/>
      <c r="MXY62" s="459"/>
      <c r="MXZ62" s="459"/>
      <c r="MYA62" s="459"/>
      <c r="MYB62" s="459"/>
      <c r="MYC62" s="459"/>
      <c r="MYD62" s="459"/>
      <c r="MYE62" s="459"/>
      <c r="MYF62" s="459"/>
      <c r="MYG62" s="459"/>
      <c r="MYH62" s="459"/>
      <c r="MYI62" s="459"/>
      <c r="MYJ62" s="459"/>
      <c r="MYK62" s="459"/>
      <c r="MYL62" s="459"/>
      <c r="MYM62" s="459"/>
      <c r="MYN62" s="459"/>
      <c r="MYO62" s="459"/>
      <c r="MYP62" s="459"/>
      <c r="MYQ62" s="459"/>
      <c r="MYR62" s="459"/>
      <c r="MYS62" s="459"/>
      <c r="MYT62" s="459"/>
      <c r="MYU62" s="459"/>
      <c r="MYV62" s="459"/>
      <c r="MYW62" s="459"/>
      <c r="MYX62" s="459"/>
      <c r="MYY62" s="459"/>
      <c r="MYZ62" s="459"/>
      <c r="MZA62" s="459"/>
      <c r="MZB62" s="459"/>
      <c r="MZC62" s="459"/>
      <c r="MZD62" s="459"/>
      <c r="MZE62" s="459"/>
      <c r="MZF62" s="459"/>
      <c r="MZG62" s="459"/>
      <c r="MZH62" s="459"/>
      <c r="MZI62" s="459"/>
      <c r="MZJ62" s="459"/>
      <c r="MZK62" s="459"/>
      <c r="MZL62" s="459"/>
      <c r="MZM62" s="459"/>
      <c r="MZN62" s="459"/>
      <c r="MZO62" s="459"/>
      <c r="MZP62" s="459"/>
      <c r="MZQ62" s="459"/>
      <c r="MZR62" s="459"/>
      <c r="MZS62" s="459"/>
      <c r="MZT62" s="459"/>
      <c r="MZU62" s="459"/>
      <c r="MZV62" s="459"/>
      <c r="MZW62" s="459"/>
      <c r="MZX62" s="459"/>
      <c r="MZY62" s="459"/>
      <c r="MZZ62" s="459"/>
      <c r="NAA62" s="459"/>
      <c r="NAB62" s="459"/>
      <c r="NAC62" s="459"/>
      <c r="NAD62" s="459"/>
      <c r="NAE62" s="459"/>
      <c r="NAF62" s="459"/>
      <c r="NAG62" s="459"/>
      <c r="NAH62" s="459"/>
      <c r="NAI62" s="459"/>
      <c r="NAJ62" s="459"/>
      <c r="NAK62" s="459"/>
      <c r="NAL62" s="459"/>
      <c r="NAM62" s="459"/>
      <c r="NAN62" s="459"/>
      <c r="NAO62" s="459"/>
      <c r="NAP62" s="459"/>
      <c r="NAQ62" s="459"/>
      <c r="NAR62" s="459"/>
      <c r="NAS62" s="459"/>
      <c r="NAT62" s="459"/>
      <c r="NAU62" s="459"/>
      <c r="NAV62" s="459"/>
      <c r="NAW62" s="459"/>
      <c r="NAX62" s="459"/>
      <c r="NAY62" s="459"/>
      <c r="NAZ62" s="459"/>
      <c r="NBA62" s="459"/>
      <c r="NBB62" s="459"/>
      <c r="NBC62" s="459"/>
      <c r="NBD62" s="459"/>
      <c r="NBE62" s="459"/>
      <c r="NBF62" s="459"/>
      <c r="NBG62" s="459"/>
      <c r="NBH62" s="459"/>
      <c r="NBI62" s="459"/>
      <c r="NBJ62" s="459"/>
      <c r="NBK62" s="459"/>
      <c r="NBL62" s="459"/>
      <c r="NBM62" s="459"/>
      <c r="NBN62" s="459"/>
      <c r="NBO62" s="459"/>
      <c r="NBP62" s="459"/>
      <c r="NBQ62" s="459"/>
      <c r="NBR62" s="459"/>
      <c r="NBS62" s="459"/>
      <c r="NBT62" s="459"/>
      <c r="NBU62" s="459"/>
      <c r="NBV62" s="459"/>
      <c r="NBW62" s="459"/>
      <c r="NBX62" s="459"/>
      <c r="NBY62" s="459"/>
      <c r="NBZ62" s="459"/>
      <c r="NCA62" s="459"/>
      <c r="NCB62" s="459"/>
      <c r="NCC62" s="459"/>
      <c r="NCD62" s="459"/>
      <c r="NCE62" s="459"/>
      <c r="NCF62" s="459"/>
      <c r="NCG62" s="459"/>
      <c r="NCH62" s="459"/>
      <c r="NCI62" s="459"/>
      <c r="NCJ62" s="459"/>
      <c r="NCK62" s="459"/>
      <c r="NCL62" s="459"/>
      <c r="NCM62" s="459"/>
      <c r="NCN62" s="459"/>
      <c r="NCO62" s="459"/>
      <c r="NCP62" s="459"/>
      <c r="NCQ62" s="459"/>
      <c r="NCR62" s="459"/>
      <c r="NCS62" s="459"/>
      <c r="NCT62" s="459"/>
      <c r="NCU62" s="459"/>
      <c r="NCV62" s="459"/>
      <c r="NCW62" s="459"/>
      <c r="NCX62" s="459"/>
      <c r="NCY62" s="459"/>
      <c r="NCZ62" s="459"/>
      <c r="NDA62" s="459"/>
      <c r="NDB62" s="459"/>
      <c r="NDC62" s="459"/>
      <c r="NDD62" s="459"/>
      <c r="NDE62" s="459"/>
      <c r="NDF62" s="459"/>
      <c r="NDG62" s="459"/>
      <c r="NDH62" s="459"/>
      <c r="NDI62" s="459"/>
      <c r="NDJ62" s="459"/>
      <c r="NDK62" s="459"/>
      <c r="NDL62" s="459"/>
      <c r="NDM62" s="459"/>
      <c r="NDN62" s="459"/>
      <c r="NDO62" s="459"/>
      <c r="NDP62" s="459"/>
      <c r="NDQ62" s="459"/>
      <c r="NDR62" s="459"/>
      <c r="NDS62" s="459"/>
      <c r="NDT62" s="459"/>
      <c r="NDU62" s="459"/>
      <c r="NDV62" s="459"/>
      <c r="NDW62" s="459"/>
      <c r="NDX62" s="459"/>
      <c r="NDY62" s="459"/>
      <c r="NDZ62" s="459"/>
      <c r="NEA62" s="459"/>
      <c r="NEB62" s="459"/>
      <c r="NEC62" s="459"/>
      <c r="NED62" s="459"/>
      <c r="NEE62" s="459"/>
      <c r="NEF62" s="459"/>
      <c r="NEG62" s="459"/>
      <c r="NEH62" s="459"/>
      <c r="NEI62" s="459"/>
      <c r="NEJ62" s="459"/>
      <c r="NEK62" s="459"/>
      <c r="NEL62" s="459"/>
      <c r="NEM62" s="459"/>
      <c r="NEN62" s="459"/>
      <c r="NEO62" s="459"/>
      <c r="NEP62" s="459"/>
      <c r="NEQ62" s="459"/>
      <c r="NER62" s="459"/>
      <c r="NES62" s="459"/>
      <c r="NET62" s="459"/>
      <c r="NEU62" s="459"/>
      <c r="NEV62" s="459"/>
      <c r="NEW62" s="459"/>
      <c r="NEX62" s="459"/>
      <c r="NEY62" s="459"/>
      <c r="NEZ62" s="459"/>
      <c r="NFA62" s="459"/>
      <c r="NFB62" s="459"/>
      <c r="NFC62" s="459"/>
      <c r="NFD62" s="459"/>
      <c r="NFE62" s="459"/>
      <c r="NFF62" s="459"/>
      <c r="NFG62" s="459"/>
      <c r="NFH62" s="459"/>
      <c r="NFI62" s="459"/>
      <c r="NFJ62" s="459"/>
      <c r="NFK62" s="459"/>
      <c r="NFL62" s="459"/>
      <c r="NFM62" s="459"/>
      <c r="NFN62" s="459"/>
      <c r="NFO62" s="459"/>
      <c r="NFP62" s="459"/>
      <c r="NFQ62" s="459"/>
      <c r="NFR62" s="459"/>
      <c r="NFS62" s="459"/>
      <c r="NFT62" s="459"/>
      <c r="NFU62" s="459"/>
      <c r="NFV62" s="459"/>
      <c r="NFW62" s="459"/>
      <c r="NFX62" s="459"/>
      <c r="NFY62" s="459"/>
      <c r="NFZ62" s="459"/>
      <c r="NGA62" s="459"/>
      <c r="NGB62" s="459"/>
      <c r="NGC62" s="459"/>
      <c r="NGD62" s="459"/>
      <c r="NGE62" s="459"/>
      <c r="NGF62" s="459"/>
      <c r="NGG62" s="459"/>
      <c r="NGH62" s="459"/>
      <c r="NGI62" s="459"/>
      <c r="NGJ62" s="459"/>
      <c r="NGK62" s="459"/>
      <c r="NGL62" s="459"/>
      <c r="NGM62" s="459"/>
      <c r="NGN62" s="459"/>
      <c r="NGO62" s="459"/>
      <c r="NGP62" s="459"/>
      <c r="NGQ62" s="459"/>
      <c r="NGR62" s="459"/>
      <c r="NGS62" s="459"/>
      <c r="NGT62" s="459"/>
      <c r="NGU62" s="459"/>
      <c r="NGV62" s="459"/>
      <c r="NGW62" s="459"/>
      <c r="NGX62" s="459"/>
      <c r="NGY62" s="459"/>
      <c r="NGZ62" s="459"/>
      <c r="NHA62" s="459"/>
      <c r="NHB62" s="459"/>
      <c r="NHC62" s="459"/>
      <c r="NHD62" s="459"/>
      <c r="NHE62" s="459"/>
      <c r="NHF62" s="459"/>
      <c r="NHG62" s="459"/>
      <c r="NHH62" s="459"/>
      <c r="NHI62" s="459"/>
      <c r="NHJ62" s="459"/>
      <c r="NHK62" s="459"/>
      <c r="NHL62" s="459"/>
      <c r="NHM62" s="459"/>
      <c r="NHN62" s="459"/>
      <c r="NHO62" s="459"/>
      <c r="NHP62" s="459"/>
      <c r="NHQ62" s="459"/>
      <c r="NHR62" s="459"/>
      <c r="NHS62" s="459"/>
      <c r="NHT62" s="459"/>
      <c r="NHU62" s="459"/>
      <c r="NHV62" s="459"/>
      <c r="NHW62" s="459"/>
      <c r="NHX62" s="459"/>
      <c r="NHY62" s="459"/>
      <c r="NHZ62" s="459"/>
      <c r="NIA62" s="459"/>
      <c r="NIB62" s="459"/>
      <c r="NIC62" s="459"/>
      <c r="NID62" s="459"/>
      <c r="NIE62" s="459"/>
      <c r="NIF62" s="459"/>
      <c r="NIG62" s="459"/>
      <c r="NIH62" s="459"/>
      <c r="NII62" s="459"/>
      <c r="NIJ62" s="459"/>
      <c r="NIK62" s="459"/>
      <c r="NIL62" s="459"/>
      <c r="NIM62" s="459"/>
      <c r="NIN62" s="459"/>
      <c r="NIO62" s="459"/>
      <c r="NIP62" s="459"/>
      <c r="NIQ62" s="459"/>
      <c r="NIR62" s="459"/>
      <c r="NIS62" s="459"/>
      <c r="NIT62" s="459"/>
      <c r="NIU62" s="459"/>
      <c r="NIV62" s="459"/>
      <c r="NIW62" s="459"/>
      <c r="NIX62" s="459"/>
      <c r="NIY62" s="459"/>
      <c r="NIZ62" s="459"/>
      <c r="NJA62" s="459"/>
      <c r="NJB62" s="459"/>
      <c r="NJC62" s="459"/>
      <c r="NJD62" s="459"/>
      <c r="NJE62" s="459"/>
      <c r="NJF62" s="459"/>
      <c r="NJG62" s="459"/>
      <c r="NJH62" s="459"/>
      <c r="NJI62" s="459"/>
      <c r="NJJ62" s="459"/>
      <c r="NJK62" s="459"/>
      <c r="NJL62" s="459"/>
      <c r="NJM62" s="459"/>
      <c r="NJN62" s="459"/>
      <c r="NJO62" s="459"/>
      <c r="NJP62" s="459"/>
      <c r="NJQ62" s="459"/>
      <c r="NJR62" s="459"/>
      <c r="NJS62" s="459"/>
      <c r="NJT62" s="459"/>
      <c r="NJU62" s="459"/>
      <c r="NJV62" s="459"/>
      <c r="NJW62" s="459"/>
      <c r="NJX62" s="459"/>
      <c r="NJY62" s="459"/>
      <c r="NJZ62" s="459"/>
      <c r="NKA62" s="459"/>
      <c r="NKB62" s="459"/>
      <c r="NKC62" s="459"/>
      <c r="NKD62" s="459"/>
      <c r="NKE62" s="459"/>
      <c r="NKF62" s="459"/>
      <c r="NKG62" s="459"/>
      <c r="NKH62" s="459"/>
      <c r="NKI62" s="459"/>
      <c r="NKJ62" s="459"/>
      <c r="NKK62" s="459"/>
      <c r="NKL62" s="459"/>
      <c r="NKM62" s="459"/>
      <c r="NKN62" s="459"/>
      <c r="NKO62" s="459"/>
      <c r="NKP62" s="459"/>
      <c r="NKQ62" s="459"/>
      <c r="NKR62" s="459"/>
      <c r="NKS62" s="459"/>
      <c r="NKT62" s="459"/>
      <c r="NKU62" s="459"/>
      <c r="NKV62" s="459"/>
      <c r="NKW62" s="459"/>
      <c r="NKX62" s="459"/>
      <c r="NKY62" s="459"/>
      <c r="NKZ62" s="459"/>
      <c r="NLA62" s="459"/>
      <c r="NLB62" s="459"/>
      <c r="NLC62" s="459"/>
      <c r="NLD62" s="459"/>
      <c r="NLE62" s="459"/>
      <c r="NLF62" s="459"/>
      <c r="NLG62" s="459"/>
      <c r="NLH62" s="459"/>
      <c r="NLI62" s="459"/>
      <c r="NLJ62" s="459"/>
      <c r="NLK62" s="459"/>
      <c r="NLL62" s="459"/>
      <c r="NLM62" s="459"/>
      <c r="NLN62" s="459"/>
      <c r="NLO62" s="459"/>
      <c r="NLP62" s="459"/>
      <c r="NLQ62" s="459"/>
      <c r="NLR62" s="459"/>
      <c r="NLS62" s="459"/>
      <c r="NLT62" s="459"/>
      <c r="NLU62" s="459"/>
      <c r="NLV62" s="459"/>
      <c r="NLW62" s="459"/>
      <c r="NLX62" s="459"/>
      <c r="NLY62" s="459"/>
      <c r="NLZ62" s="459"/>
      <c r="NMA62" s="459"/>
      <c r="NMB62" s="459"/>
      <c r="NMC62" s="459"/>
      <c r="NMD62" s="459"/>
      <c r="NME62" s="459"/>
      <c r="NMF62" s="459"/>
      <c r="NMG62" s="459"/>
      <c r="NMH62" s="459"/>
      <c r="NMI62" s="459"/>
      <c r="NMJ62" s="459"/>
      <c r="NMK62" s="459"/>
      <c r="NML62" s="459"/>
      <c r="NMM62" s="459"/>
      <c r="NMN62" s="459"/>
      <c r="NMO62" s="459"/>
      <c r="NMP62" s="459"/>
      <c r="NMQ62" s="459"/>
      <c r="NMR62" s="459"/>
      <c r="NMS62" s="459"/>
      <c r="NMT62" s="459"/>
      <c r="NMU62" s="459"/>
      <c r="NMV62" s="459"/>
      <c r="NMW62" s="459"/>
      <c r="NMX62" s="459"/>
      <c r="NMY62" s="459"/>
      <c r="NMZ62" s="459"/>
      <c r="NNA62" s="459"/>
      <c r="NNB62" s="459"/>
      <c r="NNC62" s="459"/>
      <c r="NND62" s="459"/>
      <c r="NNE62" s="459"/>
      <c r="NNF62" s="459"/>
      <c r="NNG62" s="459"/>
      <c r="NNH62" s="459"/>
      <c r="NNI62" s="459"/>
      <c r="NNJ62" s="459"/>
      <c r="NNK62" s="459"/>
      <c r="NNL62" s="459"/>
      <c r="NNM62" s="459"/>
      <c r="NNN62" s="459"/>
      <c r="NNO62" s="459"/>
      <c r="NNP62" s="459"/>
      <c r="NNQ62" s="459"/>
      <c r="NNR62" s="459"/>
      <c r="NNS62" s="459"/>
      <c r="NNT62" s="459"/>
      <c r="NNU62" s="459"/>
      <c r="NNV62" s="459"/>
      <c r="NNW62" s="459"/>
      <c r="NNX62" s="459"/>
      <c r="NNY62" s="459"/>
      <c r="NNZ62" s="459"/>
      <c r="NOA62" s="459"/>
      <c r="NOB62" s="459"/>
      <c r="NOC62" s="459"/>
      <c r="NOD62" s="459"/>
      <c r="NOE62" s="459"/>
      <c r="NOF62" s="459"/>
      <c r="NOG62" s="459"/>
      <c r="NOH62" s="459"/>
      <c r="NOI62" s="459"/>
      <c r="NOJ62" s="459"/>
      <c r="NOK62" s="459"/>
      <c r="NOL62" s="459"/>
      <c r="NOM62" s="459"/>
      <c r="NON62" s="459"/>
      <c r="NOO62" s="459"/>
      <c r="NOP62" s="459"/>
      <c r="NOQ62" s="459"/>
      <c r="NOR62" s="459"/>
      <c r="NOS62" s="459"/>
      <c r="NOT62" s="459"/>
      <c r="NOU62" s="459"/>
      <c r="NOV62" s="459"/>
      <c r="NOW62" s="459"/>
      <c r="NOX62" s="459"/>
      <c r="NOY62" s="459"/>
      <c r="NOZ62" s="459"/>
      <c r="NPA62" s="459"/>
      <c r="NPB62" s="459"/>
      <c r="NPC62" s="459"/>
      <c r="NPD62" s="459"/>
      <c r="NPE62" s="459"/>
      <c r="NPF62" s="459"/>
      <c r="NPG62" s="459"/>
      <c r="NPH62" s="459"/>
      <c r="NPI62" s="459"/>
      <c r="NPJ62" s="459"/>
      <c r="NPK62" s="459"/>
      <c r="NPL62" s="459"/>
      <c r="NPM62" s="459"/>
      <c r="NPN62" s="459"/>
      <c r="NPO62" s="459"/>
      <c r="NPP62" s="459"/>
      <c r="NPQ62" s="459"/>
      <c r="NPR62" s="459"/>
      <c r="NPS62" s="459"/>
      <c r="NPT62" s="459"/>
      <c r="NPU62" s="459"/>
      <c r="NPV62" s="459"/>
      <c r="NPW62" s="459"/>
      <c r="NPX62" s="459"/>
      <c r="NPY62" s="459"/>
      <c r="NPZ62" s="459"/>
      <c r="NQA62" s="459"/>
      <c r="NQB62" s="459"/>
      <c r="NQC62" s="459"/>
      <c r="NQD62" s="459"/>
      <c r="NQE62" s="459"/>
      <c r="NQF62" s="459"/>
      <c r="NQG62" s="459"/>
      <c r="NQH62" s="459"/>
      <c r="NQI62" s="459"/>
      <c r="NQJ62" s="459"/>
      <c r="NQK62" s="459"/>
      <c r="NQL62" s="459"/>
      <c r="NQM62" s="459"/>
      <c r="NQN62" s="459"/>
      <c r="NQO62" s="459"/>
      <c r="NQP62" s="459"/>
      <c r="NQQ62" s="459"/>
      <c r="NQR62" s="459"/>
      <c r="NQS62" s="459"/>
      <c r="NQT62" s="459"/>
      <c r="NQU62" s="459"/>
      <c r="NQV62" s="459"/>
      <c r="NQW62" s="459"/>
      <c r="NQX62" s="459"/>
      <c r="NQY62" s="459"/>
      <c r="NQZ62" s="459"/>
      <c r="NRA62" s="459"/>
      <c r="NRB62" s="459"/>
      <c r="NRC62" s="459"/>
      <c r="NRD62" s="459"/>
      <c r="NRE62" s="459"/>
      <c r="NRF62" s="459"/>
      <c r="NRG62" s="459"/>
      <c r="NRH62" s="459"/>
      <c r="NRI62" s="459"/>
      <c r="NRJ62" s="459"/>
      <c r="NRK62" s="459"/>
      <c r="NRL62" s="459"/>
      <c r="NRM62" s="459"/>
      <c r="NRN62" s="459"/>
      <c r="NRO62" s="459"/>
      <c r="NRP62" s="459"/>
      <c r="NRQ62" s="459"/>
      <c r="NRR62" s="459"/>
      <c r="NRS62" s="459"/>
      <c r="NRT62" s="459"/>
      <c r="NRU62" s="459"/>
      <c r="NRV62" s="459"/>
      <c r="NRW62" s="459"/>
      <c r="NRX62" s="459"/>
      <c r="NRY62" s="459"/>
      <c r="NRZ62" s="459"/>
      <c r="NSA62" s="459"/>
      <c r="NSB62" s="459"/>
      <c r="NSC62" s="459"/>
      <c r="NSD62" s="459"/>
      <c r="NSE62" s="459"/>
      <c r="NSF62" s="459"/>
      <c r="NSG62" s="459"/>
      <c r="NSH62" s="459"/>
      <c r="NSI62" s="459"/>
      <c r="NSJ62" s="459"/>
      <c r="NSK62" s="459"/>
      <c r="NSL62" s="459"/>
      <c r="NSM62" s="459"/>
      <c r="NSN62" s="459"/>
      <c r="NSO62" s="459"/>
      <c r="NSP62" s="459"/>
      <c r="NSQ62" s="459"/>
      <c r="NSR62" s="459"/>
      <c r="NSS62" s="459"/>
      <c r="NST62" s="459"/>
      <c r="NSU62" s="459"/>
      <c r="NSV62" s="459"/>
      <c r="NSW62" s="459"/>
      <c r="NSX62" s="459"/>
      <c r="NSY62" s="459"/>
      <c r="NSZ62" s="459"/>
      <c r="NTA62" s="459"/>
      <c r="NTB62" s="459"/>
      <c r="NTC62" s="459"/>
      <c r="NTD62" s="459"/>
      <c r="NTE62" s="459"/>
      <c r="NTF62" s="459"/>
      <c r="NTG62" s="459"/>
      <c r="NTH62" s="459"/>
      <c r="NTI62" s="459"/>
      <c r="NTJ62" s="459"/>
      <c r="NTK62" s="459"/>
      <c r="NTL62" s="459"/>
      <c r="NTM62" s="459"/>
      <c r="NTN62" s="459"/>
      <c r="NTO62" s="459"/>
      <c r="NTP62" s="459"/>
      <c r="NTQ62" s="459"/>
      <c r="NTR62" s="459"/>
      <c r="NTS62" s="459"/>
      <c r="NTT62" s="459"/>
      <c r="NTU62" s="459"/>
      <c r="NTV62" s="459"/>
      <c r="NTW62" s="459"/>
      <c r="NTX62" s="459"/>
      <c r="NTY62" s="459"/>
      <c r="NTZ62" s="459"/>
      <c r="NUA62" s="459"/>
      <c r="NUB62" s="459"/>
      <c r="NUC62" s="459"/>
      <c r="NUD62" s="459"/>
      <c r="NUE62" s="459"/>
      <c r="NUF62" s="459"/>
      <c r="NUG62" s="459"/>
      <c r="NUH62" s="459"/>
      <c r="NUI62" s="459"/>
      <c r="NUJ62" s="459"/>
      <c r="NUK62" s="459"/>
      <c r="NUL62" s="459"/>
      <c r="NUM62" s="459"/>
      <c r="NUN62" s="459"/>
      <c r="NUO62" s="459"/>
      <c r="NUP62" s="459"/>
      <c r="NUQ62" s="459"/>
      <c r="NUR62" s="459"/>
      <c r="NUS62" s="459"/>
      <c r="NUT62" s="459"/>
      <c r="NUU62" s="459"/>
      <c r="NUV62" s="459"/>
      <c r="NUW62" s="459"/>
      <c r="NUX62" s="459"/>
      <c r="NUY62" s="459"/>
      <c r="NUZ62" s="459"/>
      <c r="NVA62" s="459"/>
      <c r="NVB62" s="459"/>
      <c r="NVC62" s="459"/>
      <c r="NVD62" s="459"/>
      <c r="NVE62" s="459"/>
      <c r="NVF62" s="459"/>
      <c r="NVG62" s="459"/>
      <c r="NVH62" s="459"/>
      <c r="NVI62" s="459"/>
      <c r="NVJ62" s="459"/>
      <c r="NVK62" s="459"/>
      <c r="NVL62" s="459"/>
      <c r="NVM62" s="459"/>
      <c r="NVN62" s="459"/>
      <c r="NVO62" s="459"/>
      <c r="NVP62" s="459"/>
      <c r="NVQ62" s="459"/>
      <c r="NVR62" s="459"/>
      <c r="NVS62" s="459"/>
      <c r="NVT62" s="459"/>
      <c r="NVU62" s="459"/>
      <c r="NVV62" s="459"/>
      <c r="NVW62" s="459"/>
      <c r="NVX62" s="459"/>
      <c r="NVY62" s="459"/>
      <c r="NVZ62" s="459"/>
      <c r="NWA62" s="459"/>
      <c r="NWB62" s="459"/>
      <c r="NWC62" s="459"/>
      <c r="NWD62" s="459"/>
      <c r="NWE62" s="459"/>
      <c r="NWF62" s="459"/>
      <c r="NWG62" s="459"/>
      <c r="NWH62" s="459"/>
      <c r="NWI62" s="459"/>
      <c r="NWJ62" s="459"/>
      <c r="NWK62" s="459"/>
      <c r="NWL62" s="459"/>
      <c r="NWM62" s="459"/>
      <c r="NWN62" s="459"/>
      <c r="NWO62" s="459"/>
      <c r="NWP62" s="459"/>
      <c r="NWQ62" s="459"/>
      <c r="NWR62" s="459"/>
      <c r="NWS62" s="459"/>
      <c r="NWT62" s="459"/>
      <c r="NWU62" s="459"/>
      <c r="NWV62" s="459"/>
      <c r="NWW62" s="459"/>
      <c r="NWX62" s="459"/>
      <c r="NWY62" s="459"/>
      <c r="NWZ62" s="459"/>
      <c r="NXA62" s="459"/>
      <c r="NXB62" s="459"/>
      <c r="NXC62" s="459"/>
      <c r="NXD62" s="459"/>
      <c r="NXE62" s="459"/>
      <c r="NXF62" s="459"/>
      <c r="NXG62" s="459"/>
      <c r="NXH62" s="459"/>
      <c r="NXI62" s="459"/>
      <c r="NXJ62" s="459"/>
      <c r="NXK62" s="459"/>
      <c r="NXL62" s="459"/>
      <c r="NXM62" s="459"/>
      <c r="NXN62" s="459"/>
      <c r="NXO62" s="459"/>
      <c r="NXP62" s="459"/>
      <c r="NXQ62" s="459"/>
      <c r="NXR62" s="459"/>
      <c r="NXS62" s="459"/>
      <c r="NXT62" s="459"/>
      <c r="NXU62" s="459"/>
      <c r="NXV62" s="459"/>
      <c r="NXW62" s="459"/>
      <c r="NXX62" s="459"/>
      <c r="NXY62" s="459"/>
      <c r="NXZ62" s="459"/>
      <c r="NYA62" s="459"/>
      <c r="NYB62" s="459"/>
      <c r="NYC62" s="459"/>
      <c r="NYD62" s="459"/>
      <c r="NYE62" s="459"/>
      <c r="NYF62" s="459"/>
      <c r="NYG62" s="459"/>
      <c r="NYH62" s="459"/>
      <c r="NYI62" s="459"/>
      <c r="NYJ62" s="459"/>
      <c r="NYK62" s="459"/>
      <c r="NYL62" s="459"/>
      <c r="NYM62" s="459"/>
      <c r="NYN62" s="459"/>
      <c r="NYO62" s="459"/>
      <c r="NYP62" s="459"/>
      <c r="NYQ62" s="459"/>
      <c r="NYR62" s="459"/>
      <c r="NYS62" s="459"/>
      <c r="NYT62" s="459"/>
      <c r="NYU62" s="459"/>
      <c r="NYV62" s="459"/>
      <c r="NYW62" s="459"/>
      <c r="NYX62" s="459"/>
      <c r="NYY62" s="459"/>
      <c r="NYZ62" s="459"/>
      <c r="NZA62" s="459"/>
      <c r="NZB62" s="459"/>
      <c r="NZC62" s="459"/>
      <c r="NZD62" s="459"/>
      <c r="NZE62" s="459"/>
      <c r="NZF62" s="459"/>
      <c r="NZG62" s="459"/>
      <c r="NZH62" s="459"/>
      <c r="NZI62" s="459"/>
      <c r="NZJ62" s="459"/>
      <c r="NZK62" s="459"/>
      <c r="NZL62" s="459"/>
      <c r="NZM62" s="459"/>
      <c r="NZN62" s="459"/>
      <c r="NZO62" s="459"/>
      <c r="NZP62" s="459"/>
      <c r="NZQ62" s="459"/>
      <c r="NZR62" s="459"/>
      <c r="NZS62" s="459"/>
      <c r="NZT62" s="459"/>
      <c r="NZU62" s="459"/>
      <c r="NZV62" s="459"/>
      <c r="NZW62" s="459"/>
      <c r="NZX62" s="459"/>
      <c r="NZY62" s="459"/>
      <c r="NZZ62" s="459"/>
      <c r="OAA62" s="459"/>
      <c r="OAB62" s="459"/>
      <c r="OAC62" s="459"/>
      <c r="OAD62" s="459"/>
      <c r="OAE62" s="459"/>
      <c r="OAF62" s="459"/>
      <c r="OAG62" s="459"/>
      <c r="OAH62" s="459"/>
      <c r="OAI62" s="459"/>
      <c r="OAJ62" s="459"/>
      <c r="OAK62" s="459"/>
      <c r="OAL62" s="459"/>
      <c r="OAM62" s="459"/>
      <c r="OAN62" s="459"/>
      <c r="OAO62" s="459"/>
      <c r="OAP62" s="459"/>
      <c r="OAQ62" s="459"/>
      <c r="OAR62" s="459"/>
      <c r="OAS62" s="459"/>
      <c r="OAT62" s="459"/>
      <c r="OAU62" s="459"/>
      <c r="OAV62" s="459"/>
      <c r="OAW62" s="459"/>
      <c r="OAX62" s="459"/>
      <c r="OAY62" s="459"/>
      <c r="OAZ62" s="459"/>
      <c r="OBA62" s="459"/>
      <c r="OBB62" s="459"/>
      <c r="OBC62" s="459"/>
      <c r="OBD62" s="459"/>
      <c r="OBE62" s="459"/>
      <c r="OBF62" s="459"/>
      <c r="OBG62" s="459"/>
      <c r="OBH62" s="459"/>
      <c r="OBI62" s="459"/>
      <c r="OBJ62" s="459"/>
      <c r="OBK62" s="459"/>
      <c r="OBL62" s="459"/>
      <c r="OBM62" s="459"/>
      <c r="OBN62" s="459"/>
      <c r="OBO62" s="459"/>
      <c r="OBP62" s="459"/>
      <c r="OBQ62" s="459"/>
      <c r="OBR62" s="459"/>
      <c r="OBS62" s="459"/>
      <c r="OBT62" s="459"/>
      <c r="OBU62" s="459"/>
      <c r="OBV62" s="459"/>
      <c r="OBW62" s="459"/>
      <c r="OBX62" s="459"/>
      <c r="OBY62" s="459"/>
      <c r="OBZ62" s="459"/>
      <c r="OCA62" s="459"/>
      <c r="OCB62" s="459"/>
      <c r="OCC62" s="459"/>
      <c r="OCD62" s="459"/>
      <c r="OCE62" s="459"/>
      <c r="OCF62" s="459"/>
      <c r="OCG62" s="459"/>
      <c r="OCH62" s="459"/>
      <c r="OCI62" s="459"/>
      <c r="OCJ62" s="459"/>
      <c r="OCK62" s="459"/>
      <c r="OCL62" s="459"/>
      <c r="OCM62" s="459"/>
      <c r="OCN62" s="459"/>
      <c r="OCO62" s="459"/>
      <c r="OCP62" s="459"/>
      <c r="OCQ62" s="459"/>
      <c r="OCR62" s="459"/>
      <c r="OCS62" s="459"/>
      <c r="OCT62" s="459"/>
      <c r="OCU62" s="459"/>
      <c r="OCV62" s="459"/>
      <c r="OCW62" s="459"/>
      <c r="OCX62" s="459"/>
      <c r="OCY62" s="459"/>
      <c r="OCZ62" s="459"/>
      <c r="ODA62" s="459"/>
      <c r="ODB62" s="459"/>
      <c r="ODC62" s="459"/>
      <c r="ODD62" s="459"/>
      <c r="ODE62" s="459"/>
      <c r="ODF62" s="459"/>
      <c r="ODG62" s="459"/>
      <c r="ODH62" s="459"/>
      <c r="ODI62" s="459"/>
      <c r="ODJ62" s="459"/>
      <c r="ODK62" s="459"/>
      <c r="ODL62" s="459"/>
      <c r="ODM62" s="459"/>
      <c r="ODN62" s="459"/>
      <c r="ODO62" s="459"/>
      <c r="ODP62" s="459"/>
      <c r="ODQ62" s="459"/>
      <c r="ODR62" s="459"/>
      <c r="ODS62" s="459"/>
      <c r="ODT62" s="459"/>
      <c r="ODU62" s="459"/>
      <c r="ODV62" s="459"/>
      <c r="ODW62" s="459"/>
      <c r="ODX62" s="459"/>
      <c r="ODY62" s="459"/>
      <c r="ODZ62" s="459"/>
      <c r="OEA62" s="459"/>
      <c r="OEB62" s="459"/>
      <c r="OEC62" s="459"/>
      <c r="OED62" s="459"/>
      <c r="OEE62" s="459"/>
      <c r="OEF62" s="459"/>
      <c r="OEG62" s="459"/>
      <c r="OEH62" s="459"/>
      <c r="OEI62" s="459"/>
      <c r="OEJ62" s="459"/>
      <c r="OEK62" s="459"/>
      <c r="OEL62" s="459"/>
      <c r="OEM62" s="459"/>
      <c r="OEN62" s="459"/>
      <c r="OEO62" s="459"/>
      <c r="OEP62" s="459"/>
      <c r="OEQ62" s="459"/>
      <c r="OER62" s="459"/>
      <c r="OES62" s="459"/>
      <c r="OET62" s="459"/>
      <c r="OEU62" s="459"/>
      <c r="OEV62" s="459"/>
      <c r="OEW62" s="459"/>
      <c r="OEX62" s="459"/>
      <c r="OEY62" s="459"/>
      <c r="OEZ62" s="459"/>
      <c r="OFA62" s="459"/>
      <c r="OFB62" s="459"/>
      <c r="OFC62" s="459"/>
      <c r="OFD62" s="459"/>
      <c r="OFE62" s="459"/>
      <c r="OFF62" s="459"/>
      <c r="OFG62" s="459"/>
      <c r="OFH62" s="459"/>
      <c r="OFI62" s="459"/>
      <c r="OFJ62" s="459"/>
      <c r="OFK62" s="459"/>
      <c r="OFL62" s="459"/>
      <c r="OFM62" s="459"/>
      <c r="OFN62" s="459"/>
      <c r="OFO62" s="459"/>
      <c r="OFP62" s="459"/>
      <c r="OFQ62" s="459"/>
      <c r="OFR62" s="459"/>
      <c r="OFS62" s="459"/>
      <c r="OFT62" s="459"/>
      <c r="OFU62" s="459"/>
      <c r="OFV62" s="459"/>
      <c r="OFW62" s="459"/>
      <c r="OFX62" s="459"/>
      <c r="OFY62" s="459"/>
      <c r="OFZ62" s="459"/>
      <c r="OGA62" s="459"/>
      <c r="OGB62" s="459"/>
      <c r="OGC62" s="459"/>
      <c r="OGD62" s="459"/>
      <c r="OGE62" s="459"/>
      <c r="OGF62" s="459"/>
      <c r="OGG62" s="459"/>
      <c r="OGH62" s="459"/>
      <c r="OGI62" s="459"/>
      <c r="OGJ62" s="459"/>
      <c r="OGK62" s="459"/>
      <c r="OGL62" s="459"/>
      <c r="OGM62" s="459"/>
      <c r="OGN62" s="459"/>
      <c r="OGO62" s="459"/>
      <c r="OGP62" s="459"/>
      <c r="OGQ62" s="459"/>
      <c r="OGR62" s="459"/>
      <c r="OGS62" s="459"/>
      <c r="OGT62" s="459"/>
      <c r="OGU62" s="459"/>
      <c r="OGV62" s="459"/>
      <c r="OGW62" s="459"/>
      <c r="OGX62" s="459"/>
      <c r="OGY62" s="459"/>
      <c r="OGZ62" s="459"/>
      <c r="OHA62" s="459"/>
      <c r="OHB62" s="459"/>
      <c r="OHC62" s="459"/>
      <c r="OHD62" s="459"/>
      <c r="OHE62" s="459"/>
      <c r="OHF62" s="459"/>
      <c r="OHG62" s="459"/>
      <c r="OHH62" s="459"/>
      <c r="OHI62" s="459"/>
      <c r="OHJ62" s="459"/>
      <c r="OHK62" s="459"/>
      <c r="OHL62" s="459"/>
      <c r="OHM62" s="459"/>
      <c r="OHN62" s="459"/>
      <c r="OHO62" s="459"/>
      <c r="OHP62" s="459"/>
      <c r="OHQ62" s="459"/>
      <c r="OHR62" s="459"/>
      <c r="OHS62" s="459"/>
      <c r="OHT62" s="459"/>
      <c r="OHU62" s="459"/>
      <c r="OHV62" s="459"/>
      <c r="OHW62" s="459"/>
      <c r="OHX62" s="459"/>
      <c r="OHY62" s="459"/>
      <c r="OHZ62" s="459"/>
      <c r="OIA62" s="459"/>
      <c r="OIB62" s="459"/>
      <c r="OIC62" s="459"/>
      <c r="OID62" s="459"/>
      <c r="OIE62" s="459"/>
      <c r="OIF62" s="459"/>
      <c r="OIG62" s="459"/>
      <c r="OIH62" s="459"/>
      <c r="OII62" s="459"/>
      <c r="OIJ62" s="459"/>
      <c r="OIK62" s="459"/>
      <c r="OIL62" s="459"/>
      <c r="OIM62" s="459"/>
      <c r="OIN62" s="459"/>
      <c r="OIO62" s="459"/>
      <c r="OIP62" s="459"/>
      <c r="OIQ62" s="459"/>
      <c r="OIR62" s="459"/>
      <c r="OIS62" s="459"/>
      <c r="OIT62" s="459"/>
      <c r="OIU62" s="459"/>
      <c r="OIV62" s="459"/>
      <c r="OIW62" s="459"/>
      <c r="OIX62" s="459"/>
      <c r="OIY62" s="459"/>
      <c r="OIZ62" s="459"/>
      <c r="OJA62" s="459"/>
      <c r="OJB62" s="459"/>
      <c r="OJC62" s="459"/>
      <c r="OJD62" s="459"/>
      <c r="OJE62" s="459"/>
      <c r="OJF62" s="459"/>
      <c r="OJG62" s="459"/>
      <c r="OJH62" s="459"/>
      <c r="OJI62" s="459"/>
      <c r="OJJ62" s="459"/>
      <c r="OJK62" s="459"/>
      <c r="OJL62" s="459"/>
      <c r="OJM62" s="459"/>
      <c r="OJN62" s="459"/>
      <c r="OJO62" s="459"/>
      <c r="OJP62" s="459"/>
      <c r="OJQ62" s="459"/>
      <c r="OJR62" s="459"/>
      <c r="OJS62" s="459"/>
      <c r="OJT62" s="459"/>
      <c r="OJU62" s="459"/>
      <c r="OJV62" s="459"/>
      <c r="OJW62" s="459"/>
      <c r="OJX62" s="459"/>
      <c r="OJY62" s="459"/>
      <c r="OJZ62" s="459"/>
      <c r="OKA62" s="459"/>
      <c r="OKB62" s="459"/>
      <c r="OKC62" s="459"/>
      <c r="OKD62" s="459"/>
      <c r="OKE62" s="459"/>
      <c r="OKF62" s="459"/>
      <c r="OKG62" s="459"/>
      <c r="OKH62" s="459"/>
      <c r="OKI62" s="459"/>
      <c r="OKJ62" s="459"/>
      <c r="OKK62" s="459"/>
      <c r="OKL62" s="459"/>
      <c r="OKM62" s="459"/>
      <c r="OKN62" s="459"/>
      <c r="OKO62" s="459"/>
      <c r="OKP62" s="459"/>
      <c r="OKQ62" s="459"/>
      <c r="OKR62" s="459"/>
      <c r="OKS62" s="459"/>
      <c r="OKT62" s="459"/>
      <c r="OKU62" s="459"/>
      <c r="OKV62" s="459"/>
      <c r="OKW62" s="459"/>
      <c r="OKX62" s="459"/>
      <c r="OKY62" s="459"/>
      <c r="OKZ62" s="459"/>
      <c r="OLA62" s="459"/>
      <c r="OLB62" s="459"/>
      <c r="OLC62" s="459"/>
      <c r="OLD62" s="459"/>
      <c r="OLE62" s="459"/>
      <c r="OLF62" s="459"/>
      <c r="OLG62" s="459"/>
      <c r="OLH62" s="459"/>
      <c r="OLI62" s="459"/>
      <c r="OLJ62" s="459"/>
      <c r="OLK62" s="459"/>
      <c r="OLL62" s="459"/>
      <c r="OLM62" s="459"/>
      <c r="OLN62" s="459"/>
      <c r="OLO62" s="459"/>
      <c r="OLP62" s="459"/>
      <c r="OLQ62" s="459"/>
      <c r="OLR62" s="459"/>
      <c r="OLS62" s="459"/>
      <c r="OLT62" s="459"/>
      <c r="OLU62" s="459"/>
      <c r="OLV62" s="459"/>
      <c r="OLW62" s="459"/>
      <c r="OLX62" s="459"/>
      <c r="OLY62" s="459"/>
      <c r="OLZ62" s="459"/>
      <c r="OMA62" s="459"/>
      <c r="OMB62" s="459"/>
      <c r="OMC62" s="459"/>
      <c r="OMD62" s="459"/>
      <c r="OME62" s="459"/>
      <c r="OMF62" s="459"/>
      <c r="OMG62" s="459"/>
      <c r="OMH62" s="459"/>
      <c r="OMI62" s="459"/>
      <c r="OMJ62" s="459"/>
      <c r="OMK62" s="459"/>
      <c r="OML62" s="459"/>
      <c r="OMM62" s="459"/>
      <c r="OMN62" s="459"/>
      <c r="OMO62" s="459"/>
      <c r="OMP62" s="459"/>
      <c r="OMQ62" s="459"/>
      <c r="OMR62" s="459"/>
      <c r="OMS62" s="459"/>
      <c r="OMT62" s="459"/>
      <c r="OMU62" s="459"/>
      <c r="OMV62" s="459"/>
      <c r="OMW62" s="459"/>
      <c r="OMX62" s="459"/>
      <c r="OMY62" s="459"/>
      <c r="OMZ62" s="459"/>
      <c r="ONA62" s="459"/>
      <c r="ONB62" s="459"/>
      <c r="ONC62" s="459"/>
      <c r="OND62" s="459"/>
      <c r="ONE62" s="459"/>
      <c r="ONF62" s="459"/>
      <c r="ONG62" s="459"/>
      <c r="ONH62" s="459"/>
      <c r="ONI62" s="459"/>
      <c r="ONJ62" s="459"/>
      <c r="ONK62" s="459"/>
      <c r="ONL62" s="459"/>
      <c r="ONM62" s="459"/>
      <c r="ONN62" s="459"/>
      <c r="ONO62" s="459"/>
      <c r="ONP62" s="459"/>
      <c r="ONQ62" s="459"/>
      <c r="ONR62" s="459"/>
      <c r="ONS62" s="459"/>
      <c r="ONT62" s="459"/>
      <c r="ONU62" s="459"/>
      <c r="ONV62" s="459"/>
      <c r="ONW62" s="459"/>
      <c r="ONX62" s="459"/>
      <c r="ONY62" s="459"/>
      <c r="ONZ62" s="459"/>
      <c r="OOA62" s="459"/>
      <c r="OOB62" s="459"/>
      <c r="OOC62" s="459"/>
      <c r="OOD62" s="459"/>
      <c r="OOE62" s="459"/>
      <c r="OOF62" s="459"/>
      <c r="OOG62" s="459"/>
      <c r="OOH62" s="459"/>
      <c r="OOI62" s="459"/>
      <c r="OOJ62" s="459"/>
      <c r="OOK62" s="459"/>
      <c r="OOL62" s="459"/>
      <c r="OOM62" s="459"/>
      <c r="OON62" s="459"/>
      <c r="OOO62" s="459"/>
      <c r="OOP62" s="459"/>
      <c r="OOQ62" s="459"/>
      <c r="OOR62" s="459"/>
      <c r="OOS62" s="459"/>
      <c r="OOT62" s="459"/>
      <c r="OOU62" s="459"/>
      <c r="OOV62" s="459"/>
      <c r="OOW62" s="459"/>
      <c r="OOX62" s="459"/>
      <c r="OOY62" s="459"/>
      <c r="OOZ62" s="459"/>
      <c r="OPA62" s="459"/>
      <c r="OPB62" s="459"/>
      <c r="OPC62" s="459"/>
      <c r="OPD62" s="459"/>
      <c r="OPE62" s="459"/>
      <c r="OPF62" s="459"/>
      <c r="OPG62" s="459"/>
      <c r="OPH62" s="459"/>
      <c r="OPI62" s="459"/>
      <c r="OPJ62" s="459"/>
      <c r="OPK62" s="459"/>
      <c r="OPL62" s="459"/>
      <c r="OPM62" s="459"/>
      <c r="OPN62" s="459"/>
      <c r="OPO62" s="459"/>
      <c r="OPP62" s="459"/>
      <c r="OPQ62" s="459"/>
      <c r="OPR62" s="459"/>
      <c r="OPS62" s="459"/>
      <c r="OPT62" s="459"/>
      <c r="OPU62" s="459"/>
      <c r="OPV62" s="459"/>
      <c r="OPW62" s="459"/>
      <c r="OPX62" s="459"/>
      <c r="OPY62" s="459"/>
      <c r="OPZ62" s="459"/>
      <c r="OQA62" s="459"/>
      <c r="OQB62" s="459"/>
      <c r="OQC62" s="459"/>
      <c r="OQD62" s="459"/>
      <c r="OQE62" s="459"/>
      <c r="OQF62" s="459"/>
      <c r="OQG62" s="459"/>
      <c r="OQH62" s="459"/>
      <c r="OQI62" s="459"/>
      <c r="OQJ62" s="459"/>
      <c r="OQK62" s="459"/>
      <c r="OQL62" s="459"/>
      <c r="OQM62" s="459"/>
      <c r="OQN62" s="459"/>
      <c r="OQO62" s="459"/>
      <c r="OQP62" s="459"/>
      <c r="OQQ62" s="459"/>
      <c r="OQR62" s="459"/>
      <c r="OQS62" s="459"/>
      <c r="OQT62" s="459"/>
      <c r="OQU62" s="459"/>
      <c r="OQV62" s="459"/>
      <c r="OQW62" s="459"/>
      <c r="OQX62" s="459"/>
      <c r="OQY62" s="459"/>
      <c r="OQZ62" s="459"/>
      <c r="ORA62" s="459"/>
      <c r="ORB62" s="459"/>
      <c r="ORC62" s="459"/>
      <c r="ORD62" s="459"/>
      <c r="ORE62" s="459"/>
      <c r="ORF62" s="459"/>
      <c r="ORG62" s="459"/>
      <c r="ORH62" s="459"/>
      <c r="ORI62" s="459"/>
      <c r="ORJ62" s="459"/>
      <c r="ORK62" s="459"/>
      <c r="ORL62" s="459"/>
      <c r="ORM62" s="459"/>
      <c r="ORN62" s="459"/>
      <c r="ORO62" s="459"/>
      <c r="ORP62" s="459"/>
      <c r="ORQ62" s="459"/>
      <c r="ORR62" s="459"/>
      <c r="ORS62" s="459"/>
      <c r="ORT62" s="459"/>
      <c r="ORU62" s="459"/>
      <c r="ORV62" s="459"/>
      <c r="ORW62" s="459"/>
      <c r="ORX62" s="459"/>
      <c r="ORY62" s="459"/>
      <c r="ORZ62" s="459"/>
      <c r="OSA62" s="459"/>
      <c r="OSB62" s="459"/>
      <c r="OSC62" s="459"/>
      <c r="OSD62" s="459"/>
      <c r="OSE62" s="459"/>
      <c r="OSF62" s="459"/>
      <c r="OSG62" s="459"/>
      <c r="OSH62" s="459"/>
      <c r="OSI62" s="459"/>
      <c r="OSJ62" s="459"/>
      <c r="OSK62" s="459"/>
      <c r="OSL62" s="459"/>
      <c r="OSM62" s="459"/>
      <c r="OSN62" s="459"/>
      <c r="OSO62" s="459"/>
      <c r="OSP62" s="459"/>
      <c r="OSQ62" s="459"/>
      <c r="OSR62" s="459"/>
      <c r="OSS62" s="459"/>
      <c r="OST62" s="459"/>
      <c r="OSU62" s="459"/>
      <c r="OSV62" s="459"/>
      <c r="OSW62" s="459"/>
      <c r="OSX62" s="459"/>
      <c r="OSY62" s="459"/>
      <c r="OSZ62" s="459"/>
      <c r="OTA62" s="459"/>
      <c r="OTB62" s="459"/>
      <c r="OTC62" s="459"/>
      <c r="OTD62" s="459"/>
      <c r="OTE62" s="459"/>
      <c r="OTF62" s="459"/>
      <c r="OTG62" s="459"/>
      <c r="OTH62" s="459"/>
      <c r="OTI62" s="459"/>
      <c r="OTJ62" s="459"/>
      <c r="OTK62" s="459"/>
      <c r="OTL62" s="459"/>
      <c r="OTM62" s="459"/>
      <c r="OTN62" s="459"/>
      <c r="OTO62" s="459"/>
      <c r="OTP62" s="459"/>
      <c r="OTQ62" s="459"/>
      <c r="OTR62" s="459"/>
      <c r="OTS62" s="459"/>
      <c r="OTT62" s="459"/>
      <c r="OTU62" s="459"/>
      <c r="OTV62" s="459"/>
      <c r="OTW62" s="459"/>
      <c r="OTX62" s="459"/>
      <c r="OTY62" s="459"/>
      <c r="OTZ62" s="459"/>
      <c r="OUA62" s="459"/>
      <c r="OUB62" s="459"/>
      <c r="OUC62" s="459"/>
      <c r="OUD62" s="459"/>
      <c r="OUE62" s="459"/>
      <c r="OUF62" s="459"/>
      <c r="OUG62" s="459"/>
      <c r="OUH62" s="459"/>
      <c r="OUI62" s="459"/>
      <c r="OUJ62" s="459"/>
      <c r="OUK62" s="459"/>
      <c r="OUL62" s="459"/>
      <c r="OUM62" s="459"/>
      <c r="OUN62" s="459"/>
      <c r="OUO62" s="459"/>
      <c r="OUP62" s="459"/>
      <c r="OUQ62" s="459"/>
      <c r="OUR62" s="459"/>
      <c r="OUS62" s="459"/>
      <c r="OUT62" s="459"/>
      <c r="OUU62" s="459"/>
      <c r="OUV62" s="459"/>
      <c r="OUW62" s="459"/>
      <c r="OUX62" s="459"/>
      <c r="OUY62" s="459"/>
      <c r="OUZ62" s="459"/>
      <c r="OVA62" s="459"/>
      <c r="OVB62" s="459"/>
      <c r="OVC62" s="459"/>
      <c r="OVD62" s="459"/>
      <c r="OVE62" s="459"/>
      <c r="OVF62" s="459"/>
      <c r="OVG62" s="459"/>
      <c r="OVH62" s="459"/>
      <c r="OVI62" s="459"/>
      <c r="OVJ62" s="459"/>
      <c r="OVK62" s="459"/>
      <c r="OVL62" s="459"/>
      <c r="OVM62" s="459"/>
      <c r="OVN62" s="459"/>
      <c r="OVO62" s="459"/>
      <c r="OVP62" s="459"/>
      <c r="OVQ62" s="459"/>
      <c r="OVR62" s="459"/>
      <c r="OVS62" s="459"/>
      <c r="OVT62" s="459"/>
      <c r="OVU62" s="459"/>
      <c r="OVV62" s="459"/>
      <c r="OVW62" s="459"/>
      <c r="OVX62" s="459"/>
      <c r="OVY62" s="459"/>
      <c r="OVZ62" s="459"/>
      <c r="OWA62" s="459"/>
      <c r="OWB62" s="459"/>
      <c r="OWC62" s="459"/>
      <c r="OWD62" s="459"/>
      <c r="OWE62" s="459"/>
      <c r="OWF62" s="459"/>
      <c r="OWG62" s="459"/>
      <c r="OWH62" s="459"/>
      <c r="OWI62" s="459"/>
      <c r="OWJ62" s="459"/>
      <c r="OWK62" s="459"/>
      <c r="OWL62" s="459"/>
      <c r="OWM62" s="459"/>
      <c r="OWN62" s="459"/>
      <c r="OWO62" s="459"/>
      <c r="OWP62" s="459"/>
      <c r="OWQ62" s="459"/>
      <c r="OWR62" s="459"/>
      <c r="OWS62" s="459"/>
      <c r="OWT62" s="459"/>
      <c r="OWU62" s="459"/>
      <c r="OWV62" s="459"/>
      <c r="OWW62" s="459"/>
      <c r="OWX62" s="459"/>
      <c r="OWY62" s="459"/>
      <c r="OWZ62" s="459"/>
      <c r="OXA62" s="459"/>
      <c r="OXB62" s="459"/>
      <c r="OXC62" s="459"/>
      <c r="OXD62" s="459"/>
      <c r="OXE62" s="459"/>
      <c r="OXF62" s="459"/>
      <c r="OXG62" s="459"/>
      <c r="OXH62" s="459"/>
      <c r="OXI62" s="459"/>
      <c r="OXJ62" s="459"/>
      <c r="OXK62" s="459"/>
      <c r="OXL62" s="459"/>
      <c r="OXM62" s="459"/>
      <c r="OXN62" s="459"/>
      <c r="OXO62" s="459"/>
      <c r="OXP62" s="459"/>
      <c r="OXQ62" s="459"/>
      <c r="OXR62" s="459"/>
      <c r="OXS62" s="459"/>
      <c r="OXT62" s="459"/>
      <c r="OXU62" s="459"/>
      <c r="OXV62" s="459"/>
      <c r="OXW62" s="459"/>
      <c r="OXX62" s="459"/>
      <c r="OXY62" s="459"/>
      <c r="OXZ62" s="459"/>
      <c r="OYA62" s="459"/>
      <c r="OYB62" s="459"/>
      <c r="OYC62" s="459"/>
      <c r="OYD62" s="459"/>
      <c r="OYE62" s="459"/>
      <c r="OYF62" s="459"/>
      <c r="OYG62" s="459"/>
      <c r="OYH62" s="459"/>
      <c r="OYI62" s="459"/>
      <c r="OYJ62" s="459"/>
      <c r="OYK62" s="459"/>
      <c r="OYL62" s="459"/>
      <c r="OYM62" s="459"/>
      <c r="OYN62" s="459"/>
      <c r="OYO62" s="459"/>
      <c r="OYP62" s="459"/>
      <c r="OYQ62" s="459"/>
      <c r="OYR62" s="459"/>
      <c r="OYS62" s="459"/>
      <c r="OYT62" s="459"/>
      <c r="OYU62" s="459"/>
      <c r="OYV62" s="459"/>
      <c r="OYW62" s="459"/>
      <c r="OYX62" s="459"/>
      <c r="OYY62" s="459"/>
      <c r="OYZ62" s="459"/>
      <c r="OZA62" s="459"/>
      <c r="OZB62" s="459"/>
      <c r="OZC62" s="459"/>
      <c r="OZD62" s="459"/>
      <c r="OZE62" s="459"/>
      <c r="OZF62" s="459"/>
      <c r="OZG62" s="459"/>
      <c r="OZH62" s="459"/>
      <c r="OZI62" s="459"/>
      <c r="OZJ62" s="459"/>
      <c r="OZK62" s="459"/>
      <c r="OZL62" s="459"/>
      <c r="OZM62" s="459"/>
      <c r="OZN62" s="459"/>
      <c r="OZO62" s="459"/>
      <c r="OZP62" s="459"/>
      <c r="OZQ62" s="459"/>
      <c r="OZR62" s="459"/>
      <c r="OZS62" s="459"/>
      <c r="OZT62" s="459"/>
      <c r="OZU62" s="459"/>
      <c r="OZV62" s="459"/>
      <c r="OZW62" s="459"/>
      <c r="OZX62" s="459"/>
      <c r="OZY62" s="459"/>
      <c r="OZZ62" s="459"/>
      <c r="PAA62" s="459"/>
      <c r="PAB62" s="459"/>
      <c r="PAC62" s="459"/>
      <c r="PAD62" s="459"/>
      <c r="PAE62" s="459"/>
      <c r="PAF62" s="459"/>
      <c r="PAG62" s="459"/>
      <c r="PAH62" s="459"/>
      <c r="PAI62" s="459"/>
      <c r="PAJ62" s="459"/>
      <c r="PAK62" s="459"/>
      <c r="PAL62" s="459"/>
      <c r="PAM62" s="459"/>
      <c r="PAN62" s="459"/>
      <c r="PAO62" s="459"/>
      <c r="PAP62" s="459"/>
      <c r="PAQ62" s="459"/>
      <c r="PAR62" s="459"/>
      <c r="PAS62" s="459"/>
      <c r="PAT62" s="459"/>
      <c r="PAU62" s="459"/>
      <c r="PAV62" s="459"/>
      <c r="PAW62" s="459"/>
      <c r="PAX62" s="459"/>
      <c r="PAY62" s="459"/>
      <c r="PAZ62" s="459"/>
      <c r="PBA62" s="459"/>
      <c r="PBB62" s="459"/>
      <c r="PBC62" s="459"/>
      <c r="PBD62" s="459"/>
      <c r="PBE62" s="459"/>
      <c r="PBF62" s="459"/>
      <c r="PBG62" s="459"/>
      <c r="PBH62" s="459"/>
      <c r="PBI62" s="459"/>
      <c r="PBJ62" s="459"/>
      <c r="PBK62" s="459"/>
      <c r="PBL62" s="459"/>
      <c r="PBM62" s="459"/>
      <c r="PBN62" s="459"/>
      <c r="PBO62" s="459"/>
      <c r="PBP62" s="459"/>
      <c r="PBQ62" s="459"/>
      <c r="PBR62" s="459"/>
      <c r="PBS62" s="459"/>
      <c r="PBT62" s="459"/>
      <c r="PBU62" s="459"/>
      <c r="PBV62" s="459"/>
      <c r="PBW62" s="459"/>
      <c r="PBX62" s="459"/>
      <c r="PBY62" s="459"/>
      <c r="PBZ62" s="459"/>
      <c r="PCA62" s="459"/>
      <c r="PCB62" s="459"/>
      <c r="PCC62" s="459"/>
      <c r="PCD62" s="459"/>
      <c r="PCE62" s="459"/>
      <c r="PCF62" s="459"/>
      <c r="PCG62" s="459"/>
      <c r="PCH62" s="459"/>
      <c r="PCI62" s="459"/>
      <c r="PCJ62" s="459"/>
      <c r="PCK62" s="459"/>
      <c r="PCL62" s="459"/>
      <c r="PCM62" s="459"/>
      <c r="PCN62" s="459"/>
      <c r="PCO62" s="459"/>
      <c r="PCP62" s="459"/>
      <c r="PCQ62" s="459"/>
      <c r="PCR62" s="459"/>
      <c r="PCS62" s="459"/>
      <c r="PCT62" s="459"/>
      <c r="PCU62" s="459"/>
      <c r="PCV62" s="459"/>
      <c r="PCW62" s="459"/>
      <c r="PCX62" s="459"/>
      <c r="PCY62" s="459"/>
      <c r="PCZ62" s="459"/>
      <c r="PDA62" s="459"/>
      <c r="PDB62" s="459"/>
      <c r="PDC62" s="459"/>
      <c r="PDD62" s="459"/>
      <c r="PDE62" s="459"/>
      <c r="PDF62" s="459"/>
      <c r="PDG62" s="459"/>
      <c r="PDH62" s="459"/>
      <c r="PDI62" s="459"/>
      <c r="PDJ62" s="459"/>
      <c r="PDK62" s="459"/>
      <c r="PDL62" s="459"/>
      <c r="PDM62" s="459"/>
      <c r="PDN62" s="459"/>
      <c r="PDO62" s="459"/>
      <c r="PDP62" s="459"/>
      <c r="PDQ62" s="459"/>
      <c r="PDR62" s="459"/>
      <c r="PDS62" s="459"/>
      <c r="PDT62" s="459"/>
      <c r="PDU62" s="459"/>
      <c r="PDV62" s="459"/>
      <c r="PDW62" s="459"/>
      <c r="PDX62" s="459"/>
      <c r="PDY62" s="459"/>
      <c r="PDZ62" s="459"/>
      <c r="PEA62" s="459"/>
      <c r="PEB62" s="459"/>
      <c r="PEC62" s="459"/>
      <c r="PED62" s="459"/>
      <c r="PEE62" s="459"/>
      <c r="PEF62" s="459"/>
      <c r="PEG62" s="459"/>
      <c r="PEH62" s="459"/>
      <c r="PEI62" s="459"/>
      <c r="PEJ62" s="459"/>
      <c r="PEK62" s="459"/>
      <c r="PEL62" s="459"/>
      <c r="PEM62" s="459"/>
      <c r="PEN62" s="459"/>
      <c r="PEO62" s="459"/>
      <c r="PEP62" s="459"/>
      <c r="PEQ62" s="459"/>
      <c r="PER62" s="459"/>
      <c r="PES62" s="459"/>
      <c r="PET62" s="459"/>
      <c r="PEU62" s="459"/>
      <c r="PEV62" s="459"/>
      <c r="PEW62" s="459"/>
      <c r="PEX62" s="459"/>
      <c r="PEY62" s="459"/>
      <c r="PEZ62" s="459"/>
      <c r="PFA62" s="459"/>
      <c r="PFB62" s="459"/>
      <c r="PFC62" s="459"/>
      <c r="PFD62" s="459"/>
      <c r="PFE62" s="459"/>
      <c r="PFF62" s="459"/>
      <c r="PFG62" s="459"/>
      <c r="PFH62" s="459"/>
      <c r="PFI62" s="459"/>
      <c r="PFJ62" s="459"/>
      <c r="PFK62" s="459"/>
      <c r="PFL62" s="459"/>
      <c r="PFM62" s="459"/>
      <c r="PFN62" s="459"/>
      <c r="PFO62" s="459"/>
      <c r="PFP62" s="459"/>
      <c r="PFQ62" s="459"/>
      <c r="PFR62" s="459"/>
      <c r="PFS62" s="459"/>
      <c r="PFT62" s="459"/>
      <c r="PFU62" s="459"/>
      <c r="PFV62" s="459"/>
      <c r="PFW62" s="459"/>
      <c r="PFX62" s="459"/>
      <c r="PFY62" s="459"/>
      <c r="PFZ62" s="459"/>
      <c r="PGA62" s="459"/>
      <c r="PGB62" s="459"/>
      <c r="PGC62" s="459"/>
      <c r="PGD62" s="459"/>
      <c r="PGE62" s="459"/>
      <c r="PGF62" s="459"/>
      <c r="PGG62" s="459"/>
      <c r="PGH62" s="459"/>
      <c r="PGI62" s="459"/>
      <c r="PGJ62" s="459"/>
      <c r="PGK62" s="459"/>
      <c r="PGL62" s="459"/>
      <c r="PGM62" s="459"/>
      <c r="PGN62" s="459"/>
      <c r="PGO62" s="459"/>
      <c r="PGP62" s="459"/>
      <c r="PGQ62" s="459"/>
      <c r="PGR62" s="459"/>
      <c r="PGS62" s="459"/>
      <c r="PGT62" s="459"/>
      <c r="PGU62" s="459"/>
      <c r="PGV62" s="459"/>
      <c r="PGW62" s="459"/>
      <c r="PGX62" s="459"/>
      <c r="PGY62" s="459"/>
      <c r="PGZ62" s="459"/>
      <c r="PHA62" s="459"/>
      <c r="PHB62" s="459"/>
      <c r="PHC62" s="459"/>
      <c r="PHD62" s="459"/>
      <c r="PHE62" s="459"/>
      <c r="PHF62" s="459"/>
      <c r="PHG62" s="459"/>
      <c r="PHH62" s="459"/>
      <c r="PHI62" s="459"/>
      <c r="PHJ62" s="459"/>
      <c r="PHK62" s="459"/>
      <c r="PHL62" s="459"/>
      <c r="PHM62" s="459"/>
      <c r="PHN62" s="459"/>
      <c r="PHO62" s="459"/>
      <c r="PHP62" s="459"/>
      <c r="PHQ62" s="459"/>
      <c r="PHR62" s="459"/>
      <c r="PHS62" s="459"/>
      <c r="PHT62" s="459"/>
      <c r="PHU62" s="459"/>
      <c r="PHV62" s="459"/>
      <c r="PHW62" s="459"/>
      <c r="PHX62" s="459"/>
      <c r="PHY62" s="459"/>
      <c r="PHZ62" s="459"/>
      <c r="PIA62" s="459"/>
      <c r="PIB62" s="459"/>
      <c r="PIC62" s="459"/>
      <c r="PID62" s="459"/>
      <c r="PIE62" s="459"/>
      <c r="PIF62" s="459"/>
      <c r="PIG62" s="459"/>
      <c r="PIH62" s="459"/>
      <c r="PII62" s="459"/>
      <c r="PIJ62" s="459"/>
      <c r="PIK62" s="459"/>
      <c r="PIL62" s="459"/>
      <c r="PIM62" s="459"/>
      <c r="PIN62" s="459"/>
      <c r="PIO62" s="459"/>
      <c r="PIP62" s="459"/>
      <c r="PIQ62" s="459"/>
      <c r="PIR62" s="459"/>
      <c r="PIS62" s="459"/>
      <c r="PIT62" s="459"/>
      <c r="PIU62" s="459"/>
      <c r="PIV62" s="459"/>
      <c r="PIW62" s="459"/>
      <c r="PIX62" s="459"/>
      <c r="PIY62" s="459"/>
      <c r="PIZ62" s="459"/>
      <c r="PJA62" s="459"/>
      <c r="PJB62" s="459"/>
      <c r="PJC62" s="459"/>
      <c r="PJD62" s="459"/>
      <c r="PJE62" s="459"/>
      <c r="PJF62" s="459"/>
      <c r="PJG62" s="459"/>
      <c r="PJH62" s="459"/>
      <c r="PJI62" s="459"/>
      <c r="PJJ62" s="459"/>
      <c r="PJK62" s="459"/>
      <c r="PJL62" s="459"/>
      <c r="PJM62" s="459"/>
      <c r="PJN62" s="459"/>
      <c r="PJO62" s="459"/>
      <c r="PJP62" s="459"/>
      <c r="PJQ62" s="459"/>
      <c r="PJR62" s="459"/>
      <c r="PJS62" s="459"/>
      <c r="PJT62" s="459"/>
      <c r="PJU62" s="459"/>
      <c r="PJV62" s="459"/>
      <c r="PJW62" s="459"/>
      <c r="PJX62" s="459"/>
      <c r="PJY62" s="459"/>
      <c r="PJZ62" s="459"/>
      <c r="PKA62" s="459"/>
      <c r="PKB62" s="459"/>
      <c r="PKC62" s="459"/>
      <c r="PKD62" s="459"/>
      <c r="PKE62" s="459"/>
      <c r="PKF62" s="459"/>
      <c r="PKG62" s="459"/>
      <c r="PKH62" s="459"/>
      <c r="PKI62" s="459"/>
      <c r="PKJ62" s="459"/>
      <c r="PKK62" s="459"/>
      <c r="PKL62" s="459"/>
      <c r="PKM62" s="459"/>
      <c r="PKN62" s="459"/>
      <c r="PKO62" s="459"/>
      <c r="PKP62" s="459"/>
      <c r="PKQ62" s="459"/>
      <c r="PKR62" s="459"/>
      <c r="PKS62" s="459"/>
      <c r="PKT62" s="459"/>
      <c r="PKU62" s="459"/>
      <c r="PKV62" s="459"/>
      <c r="PKW62" s="459"/>
      <c r="PKX62" s="459"/>
      <c r="PKY62" s="459"/>
      <c r="PKZ62" s="459"/>
      <c r="PLA62" s="459"/>
      <c r="PLB62" s="459"/>
      <c r="PLC62" s="459"/>
      <c r="PLD62" s="459"/>
      <c r="PLE62" s="459"/>
      <c r="PLF62" s="459"/>
      <c r="PLG62" s="459"/>
      <c r="PLH62" s="459"/>
      <c r="PLI62" s="459"/>
      <c r="PLJ62" s="459"/>
      <c r="PLK62" s="459"/>
      <c r="PLL62" s="459"/>
      <c r="PLM62" s="459"/>
      <c r="PLN62" s="459"/>
      <c r="PLO62" s="459"/>
      <c r="PLP62" s="459"/>
      <c r="PLQ62" s="459"/>
      <c r="PLR62" s="459"/>
      <c r="PLS62" s="459"/>
      <c r="PLT62" s="459"/>
      <c r="PLU62" s="459"/>
      <c r="PLV62" s="459"/>
      <c r="PLW62" s="459"/>
      <c r="PLX62" s="459"/>
      <c r="PLY62" s="459"/>
      <c r="PLZ62" s="459"/>
      <c r="PMA62" s="459"/>
      <c r="PMB62" s="459"/>
      <c r="PMC62" s="459"/>
      <c r="PMD62" s="459"/>
      <c r="PME62" s="459"/>
      <c r="PMF62" s="459"/>
      <c r="PMG62" s="459"/>
      <c r="PMH62" s="459"/>
      <c r="PMI62" s="459"/>
      <c r="PMJ62" s="459"/>
      <c r="PMK62" s="459"/>
      <c r="PML62" s="459"/>
      <c r="PMM62" s="459"/>
      <c r="PMN62" s="459"/>
      <c r="PMO62" s="459"/>
      <c r="PMP62" s="459"/>
      <c r="PMQ62" s="459"/>
      <c r="PMR62" s="459"/>
      <c r="PMS62" s="459"/>
      <c r="PMT62" s="459"/>
      <c r="PMU62" s="459"/>
      <c r="PMV62" s="459"/>
      <c r="PMW62" s="459"/>
      <c r="PMX62" s="459"/>
      <c r="PMY62" s="459"/>
      <c r="PMZ62" s="459"/>
      <c r="PNA62" s="459"/>
      <c r="PNB62" s="459"/>
      <c r="PNC62" s="459"/>
      <c r="PND62" s="459"/>
      <c r="PNE62" s="459"/>
      <c r="PNF62" s="459"/>
      <c r="PNG62" s="459"/>
      <c r="PNH62" s="459"/>
      <c r="PNI62" s="459"/>
      <c r="PNJ62" s="459"/>
      <c r="PNK62" s="459"/>
      <c r="PNL62" s="459"/>
      <c r="PNM62" s="459"/>
      <c r="PNN62" s="459"/>
      <c r="PNO62" s="459"/>
      <c r="PNP62" s="459"/>
      <c r="PNQ62" s="459"/>
      <c r="PNR62" s="459"/>
      <c r="PNS62" s="459"/>
      <c r="PNT62" s="459"/>
      <c r="PNU62" s="459"/>
      <c r="PNV62" s="459"/>
      <c r="PNW62" s="459"/>
      <c r="PNX62" s="459"/>
      <c r="PNY62" s="459"/>
      <c r="PNZ62" s="459"/>
      <c r="POA62" s="459"/>
      <c r="POB62" s="459"/>
      <c r="POC62" s="459"/>
      <c r="POD62" s="459"/>
      <c r="POE62" s="459"/>
      <c r="POF62" s="459"/>
      <c r="POG62" s="459"/>
      <c r="POH62" s="459"/>
      <c r="POI62" s="459"/>
      <c r="POJ62" s="459"/>
      <c r="POK62" s="459"/>
      <c r="POL62" s="459"/>
      <c r="POM62" s="459"/>
      <c r="PON62" s="459"/>
      <c r="POO62" s="459"/>
      <c r="POP62" s="459"/>
      <c r="POQ62" s="459"/>
      <c r="POR62" s="459"/>
      <c r="POS62" s="459"/>
      <c r="POT62" s="459"/>
      <c r="POU62" s="459"/>
      <c r="POV62" s="459"/>
      <c r="POW62" s="459"/>
      <c r="POX62" s="459"/>
      <c r="POY62" s="459"/>
      <c r="POZ62" s="459"/>
      <c r="PPA62" s="459"/>
      <c r="PPB62" s="459"/>
      <c r="PPC62" s="459"/>
      <c r="PPD62" s="459"/>
      <c r="PPE62" s="459"/>
      <c r="PPF62" s="459"/>
      <c r="PPG62" s="459"/>
      <c r="PPH62" s="459"/>
      <c r="PPI62" s="459"/>
      <c r="PPJ62" s="459"/>
      <c r="PPK62" s="459"/>
      <c r="PPL62" s="459"/>
      <c r="PPM62" s="459"/>
      <c r="PPN62" s="459"/>
      <c r="PPO62" s="459"/>
      <c r="PPP62" s="459"/>
      <c r="PPQ62" s="459"/>
      <c r="PPR62" s="459"/>
      <c r="PPS62" s="459"/>
      <c r="PPT62" s="459"/>
      <c r="PPU62" s="459"/>
      <c r="PPV62" s="459"/>
      <c r="PPW62" s="459"/>
      <c r="PPX62" s="459"/>
      <c r="PPY62" s="459"/>
      <c r="PPZ62" s="459"/>
      <c r="PQA62" s="459"/>
      <c r="PQB62" s="459"/>
      <c r="PQC62" s="459"/>
      <c r="PQD62" s="459"/>
      <c r="PQE62" s="459"/>
      <c r="PQF62" s="459"/>
      <c r="PQG62" s="459"/>
      <c r="PQH62" s="459"/>
      <c r="PQI62" s="459"/>
      <c r="PQJ62" s="459"/>
      <c r="PQK62" s="459"/>
      <c r="PQL62" s="459"/>
      <c r="PQM62" s="459"/>
      <c r="PQN62" s="459"/>
      <c r="PQO62" s="459"/>
      <c r="PQP62" s="459"/>
      <c r="PQQ62" s="459"/>
      <c r="PQR62" s="459"/>
      <c r="PQS62" s="459"/>
      <c r="PQT62" s="459"/>
      <c r="PQU62" s="459"/>
      <c r="PQV62" s="459"/>
      <c r="PQW62" s="459"/>
      <c r="PQX62" s="459"/>
      <c r="PQY62" s="459"/>
      <c r="PQZ62" s="459"/>
      <c r="PRA62" s="459"/>
      <c r="PRB62" s="459"/>
      <c r="PRC62" s="459"/>
      <c r="PRD62" s="459"/>
      <c r="PRE62" s="459"/>
      <c r="PRF62" s="459"/>
      <c r="PRG62" s="459"/>
      <c r="PRH62" s="459"/>
      <c r="PRI62" s="459"/>
      <c r="PRJ62" s="459"/>
      <c r="PRK62" s="459"/>
      <c r="PRL62" s="459"/>
      <c r="PRM62" s="459"/>
      <c r="PRN62" s="459"/>
      <c r="PRO62" s="459"/>
      <c r="PRP62" s="459"/>
      <c r="PRQ62" s="459"/>
      <c r="PRR62" s="459"/>
      <c r="PRS62" s="459"/>
      <c r="PRT62" s="459"/>
      <c r="PRU62" s="459"/>
      <c r="PRV62" s="459"/>
      <c r="PRW62" s="459"/>
      <c r="PRX62" s="459"/>
      <c r="PRY62" s="459"/>
      <c r="PRZ62" s="459"/>
      <c r="PSA62" s="459"/>
      <c r="PSB62" s="459"/>
      <c r="PSC62" s="459"/>
      <c r="PSD62" s="459"/>
      <c r="PSE62" s="459"/>
      <c r="PSF62" s="459"/>
      <c r="PSG62" s="459"/>
      <c r="PSH62" s="459"/>
      <c r="PSI62" s="459"/>
      <c r="PSJ62" s="459"/>
      <c r="PSK62" s="459"/>
      <c r="PSL62" s="459"/>
      <c r="PSM62" s="459"/>
      <c r="PSN62" s="459"/>
      <c r="PSO62" s="459"/>
      <c r="PSP62" s="459"/>
      <c r="PSQ62" s="459"/>
      <c r="PSR62" s="459"/>
      <c r="PSS62" s="459"/>
      <c r="PST62" s="459"/>
      <c r="PSU62" s="459"/>
      <c r="PSV62" s="459"/>
      <c r="PSW62" s="459"/>
      <c r="PSX62" s="459"/>
      <c r="PSY62" s="459"/>
      <c r="PSZ62" s="459"/>
      <c r="PTA62" s="459"/>
      <c r="PTB62" s="459"/>
      <c r="PTC62" s="459"/>
      <c r="PTD62" s="459"/>
      <c r="PTE62" s="459"/>
      <c r="PTF62" s="459"/>
      <c r="PTG62" s="459"/>
      <c r="PTH62" s="459"/>
      <c r="PTI62" s="459"/>
      <c r="PTJ62" s="459"/>
      <c r="PTK62" s="459"/>
      <c r="PTL62" s="459"/>
      <c r="PTM62" s="459"/>
      <c r="PTN62" s="459"/>
      <c r="PTO62" s="459"/>
      <c r="PTP62" s="459"/>
      <c r="PTQ62" s="459"/>
      <c r="PTR62" s="459"/>
      <c r="PTS62" s="459"/>
      <c r="PTT62" s="459"/>
      <c r="PTU62" s="459"/>
      <c r="PTV62" s="459"/>
      <c r="PTW62" s="459"/>
      <c r="PTX62" s="459"/>
      <c r="PTY62" s="459"/>
      <c r="PTZ62" s="459"/>
      <c r="PUA62" s="459"/>
      <c r="PUB62" s="459"/>
      <c r="PUC62" s="459"/>
      <c r="PUD62" s="459"/>
      <c r="PUE62" s="459"/>
      <c r="PUF62" s="459"/>
      <c r="PUG62" s="459"/>
      <c r="PUH62" s="459"/>
      <c r="PUI62" s="459"/>
      <c r="PUJ62" s="459"/>
      <c r="PUK62" s="459"/>
      <c r="PUL62" s="459"/>
      <c r="PUM62" s="459"/>
      <c r="PUN62" s="459"/>
      <c r="PUO62" s="459"/>
      <c r="PUP62" s="459"/>
      <c r="PUQ62" s="459"/>
      <c r="PUR62" s="459"/>
      <c r="PUS62" s="459"/>
      <c r="PUT62" s="459"/>
      <c r="PUU62" s="459"/>
      <c r="PUV62" s="459"/>
      <c r="PUW62" s="459"/>
      <c r="PUX62" s="459"/>
      <c r="PUY62" s="459"/>
      <c r="PUZ62" s="459"/>
      <c r="PVA62" s="459"/>
      <c r="PVB62" s="459"/>
      <c r="PVC62" s="459"/>
      <c r="PVD62" s="459"/>
      <c r="PVE62" s="459"/>
      <c r="PVF62" s="459"/>
      <c r="PVG62" s="459"/>
      <c r="PVH62" s="459"/>
      <c r="PVI62" s="459"/>
      <c r="PVJ62" s="459"/>
      <c r="PVK62" s="459"/>
      <c r="PVL62" s="459"/>
      <c r="PVM62" s="459"/>
      <c r="PVN62" s="459"/>
      <c r="PVO62" s="459"/>
      <c r="PVP62" s="459"/>
      <c r="PVQ62" s="459"/>
      <c r="PVR62" s="459"/>
      <c r="PVS62" s="459"/>
      <c r="PVT62" s="459"/>
      <c r="PVU62" s="459"/>
      <c r="PVV62" s="459"/>
      <c r="PVW62" s="459"/>
      <c r="PVX62" s="459"/>
      <c r="PVY62" s="459"/>
      <c r="PVZ62" s="459"/>
      <c r="PWA62" s="459"/>
      <c r="PWB62" s="459"/>
      <c r="PWC62" s="459"/>
      <c r="PWD62" s="459"/>
      <c r="PWE62" s="459"/>
      <c r="PWF62" s="459"/>
      <c r="PWG62" s="459"/>
      <c r="PWH62" s="459"/>
      <c r="PWI62" s="459"/>
      <c r="PWJ62" s="459"/>
      <c r="PWK62" s="459"/>
      <c r="PWL62" s="459"/>
      <c r="PWM62" s="459"/>
      <c r="PWN62" s="459"/>
      <c r="PWO62" s="459"/>
      <c r="PWP62" s="459"/>
      <c r="PWQ62" s="459"/>
      <c r="PWR62" s="459"/>
      <c r="PWS62" s="459"/>
      <c r="PWT62" s="459"/>
      <c r="PWU62" s="459"/>
      <c r="PWV62" s="459"/>
      <c r="PWW62" s="459"/>
      <c r="PWX62" s="459"/>
      <c r="PWY62" s="459"/>
      <c r="PWZ62" s="459"/>
      <c r="PXA62" s="459"/>
      <c r="PXB62" s="459"/>
      <c r="PXC62" s="459"/>
      <c r="PXD62" s="459"/>
      <c r="PXE62" s="459"/>
      <c r="PXF62" s="459"/>
      <c r="PXG62" s="459"/>
      <c r="PXH62" s="459"/>
      <c r="PXI62" s="459"/>
      <c r="PXJ62" s="459"/>
      <c r="PXK62" s="459"/>
      <c r="PXL62" s="459"/>
      <c r="PXM62" s="459"/>
      <c r="PXN62" s="459"/>
      <c r="PXO62" s="459"/>
      <c r="PXP62" s="459"/>
      <c r="PXQ62" s="459"/>
      <c r="PXR62" s="459"/>
      <c r="PXS62" s="459"/>
      <c r="PXT62" s="459"/>
      <c r="PXU62" s="459"/>
      <c r="PXV62" s="459"/>
      <c r="PXW62" s="459"/>
      <c r="PXX62" s="459"/>
      <c r="PXY62" s="459"/>
      <c r="PXZ62" s="459"/>
      <c r="PYA62" s="459"/>
      <c r="PYB62" s="459"/>
      <c r="PYC62" s="459"/>
      <c r="PYD62" s="459"/>
      <c r="PYE62" s="459"/>
      <c r="PYF62" s="459"/>
      <c r="PYG62" s="459"/>
      <c r="PYH62" s="459"/>
      <c r="PYI62" s="459"/>
      <c r="PYJ62" s="459"/>
      <c r="PYK62" s="459"/>
      <c r="PYL62" s="459"/>
      <c r="PYM62" s="459"/>
      <c r="PYN62" s="459"/>
      <c r="PYO62" s="459"/>
      <c r="PYP62" s="459"/>
      <c r="PYQ62" s="459"/>
      <c r="PYR62" s="459"/>
      <c r="PYS62" s="459"/>
      <c r="PYT62" s="459"/>
      <c r="PYU62" s="459"/>
      <c r="PYV62" s="459"/>
      <c r="PYW62" s="459"/>
      <c r="PYX62" s="459"/>
      <c r="PYY62" s="459"/>
      <c r="PYZ62" s="459"/>
      <c r="PZA62" s="459"/>
      <c r="PZB62" s="459"/>
      <c r="PZC62" s="459"/>
      <c r="PZD62" s="459"/>
      <c r="PZE62" s="459"/>
      <c r="PZF62" s="459"/>
      <c r="PZG62" s="459"/>
      <c r="PZH62" s="459"/>
      <c r="PZI62" s="459"/>
      <c r="PZJ62" s="459"/>
      <c r="PZK62" s="459"/>
      <c r="PZL62" s="459"/>
      <c r="PZM62" s="459"/>
      <c r="PZN62" s="459"/>
      <c r="PZO62" s="459"/>
      <c r="PZP62" s="459"/>
      <c r="PZQ62" s="459"/>
      <c r="PZR62" s="459"/>
      <c r="PZS62" s="459"/>
      <c r="PZT62" s="459"/>
      <c r="PZU62" s="459"/>
      <c r="PZV62" s="459"/>
      <c r="PZW62" s="459"/>
      <c r="PZX62" s="459"/>
      <c r="PZY62" s="459"/>
      <c r="PZZ62" s="459"/>
      <c r="QAA62" s="459"/>
      <c r="QAB62" s="459"/>
      <c r="QAC62" s="459"/>
      <c r="QAD62" s="459"/>
      <c r="QAE62" s="459"/>
      <c r="QAF62" s="459"/>
      <c r="QAG62" s="459"/>
      <c r="QAH62" s="459"/>
      <c r="QAI62" s="459"/>
      <c r="QAJ62" s="459"/>
      <c r="QAK62" s="459"/>
      <c r="QAL62" s="459"/>
      <c r="QAM62" s="459"/>
      <c r="QAN62" s="459"/>
      <c r="QAO62" s="459"/>
      <c r="QAP62" s="459"/>
      <c r="QAQ62" s="459"/>
      <c r="QAR62" s="459"/>
      <c r="QAS62" s="459"/>
      <c r="QAT62" s="459"/>
      <c r="QAU62" s="459"/>
      <c r="QAV62" s="459"/>
      <c r="QAW62" s="459"/>
      <c r="QAX62" s="459"/>
      <c r="QAY62" s="459"/>
      <c r="QAZ62" s="459"/>
      <c r="QBA62" s="459"/>
      <c r="QBB62" s="459"/>
      <c r="QBC62" s="459"/>
      <c r="QBD62" s="459"/>
      <c r="QBE62" s="459"/>
      <c r="QBF62" s="459"/>
      <c r="QBG62" s="459"/>
      <c r="QBH62" s="459"/>
      <c r="QBI62" s="459"/>
      <c r="QBJ62" s="459"/>
      <c r="QBK62" s="459"/>
      <c r="QBL62" s="459"/>
      <c r="QBM62" s="459"/>
      <c r="QBN62" s="459"/>
      <c r="QBO62" s="459"/>
      <c r="QBP62" s="459"/>
      <c r="QBQ62" s="459"/>
      <c r="QBR62" s="459"/>
      <c r="QBS62" s="459"/>
      <c r="QBT62" s="459"/>
      <c r="QBU62" s="459"/>
      <c r="QBV62" s="459"/>
      <c r="QBW62" s="459"/>
      <c r="QBX62" s="459"/>
      <c r="QBY62" s="459"/>
      <c r="QBZ62" s="459"/>
      <c r="QCA62" s="459"/>
      <c r="QCB62" s="459"/>
      <c r="QCC62" s="459"/>
      <c r="QCD62" s="459"/>
      <c r="QCE62" s="459"/>
      <c r="QCF62" s="459"/>
      <c r="QCG62" s="459"/>
      <c r="QCH62" s="459"/>
      <c r="QCI62" s="459"/>
      <c r="QCJ62" s="459"/>
      <c r="QCK62" s="459"/>
      <c r="QCL62" s="459"/>
      <c r="QCM62" s="459"/>
      <c r="QCN62" s="459"/>
      <c r="QCO62" s="459"/>
      <c r="QCP62" s="459"/>
      <c r="QCQ62" s="459"/>
      <c r="QCR62" s="459"/>
      <c r="QCS62" s="459"/>
      <c r="QCT62" s="459"/>
      <c r="QCU62" s="459"/>
      <c r="QCV62" s="459"/>
      <c r="QCW62" s="459"/>
      <c r="QCX62" s="459"/>
      <c r="QCY62" s="459"/>
      <c r="QCZ62" s="459"/>
      <c r="QDA62" s="459"/>
      <c r="QDB62" s="459"/>
      <c r="QDC62" s="459"/>
      <c r="QDD62" s="459"/>
      <c r="QDE62" s="459"/>
      <c r="QDF62" s="459"/>
      <c r="QDG62" s="459"/>
      <c r="QDH62" s="459"/>
      <c r="QDI62" s="459"/>
      <c r="QDJ62" s="459"/>
      <c r="QDK62" s="459"/>
      <c r="QDL62" s="459"/>
      <c r="QDM62" s="459"/>
      <c r="QDN62" s="459"/>
      <c r="QDO62" s="459"/>
      <c r="QDP62" s="459"/>
      <c r="QDQ62" s="459"/>
      <c r="QDR62" s="459"/>
      <c r="QDS62" s="459"/>
      <c r="QDT62" s="459"/>
      <c r="QDU62" s="459"/>
      <c r="QDV62" s="459"/>
      <c r="QDW62" s="459"/>
      <c r="QDX62" s="459"/>
      <c r="QDY62" s="459"/>
      <c r="QDZ62" s="459"/>
      <c r="QEA62" s="459"/>
      <c r="QEB62" s="459"/>
      <c r="QEC62" s="459"/>
      <c r="QED62" s="459"/>
      <c r="QEE62" s="459"/>
      <c r="QEF62" s="459"/>
      <c r="QEG62" s="459"/>
      <c r="QEH62" s="459"/>
      <c r="QEI62" s="459"/>
      <c r="QEJ62" s="459"/>
      <c r="QEK62" s="459"/>
      <c r="QEL62" s="459"/>
      <c r="QEM62" s="459"/>
      <c r="QEN62" s="459"/>
      <c r="QEO62" s="459"/>
      <c r="QEP62" s="459"/>
      <c r="QEQ62" s="459"/>
      <c r="QER62" s="459"/>
      <c r="QES62" s="459"/>
      <c r="QET62" s="459"/>
      <c r="QEU62" s="459"/>
      <c r="QEV62" s="459"/>
      <c r="QEW62" s="459"/>
      <c r="QEX62" s="459"/>
      <c r="QEY62" s="459"/>
      <c r="QEZ62" s="459"/>
      <c r="QFA62" s="459"/>
      <c r="QFB62" s="459"/>
      <c r="QFC62" s="459"/>
      <c r="QFD62" s="459"/>
      <c r="QFE62" s="459"/>
      <c r="QFF62" s="459"/>
      <c r="QFG62" s="459"/>
      <c r="QFH62" s="459"/>
      <c r="QFI62" s="459"/>
      <c r="QFJ62" s="459"/>
      <c r="QFK62" s="459"/>
      <c r="QFL62" s="459"/>
      <c r="QFM62" s="459"/>
      <c r="QFN62" s="459"/>
      <c r="QFO62" s="459"/>
      <c r="QFP62" s="459"/>
      <c r="QFQ62" s="459"/>
      <c r="QFR62" s="459"/>
      <c r="QFS62" s="459"/>
      <c r="QFT62" s="459"/>
      <c r="QFU62" s="459"/>
      <c r="QFV62" s="459"/>
      <c r="QFW62" s="459"/>
      <c r="QFX62" s="459"/>
      <c r="QFY62" s="459"/>
      <c r="QFZ62" s="459"/>
      <c r="QGA62" s="459"/>
      <c r="QGB62" s="459"/>
      <c r="QGC62" s="459"/>
      <c r="QGD62" s="459"/>
      <c r="QGE62" s="459"/>
      <c r="QGF62" s="459"/>
      <c r="QGG62" s="459"/>
      <c r="QGH62" s="459"/>
      <c r="QGI62" s="459"/>
      <c r="QGJ62" s="459"/>
      <c r="QGK62" s="459"/>
      <c r="QGL62" s="459"/>
      <c r="QGM62" s="459"/>
      <c r="QGN62" s="459"/>
      <c r="QGO62" s="459"/>
      <c r="QGP62" s="459"/>
      <c r="QGQ62" s="459"/>
      <c r="QGR62" s="459"/>
      <c r="QGS62" s="459"/>
      <c r="QGT62" s="459"/>
      <c r="QGU62" s="459"/>
      <c r="QGV62" s="459"/>
      <c r="QGW62" s="459"/>
      <c r="QGX62" s="459"/>
      <c r="QGY62" s="459"/>
      <c r="QGZ62" s="459"/>
      <c r="QHA62" s="459"/>
      <c r="QHB62" s="459"/>
      <c r="QHC62" s="459"/>
      <c r="QHD62" s="459"/>
      <c r="QHE62" s="459"/>
      <c r="QHF62" s="459"/>
      <c r="QHG62" s="459"/>
      <c r="QHH62" s="459"/>
      <c r="QHI62" s="459"/>
      <c r="QHJ62" s="459"/>
      <c r="QHK62" s="459"/>
      <c r="QHL62" s="459"/>
      <c r="QHM62" s="459"/>
      <c r="QHN62" s="459"/>
      <c r="QHO62" s="459"/>
      <c r="QHP62" s="459"/>
      <c r="QHQ62" s="459"/>
      <c r="QHR62" s="459"/>
      <c r="QHS62" s="459"/>
      <c r="QHT62" s="459"/>
      <c r="QHU62" s="459"/>
      <c r="QHV62" s="459"/>
      <c r="QHW62" s="459"/>
      <c r="QHX62" s="459"/>
      <c r="QHY62" s="459"/>
      <c r="QHZ62" s="459"/>
      <c r="QIA62" s="459"/>
      <c r="QIB62" s="459"/>
      <c r="QIC62" s="459"/>
      <c r="QID62" s="459"/>
      <c r="QIE62" s="459"/>
      <c r="QIF62" s="459"/>
      <c r="QIG62" s="459"/>
      <c r="QIH62" s="459"/>
      <c r="QII62" s="459"/>
      <c r="QIJ62" s="459"/>
      <c r="QIK62" s="459"/>
      <c r="QIL62" s="459"/>
      <c r="QIM62" s="459"/>
      <c r="QIN62" s="459"/>
      <c r="QIO62" s="459"/>
      <c r="QIP62" s="459"/>
      <c r="QIQ62" s="459"/>
      <c r="QIR62" s="459"/>
      <c r="QIS62" s="459"/>
      <c r="QIT62" s="459"/>
      <c r="QIU62" s="459"/>
      <c r="QIV62" s="459"/>
      <c r="QIW62" s="459"/>
      <c r="QIX62" s="459"/>
      <c r="QIY62" s="459"/>
      <c r="QIZ62" s="459"/>
      <c r="QJA62" s="459"/>
      <c r="QJB62" s="459"/>
      <c r="QJC62" s="459"/>
      <c r="QJD62" s="459"/>
      <c r="QJE62" s="459"/>
      <c r="QJF62" s="459"/>
      <c r="QJG62" s="459"/>
      <c r="QJH62" s="459"/>
      <c r="QJI62" s="459"/>
      <c r="QJJ62" s="459"/>
      <c r="QJK62" s="459"/>
      <c r="QJL62" s="459"/>
      <c r="QJM62" s="459"/>
      <c r="QJN62" s="459"/>
      <c r="QJO62" s="459"/>
      <c r="QJP62" s="459"/>
      <c r="QJQ62" s="459"/>
      <c r="QJR62" s="459"/>
      <c r="QJS62" s="459"/>
      <c r="QJT62" s="459"/>
      <c r="QJU62" s="459"/>
      <c r="QJV62" s="459"/>
      <c r="QJW62" s="459"/>
      <c r="QJX62" s="459"/>
      <c r="QJY62" s="459"/>
      <c r="QJZ62" s="459"/>
      <c r="QKA62" s="459"/>
      <c r="QKB62" s="459"/>
      <c r="QKC62" s="459"/>
      <c r="QKD62" s="459"/>
      <c r="QKE62" s="459"/>
      <c r="QKF62" s="459"/>
      <c r="QKG62" s="459"/>
      <c r="QKH62" s="459"/>
      <c r="QKI62" s="459"/>
      <c r="QKJ62" s="459"/>
      <c r="QKK62" s="459"/>
      <c r="QKL62" s="459"/>
      <c r="QKM62" s="459"/>
      <c r="QKN62" s="459"/>
      <c r="QKO62" s="459"/>
      <c r="QKP62" s="459"/>
      <c r="QKQ62" s="459"/>
      <c r="QKR62" s="459"/>
      <c r="QKS62" s="459"/>
      <c r="QKT62" s="459"/>
      <c r="QKU62" s="459"/>
      <c r="QKV62" s="459"/>
      <c r="QKW62" s="459"/>
      <c r="QKX62" s="459"/>
      <c r="QKY62" s="459"/>
      <c r="QKZ62" s="459"/>
      <c r="QLA62" s="459"/>
      <c r="QLB62" s="459"/>
      <c r="QLC62" s="459"/>
      <c r="QLD62" s="459"/>
      <c r="QLE62" s="459"/>
      <c r="QLF62" s="459"/>
      <c r="QLG62" s="459"/>
      <c r="QLH62" s="459"/>
      <c r="QLI62" s="459"/>
      <c r="QLJ62" s="459"/>
      <c r="QLK62" s="459"/>
      <c r="QLL62" s="459"/>
      <c r="QLM62" s="459"/>
      <c r="QLN62" s="459"/>
      <c r="QLO62" s="459"/>
      <c r="QLP62" s="459"/>
      <c r="QLQ62" s="459"/>
      <c r="QLR62" s="459"/>
      <c r="QLS62" s="459"/>
      <c r="QLT62" s="459"/>
      <c r="QLU62" s="459"/>
      <c r="QLV62" s="459"/>
      <c r="QLW62" s="459"/>
      <c r="QLX62" s="459"/>
      <c r="QLY62" s="459"/>
      <c r="QLZ62" s="459"/>
      <c r="QMA62" s="459"/>
      <c r="QMB62" s="459"/>
      <c r="QMC62" s="459"/>
      <c r="QMD62" s="459"/>
      <c r="QME62" s="459"/>
      <c r="QMF62" s="459"/>
      <c r="QMG62" s="459"/>
      <c r="QMH62" s="459"/>
      <c r="QMI62" s="459"/>
      <c r="QMJ62" s="459"/>
      <c r="QMK62" s="459"/>
      <c r="QML62" s="459"/>
      <c r="QMM62" s="459"/>
      <c r="QMN62" s="459"/>
      <c r="QMO62" s="459"/>
      <c r="QMP62" s="459"/>
      <c r="QMQ62" s="459"/>
      <c r="QMR62" s="459"/>
      <c r="QMS62" s="459"/>
      <c r="QMT62" s="459"/>
      <c r="QMU62" s="459"/>
      <c r="QMV62" s="459"/>
      <c r="QMW62" s="459"/>
      <c r="QMX62" s="459"/>
      <c r="QMY62" s="459"/>
      <c r="QMZ62" s="459"/>
      <c r="QNA62" s="459"/>
      <c r="QNB62" s="459"/>
      <c r="QNC62" s="459"/>
      <c r="QND62" s="459"/>
      <c r="QNE62" s="459"/>
      <c r="QNF62" s="459"/>
      <c r="QNG62" s="459"/>
      <c r="QNH62" s="459"/>
      <c r="QNI62" s="459"/>
      <c r="QNJ62" s="459"/>
      <c r="QNK62" s="459"/>
      <c r="QNL62" s="459"/>
      <c r="QNM62" s="459"/>
      <c r="QNN62" s="459"/>
      <c r="QNO62" s="459"/>
      <c r="QNP62" s="459"/>
      <c r="QNQ62" s="459"/>
      <c r="QNR62" s="459"/>
      <c r="QNS62" s="459"/>
      <c r="QNT62" s="459"/>
      <c r="QNU62" s="459"/>
      <c r="QNV62" s="459"/>
      <c r="QNW62" s="459"/>
      <c r="QNX62" s="459"/>
      <c r="QNY62" s="459"/>
      <c r="QNZ62" s="459"/>
      <c r="QOA62" s="459"/>
      <c r="QOB62" s="459"/>
      <c r="QOC62" s="459"/>
      <c r="QOD62" s="459"/>
      <c r="QOE62" s="459"/>
      <c r="QOF62" s="459"/>
      <c r="QOG62" s="459"/>
      <c r="QOH62" s="459"/>
      <c r="QOI62" s="459"/>
      <c r="QOJ62" s="459"/>
      <c r="QOK62" s="459"/>
      <c r="QOL62" s="459"/>
      <c r="QOM62" s="459"/>
      <c r="QON62" s="459"/>
      <c r="QOO62" s="459"/>
      <c r="QOP62" s="459"/>
      <c r="QOQ62" s="459"/>
      <c r="QOR62" s="459"/>
      <c r="QOS62" s="459"/>
      <c r="QOT62" s="459"/>
      <c r="QOU62" s="459"/>
      <c r="QOV62" s="459"/>
      <c r="QOW62" s="459"/>
      <c r="QOX62" s="459"/>
      <c r="QOY62" s="459"/>
      <c r="QOZ62" s="459"/>
      <c r="QPA62" s="459"/>
      <c r="QPB62" s="459"/>
      <c r="QPC62" s="459"/>
      <c r="QPD62" s="459"/>
      <c r="QPE62" s="459"/>
      <c r="QPF62" s="459"/>
      <c r="QPG62" s="459"/>
      <c r="QPH62" s="459"/>
      <c r="QPI62" s="459"/>
      <c r="QPJ62" s="459"/>
      <c r="QPK62" s="459"/>
      <c r="QPL62" s="459"/>
      <c r="QPM62" s="459"/>
      <c r="QPN62" s="459"/>
      <c r="QPO62" s="459"/>
      <c r="QPP62" s="459"/>
      <c r="QPQ62" s="459"/>
      <c r="QPR62" s="459"/>
      <c r="QPS62" s="459"/>
      <c r="QPT62" s="459"/>
      <c r="QPU62" s="459"/>
      <c r="QPV62" s="459"/>
      <c r="QPW62" s="459"/>
      <c r="QPX62" s="459"/>
      <c r="QPY62" s="459"/>
      <c r="QPZ62" s="459"/>
      <c r="QQA62" s="459"/>
      <c r="QQB62" s="459"/>
      <c r="QQC62" s="459"/>
      <c r="QQD62" s="459"/>
      <c r="QQE62" s="459"/>
      <c r="QQF62" s="459"/>
      <c r="QQG62" s="459"/>
      <c r="QQH62" s="459"/>
      <c r="QQI62" s="459"/>
      <c r="QQJ62" s="459"/>
      <c r="QQK62" s="459"/>
      <c r="QQL62" s="459"/>
      <c r="QQM62" s="459"/>
      <c r="QQN62" s="459"/>
      <c r="QQO62" s="459"/>
      <c r="QQP62" s="459"/>
      <c r="QQQ62" s="459"/>
      <c r="QQR62" s="459"/>
      <c r="QQS62" s="459"/>
      <c r="QQT62" s="459"/>
      <c r="QQU62" s="459"/>
      <c r="QQV62" s="459"/>
      <c r="QQW62" s="459"/>
      <c r="QQX62" s="459"/>
      <c r="QQY62" s="459"/>
      <c r="QQZ62" s="459"/>
      <c r="QRA62" s="459"/>
      <c r="QRB62" s="459"/>
      <c r="QRC62" s="459"/>
      <c r="QRD62" s="459"/>
      <c r="QRE62" s="459"/>
      <c r="QRF62" s="459"/>
      <c r="QRG62" s="459"/>
      <c r="QRH62" s="459"/>
      <c r="QRI62" s="459"/>
      <c r="QRJ62" s="459"/>
      <c r="QRK62" s="459"/>
      <c r="QRL62" s="459"/>
      <c r="QRM62" s="459"/>
      <c r="QRN62" s="459"/>
      <c r="QRO62" s="459"/>
      <c r="QRP62" s="459"/>
      <c r="QRQ62" s="459"/>
      <c r="QRR62" s="459"/>
      <c r="QRS62" s="459"/>
      <c r="QRT62" s="459"/>
      <c r="QRU62" s="459"/>
      <c r="QRV62" s="459"/>
      <c r="QRW62" s="459"/>
      <c r="QRX62" s="459"/>
      <c r="QRY62" s="459"/>
      <c r="QRZ62" s="459"/>
      <c r="QSA62" s="459"/>
      <c r="QSB62" s="459"/>
      <c r="QSC62" s="459"/>
      <c r="QSD62" s="459"/>
      <c r="QSE62" s="459"/>
      <c r="QSF62" s="459"/>
      <c r="QSG62" s="459"/>
      <c r="QSH62" s="459"/>
      <c r="QSI62" s="459"/>
      <c r="QSJ62" s="459"/>
      <c r="QSK62" s="459"/>
      <c r="QSL62" s="459"/>
      <c r="QSM62" s="459"/>
      <c r="QSN62" s="459"/>
      <c r="QSO62" s="459"/>
      <c r="QSP62" s="459"/>
      <c r="QSQ62" s="459"/>
      <c r="QSR62" s="459"/>
      <c r="QSS62" s="459"/>
      <c r="QST62" s="459"/>
      <c r="QSU62" s="459"/>
      <c r="QSV62" s="459"/>
      <c r="QSW62" s="459"/>
      <c r="QSX62" s="459"/>
      <c r="QSY62" s="459"/>
      <c r="QSZ62" s="459"/>
      <c r="QTA62" s="459"/>
      <c r="QTB62" s="459"/>
      <c r="QTC62" s="459"/>
      <c r="QTD62" s="459"/>
      <c r="QTE62" s="459"/>
      <c r="QTF62" s="459"/>
      <c r="QTG62" s="459"/>
      <c r="QTH62" s="459"/>
      <c r="QTI62" s="459"/>
      <c r="QTJ62" s="459"/>
      <c r="QTK62" s="459"/>
      <c r="QTL62" s="459"/>
      <c r="QTM62" s="459"/>
      <c r="QTN62" s="459"/>
      <c r="QTO62" s="459"/>
      <c r="QTP62" s="459"/>
      <c r="QTQ62" s="459"/>
      <c r="QTR62" s="459"/>
      <c r="QTS62" s="459"/>
      <c r="QTT62" s="459"/>
      <c r="QTU62" s="459"/>
      <c r="QTV62" s="459"/>
      <c r="QTW62" s="459"/>
      <c r="QTX62" s="459"/>
      <c r="QTY62" s="459"/>
      <c r="QTZ62" s="459"/>
      <c r="QUA62" s="459"/>
      <c r="QUB62" s="459"/>
      <c r="QUC62" s="459"/>
      <c r="QUD62" s="459"/>
      <c r="QUE62" s="459"/>
      <c r="QUF62" s="459"/>
      <c r="QUG62" s="459"/>
      <c r="QUH62" s="459"/>
      <c r="QUI62" s="459"/>
      <c r="QUJ62" s="459"/>
      <c r="QUK62" s="459"/>
      <c r="QUL62" s="459"/>
      <c r="QUM62" s="459"/>
      <c r="QUN62" s="459"/>
      <c r="QUO62" s="459"/>
      <c r="QUP62" s="459"/>
      <c r="QUQ62" s="459"/>
      <c r="QUR62" s="459"/>
      <c r="QUS62" s="459"/>
      <c r="QUT62" s="459"/>
      <c r="QUU62" s="459"/>
      <c r="QUV62" s="459"/>
      <c r="QUW62" s="459"/>
      <c r="QUX62" s="459"/>
      <c r="QUY62" s="459"/>
      <c r="QUZ62" s="459"/>
      <c r="QVA62" s="459"/>
      <c r="QVB62" s="459"/>
      <c r="QVC62" s="459"/>
      <c r="QVD62" s="459"/>
      <c r="QVE62" s="459"/>
      <c r="QVF62" s="459"/>
      <c r="QVG62" s="459"/>
      <c r="QVH62" s="459"/>
      <c r="QVI62" s="459"/>
      <c r="QVJ62" s="459"/>
      <c r="QVK62" s="459"/>
      <c r="QVL62" s="459"/>
      <c r="QVM62" s="459"/>
      <c r="QVN62" s="459"/>
      <c r="QVO62" s="459"/>
      <c r="QVP62" s="459"/>
      <c r="QVQ62" s="459"/>
      <c r="QVR62" s="459"/>
      <c r="QVS62" s="459"/>
      <c r="QVT62" s="459"/>
      <c r="QVU62" s="459"/>
      <c r="QVV62" s="459"/>
      <c r="QVW62" s="459"/>
      <c r="QVX62" s="459"/>
      <c r="QVY62" s="459"/>
      <c r="QVZ62" s="459"/>
      <c r="QWA62" s="459"/>
      <c r="QWB62" s="459"/>
      <c r="QWC62" s="459"/>
      <c r="QWD62" s="459"/>
      <c r="QWE62" s="459"/>
      <c r="QWF62" s="459"/>
      <c r="QWG62" s="459"/>
      <c r="QWH62" s="459"/>
      <c r="QWI62" s="459"/>
      <c r="QWJ62" s="459"/>
      <c r="QWK62" s="459"/>
      <c r="QWL62" s="459"/>
      <c r="QWM62" s="459"/>
      <c r="QWN62" s="459"/>
      <c r="QWO62" s="459"/>
      <c r="QWP62" s="459"/>
      <c r="QWQ62" s="459"/>
      <c r="QWR62" s="459"/>
      <c r="QWS62" s="459"/>
      <c r="QWT62" s="459"/>
      <c r="QWU62" s="459"/>
      <c r="QWV62" s="459"/>
      <c r="QWW62" s="459"/>
      <c r="QWX62" s="459"/>
      <c r="QWY62" s="459"/>
      <c r="QWZ62" s="459"/>
      <c r="QXA62" s="459"/>
      <c r="QXB62" s="459"/>
      <c r="QXC62" s="459"/>
      <c r="QXD62" s="459"/>
      <c r="QXE62" s="459"/>
      <c r="QXF62" s="459"/>
      <c r="QXG62" s="459"/>
      <c r="QXH62" s="459"/>
      <c r="QXI62" s="459"/>
      <c r="QXJ62" s="459"/>
      <c r="QXK62" s="459"/>
      <c r="QXL62" s="459"/>
      <c r="QXM62" s="459"/>
      <c r="QXN62" s="459"/>
      <c r="QXO62" s="459"/>
      <c r="QXP62" s="459"/>
      <c r="QXQ62" s="459"/>
      <c r="QXR62" s="459"/>
      <c r="QXS62" s="459"/>
      <c r="QXT62" s="459"/>
      <c r="QXU62" s="459"/>
      <c r="QXV62" s="459"/>
      <c r="QXW62" s="459"/>
      <c r="QXX62" s="459"/>
      <c r="QXY62" s="459"/>
      <c r="QXZ62" s="459"/>
      <c r="QYA62" s="459"/>
      <c r="QYB62" s="459"/>
      <c r="QYC62" s="459"/>
      <c r="QYD62" s="459"/>
      <c r="QYE62" s="459"/>
      <c r="QYF62" s="459"/>
      <c r="QYG62" s="459"/>
      <c r="QYH62" s="459"/>
      <c r="QYI62" s="459"/>
      <c r="QYJ62" s="459"/>
      <c r="QYK62" s="459"/>
      <c r="QYL62" s="459"/>
      <c r="QYM62" s="459"/>
      <c r="QYN62" s="459"/>
      <c r="QYO62" s="459"/>
      <c r="QYP62" s="459"/>
      <c r="QYQ62" s="459"/>
      <c r="QYR62" s="459"/>
      <c r="QYS62" s="459"/>
      <c r="QYT62" s="459"/>
      <c r="QYU62" s="459"/>
      <c r="QYV62" s="459"/>
      <c r="QYW62" s="459"/>
      <c r="QYX62" s="459"/>
      <c r="QYY62" s="459"/>
      <c r="QYZ62" s="459"/>
      <c r="QZA62" s="459"/>
      <c r="QZB62" s="459"/>
      <c r="QZC62" s="459"/>
      <c r="QZD62" s="459"/>
      <c r="QZE62" s="459"/>
      <c r="QZF62" s="459"/>
      <c r="QZG62" s="459"/>
      <c r="QZH62" s="459"/>
      <c r="QZI62" s="459"/>
      <c r="QZJ62" s="459"/>
      <c r="QZK62" s="459"/>
      <c r="QZL62" s="459"/>
      <c r="QZM62" s="459"/>
      <c r="QZN62" s="459"/>
      <c r="QZO62" s="459"/>
      <c r="QZP62" s="459"/>
      <c r="QZQ62" s="459"/>
      <c r="QZR62" s="459"/>
      <c r="QZS62" s="459"/>
      <c r="QZT62" s="459"/>
      <c r="QZU62" s="459"/>
      <c r="QZV62" s="459"/>
      <c r="QZW62" s="459"/>
      <c r="QZX62" s="459"/>
      <c r="QZY62" s="459"/>
      <c r="QZZ62" s="459"/>
      <c r="RAA62" s="459"/>
      <c r="RAB62" s="459"/>
      <c r="RAC62" s="459"/>
      <c r="RAD62" s="459"/>
      <c r="RAE62" s="459"/>
      <c r="RAF62" s="459"/>
      <c r="RAG62" s="459"/>
      <c r="RAH62" s="459"/>
      <c r="RAI62" s="459"/>
      <c r="RAJ62" s="459"/>
      <c r="RAK62" s="459"/>
      <c r="RAL62" s="459"/>
      <c r="RAM62" s="459"/>
      <c r="RAN62" s="459"/>
      <c r="RAO62" s="459"/>
      <c r="RAP62" s="459"/>
      <c r="RAQ62" s="459"/>
      <c r="RAR62" s="459"/>
      <c r="RAS62" s="459"/>
      <c r="RAT62" s="459"/>
      <c r="RAU62" s="459"/>
      <c r="RAV62" s="459"/>
      <c r="RAW62" s="459"/>
      <c r="RAX62" s="459"/>
      <c r="RAY62" s="459"/>
      <c r="RAZ62" s="459"/>
      <c r="RBA62" s="459"/>
      <c r="RBB62" s="459"/>
      <c r="RBC62" s="459"/>
      <c r="RBD62" s="459"/>
      <c r="RBE62" s="459"/>
      <c r="RBF62" s="459"/>
      <c r="RBG62" s="459"/>
      <c r="RBH62" s="459"/>
      <c r="RBI62" s="459"/>
      <c r="RBJ62" s="459"/>
      <c r="RBK62" s="459"/>
      <c r="RBL62" s="459"/>
      <c r="RBM62" s="459"/>
      <c r="RBN62" s="459"/>
      <c r="RBO62" s="459"/>
      <c r="RBP62" s="459"/>
      <c r="RBQ62" s="459"/>
      <c r="RBR62" s="459"/>
      <c r="RBS62" s="459"/>
      <c r="RBT62" s="459"/>
      <c r="RBU62" s="459"/>
      <c r="RBV62" s="459"/>
      <c r="RBW62" s="459"/>
      <c r="RBX62" s="459"/>
      <c r="RBY62" s="459"/>
      <c r="RBZ62" s="459"/>
      <c r="RCA62" s="459"/>
      <c r="RCB62" s="459"/>
      <c r="RCC62" s="459"/>
      <c r="RCD62" s="459"/>
      <c r="RCE62" s="459"/>
      <c r="RCF62" s="459"/>
      <c r="RCG62" s="459"/>
      <c r="RCH62" s="459"/>
      <c r="RCI62" s="459"/>
      <c r="RCJ62" s="459"/>
      <c r="RCK62" s="459"/>
      <c r="RCL62" s="459"/>
      <c r="RCM62" s="459"/>
      <c r="RCN62" s="459"/>
      <c r="RCO62" s="459"/>
      <c r="RCP62" s="459"/>
      <c r="RCQ62" s="459"/>
      <c r="RCR62" s="459"/>
      <c r="RCS62" s="459"/>
      <c r="RCT62" s="459"/>
      <c r="RCU62" s="459"/>
      <c r="RCV62" s="459"/>
      <c r="RCW62" s="459"/>
      <c r="RCX62" s="459"/>
      <c r="RCY62" s="459"/>
      <c r="RCZ62" s="459"/>
      <c r="RDA62" s="459"/>
      <c r="RDB62" s="459"/>
      <c r="RDC62" s="459"/>
      <c r="RDD62" s="459"/>
      <c r="RDE62" s="459"/>
      <c r="RDF62" s="459"/>
      <c r="RDG62" s="459"/>
      <c r="RDH62" s="459"/>
      <c r="RDI62" s="459"/>
      <c r="RDJ62" s="459"/>
      <c r="RDK62" s="459"/>
      <c r="RDL62" s="459"/>
      <c r="RDM62" s="459"/>
      <c r="RDN62" s="459"/>
      <c r="RDO62" s="459"/>
      <c r="RDP62" s="459"/>
      <c r="RDQ62" s="459"/>
      <c r="RDR62" s="459"/>
      <c r="RDS62" s="459"/>
      <c r="RDT62" s="459"/>
      <c r="RDU62" s="459"/>
      <c r="RDV62" s="459"/>
      <c r="RDW62" s="459"/>
      <c r="RDX62" s="459"/>
      <c r="RDY62" s="459"/>
      <c r="RDZ62" s="459"/>
      <c r="REA62" s="459"/>
      <c r="REB62" s="459"/>
      <c r="REC62" s="459"/>
      <c r="RED62" s="459"/>
      <c r="REE62" s="459"/>
      <c r="REF62" s="459"/>
      <c r="REG62" s="459"/>
      <c r="REH62" s="459"/>
      <c r="REI62" s="459"/>
      <c r="REJ62" s="459"/>
      <c r="REK62" s="459"/>
      <c r="REL62" s="459"/>
      <c r="REM62" s="459"/>
      <c r="REN62" s="459"/>
      <c r="REO62" s="459"/>
      <c r="REP62" s="459"/>
      <c r="REQ62" s="459"/>
      <c r="RER62" s="459"/>
      <c r="RES62" s="459"/>
      <c r="RET62" s="459"/>
      <c r="REU62" s="459"/>
      <c r="REV62" s="459"/>
      <c r="REW62" s="459"/>
      <c r="REX62" s="459"/>
      <c r="REY62" s="459"/>
      <c r="REZ62" s="459"/>
      <c r="RFA62" s="459"/>
      <c r="RFB62" s="459"/>
      <c r="RFC62" s="459"/>
      <c r="RFD62" s="459"/>
      <c r="RFE62" s="459"/>
      <c r="RFF62" s="459"/>
      <c r="RFG62" s="459"/>
      <c r="RFH62" s="459"/>
      <c r="RFI62" s="459"/>
      <c r="RFJ62" s="459"/>
      <c r="RFK62" s="459"/>
      <c r="RFL62" s="459"/>
      <c r="RFM62" s="459"/>
      <c r="RFN62" s="459"/>
      <c r="RFO62" s="459"/>
      <c r="RFP62" s="459"/>
      <c r="RFQ62" s="459"/>
      <c r="RFR62" s="459"/>
      <c r="RFS62" s="459"/>
      <c r="RFT62" s="459"/>
      <c r="RFU62" s="459"/>
      <c r="RFV62" s="459"/>
      <c r="RFW62" s="459"/>
      <c r="RFX62" s="459"/>
      <c r="RFY62" s="459"/>
      <c r="RFZ62" s="459"/>
      <c r="RGA62" s="459"/>
      <c r="RGB62" s="459"/>
      <c r="RGC62" s="459"/>
      <c r="RGD62" s="459"/>
      <c r="RGE62" s="459"/>
      <c r="RGF62" s="459"/>
      <c r="RGG62" s="459"/>
      <c r="RGH62" s="459"/>
      <c r="RGI62" s="459"/>
      <c r="RGJ62" s="459"/>
      <c r="RGK62" s="459"/>
      <c r="RGL62" s="459"/>
      <c r="RGM62" s="459"/>
      <c r="RGN62" s="459"/>
      <c r="RGO62" s="459"/>
      <c r="RGP62" s="459"/>
      <c r="RGQ62" s="459"/>
      <c r="RGR62" s="459"/>
      <c r="RGS62" s="459"/>
      <c r="RGT62" s="459"/>
      <c r="RGU62" s="459"/>
      <c r="RGV62" s="459"/>
      <c r="RGW62" s="459"/>
      <c r="RGX62" s="459"/>
      <c r="RGY62" s="459"/>
      <c r="RGZ62" s="459"/>
      <c r="RHA62" s="459"/>
      <c r="RHB62" s="459"/>
      <c r="RHC62" s="459"/>
      <c r="RHD62" s="459"/>
      <c r="RHE62" s="459"/>
      <c r="RHF62" s="459"/>
      <c r="RHG62" s="459"/>
      <c r="RHH62" s="459"/>
      <c r="RHI62" s="459"/>
      <c r="RHJ62" s="459"/>
      <c r="RHK62" s="459"/>
      <c r="RHL62" s="459"/>
      <c r="RHM62" s="459"/>
      <c r="RHN62" s="459"/>
      <c r="RHO62" s="459"/>
      <c r="RHP62" s="459"/>
      <c r="RHQ62" s="459"/>
      <c r="RHR62" s="459"/>
      <c r="RHS62" s="459"/>
      <c r="RHT62" s="459"/>
      <c r="RHU62" s="459"/>
      <c r="RHV62" s="459"/>
      <c r="RHW62" s="459"/>
      <c r="RHX62" s="459"/>
      <c r="RHY62" s="459"/>
      <c r="RHZ62" s="459"/>
      <c r="RIA62" s="459"/>
      <c r="RIB62" s="459"/>
      <c r="RIC62" s="459"/>
      <c r="RID62" s="459"/>
      <c r="RIE62" s="459"/>
      <c r="RIF62" s="459"/>
      <c r="RIG62" s="459"/>
      <c r="RIH62" s="459"/>
      <c r="RII62" s="459"/>
      <c r="RIJ62" s="459"/>
      <c r="RIK62" s="459"/>
      <c r="RIL62" s="459"/>
      <c r="RIM62" s="459"/>
      <c r="RIN62" s="459"/>
      <c r="RIO62" s="459"/>
      <c r="RIP62" s="459"/>
      <c r="RIQ62" s="459"/>
      <c r="RIR62" s="459"/>
      <c r="RIS62" s="459"/>
      <c r="RIT62" s="459"/>
      <c r="RIU62" s="459"/>
      <c r="RIV62" s="459"/>
      <c r="RIW62" s="459"/>
      <c r="RIX62" s="459"/>
      <c r="RIY62" s="459"/>
      <c r="RIZ62" s="459"/>
      <c r="RJA62" s="459"/>
      <c r="RJB62" s="459"/>
      <c r="RJC62" s="459"/>
      <c r="RJD62" s="459"/>
      <c r="RJE62" s="459"/>
      <c r="RJF62" s="459"/>
      <c r="RJG62" s="459"/>
      <c r="RJH62" s="459"/>
      <c r="RJI62" s="459"/>
      <c r="RJJ62" s="459"/>
      <c r="RJK62" s="459"/>
      <c r="RJL62" s="459"/>
      <c r="RJM62" s="459"/>
      <c r="RJN62" s="459"/>
      <c r="RJO62" s="459"/>
      <c r="RJP62" s="459"/>
      <c r="RJQ62" s="459"/>
      <c r="RJR62" s="459"/>
      <c r="RJS62" s="459"/>
      <c r="RJT62" s="459"/>
      <c r="RJU62" s="459"/>
      <c r="RJV62" s="459"/>
      <c r="RJW62" s="459"/>
      <c r="RJX62" s="459"/>
      <c r="RJY62" s="459"/>
      <c r="RJZ62" s="459"/>
      <c r="RKA62" s="459"/>
      <c r="RKB62" s="459"/>
      <c r="RKC62" s="459"/>
      <c r="RKD62" s="459"/>
      <c r="RKE62" s="459"/>
      <c r="RKF62" s="459"/>
      <c r="RKG62" s="459"/>
      <c r="RKH62" s="459"/>
      <c r="RKI62" s="459"/>
      <c r="RKJ62" s="459"/>
      <c r="RKK62" s="459"/>
      <c r="RKL62" s="459"/>
      <c r="RKM62" s="459"/>
      <c r="RKN62" s="459"/>
      <c r="RKO62" s="459"/>
      <c r="RKP62" s="459"/>
      <c r="RKQ62" s="459"/>
      <c r="RKR62" s="459"/>
      <c r="RKS62" s="459"/>
      <c r="RKT62" s="459"/>
      <c r="RKU62" s="459"/>
      <c r="RKV62" s="459"/>
      <c r="RKW62" s="459"/>
      <c r="RKX62" s="459"/>
      <c r="RKY62" s="459"/>
      <c r="RKZ62" s="459"/>
      <c r="RLA62" s="459"/>
      <c r="RLB62" s="459"/>
      <c r="RLC62" s="459"/>
      <c r="RLD62" s="459"/>
      <c r="RLE62" s="459"/>
      <c r="RLF62" s="459"/>
      <c r="RLG62" s="459"/>
      <c r="RLH62" s="459"/>
      <c r="RLI62" s="459"/>
      <c r="RLJ62" s="459"/>
      <c r="RLK62" s="459"/>
      <c r="RLL62" s="459"/>
      <c r="RLM62" s="459"/>
      <c r="RLN62" s="459"/>
      <c r="RLO62" s="459"/>
      <c r="RLP62" s="459"/>
      <c r="RLQ62" s="459"/>
      <c r="RLR62" s="459"/>
      <c r="RLS62" s="459"/>
      <c r="RLT62" s="459"/>
      <c r="RLU62" s="459"/>
      <c r="RLV62" s="459"/>
      <c r="RLW62" s="459"/>
      <c r="RLX62" s="459"/>
      <c r="RLY62" s="459"/>
      <c r="RLZ62" s="459"/>
      <c r="RMA62" s="459"/>
      <c r="RMB62" s="459"/>
      <c r="RMC62" s="459"/>
      <c r="RMD62" s="459"/>
      <c r="RME62" s="459"/>
      <c r="RMF62" s="459"/>
      <c r="RMG62" s="459"/>
      <c r="RMH62" s="459"/>
      <c r="RMI62" s="459"/>
      <c r="RMJ62" s="459"/>
      <c r="RMK62" s="459"/>
      <c r="RML62" s="459"/>
      <c r="RMM62" s="459"/>
      <c r="RMN62" s="459"/>
      <c r="RMO62" s="459"/>
      <c r="RMP62" s="459"/>
      <c r="RMQ62" s="459"/>
      <c r="RMR62" s="459"/>
      <c r="RMS62" s="459"/>
      <c r="RMT62" s="459"/>
      <c r="RMU62" s="459"/>
      <c r="RMV62" s="459"/>
      <c r="RMW62" s="459"/>
      <c r="RMX62" s="459"/>
      <c r="RMY62" s="459"/>
      <c r="RMZ62" s="459"/>
      <c r="RNA62" s="459"/>
      <c r="RNB62" s="459"/>
      <c r="RNC62" s="459"/>
      <c r="RND62" s="459"/>
      <c r="RNE62" s="459"/>
      <c r="RNF62" s="459"/>
      <c r="RNG62" s="459"/>
      <c r="RNH62" s="459"/>
      <c r="RNI62" s="459"/>
      <c r="RNJ62" s="459"/>
      <c r="RNK62" s="459"/>
      <c r="RNL62" s="459"/>
      <c r="RNM62" s="459"/>
      <c r="RNN62" s="459"/>
      <c r="RNO62" s="459"/>
      <c r="RNP62" s="459"/>
      <c r="RNQ62" s="459"/>
      <c r="RNR62" s="459"/>
      <c r="RNS62" s="459"/>
      <c r="RNT62" s="459"/>
      <c r="RNU62" s="459"/>
      <c r="RNV62" s="459"/>
      <c r="RNW62" s="459"/>
      <c r="RNX62" s="459"/>
      <c r="RNY62" s="459"/>
      <c r="RNZ62" s="459"/>
      <c r="ROA62" s="459"/>
      <c r="ROB62" s="459"/>
      <c r="ROC62" s="459"/>
      <c r="ROD62" s="459"/>
      <c r="ROE62" s="459"/>
      <c r="ROF62" s="459"/>
      <c r="ROG62" s="459"/>
      <c r="ROH62" s="459"/>
      <c r="ROI62" s="459"/>
      <c r="ROJ62" s="459"/>
      <c r="ROK62" s="459"/>
      <c r="ROL62" s="459"/>
      <c r="ROM62" s="459"/>
      <c r="RON62" s="459"/>
      <c r="ROO62" s="459"/>
      <c r="ROP62" s="459"/>
      <c r="ROQ62" s="459"/>
      <c r="ROR62" s="459"/>
      <c r="ROS62" s="459"/>
      <c r="ROT62" s="459"/>
      <c r="ROU62" s="459"/>
      <c r="ROV62" s="459"/>
      <c r="ROW62" s="459"/>
      <c r="ROX62" s="459"/>
      <c r="ROY62" s="459"/>
      <c r="ROZ62" s="459"/>
      <c r="RPA62" s="459"/>
      <c r="RPB62" s="459"/>
      <c r="RPC62" s="459"/>
      <c r="RPD62" s="459"/>
      <c r="RPE62" s="459"/>
      <c r="RPF62" s="459"/>
      <c r="RPG62" s="459"/>
      <c r="RPH62" s="459"/>
      <c r="RPI62" s="459"/>
      <c r="RPJ62" s="459"/>
      <c r="RPK62" s="459"/>
      <c r="RPL62" s="459"/>
      <c r="RPM62" s="459"/>
      <c r="RPN62" s="459"/>
      <c r="RPO62" s="459"/>
      <c r="RPP62" s="459"/>
      <c r="RPQ62" s="459"/>
      <c r="RPR62" s="459"/>
      <c r="RPS62" s="459"/>
      <c r="RPT62" s="459"/>
      <c r="RPU62" s="459"/>
      <c r="RPV62" s="459"/>
      <c r="RPW62" s="459"/>
      <c r="RPX62" s="459"/>
      <c r="RPY62" s="459"/>
      <c r="RPZ62" s="459"/>
      <c r="RQA62" s="459"/>
      <c r="RQB62" s="459"/>
      <c r="RQC62" s="459"/>
      <c r="RQD62" s="459"/>
      <c r="RQE62" s="459"/>
      <c r="RQF62" s="459"/>
      <c r="RQG62" s="459"/>
      <c r="RQH62" s="459"/>
      <c r="RQI62" s="459"/>
      <c r="RQJ62" s="459"/>
      <c r="RQK62" s="459"/>
      <c r="RQL62" s="459"/>
      <c r="RQM62" s="459"/>
      <c r="RQN62" s="459"/>
      <c r="RQO62" s="459"/>
      <c r="RQP62" s="459"/>
      <c r="RQQ62" s="459"/>
      <c r="RQR62" s="459"/>
      <c r="RQS62" s="459"/>
      <c r="RQT62" s="459"/>
      <c r="RQU62" s="459"/>
      <c r="RQV62" s="459"/>
      <c r="RQW62" s="459"/>
      <c r="RQX62" s="459"/>
      <c r="RQY62" s="459"/>
      <c r="RQZ62" s="459"/>
      <c r="RRA62" s="459"/>
      <c r="RRB62" s="459"/>
      <c r="RRC62" s="459"/>
      <c r="RRD62" s="459"/>
      <c r="RRE62" s="459"/>
      <c r="RRF62" s="459"/>
      <c r="RRG62" s="459"/>
      <c r="RRH62" s="459"/>
      <c r="RRI62" s="459"/>
      <c r="RRJ62" s="459"/>
      <c r="RRK62" s="459"/>
      <c r="RRL62" s="459"/>
      <c r="RRM62" s="459"/>
      <c r="RRN62" s="459"/>
      <c r="RRO62" s="459"/>
      <c r="RRP62" s="459"/>
      <c r="RRQ62" s="459"/>
      <c r="RRR62" s="459"/>
      <c r="RRS62" s="459"/>
      <c r="RRT62" s="459"/>
      <c r="RRU62" s="459"/>
      <c r="RRV62" s="459"/>
      <c r="RRW62" s="459"/>
      <c r="RRX62" s="459"/>
      <c r="RRY62" s="459"/>
      <c r="RRZ62" s="459"/>
      <c r="RSA62" s="459"/>
      <c r="RSB62" s="459"/>
      <c r="RSC62" s="459"/>
      <c r="RSD62" s="459"/>
      <c r="RSE62" s="459"/>
      <c r="RSF62" s="459"/>
      <c r="RSG62" s="459"/>
      <c r="RSH62" s="459"/>
      <c r="RSI62" s="459"/>
      <c r="RSJ62" s="459"/>
      <c r="RSK62" s="459"/>
      <c r="RSL62" s="459"/>
      <c r="RSM62" s="459"/>
      <c r="RSN62" s="459"/>
      <c r="RSO62" s="459"/>
      <c r="RSP62" s="459"/>
      <c r="RSQ62" s="459"/>
      <c r="RSR62" s="459"/>
      <c r="RSS62" s="459"/>
      <c r="RST62" s="459"/>
      <c r="RSU62" s="459"/>
      <c r="RSV62" s="459"/>
      <c r="RSW62" s="459"/>
      <c r="RSX62" s="459"/>
      <c r="RSY62" s="459"/>
      <c r="RSZ62" s="459"/>
      <c r="RTA62" s="459"/>
      <c r="RTB62" s="459"/>
      <c r="RTC62" s="459"/>
      <c r="RTD62" s="459"/>
      <c r="RTE62" s="459"/>
      <c r="RTF62" s="459"/>
      <c r="RTG62" s="459"/>
      <c r="RTH62" s="459"/>
      <c r="RTI62" s="459"/>
      <c r="RTJ62" s="459"/>
      <c r="RTK62" s="459"/>
      <c r="RTL62" s="459"/>
      <c r="RTM62" s="459"/>
      <c r="RTN62" s="459"/>
      <c r="RTO62" s="459"/>
      <c r="RTP62" s="459"/>
      <c r="RTQ62" s="459"/>
      <c r="RTR62" s="459"/>
      <c r="RTS62" s="459"/>
      <c r="RTT62" s="459"/>
      <c r="RTU62" s="459"/>
      <c r="RTV62" s="459"/>
      <c r="RTW62" s="459"/>
      <c r="RTX62" s="459"/>
      <c r="RTY62" s="459"/>
      <c r="RTZ62" s="459"/>
      <c r="RUA62" s="459"/>
      <c r="RUB62" s="459"/>
      <c r="RUC62" s="459"/>
      <c r="RUD62" s="459"/>
      <c r="RUE62" s="459"/>
      <c r="RUF62" s="459"/>
      <c r="RUG62" s="459"/>
      <c r="RUH62" s="459"/>
      <c r="RUI62" s="459"/>
      <c r="RUJ62" s="459"/>
      <c r="RUK62" s="459"/>
      <c r="RUL62" s="459"/>
      <c r="RUM62" s="459"/>
      <c r="RUN62" s="459"/>
      <c r="RUO62" s="459"/>
      <c r="RUP62" s="459"/>
      <c r="RUQ62" s="459"/>
      <c r="RUR62" s="459"/>
      <c r="RUS62" s="459"/>
      <c r="RUT62" s="459"/>
      <c r="RUU62" s="459"/>
      <c r="RUV62" s="459"/>
      <c r="RUW62" s="459"/>
      <c r="RUX62" s="459"/>
      <c r="RUY62" s="459"/>
      <c r="RUZ62" s="459"/>
      <c r="RVA62" s="459"/>
      <c r="RVB62" s="459"/>
      <c r="RVC62" s="459"/>
      <c r="RVD62" s="459"/>
      <c r="RVE62" s="459"/>
      <c r="RVF62" s="459"/>
      <c r="RVG62" s="459"/>
      <c r="RVH62" s="459"/>
      <c r="RVI62" s="459"/>
      <c r="RVJ62" s="459"/>
      <c r="RVK62" s="459"/>
      <c r="RVL62" s="459"/>
      <c r="RVM62" s="459"/>
      <c r="RVN62" s="459"/>
      <c r="RVO62" s="459"/>
      <c r="RVP62" s="459"/>
      <c r="RVQ62" s="459"/>
      <c r="RVR62" s="459"/>
      <c r="RVS62" s="459"/>
      <c r="RVT62" s="459"/>
      <c r="RVU62" s="459"/>
      <c r="RVV62" s="459"/>
      <c r="RVW62" s="459"/>
      <c r="RVX62" s="459"/>
      <c r="RVY62" s="459"/>
      <c r="RVZ62" s="459"/>
      <c r="RWA62" s="459"/>
      <c r="RWB62" s="459"/>
      <c r="RWC62" s="459"/>
      <c r="RWD62" s="459"/>
      <c r="RWE62" s="459"/>
      <c r="RWF62" s="459"/>
      <c r="RWG62" s="459"/>
      <c r="RWH62" s="459"/>
      <c r="RWI62" s="459"/>
      <c r="RWJ62" s="459"/>
      <c r="RWK62" s="459"/>
      <c r="RWL62" s="459"/>
      <c r="RWM62" s="459"/>
      <c r="RWN62" s="459"/>
      <c r="RWO62" s="459"/>
      <c r="RWP62" s="459"/>
      <c r="RWQ62" s="459"/>
      <c r="RWR62" s="459"/>
      <c r="RWS62" s="459"/>
      <c r="RWT62" s="459"/>
      <c r="RWU62" s="459"/>
      <c r="RWV62" s="459"/>
      <c r="RWW62" s="459"/>
      <c r="RWX62" s="459"/>
      <c r="RWY62" s="459"/>
      <c r="RWZ62" s="459"/>
      <c r="RXA62" s="459"/>
      <c r="RXB62" s="459"/>
      <c r="RXC62" s="459"/>
      <c r="RXD62" s="459"/>
      <c r="RXE62" s="459"/>
      <c r="RXF62" s="459"/>
      <c r="RXG62" s="459"/>
      <c r="RXH62" s="459"/>
      <c r="RXI62" s="459"/>
      <c r="RXJ62" s="459"/>
      <c r="RXK62" s="459"/>
      <c r="RXL62" s="459"/>
      <c r="RXM62" s="459"/>
      <c r="RXN62" s="459"/>
      <c r="RXO62" s="459"/>
      <c r="RXP62" s="459"/>
      <c r="RXQ62" s="459"/>
      <c r="RXR62" s="459"/>
      <c r="RXS62" s="459"/>
      <c r="RXT62" s="459"/>
      <c r="RXU62" s="459"/>
      <c r="RXV62" s="459"/>
      <c r="RXW62" s="459"/>
      <c r="RXX62" s="459"/>
      <c r="RXY62" s="459"/>
      <c r="RXZ62" s="459"/>
      <c r="RYA62" s="459"/>
      <c r="RYB62" s="459"/>
      <c r="RYC62" s="459"/>
      <c r="RYD62" s="459"/>
      <c r="RYE62" s="459"/>
      <c r="RYF62" s="459"/>
      <c r="RYG62" s="459"/>
      <c r="RYH62" s="459"/>
      <c r="RYI62" s="459"/>
      <c r="RYJ62" s="459"/>
      <c r="RYK62" s="459"/>
      <c r="RYL62" s="459"/>
      <c r="RYM62" s="459"/>
      <c r="RYN62" s="459"/>
      <c r="RYO62" s="459"/>
      <c r="RYP62" s="459"/>
      <c r="RYQ62" s="459"/>
      <c r="RYR62" s="459"/>
      <c r="RYS62" s="459"/>
      <c r="RYT62" s="459"/>
      <c r="RYU62" s="459"/>
      <c r="RYV62" s="459"/>
      <c r="RYW62" s="459"/>
      <c r="RYX62" s="459"/>
      <c r="RYY62" s="459"/>
      <c r="RYZ62" s="459"/>
      <c r="RZA62" s="459"/>
      <c r="RZB62" s="459"/>
      <c r="RZC62" s="459"/>
      <c r="RZD62" s="459"/>
      <c r="RZE62" s="459"/>
      <c r="RZF62" s="459"/>
      <c r="RZG62" s="459"/>
      <c r="RZH62" s="459"/>
      <c r="RZI62" s="459"/>
      <c r="RZJ62" s="459"/>
      <c r="RZK62" s="459"/>
      <c r="RZL62" s="459"/>
      <c r="RZM62" s="459"/>
      <c r="RZN62" s="459"/>
      <c r="RZO62" s="459"/>
      <c r="RZP62" s="459"/>
      <c r="RZQ62" s="459"/>
      <c r="RZR62" s="459"/>
      <c r="RZS62" s="459"/>
      <c r="RZT62" s="459"/>
      <c r="RZU62" s="459"/>
      <c r="RZV62" s="459"/>
      <c r="RZW62" s="459"/>
      <c r="RZX62" s="459"/>
      <c r="RZY62" s="459"/>
      <c r="RZZ62" s="459"/>
      <c r="SAA62" s="459"/>
      <c r="SAB62" s="459"/>
      <c r="SAC62" s="459"/>
      <c r="SAD62" s="459"/>
      <c r="SAE62" s="459"/>
      <c r="SAF62" s="459"/>
      <c r="SAG62" s="459"/>
      <c r="SAH62" s="459"/>
      <c r="SAI62" s="459"/>
      <c r="SAJ62" s="459"/>
      <c r="SAK62" s="459"/>
      <c r="SAL62" s="459"/>
      <c r="SAM62" s="459"/>
      <c r="SAN62" s="459"/>
      <c r="SAO62" s="459"/>
      <c r="SAP62" s="459"/>
      <c r="SAQ62" s="459"/>
      <c r="SAR62" s="459"/>
      <c r="SAS62" s="459"/>
      <c r="SAT62" s="459"/>
      <c r="SAU62" s="459"/>
      <c r="SAV62" s="459"/>
      <c r="SAW62" s="459"/>
      <c r="SAX62" s="459"/>
      <c r="SAY62" s="459"/>
      <c r="SAZ62" s="459"/>
      <c r="SBA62" s="459"/>
      <c r="SBB62" s="459"/>
      <c r="SBC62" s="459"/>
      <c r="SBD62" s="459"/>
      <c r="SBE62" s="459"/>
      <c r="SBF62" s="459"/>
      <c r="SBG62" s="459"/>
      <c r="SBH62" s="459"/>
      <c r="SBI62" s="459"/>
      <c r="SBJ62" s="459"/>
      <c r="SBK62" s="459"/>
      <c r="SBL62" s="459"/>
      <c r="SBM62" s="459"/>
      <c r="SBN62" s="459"/>
      <c r="SBO62" s="459"/>
      <c r="SBP62" s="459"/>
      <c r="SBQ62" s="459"/>
      <c r="SBR62" s="459"/>
      <c r="SBS62" s="459"/>
      <c r="SBT62" s="459"/>
      <c r="SBU62" s="459"/>
      <c r="SBV62" s="459"/>
      <c r="SBW62" s="459"/>
      <c r="SBX62" s="459"/>
      <c r="SBY62" s="459"/>
      <c r="SBZ62" s="459"/>
      <c r="SCA62" s="459"/>
      <c r="SCB62" s="459"/>
      <c r="SCC62" s="459"/>
      <c r="SCD62" s="459"/>
      <c r="SCE62" s="459"/>
      <c r="SCF62" s="459"/>
      <c r="SCG62" s="459"/>
      <c r="SCH62" s="459"/>
      <c r="SCI62" s="459"/>
      <c r="SCJ62" s="459"/>
      <c r="SCK62" s="459"/>
      <c r="SCL62" s="459"/>
      <c r="SCM62" s="459"/>
      <c r="SCN62" s="459"/>
      <c r="SCO62" s="459"/>
      <c r="SCP62" s="459"/>
      <c r="SCQ62" s="459"/>
      <c r="SCR62" s="459"/>
      <c r="SCS62" s="459"/>
      <c r="SCT62" s="459"/>
      <c r="SCU62" s="459"/>
      <c r="SCV62" s="459"/>
      <c r="SCW62" s="459"/>
      <c r="SCX62" s="459"/>
      <c r="SCY62" s="459"/>
      <c r="SCZ62" s="459"/>
      <c r="SDA62" s="459"/>
      <c r="SDB62" s="459"/>
      <c r="SDC62" s="459"/>
      <c r="SDD62" s="459"/>
      <c r="SDE62" s="459"/>
      <c r="SDF62" s="459"/>
      <c r="SDG62" s="459"/>
      <c r="SDH62" s="459"/>
      <c r="SDI62" s="459"/>
      <c r="SDJ62" s="459"/>
      <c r="SDK62" s="459"/>
      <c r="SDL62" s="459"/>
      <c r="SDM62" s="459"/>
      <c r="SDN62" s="459"/>
      <c r="SDO62" s="459"/>
      <c r="SDP62" s="459"/>
      <c r="SDQ62" s="459"/>
      <c r="SDR62" s="459"/>
      <c r="SDS62" s="459"/>
      <c r="SDT62" s="459"/>
      <c r="SDU62" s="459"/>
      <c r="SDV62" s="459"/>
      <c r="SDW62" s="459"/>
      <c r="SDX62" s="459"/>
      <c r="SDY62" s="459"/>
      <c r="SDZ62" s="459"/>
      <c r="SEA62" s="459"/>
      <c r="SEB62" s="459"/>
      <c r="SEC62" s="459"/>
      <c r="SED62" s="459"/>
      <c r="SEE62" s="459"/>
      <c r="SEF62" s="459"/>
      <c r="SEG62" s="459"/>
      <c r="SEH62" s="459"/>
      <c r="SEI62" s="459"/>
      <c r="SEJ62" s="459"/>
      <c r="SEK62" s="459"/>
      <c r="SEL62" s="459"/>
      <c r="SEM62" s="459"/>
      <c r="SEN62" s="459"/>
      <c r="SEO62" s="459"/>
      <c r="SEP62" s="459"/>
      <c r="SEQ62" s="459"/>
      <c r="SER62" s="459"/>
      <c r="SES62" s="459"/>
      <c r="SET62" s="459"/>
      <c r="SEU62" s="459"/>
      <c r="SEV62" s="459"/>
      <c r="SEW62" s="459"/>
      <c r="SEX62" s="459"/>
      <c r="SEY62" s="459"/>
      <c r="SEZ62" s="459"/>
      <c r="SFA62" s="459"/>
      <c r="SFB62" s="459"/>
      <c r="SFC62" s="459"/>
      <c r="SFD62" s="459"/>
      <c r="SFE62" s="459"/>
      <c r="SFF62" s="459"/>
      <c r="SFG62" s="459"/>
      <c r="SFH62" s="459"/>
      <c r="SFI62" s="459"/>
      <c r="SFJ62" s="459"/>
      <c r="SFK62" s="459"/>
      <c r="SFL62" s="459"/>
      <c r="SFM62" s="459"/>
      <c r="SFN62" s="459"/>
      <c r="SFO62" s="459"/>
      <c r="SFP62" s="459"/>
      <c r="SFQ62" s="459"/>
      <c r="SFR62" s="459"/>
      <c r="SFS62" s="459"/>
      <c r="SFT62" s="459"/>
      <c r="SFU62" s="459"/>
      <c r="SFV62" s="459"/>
      <c r="SFW62" s="459"/>
      <c r="SFX62" s="459"/>
      <c r="SFY62" s="459"/>
      <c r="SFZ62" s="459"/>
      <c r="SGA62" s="459"/>
      <c r="SGB62" s="459"/>
      <c r="SGC62" s="459"/>
      <c r="SGD62" s="459"/>
      <c r="SGE62" s="459"/>
      <c r="SGF62" s="459"/>
      <c r="SGG62" s="459"/>
      <c r="SGH62" s="459"/>
      <c r="SGI62" s="459"/>
      <c r="SGJ62" s="459"/>
      <c r="SGK62" s="459"/>
      <c r="SGL62" s="459"/>
      <c r="SGM62" s="459"/>
      <c r="SGN62" s="459"/>
      <c r="SGO62" s="459"/>
      <c r="SGP62" s="459"/>
      <c r="SGQ62" s="459"/>
      <c r="SGR62" s="459"/>
      <c r="SGS62" s="459"/>
      <c r="SGT62" s="459"/>
      <c r="SGU62" s="459"/>
      <c r="SGV62" s="459"/>
      <c r="SGW62" s="459"/>
      <c r="SGX62" s="459"/>
      <c r="SGY62" s="459"/>
      <c r="SGZ62" s="459"/>
      <c r="SHA62" s="459"/>
      <c r="SHB62" s="459"/>
      <c r="SHC62" s="459"/>
      <c r="SHD62" s="459"/>
      <c r="SHE62" s="459"/>
      <c r="SHF62" s="459"/>
      <c r="SHG62" s="459"/>
      <c r="SHH62" s="459"/>
      <c r="SHI62" s="459"/>
      <c r="SHJ62" s="459"/>
      <c r="SHK62" s="459"/>
      <c r="SHL62" s="459"/>
      <c r="SHM62" s="459"/>
      <c r="SHN62" s="459"/>
      <c r="SHO62" s="459"/>
      <c r="SHP62" s="459"/>
      <c r="SHQ62" s="459"/>
      <c r="SHR62" s="459"/>
      <c r="SHS62" s="459"/>
      <c r="SHT62" s="459"/>
      <c r="SHU62" s="459"/>
      <c r="SHV62" s="459"/>
      <c r="SHW62" s="459"/>
      <c r="SHX62" s="459"/>
      <c r="SHY62" s="459"/>
      <c r="SHZ62" s="459"/>
      <c r="SIA62" s="459"/>
      <c r="SIB62" s="459"/>
      <c r="SIC62" s="459"/>
      <c r="SID62" s="459"/>
      <c r="SIE62" s="459"/>
      <c r="SIF62" s="459"/>
      <c r="SIG62" s="459"/>
      <c r="SIH62" s="459"/>
      <c r="SII62" s="459"/>
      <c r="SIJ62" s="459"/>
      <c r="SIK62" s="459"/>
      <c r="SIL62" s="459"/>
      <c r="SIM62" s="459"/>
      <c r="SIN62" s="459"/>
      <c r="SIO62" s="459"/>
      <c r="SIP62" s="459"/>
      <c r="SIQ62" s="459"/>
      <c r="SIR62" s="459"/>
      <c r="SIS62" s="459"/>
      <c r="SIT62" s="459"/>
      <c r="SIU62" s="459"/>
      <c r="SIV62" s="459"/>
      <c r="SIW62" s="459"/>
      <c r="SIX62" s="459"/>
      <c r="SIY62" s="459"/>
      <c r="SIZ62" s="459"/>
      <c r="SJA62" s="459"/>
      <c r="SJB62" s="459"/>
      <c r="SJC62" s="459"/>
      <c r="SJD62" s="459"/>
      <c r="SJE62" s="459"/>
      <c r="SJF62" s="459"/>
      <c r="SJG62" s="459"/>
      <c r="SJH62" s="459"/>
      <c r="SJI62" s="459"/>
      <c r="SJJ62" s="459"/>
      <c r="SJK62" s="459"/>
      <c r="SJL62" s="459"/>
      <c r="SJM62" s="459"/>
      <c r="SJN62" s="459"/>
      <c r="SJO62" s="459"/>
      <c r="SJP62" s="459"/>
      <c r="SJQ62" s="459"/>
      <c r="SJR62" s="459"/>
      <c r="SJS62" s="459"/>
      <c r="SJT62" s="459"/>
      <c r="SJU62" s="459"/>
      <c r="SJV62" s="459"/>
      <c r="SJW62" s="459"/>
      <c r="SJX62" s="459"/>
      <c r="SJY62" s="459"/>
      <c r="SJZ62" s="459"/>
      <c r="SKA62" s="459"/>
      <c r="SKB62" s="459"/>
      <c r="SKC62" s="459"/>
      <c r="SKD62" s="459"/>
      <c r="SKE62" s="459"/>
      <c r="SKF62" s="459"/>
      <c r="SKG62" s="459"/>
      <c r="SKH62" s="459"/>
      <c r="SKI62" s="459"/>
      <c r="SKJ62" s="459"/>
      <c r="SKK62" s="459"/>
      <c r="SKL62" s="459"/>
      <c r="SKM62" s="459"/>
      <c r="SKN62" s="459"/>
      <c r="SKO62" s="459"/>
      <c r="SKP62" s="459"/>
      <c r="SKQ62" s="459"/>
      <c r="SKR62" s="459"/>
      <c r="SKS62" s="459"/>
      <c r="SKT62" s="459"/>
      <c r="SKU62" s="459"/>
      <c r="SKV62" s="459"/>
      <c r="SKW62" s="459"/>
      <c r="SKX62" s="459"/>
      <c r="SKY62" s="459"/>
      <c r="SKZ62" s="459"/>
      <c r="SLA62" s="459"/>
      <c r="SLB62" s="459"/>
      <c r="SLC62" s="459"/>
      <c r="SLD62" s="459"/>
      <c r="SLE62" s="459"/>
      <c r="SLF62" s="459"/>
      <c r="SLG62" s="459"/>
      <c r="SLH62" s="459"/>
      <c r="SLI62" s="459"/>
      <c r="SLJ62" s="459"/>
      <c r="SLK62" s="459"/>
      <c r="SLL62" s="459"/>
      <c r="SLM62" s="459"/>
      <c r="SLN62" s="459"/>
      <c r="SLO62" s="459"/>
      <c r="SLP62" s="459"/>
      <c r="SLQ62" s="459"/>
      <c r="SLR62" s="459"/>
      <c r="SLS62" s="459"/>
      <c r="SLT62" s="459"/>
      <c r="SLU62" s="459"/>
      <c r="SLV62" s="459"/>
      <c r="SLW62" s="459"/>
      <c r="SLX62" s="459"/>
      <c r="SLY62" s="459"/>
      <c r="SLZ62" s="459"/>
      <c r="SMA62" s="459"/>
      <c r="SMB62" s="459"/>
      <c r="SMC62" s="459"/>
      <c r="SMD62" s="459"/>
      <c r="SME62" s="459"/>
      <c r="SMF62" s="459"/>
      <c r="SMG62" s="459"/>
      <c r="SMH62" s="459"/>
      <c r="SMI62" s="459"/>
      <c r="SMJ62" s="459"/>
      <c r="SMK62" s="459"/>
      <c r="SML62" s="459"/>
      <c r="SMM62" s="459"/>
      <c r="SMN62" s="459"/>
      <c r="SMO62" s="459"/>
      <c r="SMP62" s="459"/>
      <c r="SMQ62" s="459"/>
      <c r="SMR62" s="459"/>
      <c r="SMS62" s="459"/>
      <c r="SMT62" s="459"/>
      <c r="SMU62" s="459"/>
      <c r="SMV62" s="459"/>
      <c r="SMW62" s="459"/>
      <c r="SMX62" s="459"/>
      <c r="SMY62" s="459"/>
      <c r="SMZ62" s="459"/>
      <c r="SNA62" s="459"/>
      <c r="SNB62" s="459"/>
      <c r="SNC62" s="459"/>
      <c r="SND62" s="459"/>
      <c r="SNE62" s="459"/>
      <c r="SNF62" s="459"/>
      <c r="SNG62" s="459"/>
      <c r="SNH62" s="459"/>
      <c r="SNI62" s="459"/>
      <c r="SNJ62" s="459"/>
      <c r="SNK62" s="459"/>
      <c r="SNL62" s="459"/>
      <c r="SNM62" s="459"/>
      <c r="SNN62" s="459"/>
      <c r="SNO62" s="459"/>
      <c r="SNP62" s="459"/>
      <c r="SNQ62" s="459"/>
      <c r="SNR62" s="459"/>
      <c r="SNS62" s="459"/>
      <c r="SNT62" s="459"/>
      <c r="SNU62" s="459"/>
      <c r="SNV62" s="459"/>
      <c r="SNW62" s="459"/>
      <c r="SNX62" s="459"/>
      <c r="SNY62" s="459"/>
      <c r="SNZ62" s="459"/>
      <c r="SOA62" s="459"/>
      <c r="SOB62" s="459"/>
      <c r="SOC62" s="459"/>
      <c r="SOD62" s="459"/>
      <c r="SOE62" s="459"/>
      <c r="SOF62" s="459"/>
      <c r="SOG62" s="459"/>
      <c r="SOH62" s="459"/>
      <c r="SOI62" s="459"/>
      <c r="SOJ62" s="459"/>
      <c r="SOK62" s="459"/>
      <c r="SOL62" s="459"/>
      <c r="SOM62" s="459"/>
      <c r="SON62" s="459"/>
      <c r="SOO62" s="459"/>
      <c r="SOP62" s="459"/>
      <c r="SOQ62" s="459"/>
      <c r="SOR62" s="459"/>
      <c r="SOS62" s="459"/>
      <c r="SOT62" s="459"/>
      <c r="SOU62" s="459"/>
      <c r="SOV62" s="459"/>
      <c r="SOW62" s="459"/>
      <c r="SOX62" s="459"/>
      <c r="SOY62" s="459"/>
      <c r="SOZ62" s="459"/>
      <c r="SPA62" s="459"/>
      <c r="SPB62" s="459"/>
      <c r="SPC62" s="459"/>
      <c r="SPD62" s="459"/>
      <c r="SPE62" s="459"/>
      <c r="SPF62" s="459"/>
      <c r="SPG62" s="459"/>
      <c r="SPH62" s="459"/>
      <c r="SPI62" s="459"/>
      <c r="SPJ62" s="459"/>
      <c r="SPK62" s="459"/>
      <c r="SPL62" s="459"/>
      <c r="SPM62" s="459"/>
      <c r="SPN62" s="459"/>
      <c r="SPO62" s="459"/>
      <c r="SPP62" s="459"/>
      <c r="SPQ62" s="459"/>
      <c r="SPR62" s="459"/>
      <c r="SPS62" s="459"/>
      <c r="SPT62" s="459"/>
      <c r="SPU62" s="459"/>
      <c r="SPV62" s="459"/>
      <c r="SPW62" s="459"/>
      <c r="SPX62" s="459"/>
      <c r="SPY62" s="459"/>
      <c r="SPZ62" s="459"/>
      <c r="SQA62" s="459"/>
      <c r="SQB62" s="459"/>
      <c r="SQC62" s="459"/>
      <c r="SQD62" s="459"/>
      <c r="SQE62" s="459"/>
      <c r="SQF62" s="459"/>
      <c r="SQG62" s="459"/>
      <c r="SQH62" s="459"/>
      <c r="SQI62" s="459"/>
      <c r="SQJ62" s="459"/>
      <c r="SQK62" s="459"/>
      <c r="SQL62" s="459"/>
      <c r="SQM62" s="459"/>
      <c r="SQN62" s="459"/>
      <c r="SQO62" s="459"/>
      <c r="SQP62" s="459"/>
      <c r="SQQ62" s="459"/>
      <c r="SQR62" s="459"/>
      <c r="SQS62" s="459"/>
      <c r="SQT62" s="459"/>
      <c r="SQU62" s="459"/>
      <c r="SQV62" s="459"/>
      <c r="SQW62" s="459"/>
      <c r="SQX62" s="459"/>
      <c r="SQY62" s="459"/>
      <c r="SQZ62" s="459"/>
      <c r="SRA62" s="459"/>
      <c r="SRB62" s="459"/>
      <c r="SRC62" s="459"/>
      <c r="SRD62" s="459"/>
      <c r="SRE62" s="459"/>
      <c r="SRF62" s="459"/>
      <c r="SRG62" s="459"/>
      <c r="SRH62" s="459"/>
      <c r="SRI62" s="459"/>
      <c r="SRJ62" s="459"/>
      <c r="SRK62" s="459"/>
      <c r="SRL62" s="459"/>
      <c r="SRM62" s="459"/>
      <c r="SRN62" s="459"/>
      <c r="SRO62" s="459"/>
      <c r="SRP62" s="459"/>
      <c r="SRQ62" s="459"/>
      <c r="SRR62" s="459"/>
      <c r="SRS62" s="459"/>
      <c r="SRT62" s="459"/>
      <c r="SRU62" s="459"/>
      <c r="SRV62" s="459"/>
      <c r="SRW62" s="459"/>
      <c r="SRX62" s="459"/>
      <c r="SRY62" s="459"/>
      <c r="SRZ62" s="459"/>
      <c r="SSA62" s="459"/>
      <c r="SSB62" s="459"/>
      <c r="SSC62" s="459"/>
      <c r="SSD62" s="459"/>
      <c r="SSE62" s="459"/>
      <c r="SSF62" s="459"/>
      <c r="SSG62" s="459"/>
      <c r="SSH62" s="459"/>
      <c r="SSI62" s="459"/>
      <c r="SSJ62" s="459"/>
      <c r="SSK62" s="459"/>
      <c r="SSL62" s="459"/>
      <c r="SSM62" s="459"/>
      <c r="SSN62" s="459"/>
      <c r="SSO62" s="459"/>
      <c r="SSP62" s="459"/>
      <c r="SSQ62" s="459"/>
      <c r="SSR62" s="459"/>
      <c r="SSS62" s="459"/>
      <c r="SST62" s="459"/>
      <c r="SSU62" s="459"/>
      <c r="SSV62" s="459"/>
      <c r="SSW62" s="459"/>
      <c r="SSX62" s="459"/>
      <c r="SSY62" s="459"/>
      <c r="SSZ62" s="459"/>
      <c r="STA62" s="459"/>
      <c r="STB62" s="459"/>
      <c r="STC62" s="459"/>
      <c r="STD62" s="459"/>
      <c r="STE62" s="459"/>
      <c r="STF62" s="459"/>
      <c r="STG62" s="459"/>
      <c r="STH62" s="459"/>
      <c r="STI62" s="459"/>
      <c r="STJ62" s="459"/>
      <c r="STK62" s="459"/>
      <c r="STL62" s="459"/>
      <c r="STM62" s="459"/>
      <c r="STN62" s="459"/>
      <c r="STO62" s="459"/>
      <c r="STP62" s="459"/>
      <c r="STQ62" s="459"/>
      <c r="STR62" s="459"/>
      <c r="STS62" s="459"/>
      <c r="STT62" s="459"/>
      <c r="STU62" s="459"/>
      <c r="STV62" s="459"/>
      <c r="STW62" s="459"/>
      <c r="STX62" s="459"/>
      <c r="STY62" s="459"/>
      <c r="STZ62" s="459"/>
      <c r="SUA62" s="459"/>
      <c r="SUB62" s="459"/>
      <c r="SUC62" s="459"/>
      <c r="SUD62" s="459"/>
      <c r="SUE62" s="459"/>
      <c r="SUF62" s="459"/>
      <c r="SUG62" s="459"/>
      <c r="SUH62" s="459"/>
      <c r="SUI62" s="459"/>
      <c r="SUJ62" s="459"/>
      <c r="SUK62" s="459"/>
      <c r="SUL62" s="459"/>
      <c r="SUM62" s="459"/>
      <c r="SUN62" s="459"/>
      <c r="SUO62" s="459"/>
      <c r="SUP62" s="459"/>
      <c r="SUQ62" s="459"/>
      <c r="SUR62" s="459"/>
      <c r="SUS62" s="459"/>
      <c r="SUT62" s="459"/>
      <c r="SUU62" s="459"/>
      <c r="SUV62" s="459"/>
      <c r="SUW62" s="459"/>
      <c r="SUX62" s="459"/>
      <c r="SUY62" s="459"/>
      <c r="SUZ62" s="459"/>
      <c r="SVA62" s="459"/>
      <c r="SVB62" s="459"/>
      <c r="SVC62" s="459"/>
      <c r="SVD62" s="459"/>
      <c r="SVE62" s="459"/>
      <c r="SVF62" s="459"/>
      <c r="SVG62" s="459"/>
      <c r="SVH62" s="459"/>
      <c r="SVI62" s="459"/>
      <c r="SVJ62" s="459"/>
      <c r="SVK62" s="459"/>
      <c r="SVL62" s="459"/>
      <c r="SVM62" s="459"/>
      <c r="SVN62" s="459"/>
      <c r="SVO62" s="459"/>
      <c r="SVP62" s="459"/>
      <c r="SVQ62" s="459"/>
      <c r="SVR62" s="459"/>
      <c r="SVS62" s="459"/>
      <c r="SVT62" s="459"/>
      <c r="SVU62" s="459"/>
      <c r="SVV62" s="459"/>
      <c r="SVW62" s="459"/>
      <c r="SVX62" s="459"/>
      <c r="SVY62" s="459"/>
      <c r="SVZ62" s="459"/>
      <c r="SWA62" s="459"/>
      <c r="SWB62" s="459"/>
      <c r="SWC62" s="459"/>
      <c r="SWD62" s="459"/>
      <c r="SWE62" s="459"/>
      <c r="SWF62" s="459"/>
      <c r="SWG62" s="459"/>
      <c r="SWH62" s="459"/>
      <c r="SWI62" s="459"/>
      <c r="SWJ62" s="459"/>
      <c r="SWK62" s="459"/>
      <c r="SWL62" s="459"/>
      <c r="SWM62" s="459"/>
      <c r="SWN62" s="459"/>
      <c r="SWO62" s="459"/>
      <c r="SWP62" s="459"/>
      <c r="SWQ62" s="459"/>
      <c r="SWR62" s="459"/>
      <c r="SWS62" s="459"/>
      <c r="SWT62" s="459"/>
      <c r="SWU62" s="459"/>
      <c r="SWV62" s="459"/>
      <c r="SWW62" s="459"/>
      <c r="SWX62" s="459"/>
      <c r="SWY62" s="459"/>
      <c r="SWZ62" s="459"/>
      <c r="SXA62" s="459"/>
      <c r="SXB62" s="459"/>
      <c r="SXC62" s="459"/>
      <c r="SXD62" s="459"/>
      <c r="SXE62" s="459"/>
      <c r="SXF62" s="459"/>
      <c r="SXG62" s="459"/>
      <c r="SXH62" s="459"/>
      <c r="SXI62" s="459"/>
      <c r="SXJ62" s="459"/>
      <c r="SXK62" s="459"/>
      <c r="SXL62" s="459"/>
      <c r="SXM62" s="459"/>
      <c r="SXN62" s="459"/>
      <c r="SXO62" s="459"/>
      <c r="SXP62" s="459"/>
      <c r="SXQ62" s="459"/>
      <c r="SXR62" s="459"/>
      <c r="SXS62" s="459"/>
      <c r="SXT62" s="459"/>
      <c r="SXU62" s="459"/>
      <c r="SXV62" s="459"/>
      <c r="SXW62" s="459"/>
      <c r="SXX62" s="459"/>
      <c r="SXY62" s="459"/>
      <c r="SXZ62" s="459"/>
      <c r="SYA62" s="459"/>
      <c r="SYB62" s="459"/>
      <c r="SYC62" s="459"/>
      <c r="SYD62" s="459"/>
      <c r="SYE62" s="459"/>
      <c r="SYF62" s="459"/>
      <c r="SYG62" s="459"/>
      <c r="SYH62" s="459"/>
      <c r="SYI62" s="459"/>
      <c r="SYJ62" s="459"/>
      <c r="SYK62" s="459"/>
      <c r="SYL62" s="459"/>
      <c r="SYM62" s="459"/>
      <c r="SYN62" s="459"/>
      <c r="SYO62" s="459"/>
      <c r="SYP62" s="459"/>
      <c r="SYQ62" s="459"/>
      <c r="SYR62" s="459"/>
      <c r="SYS62" s="459"/>
      <c r="SYT62" s="459"/>
      <c r="SYU62" s="459"/>
      <c r="SYV62" s="459"/>
      <c r="SYW62" s="459"/>
      <c r="SYX62" s="459"/>
      <c r="SYY62" s="459"/>
      <c r="SYZ62" s="459"/>
      <c r="SZA62" s="459"/>
      <c r="SZB62" s="459"/>
      <c r="SZC62" s="459"/>
      <c r="SZD62" s="459"/>
      <c r="SZE62" s="459"/>
      <c r="SZF62" s="459"/>
      <c r="SZG62" s="459"/>
      <c r="SZH62" s="459"/>
      <c r="SZI62" s="459"/>
      <c r="SZJ62" s="459"/>
      <c r="SZK62" s="459"/>
      <c r="SZL62" s="459"/>
      <c r="SZM62" s="459"/>
      <c r="SZN62" s="459"/>
      <c r="SZO62" s="459"/>
      <c r="SZP62" s="459"/>
      <c r="SZQ62" s="459"/>
      <c r="SZR62" s="459"/>
      <c r="SZS62" s="459"/>
      <c r="SZT62" s="459"/>
      <c r="SZU62" s="459"/>
      <c r="SZV62" s="459"/>
      <c r="SZW62" s="459"/>
      <c r="SZX62" s="459"/>
      <c r="SZY62" s="459"/>
      <c r="SZZ62" s="459"/>
      <c r="TAA62" s="459"/>
      <c r="TAB62" s="459"/>
      <c r="TAC62" s="459"/>
      <c r="TAD62" s="459"/>
      <c r="TAE62" s="459"/>
      <c r="TAF62" s="459"/>
      <c r="TAG62" s="459"/>
      <c r="TAH62" s="459"/>
      <c r="TAI62" s="459"/>
      <c r="TAJ62" s="459"/>
      <c r="TAK62" s="459"/>
      <c r="TAL62" s="459"/>
      <c r="TAM62" s="459"/>
      <c r="TAN62" s="459"/>
      <c r="TAO62" s="459"/>
      <c r="TAP62" s="459"/>
      <c r="TAQ62" s="459"/>
      <c r="TAR62" s="459"/>
      <c r="TAS62" s="459"/>
      <c r="TAT62" s="459"/>
      <c r="TAU62" s="459"/>
      <c r="TAV62" s="459"/>
      <c r="TAW62" s="459"/>
      <c r="TAX62" s="459"/>
      <c r="TAY62" s="459"/>
      <c r="TAZ62" s="459"/>
      <c r="TBA62" s="459"/>
      <c r="TBB62" s="459"/>
      <c r="TBC62" s="459"/>
      <c r="TBD62" s="459"/>
      <c r="TBE62" s="459"/>
      <c r="TBF62" s="459"/>
      <c r="TBG62" s="459"/>
      <c r="TBH62" s="459"/>
      <c r="TBI62" s="459"/>
      <c r="TBJ62" s="459"/>
      <c r="TBK62" s="459"/>
      <c r="TBL62" s="459"/>
      <c r="TBM62" s="459"/>
      <c r="TBN62" s="459"/>
      <c r="TBO62" s="459"/>
      <c r="TBP62" s="459"/>
      <c r="TBQ62" s="459"/>
      <c r="TBR62" s="459"/>
      <c r="TBS62" s="459"/>
      <c r="TBT62" s="459"/>
      <c r="TBU62" s="459"/>
      <c r="TBV62" s="459"/>
      <c r="TBW62" s="459"/>
      <c r="TBX62" s="459"/>
      <c r="TBY62" s="459"/>
      <c r="TBZ62" s="459"/>
      <c r="TCA62" s="459"/>
      <c r="TCB62" s="459"/>
      <c r="TCC62" s="459"/>
      <c r="TCD62" s="459"/>
      <c r="TCE62" s="459"/>
      <c r="TCF62" s="459"/>
      <c r="TCG62" s="459"/>
      <c r="TCH62" s="459"/>
      <c r="TCI62" s="459"/>
      <c r="TCJ62" s="459"/>
      <c r="TCK62" s="459"/>
      <c r="TCL62" s="459"/>
      <c r="TCM62" s="459"/>
      <c r="TCN62" s="459"/>
      <c r="TCO62" s="459"/>
      <c r="TCP62" s="459"/>
      <c r="TCQ62" s="459"/>
      <c r="TCR62" s="459"/>
      <c r="TCS62" s="459"/>
      <c r="TCT62" s="459"/>
      <c r="TCU62" s="459"/>
      <c r="TCV62" s="459"/>
      <c r="TCW62" s="459"/>
      <c r="TCX62" s="459"/>
      <c r="TCY62" s="459"/>
      <c r="TCZ62" s="459"/>
      <c r="TDA62" s="459"/>
      <c r="TDB62" s="459"/>
      <c r="TDC62" s="459"/>
      <c r="TDD62" s="459"/>
      <c r="TDE62" s="459"/>
      <c r="TDF62" s="459"/>
      <c r="TDG62" s="459"/>
      <c r="TDH62" s="459"/>
      <c r="TDI62" s="459"/>
      <c r="TDJ62" s="459"/>
      <c r="TDK62" s="459"/>
      <c r="TDL62" s="459"/>
      <c r="TDM62" s="459"/>
      <c r="TDN62" s="459"/>
      <c r="TDO62" s="459"/>
      <c r="TDP62" s="459"/>
      <c r="TDQ62" s="459"/>
      <c r="TDR62" s="459"/>
      <c r="TDS62" s="459"/>
      <c r="TDT62" s="459"/>
      <c r="TDU62" s="459"/>
      <c r="TDV62" s="459"/>
      <c r="TDW62" s="459"/>
      <c r="TDX62" s="459"/>
      <c r="TDY62" s="459"/>
      <c r="TDZ62" s="459"/>
      <c r="TEA62" s="459"/>
      <c r="TEB62" s="459"/>
      <c r="TEC62" s="459"/>
      <c r="TED62" s="459"/>
      <c r="TEE62" s="459"/>
      <c r="TEF62" s="459"/>
      <c r="TEG62" s="459"/>
      <c r="TEH62" s="459"/>
      <c r="TEI62" s="459"/>
      <c r="TEJ62" s="459"/>
      <c r="TEK62" s="459"/>
      <c r="TEL62" s="459"/>
      <c r="TEM62" s="459"/>
      <c r="TEN62" s="459"/>
      <c r="TEO62" s="459"/>
      <c r="TEP62" s="459"/>
      <c r="TEQ62" s="459"/>
      <c r="TER62" s="459"/>
      <c r="TES62" s="459"/>
      <c r="TET62" s="459"/>
      <c r="TEU62" s="459"/>
      <c r="TEV62" s="459"/>
      <c r="TEW62" s="459"/>
      <c r="TEX62" s="459"/>
      <c r="TEY62" s="459"/>
      <c r="TEZ62" s="459"/>
      <c r="TFA62" s="459"/>
      <c r="TFB62" s="459"/>
      <c r="TFC62" s="459"/>
      <c r="TFD62" s="459"/>
      <c r="TFE62" s="459"/>
      <c r="TFF62" s="459"/>
      <c r="TFG62" s="459"/>
      <c r="TFH62" s="459"/>
      <c r="TFI62" s="459"/>
      <c r="TFJ62" s="459"/>
      <c r="TFK62" s="459"/>
      <c r="TFL62" s="459"/>
      <c r="TFM62" s="459"/>
      <c r="TFN62" s="459"/>
      <c r="TFO62" s="459"/>
      <c r="TFP62" s="459"/>
      <c r="TFQ62" s="459"/>
      <c r="TFR62" s="459"/>
      <c r="TFS62" s="459"/>
      <c r="TFT62" s="459"/>
      <c r="TFU62" s="459"/>
      <c r="TFV62" s="459"/>
      <c r="TFW62" s="459"/>
      <c r="TFX62" s="459"/>
      <c r="TFY62" s="459"/>
      <c r="TFZ62" s="459"/>
      <c r="TGA62" s="459"/>
      <c r="TGB62" s="459"/>
      <c r="TGC62" s="459"/>
      <c r="TGD62" s="459"/>
      <c r="TGE62" s="459"/>
      <c r="TGF62" s="459"/>
      <c r="TGG62" s="459"/>
      <c r="TGH62" s="459"/>
      <c r="TGI62" s="459"/>
      <c r="TGJ62" s="459"/>
      <c r="TGK62" s="459"/>
      <c r="TGL62" s="459"/>
      <c r="TGM62" s="459"/>
      <c r="TGN62" s="459"/>
      <c r="TGO62" s="459"/>
      <c r="TGP62" s="459"/>
      <c r="TGQ62" s="459"/>
      <c r="TGR62" s="459"/>
      <c r="TGS62" s="459"/>
      <c r="TGT62" s="459"/>
      <c r="TGU62" s="459"/>
      <c r="TGV62" s="459"/>
      <c r="TGW62" s="459"/>
      <c r="TGX62" s="459"/>
      <c r="TGY62" s="459"/>
      <c r="TGZ62" s="459"/>
      <c r="THA62" s="459"/>
      <c r="THB62" s="459"/>
      <c r="THC62" s="459"/>
      <c r="THD62" s="459"/>
      <c r="THE62" s="459"/>
      <c r="THF62" s="459"/>
      <c r="THG62" s="459"/>
      <c r="THH62" s="459"/>
      <c r="THI62" s="459"/>
      <c r="THJ62" s="459"/>
      <c r="THK62" s="459"/>
      <c r="THL62" s="459"/>
      <c r="THM62" s="459"/>
      <c r="THN62" s="459"/>
      <c r="THO62" s="459"/>
      <c r="THP62" s="459"/>
      <c r="THQ62" s="459"/>
      <c r="THR62" s="459"/>
      <c r="THS62" s="459"/>
      <c r="THT62" s="459"/>
      <c r="THU62" s="459"/>
      <c r="THV62" s="459"/>
      <c r="THW62" s="459"/>
      <c r="THX62" s="459"/>
      <c r="THY62" s="459"/>
      <c r="THZ62" s="459"/>
      <c r="TIA62" s="459"/>
      <c r="TIB62" s="459"/>
      <c r="TIC62" s="459"/>
      <c r="TID62" s="459"/>
      <c r="TIE62" s="459"/>
      <c r="TIF62" s="459"/>
      <c r="TIG62" s="459"/>
      <c r="TIH62" s="459"/>
      <c r="TII62" s="459"/>
      <c r="TIJ62" s="459"/>
      <c r="TIK62" s="459"/>
      <c r="TIL62" s="459"/>
      <c r="TIM62" s="459"/>
      <c r="TIN62" s="459"/>
      <c r="TIO62" s="459"/>
      <c r="TIP62" s="459"/>
      <c r="TIQ62" s="459"/>
      <c r="TIR62" s="459"/>
      <c r="TIS62" s="459"/>
      <c r="TIT62" s="459"/>
      <c r="TIU62" s="459"/>
      <c r="TIV62" s="459"/>
      <c r="TIW62" s="459"/>
      <c r="TIX62" s="459"/>
      <c r="TIY62" s="459"/>
      <c r="TIZ62" s="459"/>
      <c r="TJA62" s="459"/>
      <c r="TJB62" s="459"/>
      <c r="TJC62" s="459"/>
      <c r="TJD62" s="459"/>
      <c r="TJE62" s="459"/>
      <c r="TJF62" s="459"/>
      <c r="TJG62" s="459"/>
      <c r="TJH62" s="459"/>
      <c r="TJI62" s="459"/>
      <c r="TJJ62" s="459"/>
      <c r="TJK62" s="459"/>
      <c r="TJL62" s="459"/>
      <c r="TJM62" s="459"/>
      <c r="TJN62" s="459"/>
      <c r="TJO62" s="459"/>
      <c r="TJP62" s="459"/>
      <c r="TJQ62" s="459"/>
      <c r="TJR62" s="459"/>
      <c r="TJS62" s="459"/>
      <c r="TJT62" s="459"/>
      <c r="TJU62" s="459"/>
      <c r="TJV62" s="459"/>
      <c r="TJW62" s="459"/>
      <c r="TJX62" s="459"/>
      <c r="TJY62" s="459"/>
      <c r="TJZ62" s="459"/>
      <c r="TKA62" s="459"/>
      <c r="TKB62" s="459"/>
      <c r="TKC62" s="459"/>
      <c r="TKD62" s="459"/>
      <c r="TKE62" s="459"/>
      <c r="TKF62" s="459"/>
      <c r="TKG62" s="459"/>
      <c r="TKH62" s="459"/>
      <c r="TKI62" s="459"/>
      <c r="TKJ62" s="459"/>
      <c r="TKK62" s="459"/>
      <c r="TKL62" s="459"/>
      <c r="TKM62" s="459"/>
      <c r="TKN62" s="459"/>
      <c r="TKO62" s="459"/>
      <c r="TKP62" s="459"/>
      <c r="TKQ62" s="459"/>
      <c r="TKR62" s="459"/>
      <c r="TKS62" s="459"/>
      <c r="TKT62" s="459"/>
      <c r="TKU62" s="459"/>
      <c r="TKV62" s="459"/>
      <c r="TKW62" s="459"/>
      <c r="TKX62" s="459"/>
      <c r="TKY62" s="459"/>
      <c r="TKZ62" s="459"/>
      <c r="TLA62" s="459"/>
      <c r="TLB62" s="459"/>
      <c r="TLC62" s="459"/>
      <c r="TLD62" s="459"/>
      <c r="TLE62" s="459"/>
      <c r="TLF62" s="459"/>
      <c r="TLG62" s="459"/>
      <c r="TLH62" s="459"/>
      <c r="TLI62" s="459"/>
      <c r="TLJ62" s="459"/>
      <c r="TLK62" s="459"/>
      <c r="TLL62" s="459"/>
      <c r="TLM62" s="459"/>
      <c r="TLN62" s="459"/>
      <c r="TLO62" s="459"/>
      <c r="TLP62" s="459"/>
      <c r="TLQ62" s="459"/>
      <c r="TLR62" s="459"/>
      <c r="TLS62" s="459"/>
      <c r="TLT62" s="459"/>
      <c r="TLU62" s="459"/>
      <c r="TLV62" s="459"/>
      <c r="TLW62" s="459"/>
      <c r="TLX62" s="459"/>
      <c r="TLY62" s="459"/>
      <c r="TLZ62" s="459"/>
      <c r="TMA62" s="459"/>
      <c r="TMB62" s="459"/>
      <c r="TMC62" s="459"/>
      <c r="TMD62" s="459"/>
      <c r="TME62" s="459"/>
      <c r="TMF62" s="459"/>
      <c r="TMG62" s="459"/>
      <c r="TMH62" s="459"/>
      <c r="TMI62" s="459"/>
      <c r="TMJ62" s="459"/>
      <c r="TMK62" s="459"/>
      <c r="TML62" s="459"/>
      <c r="TMM62" s="459"/>
      <c r="TMN62" s="459"/>
      <c r="TMO62" s="459"/>
      <c r="TMP62" s="459"/>
      <c r="TMQ62" s="459"/>
      <c r="TMR62" s="459"/>
      <c r="TMS62" s="459"/>
      <c r="TMT62" s="459"/>
      <c r="TMU62" s="459"/>
      <c r="TMV62" s="459"/>
      <c r="TMW62" s="459"/>
      <c r="TMX62" s="459"/>
      <c r="TMY62" s="459"/>
      <c r="TMZ62" s="459"/>
      <c r="TNA62" s="459"/>
      <c r="TNB62" s="459"/>
      <c r="TNC62" s="459"/>
      <c r="TND62" s="459"/>
      <c r="TNE62" s="459"/>
      <c r="TNF62" s="459"/>
      <c r="TNG62" s="459"/>
      <c r="TNH62" s="459"/>
      <c r="TNI62" s="459"/>
      <c r="TNJ62" s="459"/>
      <c r="TNK62" s="459"/>
      <c r="TNL62" s="459"/>
      <c r="TNM62" s="459"/>
      <c r="TNN62" s="459"/>
      <c r="TNO62" s="459"/>
      <c r="TNP62" s="459"/>
      <c r="TNQ62" s="459"/>
      <c r="TNR62" s="459"/>
      <c r="TNS62" s="459"/>
      <c r="TNT62" s="459"/>
      <c r="TNU62" s="459"/>
      <c r="TNV62" s="459"/>
      <c r="TNW62" s="459"/>
      <c r="TNX62" s="459"/>
      <c r="TNY62" s="459"/>
      <c r="TNZ62" s="459"/>
      <c r="TOA62" s="459"/>
      <c r="TOB62" s="459"/>
      <c r="TOC62" s="459"/>
      <c r="TOD62" s="459"/>
      <c r="TOE62" s="459"/>
      <c r="TOF62" s="459"/>
      <c r="TOG62" s="459"/>
      <c r="TOH62" s="459"/>
      <c r="TOI62" s="459"/>
      <c r="TOJ62" s="459"/>
      <c r="TOK62" s="459"/>
      <c r="TOL62" s="459"/>
      <c r="TOM62" s="459"/>
      <c r="TON62" s="459"/>
      <c r="TOO62" s="459"/>
      <c r="TOP62" s="459"/>
      <c r="TOQ62" s="459"/>
      <c r="TOR62" s="459"/>
      <c r="TOS62" s="459"/>
      <c r="TOT62" s="459"/>
      <c r="TOU62" s="459"/>
      <c r="TOV62" s="459"/>
      <c r="TOW62" s="459"/>
      <c r="TOX62" s="459"/>
      <c r="TOY62" s="459"/>
      <c r="TOZ62" s="459"/>
      <c r="TPA62" s="459"/>
      <c r="TPB62" s="459"/>
      <c r="TPC62" s="459"/>
      <c r="TPD62" s="459"/>
      <c r="TPE62" s="459"/>
      <c r="TPF62" s="459"/>
      <c r="TPG62" s="459"/>
      <c r="TPH62" s="459"/>
      <c r="TPI62" s="459"/>
      <c r="TPJ62" s="459"/>
      <c r="TPK62" s="459"/>
      <c r="TPL62" s="459"/>
      <c r="TPM62" s="459"/>
      <c r="TPN62" s="459"/>
      <c r="TPO62" s="459"/>
      <c r="TPP62" s="459"/>
      <c r="TPQ62" s="459"/>
      <c r="TPR62" s="459"/>
      <c r="TPS62" s="459"/>
      <c r="TPT62" s="459"/>
      <c r="TPU62" s="459"/>
      <c r="TPV62" s="459"/>
      <c r="TPW62" s="459"/>
      <c r="TPX62" s="459"/>
      <c r="TPY62" s="459"/>
      <c r="TPZ62" s="459"/>
      <c r="TQA62" s="459"/>
      <c r="TQB62" s="459"/>
      <c r="TQC62" s="459"/>
      <c r="TQD62" s="459"/>
      <c r="TQE62" s="459"/>
      <c r="TQF62" s="459"/>
      <c r="TQG62" s="459"/>
      <c r="TQH62" s="459"/>
      <c r="TQI62" s="459"/>
      <c r="TQJ62" s="459"/>
      <c r="TQK62" s="459"/>
      <c r="TQL62" s="459"/>
      <c r="TQM62" s="459"/>
      <c r="TQN62" s="459"/>
      <c r="TQO62" s="459"/>
      <c r="TQP62" s="459"/>
      <c r="TQQ62" s="459"/>
      <c r="TQR62" s="459"/>
      <c r="TQS62" s="459"/>
      <c r="TQT62" s="459"/>
      <c r="TQU62" s="459"/>
      <c r="TQV62" s="459"/>
      <c r="TQW62" s="459"/>
      <c r="TQX62" s="459"/>
      <c r="TQY62" s="459"/>
      <c r="TQZ62" s="459"/>
      <c r="TRA62" s="459"/>
      <c r="TRB62" s="459"/>
      <c r="TRC62" s="459"/>
      <c r="TRD62" s="459"/>
      <c r="TRE62" s="459"/>
      <c r="TRF62" s="459"/>
      <c r="TRG62" s="459"/>
      <c r="TRH62" s="459"/>
      <c r="TRI62" s="459"/>
      <c r="TRJ62" s="459"/>
      <c r="TRK62" s="459"/>
      <c r="TRL62" s="459"/>
      <c r="TRM62" s="459"/>
      <c r="TRN62" s="459"/>
      <c r="TRO62" s="459"/>
      <c r="TRP62" s="459"/>
      <c r="TRQ62" s="459"/>
      <c r="TRR62" s="459"/>
      <c r="TRS62" s="459"/>
      <c r="TRT62" s="459"/>
      <c r="TRU62" s="459"/>
      <c r="TRV62" s="459"/>
      <c r="TRW62" s="459"/>
      <c r="TRX62" s="459"/>
      <c r="TRY62" s="459"/>
      <c r="TRZ62" s="459"/>
      <c r="TSA62" s="459"/>
      <c r="TSB62" s="459"/>
      <c r="TSC62" s="459"/>
      <c r="TSD62" s="459"/>
      <c r="TSE62" s="459"/>
      <c r="TSF62" s="459"/>
      <c r="TSG62" s="459"/>
      <c r="TSH62" s="459"/>
      <c r="TSI62" s="459"/>
      <c r="TSJ62" s="459"/>
      <c r="TSK62" s="459"/>
      <c r="TSL62" s="459"/>
      <c r="TSM62" s="459"/>
      <c r="TSN62" s="459"/>
      <c r="TSO62" s="459"/>
      <c r="TSP62" s="459"/>
      <c r="TSQ62" s="459"/>
      <c r="TSR62" s="459"/>
      <c r="TSS62" s="459"/>
      <c r="TST62" s="459"/>
      <c r="TSU62" s="459"/>
      <c r="TSV62" s="459"/>
      <c r="TSW62" s="459"/>
      <c r="TSX62" s="459"/>
      <c r="TSY62" s="459"/>
      <c r="TSZ62" s="459"/>
      <c r="TTA62" s="459"/>
      <c r="TTB62" s="459"/>
      <c r="TTC62" s="459"/>
      <c r="TTD62" s="459"/>
      <c r="TTE62" s="459"/>
      <c r="TTF62" s="459"/>
      <c r="TTG62" s="459"/>
      <c r="TTH62" s="459"/>
      <c r="TTI62" s="459"/>
      <c r="TTJ62" s="459"/>
      <c r="TTK62" s="459"/>
      <c r="TTL62" s="459"/>
      <c r="TTM62" s="459"/>
      <c r="TTN62" s="459"/>
      <c r="TTO62" s="459"/>
      <c r="TTP62" s="459"/>
      <c r="TTQ62" s="459"/>
      <c r="TTR62" s="459"/>
      <c r="TTS62" s="459"/>
      <c r="TTT62" s="459"/>
      <c r="TTU62" s="459"/>
      <c r="TTV62" s="459"/>
      <c r="TTW62" s="459"/>
      <c r="TTX62" s="459"/>
      <c r="TTY62" s="459"/>
      <c r="TTZ62" s="459"/>
      <c r="TUA62" s="459"/>
      <c r="TUB62" s="459"/>
      <c r="TUC62" s="459"/>
      <c r="TUD62" s="459"/>
      <c r="TUE62" s="459"/>
      <c r="TUF62" s="459"/>
      <c r="TUG62" s="459"/>
      <c r="TUH62" s="459"/>
      <c r="TUI62" s="459"/>
      <c r="TUJ62" s="459"/>
      <c r="TUK62" s="459"/>
      <c r="TUL62" s="459"/>
      <c r="TUM62" s="459"/>
      <c r="TUN62" s="459"/>
      <c r="TUO62" s="459"/>
      <c r="TUP62" s="459"/>
      <c r="TUQ62" s="459"/>
      <c r="TUR62" s="459"/>
      <c r="TUS62" s="459"/>
      <c r="TUT62" s="459"/>
      <c r="TUU62" s="459"/>
      <c r="TUV62" s="459"/>
      <c r="TUW62" s="459"/>
      <c r="TUX62" s="459"/>
      <c r="TUY62" s="459"/>
      <c r="TUZ62" s="459"/>
      <c r="TVA62" s="459"/>
      <c r="TVB62" s="459"/>
      <c r="TVC62" s="459"/>
      <c r="TVD62" s="459"/>
      <c r="TVE62" s="459"/>
      <c r="TVF62" s="459"/>
      <c r="TVG62" s="459"/>
      <c r="TVH62" s="459"/>
      <c r="TVI62" s="459"/>
      <c r="TVJ62" s="459"/>
      <c r="TVK62" s="459"/>
      <c r="TVL62" s="459"/>
      <c r="TVM62" s="459"/>
      <c r="TVN62" s="459"/>
      <c r="TVO62" s="459"/>
      <c r="TVP62" s="459"/>
      <c r="TVQ62" s="459"/>
      <c r="TVR62" s="459"/>
      <c r="TVS62" s="459"/>
      <c r="TVT62" s="459"/>
      <c r="TVU62" s="459"/>
      <c r="TVV62" s="459"/>
      <c r="TVW62" s="459"/>
      <c r="TVX62" s="459"/>
      <c r="TVY62" s="459"/>
      <c r="TVZ62" s="459"/>
      <c r="TWA62" s="459"/>
      <c r="TWB62" s="459"/>
      <c r="TWC62" s="459"/>
      <c r="TWD62" s="459"/>
      <c r="TWE62" s="459"/>
      <c r="TWF62" s="459"/>
      <c r="TWG62" s="459"/>
      <c r="TWH62" s="459"/>
      <c r="TWI62" s="459"/>
      <c r="TWJ62" s="459"/>
      <c r="TWK62" s="459"/>
      <c r="TWL62" s="459"/>
      <c r="TWM62" s="459"/>
      <c r="TWN62" s="459"/>
      <c r="TWO62" s="459"/>
      <c r="TWP62" s="459"/>
      <c r="TWQ62" s="459"/>
      <c r="TWR62" s="459"/>
      <c r="TWS62" s="459"/>
      <c r="TWT62" s="459"/>
      <c r="TWU62" s="459"/>
      <c r="TWV62" s="459"/>
      <c r="TWW62" s="459"/>
      <c r="TWX62" s="459"/>
      <c r="TWY62" s="459"/>
      <c r="TWZ62" s="459"/>
      <c r="TXA62" s="459"/>
      <c r="TXB62" s="459"/>
      <c r="TXC62" s="459"/>
      <c r="TXD62" s="459"/>
      <c r="TXE62" s="459"/>
      <c r="TXF62" s="459"/>
      <c r="TXG62" s="459"/>
      <c r="TXH62" s="459"/>
      <c r="TXI62" s="459"/>
      <c r="TXJ62" s="459"/>
      <c r="TXK62" s="459"/>
      <c r="TXL62" s="459"/>
      <c r="TXM62" s="459"/>
      <c r="TXN62" s="459"/>
      <c r="TXO62" s="459"/>
      <c r="TXP62" s="459"/>
      <c r="TXQ62" s="459"/>
      <c r="TXR62" s="459"/>
      <c r="TXS62" s="459"/>
      <c r="TXT62" s="459"/>
      <c r="TXU62" s="459"/>
      <c r="TXV62" s="459"/>
      <c r="TXW62" s="459"/>
      <c r="TXX62" s="459"/>
      <c r="TXY62" s="459"/>
      <c r="TXZ62" s="459"/>
      <c r="TYA62" s="459"/>
      <c r="TYB62" s="459"/>
      <c r="TYC62" s="459"/>
      <c r="TYD62" s="459"/>
      <c r="TYE62" s="459"/>
      <c r="TYF62" s="459"/>
      <c r="TYG62" s="459"/>
      <c r="TYH62" s="459"/>
      <c r="TYI62" s="459"/>
      <c r="TYJ62" s="459"/>
      <c r="TYK62" s="459"/>
      <c r="TYL62" s="459"/>
      <c r="TYM62" s="459"/>
      <c r="TYN62" s="459"/>
      <c r="TYO62" s="459"/>
      <c r="TYP62" s="459"/>
      <c r="TYQ62" s="459"/>
      <c r="TYR62" s="459"/>
      <c r="TYS62" s="459"/>
      <c r="TYT62" s="459"/>
      <c r="TYU62" s="459"/>
      <c r="TYV62" s="459"/>
      <c r="TYW62" s="459"/>
      <c r="TYX62" s="459"/>
      <c r="TYY62" s="459"/>
      <c r="TYZ62" s="459"/>
      <c r="TZA62" s="459"/>
      <c r="TZB62" s="459"/>
      <c r="TZC62" s="459"/>
      <c r="TZD62" s="459"/>
      <c r="TZE62" s="459"/>
      <c r="TZF62" s="459"/>
      <c r="TZG62" s="459"/>
      <c r="TZH62" s="459"/>
      <c r="TZI62" s="459"/>
      <c r="TZJ62" s="459"/>
      <c r="TZK62" s="459"/>
      <c r="TZL62" s="459"/>
      <c r="TZM62" s="459"/>
      <c r="TZN62" s="459"/>
      <c r="TZO62" s="459"/>
      <c r="TZP62" s="459"/>
      <c r="TZQ62" s="459"/>
      <c r="TZR62" s="459"/>
      <c r="TZS62" s="459"/>
      <c r="TZT62" s="459"/>
      <c r="TZU62" s="459"/>
      <c r="TZV62" s="459"/>
      <c r="TZW62" s="459"/>
      <c r="TZX62" s="459"/>
      <c r="TZY62" s="459"/>
      <c r="TZZ62" s="459"/>
      <c r="UAA62" s="459"/>
      <c r="UAB62" s="459"/>
      <c r="UAC62" s="459"/>
      <c r="UAD62" s="459"/>
      <c r="UAE62" s="459"/>
      <c r="UAF62" s="459"/>
      <c r="UAG62" s="459"/>
      <c r="UAH62" s="459"/>
      <c r="UAI62" s="459"/>
      <c r="UAJ62" s="459"/>
      <c r="UAK62" s="459"/>
      <c r="UAL62" s="459"/>
      <c r="UAM62" s="459"/>
      <c r="UAN62" s="459"/>
      <c r="UAO62" s="459"/>
      <c r="UAP62" s="459"/>
      <c r="UAQ62" s="459"/>
      <c r="UAR62" s="459"/>
      <c r="UAS62" s="459"/>
      <c r="UAT62" s="459"/>
      <c r="UAU62" s="459"/>
      <c r="UAV62" s="459"/>
      <c r="UAW62" s="459"/>
      <c r="UAX62" s="459"/>
      <c r="UAY62" s="459"/>
      <c r="UAZ62" s="459"/>
      <c r="UBA62" s="459"/>
      <c r="UBB62" s="459"/>
      <c r="UBC62" s="459"/>
      <c r="UBD62" s="459"/>
      <c r="UBE62" s="459"/>
      <c r="UBF62" s="459"/>
      <c r="UBG62" s="459"/>
      <c r="UBH62" s="459"/>
      <c r="UBI62" s="459"/>
      <c r="UBJ62" s="459"/>
      <c r="UBK62" s="459"/>
      <c r="UBL62" s="459"/>
      <c r="UBM62" s="459"/>
      <c r="UBN62" s="459"/>
      <c r="UBO62" s="459"/>
      <c r="UBP62" s="459"/>
      <c r="UBQ62" s="459"/>
      <c r="UBR62" s="459"/>
      <c r="UBS62" s="459"/>
      <c r="UBT62" s="459"/>
      <c r="UBU62" s="459"/>
      <c r="UBV62" s="459"/>
      <c r="UBW62" s="459"/>
      <c r="UBX62" s="459"/>
      <c r="UBY62" s="459"/>
      <c r="UBZ62" s="459"/>
      <c r="UCA62" s="459"/>
      <c r="UCB62" s="459"/>
      <c r="UCC62" s="459"/>
      <c r="UCD62" s="459"/>
      <c r="UCE62" s="459"/>
      <c r="UCF62" s="459"/>
      <c r="UCG62" s="459"/>
      <c r="UCH62" s="459"/>
      <c r="UCI62" s="459"/>
      <c r="UCJ62" s="459"/>
      <c r="UCK62" s="459"/>
      <c r="UCL62" s="459"/>
      <c r="UCM62" s="459"/>
      <c r="UCN62" s="459"/>
      <c r="UCO62" s="459"/>
      <c r="UCP62" s="459"/>
      <c r="UCQ62" s="459"/>
      <c r="UCR62" s="459"/>
      <c r="UCS62" s="459"/>
      <c r="UCT62" s="459"/>
      <c r="UCU62" s="459"/>
      <c r="UCV62" s="459"/>
      <c r="UCW62" s="459"/>
      <c r="UCX62" s="459"/>
      <c r="UCY62" s="459"/>
      <c r="UCZ62" s="459"/>
      <c r="UDA62" s="459"/>
      <c r="UDB62" s="459"/>
      <c r="UDC62" s="459"/>
      <c r="UDD62" s="459"/>
      <c r="UDE62" s="459"/>
      <c r="UDF62" s="459"/>
      <c r="UDG62" s="459"/>
      <c r="UDH62" s="459"/>
      <c r="UDI62" s="459"/>
      <c r="UDJ62" s="459"/>
      <c r="UDK62" s="459"/>
      <c r="UDL62" s="459"/>
      <c r="UDM62" s="459"/>
      <c r="UDN62" s="459"/>
      <c r="UDO62" s="459"/>
      <c r="UDP62" s="459"/>
      <c r="UDQ62" s="459"/>
      <c r="UDR62" s="459"/>
      <c r="UDS62" s="459"/>
      <c r="UDT62" s="459"/>
      <c r="UDU62" s="459"/>
      <c r="UDV62" s="459"/>
      <c r="UDW62" s="459"/>
      <c r="UDX62" s="459"/>
      <c r="UDY62" s="459"/>
      <c r="UDZ62" s="459"/>
      <c r="UEA62" s="459"/>
      <c r="UEB62" s="459"/>
      <c r="UEC62" s="459"/>
      <c r="UED62" s="459"/>
      <c r="UEE62" s="459"/>
      <c r="UEF62" s="459"/>
      <c r="UEG62" s="459"/>
      <c r="UEH62" s="459"/>
      <c r="UEI62" s="459"/>
      <c r="UEJ62" s="459"/>
      <c r="UEK62" s="459"/>
      <c r="UEL62" s="459"/>
      <c r="UEM62" s="459"/>
      <c r="UEN62" s="459"/>
      <c r="UEO62" s="459"/>
      <c r="UEP62" s="459"/>
      <c r="UEQ62" s="459"/>
      <c r="UER62" s="459"/>
      <c r="UES62" s="459"/>
      <c r="UET62" s="459"/>
      <c r="UEU62" s="459"/>
      <c r="UEV62" s="459"/>
      <c r="UEW62" s="459"/>
      <c r="UEX62" s="459"/>
      <c r="UEY62" s="459"/>
      <c r="UEZ62" s="459"/>
      <c r="UFA62" s="459"/>
      <c r="UFB62" s="459"/>
      <c r="UFC62" s="459"/>
      <c r="UFD62" s="459"/>
      <c r="UFE62" s="459"/>
      <c r="UFF62" s="459"/>
      <c r="UFG62" s="459"/>
      <c r="UFH62" s="459"/>
      <c r="UFI62" s="459"/>
      <c r="UFJ62" s="459"/>
      <c r="UFK62" s="459"/>
      <c r="UFL62" s="459"/>
      <c r="UFM62" s="459"/>
      <c r="UFN62" s="459"/>
      <c r="UFO62" s="459"/>
      <c r="UFP62" s="459"/>
      <c r="UFQ62" s="459"/>
      <c r="UFR62" s="459"/>
      <c r="UFS62" s="459"/>
      <c r="UFT62" s="459"/>
      <c r="UFU62" s="459"/>
      <c r="UFV62" s="459"/>
      <c r="UFW62" s="459"/>
      <c r="UFX62" s="459"/>
      <c r="UFY62" s="459"/>
      <c r="UFZ62" s="459"/>
      <c r="UGA62" s="459"/>
      <c r="UGB62" s="459"/>
      <c r="UGC62" s="459"/>
      <c r="UGD62" s="459"/>
      <c r="UGE62" s="459"/>
      <c r="UGF62" s="459"/>
      <c r="UGG62" s="459"/>
      <c r="UGH62" s="459"/>
      <c r="UGI62" s="459"/>
      <c r="UGJ62" s="459"/>
      <c r="UGK62" s="459"/>
      <c r="UGL62" s="459"/>
      <c r="UGM62" s="459"/>
      <c r="UGN62" s="459"/>
      <c r="UGO62" s="459"/>
      <c r="UGP62" s="459"/>
      <c r="UGQ62" s="459"/>
      <c r="UGR62" s="459"/>
      <c r="UGS62" s="459"/>
      <c r="UGT62" s="459"/>
      <c r="UGU62" s="459"/>
      <c r="UGV62" s="459"/>
      <c r="UGW62" s="459"/>
      <c r="UGX62" s="459"/>
      <c r="UGY62" s="459"/>
      <c r="UGZ62" s="459"/>
      <c r="UHA62" s="459"/>
      <c r="UHB62" s="459"/>
      <c r="UHC62" s="459"/>
      <c r="UHD62" s="459"/>
      <c r="UHE62" s="459"/>
      <c r="UHF62" s="459"/>
      <c r="UHG62" s="459"/>
      <c r="UHH62" s="459"/>
      <c r="UHI62" s="459"/>
      <c r="UHJ62" s="459"/>
      <c r="UHK62" s="459"/>
      <c r="UHL62" s="459"/>
      <c r="UHM62" s="459"/>
      <c r="UHN62" s="459"/>
      <c r="UHO62" s="459"/>
      <c r="UHP62" s="459"/>
      <c r="UHQ62" s="459"/>
      <c r="UHR62" s="459"/>
      <c r="UHS62" s="459"/>
      <c r="UHT62" s="459"/>
      <c r="UHU62" s="459"/>
      <c r="UHV62" s="459"/>
      <c r="UHW62" s="459"/>
      <c r="UHX62" s="459"/>
      <c r="UHY62" s="459"/>
      <c r="UHZ62" s="459"/>
      <c r="UIA62" s="459"/>
      <c r="UIB62" s="459"/>
      <c r="UIC62" s="459"/>
      <c r="UID62" s="459"/>
      <c r="UIE62" s="459"/>
      <c r="UIF62" s="459"/>
      <c r="UIG62" s="459"/>
      <c r="UIH62" s="459"/>
      <c r="UII62" s="459"/>
      <c r="UIJ62" s="459"/>
      <c r="UIK62" s="459"/>
      <c r="UIL62" s="459"/>
      <c r="UIM62" s="459"/>
      <c r="UIN62" s="459"/>
      <c r="UIO62" s="459"/>
      <c r="UIP62" s="459"/>
      <c r="UIQ62" s="459"/>
      <c r="UIR62" s="459"/>
      <c r="UIS62" s="459"/>
      <c r="UIT62" s="459"/>
      <c r="UIU62" s="459"/>
      <c r="UIV62" s="459"/>
      <c r="UIW62" s="459"/>
      <c r="UIX62" s="459"/>
      <c r="UIY62" s="459"/>
      <c r="UIZ62" s="459"/>
      <c r="UJA62" s="459"/>
      <c r="UJB62" s="459"/>
      <c r="UJC62" s="459"/>
      <c r="UJD62" s="459"/>
      <c r="UJE62" s="459"/>
      <c r="UJF62" s="459"/>
      <c r="UJG62" s="459"/>
      <c r="UJH62" s="459"/>
      <c r="UJI62" s="459"/>
      <c r="UJJ62" s="459"/>
      <c r="UJK62" s="459"/>
      <c r="UJL62" s="459"/>
      <c r="UJM62" s="459"/>
      <c r="UJN62" s="459"/>
      <c r="UJO62" s="459"/>
      <c r="UJP62" s="459"/>
      <c r="UJQ62" s="459"/>
      <c r="UJR62" s="459"/>
      <c r="UJS62" s="459"/>
      <c r="UJT62" s="459"/>
      <c r="UJU62" s="459"/>
      <c r="UJV62" s="459"/>
      <c r="UJW62" s="459"/>
      <c r="UJX62" s="459"/>
      <c r="UJY62" s="459"/>
      <c r="UJZ62" s="459"/>
      <c r="UKA62" s="459"/>
      <c r="UKB62" s="459"/>
      <c r="UKC62" s="459"/>
      <c r="UKD62" s="459"/>
      <c r="UKE62" s="459"/>
      <c r="UKF62" s="459"/>
      <c r="UKG62" s="459"/>
      <c r="UKH62" s="459"/>
      <c r="UKI62" s="459"/>
      <c r="UKJ62" s="459"/>
      <c r="UKK62" s="459"/>
      <c r="UKL62" s="459"/>
      <c r="UKM62" s="459"/>
      <c r="UKN62" s="459"/>
      <c r="UKO62" s="459"/>
      <c r="UKP62" s="459"/>
      <c r="UKQ62" s="459"/>
      <c r="UKR62" s="459"/>
      <c r="UKS62" s="459"/>
      <c r="UKT62" s="459"/>
      <c r="UKU62" s="459"/>
      <c r="UKV62" s="459"/>
      <c r="UKW62" s="459"/>
      <c r="UKX62" s="459"/>
      <c r="UKY62" s="459"/>
      <c r="UKZ62" s="459"/>
      <c r="ULA62" s="459"/>
      <c r="ULB62" s="459"/>
      <c r="ULC62" s="459"/>
      <c r="ULD62" s="459"/>
      <c r="ULE62" s="459"/>
      <c r="ULF62" s="459"/>
      <c r="ULG62" s="459"/>
      <c r="ULH62" s="459"/>
      <c r="ULI62" s="459"/>
      <c r="ULJ62" s="459"/>
      <c r="ULK62" s="459"/>
      <c r="ULL62" s="459"/>
      <c r="ULM62" s="459"/>
      <c r="ULN62" s="459"/>
      <c r="ULO62" s="459"/>
      <c r="ULP62" s="459"/>
      <c r="ULQ62" s="459"/>
      <c r="ULR62" s="459"/>
      <c r="ULS62" s="459"/>
      <c r="ULT62" s="459"/>
      <c r="ULU62" s="459"/>
      <c r="ULV62" s="459"/>
      <c r="ULW62" s="459"/>
      <c r="ULX62" s="459"/>
      <c r="ULY62" s="459"/>
      <c r="ULZ62" s="459"/>
      <c r="UMA62" s="459"/>
      <c r="UMB62" s="459"/>
      <c r="UMC62" s="459"/>
      <c r="UMD62" s="459"/>
      <c r="UME62" s="459"/>
      <c r="UMF62" s="459"/>
      <c r="UMG62" s="459"/>
      <c r="UMH62" s="459"/>
      <c r="UMI62" s="459"/>
      <c r="UMJ62" s="459"/>
      <c r="UMK62" s="459"/>
      <c r="UML62" s="459"/>
      <c r="UMM62" s="459"/>
      <c r="UMN62" s="459"/>
      <c r="UMO62" s="459"/>
      <c r="UMP62" s="459"/>
      <c r="UMQ62" s="459"/>
      <c r="UMR62" s="459"/>
      <c r="UMS62" s="459"/>
      <c r="UMT62" s="459"/>
      <c r="UMU62" s="459"/>
      <c r="UMV62" s="459"/>
      <c r="UMW62" s="459"/>
      <c r="UMX62" s="459"/>
      <c r="UMY62" s="459"/>
      <c r="UMZ62" s="459"/>
      <c r="UNA62" s="459"/>
      <c r="UNB62" s="459"/>
      <c r="UNC62" s="459"/>
      <c r="UND62" s="459"/>
      <c r="UNE62" s="459"/>
      <c r="UNF62" s="459"/>
      <c r="UNG62" s="459"/>
      <c r="UNH62" s="459"/>
      <c r="UNI62" s="459"/>
      <c r="UNJ62" s="459"/>
      <c r="UNK62" s="459"/>
      <c r="UNL62" s="459"/>
      <c r="UNM62" s="459"/>
      <c r="UNN62" s="459"/>
      <c r="UNO62" s="459"/>
      <c r="UNP62" s="459"/>
      <c r="UNQ62" s="459"/>
      <c r="UNR62" s="459"/>
      <c r="UNS62" s="459"/>
      <c r="UNT62" s="459"/>
      <c r="UNU62" s="459"/>
      <c r="UNV62" s="459"/>
      <c r="UNW62" s="459"/>
      <c r="UNX62" s="459"/>
      <c r="UNY62" s="459"/>
      <c r="UNZ62" s="459"/>
      <c r="UOA62" s="459"/>
      <c r="UOB62" s="459"/>
      <c r="UOC62" s="459"/>
      <c r="UOD62" s="459"/>
      <c r="UOE62" s="459"/>
      <c r="UOF62" s="459"/>
      <c r="UOG62" s="459"/>
      <c r="UOH62" s="459"/>
      <c r="UOI62" s="459"/>
      <c r="UOJ62" s="459"/>
      <c r="UOK62" s="459"/>
      <c r="UOL62" s="459"/>
      <c r="UOM62" s="459"/>
      <c r="UON62" s="459"/>
      <c r="UOO62" s="459"/>
      <c r="UOP62" s="459"/>
      <c r="UOQ62" s="459"/>
      <c r="UOR62" s="459"/>
      <c r="UOS62" s="459"/>
      <c r="UOT62" s="459"/>
      <c r="UOU62" s="459"/>
      <c r="UOV62" s="459"/>
      <c r="UOW62" s="459"/>
      <c r="UOX62" s="459"/>
      <c r="UOY62" s="459"/>
      <c r="UOZ62" s="459"/>
      <c r="UPA62" s="459"/>
      <c r="UPB62" s="459"/>
      <c r="UPC62" s="459"/>
      <c r="UPD62" s="459"/>
      <c r="UPE62" s="459"/>
      <c r="UPF62" s="459"/>
      <c r="UPG62" s="459"/>
      <c r="UPH62" s="459"/>
      <c r="UPI62" s="459"/>
      <c r="UPJ62" s="459"/>
      <c r="UPK62" s="459"/>
      <c r="UPL62" s="459"/>
      <c r="UPM62" s="459"/>
      <c r="UPN62" s="459"/>
      <c r="UPO62" s="459"/>
      <c r="UPP62" s="459"/>
      <c r="UPQ62" s="459"/>
      <c r="UPR62" s="459"/>
      <c r="UPS62" s="459"/>
      <c r="UPT62" s="459"/>
      <c r="UPU62" s="459"/>
      <c r="UPV62" s="459"/>
      <c r="UPW62" s="459"/>
      <c r="UPX62" s="459"/>
      <c r="UPY62" s="459"/>
      <c r="UPZ62" s="459"/>
      <c r="UQA62" s="459"/>
      <c r="UQB62" s="459"/>
      <c r="UQC62" s="459"/>
      <c r="UQD62" s="459"/>
      <c r="UQE62" s="459"/>
      <c r="UQF62" s="459"/>
      <c r="UQG62" s="459"/>
      <c r="UQH62" s="459"/>
      <c r="UQI62" s="459"/>
      <c r="UQJ62" s="459"/>
      <c r="UQK62" s="459"/>
      <c r="UQL62" s="459"/>
      <c r="UQM62" s="459"/>
      <c r="UQN62" s="459"/>
      <c r="UQO62" s="459"/>
      <c r="UQP62" s="459"/>
      <c r="UQQ62" s="459"/>
      <c r="UQR62" s="459"/>
      <c r="UQS62" s="459"/>
      <c r="UQT62" s="459"/>
      <c r="UQU62" s="459"/>
      <c r="UQV62" s="459"/>
      <c r="UQW62" s="459"/>
      <c r="UQX62" s="459"/>
      <c r="UQY62" s="459"/>
      <c r="UQZ62" s="459"/>
      <c r="URA62" s="459"/>
      <c r="URB62" s="459"/>
      <c r="URC62" s="459"/>
      <c r="URD62" s="459"/>
      <c r="URE62" s="459"/>
      <c r="URF62" s="459"/>
      <c r="URG62" s="459"/>
      <c r="URH62" s="459"/>
      <c r="URI62" s="459"/>
      <c r="URJ62" s="459"/>
      <c r="URK62" s="459"/>
      <c r="URL62" s="459"/>
      <c r="URM62" s="459"/>
      <c r="URN62" s="459"/>
      <c r="URO62" s="459"/>
      <c r="URP62" s="459"/>
      <c r="URQ62" s="459"/>
      <c r="URR62" s="459"/>
      <c r="URS62" s="459"/>
      <c r="URT62" s="459"/>
      <c r="URU62" s="459"/>
      <c r="URV62" s="459"/>
      <c r="URW62" s="459"/>
      <c r="URX62" s="459"/>
      <c r="URY62" s="459"/>
      <c r="URZ62" s="459"/>
      <c r="USA62" s="459"/>
      <c r="USB62" s="459"/>
      <c r="USC62" s="459"/>
      <c r="USD62" s="459"/>
      <c r="USE62" s="459"/>
      <c r="USF62" s="459"/>
      <c r="USG62" s="459"/>
      <c r="USH62" s="459"/>
      <c r="USI62" s="459"/>
      <c r="USJ62" s="459"/>
      <c r="USK62" s="459"/>
      <c r="USL62" s="459"/>
      <c r="USM62" s="459"/>
      <c r="USN62" s="459"/>
      <c r="USO62" s="459"/>
      <c r="USP62" s="459"/>
      <c r="USQ62" s="459"/>
      <c r="USR62" s="459"/>
      <c r="USS62" s="459"/>
      <c r="UST62" s="459"/>
      <c r="USU62" s="459"/>
      <c r="USV62" s="459"/>
      <c r="USW62" s="459"/>
      <c r="USX62" s="459"/>
      <c r="USY62" s="459"/>
      <c r="USZ62" s="459"/>
      <c r="UTA62" s="459"/>
      <c r="UTB62" s="459"/>
      <c r="UTC62" s="459"/>
      <c r="UTD62" s="459"/>
      <c r="UTE62" s="459"/>
      <c r="UTF62" s="459"/>
      <c r="UTG62" s="459"/>
      <c r="UTH62" s="459"/>
      <c r="UTI62" s="459"/>
      <c r="UTJ62" s="459"/>
      <c r="UTK62" s="459"/>
      <c r="UTL62" s="459"/>
      <c r="UTM62" s="459"/>
      <c r="UTN62" s="459"/>
      <c r="UTO62" s="459"/>
      <c r="UTP62" s="459"/>
      <c r="UTQ62" s="459"/>
      <c r="UTR62" s="459"/>
      <c r="UTS62" s="459"/>
      <c r="UTT62" s="459"/>
      <c r="UTU62" s="459"/>
      <c r="UTV62" s="459"/>
      <c r="UTW62" s="459"/>
      <c r="UTX62" s="459"/>
      <c r="UTY62" s="459"/>
      <c r="UTZ62" s="459"/>
      <c r="UUA62" s="459"/>
      <c r="UUB62" s="459"/>
      <c r="UUC62" s="459"/>
      <c r="UUD62" s="459"/>
      <c r="UUE62" s="459"/>
      <c r="UUF62" s="459"/>
      <c r="UUG62" s="459"/>
      <c r="UUH62" s="459"/>
      <c r="UUI62" s="459"/>
      <c r="UUJ62" s="459"/>
      <c r="UUK62" s="459"/>
      <c r="UUL62" s="459"/>
      <c r="UUM62" s="459"/>
      <c r="UUN62" s="459"/>
      <c r="UUO62" s="459"/>
      <c r="UUP62" s="459"/>
      <c r="UUQ62" s="459"/>
      <c r="UUR62" s="459"/>
      <c r="UUS62" s="459"/>
      <c r="UUT62" s="459"/>
      <c r="UUU62" s="459"/>
      <c r="UUV62" s="459"/>
      <c r="UUW62" s="459"/>
      <c r="UUX62" s="459"/>
      <c r="UUY62" s="459"/>
      <c r="UUZ62" s="459"/>
      <c r="UVA62" s="459"/>
      <c r="UVB62" s="459"/>
      <c r="UVC62" s="459"/>
      <c r="UVD62" s="459"/>
      <c r="UVE62" s="459"/>
      <c r="UVF62" s="459"/>
      <c r="UVG62" s="459"/>
      <c r="UVH62" s="459"/>
      <c r="UVI62" s="459"/>
      <c r="UVJ62" s="459"/>
      <c r="UVK62" s="459"/>
      <c r="UVL62" s="459"/>
      <c r="UVM62" s="459"/>
      <c r="UVN62" s="459"/>
      <c r="UVO62" s="459"/>
      <c r="UVP62" s="459"/>
      <c r="UVQ62" s="459"/>
      <c r="UVR62" s="459"/>
      <c r="UVS62" s="459"/>
      <c r="UVT62" s="459"/>
      <c r="UVU62" s="459"/>
      <c r="UVV62" s="459"/>
      <c r="UVW62" s="459"/>
      <c r="UVX62" s="459"/>
      <c r="UVY62" s="459"/>
      <c r="UVZ62" s="459"/>
      <c r="UWA62" s="459"/>
      <c r="UWB62" s="459"/>
      <c r="UWC62" s="459"/>
      <c r="UWD62" s="459"/>
      <c r="UWE62" s="459"/>
      <c r="UWF62" s="459"/>
      <c r="UWG62" s="459"/>
      <c r="UWH62" s="459"/>
      <c r="UWI62" s="459"/>
      <c r="UWJ62" s="459"/>
      <c r="UWK62" s="459"/>
      <c r="UWL62" s="459"/>
      <c r="UWM62" s="459"/>
      <c r="UWN62" s="459"/>
      <c r="UWO62" s="459"/>
      <c r="UWP62" s="459"/>
      <c r="UWQ62" s="459"/>
      <c r="UWR62" s="459"/>
      <c r="UWS62" s="459"/>
      <c r="UWT62" s="459"/>
      <c r="UWU62" s="459"/>
      <c r="UWV62" s="459"/>
      <c r="UWW62" s="459"/>
      <c r="UWX62" s="459"/>
      <c r="UWY62" s="459"/>
      <c r="UWZ62" s="459"/>
      <c r="UXA62" s="459"/>
      <c r="UXB62" s="459"/>
      <c r="UXC62" s="459"/>
      <c r="UXD62" s="459"/>
      <c r="UXE62" s="459"/>
      <c r="UXF62" s="459"/>
      <c r="UXG62" s="459"/>
      <c r="UXH62" s="459"/>
      <c r="UXI62" s="459"/>
      <c r="UXJ62" s="459"/>
      <c r="UXK62" s="459"/>
      <c r="UXL62" s="459"/>
      <c r="UXM62" s="459"/>
      <c r="UXN62" s="459"/>
      <c r="UXO62" s="459"/>
      <c r="UXP62" s="459"/>
      <c r="UXQ62" s="459"/>
      <c r="UXR62" s="459"/>
      <c r="UXS62" s="459"/>
      <c r="UXT62" s="459"/>
      <c r="UXU62" s="459"/>
      <c r="UXV62" s="459"/>
      <c r="UXW62" s="459"/>
      <c r="UXX62" s="459"/>
      <c r="UXY62" s="459"/>
      <c r="UXZ62" s="459"/>
      <c r="UYA62" s="459"/>
      <c r="UYB62" s="459"/>
      <c r="UYC62" s="459"/>
      <c r="UYD62" s="459"/>
      <c r="UYE62" s="459"/>
      <c r="UYF62" s="459"/>
      <c r="UYG62" s="459"/>
      <c r="UYH62" s="459"/>
      <c r="UYI62" s="459"/>
      <c r="UYJ62" s="459"/>
      <c r="UYK62" s="459"/>
      <c r="UYL62" s="459"/>
      <c r="UYM62" s="459"/>
      <c r="UYN62" s="459"/>
      <c r="UYO62" s="459"/>
      <c r="UYP62" s="459"/>
      <c r="UYQ62" s="459"/>
      <c r="UYR62" s="459"/>
      <c r="UYS62" s="459"/>
      <c r="UYT62" s="459"/>
      <c r="UYU62" s="459"/>
      <c r="UYV62" s="459"/>
      <c r="UYW62" s="459"/>
      <c r="UYX62" s="459"/>
      <c r="UYY62" s="459"/>
      <c r="UYZ62" s="459"/>
      <c r="UZA62" s="459"/>
      <c r="UZB62" s="459"/>
      <c r="UZC62" s="459"/>
      <c r="UZD62" s="459"/>
      <c r="UZE62" s="459"/>
      <c r="UZF62" s="459"/>
      <c r="UZG62" s="459"/>
      <c r="UZH62" s="459"/>
      <c r="UZI62" s="459"/>
      <c r="UZJ62" s="459"/>
      <c r="UZK62" s="459"/>
      <c r="UZL62" s="459"/>
      <c r="UZM62" s="459"/>
      <c r="UZN62" s="459"/>
      <c r="UZO62" s="459"/>
      <c r="UZP62" s="459"/>
      <c r="UZQ62" s="459"/>
      <c r="UZR62" s="459"/>
      <c r="UZS62" s="459"/>
      <c r="UZT62" s="459"/>
      <c r="UZU62" s="459"/>
      <c r="UZV62" s="459"/>
      <c r="UZW62" s="459"/>
      <c r="UZX62" s="459"/>
      <c r="UZY62" s="459"/>
      <c r="UZZ62" s="459"/>
      <c r="VAA62" s="459"/>
      <c r="VAB62" s="459"/>
      <c r="VAC62" s="459"/>
      <c r="VAD62" s="459"/>
      <c r="VAE62" s="459"/>
      <c r="VAF62" s="459"/>
      <c r="VAG62" s="459"/>
      <c r="VAH62" s="459"/>
      <c r="VAI62" s="459"/>
      <c r="VAJ62" s="459"/>
      <c r="VAK62" s="459"/>
      <c r="VAL62" s="459"/>
      <c r="VAM62" s="459"/>
      <c r="VAN62" s="459"/>
      <c r="VAO62" s="459"/>
      <c r="VAP62" s="459"/>
      <c r="VAQ62" s="459"/>
      <c r="VAR62" s="459"/>
      <c r="VAS62" s="459"/>
      <c r="VAT62" s="459"/>
      <c r="VAU62" s="459"/>
      <c r="VAV62" s="459"/>
      <c r="VAW62" s="459"/>
      <c r="VAX62" s="459"/>
      <c r="VAY62" s="459"/>
      <c r="VAZ62" s="459"/>
      <c r="VBA62" s="459"/>
      <c r="VBB62" s="459"/>
      <c r="VBC62" s="459"/>
      <c r="VBD62" s="459"/>
      <c r="VBE62" s="459"/>
      <c r="VBF62" s="459"/>
      <c r="VBG62" s="459"/>
      <c r="VBH62" s="459"/>
      <c r="VBI62" s="459"/>
      <c r="VBJ62" s="459"/>
      <c r="VBK62" s="459"/>
      <c r="VBL62" s="459"/>
      <c r="VBM62" s="459"/>
      <c r="VBN62" s="459"/>
      <c r="VBO62" s="459"/>
      <c r="VBP62" s="459"/>
      <c r="VBQ62" s="459"/>
      <c r="VBR62" s="459"/>
      <c r="VBS62" s="459"/>
      <c r="VBT62" s="459"/>
      <c r="VBU62" s="459"/>
      <c r="VBV62" s="459"/>
      <c r="VBW62" s="459"/>
      <c r="VBX62" s="459"/>
      <c r="VBY62" s="459"/>
      <c r="VBZ62" s="459"/>
      <c r="VCA62" s="459"/>
      <c r="VCB62" s="459"/>
      <c r="VCC62" s="459"/>
      <c r="VCD62" s="459"/>
      <c r="VCE62" s="459"/>
      <c r="VCF62" s="459"/>
      <c r="VCG62" s="459"/>
      <c r="VCH62" s="459"/>
      <c r="VCI62" s="459"/>
      <c r="VCJ62" s="459"/>
      <c r="VCK62" s="459"/>
      <c r="VCL62" s="459"/>
      <c r="VCM62" s="459"/>
      <c r="VCN62" s="459"/>
      <c r="VCO62" s="459"/>
      <c r="VCP62" s="459"/>
      <c r="VCQ62" s="459"/>
      <c r="VCR62" s="459"/>
      <c r="VCS62" s="459"/>
      <c r="VCT62" s="459"/>
      <c r="VCU62" s="459"/>
      <c r="VCV62" s="459"/>
      <c r="VCW62" s="459"/>
      <c r="VCX62" s="459"/>
      <c r="VCY62" s="459"/>
      <c r="VCZ62" s="459"/>
      <c r="VDA62" s="459"/>
      <c r="VDB62" s="459"/>
      <c r="VDC62" s="459"/>
      <c r="VDD62" s="459"/>
      <c r="VDE62" s="459"/>
      <c r="VDF62" s="459"/>
      <c r="VDG62" s="459"/>
      <c r="VDH62" s="459"/>
      <c r="VDI62" s="459"/>
      <c r="VDJ62" s="459"/>
      <c r="VDK62" s="459"/>
      <c r="VDL62" s="459"/>
      <c r="VDM62" s="459"/>
      <c r="VDN62" s="459"/>
      <c r="VDO62" s="459"/>
      <c r="VDP62" s="459"/>
      <c r="VDQ62" s="459"/>
      <c r="VDR62" s="459"/>
      <c r="VDS62" s="459"/>
      <c r="VDT62" s="459"/>
      <c r="VDU62" s="459"/>
      <c r="VDV62" s="459"/>
      <c r="VDW62" s="459"/>
      <c r="VDX62" s="459"/>
      <c r="VDY62" s="459"/>
      <c r="VDZ62" s="459"/>
      <c r="VEA62" s="459"/>
      <c r="VEB62" s="459"/>
      <c r="VEC62" s="459"/>
      <c r="VED62" s="459"/>
      <c r="VEE62" s="459"/>
      <c r="VEF62" s="459"/>
      <c r="VEG62" s="459"/>
      <c r="VEH62" s="459"/>
      <c r="VEI62" s="459"/>
      <c r="VEJ62" s="459"/>
      <c r="VEK62" s="459"/>
      <c r="VEL62" s="459"/>
      <c r="VEM62" s="459"/>
      <c r="VEN62" s="459"/>
      <c r="VEO62" s="459"/>
      <c r="VEP62" s="459"/>
      <c r="VEQ62" s="459"/>
      <c r="VER62" s="459"/>
      <c r="VES62" s="459"/>
      <c r="VET62" s="459"/>
      <c r="VEU62" s="459"/>
      <c r="VEV62" s="459"/>
      <c r="VEW62" s="459"/>
      <c r="VEX62" s="459"/>
      <c r="VEY62" s="459"/>
      <c r="VEZ62" s="459"/>
      <c r="VFA62" s="459"/>
      <c r="VFB62" s="459"/>
      <c r="VFC62" s="459"/>
      <c r="VFD62" s="459"/>
      <c r="VFE62" s="459"/>
      <c r="VFF62" s="459"/>
      <c r="VFG62" s="459"/>
      <c r="VFH62" s="459"/>
      <c r="VFI62" s="459"/>
      <c r="VFJ62" s="459"/>
      <c r="VFK62" s="459"/>
      <c r="VFL62" s="459"/>
      <c r="VFM62" s="459"/>
      <c r="VFN62" s="459"/>
      <c r="VFO62" s="459"/>
      <c r="VFP62" s="459"/>
      <c r="VFQ62" s="459"/>
      <c r="VFR62" s="459"/>
      <c r="VFS62" s="459"/>
      <c r="VFT62" s="459"/>
      <c r="VFU62" s="459"/>
      <c r="VFV62" s="459"/>
      <c r="VFW62" s="459"/>
      <c r="VFX62" s="459"/>
      <c r="VFY62" s="459"/>
      <c r="VFZ62" s="459"/>
      <c r="VGA62" s="459"/>
      <c r="VGB62" s="459"/>
      <c r="VGC62" s="459"/>
      <c r="VGD62" s="459"/>
      <c r="VGE62" s="459"/>
      <c r="VGF62" s="459"/>
      <c r="VGG62" s="459"/>
      <c r="VGH62" s="459"/>
      <c r="VGI62" s="459"/>
      <c r="VGJ62" s="459"/>
      <c r="VGK62" s="459"/>
      <c r="VGL62" s="459"/>
      <c r="VGM62" s="459"/>
      <c r="VGN62" s="459"/>
      <c r="VGO62" s="459"/>
      <c r="VGP62" s="459"/>
      <c r="VGQ62" s="459"/>
      <c r="VGR62" s="459"/>
      <c r="VGS62" s="459"/>
      <c r="VGT62" s="459"/>
      <c r="VGU62" s="459"/>
      <c r="VGV62" s="459"/>
      <c r="VGW62" s="459"/>
      <c r="VGX62" s="459"/>
      <c r="VGY62" s="459"/>
      <c r="VGZ62" s="459"/>
      <c r="VHA62" s="459"/>
      <c r="VHB62" s="459"/>
      <c r="VHC62" s="459"/>
      <c r="VHD62" s="459"/>
      <c r="VHE62" s="459"/>
      <c r="VHF62" s="459"/>
      <c r="VHG62" s="459"/>
      <c r="VHH62" s="459"/>
      <c r="VHI62" s="459"/>
      <c r="VHJ62" s="459"/>
      <c r="VHK62" s="459"/>
      <c r="VHL62" s="459"/>
      <c r="VHM62" s="459"/>
      <c r="VHN62" s="459"/>
      <c r="VHO62" s="459"/>
      <c r="VHP62" s="459"/>
      <c r="VHQ62" s="459"/>
      <c r="VHR62" s="459"/>
      <c r="VHS62" s="459"/>
      <c r="VHT62" s="459"/>
      <c r="VHU62" s="459"/>
      <c r="VHV62" s="459"/>
      <c r="VHW62" s="459"/>
      <c r="VHX62" s="459"/>
      <c r="VHY62" s="459"/>
      <c r="VHZ62" s="459"/>
      <c r="VIA62" s="459"/>
      <c r="VIB62" s="459"/>
      <c r="VIC62" s="459"/>
      <c r="VID62" s="459"/>
      <c r="VIE62" s="459"/>
      <c r="VIF62" s="459"/>
      <c r="VIG62" s="459"/>
      <c r="VIH62" s="459"/>
      <c r="VII62" s="459"/>
      <c r="VIJ62" s="459"/>
      <c r="VIK62" s="459"/>
      <c r="VIL62" s="459"/>
      <c r="VIM62" s="459"/>
      <c r="VIN62" s="459"/>
      <c r="VIO62" s="459"/>
      <c r="VIP62" s="459"/>
      <c r="VIQ62" s="459"/>
      <c r="VIR62" s="459"/>
      <c r="VIS62" s="459"/>
      <c r="VIT62" s="459"/>
      <c r="VIU62" s="459"/>
      <c r="VIV62" s="459"/>
      <c r="VIW62" s="459"/>
      <c r="VIX62" s="459"/>
      <c r="VIY62" s="459"/>
      <c r="VIZ62" s="459"/>
      <c r="VJA62" s="459"/>
      <c r="VJB62" s="459"/>
      <c r="VJC62" s="459"/>
      <c r="VJD62" s="459"/>
      <c r="VJE62" s="459"/>
      <c r="VJF62" s="459"/>
      <c r="VJG62" s="459"/>
      <c r="VJH62" s="459"/>
      <c r="VJI62" s="459"/>
      <c r="VJJ62" s="459"/>
      <c r="VJK62" s="459"/>
      <c r="VJL62" s="459"/>
      <c r="VJM62" s="459"/>
      <c r="VJN62" s="459"/>
      <c r="VJO62" s="459"/>
      <c r="VJP62" s="459"/>
      <c r="VJQ62" s="459"/>
      <c r="VJR62" s="459"/>
      <c r="VJS62" s="459"/>
      <c r="VJT62" s="459"/>
      <c r="VJU62" s="459"/>
      <c r="VJV62" s="459"/>
      <c r="VJW62" s="459"/>
      <c r="VJX62" s="459"/>
      <c r="VJY62" s="459"/>
      <c r="VJZ62" s="459"/>
      <c r="VKA62" s="459"/>
      <c r="VKB62" s="459"/>
      <c r="VKC62" s="459"/>
      <c r="VKD62" s="459"/>
      <c r="VKE62" s="459"/>
      <c r="VKF62" s="459"/>
      <c r="VKG62" s="459"/>
      <c r="VKH62" s="459"/>
      <c r="VKI62" s="459"/>
      <c r="VKJ62" s="459"/>
      <c r="VKK62" s="459"/>
      <c r="VKL62" s="459"/>
      <c r="VKM62" s="459"/>
      <c r="VKN62" s="459"/>
      <c r="VKO62" s="459"/>
      <c r="VKP62" s="459"/>
      <c r="VKQ62" s="459"/>
      <c r="VKR62" s="459"/>
      <c r="VKS62" s="459"/>
      <c r="VKT62" s="459"/>
      <c r="VKU62" s="459"/>
      <c r="VKV62" s="459"/>
      <c r="VKW62" s="459"/>
      <c r="VKX62" s="459"/>
      <c r="VKY62" s="459"/>
      <c r="VKZ62" s="459"/>
      <c r="VLA62" s="459"/>
      <c r="VLB62" s="459"/>
      <c r="VLC62" s="459"/>
      <c r="VLD62" s="459"/>
      <c r="VLE62" s="459"/>
      <c r="VLF62" s="459"/>
      <c r="VLG62" s="459"/>
      <c r="VLH62" s="459"/>
      <c r="VLI62" s="459"/>
      <c r="VLJ62" s="459"/>
      <c r="VLK62" s="459"/>
      <c r="VLL62" s="459"/>
      <c r="VLM62" s="459"/>
      <c r="VLN62" s="459"/>
      <c r="VLO62" s="459"/>
      <c r="VLP62" s="459"/>
      <c r="VLQ62" s="459"/>
      <c r="VLR62" s="459"/>
      <c r="VLS62" s="459"/>
      <c r="VLT62" s="459"/>
      <c r="VLU62" s="459"/>
      <c r="VLV62" s="459"/>
      <c r="VLW62" s="459"/>
      <c r="VLX62" s="459"/>
      <c r="VLY62" s="459"/>
      <c r="VLZ62" s="459"/>
      <c r="VMA62" s="459"/>
      <c r="VMB62" s="459"/>
      <c r="VMC62" s="459"/>
      <c r="VMD62" s="459"/>
      <c r="VME62" s="459"/>
      <c r="VMF62" s="459"/>
      <c r="VMG62" s="459"/>
      <c r="VMH62" s="459"/>
      <c r="VMI62" s="459"/>
      <c r="VMJ62" s="459"/>
      <c r="VMK62" s="459"/>
      <c r="VML62" s="459"/>
      <c r="VMM62" s="459"/>
      <c r="VMN62" s="459"/>
      <c r="VMO62" s="459"/>
      <c r="VMP62" s="459"/>
      <c r="VMQ62" s="459"/>
      <c r="VMR62" s="459"/>
      <c r="VMS62" s="459"/>
      <c r="VMT62" s="459"/>
      <c r="VMU62" s="459"/>
      <c r="VMV62" s="459"/>
      <c r="VMW62" s="459"/>
      <c r="VMX62" s="459"/>
      <c r="VMY62" s="459"/>
      <c r="VMZ62" s="459"/>
      <c r="VNA62" s="459"/>
      <c r="VNB62" s="459"/>
      <c r="VNC62" s="459"/>
      <c r="VND62" s="459"/>
      <c r="VNE62" s="459"/>
      <c r="VNF62" s="459"/>
      <c r="VNG62" s="459"/>
      <c r="VNH62" s="459"/>
      <c r="VNI62" s="459"/>
      <c r="VNJ62" s="459"/>
      <c r="VNK62" s="459"/>
      <c r="VNL62" s="459"/>
      <c r="VNM62" s="459"/>
      <c r="VNN62" s="459"/>
      <c r="VNO62" s="459"/>
      <c r="VNP62" s="459"/>
      <c r="VNQ62" s="459"/>
      <c r="VNR62" s="459"/>
      <c r="VNS62" s="459"/>
      <c r="VNT62" s="459"/>
      <c r="VNU62" s="459"/>
      <c r="VNV62" s="459"/>
      <c r="VNW62" s="459"/>
      <c r="VNX62" s="459"/>
      <c r="VNY62" s="459"/>
      <c r="VNZ62" s="459"/>
      <c r="VOA62" s="459"/>
      <c r="VOB62" s="459"/>
      <c r="VOC62" s="459"/>
      <c r="VOD62" s="459"/>
      <c r="VOE62" s="459"/>
      <c r="VOF62" s="459"/>
      <c r="VOG62" s="459"/>
      <c r="VOH62" s="459"/>
      <c r="VOI62" s="459"/>
      <c r="VOJ62" s="459"/>
      <c r="VOK62" s="459"/>
      <c r="VOL62" s="459"/>
      <c r="VOM62" s="459"/>
      <c r="VON62" s="459"/>
      <c r="VOO62" s="459"/>
      <c r="VOP62" s="459"/>
      <c r="VOQ62" s="459"/>
      <c r="VOR62" s="459"/>
      <c r="VOS62" s="459"/>
      <c r="VOT62" s="459"/>
      <c r="VOU62" s="459"/>
      <c r="VOV62" s="459"/>
      <c r="VOW62" s="459"/>
      <c r="VOX62" s="459"/>
      <c r="VOY62" s="459"/>
      <c r="VOZ62" s="459"/>
      <c r="VPA62" s="459"/>
      <c r="VPB62" s="459"/>
      <c r="VPC62" s="459"/>
      <c r="VPD62" s="459"/>
      <c r="VPE62" s="459"/>
      <c r="VPF62" s="459"/>
      <c r="VPG62" s="459"/>
      <c r="VPH62" s="459"/>
      <c r="VPI62" s="459"/>
      <c r="VPJ62" s="459"/>
      <c r="VPK62" s="459"/>
      <c r="VPL62" s="459"/>
      <c r="VPM62" s="459"/>
      <c r="VPN62" s="459"/>
      <c r="VPO62" s="459"/>
      <c r="VPP62" s="459"/>
      <c r="VPQ62" s="459"/>
      <c r="VPR62" s="459"/>
      <c r="VPS62" s="459"/>
      <c r="VPT62" s="459"/>
      <c r="VPU62" s="459"/>
      <c r="VPV62" s="459"/>
      <c r="VPW62" s="459"/>
      <c r="VPX62" s="459"/>
      <c r="VPY62" s="459"/>
      <c r="VPZ62" s="459"/>
      <c r="VQA62" s="459"/>
      <c r="VQB62" s="459"/>
      <c r="VQC62" s="459"/>
      <c r="VQD62" s="459"/>
      <c r="VQE62" s="459"/>
      <c r="VQF62" s="459"/>
      <c r="VQG62" s="459"/>
      <c r="VQH62" s="459"/>
      <c r="VQI62" s="459"/>
      <c r="VQJ62" s="459"/>
      <c r="VQK62" s="459"/>
      <c r="VQL62" s="459"/>
      <c r="VQM62" s="459"/>
      <c r="VQN62" s="459"/>
      <c r="VQO62" s="459"/>
      <c r="VQP62" s="459"/>
      <c r="VQQ62" s="459"/>
      <c r="VQR62" s="459"/>
      <c r="VQS62" s="459"/>
      <c r="VQT62" s="459"/>
      <c r="VQU62" s="459"/>
      <c r="VQV62" s="459"/>
      <c r="VQW62" s="459"/>
      <c r="VQX62" s="459"/>
      <c r="VQY62" s="459"/>
      <c r="VQZ62" s="459"/>
      <c r="VRA62" s="459"/>
      <c r="VRB62" s="459"/>
      <c r="VRC62" s="459"/>
      <c r="VRD62" s="459"/>
      <c r="VRE62" s="459"/>
      <c r="VRF62" s="459"/>
      <c r="VRG62" s="459"/>
      <c r="VRH62" s="459"/>
      <c r="VRI62" s="459"/>
      <c r="VRJ62" s="459"/>
      <c r="VRK62" s="459"/>
      <c r="VRL62" s="459"/>
      <c r="VRM62" s="459"/>
      <c r="VRN62" s="459"/>
      <c r="VRO62" s="459"/>
      <c r="VRP62" s="459"/>
      <c r="VRQ62" s="459"/>
      <c r="VRR62" s="459"/>
      <c r="VRS62" s="459"/>
      <c r="VRT62" s="459"/>
      <c r="VRU62" s="459"/>
      <c r="VRV62" s="459"/>
      <c r="VRW62" s="459"/>
      <c r="VRX62" s="459"/>
      <c r="VRY62" s="459"/>
      <c r="VRZ62" s="459"/>
      <c r="VSA62" s="459"/>
      <c r="VSB62" s="459"/>
      <c r="VSC62" s="459"/>
      <c r="VSD62" s="459"/>
      <c r="VSE62" s="459"/>
      <c r="VSF62" s="459"/>
      <c r="VSG62" s="459"/>
      <c r="VSH62" s="459"/>
      <c r="VSI62" s="459"/>
      <c r="VSJ62" s="459"/>
      <c r="VSK62" s="459"/>
      <c r="VSL62" s="459"/>
      <c r="VSM62" s="459"/>
      <c r="VSN62" s="459"/>
      <c r="VSO62" s="459"/>
      <c r="VSP62" s="459"/>
      <c r="VSQ62" s="459"/>
      <c r="VSR62" s="459"/>
      <c r="VSS62" s="459"/>
      <c r="VST62" s="459"/>
      <c r="VSU62" s="459"/>
      <c r="VSV62" s="459"/>
      <c r="VSW62" s="459"/>
      <c r="VSX62" s="459"/>
      <c r="VSY62" s="459"/>
      <c r="VSZ62" s="459"/>
      <c r="VTA62" s="459"/>
      <c r="VTB62" s="459"/>
      <c r="VTC62" s="459"/>
      <c r="VTD62" s="459"/>
      <c r="VTE62" s="459"/>
      <c r="VTF62" s="459"/>
      <c r="VTG62" s="459"/>
      <c r="VTH62" s="459"/>
      <c r="VTI62" s="459"/>
      <c r="VTJ62" s="459"/>
      <c r="VTK62" s="459"/>
      <c r="VTL62" s="459"/>
      <c r="VTM62" s="459"/>
      <c r="VTN62" s="459"/>
      <c r="VTO62" s="459"/>
      <c r="VTP62" s="459"/>
      <c r="VTQ62" s="459"/>
      <c r="VTR62" s="459"/>
      <c r="VTS62" s="459"/>
      <c r="VTT62" s="459"/>
      <c r="VTU62" s="459"/>
      <c r="VTV62" s="459"/>
      <c r="VTW62" s="459"/>
      <c r="VTX62" s="459"/>
      <c r="VTY62" s="459"/>
      <c r="VTZ62" s="459"/>
      <c r="VUA62" s="459"/>
      <c r="VUB62" s="459"/>
      <c r="VUC62" s="459"/>
      <c r="VUD62" s="459"/>
      <c r="VUE62" s="459"/>
      <c r="VUF62" s="459"/>
      <c r="VUG62" s="459"/>
      <c r="VUH62" s="459"/>
      <c r="VUI62" s="459"/>
      <c r="VUJ62" s="459"/>
      <c r="VUK62" s="459"/>
      <c r="VUL62" s="459"/>
      <c r="VUM62" s="459"/>
      <c r="VUN62" s="459"/>
      <c r="VUO62" s="459"/>
      <c r="VUP62" s="459"/>
      <c r="VUQ62" s="459"/>
      <c r="VUR62" s="459"/>
      <c r="VUS62" s="459"/>
      <c r="VUT62" s="459"/>
      <c r="VUU62" s="459"/>
      <c r="VUV62" s="459"/>
      <c r="VUW62" s="459"/>
      <c r="VUX62" s="459"/>
      <c r="VUY62" s="459"/>
      <c r="VUZ62" s="459"/>
      <c r="VVA62" s="459"/>
      <c r="VVB62" s="459"/>
      <c r="VVC62" s="459"/>
      <c r="VVD62" s="459"/>
      <c r="VVE62" s="459"/>
      <c r="VVF62" s="459"/>
      <c r="VVG62" s="459"/>
      <c r="VVH62" s="459"/>
      <c r="VVI62" s="459"/>
      <c r="VVJ62" s="459"/>
      <c r="VVK62" s="459"/>
      <c r="VVL62" s="459"/>
      <c r="VVM62" s="459"/>
      <c r="VVN62" s="459"/>
      <c r="VVO62" s="459"/>
      <c r="VVP62" s="459"/>
      <c r="VVQ62" s="459"/>
      <c r="VVR62" s="459"/>
      <c r="VVS62" s="459"/>
      <c r="VVT62" s="459"/>
      <c r="VVU62" s="459"/>
      <c r="VVV62" s="459"/>
      <c r="VVW62" s="459"/>
      <c r="VVX62" s="459"/>
      <c r="VVY62" s="459"/>
      <c r="VVZ62" s="459"/>
      <c r="VWA62" s="459"/>
      <c r="VWB62" s="459"/>
      <c r="VWC62" s="459"/>
      <c r="VWD62" s="459"/>
      <c r="VWE62" s="459"/>
      <c r="VWF62" s="459"/>
      <c r="VWG62" s="459"/>
      <c r="VWH62" s="459"/>
      <c r="VWI62" s="459"/>
      <c r="VWJ62" s="459"/>
      <c r="VWK62" s="459"/>
      <c r="VWL62" s="459"/>
      <c r="VWM62" s="459"/>
      <c r="VWN62" s="459"/>
      <c r="VWO62" s="459"/>
      <c r="VWP62" s="459"/>
      <c r="VWQ62" s="459"/>
      <c r="VWR62" s="459"/>
      <c r="VWS62" s="459"/>
      <c r="VWT62" s="459"/>
      <c r="VWU62" s="459"/>
      <c r="VWV62" s="459"/>
      <c r="VWW62" s="459"/>
      <c r="VWX62" s="459"/>
      <c r="VWY62" s="459"/>
      <c r="VWZ62" s="459"/>
      <c r="VXA62" s="459"/>
      <c r="VXB62" s="459"/>
      <c r="VXC62" s="459"/>
      <c r="VXD62" s="459"/>
      <c r="VXE62" s="459"/>
      <c r="VXF62" s="459"/>
      <c r="VXG62" s="459"/>
      <c r="VXH62" s="459"/>
      <c r="VXI62" s="459"/>
      <c r="VXJ62" s="459"/>
      <c r="VXK62" s="459"/>
      <c r="VXL62" s="459"/>
      <c r="VXM62" s="459"/>
      <c r="VXN62" s="459"/>
      <c r="VXO62" s="459"/>
      <c r="VXP62" s="459"/>
      <c r="VXQ62" s="459"/>
      <c r="VXR62" s="459"/>
      <c r="VXS62" s="459"/>
      <c r="VXT62" s="459"/>
      <c r="VXU62" s="459"/>
      <c r="VXV62" s="459"/>
      <c r="VXW62" s="459"/>
      <c r="VXX62" s="459"/>
      <c r="VXY62" s="459"/>
      <c r="VXZ62" s="459"/>
      <c r="VYA62" s="459"/>
      <c r="VYB62" s="459"/>
      <c r="VYC62" s="459"/>
      <c r="VYD62" s="459"/>
      <c r="VYE62" s="459"/>
      <c r="VYF62" s="459"/>
      <c r="VYG62" s="459"/>
      <c r="VYH62" s="459"/>
      <c r="VYI62" s="459"/>
      <c r="VYJ62" s="459"/>
      <c r="VYK62" s="459"/>
      <c r="VYL62" s="459"/>
      <c r="VYM62" s="459"/>
      <c r="VYN62" s="459"/>
      <c r="VYO62" s="459"/>
      <c r="VYP62" s="459"/>
      <c r="VYQ62" s="459"/>
      <c r="VYR62" s="459"/>
      <c r="VYS62" s="459"/>
      <c r="VYT62" s="459"/>
      <c r="VYU62" s="459"/>
      <c r="VYV62" s="459"/>
      <c r="VYW62" s="459"/>
      <c r="VYX62" s="459"/>
      <c r="VYY62" s="459"/>
      <c r="VYZ62" s="459"/>
      <c r="VZA62" s="459"/>
      <c r="VZB62" s="459"/>
      <c r="VZC62" s="459"/>
      <c r="VZD62" s="459"/>
      <c r="VZE62" s="459"/>
      <c r="VZF62" s="459"/>
      <c r="VZG62" s="459"/>
      <c r="VZH62" s="459"/>
      <c r="VZI62" s="459"/>
      <c r="VZJ62" s="459"/>
      <c r="VZK62" s="459"/>
      <c r="VZL62" s="459"/>
      <c r="VZM62" s="459"/>
      <c r="VZN62" s="459"/>
      <c r="VZO62" s="459"/>
      <c r="VZP62" s="459"/>
      <c r="VZQ62" s="459"/>
      <c r="VZR62" s="459"/>
      <c r="VZS62" s="459"/>
      <c r="VZT62" s="459"/>
      <c r="VZU62" s="459"/>
      <c r="VZV62" s="459"/>
      <c r="VZW62" s="459"/>
      <c r="VZX62" s="459"/>
      <c r="VZY62" s="459"/>
      <c r="VZZ62" s="459"/>
      <c r="WAA62" s="459"/>
      <c r="WAB62" s="459"/>
      <c r="WAC62" s="459"/>
      <c r="WAD62" s="459"/>
      <c r="WAE62" s="459"/>
      <c r="WAF62" s="459"/>
      <c r="WAG62" s="459"/>
      <c r="WAH62" s="459"/>
      <c r="WAI62" s="459"/>
      <c r="WAJ62" s="459"/>
      <c r="WAK62" s="459"/>
      <c r="WAL62" s="459"/>
      <c r="WAM62" s="459"/>
      <c r="WAN62" s="459"/>
      <c r="WAO62" s="459"/>
      <c r="WAP62" s="459"/>
      <c r="WAQ62" s="459"/>
      <c r="WAR62" s="459"/>
      <c r="WAS62" s="459"/>
      <c r="WAT62" s="459"/>
      <c r="WAU62" s="459"/>
      <c r="WAV62" s="459"/>
      <c r="WAW62" s="459"/>
      <c r="WAX62" s="459"/>
      <c r="WAY62" s="459"/>
      <c r="WAZ62" s="459"/>
      <c r="WBA62" s="459"/>
      <c r="WBB62" s="459"/>
      <c r="WBC62" s="459"/>
      <c r="WBD62" s="459"/>
      <c r="WBE62" s="459"/>
      <c r="WBF62" s="459"/>
      <c r="WBG62" s="459"/>
      <c r="WBH62" s="459"/>
      <c r="WBI62" s="459"/>
      <c r="WBJ62" s="459"/>
      <c r="WBK62" s="459"/>
      <c r="WBL62" s="459"/>
      <c r="WBM62" s="459"/>
      <c r="WBN62" s="459"/>
      <c r="WBO62" s="459"/>
      <c r="WBP62" s="459"/>
      <c r="WBQ62" s="459"/>
      <c r="WBR62" s="459"/>
      <c r="WBS62" s="459"/>
      <c r="WBT62" s="459"/>
      <c r="WBU62" s="459"/>
      <c r="WBV62" s="459"/>
      <c r="WBW62" s="459"/>
      <c r="WBX62" s="459"/>
      <c r="WBY62" s="459"/>
      <c r="WBZ62" s="459"/>
      <c r="WCA62" s="459"/>
      <c r="WCB62" s="459"/>
      <c r="WCC62" s="459"/>
      <c r="WCD62" s="459"/>
      <c r="WCE62" s="459"/>
      <c r="WCF62" s="459"/>
      <c r="WCG62" s="459"/>
      <c r="WCH62" s="459"/>
      <c r="WCI62" s="459"/>
      <c r="WCJ62" s="459"/>
      <c r="WCK62" s="459"/>
      <c r="WCL62" s="459"/>
      <c r="WCM62" s="459"/>
      <c r="WCN62" s="459"/>
      <c r="WCO62" s="459"/>
      <c r="WCP62" s="459"/>
      <c r="WCQ62" s="459"/>
      <c r="WCR62" s="459"/>
      <c r="WCS62" s="459"/>
      <c r="WCT62" s="459"/>
      <c r="WCU62" s="459"/>
      <c r="WCV62" s="459"/>
      <c r="WCW62" s="459"/>
      <c r="WCX62" s="459"/>
      <c r="WCY62" s="459"/>
      <c r="WCZ62" s="459"/>
      <c r="WDA62" s="459"/>
      <c r="WDB62" s="459"/>
      <c r="WDC62" s="459"/>
      <c r="WDD62" s="459"/>
      <c r="WDE62" s="459"/>
      <c r="WDF62" s="459"/>
      <c r="WDG62" s="459"/>
      <c r="WDH62" s="459"/>
      <c r="WDI62" s="459"/>
      <c r="WDJ62" s="459"/>
      <c r="WDK62" s="459"/>
      <c r="WDL62" s="459"/>
      <c r="WDM62" s="459"/>
      <c r="WDN62" s="459"/>
      <c r="WDO62" s="459"/>
      <c r="WDP62" s="459"/>
      <c r="WDQ62" s="459"/>
      <c r="WDR62" s="459"/>
      <c r="WDS62" s="459"/>
      <c r="WDT62" s="459"/>
      <c r="WDU62" s="459"/>
      <c r="WDV62" s="459"/>
      <c r="WDW62" s="459"/>
      <c r="WDX62" s="459"/>
      <c r="WDY62" s="459"/>
      <c r="WDZ62" s="459"/>
      <c r="WEA62" s="459"/>
      <c r="WEB62" s="459"/>
      <c r="WEC62" s="459"/>
      <c r="WED62" s="459"/>
      <c r="WEE62" s="459"/>
      <c r="WEF62" s="459"/>
      <c r="WEG62" s="459"/>
      <c r="WEH62" s="459"/>
      <c r="WEI62" s="459"/>
      <c r="WEJ62" s="459"/>
      <c r="WEK62" s="459"/>
      <c r="WEL62" s="459"/>
      <c r="WEM62" s="459"/>
      <c r="WEN62" s="459"/>
      <c r="WEO62" s="459"/>
      <c r="WEP62" s="459"/>
      <c r="WEQ62" s="459"/>
      <c r="WER62" s="459"/>
      <c r="WES62" s="459"/>
      <c r="WET62" s="459"/>
      <c r="WEU62" s="459"/>
      <c r="WEV62" s="459"/>
      <c r="WEW62" s="459"/>
      <c r="WEX62" s="459"/>
      <c r="WEY62" s="459"/>
      <c r="WEZ62" s="459"/>
      <c r="WFA62" s="459"/>
      <c r="WFB62" s="459"/>
      <c r="WFC62" s="459"/>
      <c r="WFD62" s="459"/>
      <c r="WFE62" s="459"/>
      <c r="WFF62" s="459"/>
      <c r="WFG62" s="459"/>
      <c r="WFH62" s="459"/>
      <c r="WFI62" s="459"/>
      <c r="WFJ62" s="459"/>
      <c r="WFK62" s="459"/>
      <c r="WFL62" s="459"/>
      <c r="WFM62" s="459"/>
      <c r="WFN62" s="459"/>
      <c r="WFO62" s="459"/>
      <c r="WFP62" s="459"/>
      <c r="WFQ62" s="459"/>
      <c r="WFR62" s="459"/>
      <c r="WFS62" s="459"/>
      <c r="WFT62" s="459"/>
      <c r="WFU62" s="459"/>
      <c r="WFV62" s="459"/>
      <c r="WFW62" s="459"/>
      <c r="WFX62" s="459"/>
      <c r="WFY62" s="459"/>
      <c r="WFZ62" s="459"/>
      <c r="WGA62" s="459"/>
      <c r="WGB62" s="459"/>
      <c r="WGC62" s="459"/>
      <c r="WGD62" s="459"/>
      <c r="WGE62" s="459"/>
      <c r="WGF62" s="459"/>
      <c r="WGG62" s="459"/>
      <c r="WGH62" s="459"/>
      <c r="WGI62" s="459"/>
      <c r="WGJ62" s="459"/>
      <c r="WGK62" s="459"/>
      <c r="WGL62" s="459"/>
      <c r="WGM62" s="459"/>
      <c r="WGN62" s="459"/>
      <c r="WGO62" s="459"/>
      <c r="WGP62" s="459"/>
      <c r="WGQ62" s="459"/>
      <c r="WGR62" s="459"/>
      <c r="WGS62" s="459"/>
      <c r="WGT62" s="459"/>
      <c r="WGU62" s="459"/>
      <c r="WGV62" s="459"/>
      <c r="WGW62" s="459"/>
      <c r="WGX62" s="459"/>
      <c r="WGY62" s="459"/>
      <c r="WGZ62" s="459"/>
      <c r="WHA62" s="459"/>
      <c r="WHB62" s="459"/>
      <c r="WHC62" s="459"/>
      <c r="WHD62" s="459"/>
      <c r="WHE62" s="459"/>
      <c r="WHF62" s="459"/>
      <c r="WHG62" s="459"/>
      <c r="WHH62" s="459"/>
      <c r="WHI62" s="459"/>
      <c r="WHJ62" s="459"/>
      <c r="WHK62" s="459"/>
      <c r="WHL62" s="459"/>
      <c r="WHM62" s="459"/>
      <c r="WHN62" s="459"/>
      <c r="WHO62" s="459"/>
      <c r="WHP62" s="459"/>
      <c r="WHQ62" s="459"/>
      <c r="WHR62" s="459"/>
      <c r="WHS62" s="459"/>
      <c r="WHT62" s="459"/>
      <c r="WHU62" s="459"/>
      <c r="WHV62" s="459"/>
      <c r="WHW62" s="459"/>
      <c r="WHX62" s="459"/>
      <c r="WHY62" s="459"/>
      <c r="WHZ62" s="459"/>
      <c r="WIA62" s="459"/>
      <c r="WIB62" s="459"/>
      <c r="WIC62" s="459"/>
      <c r="WID62" s="459"/>
      <c r="WIE62" s="459"/>
      <c r="WIF62" s="459"/>
      <c r="WIG62" s="459"/>
      <c r="WIH62" s="459"/>
      <c r="WII62" s="459"/>
      <c r="WIJ62" s="459"/>
      <c r="WIK62" s="459"/>
      <c r="WIL62" s="459"/>
      <c r="WIM62" s="459"/>
      <c r="WIN62" s="459"/>
      <c r="WIO62" s="459"/>
      <c r="WIP62" s="459"/>
      <c r="WIQ62" s="459"/>
      <c r="WIR62" s="459"/>
      <c r="WIS62" s="459"/>
      <c r="WIT62" s="459"/>
      <c r="WIU62" s="459"/>
      <c r="WIV62" s="459"/>
      <c r="WIW62" s="459"/>
      <c r="WIX62" s="459"/>
      <c r="WIY62" s="459"/>
      <c r="WIZ62" s="459"/>
      <c r="WJA62" s="459"/>
      <c r="WJB62" s="459"/>
      <c r="WJC62" s="459"/>
      <c r="WJD62" s="459"/>
      <c r="WJE62" s="459"/>
      <c r="WJF62" s="459"/>
      <c r="WJG62" s="459"/>
      <c r="WJH62" s="459"/>
      <c r="WJI62" s="459"/>
      <c r="WJJ62" s="459"/>
      <c r="WJK62" s="459"/>
      <c r="WJL62" s="459"/>
      <c r="WJM62" s="459"/>
      <c r="WJN62" s="459"/>
      <c r="WJO62" s="459"/>
      <c r="WJP62" s="459"/>
      <c r="WJQ62" s="459"/>
      <c r="WJR62" s="459"/>
      <c r="WJS62" s="459"/>
      <c r="WJT62" s="459"/>
      <c r="WJU62" s="459"/>
      <c r="WJV62" s="459"/>
      <c r="WJW62" s="459"/>
      <c r="WJX62" s="459"/>
      <c r="WJY62" s="459"/>
      <c r="WJZ62" s="459"/>
      <c r="WKA62" s="459"/>
      <c r="WKB62" s="459"/>
      <c r="WKC62" s="459"/>
      <c r="WKD62" s="459"/>
      <c r="WKE62" s="459"/>
      <c r="WKF62" s="459"/>
      <c r="WKG62" s="459"/>
      <c r="WKH62" s="459"/>
      <c r="WKI62" s="459"/>
      <c r="WKJ62" s="459"/>
      <c r="WKK62" s="459"/>
      <c r="WKL62" s="459"/>
      <c r="WKM62" s="459"/>
      <c r="WKN62" s="459"/>
      <c r="WKO62" s="459"/>
      <c r="WKP62" s="459"/>
      <c r="WKQ62" s="459"/>
      <c r="WKR62" s="459"/>
      <c r="WKS62" s="459"/>
      <c r="WKT62" s="459"/>
      <c r="WKU62" s="459"/>
      <c r="WKV62" s="459"/>
      <c r="WKW62" s="459"/>
      <c r="WKX62" s="459"/>
      <c r="WKY62" s="459"/>
      <c r="WKZ62" s="459"/>
      <c r="WLA62" s="459"/>
      <c r="WLB62" s="459"/>
      <c r="WLC62" s="459"/>
      <c r="WLD62" s="459"/>
      <c r="WLE62" s="459"/>
      <c r="WLF62" s="459"/>
      <c r="WLG62" s="459"/>
      <c r="WLH62" s="459"/>
      <c r="WLI62" s="459"/>
      <c r="WLJ62" s="459"/>
      <c r="WLK62" s="459"/>
      <c r="WLL62" s="459"/>
      <c r="WLM62" s="459"/>
      <c r="WLN62" s="459"/>
      <c r="WLO62" s="459"/>
      <c r="WLP62" s="459"/>
      <c r="WLQ62" s="459"/>
      <c r="WLR62" s="459"/>
      <c r="WLS62" s="459"/>
      <c r="WLT62" s="459"/>
      <c r="WLU62" s="459"/>
      <c r="WLV62" s="459"/>
      <c r="WLW62" s="459"/>
      <c r="WLX62" s="459"/>
      <c r="WLY62" s="459"/>
      <c r="WLZ62" s="459"/>
      <c r="WMA62" s="459"/>
      <c r="WMB62" s="459"/>
      <c r="WMC62" s="459"/>
      <c r="WMD62" s="459"/>
      <c r="WME62" s="459"/>
      <c r="WMF62" s="459"/>
      <c r="WMG62" s="459"/>
      <c r="WMH62" s="459"/>
      <c r="WMI62" s="459"/>
      <c r="WMJ62" s="459"/>
      <c r="WMK62" s="459"/>
      <c r="WML62" s="459"/>
      <c r="WMM62" s="459"/>
      <c r="WMN62" s="459"/>
      <c r="WMO62" s="459"/>
      <c r="WMP62" s="459"/>
      <c r="WMQ62" s="459"/>
      <c r="WMR62" s="459"/>
      <c r="WMS62" s="459"/>
      <c r="WMT62" s="459"/>
      <c r="WMU62" s="459"/>
      <c r="WMV62" s="459"/>
      <c r="WMW62" s="459"/>
      <c r="WMX62" s="459"/>
      <c r="WMY62" s="459"/>
      <c r="WMZ62" s="459"/>
      <c r="WNA62" s="459"/>
      <c r="WNB62" s="459"/>
      <c r="WNC62" s="459"/>
      <c r="WND62" s="459"/>
      <c r="WNE62" s="459"/>
      <c r="WNF62" s="459"/>
      <c r="WNG62" s="459"/>
      <c r="WNH62" s="459"/>
      <c r="WNI62" s="459"/>
      <c r="WNJ62" s="459"/>
      <c r="WNK62" s="459"/>
      <c r="WNL62" s="459"/>
      <c r="WNM62" s="459"/>
      <c r="WNN62" s="459"/>
      <c r="WNO62" s="459"/>
      <c r="WNP62" s="459"/>
      <c r="WNQ62" s="459"/>
      <c r="WNR62" s="459"/>
      <c r="WNS62" s="459"/>
      <c r="WNT62" s="459"/>
      <c r="WNU62" s="459"/>
      <c r="WNV62" s="459"/>
      <c r="WNW62" s="459"/>
      <c r="WNX62" s="459"/>
      <c r="WNY62" s="459"/>
      <c r="WNZ62" s="459"/>
      <c r="WOA62" s="459"/>
      <c r="WOB62" s="459"/>
      <c r="WOC62" s="459"/>
      <c r="WOD62" s="459"/>
      <c r="WOE62" s="459"/>
      <c r="WOF62" s="459"/>
      <c r="WOG62" s="459"/>
      <c r="WOH62" s="459"/>
      <c r="WOI62" s="459"/>
      <c r="WOJ62" s="459"/>
      <c r="WOK62" s="459"/>
      <c r="WOL62" s="459"/>
      <c r="WOM62" s="459"/>
      <c r="WON62" s="459"/>
      <c r="WOO62" s="459"/>
      <c r="WOP62" s="459"/>
      <c r="WOQ62" s="459"/>
      <c r="WOR62" s="459"/>
      <c r="WOS62" s="459"/>
      <c r="WOT62" s="459"/>
      <c r="WOU62" s="459"/>
      <c r="WOV62" s="459"/>
      <c r="WOW62" s="459"/>
      <c r="WOX62" s="459"/>
      <c r="WOY62" s="459"/>
      <c r="WOZ62" s="459"/>
      <c r="WPA62" s="459"/>
      <c r="WPB62" s="459"/>
      <c r="WPC62" s="459"/>
      <c r="WPD62" s="459"/>
      <c r="WPE62" s="459"/>
      <c r="WPF62" s="459"/>
      <c r="WPG62" s="459"/>
      <c r="WPH62" s="459"/>
      <c r="WPI62" s="459"/>
      <c r="WPJ62" s="459"/>
      <c r="WPK62" s="459"/>
      <c r="WPL62" s="459"/>
      <c r="WPM62" s="459"/>
      <c r="WPN62" s="459"/>
      <c r="WPO62" s="459"/>
      <c r="WPP62" s="459"/>
      <c r="WPQ62" s="459"/>
      <c r="WPR62" s="459"/>
      <c r="WPS62" s="459"/>
      <c r="WPT62" s="459"/>
      <c r="WPU62" s="459"/>
      <c r="WPV62" s="459"/>
      <c r="WPW62" s="459"/>
      <c r="WPX62" s="459"/>
      <c r="WPY62" s="459"/>
      <c r="WPZ62" s="459"/>
      <c r="WQA62" s="459"/>
      <c r="WQB62" s="459"/>
      <c r="WQC62" s="459"/>
      <c r="WQD62" s="459"/>
      <c r="WQE62" s="459"/>
      <c r="WQF62" s="459"/>
      <c r="WQG62" s="459"/>
      <c r="WQH62" s="459"/>
      <c r="WQI62" s="459"/>
      <c r="WQJ62" s="459"/>
      <c r="WQK62" s="459"/>
      <c r="WQL62" s="459"/>
      <c r="WQM62" s="459"/>
      <c r="WQN62" s="459"/>
      <c r="WQO62" s="459"/>
      <c r="WQP62" s="459"/>
      <c r="WQQ62" s="459"/>
      <c r="WQR62" s="459"/>
      <c r="WQS62" s="459"/>
      <c r="WQT62" s="459"/>
      <c r="WQU62" s="459"/>
      <c r="WQV62" s="459"/>
      <c r="WQW62" s="459"/>
      <c r="WQX62" s="459"/>
      <c r="WQY62" s="459"/>
      <c r="WQZ62" s="459"/>
      <c r="WRA62" s="459"/>
      <c r="WRB62" s="459"/>
      <c r="WRC62" s="459"/>
      <c r="WRD62" s="459"/>
      <c r="WRE62" s="459"/>
      <c r="WRF62" s="459"/>
      <c r="WRG62" s="459"/>
      <c r="WRH62" s="459"/>
      <c r="WRI62" s="459"/>
      <c r="WRJ62" s="459"/>
      <c r="WRK62" s="459"/>
      <c r="WRL62" s="459"/>
      <c r="WRM62" s="459"/>
      <c r="WRN62" s="459"/>
      <c r="WRO62" s="459"/>
      <c r="WRP62" s="459"/>
      <c r="WRQ62" s="459"/>
      <c r="WRR62" s="459"/>
      <c r="WRS62" s="459"/>
      <c r="WRT62" s="459"/>
      <c r="WRU62" s="459"/>
      <c r="WRV62" s="459"/>
      <c r="WRW62" s="459"/>
      <c r="WRX62" s="459"/>
      <c r="WRY62" s="459"/>
      <c r="WRZ62" s="459"/>
      <c r="WSA62" s="459"/>
      <c r="WSB62" s="459"/>
      <c r="WSC62" s="459"/>
      <c r="WSD62" s="459"/>
      <c r="WSE62" s="459"/>
      <c r="WSF62" s="459"/>
      <c r="WSG62" s="459"/>
      <c r="WSH62" s="459"/>
      <c r="WSI62" s="459"/>
      <c r="WSJ62" s="459"/>
      <c r="WSK62" s="459"/>
      <c r="WSL62" s="459"/>
      <c r="WSM62" s="459"/>
      <c r="WSN62" s="459"/>
      <c r="WSO62" s="459"/>
      <c r="WSP62" s="459"/>
      <c r="WSQ62" s="459"/>
      <c r="WSR62" s="459"/>
      <c r="WSS62" s="459"/>
      <c r="WST62" s="459"/>
      <c r="WSU62" s="459"/>
      <c r="WSV62" s="459"/>
      <c r="WSW62" s="459"/>
      <c r="WSX62" s="459"/>
      <c r="WSY62" s="459"/>
      <c r="WSZ62" s="459"/>
      <c r="WTA62" s="459"/>
      <c r="WTB62" s="459"/>
      <c r="WTC62" s="459"/>
      <c r="WTD62" s="459"/>
      <c r="WTE62" s="459"/>
      <c r="WTF62" s="459"/>
      <c r="WTG62" s="459"/>
      <c r="WTH62" s="459"/>
      <c r="WTI62" s="459"/>
      <c r="WTJ62" s="459"/>
      <c r="WTK62" s="459"/>
      <c r="WTL62" s="459"/>
      <c r="WTM62" s="459"/>
      <c r="WTN62" s="459"/>
      <c r="WTO62" s="459"/>
      <c r="WTP62" s="459"/>
      <c r="WTQ62" s="459"/>
      <c r="WTR62" s="459"/>
      <c r="WTS62" s="459"/>
      <c r="WTT62" s="459"/>
      <c r="WTU62" s="459"/>
      <c r="WTV62" s="459"/>
      <c r="WTW62" s="459"/>
      <c r="WTX62" s="459"/>
      <c r="WTY62" s="459"/>
      <c r="WTZ62" s="459"/>
      <c r="WUA62" s="459"/>
      <c r="WUB62" s="459"/>
      <c r="WUC62" s="459"/>
      <c r="WUD62" s="459"/>
      <c r="WUE62" s="459"/>
      <c r="WUF62" s="459"/>
      <c r="WUG62" s="459"/>
      <c r="WUH62" s="459"/>
      <c r="WUI62" s="459"/>
      <c r="WUJ62" s="459"/>
      <c r="WUK62" s="459"/>
      <c r="WUL62" s="459"/>
      <c r="WUM62" s="459"/>
      <c r="WUN62" s="459"/>
      <c r="WUO62" s="459"/>
      <c r="WUP62" s="459"/>
      <c r="WUQ62" s="459"/>
      <c r="WUR62" s="459"/>
      <c r="WUS62" s="459"/>
      <c r="WUT62" s="459"/>
      <c r="WUU62" s="459"/>
      <c r="WUV62" s="459"/>
      <c r="WUW62" s="459"/>
      <c r="WUX62" s="459"/>
      <c r="WUY62" s="459"/>
      <c r="WUZ62" s="459"/>
      <c r="WVA62" s="459"/>
      <c r="WVB62" s="459"/>
      <c r="WVC62" s="459"/>
      <c r="WVD62" s="459"/>
      <c r="WVE62" s="459"/>
      <c r="WVF62" s="459"/>
      <c r="WVG62" s="459"/>
      <c r="WVH62" s="459"/>
      <c r="WVI62" s="459"/>
      <c r="WVJ62" s="459"/>
      <c r="WVK62" s="459"/>
      <c r="WVL62" s="459"/>
      <c r="WVM62" s="459"/>
      <c r="WVN62" s="459"/>
      <c r="WVO62" s="459"/>
      <c r="WVP62" s="459"/>
      <c r="WVQ62" s="459"/>
      <c r="WVR62" s="459"/>
      <c r="WVS62" s="459"/>
      <c r="WVT62" s="459"/>
      <c r="WVU62" s="459"/>
      <c r="WVV62" s="459"/>
      <c r="WVW62" s="459"/>
      <c r="WVX62" s="459"/>
      <c r="WVY62" s="459"/>
      <c r="WVZ62" s="459"/>
      <c r="WWA62" s="459"/>
      <c r="WWB62" s="459"/>
      <c r="WWC62" s="459"/>
      <c r="WWD62" s="459"/>
      <c r="WWE62" s="459"/>
      <c r="WWF62" s="459"/>
      <c r="WWG62" s="459"/>
      <c r="WWH62" s="459"/>
      <c r="WWI62" s="459"/>
      <c r="WWJ62" s="459"/>
      <c r="WWK62" s="459"/>
      <c r="WWL62" s="459"/>
      <c r="WWM62" s="459"/>
      <c r="WWN62" s="459"/>
      <c r="WWO62" s="459"/>
      <c r="WWP62" s="459"/>
      <c r="WWQ62" s="459"/>
      <c r="WWR62" s="459"/>
      <c r="WWS62" s="459"/>
      <c r="WWT62" s="459"/>
      <c r="WWU62" s="459"/>
      <c r="WWV62" s="459"/>
      <c r="WWW62" s="459"/>
      <c r="WWX62" s="459"/>
      <c r="WWY62" s="459"/>
      <c r="WWZ62" s="459"/>
      <c r="WXA62" s="459"/>
      <c r="WXB62" s="459"/>
      <c r="WXC62" s="459"/>
      <c r="WXD62" s="459"/>
      <c r="WXE62" s="459"/>
      <c r="WXF62" s="459"/>
      <c r="WXG62" s="459"/>
      <c r="WXH62" s="459"/>
      <c r="WXI62" s="459"/>
      <c r="WXJ62" s="459"/>
      <c r="WXK62" s="459"/>
      <c r="WXL62" s="459"/>
      <c r="WXM62" s="459"/>
      <c r="WXN62" s="459"/>
      <c r="WXO62" s="459"/>
      <c r="WXP62" s="459"/>
      <c r="WXQ62" s="459"/>
      <c r="WXR62" s="459"/>
      <c r="WXS62" s="459"/>
      <c r="WXT62" s="459"/>
      <c r="WXU62" s="459"/>
      <c r="WXV62" s="459"/>
      <c r="WXW62" s="459"/>
      <c r="WXX62" s="459"/>
      <c r="WXY62" s="459"/>
      <c r="WXZ62" s="459"/>
      <c r="WYA62" s="459"/>
      <c r="WYB62" s="459"/>
      <c r="WYC62" s="459"/>
      <c r="WYD62" s="459"/>
      <c r="WYE62" s="459"/>
      <c r="WYF62" s="459"/>
      <c r="WYG62" s="459"/>
      <c r="WYH62" s="459"/>
      <c r="WYI62" s="459"/>
      <c r="WYJ62" s="459"/>
      <c r="WYK62" s="459"/>
      <c r="WYL62" s="459"/>
      <c r="WYM62" s="459"/>
      <c r="WYN62" s="459"/>
      <c r="WYO62" s="459"/>
      <c r="WYP62" s="459"/>
      <c r="WYQ62" s="459"/>
      <c r="WYR62" s="459"/>
      <c r="WYS62" s="459"/>
      <c r="WYT62" s="459"/>
      <c r="WYU62" s="459"/>
      <c r="WYV62" s="459"/>
      <c r="WYW62" s="459"/>
      <c r="WYX62" s="459"/>
      <c r="WYY62" s="459"/>
      <c r="WYZ62" s="459"/>
      <c r="WZA62" s="459"/>
      <c r="WZB62" s="459"/>
      <c r="WZC62" s="459"/>
      <c r="WZD62" s="459"/>
      <c r="WZE62" s="459"/>
      <c r="WZF62" s="459"/>
      <c r="WZG62" s="459"/>
      <c r="WZH62" s="459"/>
      <c r="WZI62" s="459"/>
      <c r="WZJ62" s="459"/>
      <c r="WZK62" s="459"/>
      <c r="WZL62" s="459"/>
      <c r="WZM62" s="459"/>
      <c r="WZN62" s="459"/>
      <c r="WZO62" s="459"/>
      <c r="WZP62" s="459"/>
      <c r="WZQ62" s="459"/>
      <c r="WZR62" s="459"/>
      <c r="WZS62" s="459"/>
      <c r="WZT62" s="459"/>
      <c r="WZU62" s="459"/>
      <c r="WZV62" s="459"/>
      <c r="WZW62" s="459"/>
      <c r="WZX62" s="459"/>
      <c r="WZY62" s="459"/>
      <c r="WZZ62" s="459"/>
      <c r="XAA62" s="459"/>
      <c r="XAB62" s="459"/>
      <c r="XAC62" s="459"/>
      <c r="XAD62" s="459"/>
      <c r="XAE62" s="459"/>
      <c r="XAF62" s="459"/>
      <c r="XAG62" s="459"/>
      <c r="XAH62" s="459"/>
      <c r="XAI62" s="459"/>
      <c r="XAJ62" s="459"/>
      <c r="XAK62" s="459"/>
      <c r="XAL62" s="459"/>
      <c r="XAM62" s="459"/>
      <c r="XAN62" s="459"/>
      <c r="XAO62" s="459"/>
      <c r="XAP62" s="459"/>
      <c r="XAQ62" s="459"/>
      <c r="XAR62" s="459"/>
      <c r="XAS62" s="459"/>
      <c r="XAT62" s="459"/>
      <c r="XAU62" s="459"/>
      <c r="XAV62" s="459"/>
      <c r="XAW62" s="459"/>
      <c r="XAX62" s="459"/>
      <c r="XAY62" s="459"/>
      <c r="XAZ62" s="459"/>
      <c r="XBA62" s="459"/>
      <c r="XBB62" s="459"/>
      <c r="XBC62" s="459"/>
      <c r="XBD62" s="459"/>
      <c r="XBE62" s="459"/>
      <c r="XBF62" s="459"/>
      <c r="XBG62" s="459"/>
      <c r="XBH62" s="459"/>
      <c r="XBI62" s="459"/>
      <c r="XBJ62" s="459"/>
      <c r="XBK62" s="459"/>
      <c r="XBL62" s="459"/>
      <c r="XBM62" s="459"/>
      <c r="XBN62" s="459"/>
      <c r="XBO62" s="459"/>
      <c r="XBP62" s="459"/>
      <c r="XBQ62" s="459"/>
      <c r="XBR62" s="459"/>
      <c r="XBS62" s="459"/>
      <c r="XBT62" s="459"/>
      <c r="XBU62" s="459"/>
      <c r="XBV62" s="459"/>
      <c r="XBW62" s="459"/>
      <c r="XBX62" s="459"/>
      <c r="XBY62" s="459"/>
      <c r="XBZ62" s="459"/>
      <c r="XCA62" s="459"/>
      <c r="XCB62" s="459"/>
      <c r="XCC62" s="459"/>
      <c r="XCD62" s="459"/>
      <c r="XCE62" s="459"/>
      <c r="XCF62" s="459"/>
      <c r="XCG62" s="459"/>
      <c r="XCH62" s="459"/>
      <c r="XCI62" s="459"/>
      <c r="XCJ62" s="459"/>
      <c r="XCK62" s="459"/>
      <c r="XCL62" s="459"/>
      <c r="XCM62" s="459"/>
      <c r="XCN62" s="459"/>
      <c r="XCO62" s="459"/>
      <c r="XCP62" s="459"/>
      <c r="XCQ62" s="459"/>
      <c r="XCR62" s="459"/>
      <c r="XCS62" s="459"/>
      <c r="XCT62" s="459"/>
      <c r="XCU62" s="459"/>
      <c r="XCV62" s="459"/>
      <c r="XCW62" s="459"/>
      <c r="XCX62" s="459"/>
      <c r="XCY62" s="459"/>
      <c r="XCZ62" s="459"/>
      <c r="XDA62" s="459"/>
      <c r="XDB62" s="459"/>
      <c r="XDC62" s="459"/>
      <c r="XDD62" s="459"/>
      <c r="XDE62" s="459"/>
      <c r="XDF62" s="459"/>
      <c r="XDG62" s="459"/>
      <c r="XDH62" s="459"/>
      <c r="XDI62" s="459"/>
      <c r="XDJ62" s="459"/>
      <c r="XDK62" s="459"/>
      <c r="XDL62" s="459"/>
      <c r="XDM62" s="459"/>
      <c r="XDN62" s="459"/>
      <c r="XDO62" s="459"/>
      <c r="XDP62" s="459"/>
      <c r="XDQ62" s="459"/>
      <c r="XDR62" s="459"/>
      <c r="XDS62" s="459"/>
      <c r="XDT62" s="459"/>
      <c r="XDU62" s="459"/>
      <c r="XDV62" s="459"/>
      <c r="XDW62" s="459"/>
      <c r="XDX62" s="459"/>
      <c r="XDY62" s="459"/>
      <c r="XDZ62" s="459"/>
      <c r="XEA62" s="459"/>
      <c r="XEB62" s="459"/>
      <c r="XEC62" s="459"/>
      <c r="XED62" s="459"/>
      <c r="XEE62" s="459"/>
      <c r="XEF62" s="459"/>
      <c r="XEG62" s="459"/>
      <c r="XEH62" s="459"/>
      <c r="XEI62" s="459"/>
      <c r="XEJ62" s="459"/>
      <c r="XEK62" s="459"/>
      <c r="XEL62" s="459"/>
      <c r="XEM62" s="459"/>
      <c r="XEN62" s="459"/>
    </row>
    <row r="63" spans="1:16368" s="192" customFormat="1" ht="284" customHeight="1" thickBot="1" x14ac:dyDescent="0.3">
      <c r="A63" s="389">
        <f t="shared" si="16"/>
        <v>44</v>
      </c>
      <c r="B63" s="376" t="s">
        <v>341</v>
      </c>
      <c r="C63" s="467" t="s">
        <v>341</v>
      </c>
      <c r="D63" s="468" t="s">
        <v>342</v>
      </c>
      <c r="E63" s="92">
        <f t="shared" si="13"/>
        <v>294</v>
      </c>
      <c r="F63" s="161" t="s">
        <v>343</v>
      </c>
      <c r="G63" s="393">
        <f t="shared" si="14"/>
        <v>327</v>
      </c>
      <c r="H63" s="469" t="s">
        <v>344</v>
      </c>
      <c r="I63" s="92">
        <f t="shared" si="15"/>
        <v>303</v>
      </c>
      <c r="J63" s="196" t="s">
        <v>34</v>
      </c>
      <c r="K63" s="92" t="s">
        <v>20</v>
      </c>
      <c r="L63" s="92" t="s">
        <v>20</v>
      </c>
      <c r="M63" s="92" t="s">
        <v>35</v>
      </c>
      <c r="N63" s="470" t="s">
        <v>20</v>
      </c>
      <c r="O63" s="471" t="s">
        <v>345</v>
      </c>
      <c r="P63" s="471"/>
      <c r="Q63" s="427" t="s">
        <v>346</v>
      </c>
      <c r="R63" s="472"/>
      <c r="S63" s="199"/>
    </row>
    <row r="64" spans="1:16368" s="192" customFormat="1" ht="409.5" customHeight="1" x14ac:dyDescent="0.25">
      <c r="A64" s="387">
        <f t="shared" si="16"/>
        <v>45</v>
      </c>
      <c r="B64" s="371" t="s">
        <v>347</v>
      </c>
      <c r="C64" s="372" t="s">
        <v>347</v>
      </c>
      <c r="D64" s="465" t="s">
        <v>348</v>
      </c>
      <c r="E64" s="156">
        <f t="shared" si="13"/>
        <v>1237</v>
      </c>
      <c r="F64" s="155" t="s">
        <v>349</v>
      </c>
      <c r="G64" s="156">
        <f t="shared" si="14"/>
        <v>1243</v>
      </c>
      <c r="H64" s="157" t="s">
        <v>350</v>
      </c>
      <c r="I64" s="156">
        <f t="shared" si="15"/>
        <v>1312</v>
      </c>
      <c r="J64" s="373" t="s">
        <v>34</v>
      </c>
      <c r="K64" s="156" t="s">
        <v>20</v>
      </c>
      <c r="L64" s="156" t="s">
        <v>20</v>
      </c>
      <c r="M64" s="466" t="s">
        <v>351</v>
      </c>
      <c r="N64" s="374" t="s">
        <v>20</v>
      </c>
      <c r="O64" s="375" t="s">
        <v>352</v>
      </c>
      <c r="P64" s="179"/>
      <c r="Q64" s="234" t="s">
        <v>353</v>
      </c>
      <c r="R64" s="235"/>
      <c r="S64" s="183"/>
    </row>
    <row r="65" spans="1:16368" s="243" customFormat="1" ht="231.5" customHeight="1" x14ac:dyDescent="0.25">
      <c r="A65" s="387">
        <f t="shared" si="16"/>
        <v>46</v>
      </c>
      <c r="B65" s="371" t="s">
        <v>354</v>
      </c>
      <c r="C65" s="371" t="s">
        <v>354</v>
      </c>
      <c r="D65" s="341" t="s">
        <v>305</v>
      </c>
      <c r="E65" s="384">
        <f t="shared" si="13"/>
        <v>143</v>
      </c>
      <c r="F65" s="155" t="s">
        <v>355</v>
      </c>
      <c r="G65" s="156">
        <f t="shared" si="14"/>
        <v>149</v>
      </c>
      <c r="H65" s="88" t="s">
        <v>356</v>
      </c>
      <c r="I65" s="156">
        <f t="shared" si="15"/>
        <v>140</v>
      </c>
      <c r="J65" s="372" t="s">
        <v>34</v>
      </c>
      <c r="K65" s="156" t="s">
        <v>20</v>
      </c>
      <c r="L65" s="156" t="s">
        <v>20</v>
      </c>
      <c r="M65" s="156" t="s">
        <v>35</v>
      </c>
      <c r="N65" s="374" t="s">
        <v>20</v>
      </c>
      <c r="O65" s="375" t="s">
        <v>357</v>
      </c>
      <c r="P65" s="179"/>
      <c r="Q65" s="234" t="s">
        <v>358</v>
      </c>
      <c r="R65" s="235"/>
      <c r="S65" s="183"/>
    </row>
    <row r="66" spans="1:16368" s="243" customFormat="1" ht="222" customHeight="1" x14ac:dyDescent="0.25">
      <c r="A66" s="387">
        <f t="shared" si="16"/>
        <v>47</v>
      </c>
      <c r="B66" s="371" t="s">
        <v>359</v>
      </c>
      <c r="C66" s="371" t="s">
        <v>359</v>
      </c>
      <c r="D66" s="341" t="s">
        <v>311</v>
      </c>
      <c r="E66" s="384">
        <f t="shared" si="13"/>
        <v>170</v>
      </c>
      <c r="F66" s="155" t="s">
        <v>360</v>
      </c>
      <c r="G66" s="156">
        <f t="shared" si="14"/>
        <v>151</v>
      </c>
      <c r="H66" s="88" t="s">
        <v>361</v>
      </c>
      <c r="I66" s="156">
        <f t="shared" si="15"/>
        <v>146</v>
      </c>
      <c r="J66" s="372" t="s">
        <v>34</v>
      </c>
      <c r="K66" s="156" t="s">
        <v>20</v>
      </c>
      <c r="L66" s="156" t="s">
        <v>20</v>
      </c>
      <c r="M66" s="156" t="s">
        <v>35</v>
      </c>
      <c r="N66" s="374" t="s">
        <v>20</v>
      </c>
      <c r="O66" s="375" t="s">
        <v>357</v>
      </c>
      <c r="P66" s="179"/>
      <c r="Q66" s="234" t="s">
        <v>362</v>
      </c>
      <c r="R66" s="235"/>
      <c r="S66" s="183"/>
    </row>
    <row r="67" spans="1:16368" s="192" customFormat="1" ht="236.5" customHeight="1" x14ac:dyDescent="0.25">
      <c r="A67" s="387">
        <f t="shared" si="16"/>
        <v>48</v>
      </c>
      <c r="B67" s="371" t="s">
        <v>363</v>
      </c>
      <c r="C67" s="371" t="s">
        <v>363</v>
      </c>
      <c r="D67" s="341" t="s">
        <v>364</v>
      </c>
      <c r="E67" s="384">
        <f t="shared" si="13"/>
        <v>176</v>
      </c>
      <c r="F67" s="155" t="s">
        <v>365</v>
      </c>
      <c r="G67" s="156">
        <f t="shared" si="14"/>
        <v>174</v>
      </c>
      <c r="H67" s="88" t="s">
        <v>318</v>
      </c>
      <c r="I67" s="156">
        <f t="shared" si="15"/>
        <v>156</v>
      </c>
      <c r="J67" s="372" t="s">
        <v>34</v>
      </c>
      <c r="K67" s="156" t="s">
        <v>20</v>
      </c>
      <c r="L67" s="156" t="s">
        <v>20</v>
      </c>
      <c r="M67" s="156" t="s">
        <v>35</v>
      </c>
      <c r="N67" s="374" t="s">
        <v>20</v>
      </c>
      <c r="O67" s="375" t="s">
        <v>357</v>
      </c>
      <c r="P67" s="179"/>
      <c r="Q67" s="234" t="s">
        <v>366</v>
      </c>
      <c r="R67" s="235"/>
      <c r="S67" s="183"/>
    </row>
    <row r="68" spans="1:16368" s="192" customFormat="1" ht="199.5" customHeight="1" x14ac:dyDescent="0.25">
      <c r="A68" s="387">
        <f t="shared" si="16"/>
        <v>49</v>
      </c>
      <c r="B68" s="438" t="s">
        <v>367</v>
      </c>
      <c r="C68" s="439" t="s">
        <v>367</v>
      </c>
      <c r="D68" s="440" t="s">
        <v>368</v>
      </c>
      <c r="E68" s="384">
        <f t="shared" si="13"/>
        <v>234</v>
      </c>
      <c r="F68" s="164" t="s">
        <v>369</v>
      </c>
      <c r="G68" s="165">
        <f t="shared" si="14"/>
        <v>259</v>
      </c>
      <c r="H68" s="164" t="s">
        <v>370</v>
      </c>
      <c r="I68" s="441">
        <f t="shared" si="15"/>
        <v>248</v>
      </c>
      <c r="J68" s="441" t="s">
        <v>139</v>
      </c>
      <c r="K68" s="441" t="s">
        <v>20</v>
      </c>
      <c r="L68" s="441" t="s">
        <v>20</v>
      </c>
      <c r="M68" s="441" t="s">
        <v>23</v>
      </c>
      <c r="N68" s="442" t="s">
        <v>20</v>
      </c>
      <c r="O68" s="447" t="s">
        <v>371</v>
      </c>
      <c r="P68" s="207"/>
      <c r="Q68" s="237" t="s">
        <v>372</v>
      </c>
      <c r="R68" s="237"/>
      <c r="S68" s="681" t="s">
        <v>326</v>
      </c>
    </row>
    <row r="69" spans="1:16368" s="192" customFormat="1" ht="170.5" customHeight="1" x14ac:dyDescent="0.25">
      <c r="A69" s="387">
        <f t="shared" si="16"/>
        <v>50</v>
      </c>
      <c r="B69" s="218" t="s">
        <v>373</v>
      </c>
      <c r="C69" s="218" t="s">
        <v>373</v>
      </c>
      <c r="D69" s="137" t="s">
        <v>328</v>
      </c>
      <c r="E69" s="185">
        <f t="shared" si="13"/>
        <v>249</v>
      </c>
      <c r="F69" s="112" t="s">
        <v>374</v>
      </c>
      <c r="G69" s="106">
        <f t="shared" si="14"/>
        <v>226</v>
      </c>
      <c r="H69" s="112" t="s">
        <v>375</v>
      </c>
      <c r="I69" s="219">
        <f t="shared" si="15"/>
        <v>250</v>
      </c>
      <c r="J69" s="238" t="s">
        <v>34</v>
      </c>
      <c r="K69" s="239" t="s">
        <v>20</v>
      </c>
      <c r="L69" s="239" t="s">
        <v>20</v>
      </c>
      <c r="M69" s="239" t="s">
        <v>35</v>
      </c>
      <c r="N69" s="180" t="s">
        <v>20</v>
      </c>
      <c r="O69" s="445" t="s">
        <v>376</v>
      </c>
      <c r="P69" s="111"/>
      <c r="Q69" s="460" t="s">
        <v>377</v>
      </c>
      <c r="R69" s="207"/>
      <c r="S69" s="670"/>
    </row>
    <row r="70" spans="1:16368" s="224" customFormat="1" ht="230.5" customHeight="1" x14ac:dyDescent="0.25">
      <c r="A70" s="415">
        <f t="shared" si="16"/>
        <v>51</v>
      </c>
      <c r="B70" s="416" t="s">
        <v>378</v>
      </c>
      <c r="C70" s="416" t="s">
        <v>378</v>
      </c>
      <c r="D70" s="423" t="s">
        <v>334</v>
      </c>
      <c r="E70" s="422">
        <f t="shared" si="13"/>
        <v>181</v>
      </c>
      <c r="F70" s="417"/>
      <c r="G70" s="422">
        <f t="shared" si="14"/>
        <v>0</v>
      </c>
      <c r="H70" s="419"/>
      <c r="I70" s="422">
        <f t="shared" si="15"/>
        <v>0</v>
      </c>
      <c r="J70" s="417" t="s">
        <v>34</v>
      </c>
      <c r="K70" s="419" t="s">
        <v>20</v>
      </c>
      <c r="L70" s="419" t="s">
        <v>20</v>
      </c>
      <c r="M70" s="419" t="s">
        <v>35</v>
      </c>
      <c r="N70" s="419" t="s">
        <v>20</v>
      </c>
      <c r="O70" s="445" t="s">
        <v>379</v>
      </c>
      <c r="P70" s="226"/>
      <c r="Q70" s="427" t="s">
        <v>346</v>
      </c>
      <c r="R70" s="637" t="s">
        <v>88</v>
      </c>
      <c r="S70" s="636"/>
      <c r="V70" s="355">
        <v>4.7874016761779794</v>
      </c>
      <c r="W70" s="355" t="e">
        <f>IF(V70="","",V70*O70)</f>
        <v>#VALUE!</v>
      </c>
      <c r="X70" s="353" t="str">
        <f>IF(R70="yes",W70,"")</f>
        <v/>
      </c>
    </row>
    <row r="71" spans="1:16368" s="224" customFormat="1" ht="231" customHeight="1" x14ac:dyDescent="0.25">
      <c r="A71" s="415">
        <f t="shared" si="16"/>
        <v>52</v>
      </c>
      <c r="B71" s="342" t="s">
        <v>380</v>
      </c>
      <c r="C71" s="342" t="s">
        <v>380</v>
      </c>
      <c r="D71" s="345" t="s">
        <v>338</v>
      </c>
      <c r="E71" s="352">
        <f t="shared" si="13"/>
        <v>215</v>
      </c>
      <c r="F71" s="347"/>
      <c r="G71" s="352">
        <f t="shared" si="14"/>
        <v>0</v>
      </c>
      <c r="H71" s="346"/>
      <c r="I71" s="352">
        <f t="shared" si="15"/>
        <v>0</v>
      </c>
      <c r="J71" s="347" t="s">
        <v>34</v>
      </c>
      <c r="K71" s="346" t="s">
        <v>20</v>
      </c>
      <c r="L71" s="346" t="s">
        <v>20</v>
      </c>
      <c r="M71" s="346" t="s">
        <v>35</v>
      </c>
      <c r="N71" s="346" t="s">
        <v>20</v>
      </c>
      <c r="O71" s="345" t="s">
        <v>381</v>
      </c>
      <c r="P71" s="356"/>
      <c r="Q71" s="559"/>
      <c r="R71" s="637" t="s">
        <v>88</v>
      </c>
      <c r="S71" s="636"/>
      <c r="T71" s="459"/>
      <c r="U71" s="459"/>
      <c r="V71" s="355">
        <v>20.918367385864261</v>
      </c>
      <c r="W71" s="355" t="e">
        <f>IF(V71="","",V71*O71)</f>
        <v>#VALUE!</v>
      </c>
      <c r="X71" s="353" t="str">
        <f>IF(R71="yes",W71,"")</f>
        <v/>
      </c>
      <c r="Y71" s="459"/>
      <c r="Z71" s="459"/>
      <c r="AA71" s="459"/>
      <c r="AB71" s="459"/>
      <c r="AC71" s="459"/>
      <c r="AD71" s="459"/>
      <c r="AE71" s="459"/>
      <c r="AF71" s="459"/>
      <c r="AG71" s="459"/>
      <c r="AH71" s="459"/>
      <c r="AI71" s="459"/>
      <c r="AJ71" s="459"/>
      <c r="AK71" s="459"/>
      <c r="AL71" s="459"/>
      <c r="AM71" s="459"/>
      <c r="AN71" s="459"/>
      <c r="AO71" s="459"/>
      <c r="AP71" s="459"/>
      <c r="AQ71" s="459"/>
      <c r="AR71" s="459"/>
      <c r="AS71" s="459"/>
      <c r="AT71" s="459"/>
      <c r="AU71" s="459"/>
      <c r="AV71" s="459"/>
      <c r="AW71" s="459"/>
      <c r="AX71" s="459"/>
      <c r="AY71" s="459"/>
      <c r="AZ71" s="459"/>
      <c r="BA71" s="459"/>
      <c r="BB71" s="459"/>
      <c r="BC71" s="459"/>
      <c r="BD71" s="459"/>
      <c r="BE71" s="459"/>
      <c r="BF71" s="459"/>
      <c r="BG71" s="459"/>
      <c r="BH71" s="459"/>
      <c r="BI71" s="459"/>
      <c r="BJ71" s="459"/>
      <c r="BK71" s="459"/>
      <c r="BL71" s="459"/>
      <c r="BM71" s="459"/>
      <c r="BN71" s="459"/>
      <c r="BO71" s="459"/>
      <c r="BP71" s="459"/>
      <c r="BQ71" s="459"/>
      <c r="BR71" s="459"/>
      <c r="BS71" s="459"/>
      <c r="BT71" s="459"/>
      <c r="BU71" s="459"/>
      <c r="BV71" s="459"/>
      <c r="BW71" s="459"/>
      <c r="BX71" s="459"/>
      <c r="BY71" s="459"/>
      <c r="BZ71" s="459"/>
      <c r="CA71" s="459"/>
      <c r="CB71" s="459"/>
      <c r="CC71" s="459"/>
      <c r="CD71" s="459"/>
      <c r="CE71" s="459"/>
      <c r="CF71" s="459"/>
      <c r="CG71" s="459"/>
      <c r="CH71" s="459"/>
      <c r="CI71" s="459"/>
      <c r="CJ71" s="459"/>
      <c r="CK71" s="459"/>
      <c r="CL71" s="459"/>
      <c r="CM71" s="459"/>
      <c r="CN71" s="459"/>
      <c r="CO71" s="459"/>
      <c r="CP71" s="459"/>
      <c r="CQ71" s="459"/>
      <c r="CR71" s="459"/>
      <c r="CS71" s="459"/>
      <c r="CT71" s="459"/>
      <c r="CU71" s="459"/>
      <c r="CV71" s="459"/>
      <c r="CW71" s="459"/>
      <c r="CX71" s="459"/>
      <c r="CY71" s="459"/>
      <c r="CZ71" s="459"/>
      <c r="DA71" s="459"/>
      <c r="DB71" s="459"/>
      <c r="DC71" s="459"/>
      <c r="DD71" s="459"/>
      <c r="DE71" s="459"/>
      <c r="DF71" s="459"/>
      <c r="DG71" s="459"/>
      <c r="DH71" s="459"/>
      <c r="DI71" s="459"/>
      <c r="DJ71" s="459"/>
      <c r="DK71" s="459"/>
      <c r="DL71" s="459"/>
      <c r="DM71" s="459"/>
      <c r="DN71" s="459"/>
      <c r="DO71" s="459"/>
      <c r="DP71" s="459"/>
      <c r="DQ71" s="459"/>
      <c r="DR71" s="459"/>
      <c r="DS71" s="459"/>
      <c r="DT71" s="459"/>
      <c r="DU71" s="459"/>
      <c r="DV71" s="459"/>
      <c r="DW71" s="459"/>
      <c r="DX71" s="459"/>
      <c r="DY71" s="459"/>
      <c r="DZ71" s="459"/>
      <c r="EA71" s="459"/>
      <c r="EB71" s="459"/>
      <c r="EC71" s="459"/>
      <c r="ED71" s="459"/>
      <c r="EE71" s="459"/>
      <c r="EF71" s="459"/>
      <c r="EG71" s="459"/>
      <c r="EH71" s="459"/>
      <c r="EI71" s="459"/>
      <c r="EJ71" s="459"/>
      <c r="EK71" s="459"/>
      <c r="EL71" s="459"/>
      <c r="EM71" s="459"/>
      <c r="EN71" s="459"/>
      <c r="EO71" s="459"/>
      <c r="EP71" s="459"/>
      <c r="EQ71" s="459"/>
      <c r="ER71" s="459"/>
      <c r="ES71" s="459"/>
      <c r="ET71" s="459"/>
      <c r="EU71" s="459"/>
      <c r="EV71" s="459"/>
      <c r="EW71" s="459"/>
      <c r="EX71" s="459"/>
      <c r="EY71" s="459"/>
      <c r="EZ71" s="459"/>
      <c r="FA71" s="459"/>
      <c r="FB71" s="459"/>
      <c r="FC71" s="459"/>
      <c r="FD71" s="459"/>
      <c r="FE71" s="459"/>
      <c r="FF71" s="459"/>
      <c r="FG71" s="459"/>
      <c r="FH71" s="459"/>
      <c r="FI71" s="459"/>
      <c r="FJ71" s="459"/>
      <c r="FK71" s="459"/>
      <c r="FL71" s="459"/>
      <c r="FM71" s="459"/>
      <c r="FN71" s="459"/>
      <c r="FO71" s="459"/>
      <c r="FP71" s="459"/>
      <c r="FQ71" s="459"/>
      <c r="FR71" s="459"/>
      <c r="FS71" s="459"/>
      <c r="FT71" s="459"/>
      <c r="FU71" s="459"/>
      <c r="FV71" s="459"/>
      <c r="FW71" s="459"/>
      <c r="FX71" s="459"/>
      <c r="FY71" s="459"/>
      <c r="FZ71" s="459"/>
      <c r="GA71" s="459"/>
      <c r="GB71" s="459"/>
      <c r="GC71" s="459"/>
      <c r="GD71" s="459"/>
      <c r="GE71" s="459"/>
      <c r="GF71" s="459"/>
      <c r="GG71" s="459"/>
      <c r="GH71" s="459"/>
      <c r="GI71" s="459"/>
      <c r="GJ71" s="459"/>
      <c r="GK71" s="459"/>
      <c r="GL71" s="459"/>
      <c r="GM71" s="459"/>
      <c r="GN71" s="459"/>
      <c r="GO71" s="459"/>
      <c r="GP71" s="459"/>
      <c r="GQ71" s="459"/>
      <c r="GR71" s="459"/>
      <c r="GS71" s="459"/>
      <c r="GT71" s="459"/>
      <c r="GU71" s="459"/>
      <c r="GV71" s="459"/>
      <c r="GW71" s="459"/>
      <c r="GX71" s="459"/>
      <c r="GY71" s="459"/>
      <c r="GZ71" s="459"/>
      <c r="HA71" s="459"/>
      <c r="HB71" s="459"/>
      <c r="HC71" s="459"/>
      <c r="HD71" s="459"/>
      <c r="HE71" s="459"/>
      <c r="HF71" s="459"/>
      <c r="HG71" s="459"/>
      <c r="HH71" s="459"/>
      <c r="HI71" s="459"/>
      <c r="HJ71" s="459"/>
      <c r="HK71" s="459"/>
      <c r="HL71" s="459"/>
      <c r="HM71" s="459"/>
      <c r="HN71" s="459"/>
      <c r="HO71" s="459"/>
      <c r="HP71" s="459"/>
      <c r="HQ71" s="459"/>
      <c r="HR71" s="459"/>
      <c r="HS71" s="459"/>
      <c r="HT71" s="459"/>
      <c r="HU71" s="459"/>
      <c r="HV71" s="459"/>
      <c r="HW71" s="459"/>
      <c r="HX71" s="459"/>
      <c r="HY71" s="459"/>
      <c r="HZ71" s="459"/>
      <c r="IA71" s="459"/>
      <c r="IB71" s="459"/>
      <c r="IC71" s="459"/>
      <c r="ID71" s="459"/>
      <c r="IE71" s="459"/>
      <c r="IF71" s="459"/>
      <c r="IG71" s="459"/>
      <c r="IH71" s="459"/>
      <c r="II71" s="459"/>
      <c r="IJ71" s="459"/>
      <c r="IK71" s="459"/>
      <c r="IL71" s="459"/>
      <c r="IM71" s="459"/>
      <c r="IN71" s="459"/>
      <c r="IO71" s="459"/>
      <c r="IP71" s="459"/>
      <c r="IQ71" s="459"/>
      <c r="IR71" s="459"/>
      <c r="IS71" s="459"/>
      <c r="IT71" s="459"/>
      <c r="IU71" s="459"/>
      <c r="IV71" s="459"/>
      <c r="IW71" s="459"/>
      <c r="IX71" s="459"/>
      <c r="IY71" s="459"/>
      <c r="IZ71" s="459"/>
      <c r="JA71" s="459"/>
      <c r="JB71" s="459"/>
      <c r="JC71" s="459"/>
      <c r="JD71" s="459"/>
      <c r="JE71" s="459"/>
      <c r="JF71" s="459"/>
      <c r="JG71" s="459"/>
      <c r="JH71" s="459"/>
      <c r="JI71" s="459"/>
      <c r="JJ71" s="459"/>
      <c r="JK71" s="459"/>
      <c r="JL71" s="459"/>
      <c r="JM71" s="459"/>
      <c r="JN71" s="459"/>
      <c r="JO71" s="459"/>
      <c r="JP71" s="459"/>
      <c r="JQ71" s="459"/>
      <c r="JR71" s="459"/>
      <c r="JS71" s="459"/>
      <c r="JT71" s="459"/>
      <c r="JU71" s="459"/>
      <c r="JV71" s="459"/>
      <c r="JW71" s="459"/>
      <c r="JX71" s="459"/>
      <c r="JY71" s="459"/>
      <c r="JZ71" s="459"/>
      <c r="KA71" s="459"/>
      <c r="KB71" s="459"/>
      <c r="KC71" s="459"/>
      <c r="KD71" s="459"/>
      <c r="KE71" s="459"/>
      <c r="KF71" s="459"/>
      <c r="KG71" s="459"/>
      <c r="KH71" s="459"/>
      <c r="KI71" s="459"/>
      <c r="KJ71" s="459"/>
      <c r="KK71" s="459"/>
      <c r="KL71" s="459"/>
      <c r="KM71" s="459"/>
      <c r="KN71" s="459"/>
      <c r="KO71" s="459"/>
      <c r="KP71" s="459"/>
      <c r="KQ71" s="459"/>
      <c r="KR71" s="459"/>
      <c r="KS71" s="459"/>
      <c r="KT71" s="459"/>
      <c r="KU71" s="459"/>
      <c r="KV71" s="459"/>
      <c r="KW71" s="459"/>
      <c r="KX71" s="459"/>
      <c r="KY71" s="459"/>
      <c r="KZ71" s="459"/>
      <c r="LA71" s="459"/>
      <c r="LB71" s="459"/>
      <c r="LC71" s="459"/>
      <c r="LD71" s="459"/>
      <c r="LE71" s="459"/>
      <c r="LF71" s="459"/>
      <c r="LG71" s="459"/>
      <c r="LH71" s="459"/>
      <c r="LI71" s="459"/>
      <c r="LJ71" s="459"/>
      <c r="LK71" s="459"/>
      <c r="LL71" s="459"/>
      <c r="LM71" s="459"/>
      <c r="LN71" s="459"/>
      <c r="LO71" s="459"/>
      <c r="LP71" s="459"/>
      <c r="LQ71" s="459"/>
      <c r="LR71" s="459"/>
      <c r="LS71" s="459"/>
      <c r="LT71" s="459"/>
      <c r="LU71" s="459"/>
      <c r="LV71" s="459"/>
      <c r="LW71" s="459"/>
      <c r="LX71" s="459"/>
      <c r="LY71" s="459"/>
      <c r="LZ71" s="459"/>
      <c r="MA71" s="459"/>
      <c r="MB71" s="459"/>
      <c r="MC71" s="459"/>
      <c r="MD71" s="459"/>
      <c r="ME71" s="459"/>
      <c r="MF71" s="459"/>
      <c r="MG71" s="459"/>
      <c r="MH71" s="459"/>
      <c r="MI71" s="459"/>
      <c r="MJ71" s="459"/>
      <c r="MK71" s="459"/>
      <c r="ML71" s="459"/>
      <c r="MM71" s="459"/>
      <c r="MN71" s="459"/>
      <c r="MO71" s="459"/>
      <c r="MP71" s="459"/>
      <c r="MQ71" s="459"/>
      <c r="MR71" s="459"/>
      <c r="MS71" s="459"/>
      <c r="MT71" s="459"/>
      <c r="MU71" s="459"/>
      <c r="MV71" s="459"/>
      <c r="MW71" s="459"/>
      <c r="MX71" s="459"/>
      <c r="MY71" s="459"/>
      <c r="MZ71" s="459"/>
      <c r="NA71" s="459"/>
      <c r="NB71" s="459"/>
      <c r="NC71" s="459"/>
      <c r="ND71" s="459"/>
      <c r="NE71" s="459"/>
      <c r="NF71" s="459"/>
      <c r="NG71" s="459"/>
      <c r="NH71" s="459"/>
      <c r="NI71" s="459"/>
      <c r="NJ71" s="459"/>
      <c r="NK71" s="459"/>
      <c r="NL71" s="459"/>
      <c r="NM71" s="459"/>
      <c r="NN71" s="459"/>
      <c r="NO71" s="459"/>
      <c r="NP71" s="459"/>
      <c r="NQ71" s="459"/>
      <c r="NR71" s="459"/>
      <c r="NS71" s="459"/>
      <c r="NT71" s="459"/>
      <c r="NU71" s="459"/>
      <c r="NV71" s="459"/>
      <c r="NW71" s="459"/>
      <c r="NX71" s="459"/>
      <c r="NY71" s="459"/>
      <c r="NZ71" s="459"/>
      <c r="OA71" s="459"/>
      <c r="OB71" s="459"/>
      <c r="OC71" s="459"/>
      <c r="OD71" s="459"/>
      <c r="OE71" s="459"/>
      <c r="OF71" s="459"/>
      <c r="OG71" s="459"/>
      <c r="OH71" s="459"/>
      <c r="OI71" s="459"/>
      <c r="OJ71" s="459"/>
      <c r="OK71" s="459"/>
      <c r="OL71" s="459"/>
      <c r="OM71" s="459"/>
      <c r="ON71" s="459"/>
      <c r="OO71" s="459"/>
      <c r="OP71" s="459"/>
      <c r="OQ71" s="459"/>
      <c r="OR71" s="459"/>
      <c r="OS71" s="459"/>
      <c r="OT71" s="459"/>
      <c r="OU71" s="459"/>
      <c r="OV71" s="459"/>
      <c r="OW71" s="459"/>
      <c r="OX71" s="459"/>
      <c r="OY71" s="459"/>
      <c r="OZ71" s="459"/>
      <c r="PA71" s="459"/>
      <c r="PB71" s="459"/>
      <c r="PC71" s="459"/>
      <c r="PD71" s="459"/>
      <c r="PE71" s="459"/>
      <c r="PF71" s="459"/>
      <c r="PG71" s="459"/>
      <c r="PH71" s="459"/>
      <c r="PI71" s="459"/>
      <c r="PJ71" s="459"/>
      <c r="PK71" s="459"/>
      <c r="PL71" s="459"/>
      <c r="PM71" s="459"/>
      <c r="PN71" s="459"/>
      <c r="PO71" s="459"/>
      <c r="PP71" s="459"/>
      <c r="PQ71" s="459"/>
      <c r="PR71" s="459"/>
      <c r="PS71" s="459"/>
      <c r="PT71" s="459"/>
      <c r="PU71" s="459"/>
      <c r="PV71" s="459"/>
      <c r="PW71" s="459"/>
      <c r="PX71" s="459"/>
      <c r="PY71" s="459"/>
      <c r="PZ71" s="459"/>
      <c r="QA71" s="459"/>
      <c r="QB71" s="459"/>
      <c r="QC71" s="459"/>
      <c r="QD71" s="459"/>
      <c r="QE71" s="459"/>
      <c r="QF71" s="459"/>
      <c r="QG71" s="459"/>
      <c r="QH71" s="459"/>
      <c r="QI71" s="459"/>
      <c r="QJ71" s="459"/>
      <c r="QK71" s="459"/>
      <c r="QL71" s="459"/>
      <c r="QM71" s="459"/>
      <c r="QN71" s="459"/>
      <c r="QO71" s="459"/>
      <c r="QP71" s="459"/>
      <c r="QQ71" s="459"/>
      <c r="QR71" s="459"/>
      <c r="QS71" s="459"/>
      <c r="QT71" s="459"/>
      <c r="QU71" s="459"/>
      <c r="QV71" s="459"/>
      <c r="QW71" s="459"/>
      <c r="QX71" s="459"/>
      <c r="QY71" s="459"/>
      <c r="QZ71" s="459"/>
      <c r="RA71" s="459"/>
      <c r="RB71" s="459"/>
      <c r="RC71" s="459"/>
      <c r="RD71" s="459"/>
      <c r="RE71" s="459"/>
      <c r="RF71" s="459"/>
      <c r="RG71" s="459"/>
      <c r="RH71" s="459"/>
      <c r="RI71" s="459"/>
      <c r="RJ71" s="459"/>
      <c r="RK71" s="459"/>
      <c r="RL71" s="459"/>
      <c r="RM71" s="459"/>
      <c r="RN71" s="459"/>
      <c r="RO71" s="459"/>
      <c r="RP71" s="459"/>
      <c r="RQ71" s="459"/>
      <c r="RR71" s="459"/>
      <c r="RS71" s="459"/>
      <c r="RT71" s="459"/>
      <c r="RU71" s="459"/>
      <c r="RV71" s="459"/>
      <c r="RW71" s="459"/>
      <c r="RX71" s="459"/>
      <c r="RY71" s="459"/>
      <c r="RZ71" s="459"/>
      <c r="SA71" s="459"/>
      <c r="SB71" s="459"/>
      <c r="SC71" s="459"/>
      <c r="SD71" s="459"/>
      <c r="SE71" s="459"/>
      <c r="SF71" s="459"/>
      <c r="SG71" s="459"/>
      <c r="SH71" s="459"/>
      <c r="SI71" s="459"/>
      <c r="SJ71" s="459"/>
      <c r="SK71" s="459"/>
      <c r="SL71" s="459"/>
      <c r="SM71" s="459"/>
      <c r="SN71" s="459"/>
      <c r="SO71" s="459"/>
      <c r="SP71" s="459"/>
      <c r="SQ71" s="459"/>
      <c r="SR71" s="459"/>
      <c r="SS71" s="459"/>
      <c r="ST71" s="459"/>
      <c r="SU71" s="459"/>
      <c r="SV71" s="459"/>
      <c r="SW71" s="459"/>
      <c r="SX71" s="459"/>
      <c r="SY71" s="459"/>
      <c r="SZ71" s="459"/>
      <c r="TA71" s="459"/>
      <c r="TB71" s="459"/>
      <c r="TC71" s="459"/>
      <c r="TD71" s="459"/>
      <c r="TE71" s="459"/>
      <c r="TF71" s="459"/>
      <c r="TG71" s="459"/>
      <c r="TH71" s="459"/>
      <c r="TI71" s="459"/>
      <c r="TJ71" s="459"/>
      <c r="TK71" s="459"/>
      <c r="TL71" s="459"/>
      <c r="TM71" s="459"/>
      <c r="TN71" s="459"/>
      <c r="TO71" s="459"/>
      <c r="TP71" s="459"/>
      <c r="TQ71" s="459"/>
      <c r="TR71" s="459"/>
      <c r="TS71" s="459"/>
      <c r="TT71" s="459"/>
      <c r="TU71" s="459"/>
      <c r="TV71" s="459"/>
      <c r="TW71" s="459"/>
      <c r="TX71" s="459"/>
      <c r="TY71" s="459"/>
      <c r="TZ71" s="459"/>
      <c r="UA71" s="459"/>
      <c r="UB71" s="459"/>
      <c r="UC71" s="459"/>
      <c r="UD71" s="459"/>
      <c r="UE71" s="459"/>
      <c r="UF71" s="459"/>
      <c r="UG71" s="459"/>
      <c r="UH71" s="459"/>
      <c r="UI71" s="459"/>
      <c r="UJ71" s="459"/>
      <c r="UK71" s="459"/>
      <c r="UL71" s="459"/>
      <c r="UM71" s="459"/>
      <c r="UN71" s="459"/>
      <c r="UO71" s="459"/>
      <c r="UP71" s="459"/>
      <c r="UQ71" s="459"/>
      <c r="UR71" s="459"/>
      <c r="US71" s="459"/>
      <c r="UT71" s="459"/>
      <c r="UU71" s="459"/>
      <c r="UV71" s="459"/>
      <c r="UW71" s="459"/>
      <c r="UX71" s="459"/>
      <c r="UY71" s="459"/>
      <c r="UZ71" s="459"/>
      <c r="VA71" s="459"/>
      <c r="VB71" s="459"/>
      <c r="VC71" s="459"/>
      <c r="VD71" s="459"/>
      <c r="VE71" s="459"/>
      <c r="VF71" s="459"/>
      <c r="VG71" s="459"/>
      <c r="VH71" s="459"/>
      <c r="VI71" s="459"/>
      <c r="VJ71" s="459"/>
      <c r="VK71" s="459"/>
      <c r="VL71" s="459"/>
      <c r="VM71" s="459"/>
      <c r="VN71" s="459"/>
      <c r="VO71" s="459"/>
      <c r="VP71" s="459"/>
      <c r="VQ71" s="459"/>
      <c r="VR71" s="459"/>
      <c r="VS71" s="459"/>
      <c r="VT71" s="459"/>
      <c r="VU71" s="459"/>
      <c r="VV71" s="459"/>
      <c r="VW71" s="459"/>
      <c r="VX71" s="459"/>
      <c r="VY71" s="459"/>
      <c r="VZ71" s="459"/>
      <c r="WA71" s="459"/>
      <c r="WB71" s="459"/>
      <c r="WC71" s="459"/>
      <c r="WD71" s="459"/>
      <c r="WE71" s="459"/>
      <c r="WF71" s="459"/>
      <c r="WG71" s="459"/>
      <c r="WH71" s="459"/>
      <c r="WI71" s="459"/>
      <c r="WJ71" s="459"/>
      <c r="WK71" s="459"/>
      <c r="WL71" s="459"/>
      <c r="WM71" s="459"/>
      <c r="WN71" s="459"/>
      <c r="WO71" s="459"/>
      <c r="WP71" s="459"/>
      <c r="WQ71" s="459"/>
      <c r="WR71" s="459"/>
      <c r="WS71" s="459"/>
      <c r="WT71" s="459"/>
      <c r="WU71" s="459"/>
      <c r="WV71" s="459"/>
      <c r="WW71" s="459"/>
      <c r="WX71" s="459"/>
      <c r="WY71" s="459"/>
      <c r="WZ71" s="459"/>
      <c r="XA71" s="459"/>
      <c r="XB71" s="459"/>
      <c r="XC71" s="459"/>
      <c r="XD71" s="459"/>
      <c r="XE71" s="459"/>
      <c r="XF71" s="459"/>
      <c r="XG71" s="459"/>
      <c r="XH71" s="459"/>
      <c r="XI71" s="459"/>
      <c r="XJ71" s="459"/>
      <c r="XK71" s="459"/>
      <c r="XL71" s="459"/>
      <c r="XM71" s="459"/>
      <c r="XN71" s="459"/>
      <c r="XO71" s="459"/>
      <c r="XP71" s="459"/>
      <c r="XQ71" s="459"/>
      <c r="XR71" s="459"/>
      <c r="XS71" s="459"/>
      <c r="XT71" s="459"/>
      <c r="XU71" s="459"/>
      <c r="XV71" s="459"/>
      <c r="XW71" s="459"/>
      <c r="XX71" s="459"/>
      <c r="XY71" s="459"/>
      <c r="XZ71" s="459"/>
      <c r="YA71" s="459"/>
      <c r="YB71" s="459"/>
      <c r="YC71" s="459"/>
      <c r="YD71" s="459"/>
      <c r="YE71" s="459"/>
      <c r="YF71" s="459"/>
      <c r="YG71" s="459"/>
      <c r="YH71" s="459"/>
      <c r="YI71" s="459"/>
      <c r="YJ71" s="459"/>
      <c r="YK71" s="459"/>
      <c r="YL71" s="459"/>
      <c r="YM71" s="459"/>
      <c r="YN71" s="459"/>
      <c r="YO71" s="459"/>
      <c r="YP71" s="459"/>
      <c r="YQ71" s="459"/>
      <c r="YR71" s="459"/>
      <c r="YS71" s="459"/>
      <c r="YT71" s="459"/>
      <c r="YU71" s="459"/>
      <c r="YV71" s="459"/>
      <c r="YW71" s="459"/>
      <c r="YX71" s="459"/>
      <c r="YY71" s="459"/>
      <c r="YZ71" s="459"/>
      <c r="ZA71" s="459"/>
      <c r="ZB71" s="459"/>
      <c r="ZC71" s="459"/>
      <c r="ZD71" s="459"/>
      <c r="ZE71" s="459"/>
      <c r="ZF71" s="459"/>
      <c r="ZG71" s="459"/>
      <c r="ZH71" s="459"/>
      <c r="ZI71" s="459"/>
      <c r="ZJ71" s="459"/>
      <c r="ZK71" s="459"/>
      <c r="ZL71" s="459"/>
      <c r="ZM71" s="459"/>
      <c r="ZN71" s="459"/>
      <c r="ZO71" s="459"/>
      <c r="ZP71" s="459"/>
      <c r="ZQ71" s="459"/>
      <c r="ZR71" s="459"/>
      <c r="ZS71" s="459"/>
      <c r="ZT71" s="459"/>
      <c r="ZU71" s="459"/>
      <c r="ZV71" s="459"/>
      <c r="ZW71" s="459"/>
      <c r="ZX71" s="459"/>
      <c r="ZY71" s="459"/>
      <c r="ZZ71" s="459"/>
      <c r="AAA71" s="459"/>
      <c r="AAB71" s="459"/>
      <c r="AAC71" s="459"/>
      <c r="AAD71" s="459"/>
      <c r="AAE71" s="459"/>
      <c r="AAF71" s="459"/>
      <c r="AAG71" s="459"/>
      <c r="AAH71" s="459"/>
      <c r="AAI71" s="459"/>
      <c r="AAJ71" s="459"/>
      <c r="AAK71" s="459"/>
      <c r="AAL71" s="459"/>
      <c r="AAM71" s="459"/>
      <c r="AAN71" s="459"/>
      <c r="AAO71" s="459"/>
      <c r="AAP71" s="459"/>
      <c r="AAQ71" s="459"/>
      <c r="AAR71" s="459"/>
      <c r="AAS71" s="459"/>
      <c r="AAT71" s="459"/>
      <c r="AAU71" s="459"/>
      <c r="AAV71" s="459"/>
      <c r="AAW71" s="459"/>
      <c r="AAX71" s="459"/>
      <c r="AAY71" s="459"/>
      <c r="AAZ71" s="459"/>
      <c r="ABA71" s="459"/>
      <c r="ABB71" s="459"/>
      <c r="ABC71" s="459"/>
      <c r="ABD71" s="459"/>
      <c r="ABE71" s="459"/>
      <c r="ABF71" s="459"/>
      <c r="ABG71" s="459"/>
      <c r="ABH71" s="459"/>
      <c r="ABI71" s="459"/>
      <c r="ABJ71" s="459"/>
      <c r="ABK71" s="459"/>
      <c r="ABL71" s="459"/>
      <c r="ABM71" s="459"/>
      <c r="ABN71" s="459"/>
      <c r="ABO71" s="459"/>
      <c r="ABP71" s="459"/>
      <c r="ABQ71" s="459"/>
      <c r="ABR71" s="459"/>
      <c r="ABS71" s="459"/>
      <c r="ABT71" s="459"/>
      <c r="ABU71" s="459"/>
      <c r="ABV71" s="459"/>
      <c r="ABW71" s="459"/>
      <c r="ABX71" s="459"/>
      <c r="ABY71" s="459"/>
      <c r="ABZ71" s="459"/>
      <c r="ACA71" s="459"/>
      <c r="ACB71" s="459"/>
      <c r="ACC71" s="459"/>
      <c r="ACD71" s="459"/>
      <c r="ACE71" s="459"/>
      <c r="ACF71" s="459"/>
      <c r="ACG71" s="459"/>
      <c r="ACH71" s="459"/>
      <c r="ACI71" s="459"/>
      <c r="ACJ71" s="459"/>
      <c r="ACK71" s="459"/>
      <c r="ACL71" s="459"/>
      <c r="ACM71" s="459"/>
      <c r="ACN71" s="459"/>
      <c r="ACO71" s="459"/>
      <c r="ACP71" s="459"/>
      <c r="ACQ71" s="459"/>
      <c r="ACR71" s="459"/>
      <c r="ACS71" s="459"/>
      <c r="ACT71" s="459"/>
      <c r="ACU71" s="459"/>
      <c r="ACV71" s="459"/>
      <c r="ACW71" s="459"/>
      <c r="ACX71" s="459"/>
      <c r="ACY71" s="459"/>
      <c r="ACZ71" s="459"/>
      <c r="ADA71" s="459"/>
      <c r="ADB71" s="459"/>
      <c r="ADC71" s="459"/>
      <c r="ADD71" s="459"/>
      <c r="ADE71" s="459"/>
      <c r="ADF71" s="459"/>
      <c r="ADG71" s="459"/>
      <c r="ADH71" s="459"/>
      <c r="ADI71" s="459"/>
      <c r="ADJ71" s="459"/>
      <c r="ADK71" s="459"/>
      <c r="ADL71" s="459"/>
      <c r="ADM71" s="459"/>
      <c r="ADN71" s="459"/>
      <c r="ADO71" s="459"/>
      <c r="ADP71" s="459"/>
      <c r="ADQ71" s="459"/>
      <c r="ADR71" s="459"/>
      <c r="ADS71" s="459"/>
      <c r="ADT71" s="459"/>
      <c r="ADU71" s="459"/>
      <c r="ADV71" s="459"/>
      <c r="ADW71" s="459"/>
      <c r="ADX71" s="459"/>
      <c r="ADY71" s="459"/>
      <c r="ADZ71" s="459"/>
      <c r="AEA71" s="459"/>
      <c r="AEB71" s="459"/>
      <c r="AEC71" s="459"/>
      <c r="AED71" s="459"/>
      <c r="AEE71" s="459"/>
      <c r="AEF71" s="459"/>
      <c r="AEG71" s="459"/>
      <c r="AEH71" s="459"/>
      <c r="AEI71" s="459"/>
      <c r="AEJ71" s="459"/>
      <c r="AEK71" s="459"/>
      <c r="AEL71" s="459"/>
      <c r="AEM71" s="459"/>
      <c r="AEN71" s="459"/>
      <c r="AEO71" s="459"/>
      <c r="AEP71" s="459"/>
      <c r="AEQ71" s="459"/>
      <c r="AER71" s="459"/>
      <c r="AES71" s="459"/>
      <c r="AET71" s="459"/>
      <c r="AEU71" s="459"/>
      <c r="AEV71" s="459"/>
      <c r="AEW71" s="459"/>
      <c r="AEX71" s="459"/>
      <c r="AEY71" s="459"/>
      <c r="AEZ71" s="459"/>
      <c r="AFA71" s="459"/>
      <c r="AFB71" s="459"/>
      <c r="AFC71" s="459"/>
      <c r="AFD71" s="459"/>
      <c r="AFE71" s="459"/>
      <c r="AFF71" s="459"/>
      <c r="AFG71" s="459"/>
      <c r="AFH71" s="459"/>
      <c r="AFI71" s="459"/>
      <c r="AFJ71" s="459"/>
      <c r="AFK71" s="459"/>
      <c r="AFL71" s="459"/>
      <c r="AFM71" s="459"/>
      <c r="AFN71" s="459"/>
      <c r="AFO71" s="459"/>
      <c r="AFP71" s="459"/>
      <c r="AFQ71" s="459"/>
      <c r="AFR71" s="459"/>
      <c r="AFS71" s="459"/>
      <c r="AFT71" s="459"/>
      <c r="AFU71" s="459"/>
      <c r="AFV71" s="459"/>
      <c r="AFW71" s="459"/>
      <c r="AFX71" s="459"/>
      <c r="AFY71" s="459"/>
      <c r="AFZ71" s="459"/>
      <c r="AGA71" s="459"/>
      <c r="AGB71" s="459"/>
      <c r="AGC71" s="459"/>
      <c r="AGD71" s="459"/>
      <c r="AGE71" s="459"/>
      <c r="AGF71" s="459"/>
      <c r="AGG71" s="459"/>
      <c r="AGH71" s="459"/>
      <c r="AGI71" s="459"/>
      <c r="AGJ71" s="459"/>
      <c r="AGK71" s="459"/>
      <c r="AGL71" s="459"/>
      <c r="AGM71" s="459"/>
      <c r="AGN71" s="459"/>
      <c r="AGO71" s="459"/>
      <c r="AGP71" s="459"/>
      <c r="AGQ71" s="459"/>
      <c r="AGR71" s="459"/>
      <c r="AGS71" s="459"/>
      <c r="AGT71" s="459"/>
      <c r="AGU71" s="459"/>
      <c r="AGV71" s="459"/>
      <c r="AGW71" s="459"/>
      <c r="AGX71" s="459"/>
      <c r="AGY71" s="459"/>
      <c r="AGZ71" s="459"/>
      <c r="AHA71" s="459"/>
      <c r="AHB71" s="459"/>
      <c r="AHC71" s="459"/>
      <c r="AHD71" s="459"/>
      <c r="AHE71" s="459"/>
      <c r="AHF71" s="459"/>
      <c r="AHG71" s="459"/>
      <c r="AHH71" s="459"/>
      <c r="AHI71" s="459"/>
      <c r="AHJ71" s="459"/>
      <c r="AHK71" s="459"/>
      <c r="AHL71" s="459"/>
      <c r="AHM71" s="459"/>
      <c r="AHN71" s="459"/>
      <c r="AHO71" s="459"/>
      <c r="AHP71" s="459"/>
      <c r="AHQ71" s="459"/>
      <c r="AHR71" s="459"/>
      <c r="AHS71" s="459"/>
      <c r="AHT71" s="459"/>
      <c r="AHU71" s="459"/>
      <c r="AHV71" s="459"/>
      <c r="AHW71" s="459"/>
      <c r="AHX71" s="459"/>
      <c r="AHY71" s="459"/>
      <c r="AHZ71" s="459"/>
      <c r="AIA71" s="459"/>
      <c r="AIB71" s="459"/>
      <c r="AIC71" s="459"/>
      <c r="AID71" s="459"/>
      <c r="AIE71" s="459"/>
      <c r="AIF71" s="459"/>
      <c r="AIG71" s="459"/>
      <c r="AIH71" s="459"/>
      <c r="AII71" s="459"/>
      <c r="AIJ71" s="459"/>
      <c r="AIK71" s="459"/>
      <c r="AIL71" s="459"/>
      <c r="AIM71" s="459"/>
      <c r="AIN71" s="459"/>
      <c r="AIO71" s="459"/>
      <c r="AIP71" s="459"/>
      <c r="AIQ71" s="459"/>
      <c r="AIR71" s="459"/>
      <c r="AIS71" s="459"/>
      <c r="AIT71" s="459"/>
      <c r="AIU71" s="459"/>
      <c r="AIV71" s="459"/>
      <c r="AIW71" s="459"/>
      <c r="AIX71" s="459"/>
      <c r="AIY71" s="459"/>
      <c r="AIZ71" s="459"/>
      <c r="AJA71" s="459"/>
      <c r="AJB71" s="459"/>
      <c r="AJC71" s="459"/>
      <c r="AJD71" s="459"/>
      <c r="AJE71" s="459"/>
      <c r="AJF71" s="459"/>
      <c r="AJG71" s="459"/>
      <c r="AJH71" s="459"/>
      <c r="AJI71" s="459"/>
      <c r="AJJ71" s="459"/>
      <c r="AJK71" s="459"/>
      <c r="AJL71" s="459"/>
      <c r="AJM71" s="459"/>
      <c r="AJN71" s="459"/>
      <c r="AJO71" s="459"/>
      <c r="AJP71" s="459"/>
      <c r="AJQ71" s="459"/>
      <c r="AJR71" s="459"/>
      <c r="AJS71" s="459"/>
      <c r="AJT71" s="459"/>
      <c r="AJU71" s="459"/>
      <c r="AJV71" s="459"/>
      <c r="AJW71" s="459"/>
      <c r="AJX71" s="459"/>
      <c r="AJY71" s="459"/>
      <c r="AJZ71" s="459"/>
      <c r="AKA71" s="459"/>
      <c r="AKB71" s="459"/>
      <c r="AKC71" s="459"/>
      <c r="AKD71" s="459"/>
      <c r="AKE71" s="459"/>
      <c r="AKF71" s="459"/>
      <c r="AKG71" s="459"/>
      <c r="AKH71" s="459"/>
      <c r="AKI71" s="459"/>
      <c r="AKJ71" s="459"/>
      <c r="AKK71" s="459"/>
      <c r="AKL71" s="459"/>
      <c r="AKM71" s="459"/>
      <c r="AKN71" s="459"/>
      <c r="AKO71" s="459"/>
      <c r="AKP71" s="459"/>
      <c r="AKQ71" s="459"/>
      <c r="AKR71" s="459"/>
      <c r="AKS71" s="459"/>
      <c r="AKT71" s="459"/>
      <c r="AKU71" s="459"/>
      <c r="AKV71" s="459"/>
      <c r="AKW71" s="459"/>
      <c r="AKX71" s="459"/>
      <c r="AKY71" s="459"/>
      <c r="AKZ71" s="459"/>
      <c r="ALA71" s="459"/>
      <c r="ALB71" s="459"/>
      <c r="ALC71" s="459"/>
      <c r="ALD71" s="459"/>
      <c r="ALE71" s="459"/>
      <c r="ALF71" s="459"/>
      <c r="ALG71" s="459"/>
      <c r="ALH71" s="459"/>
      <c r="ALI71" s="459"/>
      <c r="ALJ71" s="459"/>
      <c r="ALK71" s="459"/>
      <c r="ALL71" s="459"/>
      <c r="ALM71" s="459"/>
      <c r="ALN71" s="459"/>
      <c r="ALO71" s="459"/>
      <c r="ALP71" s="459"/>
      <c r="ALQ71" s="459"/>
      <c r="ALR71" s="459"/>
      <c r="ALS71" s="459"/>
      <c r="ALT71" s="459"/>
      <c r="ALU71" s="459"/>
      <c r="ALV71" s="459"/>
      <c r="ALW71" s="459"/>
      <c r="ALX71" s="459"/>
      <c r="ALY71" s="459"/>
      <c r="ALZ71" s="459"/>
      <c r="AMA71" s="459"/>
      <c r="AMB71" s="459"/>
      <c r="AMC71" s="459"/>
      <c r="AMD71" s="459"/>
      <c r="AME71" s="459"/>
      <c r="AMF71" s="459"/>
      <c r="AMG71" s="459"/>
      <c r="AMH71" s="459"/>
      <c r="AMI71" s="459"/>
      <c r="AMJ71" s="459"/>
      <c r="AMK71" s="459"/>
      <c r="AML71" s="459"/>
      <c r="AMM71" s="459"/>
      <c r="AMN71" s="459"/>
      <c r="AMO71" s="459"/>
      <c r="AMP71" s="459"/>
      <c r="AMQ71" s="459"/>
      <c r="AMR71" s="459"/>
      <c r="AMS71" s="459"/>
      <c r="AMT71" s="459"/>
      <c r="AMU71" s="459"/>
      <c r="AMV71" s="459"/>
      <c r="AMW71" s="459"/>
      <c r="AMX71" s="459"/>
      <c r="AMY71" s="459"/>
      <c r="AMZ71" s="459"/>
      <c r="ANA71" s="459"/>
      <c r="ANB71" s="459"/>
      <c r="ANC71" s="459"/>
      <c r="AND71" s="459"/>
      <c r="ANE71" s="459"/>
      <c r="ANF71" s="459"/>
      <c r="ANG71" s="459"/>
      <c r="ANH71" s="459"/>
      <c r="ANI71" s="459"/>
      <c r="ANJ71" s="459"/>
      <c r="ANK71" s="459"/>
      <c r="ANL71" s="459"/>
      <c r="ANM71" s="459"/>
      <c r="ANN71" s="459"/>
      <c r="ANO71" s="459"/>
      <c r="ANP71" s="459"/>
      <c r="ANQ71" s="459"/>
      <c r="ANR71" s="459"/>
      <c r="ANS71" s="459"/>
      <c r="ANT71" s="459"/>
      <c r="ANU71" s="459"/>
      <c r="ANV71" s="459"/>
      <c r="ANW71" s="459"/>
      <c r="ANX71" s="459"/>
      <c r="ANY71" s="459"/>
      <c r="ANZ71" s="459"/>
      <c r="AOA71" s="459"/>
      <c r="AOB71" s="459"/>
      <c r="AOC71" s="459"/>
      <c r="AOD71" s="459"/>
      <c r="AOE71" s="459"/>
      <c r="AOF71" s="459"/>
      <c r="AOG71" s="459"/>
      <c r="AOH71" s="459"/>
      <c r="AOI71" s="459"/>
      <c r="AOJ71" s="459"/>
      <c r="AOK71" s="459"/>
      <c r="AOL71" s="459"/>
      <c r="AOM71" s="459"/>
      <c r="AON71" s="459"/>
      <c r="AOO71" s="459"/>
      <c r="AOP71" s="459"/>
      <c r="AOQ71" s="459"/>
      <c r="AOR71" s="459"/>
      <c r="AOS71" s="459"/>
      <c r="AOT71" s="459"/>
      <c r="AOU71" s="459"/>
      <c r="AOV71" s="459"/>
      <c r="AOW71" s="459"/>
      <c r="AOX71" s="459"/>
      <c r="AOY71" s="459"/>
      <c r="AOZ71" s="459"/>
      <c r="APA71" s="459"/>
      <c r="APB71" s="459"/>
      <c r="APC71" s="459"/>
      <c r="APD71" s="459"/>
      <c r="APE71" s="459"/>
      <c r="APF71" s="459"/>
      <c r="APG71" s="459"/>
      <c r="APH71" s="459"/>
      <c r="API71" s="459"/>
      <c r="APJ71" s="459"/>
      <c r="APK71" s="459"/>
      <c r="APL71" s="459"/>
      <c r="APM71" s="459"/>
      <c r="APN71" s="459"/>
      <c r="APO71" s="459"/>
      <c r="APP71" s="459"/>
      <c r="APQ71" s="459"/>
      <c r="APR71" s="459"/>
      <c r="APS71" s="459"/>
      <c r="APT71" s="459"/>
      <c r="APU71" s="459"/>
      <c r="APV71" s="459"/>
      <c r="APW71" s="459"/>
      <c r="APX71" s="459"/>
      <c r="APY71" s="459"/>
      <c r="APZ71" s="459"/>
      <c r="AQA71" s="459"/>
      <c r="AQB71" s="459"/>
      <c r="AQC71" s="459"/>
      <c r="AQD71" s="459"/>
      <c r="AQE71" s="459"/>
      <c r="AQF71" s="459"/>
      <c r="AQG71" s="459"/>
      <c r="AQH71" s="459"/>
      <c r="AQI71" s="459"/>
      <c r="AQJ71" s="459"/>
      <c r="AQK71" s="459"/>
      <c r="AQL71" s="459"/>
      <c r="AQM71" s="459"/>
      <c r="AQN71" s="459"/>
      <c r="AQO71" s="459"/>
      <c r="AQP71" s="459"/>
      <c r="AQQ71" s="459"/>
      <c r="AQR71" s="459"/>
      <c r="AQS71" s="459"/>
      <c r="AQT71" s="459"/>
      <c r="AQU71" s="459"/>
      <c r="AQV71" s="459"/>
      <c r="AQW71" s="459"/>
      <c r="AQX71" s="459"/>
      <c r="AQY71" s="459"/>
      <c r="AQZ71" s="459"/>
      <c r="ARA71" s="459"/>
      <c r="ARB71" s="459"/>
      <c r="ARC71" s="459"/>
      <c r="ARD71" s="459"/>
      <c r="ARE71" s="459"/>
      <c r="ARF71" s="459"/>
      <c r="ARG71" s="459"/>
      <c r="ARH71" s="459"/>
      <c r="ARI71" s="459"/>
      <c r="ARJ71" s="459"/>
      <c r="ARK71" s="459"/>
      <c r="ARL71" s="459"/>
      <c r="ARM71" s="459"/>
      <c r="ARN71" s="459"/>
      <c r="ARO71" s="459"/>
      <c r="ARP71" s="459"/>
      <c r="ARQ71" s="459"/>
      <c r="ARR71" s="459"/>
      <c r="ARS71" s="459"/>
      <c r="ART71" s="459"/>
      <c r="ARU71" s="459"/>
      <c r="ARV71" s="459"/>
      <c r="ARW71" s="459"/>
      <c r="ARX71" s="459"/>
      <c r="ARY71" s="459"/>
      <c r="ARZ71" s="459"/>
      <c r="ASA71" s="459"/>
      <c r="ASB71" s="459"/>
      <c r="ASC71" s="459"/>
      <c r="ASD71" s="459"/>
      <c r="ASE71" s="459"/>
      <c r="ASF71" s="459"/>
      <c r="ASG71" s="459"/>
      <c r="ASH71" s="459"/>
      <c r="ASI71" s="459"/>
      <c r="ASJ71" s="459"/>
      <c r="ASK71" s="459"/>
      <c r="ASL71" s="459"/>
      <c r="ASM71" s="459"/>
      <c r="ASN71" s="459"/>
      <c r="ASO71" s="459"/>
      <c r="ASP71" s="459"/>
      <c r="ASQ71" s="459"/>
      <c r="ASR71" s="459"/>
      <c r="ASS71" s="459"/>
      <c r="AST71" s="459"/>
      <c r="ASU71" s="459"/>
      <c r="ASV71" s="459"/>
      <c r="ASW71" s="459"/>
      <c r="ASX71" s="459"/>
      <c r="ASY71" s="459"/>
      <c r="ASZ71" s="459"/>
      <c r="ATA71" s="459"/>
      <c r="ATB71" s="459"/>
      <c r="ATC71" s="459"/>
      <c r="ATD71" s="459"/>
      <c r="ATE71" s="459"/>
      <c r="ATF71" s="459"/>
      <c r="ATG71" s="459"/>
      <c r="ATH71" s="459"/>
      <c r="ATI71" s="459"/>
      <c r="ATJ71" s="459"/>
      <c r="ATK71" s="459"/>
      <c r="ATL71" s="459"/>
      <c r="ATM71" s="459"/>
      <c r="ATN71" s="459"/>
      <c r="ATO71" s="459"/>
      <c r="ATP71" s="459"/>
      <c r="ATQ71" s="459"/>
      <c r="ATR71" s="459"/>
      <c r="ATS71" s="459"/>
      <c r="ATT71" s="459"/>
      <c r="ATU71" s="459"/>
      <c r="ATV71" s="459"/>
      <c r="ATW71" s="459"/>
      <c r="ATX71" s="459"/>
      <c r="ATY71" s="459"/>
      <c r="ATZ71" s="459"/>
      <c r="AUA71" s="459"/>
      <c r="AUB71" s="459"/>
      <c r="AUC71" s="459"/>
      <c r="AUD71" s="459"/>
      <c r="AUE71" s="459"/>
      <c r="AUF71" s="459"/>
      <c r="AUG71" s="459"/>
      <c r="AUH71" s="459"/>
      <c r="AUI71" s="459"/>
      <c r="AUJ71" s="459"/>
      <c r="AUK71" s="459"/>
      <c r="AUL71" s="459"/>
      <c r="AUM71" s="459"/>
      <c r="AUN71" s="459"/>
      <c r="AUO71" s="459"/>
      <c r="AUP71" s="459"/>
      <c r="AUQ71" s="459"/>
      <c r="AUR71" s="459"/>
      <c r="AUS71" s="459"/>
      <c r="AUT71" s="459"/>
      <c r="AUU71" s="459"/>
      <c r="AUV71" s="459"/>
      <c r="AUW71" s="459"/>
      <c r="AUX71" s="459"/>
      <c r="AUY71" s="459"/>
      <c r="AUZ71" s="459"/>
      <c r="AVA71" s="459"/>
      <c r="AVB71" s="459"/>
      <c r="AVC71" s="459"/>
      <c r="AVD71" s="459"/>
      <c r="AVE71" s="459"/>
      <c r="AVF71" s="459"/>
      <c r="AVG71" s="459"/>
      <c r="AVH71" s="459"/>
      <c r="AVI71" s="459"/>
      <c r="AVJ71" s="459"/>
      <c r="AVK71" s="459"/>
      <c r="AVL71" s="459"/>
      <c r="AVM71" s="459"/>
      <c r="AVN71" s="459"/>
      <c r="AVO71" s="459"/>
      <c r="AVP71" s="459"/>
      <c r="AVQ71" s="459"/>
      <c r="AVR71" s="459"/>
      <c r="AVS71" s="459"/>
      <c r="AVT71" s="459"/>
      <c r="AVU71" s="459"/>
      <c r="AVV71" s="459"/>
      <c r="AVW71" s="459"/>
      <c r="AVX71" s="459"/>
      <c r="AVY71" s="459"/>
      <c r="AVZ71" s="459"/>
      <c r="AWA71" s="459"/>
      <c r="AWB71" s="459"/>
      <c r="AWC71" s="459"/>
      <c r="AWD71" s="459"/>
      <c r="AWE71" s="459"/>
      <c r="AWF71" s="459"/>
      <c r="AWG71" s="459"/>
      <c r="AWH71" s="459"/>
      <c r="AWI71" s="459"/>
      <c r="AWJ71" s="459"/>
      <c r="AWK71" s="459"/>
      <c r="AWL71" s="459"/>
      <c r="AWM71" s="459"/>
      <c r="AWN71" s="459"/>
      <c r="AWO71" s="459"/>
      <c r="AWP71" s="459"/>
      <c r="AWQ71" s="459"/>
      <c r="AWR71" s="459"/>
      <c r="AWS71" s="459"/>
      <c r="AWT71" s="459"/>
      <c r="AWU71" s="459"/>
      <c r="AWV71" s="459"/>
      <c r="AWW71" s="459"/>
      <c r="AWX71" s="459"/>
      <c r="AWY71" s="459"/>
      <c r="AWZ71" s="459"/>
      <c r="AXA71" s="459"/>
      <c r="AXB71" s="459"/>
      <c r="AXC71" s="459"/>
      <c r="AXD71" s="459"/>
      <c r="AXE71" s="459"/>
      <c r="AXF71" s="459"/>
      <c r="AXG71" s="459"/>
      <c r="AXH71" s="459"/>
      <c r="AXI71" s="459"/>
      <c r="AXJ71" s="459"/>
      <c r="AXK71" s="459"/>
      <c r="AXL71" s="459"/>
      <c r="AXM71" s="459"/>
      <c r="AXN71" s="459"/>
      <c r="AXO71" s="459"/>
      <c r="AXP71" s="459"/>
      <c r="AXQ71" s="459"/>
      <c r="AXR71" s="459"/>
      <c r="AXS71" s="459"/>
      <c r="AXT71" s="459"/>
      <c r="AXU71" s="459"/>
      <c r="AXV71" s="459"/>
      <c r="AXW71" s="459"/>
      <c r="AXX71" s="459"/>
      <c r="AXY71" s="459"/>
      <c r="AXZ71" s="459"/>
      <c r="AYA71" s="459"/>
      <c r="AYB71" s="459"/>
      <c r="AYC71" s="459"/>
      <c r="AYD71" s="459"/>
      <c r="AYE71" s="459"/>
      <c r="AYF71" s="459"/>
      <c r="AYG71" s="459"/>
      <c r="AYH71" s="459"/>
      <c r="AYI71" s="459"/>
      <c r="AYJ71" s="459"/>
      <c r="AYK71" s="459"/>
      <c r="AYL71" s="459"/>
      <c r="AYM71" s="459"/>
      <c r="AYN71" s="459"/>
      <c r="AYO71" s="459"/>
      <c r="AYP71" s="459"/>
      <c r="AYQ71" s="459"/>
      <c r="AYR71" s="459"/>
      <c r="AYS71" s="459"/>
      <c r="AYT71" s="459"/>
      <c r="AYU71" s="459"/>
      <c r="AYV71" s="459"/>
      <c r="AYW71" s="459"/>
      <c r="AYX71" s="459"/>
      <c r="AYY71" s="459"/>
      <c r="AYZ71" s="459"/>
      <c r="AZA71" s="459"/>
      <c r="AZB71" s="459"/>
      <c r="AZC71" s="459"/>
      <c r="AZD71" s="459"/>
      <c r="AZE71" s="459"/>
      <c r="AZF71" s="459"/>
      <c r="AZG71" s="459"/>
      <c r="AZH71" s="459"/>
      <c r="AZI71" s="459"/>
      <c r="AZJ71" s="459"/>
      <c r="AZK71" s="459"/>
      <c r="AZL71" s="459"/>
      <c r="AZM71" s="459"/>
      <c r="AZN71" s="459"/>
      <c r="AZO71" s="459"/>
      <c r="AZP71" s="459"/>
      <c r="AZQ71" s="459"/>
      <c r="AZR71" s="459"/>
      <c r="AZS71" s="459"/>
      <c r="AZT71" s="459"/>
      <c r="AZU71" s="459"/>
      <c r="AZV71" s="459"/>
      <c r="AZW71" s="459"/>
      <c r="AZX71" s="459"/>
      <c r="AZY71" s="459"/>
      <c r="AZZ71" s="459"/>
      <c r="BAA71" s="459"/>
      <c r="BAB71" s="459"/>
      <c r="BAC71" s="459"/>
      <c r="BAD71" s="459"/>
      <c r="BAE71" s="459"/>
      <c r="BAF71" s="459"/>
      <c r="BAG71" s="459"/>
      <c r="BAH71" s="459"/>
      <c r="BAI71" s="459"/>
      <c r="BAJ71" s="459"/>
      <c r="BAK71" s="459"/>
      <c r="BAL71" s="459"/>
      <c r="BAM71" s="459"/>
      <c r="BAN71" s="459"/>
      <c r="BAO71" s="459"/>
      <c r="BAP71" s="459"/>
      <c r="BAQ71" s="459"/>
      <c r="BAR71" s="459"/>
      <c r="BAS71" s="459"/>
      <c r="BAT71" s="459"/>
      <c r="BAU71" s="459"/>
      <c r="BAV71" s="459"/>
      <c r="BAW71" s="459"/>
      <c r="BAX71" s="459"/>
      <c r="BAY71" s="459"/>
      <c r="BAZ71" s="459"/>
      <c r="BBA71" s="459"/>
      <c r="BBB71" s="459"/>
      <c r="BBC71" s="459"/>
      <c r="BBD71" s="459"/>
      <c r="BBE71" s="459"/>
      <c r="BBF71" s="459"/>
      <c r="BBG71" s="459"/>
      <c r="BBH71" s="459"/>
      <c r="BBI71" s="459"/>
      <c r="BBJ71" s="459"/>
      <c r="BBK71" s="459"/>
      <c r="BBL71" s="459"/>
      <c r="BBM71" s="459"/>
      <c r="BBN71" s="459"/>
      <c r="BBO71" s="459"/>
      <c r="BBP71" s="459"/>
      <c r="BBQ71" s="459"/>
      <c r="BBR71" s="459"/>
      <c r="BBS71" s="459"/>
      <c r="BBT71" s="459"/>
      <c r="BBU71" s="459"/>
      <c r="BBV71" s="459"/>
      <c r="BBW71" s="459"/>
      <c r="BBX71" s="459"/>
      <c r="BBY71" s="459"/>
      <c r="BBZ71" s="459"/>
      <c r="BCA71" s="459"/>
      <c r="BCB71" s="459"/>
      <c r="BCC71" s="459"/>
      <c r="BCD71" s="459"/>
      <c r="BCE71" s="459"/>
      <c r="BCF71" s="459"/>
      <c r="BCG71" s="459"/>
      <c r="BCH71" s="459"/>
      <c r="BCI71" s="459"/>
      <c r="BCJ71" s="459"/>
      <c r="BCK71" s="459"/>
      <c r="BCL71" s="459"/>
      <c r="BCM71" s="459"/>
      <c r="BCN71" s="459"/>
      <c r="BCO71" s="459"/>
      <c r="BCP71" s="459"/>
      <c r="BCQ71" s="459"/>
      <c r="BCR71" s="459"/>
      <c r="BCS71" s="459"/>
      <c r="BCT71" s="459"/>
      <c r="BCU71" s="459"/>
      <c r="BCV71" s="459"/>
      <c r="BCW71" s="459"/>
      <c r="BCX71" s="459"/>
      <c r="BCY71" s="459"/>
      <c r="BCZ71" s="459"/>
      <c r="BDA71" s="459"/>
      <c r="BDB71" s="459"/>
      <c r="BDC71" s="459"/>
      <c r="BDD71" s="459"/>
      <c r="BDE71" s="459"/>
      <c r="BDF71" s="459"/>
      <c r="BDG71" s="459"/>
      <c r="BDH71" s="459"/>
      <c r="BDI71" s="459"/>
      <c r="BDJ71" s="459"/>
      <c r="BDK71" s="459"/>
      <c r="BDL71" s="459"/>
      <c r="BDM71" s="459"/>
      <c r="BDN71" s="459"/>
      <c r="BDO71" s="459"/>
      <c r="BDP71" s="459"/>
      <c r="BDQ71" s="459"/>
      <c r="BDR71" s="459"/>
      <c r="BDS71" s="459"/>
      <c r="BDT71" s="459"/>
      <c r="BDU71" s="459"/>
      <c r="BDV71" s="459"/>
      <c r="BDW71" s="459"/>
      <c r="BDX71" s="459"/>
      <c r="BDY71" s="459"/>
      <c r="BDZ71" s="459"/>
      <c r="BEA71" s="459"/>
      <c r="BEB71" s="459"/>
      <c r="BEC71" s="459"/>
      <c r="BED71" s="459"/>
      <c r="BEE71" s="459"/>
      <c r="BEF71" s="459"/>
      <c r="BEG71" s="459"/>
      <c r="BEH71" s="459"/>
      <c r="BEI71" s="459"/>
      <c r="BEJ71" s="459"/>
      <c r="BEK71" s="459"/>
      <c r="BEL71" s="459"/>
      <c r="BEM71" s="459"/>
      <c r="BEN71" s="459"/>
      <c r="BEO71" s="459"/>
      <c r="BEP71" s="459"/>
      <c r="BEQ71" s="459"/>
      <c r="BER71" s="459"/>
      <c r="BES71" s="459"/>
      <c r="BET71" s="459"/>
      <c r="BEU71" s="459"/>
      <c r="BEV71" s="459"/>
      <c r="BEW71" s="459"/>
      <c r="BEX71" s="459"/>
      <c r="BEY71" s="459"/>
      <c r="BEZ71" s="459"/>
      <c r="BFA71" s="459"/>
      <c r="BFB71" s="459"/>
      <c r="BFC71" s="459"/>
      <c r="BFD71" s="459"/>
      <c r="BFE71" s="459"/>
      <c r="BFF71" s="459"/>
      <c r="BFG71" s="459"/>
      <c r="BFH71" s="459"/>
      <c r="BFI71" s="459"/>
      <c r="BFJ71" s="459"/>
      <c r="BFK71" s="459"/>
      <c r="BFL71" s="459"/>
      <c r="BFM71" s="459"/>
      <c r="BFN71" s="459"/>
      <c r="BFO71" s="459"/>
      <c r="BFP71" s="459"/>
      <c r="BFQ71" s="459"/>
      <c r="BFR71" s="459"/>
      <c r="BFS71" s="459"/>
      <c r="BFT71" s="459"/>
      <c r="BFU71" s="459"/>
      <c r="BFV71" s="459"/>
      <c r="BFW71" s="459"/>
      <c r="BFX71" s="459"/>
      <c r="BFY71" s="459"/>
      <c r="BFZ71" s="459"/>
      <c r="BGA71" s="459"/>
      <c r="BGB71" s="459"/>
      <c r="BGC71" s="459"/>
      <c r="BGD71" s="459"/>
      <c r="BGE71" s="459"/>
      <c r="BGF71" s="459"/>
      <c r="BGG71" s="459"/>
      <c r="BGH71" s="459"/>
      <c r="BGI71" s="459"/>
      <c r="BGJ71" s="459"/>
      <c r="BGK71" s="459"/>
      <c r="BGL71" s="459"/>
      <c r="BGM71" s="459"/>
      <c r="BGN71" s="459"/>
      <c r="BGO71" s="459"/>
      <c r="BGP71" s="459"/>
      <c r="BGQ71" s="459"/>
      <c r="BGR71" s="459"/>
      <c r="BGS71" s="459"/>
      <c r="BGT71" s="459"/>
      <c r="BGU71" s="459"/>
      <c r="BGV71" s="459"/>
      <c r="BGW71" s="459"/>
      <c r="BGX71" s="459"/>
      <c r="BGY71" s="459"/>
      <c r="BGZ71" s="459"/>
      <c r="BHA71" s="459"/>
      <c r="BHB71" s="459"/>
      <c r="BHC71" s="459"/>
      <c r="BHD71" s="459"/>
      <c r="BHE71" s="459"/>
      <c r="BHF71" s="459"/>
      <c r="BHG71" s="459"/>
      <c r="BHH71" s="459"/>
      <c r="BHI71" s="459"/>
      <c r="BHJ71" s="459"/>
      <c r="BHK71" s="459"/>
      <c r="BHL71" s="459"/>
      <c r="BHM71" s="459"/>
      <c r="BHN71" s="459"/>
      <c r="BHO71" s="459"/>
      <c r="BHP71" s="459"/>
      <c r="BHQ71" s="459"/>
      <c r="BHR71" s="459"/>
      <c r="BHS71" s="459"/>
      <c r="BHT71" s="459"/>
      <c r="BHU71" s="459"/>
      <c r="BHV71" s="459"/>
      <c r="BHW71" s="459"/>
      <c r="BHX71" s="459"/>
      <c r="BHY71" s="459"/>
      <c r="BHZ71" s="459"/>
      <c r="BIA71" s="459"/>
      <c r="BIB71" s="459"/>
      <c r="BIC71" s="459"/>
      <c r="BID71" s="459"/>
      <c r="BIE71" s="459"/>
      <c r="BIF71" s="459"/>
      <c r="BIG71" s="459"/>
      <c r="BIH71" s="459"/>
      <c r="BII71" s="459"/>
      <c r="BIJ71" s="459"/>
      <c r="BIK71" s="459"/>
      <c r="BIL71" s="459"/>
      <c r="BIM71" s="459"/>
      <c r="BIN71" s="459"/>
      <c r="BIO71" s="459"/>
      <c r="BIP71" s="459"/>
      <c r="BIQ71" s="459"/>
      <c r="BIR71" s="459"/>
      <c r="BIS71" s="459"/>
      <c r="BIT71" s="459"/>
      <c r="BIU71" s="459"/>
      <c r="BIV71" s="459"/>
      <c r="BIW71" s="459"/>
      <c r="BIX71" s="459"/>
      <c r="BIY71" s="459"/>
      <c r="BIZ71" s="459"/>
      <c r="BJA71" s="459"/>
      <c r="BJB71" s="459"/>
      <c r="BJC71" s="459"/>
      <c r="BJD71" s="459"/>
      <c r="BJE71" s="459"/>
      <c r="BJF71" s="459"/>
      <c r="BJG71" s="459"/>
      <c r="BJH71" s="459"/>
      <c r="BJI71" s="459"/>
      <c r="BJJ71" s="459"/>
      <c r="BJK71" s="459"/>
      <c r="BJL71" s="459"/>
      <c r="BJM71" s="459"/>
      <c r="BJN71" s="459"/>
      <c r="BJO71" s="459"/>
      <c r="BJP71" s="459"/>
      <c r="BJQ71" s="459"/>
      <c r="BJR71" s="459"/>
      <c r="BJS71" s="459"/>
      <c r="BJT71" s="459"/>
      <c r="BJU71" s="459"/>
      <c r="BJV71" s="459"/>
      <c r="BJW71" s="459"/>
      <c r="BJX71" s="459"/>
      <c r="BJY71" s="459"/>
      <c r="BJZ71" s="459"/>
      <c r="BKA71" s="459"/>
      <c r="BKB71" s="459"/>
      <c r="BKC71" s="459"/>
      <c r="BKD71" s="459"/>
      <c r="BKE71" s="459"/>
      <c r="BKF71" s="459"/>
      <c r="BKG71" s="459"/>
      <c r="BKH71" s="459"/>
      <c r="BKI71" s="459"/>
      <c r="BKJ71" s="459"/>
      <c r="BKK71" s="459"/>
      <c r="BKL71" s="459"/>
      <c r="BKM71" s="459"/>
      <c r="BKN71" s="459"/>
      <c r="BKO71" s="459"/>
      <c r="BKP71" s="459"/>
      <c r="BKQ71" s="459"/>
      <c r="BKR71" s="459"/>
      <c r="BKS71" s="459"/>
      <c r="BKT71" s="459"/>
      <c r="BKU71" s="459"/>
      <c r="BKV71" s="459"/>
      <c r="BKW71" s="459"/>
      <c r="BKX71" s="459"/>
      <c r="BKY71" s="459"/>
      <c r="BKZ71" s="459"/>
      <c r="BLA71" s="459"/>
      <c r="BLB71" s="459"/>
      <c r="BLC71" s="459"/>
      <c r="BLD71" s="459"/>
      <c r="BLE71" s="459"/>
      <c r="BLF71" s="459"/>
      <c r="BLG71" s="459"/>
      <c r="BLH71" s="459"/>
      <c r="BLI71" s="459"/>
      <c r="BLJ71" s="459"/>
      <c r="BLK71" s="459"/>
      <c r="BLL71" s="459"/>
      <c r="BLM71" s="459"/>
      <c r="BLN71" s="459"/>
      <c r="BLO71" s="459"/>
      <c r="BLP71" s="459"/>
      <c r="BLQ71" s="459"/>
      <c r="BLR71" s="459"/>
      <c r="BLS71" s="459"/>
      <c r="BLT71" s="459"/>
      <c r="BLU71" s="459"/>
      <c r="BLV71" s="459"/>
      <c r="BLW71" s="459"/>
      <c r="BLX71" s="459"/>
      <c r="BLY71" s="459"/>
      <c r="BLZ71" s="459"/>
      <c r="BMA71" s="459"/>
      <c r="BMB71" s="459"/>
      <c r="BMC71" s="459"/>
      <c r="BMD71" s="459"/>
      <c r="BME71" s="459"/>
      <c r="BMF71" s="459"/>
      <c r="BMG71" s="459"/>
      <c r="BMH71" s="459"/>
      <c r="BMI71" s="459"/>
      <c r="BMJ71" s="459"/>
      <c r="BMK71" s="459"/>
      <c r="BML71" s="459"/>
      <c r="BMM71" s="459"/>
      <c r="BMN71" s="459"/>
      <c r="BMO71" s="459"/>
      <c r="BMP71" s="459"/>
      <c r="BMQ71" s="459"/>
      <c r="BMR71" s="459"/>
      <c r="BMS71" s="459"/>
      <c r="BMT71" s="459"/>
      <c r="BMU71" s="459"/>
      <c r="BMV71" s="459"/>
      <c r="BMW71" s="459"/>
      <c r="BMX71" s="459"/>
      <c r="BMY71" s="459"/>
      <c r="BMZ71" s="459"/>
      <c r="BNA71" s="459"/>
      <c r="BNB71" s="459"/>
      <c r="BNC71" s="459"/>
      <c r="BND71" s="459"/>
      <c r="BNE71" s="459"/>
      <c r="BNF71" s="459"/>
      <c r="BNG71" s="459"/>
      <c r="BNH71" s="459"/>
      <c r="BNI71" s="459"/>
      <c r="BNJ71" s="459"/>
      <c r="BNK71" s="459"/>
      <c r="BNL71" s="459"/>
      <c r="BNM71" s="459"/>
      <c r="BNN71" s="459"/>
      <c r="BNO71" s="459"/>
      <c r="BNP71" s="459"/>
      <c r="BNQ71" s="459"/>
      <c r="BNR71" s="459"/>
      <c r="BNS71" s="459"/>
      <c r="BNT71" s="459"/>
      <c r="BNU71" s="459"/>
      <c r="BNV71" s="459"/>
      <c r="BNW71" s="459"/>
      <c r="BNX71" s="459"/>
      <c r="BNY71" s="459"/>
      <c r="BNZ71" s="459"/>
      <c r="BOA71" s="459"/>
      <c r="BOB71" s="459"/>
      <c r="BOC71" s="459"/>
      <c r="BOD71" s="459"/>
      <c r="BOE71" s="459"/>
      <c r="BOF71" s="459"/>
      <c r="BOG71" s="459"/>
      <c r="BOH71" s="459"/>
      <c r="BOI71" s="459"/>
      <c r="BOJ71" s="459"/>
      <c r="BOK71" s="459"/>
      <c r="BOL71" s="459"/>
      <c r="BOM71" s="459"/>
      <c r="BON71" s="459"/>
      <c r="BOO71" s="459"/>
      <c r="BOP71" s="459"/>
      <c r="BOQ71" s="459"/>
      <c r="BOR71" s="459"/>
      <c r="BOS71" s="459"/>
      <c r="BOT71" s="459"/>
      <c r="BOU71" s="459"/>
      <c r="BOV71" s="459"/>
      <c r="BOW71" s="459"/>
      <c r="BOX71" s="459"/>
      <c r="BOY71" s="459"/>
      <c r="BOZ71" s="459"/>
      <c r="BPA71" s="459"/>
      <c r="BPB71" s="459"/>
      <c r="BPC71" s="459"/>
      <c r="BPD71" s="459"/>
      <c r="BPE71" s="459"/>
      <c r="BPF71" s="459"/>
      <c r="BPG71" s="459"/>
      <c r="BPH71" s="459"/>
      <c r="BPI71" s="459"/>
      <c r="BPJ71" s="459"/>
      <c r="BPK71" s="459"/>
      <c r="BPL71" s="459"/>
      <c r="BPM71" s="459"/>
      <c r="BPN71" s="459"/>
      <c r="BPO71" s="459"/>
      <c r="BPP71" s="459"/>
      <c r="BPQ71" s="459"/>
      <c r="BPR71" s="459"/>
      <c r="BPS71" s="459"/>
      <c r="BPT71" s="459"/>
      <c r="BPU71" s="459"/>
      <c r="BPV71" s="459"/>
      <c r="BPW71" s="459"/>
      <c r="BPX71" s="459"/>
      <c r="BPY71" s="459"/>
      <c r="BPZ71" s="459"/>
      <c r="BQA71" s="459"/>
      <c r="BQB71" s="459"/>
      <c r="BQC71" s="459"/>
      <c r="BQD71" s="459"/>
      <c r="BQE71" s="459"/>
      <c r="BQF71" s="459"/>
      <c r="BQG71" s="459"/>
      <c r="BQH71" s="459"/>
      <c r="BQI71" s="459"/>
      <c r="BQJ71" s="459"/>
      <c r="BQK71" s="459"/>
      <c r="BQL71" s="459"/>
      <c r="BQM71" s="459"/>
      <c r="BQN71" s="459"/>
      <c r="BQO71" s="459"/>
      <c r="BQP71" s="459"/>
      <c r="BQQ71" s="459"/>
      <c r="BQR71" s="459"/>
      <c r="BQS71" s="459"/>
      <c r="BQT71" s="459"/>
      <c r="BQU71" s="459"/>
      <c r="BQV71" s="459"/>
      <c r="BQW71" s="459"/>
      <c r="BQX71" s="459"/>
      <c r="BQY71" s="459"/>
      <c r="BQZ71" s="459"/>
      <c r="BRA71" s="459"/>
      <c r="BRB71" s="459"/>
      <c r="BRC71" s="459"/>
      <c r="BRD71" s="459"/>
      <c r="BRE71" s="459"/>
      <c r="BRF71" s="459"/>
      <c r="BRG71" s="459"/>
      <c r="BRH71" s="459"/>
      <c r="BRI71" s="459"/>
      <c r="BRJ71" s="459"/>
      <c r="BRK71" s="459"/>
      <c r="BRL71" s="459"/>
      <c r="BRM71" s="459"/>
      <c r="BRN71" s="459"/>
      <c r="BRO71" s="459"/>
      <c r="BRP71" s="459"/>
      <c r="BRQ71" s="459"/>
      <c r="BRR71" s="459"/>
      <c r="BRS71" s="459"/>
      <c r="BRT71" s="459"/>
      <c r="BRU71" s="459"/>
      <c r="BRV71" s="459"/>
      <c r="BRW71" s="459"/>
      <c r="BRX71" s="459"/>
      <c r="BRY71" s="459"/>
      <c r="BRZ71" s="459"/>
      <c r="BSA71" s="459"/>
      <c r="BSB71" s="459"/>
      <c r="BSC71" s="459"/>
      <c r="BSD71" s="459"/>
      <c r="BSE71" s="459"/>
      <c r="BSF71" s="459"/>
      <c r="BSG71" s="459"/>
      <c r="BSH71" s="459"/>
      <c r="BSI71" s="459"/>
      <c r="BSJ71" s="459"/>
      <c r="BSK71" s="459"/>
      <c r="BSL71" s="459"/>
      <c r="BSM71" s="459"/>
      <c r="BSN71" s="459"/>
      <c r="BSO71" s="459"/>
      <c r="BSP71" s="459"/>
      <c r="BSQ71" s="459"/>
      <c r="BSR71" s="459"/>
      <c r="BSS71" s="459"/>
      <c r="BST71" s="459"/>
      <c r="BSU71" s="459"/>
      <c r="BSV71" s="459"/>
      <c r="BSW71" s="459"/>
      <c r="BSX71" s="459"/>
      <c r="BSY71" s="459"/>
      <c r="BSZ71" s="459"/>
      <c r="BTA71" s="459"/>
      <c r="BTB71" s="459"/>
      <c r="BTC71" s="459"/>
      <c r="BTD71" s="459"/>
      <c r="BTE71" s="459"/>
      <c r="BTF71" s="459"/>
      <c r="BTG71" s="459"/>
      <c r="BTH71" s="459"/>
      <c r="BTI71" s="459"/>
      <c r="BTJ71" s="459"/>
      <c r="BTK71" s="459"/>
      <c r="BTL71" s="459"/>
      <c r="BTM71" s="459"/>
      <c r="BTN71" s="459"/>
      <c r="BTO71" s="459"/>
      <c r="BTP71" s="459"/>
      <c r="BTQ71" s="459"/>
      <c r="BTR71" s="459"/>
      <c r="BTS71" s="459"/>
      <c r="BTT71" s="459"/>
      <c r="BTU71" s="459"/>
      <c r="BTV71" s="459"/>
      <c r="BTW71" s="459"/>
      <c r="BTX71" s="459"/>
      <c r="BTY71" s="459"/>
      <c r="BTZ71" s="459"/>
      <c r="BUA71" s="459"/>
      <c r="BUB71" s="459"/>
      <c r="BUC71" s="459"/>
      <c r="BUD71" s="459"/>
      <c r="BUE71" s="459"/>
      <c r="BUF71" s="459"/>
      <c r="BUG71" s="459"/>
      <c r="BUH71" s="459"/>
      <c r="BUI71" s="459"/>
      <c r="BUJ71" s="459"/>
      <c r="BUK71" s="459"/>
      <c r="BUL71" s="459"/>
      <c r="BUM71" s="459"/>
      <c r="BUN71" s="459"/>
      <c r="BUO71" s="459"/>
      <c r="BUP71" s="459"/>
      <c r="BUQ71" s="459"/>
      <c r="BUR71" s="459"/>
      <c r="BUS71" s="459"/>
      <c r="BUT71" s="459"/>
      <c r="BUU71" s="459"/>
      <c r="BUV71" s="459"/>
      <c r="BUW71" s="459"/>
      <c r="BUX71" s="459"/>
      <c r="BUY71" s="459"/>
      <c r="BUZ71" s="459"/>
      <c r="BVA71" s="459"/>
      <c r="BVB71" s="459"/>
      <c r="BVC71" s="459"/>
      <c r="BVD71" s="459"/>
      <c r="BVE71" s="459"/>
      <c r="BVF71" s="459"/>
      <c r="BVG71" s="459"/>
      <c r="BVH71" s="459"/>
      <c r="BVI71" s="459"/>
      <c r="BVJ71" s="459"/>
      <c r="BVK71" s="459"/>
      <c r="BVL71" s="459"/>
      <c r="BVM71" s="459"/>
      <c r="BVN71" s="459"/>
      <c r="BVO71" s="459"/>
      <c r="BVP71" s="459"/>
      <c r="BVQ71" s="459"/>
      <c r="BVR71" s="459"/>
      <c r="BVS71" s="459"/>
      <c r="BVT71" s="459"/>
      <c r="BVU71" s="459"/>
      <c r="BVV71" s="459"/>
      <c r="BVW71" s="459"/>
      <c r="BVX71" s="459"/>
      <c r="BVY71" s="459"/>
      <c r="BVZ71" s="459"/>
      <c r="BWA71" s="459"/>
      <c r="BWB71" s="459"/>
      <c r="BWC71" s="459"/>
      <c r="BWD71" s="459"/>
      <c r="BWE71" s="459"/>
      <c r="BWF71" s="459"/>
      <c r="BWG71" s="459"/>
      <c r="BWH71" s="459"/>
      <c r="BWI71" s="459"/>
      <c r="BWJ71" s="459"/>
      <c r="BWK71" s="459"/>
      <c r="BWL71" s="459"/>
      <c r="BWM71" s="459"/>
      <c r="BWN71" s="459"/>
      <c r="BWO71" s="459"/>
      <c r="BWP71" s="459"/>
      <c r="BWQ71" s="459"/>
      <c r="BWR71" s="459"/>
      <c r="BWS71" s="459"/>
      <c r="BWT71" s="459"/>
      <c r="BWU71" s="459"/>
      <c r="BWV71" s="459"/>
      <c r="BWW71" s="459"/>
      <c r="BWX71" s="459"/>
      <c r="BWY71" s="459"/>
      <c r="BWZ71" s="459"/>
      <c r="BXA71" s="459"/>
      <c r="BXB71" s="459"/>
      <c r="BXC71" s="459"/>
      <c r="BXD71" s="459"/>
      <c r="BXE71" s="459"/>
      <c r="BXF71" s="459"/>
      <c r="BXG71" s="459"/>
      <c r="BXH71" s="459"/>
      <c r="BXI71" s="459"/>
      <c r="BXJ71" s="459"/>
      <c r="BXK71" s="459"/>
      <c r="BXL71" s="459"/>
      <c r="BXM71" s="459"/>
      <c r="BXN71" s="459"/>
      <c r="BXO71" s="459"/>
      <c r="BXP71" s="459"/>
      <c r="BXQ71" s="459"/>
      <c r="BXR71" s="459"/>
      <c r="BXS71" s="459"/>
      <c r="BXT71" s="459"/>
      <c r="BXU71" s="459"/>
      <c r="BXV71" s="459"/>
      <c r="BXW71" s="459"/>
      <c r="BXX71" s="459"/>
      <c r="BXY71" s="459"/>
      <c r="BXZ71" s="459"/>
      <c r="BYA71" s="459"/>
      <c r="BYB71" s="459"/>
      <c r="BYC71" s="459"/>
      <c r="BYD71" s="459"/>
      <c r="BYE71" s="459"/>
      <c r="BYF71" s="459"/>
      <c r="BYG71" s="459"/>
      <c r="BYH71" s="459"/>
      <c r="BYI71" s="459"/>
      <c r="BYJ71" s="459"/>
      <c r="BYK71" s="459"/>
      <c r="BYL71" s="459"/>
      <c r="BYM71" s="459"/>
      <c r="BYN71" s="459"/>
      <c r="BYO71" s="459"/>
      <c r="BYP71" s="459"/>
      <c r="BYQ71" s="459"/>
      <c r="BYR71" s="459"/>
      <c r="BYS71" s="459"/>
      <c r="BYT71" s="459"/>
      <c r="BYU71" s="459"/>
      <c r="BYV71" s="459"/>
      <c r="BYW71" s="459"/>
      <c r="BYX71" s="459"/>
      <c r="BYY71" s="459"/>
      <c r="BYZ71" s="459"/>
      <c r="BZA71" s="459"/>
      <c r="BZB71" s="459"/>
      <c r="BZC71" s="459"/>
      <c r="BZD71" s="459"/>
      <c r="BZE71" s="459"/>
      <c r="BZF71" s="459"/>
      <c r="BZG71" s="459"/>
      <c r="BZH71" s="459"/>
      <c r="BZI71" s="459"/>
      <c r="BZJ71" s="459"/>
      <c r="BZK71" s="459"/>
      <c r="BZL71" s="459"/>
      <c r="BZM71" s="459"/>
      <c r="BZN71" s="459"/>
      <c r="BZO71" s="459"/>
      <c r="BZP71" s="459"/>
      <c r="BZQ71" s="459"/>
      <c r="BZR71" s="459"/>
      <c r="BZS71" s="459"/>
      <c r="BZT71" s="459"/>
      <c r="BZU71" s="459"/>
      <c r="BZV71" s="459"/>
      <c r="BZW71" s="459"/>
      <c r="BZX71" s="459"/>
      <c r="BZY71" s="459"/>
      <c r="BZZ71" s="459"/>
      <c r="CAA71" s="459"/>
      <c r="CAB71" s="459"/>
      <c r="CAC71" s="459"/>
      <c r="CAD71" s="459"/>
      <c r="CAE71" s="459"/>
      <c r="CAF71" s="459"/>
      <c r="CAG71" s="459"/>
      <c r="CAH71" s="459"/>
      <c r="CAI71" s="459"/>
      <c r="CAJ71" s="459"/>
      <c r="CAK71" s="459"/>
      <c r="CAL71" s="459"/>
      <c r="CAM71" s="459"/>
      <c r="CAN71" s="459"/>
      <c r="CAO71" s="459"/>
      <c r="CAP71" s="459"/>
      <c r="CAQ71" s="459"/>
      <c r="CAR71" s="459"/>
      <c r="CAS71" s="459"/>
      <c r="CAT71" s="459"/>
      <c r="CAU71" s="459"/>
      <c r="CAV71" s="459"/>
      <c r="CAW71" s="459"/>
      <c r="CAX71" s="459"/>
      <c r="CAY71" s="459"/>
      <c r="CAZ71" s="459"/>
      <c r="CBA71" s="459"/>
      <c r="CBB71" s="459"/>
      <c r="CBC71" s="459"/>
      <c r="CBD71" s="459"/>
      <c r="CBE71" s="459"/>
      <c r="CBF71" s="459"/>
      <c r="CBG71" s="459"/>
      <c r="CBH71" s="459"/>
      <c r="CBI71" s="459"/>
      <c r="CBJ71" s="459"/>
      <c r="CBK71" s="459"/>
      <c r="CBL71" s="459"/>
      <c r="CBM71" s="459"/>
      <c r="CBN71" s="459"/>
      <c r="CBO71" s="459"/>
      <c r="CBP71" s="459"/>
      <c r="CBQ71" s="459"/>
      <c r="CBR71" s="459"/>
      <c r="CBS71" s="459"/>
      <c r="CBT71" s="459"/>
      <c r="CBU71" s="459"/>
      <c r="CBV71" s="459"/>
      <c r="CBW71" s="459"/>
      <c r="CBX71" s="459"/>
      <c r="CBY71" s="459"/>
      <c r="CBZ71" s="459"/>
      <c r="CCA71" s="459"/>
      <c r="CCB71" s="459"/>
      <c r="CCC71" s="459"/>
      <c r="CCD71" s="459"/>
      <c r="CCE71" s="459"/>
      <c r="CCF71" s="459"/>
      <c r="CCG71" s="459"/>
      <c r="CCH71" s="459"/>
      <c r="CCI71" s="459"/>
      <c r="CCJ71" s="459"/>
      <c r="CCK71" s="459"/>
      <c r="CCL71" s="459"/>
      <c r="CCM71" s="459"/>
      <c r="CCN71" s="459"/>
      <c r="CCO71" s="459"/>
      <c r="CCP71" s="459"/>
      <c r="CCQ71" s="459"/>
      <c r="CCR71" s="459"/>
      <c r="CCS71" s="459"/>
      <c r="CCT71" s="459"/>
      <c r="CCU71" s="459"/>
      <c r="CCV71" s="459"/>
      <c r="CCW71" s="459"/>
      <c r="CCX71" s="459"/>
      <c r="CCY71" s="459"/>
      <c r="CCZ71" s="459"/>
      <c r="CDA71" s="459"/>
      <c r="CDB71" s="459"/>
      <c r="CDC71" s="459"/>
      <c r="CDD71" s="459"/>
      <c r="CDE71" s="459"/>
      <c r="CDF71" s="459"/>
      <c r="CDG71" s="459"/>
      <c r="CDH71" s="459"/>
      <c r="CDI71" s="459"/>
      <c r="CDJ71" s="459"/>
      <c r="CDK71" s="459"/>
      <c r="CDL71" s="459"/>
      <c r="CDM71" s="459"/>
      <c r="CDN71" s="459"/>
      <c r="CDO71" s="459"/>
      <c r="CDP71" s="459"/>
      <c r="CDQ71" s="459"/>
      <c r="CDR71" s="459"/>
      <c r="CDS71" s="459"/>
      <c r="CDT71" s="459"/>
      <c r="CDU71" s="459"/>
      <c r="CDV71" s="459"/>
      <c r="CDW71" s="459"/>
      <c r="CDX71" s="459"/>
      <c r="CDY71" s="459"/>
      <c r="CDZ71" s="459"/>
      <c r="CEA71" s="459"/>
      <c r="CEB71" s="459"/>
      <c r="CEC71" s="459"/>
      <c r="CED71" s="459"/>
      <c r="CEE71" s="459"/>
      <c r="CEF71" s="459"/>
      <c r="CEG71" s="459"/>
      <c r="CEH71" s="459"/>
      <c r="CEI71" s="459"/>
      <c r="CEJ71" s="459"/>
      <c r="CEK71" s="459"/>
      <c r="CEL71" s="459"/>
      <c r="CEM71" s="459"/>
      <c r="CEN71" s="459"/>
      <c r="CEO71" s="459"/>
      <c r="CEP71" s="459"/>
      <c r="CEQ71" s="459"/>
      <c r="CER71" s="459"/>
      <c r="CES71" s="459"/>
      <c r="CET71" s="459"/>
      <c r="CEU71" s="459"/>
      <c r="CEV71" s="459"/>
      <c r="CEW71" s="459"/>
      <c r="CEX71" s="459"/>
      <c r="CEY71" s="459"/>
      <c r="CEZ71" s="459"/>
      <c r="CFA71" s="459"/>
      <c r="CFB71" s="459"/>
      <c r="CFC71" s="459"/>
      <c r="CFD71" s="459"/>
      <c r="CFE71" s="459"/>
      <c r="CFF71" s="459"/>
      <c r="CFG71" s="459"/>
      <c r="CFH71" s="459"/>
      <c r="CFI71" s="459"/>
      <c r="CFJ71" s="459"/>
      <c r="CFK71" s="459"/>
      <c r="CFL71" s="459"/>
      <c r="CFM71" s="459"/>
      <c r="CFN71" s="459"/>
      <c r="CFO71" s="459"/>
      <c r="CFP71" s="459"/>
      <c r="CFQ71" s="459"/>
      <c r="CFR71" s="459"/>
      <c r="CFS71" s="459"/>
      <c r="CFT71" s="459"/>
      <c r="CFU71" s="459"/>
      <c r="CFV71" s="459"/>
      <c r="CFW71" s="459"/>
      <c r="CFX71" s="459"/>
      <c r="CFY71" s="459"/>
      <c r="CFZ71" s="459"/>
      <c r="CGA71" s="459"/>
      <c r="CGB71" s="459"/>
      <c r="CGC71" s="459"/>
      <c r="CGD71" s="459"/>
      <c r="CGE71" s="459"/>
      <c r="CGF71" s="459"/>
      <c r="CGG71" s="459"/>
      <c r="CGH71" s="459"/>
      <c r="CGI71" s="459"/>
      <c r="CGJ71" s="459"/>
      <c r="CGK71" s="459"/>
      <c r="CGL71" s="459"/>
      <c r="CGM71" s="459"/>
      <c r="CGN71" s="459"/>
      <c r="CGO71" s="459"/>
      <c r="CGP71" s="459"/>
      <c r="CGQ71" s="459"/>
      <c r="CGR71" s="459"/>
      <c r="CGS71" s="459"/>
      <c r="CGT71" s="459"/>
      <c r="CGU71" s="459"/>
      <c r="CGV71" s="459"/>
      <c r="CGW71" s="459"/>
      <c r="CGX71" s="459"/>
      <c r="CGY71" s="459"/>
      <c r="CGZ71" s="459"/>
      <c r="CHA71" s="459"/>
      <c r="CHB71" s="459"/>
      <c r="CHC71" s="459"/>
      <c r="CHD71" s="459"/>
      <c r="CHE71" s="459"/>
      <c r="CHF71" s="459"/>
      <c r="CHG71" s="459"/>
      <c r="CHH71" s="459"/>
      <c r="CHI71" s="459"/>
      <c r="CHJ71" s="459"/>
      <c r="CHK71" s="459"/>
      <c r="CHL71" s="459"/>
      <c r="CHM71" s="459"/>
      <c r="CHN71" s="459"/>
      <c r="CHO71" s="459"/>
      <c r="CHP71" s="459"/>
      <c r="CHQ71" s="459"/>
      <c r="CHR71" s="459"/>
      <c r="CHS71" s="459"/>
      <c r="CHT71" s="459"/>
      <c r="CHU71" s="459"/>
      <c r="CHV71" s="459"/>
      <c r="CHW71" s="459"/>
      <c r="CHX71" s="459"/>
      <c r="CHY71" s="459"/>
      <c r="CHZ71" s="459"/>
      <c r="CIA71" s="459"/>
      <c r="CIB71" s="459"/>
      <c r="CIC71" s="459"/>
      <c r="CID71" s="459"/>
      <c r="CIE71" s="459"/>
      <c r="CIF71" s="459"/>
      <c r="CIG71" s="459"/>
      <c r="CIH71" s="459"/>
      <c r="CII71" s="459"/>
      <c r="CIJ71" s="459"/>
      <c r="CIK71" s="459"/>
      <c r="CIL71" s="459"/>
      <c r="CIM71" s="459"/>
      <c r="CIN71" s="459"/>
      <c r="CIO71" s="459"/>
      <c r="CIP71" s="459"/>
      <c r="CIQ71" s="459"/>
      <c r="CIR71" s="459"/>
      <c r="CIS71" s="459"/>
      <c r="CIT71" s="459"/>
      <c r="CIU71" s="459"/>
      <c r="CIV71" s="459"/>
      <c r="CIW71" s="459"/>
      <c r="CIX71" s="459"/>
      <c r="CIY71" s="459"/>
      <c r="CIZ71" s="459"/>
      <c r="CJA71" s="459"/>
      <c r="CJB71" s="459"/>
      <c r="CJC71" s="459"/>
      <c r="CJD71" s="459"/>
      <c r="CJE71" s="459"/>
      <c r="CJF71" s="459"/>
      <c r="CJG71" s="459"/>
      <c r="CJH71" s="459"/>
      <c r="CJI71" s="459"/>
      <c r="CJJ71" s="459"/>
      <c r="CJK71" s="459"/>
      <c r="CJL71" s="459"/>
      <c r="CJM71" s="459"/>
      <c r="CJN71" s="459"/>
      <c r="CJO71" s="459"/>
      <c r="CJP71" s="459"/>
      <c r="CJQ71" s="459"/>
      <c r="CJR71" s="459"/>
      <c r="CJS71" s="459"/>
      <c r="CJT71" s="459"/>
      <c r="CJU71" s="459"/>
      <c r="CJV71" s="459"/>
      <c r="CJW71" s="459"/>
      <c r="CJX71" s="459"/>
      <c r="CJY71" s="459"/>
      <c r="CJZ71" s="459"/>
      <c r="CKA71" s="459"/>
      <c r="CKB71" s="459"/>
      <c r="CKC71" s="459"/>
      <c r="CKD71" s="459"/>
      <c r="CKE71" s="459"/>
      <c r="CKF71" s="459"/>
      <c r="CKG71" s="459"/>
      <c r="CKH71" s="459"/>
      <c r="CKI71" s="459"/>
      <c r="CKJ71" s="459"/>
      <c r="CKK71" s="459"/>
      <c r="CKL71" s="459"/>
      <c r="CKM71" s="459"/>
      <c r="CKN71" s="459"/>
      <c r="CKO71" s="459"/>
      <c r="CKP71" s="459"/>
      <c r="CKQ71" s="459"/>
      <c r="CKR71" s="459"/>
      <c r="CKS71" s="459"/>
      <c r="CKT71" s="459"/>
      <c r="CKU71" s="459"/>
      <c r="CKV71" s="459"/>
      <c r="CKW71" s="459"/>
      <c r="CKX71" s="459"/>
      <c r="CKY71" s="459"/>
      <c r="CKZ71" s="459"/>
      <c r="CLA71" s="459"/>
      <c r="CLB71" s="459"/>
      <c r="CLC71" s="459"/>
      <c r="CLD71" s="459"/>
      <c r="CLE71" s="459"/>
      <c r="CLF71" s="459"/>
      <c r="CLG71" s="459"/>
      <c r="CLH71" s="459"/>
      <c r="CLI71" s="459"/>
      <c r="CLJ71" s="459"/>
      <c r="CLK71" s="459"/>
      <c r="CLL71" s="459"/>
      <c r="CLM71" s="459"/>
      <c r="CLN71" s="459"/>
      <c r="CLO71" s="459"/>
      <c r="CLP71" s="459"/>
      <c r="CLQ71" s="459"/>
      <c r="CLR71" s="459"/>
      <c r="CLS71" s="459"/>
      <c r="CLT71" s="459"/>
      <c r="CLU71" s="459"/>
      <c r="CLV71" s="459"/>
      <c r="CLW71" s="459"/>
      <c r="CLX71" s="459"/>
      <c r="CLY71" s="459"/>
      <c r="CLZ71" s="459"/>
      <c r="CMA71" s="459"/>
      <c r="CMB71" s="459"/>
      <c r="CMC71" s="459"/>
      <c r="CMD71" s="459"/>
      <c r="CME71" s="459"/>
      <c r="CMF71" s="459"/>
      <c r="CMG71" s="459"/>
      <c r="CMH71" s="459"/>
      <c r="CMI71" s="459"/>
      <c r="CMJ71" s="459"/>
      <c r="CMK71" s="459"/>
      <c r="CML71" s="459"/>
      <c r="CMM71" s="459"/>
      <c r="CMN71" s="459"/>
      <c r="CMO71" s="459"/>
      <c r="CMP71" s="459"/>
      <c r="CMQ71" s="459"/>
      <c r="CMR71" s="459"/>
      <c r="CMS71" s="459"/>
      <c r="CMT71" s="459"/>
      <c r="CMU71" s="459"/>
      <c r="CMV71" s="459"/>
      <c r="CMW71" s="459"/>
      <c r="CMX71" s="459"/>
      <c r="CMY71" s="459"/>
      <c r="CMZ71" s="459"/>
      <c r="CNA71" s="459"/>
      <c r="CNB71" s="459"/>
      <c r="CNC71" s="459"/>
      <c r="CND71" s="459"/>
      <c r="CNE71" s="459"/>
      <c r="CNF71" s="459"/>
      <c r="CNG71" s="459"/>
      <c r="CNH71" s="459"/>
      <c r="CNI71" s="459"/>
      <c r="CNJ71" s="459"/>
      <c r="CNK71" s="459"/>
      <c r="CNL71" s="459"/>
      <c r="CNM71" s="459"/>
      <c r="CNN71" s="459"/>
      <c r="CNO71" s="459"/>
      <c r="CNP71" s="459"/>
      <c r="CNQ71" s="459"/>
      <c r="CNR71" s="459"/>
      <c r="CNS71" s="459"/>
      <c r="CNT71" s="459"/>
      <c r="CNU71" s="459"/>
      <c r="CNV71" s="459"/>
      <c r="CNW71" s="459"/>
      <c r="CNX71" s="459"/>
      <c r="CNY71" s="459"/>
      <c r="CNZ71" s="459"/>
      <c r="COA71" s="459"/>
      <c r="COB71" s="459"/>
      <c r="COC71" s="459"/>
      <c r="COD71" s="459"/>
      <c r="COE71" s="459"/>
      <c r="COF71" s="459"/>
      <c r="COG71" s="459"/>
      <c r="COH71" s="459"/>
      <c r="COI71" s="459"/>
      <c r="COJ71" s="459"/>
      <c r="COK71" s="459"/>
      <c r="COL71" s="459"/>
      <c r="COM71" s="459"/>
      <c r="CON71" s="459"/>
      <c r="COO71" s="459"/>
      <c r="COP71" s="459"/>
      <c r="COQ71" s="459"/>
      <c r="COR71" s="459"/>
      <c r="COS71" s="459"/>
      <c r="COT71" s="459"/>
      <c r="COU71" s="459"/>
      <c r="COV71" s="459"/>
      <c r="COW71" s="459"/>
      <c r="COX71" s="459"/>
      <c r="COY71" s="459"/>
      <c r="COZ71" s="459"/>
      <c r="CPA71" s="459"/>
      <c r="CPB71" s="459"/>
      <c r="CPC71" s="459"/>
      <c r="CPD71" s="459"/>
      <c r="CPE71" s="459"/>
      <c r="CPF71" s="459"/>
      <c r="CPG71" s="459"/>
      <c r="CPH71" s="459"/>
      <c r="CPI71" s="459"/>
      <c r="CPJ71" s="459"/>
      <c r="CPK71" s="459"/>
      <c r="CPL71" s="459"/>
      <c r="CPM71" s="459"/>
      <c r="CPN71" s="459"/>
      <c r="CPO71" s="459"/>
      <c r="CPP71" s="459"/>
      <c r="CPQ71" s="459"/>
      <c r="CPR71" s="459"/>
      <c r="CPS71" s="459"/>
      <c r="CPT71" s="459"/>
      <c r="CPU71" s="459"/>
      <c r="CPV71" s="459"/>
      <c r="CPW71" s="459"/>
      <c r="CPX71" s="459"/>
      <c r="CPY71" s="459"/>
      <c r="CPZ71" s="459"/>
      <c r="CQA71" s="459"/>
      <c r="CQB71" s="459"/>
      <c r="CQC71" s="459"/>
      <c r="CQD71" s="459"/>
      <c r="CQE71" s="459"/>
      <c r="CQF71" s="459"/>
      <c r="CQG71" s="459"/>
      <c r="CQH71" s="459"/>
      <c r="CQI71" s="459"/>
      <c r="CQJ71" s="459"/>
      <c r="CQK71" s="459"/>
      <c r="CQL71" s="459"/>
      <c r="CQM71" s="459"/>
      <c r="CQN71" s="459"/>
      <c r="CQO71" s="459"/>
      <c r="CQP71" s="459"/>
      <c r="CQQ71" s="459"/>
      <c r="CQR71" s="459"/>
      <c r="CQS71" s="459"/>
      <c r="CQT71" s="459"/>
      <c r="CQU71" s="459"/>
      <c r="CQV71" s="459"/>
      <c r="CQW71" s="459"/>
      <c r="CQX71" s="459"/>
      <c r="CQY71" s="459"/>
      <c r="CQZ71" s="459"/>
      <c r="CRA71" s="459"/>
      <c r="CRB71" s="459"/>
      <c r="CRC71" s="459"/>
      <c r="CRD71" s="459"/>
      <c r="CRE71" s="459"/>
      <c r="CRF71" s="459"/>
      <c r="CRG71" s="459"/>
      <c r="CRH71" s="459"/>
      <c r="CRI71" s="459"/>
      <c r="CRJ71" s="459"/>
      <c r="CRK71" s="459"/>
      <c r="CRL71" s="459"/>
      <c r="CRM71" s="459"/>
      <c r="CRN71" s="459"/>
      <c r="CRO71" s="459"/>
      <c r="CRP71" s="459"/>
      <c r="CRQ71" s="459"/>
      <c r="CRR71" s="459"/>
      <c r="CRS71" s="459"/>
      <c r="CRT71" s="459"/>
      <c r="CRU71" s="459"/>
      <c r="CRV71" s="459"/>
      <c r="CRW71" s="459"/>
      <c r="CRX71" s="459"/>
      <c r="CRY71" s="459"/>
      <c r="CRZ71" s="459"/>
      <c r="CSA71" s="459"/>
      <c r="CSB71" s="459"/>
      <c r="CSC71" s="459"/>
      <c r="CSD71" s="459"/>
      <c r="CSE71" s="459"/>
      <c r="CSF71" s="459"/>
      <c r="CSG71" s="459"/>
      <c r="CSH71" s="459"/>
      <c r="CSI71" s="459"/>
      <c r="CSJ71" s="459"/>
      <c r="CSK71" s="459"/>
      <c r="CSL71" s="459"/>
      <c r="CSM71" s="459"/>
      <c r="CSN71" s="459"/>
      <c r="CSO71" s="459"/>
      <c r="CSP71" s="459"/>
      <c r="CSQ71" s="459"/>
      <c r="CSR71" s="459"/>
      <c r="CSS71" s="459"/>
      <c r="CST71" s="459"/>
      <c r="CSU71" s="459"/>
      <c r="CSV71" s="459"/>
      <c r="CSW71" s="459"/>
      <c r="CSX71" s="459"/>
      <c r="CSY71" s="459"/>
      <c r="CSZ71" s="459"/>
      <c r="CTA71" s="459"/>
      <c r="CTB71" s="459"/>
      <c r="CTC71" s="459"/>
      <c r="CTD71" s="459"/>
      <c r="CTE71" s="459"/>
      <c r="CTF71" s="459"/>
      <c r="CTG71" s="459"/>
      <c r="CTH71" s="459"/>
      <c r="CTI71" s="459"/>
      <c r="CTJ71" s="459"/>
      <c r="CTK71" s="459"/>
      <c r="CTL71" s="459"/>
      <c r="CTM71" s="459"/>
      <c r="CTN71" s="459"/>
      <c r="CTO71" s="459"/>
      <c r="CTP71" s="459"/>
      <c r="CTQ71" s="459"/>
      <c r="CTR71" s="459"/>
      <c r="CTS71" s="459"/>
      <c r="CTT71" s="459"/>
      <c r="CTU71" s="459"/>
      <c r="CTV71" s="459"/>
      <c r="CTW71" s="459"/>
      <c r="CTX71" s="459"/>
      <c r="CTY71" s="459"/>
      <c r="CTZ71" s="459"/>
      <c r="CUA71" s="459"/>
      <c r="CUB71" s="459"/>
      <c r="CUC71" s="459"/>
      <c r="CUD71" s="459"/>
      <c r="CUE71" s="459"/>
      <c r="CUF71" s="459"/>
      <c r="CUG71" s="459"/>
      <c r="CUH71" s="459"/>
      <c r="CUI71" s="459"/>
      <c r="CUJ71" s="459"/>
      <c r="CUK71" s="459"/>
      <c r="CUL71" s="459"/>
      <c r="CUM71" s="459"/>
      <c r="CUN71" s="459"/>
      <c r="CUO71" s="459"/>
      <c r="CUP71" s="459"/>
      <c r="CUQ71" s="459"/>
      <c r="CUR71" s="459"/>
      <c r="CUS71" s="459"/>
      <c r="CUT71" s="459"/>
      <c r="CUU71" s="459"/>
      <c r="CUV71" s="459"/>
      <c r="CUW71" s="459"/>
      <c r="CUX71" s="459"/>
      <c r="CUY71" s="459"/>
      <c r="CUZ71" s="459"/>
      <c r="CVA71" s="459"/>
      <c r="CVB71" s="459"/>
      <c r="CVC71" s="459"/>
      <c r="CVD71" s="459"/>
      <c r="CVE71" s="459"/>
      <c r="CVF71" s="459"/>
      <c r="CVG71" s="459"/>
      <c r="CVH71" s="459"/>
      <c r="CVI71" s="459"/>
      <c r="CVJ71" s="459"/>
      <c r="CVK71" s="459"/>
      <c r="CVL71" s="459"/>
      <c r="CVM71" s="459"/>
      <c r="CVN71" s="459"/>
      <c r="CVO71" s="459"/>
      <c r="CVP71" s="459"/>
      <c r="CVQ71" s="459"/>
      <c r="CVR71" s="459"/>
      <c r="CVS71" s="459"/>
      <c r="CVT71" s="459"/>
      <c r="CVU71" s="459"/>
      <c r="CVV71" s="459"/>
      <c r="CVW71" s="459"/>
      <c r="CVX71" s="459"/>
      <c r="CVY71" s="459"/>
      <c r="CVZ71" s="459"/>
      <c r="CWA71" s="459"/>
      <c r="CWB71" s="459"/>
      <c r="CWC71" s="459"/>
      <c r="CWD71" s="459"/>
      <c r="CWE71" s="459"/>
      <c r="CWF71" s="459"/>
      <c r="CWG71" s="459"/>
      <c r="CWH71" s="459"/>
      <c r="CWI71" s="459"/>
      <c r="CWJ71" s="459"/>
      <c r="CWK71" s="459"/>
      <c r="CWL71" s="459"/>
      <c r="CWM71" s="459"/>
      <c r="CWN71" s="459"/>
      <c r="CWO71" s="459"/>
      <c r="CWP71" s="459"/>
      <c r="CWQ71" s="459"/>
      <c r="CWR71" s="459"/>
      <c r="CWS71" s="459"/>
      <c r="CWT71" s="459"/>
      <c r="CWU71" s="459"/>
      <c r="CWV71" s="459"/>
      <c r="CWW71" s="459"/>
      <c r="CWX71" s="459"/>
      <c r="CWY71" s="459"/>
      <c r="CWZ71" s="459"/>
      <c r="CXA71" s="459"/>
      <c r="CXB71" s="459"/>
      <c r="CXC71" s="459"/>
      <c r="CXD71" s="459"/>
      <c r="CXE71" s="459"/>
      <c r="CXF71" s="459"/>
      <c r="CXG71" s="459"/>
      <c r="CXH71" s="459"/>
      <c r="CXI71" s="459"/>
      <c r="CXJ71" s="459"/>
      <c r="CXK71" s="459"/>
      <c r="CXL71" s="459"/>
      <c r="CXM71" s="459"/>
      <c r="CXN71" s="459"/>
      <c r="CXO71" s="459"/>
      <c r="CXP71" s="459"/>
      <c r="CXQ71" s="459"/>
      <c r="CXR71" s="459"/>
      <c r="CXS71" s="459"/>
      <c r="CXT71" s="459"/>
      <c r="CXU71" s="459"/>
      <c r="CXV71" s="459"/>
      <c r="CXW71" s="459"/>
      <c r="CXX71" s="459"/>
      <c r="CXY71" s="459"/>
      <c r="CXZ71" s="459"/>
      <c r="CYA71" s="459"/>
      <c r="CYB71" s="459"/>
      <c r="CYC71" s="459"/>
      <c r="CYD71" s="459"/>
      <c r="CYE71" s="459"/>
      <c r="CYF71" s="459"/>
      <c r="CYG71" s="459"/>
      <c r="CYH71" s="459"/>
      <c r="CYI71" s="459"/>
      <c r="CYJ71" s="459"/>
      <c r="CYK71" s="459"/>
      <c r="CYL71" s="459"/>
      <c r="CYM71" s="459"/>
      <c r="CYN71" s="459"/>
      <c r="CYO71" s="459"/>
      <c r="CYP71" s="459"/>
      <c r="CYQ71" s="459"/>
      <c r="CYR71" s="459"/>
      <c r="CYS71" s="459"/>
      <c r="CYT71" s="459"/>
      <c r="CYU71" s="459"/>
      <c r="CYV71" s="459"/>
      <c r="CYW71" s="459"/>
      <c r="CYX71" s="459"/>
      <c r="CYY71" s="459"/>
      <c r="CYZ71" s="459"/>
      <c r="CZA71" s="459"/>
      <c r="CZB71" s="459"/>
      <c r="CZC71" s="459"/>
      <c r="CZD71" s="459"/>
      <c r="CZE71" s="459"/>
      <c r="CZF71" s="459"/>
      <c r="CZG71" s="459"/>
      <c r="CZH71" s="459"/>
      <c r="CZI71" s="459"/>
      <c r="CZJ71" s="459"/>
      <c r="CZK71" s="459"/>
      <c r="CZL71" s="459"/>
      <c r="CZM71" s="459"/>
      <c r="CZN71" s="459"/>
      <c r="CZO71" s="459"/>
      <c r="CZP71" s="459"/>
      <c r="CZQ71" s="459"/>
      <c r="CZR71" s="459"/>
      <c r="CZS71" s="459"/>
      <c r="CZT71" s="459"/>
      <c r="CZU71" s="459"/>
      <c r="CZV71" s="459"/>
      <c r="CZW71" s="459"/>
      <c r="CZX71" s="459"/>
      <c r="CZY71" s="459"/>
      <c r="CZZ71" s="459"/>
      <c r="DAA71" s="459"/>
      <c r="DAB71" s="459"/>
      <c r="DAC71" s="459"/>
      <c r="DAD71" s="459"/>
      <c r="DAE71" s="459"/>
      <c r="DAF71" s="459"/>
      <c r="DAG71" s="459"/>
      <c r="DAH71" s="459"/>
      <c r="DAI71" s="459"/>
      <c r="DAJ71" s="459"/>
      <c r="DAK71" s="459"/>
      <c r="DAL71" s="459"/>
      <c r="DAM71" s="459"/>
      <c r="DAN71" s="459"/>
      <c r="DAO71" s="459"/>
      <c r="DAP71" s="459"/>
      <c r="DAQ71" s="459"/>
      <c r="DAR71" s="459"/>
      <c r="DAS71" s="459"/>
      <c r="DAT71" s="459"/>
      <c r="DAU71" s="459"/>
      <c r="DAV71" s="459"/>
      <c r="DAW71" s="459"/>
      <c r="DAX71" s="459"/>
      <c r="DAY71" s="459"/>
      <c r="DAZ71" s="459"/>
      <c r="DBA71" s="459"/>
      <c r="DBB71" s="459"/>
      <c r="DBC71" s="459"/>
      <c r="DBD71" s="459"/>
      <c r="DBE71" s="459"/>
      <c r="DBF71" s="459"/>
      <c r="DBG71" s="459"/>
      <c r="DBH71" s="459"/>
      <c r="DBI71" s="459"/>
      <c r="DBJ71" s="459"/>
      <c r="DBK71" s="459"/>
      <c r="DBL71" s="459"/>
      <c r="DBM71" s="459"/>
      <c r="DBN71" s="459"/>
      <c r="DBO71" s="459"/>
      <c r="DBP71" s="459"/>
      <c r="DBQ71" s="459"/>
      <c r="DBR71" s="459"/>
      <c r="DBS71" s="459"/>
      <c r="DBT71" s="459"/>
      <c r="DBU71" s="459"/>
      <c r="DBV71" s="459"/>
      <c r="DBW71" s="459"/>
      <c r="DBX71" s="459"/>
      <c r="DBY71" s="459"/>
      <c r="DBZ71" s="459"/>
      <c r="DCA71" s="459"/>
      <c r="DCB71" s="459"/>
      <c r="DCC71" s="459"/>
      <c r="DCD71" s="459"/>
      <c r="DCE71" s="459"/>
      <c r="DCF71" s="459"/>
      <c r="DCG71" s="459"/>
      <c r="DCH71" s="459"/>
      <c r="DCI71" s="459"/>
      <c r="DCJ71" s="459"/>
      <c r="DCK71" s="459"/>
      <c r="DCL71" s="459"/>
      <c r="DCM71" s="459"/>
      <c r="DCN71" s="459"/>
      <c r="DCO71" s="459"/>
      <c r="DCP71" s="459"/>
      <c r="DCQ71" s="459"/>
      <c r="DCR71" s="459"/>
      <c r="DCS71" s="459"/>
      <c r="DCT71" s="459"/>
      <c r="DCU71" s="459"/>
      <c r="DCV71" s="459"/>
      <c r="DCW71" s="459"/>
      <c r="DCX71" s="459"/>
      <c r="DCY71" s="459"/>
      <c r="DCZ71" s="459"/>
      <c r="DDA71" s="459"/>
      <c r="DDB71" s="459"/>
      <c r="DDC71" s="459"/>
      <c r="DDD71" s="459"/>
      <c r="DDE71" s="459"/>
      <c r="DDF71" s="459"/>
      <c r="DDG71" s="459"/>
      <c r="DDH71" s="459"/>
      <c r="DDI71" s="459"/>
      <c r="DDJ71" s="459"/>
      <c r="DDK71" s="459"/>
      <c r="DDL71" s="459"/>
      <c r="DDM71" s="459"/>
      <c r="DDN71" s="459"/>
      <c r="DDO71" s="459"/>
      <c r="DDP71" s="459"/>
      <c r="DDQ71" s="459"/>
      <c r="DDR71" s="459"/>
      <c r="DDS71" s="459"/>
      <c r="DDT71" s="459"/>
      <c r="DDU71" s="459"/>
      <c r="DDV71" s="459"/>
      <c r="DDW71" s="459"/>
      <c r="DDX71" s="459"/>
      <c r="DDY71" s="459"/>
      <c r="DDZ71" s="459"/>
      <c r="DEA71" s="459"/>
      <c r="DEB71" s="459"/>
      <c r="DEC71" s="459"/>
      <c r="DED71" s="459"/>
      <c r="DEE71" s="459"/>
      <c r="DEF71" s="459"/>
      <c r="DEG71" s="459"/>
      <c r="DEH71" s="459"/>
      <c r="DEI71" s="459"/>
      <c r="DEJ71" s="459"/>
      <c r="DEK71" s="459"/>
      <c r="DEL71" s="459"/>
      <c r="DEM71" s="459"/>
      <c r="DEN71" s="459"/>
      <c r="DEO71" s="459"/>
      <c r="DEP71" s="459"/>
      <c r="DEQ71" s="459"/>
      <c r="DER71" s="459"/>
      <c r="DES71" s="459"/>
      <c r="DET71" s="459"/>
      <c r="DEU71" s="459"/>
      <c r="DEV71" s="459"/>
      <c r="DEW71" s="459"/>
      <c r="DEX71" s="459"/>
      <c r="DEY71" s="459"/>
      <c r="DEZ71" s="459"/>
      <c r="DFA71" s="459"/>
      <c r="DFB71" s="459"/>
      <c r="DFC71" s="459"/>
      <c r="DFD71" s="459"/>
      <c r="DFE71" s="459"/>
      <c r="DFF71" s="459"/>
      <c r="DFG71" s="459"/>
      <c r="DFH71" s="459"/>
      <c r="DFI71" s="459"/>
      <c r="DFJ71" s="459"/>
      <c r="DFK71" s="459"/>
      <c r="DFL71" s="459"/>
      <c r="DFM71" s="459"/>
      <c r="DFN71" s="459"/>
      <c r="DFO71" s="459"/>
      <c r="DFP71" s="459"/>
      <c r="DFQ71" s="459"/>
      <c r="DFR71" s="459"/>
      <c r="DFS71" s="459"/>
      <c r="DFT71" s="459"/>
      <c r="DFU71" s="459"/>
      <c r="DFV71" s="459"/>
      <c r="DFW71" s="459"/>
      <c r="DFX71" s="459"/>
      <c r="DFY71" s="459"/>
      <c r="DFZ71" s="459"/>
      <c r="DGA71" s="459"/>
      <c r="DGB71" s="459"/>
      <c r="DGC71" s="459"/>
      <c r="DGD71" s="459"/>
      <c r="DGE71" s="459"/>
      <c r="DGF71" s="459"/>
      <c r="DGG71" s="459"/>
      <c r="DGH71" s="459"/>
      <c r="DGI71" s="459"/>
      <c r="DGJ71" s="459"/>
      <c r="DGK71" s="459"/>
      <c r="DGL71" s="459"/>
      <c r="DGM71" s="459"/>
      <c r="DGN71" s="459"/>
      <c r="DGO71" s="459"/>
      <c r="DGP71" s="459"/>
      <c r="DGQ71" s="459"/>
      <c r="DGR71" s="459"/>
      <c r="DGS71" s="459"/>
      <c r="DGT71" s="459"/>
      <c r="DGU71" s="459"/>
      <c r="DGV71" s="459"/>
      <c r="DGW71" s="459"/>
      <c r="DGX71" s="459"/>
      <c r="DGY71" s="459"/>
      <c r="DGZ71" s="459"/>
      <c r="DHA71" s="459"/>
      <c r="DHB71" s="459"/>
      <c r="DHC71" s="459"/>
      <c r="DHD71" s="459"/>
      <c r="DHE71" s="459"/>
      <c r="DHF71" s="459"/>
      <c r="DHG71" s="459"/>
      <c r="DHH71" s="459"/>
      <c r="DHI71" s="459"/>
      <c r="DHJ71" s="459"/>
      <c r="DHK71" s="459"/>
      <c r="DHL71" s="459"/>
      <c r="DHM71" s="459"/>
      <c r="DHN71" s="459"/>
      <c r="DHO71" s="459"/>
      <c r="DHP71" s="459"/>
      <c r="DHQ71" s="459"/>
      <c r="DHR71" s="459"/>
      <c r="DHS71" s="459"/>
      <c r="DHT71" s="459"/>
      <c r="DHU71" s="459"/>
      <c r="DHV71" s="459"/>
      <c r="DHW71" s="459"/>
      <c r="DHX71" s="459"/>
      <c r="DHY71" s="459"/>
      <c r="DHZ71" s="459"/>
      <c r="DIA71" s="459"/>
      <c r="DIB71" s="459"/>
      <c r="DIC71" s="459"/>
      <c r="DID71" s="459"/>
      <c r="DIE71" s="459"/>
      <c r="DIF71" s="459"/>
      <c r="DIG71" s="459"/>
      <c r="DIH71" s="459"/>
      <c r="DII71" s="459"/>
      <c r="DIJ71" s="459"/>
      <c r="DIK71" s="459"/>
      <c r="DIL71" s="459"/>
      <c r="DIM71" s="459"/>
      <c r="DIN71" s="459"/>
      <c r="DIO71" s="459"/>
      <c r="DIP71" s="459"/>
      <c r="DIQ71" s="459"/>
      <c r="DIR71" s="459"/>
      <c r="DIS71" s="459"/>
      <c r="DIT71" s="459"/>
      <c r="DIU71" s="459"/>
      <c r="DIV71" s="459"/>
      <c r="DIW71" s="459"/>
      <c r="DIX71" s="459"/>
      <c r="DIY71" s="459"/>
      <c r="DIZ71" s="459"/>
      <c r="DJA71" s="459"/>
      <c r="DJB71" s="459"/>
      <c r="DJC71" s="459"/>
      <c r="DJD71" s="459"/>
      <c r="DJE71" s="459"/>
      <c r="DJF71" s="459"/>
      <c r="DJG71" s="459"/>
      <c r="DJH71" s="459"/>
      <c r="DJI71" s="459"/>
      <c r="DJJ71" s="459"/>
      <c r="DJK71" s="459"/>
      <c r="DJL71" s="459"/>
      <c r="DJM71" s="459"/>
      <c r="DJN71" s="459"/>
      <c r="DJO71" s="459"/>
      <c r="DJP71" s="459"/>
      <c r="DJQ71" s="459"/>
      <c r="DJR71" s="459"/>
      <c r="DJS71" s="459"/>
      <c r="DJT71" s="459"/>
      <c r="DJU71" s="459"/>
      <c r="DJV71" s="459"/>
      <c r="DJW71" s="459"/>
      <c r="DJX71" s="459"/>
      <c r="DJY71" s="459"/>
      <c r="DJZ71" s="459"/>
      <c r="DKA71" s="459"/>
      <c r="DKB71" s="459"/>
      <c r="DKC71" s="459"/>
      <c r="DKD71" s="459"/>
      <c r="DKE71" s="459"/>
      <c r="DKF71" s="459"/>
      <c r="DKG71" s="459"/>
      <c r="DKH71" s="459"/>
      <c r="DKI71" s="459"/>
      <c r="DKJ71" s="459"/>
      <c r="DKK71" s="459"/>
      <c r="DKL71" s="459"/>
      <c r="DKM71" s="459"/>
      <c r="DKN71" s="459"/>
      <c r="DKO71" s="459"/>
      <c r="DKP71" s="459"/>
      <c r="DKQ71" s="459"/>
      <c r="DKR71" s="459"/>
      <c r="DKS71" s="459"/>
      <c r="DKT71" s="459"/>
      <c r="DKU71" s="459"/>
      <c r="DKV71" s="459"/>
      <c r="DKW71" s="459"/>
      <c r="DKX71" s="459"/>
      <c r="DKY71" s="459"/>
      <c r="DKZ71" s="459"/>
      <c r="DLA71" s="459"/>
      <c r="DLB71" s="459"/>
      <c r="DLC71" s="459"/>
      <c r="DLD71" s="459"/>
      <c r="DLE71" s="459"/>
      <c r="DLF71" s="459"/>
      <c r="DLG71" s="459"/>
      <c r="DLH71" s="459"/>
      <c r="DLI71" s="459"/>
      <c r="DLJ71" s="459"/>
      <c r="DLK71" s="459"/>
      <c r="DLL71" s="459"/>
      <c r="DLM71" s="459"/>
      <c r="DLN71" s="459"/>
      <c r="DLO71" s="459"/>
      <c r="DLP71" s="459"/>
      <c r="DLQ71" s="459"/>
      <c r="DLR71" s="459"/>
      <c r="DLS71" s="459"/>
      <c r="DLT71" s="459"/>
      <c r="DLU71" s="459"/>
      <c r="DLV71" s="459"/>
      <c r="DLW71" s="459"/>
      <c r="DLX71" s="459"/>
      <c r="DLY71" s="459"/>
      <c r="DLZ71" s="459"/>
      <c r="DMA71" s="459"/>
      <c r="DMB71" s="459"/>
      <c r="DMC71" s="459"/>
      <c r="DMD71" s="459"/>
      <c r="DME71" s="459"/>
      <c r="DMF71" s="459"/>
      <c r="DMG71" s="459"/>
      <c r="DMH71" s="459"/>
      <c r="DMI71" s="459"/>
      <c r="DMJ71" s="459"/>
      <c r="DMK71" s="459"/>
      <c r="DML71" s="459"/>
      <c r="DMM71" s="459"/>
      <c r="DMN71" s="459"/>
      <c r="DMO71" s="459"/>
      <c r="DMP71" s="459"/>
      <c r="DMQ71" s="459"/>
      <c r="DMR71" s="459"/>
      <c r="DMS71" s="459"/>
      <c r="DMT71" s="459"/>
      <c r="DMU71" s="459"/>
      <c r="DMV71" s="459"/>
      <c r="DMW71" s="459"/>
      <c r="DMX71" s="459"/>
      <c r="DMY71" s="459"/>
      <c r="DMZ71" s="459"/>
      <c r="DNA71" s="459"/>
      <c r="DNB71" s="459"/>
      <c r="DNC71" s="459"/>
      <c r="DND71" s="459"/>
      <c r="DNE71" s="459"/>
      <c r="DNF71" s="459"/>
      <c r="DNG71" s="459"/>
      <c r="DNH71" s="459"/>
      <c r="DNI71" s="459"/>
      <c r="DNJ71" s="459"/>
      <c r="DNK71" s="459"/>
      <c r="DNL71" s="459"/>
      <c r="DNM71" s="459"/>
      <c r="DNN71" s="459"/>
      <c r="DNO71" s="459"/>
      <c r="DNP71" s="459"/>
      <c r="DNQ71" s="459"/>
      <c r="DNR71" s="459"/>
      <c r="DNS71" s="459"/>
      <c r="DNT71" s="459"/>
      <c r="DNU71" s="459"/>
      <c r="DNV71" s="459"/>
      <c r="DNW71" s="459"/>
      <c r="DNX71" s="459"/>
      <c r="DNY71" s="459"/>
      <c r="DNZ71" s="459"/>
      <c r="DOA71" s="459"/>
      <c r="DOB71" s="459"/>
      <c r="DOC71" s="459"/>
      <c r="DOD71" s="459"/>
      <c r="DOE71" s="459"/>
      <c r="DOF71" s="459"/>
      <c r="DOG71" s="459"/>
      <c r="DOH71" s="459"/>
      <c r="DOI71" s="459"/>
      <c r="DOJ71" s="459"/>
      <c r="DOK71" s="459"/>
      <c r="DOL71" s="459"/>
      <c r="DOM71" s="459"/>
      <c r="DON71" s="459"/>
      <c r="DOO71" s="459"/>
      <c r="DOP71" s="459"/>
      <c r="DOQ71" s="459"/>
      <c r="DOR71" s="459"/>
      <c r="DOS71" s="459"/>
      <c r="DOT71" s="459"/>
      <c r="DOU71" s="459"/>
      <c r="DOV71" s="459"/>
      <c r="DOW71" s="459"/>
      <c r="DOX71" s="459"/>
      <c r="DOY71" s="459"/>
      <c r="DOZ71" s="459"/>
      <c r="DPA71" s="459"/>
      <c r="DPB71" s="459"/>
      <c r="DPC71" s="459"/>
      <c r="DPD71" s="459"/>
      <c r="DPE71" s="459"/>
      <c r="DPF71" s="459"/>
      <c r="DPG71" s="459"/>
      <c r="DPH71" s="459"/>
      <c r="DPI71" s="459"/>
      <c r="DPJ71" s="459"/>
      <c r="DPK71" s="459"/>
      <c r="DPL71" s="459"/>
      <c r="DPM71" s="459"/>
      <c r="DPN71" s="459"/>
      <c r="DPO71" s="459"/>
      <c r="DPP71" s="459"/>
      <c r="DPQ71" s="459"/>
      <c r="DPR71" s="459"/>
      <c r="DPS71" s="459"/>
      <c r="DPT71" s="459"/>
      <c r="DPU71" s="459"/>
      <c r="DPV71" s="459"/>
      <c r="DPW71" s="459"/>
      <c r="DPX71" s="459"/>
      <c r="DPY71" s="459"/>
      <c r="DPZ71" s="459"/>
      <c r="DQA71" s="459"/>
      <c r="DQB71" s="459"/>
      <c r="DQC71" s="459"/>
      <c r="DQD71" s="459"/>
      <c r="DQE71" s="459"/>
      <c r="DQF71" s="459"/>
      <c r="DQG71" s="459"/>
      <c r="DQH71" s="459"/>
      <c r="DQI71" s="459"/>
      <c r="DQJ71" s="459"/>
      <c r="DQK71" s="459"/>
      <c r="DQL71" s="459"/>
      <c r="DQM71" s="459"/>
      <c r="DQN71" s="459"/>
      <c r="DQO71" s="459"/>
      <c r="DQP71" s="459"/>
      <c r="DQQ71" s="459"/>
      <c r="DQR71" s="459"/>
      <c r="DQS71" s="459"/>
      <c r="DQT71" s="459"/>
      <c r="DQU71" s="459"/>
      <c r="DQV71" s="459"/>
      <c r="DQW71" s="459"/>
      <c r="DQX71" s="459"/>
      <c r="DQY71" s="459"/>
      <c r="DQZ71" s="459"/>
      <c r="DRA71" s="459"/>
      <c r="DRB71" s="459"/>
      <c r="DRC71" s="459"/>
      <c r="DRD71" s="459"/>
      <c r="DRE71" s="459"/>
      <c r="DRF71" s="459"/>
      <c r="DRG71" s="459"/>
      <c r="DRH71" s="459"/>
      <c r="DRI71" s="459"/>
      <c r="DRJ71" s="459"/>
      <c r="DRK71" s="459"/>
      <c r="DRL71" s="459"/>
      <c r="DRM71" s="459"/>
      <c r="DRN71" s="459"/>
      <c r="DRO71" s="459"/>
      <c r="DRP71" s="459"/>
      <c r="DRQ71" s="459"/>
      <c r="DRR71" s="459"/>
      <c r="DRS71" s="459"/>
      <c r="DRT71" s="459"/>
      <c r="DRU71" s="459"/>
      <c r="DRV71" s="459"/>
      <c r="DRW71" s="459"/>
      <c r="DRX71" s="459"/>
      <c r="DRY71" s="459"/>
      <c r="DRZ71" s="459"/>
      <c r="DSA71" s="459"/>
      <c r="DSB71" s="459"/>
      <c r="DSC71" s="459"/>
      <c r="DSD71" s="459"/>
      <c r="DSE71" s="459"/>
      <c r="DSF71" s="459"/>
      <c r="DSG71" s="459"/>
      <c r="DSH71" s="459"/>
      <c r="DSI71" s="459"/>
      <c r="DSJ71" s="459"/>
      <c r="DSK71" s="459"/>
      <c r="DSL71" s="459"/>
      <c r="DSM71" s="459"/>
      <c r="DSN71" s="459"/>
      <c r="DSO71" s="459"/>
      <c r="DSP71" s="459"/>
      <c r="DSQ71" s="459"/>
      <c r="DSR71" s="459"/>
      <c r="DSS71" s="459"/>
      <c r="DST71" s="459"/>
      <c r="DSU71" s="459"/>
      <c r="DSV71" s="459"/>
      <c r="DSW71" s="459"/>
      <c r="DSX71" s="459"/>
      <c r="DSY71" s="459"/>
      <c r="DSZ71" s="459"/>
      <c r="DTA71" s="459"/>
      <c r="DTB71" s="459"/>
      <c r="DTC71" s="459"/>
      <c r="DTD71" s="459"/>
      <c r="DTE71" s="459"/>
      <c r="DTF71" s="459"/>
      <c r="DTG71" s="459"/>
      <c r="DTH71" s="459"/>
      <c r="DTI71" s="459"/>
      <c r="DTJ71" s="459"/>
      <c r="DTK71" s="459"/>
      <c r="DTL71" s="459"/>
      <c r="DTM71" s="459"/>
      <c r="DTN71" s="459"/>
      <c r="DTO71" s="459"/>
      <c r="DTP71" s="459"/>
      <c r="DTQ71" s="459"/>
      <c r="DTR71" s="459"/>
      <c r="DTS71" s="459"/>
      <c r="DTT71" s="459"/>
      <c r="DTU71" s="459"/>
      <c r="DTV71" s="459"/>
      <c r="DTW71" s="459"/>
      <c r="DTX71" s="459"/>
      <c r="DTY71" s="459"/>
      <c r="DTZ71" s="459"/>
      <c r="DUA71" s="459"/>
      <c r="DUB71" s="459"/>
      <c r="DUC71" s="459"/>
      <c r="DUD71" s="459"/>
      <c r="DUE71" s="459"/>
      <c r="DUF71" s="459"/>
      <c r="DUG71" s="459"/>
      <c r="DUH71" s="459"/>
      <c r="DUI71" s="459"/>
      <c r="DUJ71" s="459"/>
      <c r="DUK71" s="459"/>
      <c r="DUL71" s="459"/>
      <c r="DUM71" s="459"/>
      <c r="DUN71" s="459"/>
      <c r="DUO71" s="459"/>
      <c r="DUP71" s="459"/>
      <c r="DUQ71" s="459"/>
      <c r="DUR71" s="459"/>
      <c r="DUS71" s="459"/>
      <c r="DUT71" s="459"/>
      <c r="DUU71" s="459"/>
      <c r="DUV71" s="459"/>
      <c r="DUW71" s="459"/>
      <c r="DUX71" s="459"/>
      <c r="DUY71" s="459"/>
      <c r="DUZ71" s="459"/>
      <c r="DVA71" s="459"/>
      <c r="DVB71" s="459"/>
      <c r="DVC71" s="459"/>
      <c r="DVD71" s="459"/>
      <c r="DVE71" s="459"/>
      <c r="DVF71" s="459"/>
      <c r="DVG71" s="459"/>
      <c r="DVH71" s="459"/>
      <c r="DVI71" s="459"/>
      <c r="DVJ71" s="459"/>
      <c r="DVK71" s="459"/>
      <c r="DVL71" s="459"/>
      <c r="DVM71" s="459"/>
      <c r="DVN71" s="459"/>
      <c r="DVO71" s="459"/>
      <c r="DVP71" s="459"/>
      <c r="DVQ71" s="459"/>
      <c r="DVR71" s="459"/>
      <c r="DVS71" s="459"/>
      <c r="DVT71" s="459"/>
      <c r="DVU71" s="459"/>
      <c r="DVV71" s="459"/>
      <c r="DVW71" s="459"/>
      <c r="DVX71" s="459"/>
      <c r="DVY71" s="459"/>
      <c r="DVZ71" s="459"/>
      <c r="DWA71" s="459"/>
      <c r="DWB71" s="459"/>
      <c r="DWC71" s="459"/>
      <c r="DWD71" s="459"/>
      <c r="DWE71" s="459"/>
      <c r="DWF71" s="459"/>
      <c r="DWG71" s="459"/>
      <c r="DWH71" s="459"/>
      <c r="DWI71" s="459"/>
      <c r="DWJ71" s="459"/>
      <c r="DWK71" s="459"/>
      <c r="DWL71" s="459"/>
      <c r="DWM71" s="459"/>
      <c r="DWN71" s="459"/>
      <c r="DWO71" s="459"/>
      <c r="DWP71" s="459"/>
      <c r="DWQ71" s="459"/>
      <c r="DWR71" s="459"/>
      <c r="DWS71" s="459"/>
      <c r="DWT71" s="459"/>
      <c r="DWU71" s="459"/>
      <c r="DWV71" s="459"/>
      <c r="DWW71" s="459"/>
      <c r="DWX71" s="459"/>
      <c r="DWY71" s="459"/>
      <c r="DWZ71" s="459"/>
      <c r="DXA71" s="459"/>
      <c r="DXB71" s="459"/>
      <c r="DXC71" s="459"/>
      <c r="DXD71" s="459"/>
      <c r="DXE71" s="459"/>
      <c r="DXF71" s="459"/>
      <c r="DXG71" s="459"/>
      <c r="DXH71" s="459"/>
      <c r="DXI71" s="459"/>
      <c r="DXJ71" s="459"/>
      <c r="DXK71" s="459"/>
      <c r="DXL71" s="459"/>
      <c r="DXM71" s="459"/>
      <c r="DXN71" s="459"/>
      <c r="DXO71" s="459"/>
      <c r="DXP71" s="459"/>
      <c r="DXQ71" s="459"/>
      <c r="DXR71" s="459"/>
      <c r="DXS71" s="459"/>
      <c r="DXT71" s="459"/>
      <c r="DXU71" s="459"/>
      <c r="DXV71" s="459"/>
      <c r="DXW71" s="459"/>
      <c r="DXX71" s="459"/>
      <c r="DXY71" s="459"/>
      <c r="DXZ71" s="459"/>
      <c r="DYA71" s="459"/>
      <c r="DYB71" s="459"/>
      <c r="DYC71" s="459"/>
      <c r="DYD71" s="459"/>
      <c r="DYE71" s="459"/>
      <c r="DYF71" s="459"/>
      <c r="DYG71" s="459"/>
      <c r="DYH71" s="459"/>
      <c r="DYI71" s="459"/>
      <c r="DYJ71" s="459"/>
      <c r="DYK71" s="459"/>
      <c r="DYL71" s="459"/>
      <c r="DYM71" s="459"/>
      <c r="DYN71" s="459"/>
      <c r="DYO71" s="459"/>
      <c r="DYP71" s="459"/>
      <c r="DYQ71" s="459"/>
      <c r="DYR71" s="459"/>
      <c r="DYS71" s="459"/>
      <c r="DYT71" s="459"/>
      <c r="DYU71" s="459"/>
      <c r="DYV71" s="459"/>
      <c r="DYW71" s="459"/>
      <c r="DYX71" s="459"/>
      <c r="DYY71" s="459"/>
      <c r="DYZ71" s="459"/>
      <c r="DZA71" s="459"/>
      <c r="DZB71" s="459"/>
      <c r="DZC71" s="459"/>
      <c r="DZD71" s="459"/>
      <c r="DZE71" s="459"/>
      <c r="DZF71" s="459"/>
      <c r="DZG71" s="459"/>
      <c r="DZH71" s="459"/>
      <c r="DZI71" s="459"/>
      <c r="DZJ71" s="459"/>
      <c r="DZK71" s="459"/>
      <c r="DZL71" s="459"/>
      <c r="DZM71" s="459"/>
      <c r="DZN71" s="459"/>
      <c r="DZO71" s="459"/>
      <c r="DZP71" s="459"/>
      <c r="DZQ71" s="459"/>
      <c r="DZR71" s="459"/>
      <c r="DZS71" s="459"/>
      <c r="DZT71" s="459"/>
      <c r="DZU71" s="459"/>
      <c r="DZV71" s="459"/>
      <c r="DZW71" s="459"/>
      <c r="DZX71" s="459"/>
      <c r="DZY71" s="459"/>
      <c r="DZZ71" s="459"/>
      <c r="EAA71" s="459"/>
      <c r="EAB71" s="459"/>
      <c r="EAC71" s="459"/>
      <c r="EAD71" s="459"/>
      <c r="EAE71" s="459"/>
      <c r="EAF71" s="459"/>
      <c r="EAG71" s="459"/>
      <c r="EAH71" s="459"/>
      <c r="EAI71" s="459"/>
      <c r="EAJ71" s="459"/>
      <c r="EAK71" s="459"/>
      <c r="EAL71" s="459"/>
      <c r="EAM71" s="459"/>
      <c r="EAN71" s="459"/>
      <c r="EAO71" s="459"/>
      <c r="EAP71" s="459"/>
      <c r="EAQ71" s="459"/>
      <c r="EAR71" s="459"/>
      <c r="EAS71" s="459"/>
      <c r="EAT71" s="459"/>
      <c r="EAU71" s="459"/>
      <c r="EAV71" s="459"/>
      <c r="EAW71" s="459"/>
      <c r="EAX71" s="459"/>
      <c r="EAY71" s="459"/>
      <c r="EAZ71" s="459"/>
      <c r="EBA71" s="459"/>
      <c r="EBB71" s="459"/>
      <c r="EBC71" s="459"/>
      <c r="EBD71" s="459"/>
      <c r="EBE71" s="459"/>
      <c r="EBF71" s="459"/>
      <c r="EBG71" s="459"/>
      <c r="EBH71" s="459"/>
      <c r="EBI71" s="459"/>
      <c r="EBJ71" s="459"/>
      <c r="EBK71" s="459"/>
      <c r="EBL71" s="459"/>
      <c r="EBM71" s="459"/>
      <c r="EBN71" s="459"/>
      <c r="EBO71" s="459"/>
      <c r="EBP71" s="459"/>
      <c r="EBQ71" s="459"/>
      <c r="EBR71" s="459"/>
      <c r="EBS71" s="459"/>
      <c r="EBT71" s="459"/>
      <c r="EBU71" s="459"/>
      <c r="EBV71" s="459"/>
      <c r="EBW71" s="459"/>
      <c r="EBX71" s="459"/>
      <c r="EBY71" s="459"/>
      <c r="EBZ71" s="459"/>
      <c r="ECA71" s="459"/>
      <c r="ECB71" s="459"/>
      <c r="ECC71" s="459"/>
      <c r="ECD71" s="459"/>
      <c r="ECE71" s="459"/>
      <c r="ECF71" s="459"/>
      <c r="ECG71" s="459"/>
      <c r="ECH71" s="459"/>
      <c r="ECI71" s="459"/>
      <c r="ECJ71" s="459"/>
      <c r="ECK71" s="459"/>
      <c r="ECL71" s="459"/>
      <c r="ECM71" s="459"/>
      <c r="ECN71" s="459"/>
      <c r="ECO71" s="459"/>
      <c r="ECP71" s="459"/>
      <c r="ECQ71" s="459"/>
      <c r="ECR71" s="459"/>
      <c r="ECS71" s="459"/>
      <c r="ECT71" s="459"/>
      <c r="ECU71" s="459"/>
      <c r="ECV71" s="459"/>
      <c r="ECW71" s="459"/>
      <c r="ECX71" s="459"/>
      <c r="ECY71" s="459"/>
      <c r="ECZ71" s="459"/>
      <c r="EDA71" s="459"/>
      <c r="EDB71" s="459"/>
      <c r="EDC71" s="459"/>
      <c r="EDD71" s="459"/>
      <c r="EDE71" s="459"/>
      <c r="EDF71" s="459"/>
      <c r="EDG71" s="459"/>
      <c r="EDH71" s="459"/>
      <c r="EDI71" s="459"/>
      <c r="EDJ71" s="459"/>
      <c r="EDK71" s="459"/>
      <c r="EDL71" s="459"/>
      <c r="EDM71" s="459"/>
      <c r="EDN71" s="459"/>
      <c r="EDO71" s="459"/>
      <c r="EDP71" s="459"/>
      <c r="EDQ71" s="459"/>
      <c r="EDR71" s="459"/>
      <c r="EDS71" s="459"/>
      <c r="EDT71" s="459"/>
      <c r="EDU71" s="459"/>
      <c r="EDV71" s="459"/>
      <c r="EDW71" s="459"/>
      <c r="EDX71" s="459"/>
      <c r="EDY71" s="459"/>
      <c r="EDZ71" s="459"/>
      <c r="EEA71" s="459"/>
      <c r="EEB71" s="459"/>
      <c r="EEC71" s="459"/>
      <c r="EED71" s="459"/>
      <c r="EEE71" s="459"/>
      <c r="EEF71" s="459"/>
      <c r="EEG71" s="459"/>
      <c r="EEH71" s="459"/>
      <c r="EEI71" s="459"/>
      <c r="EEJ71" s="459"/>
      <c r="EEK71" s="459"/>
      <c r="EEL71" s="459"/>
      <c r="EEM71" s="459"/>
      <c r="EEN71" s="459"/>
      <c r="EEO71" s="459"/>
      <c r="EEP71" s="459"/>
      <c r="EEQ71" s="459"/>
      <c r="EER71" s="459"/>
      <c r="EES71" s="459"/>
      <c r="EET71" s="459"/>
      <c r="EEU71" s="459"/>
      <c r="EEV71" s="459"/>
      <c r="EEW71" s="459"/>
      <c r="EEX71" s="459"/>
      <c r="EEY71" s="459"/>
      <c r="EEZ71" s="459"/>
      <c r="EFA71" s="459"/>
      <c r="EFB71" s="459"/>
      <c r="EFC71" s="459"/>
      <c r="EFD71" s="459"/>
      <c r="EFE71" s="459"/>
      <c r="EFF71" s="459"/>
      <c r="EFG71" s="459"/>
      <c r="EFH71" s="459"/>
      <c r="EFI71" s="459"/>
      <c r="EFJ71" s="459"/>
      <c r="EFK71" s="459"/>
      <c r="EFL71" s="459"/>
      <c r="EFM71" s="459"/>
      <c r="EFN71" s="459"/>
      <c r="EFO71" s="459"/>
      <c r="EFP71" s="459"/>
      <c r="EFQ71" s="459"/>
      <c r="EFR71" s="459"/>
      <c r="EFS71" s="459"/>
      <c r="EFT71" s="459"/>
      <c r="EFU71" s="459"/>
      <c r="EFV71" s="459"/>
      <c r="EFW71" s="459"/>
      <c r="EFX71" s="459"/>
      <c r="EFY71" s="459"/>
      <c r="EFZ71" s="459"/>
      <c r="EGA71" s="459"/>
      <c r="EGB71" s="459"/>
      <c r="EGC71" s="459"/>
      <c r="EGD71" s="459"/>
      <c r="EGE71" s="459"/>
      <c r="EGF71" s="459"/>
      <c r="EGG71" s="459"/>
      <c r="EGH71" s="459"/>
      <c r="EGI71" s="459"/>
      <c r="EGJ71" s="459"/>
      <c r="EGK71" s="459"/>
      <c r="EGL71" s="459"/>
      <c r="EGM71" s="459"/>
      <c r="EGN71" s="459"/>
      <c r="EGO71" s="459"/>
      <c r="EGP71" s="459"/>
      <c r="EGQ71" s="459"/>
      <c r="EGR71" s="459"/>
      <c r="EGS71" s="459"/>
      <c r="EGT71" s="459"/>
      <c r="EGU71" s="459"/>
      <c r="EGV71" s="459"/>
      <c r="EGW71" s="459"/>
      <c r="EGX71" s="459"/>
      <c r="EGY71" s="459"/>
      <c r="EGZ71" s="459"/>
      <c r="EHA71" s="459"/>
      <c r="EHB71" s="459"/>
      <c r="EHC71" s="459"/>
      <c r="EHD71" s="459"/>
      <c r="EHE71" s="459"/>
      <c r="EHF71" s="459"/>
      <c r="EHG71" s="459"/>
      <c r="EHH71" s="459"/>
      <c r="EHI71" s="459"/>
      <c r="EHJ71" s="459"/>
      <c r="EHK71" s="459"/>
      <c r="EHL71" s="459"/>
      <c r="EHM71" s="459"/>
      <c r="EHN71" s="459"/>
      <c r="EHO71" s="459"/>
      <c r="EHP71" s="459"/>
      <c r="EHQ71" s="459"/>
      <c r="EHR71" s="459"/>
      <c r="EHS71" s="459"/>
      <c r="EHT71" s="459"/>
      <c r="EHU71" s="459"/>
      <c r="EHV71" s="459"/>
      <c r="EHW71" s="459"/>
      <c r="EHX71" s="459"/>
      <c r="EHY71" s="459"/>
      <c r="EHZ71" s="459"/>
      <c r="EIA71" s="459"/>
      <c r="EIB71" s="459"/>
      <c r="EIC71" s="459"/>
      <c r="EID71" s="459"/>
      <c r="EIE71" s="459"/>
      <c r="EIF71" s="459"/>
      <c r="EIG71" s="459"/>
      <c r="EIH71" s="459"/>
      <c r="EII71" s="459"/>
      <c r="EIJ71" s="459"/>
      <c r="EIK71" s="459"/>
      <c r="EIL71" s="459"/>
      <c r="EIM71" s="459"/>
      <c r="EIN71" s="459"/>
      <c r="EIO71" s="459"/>
      <c r="EIP71" s="459"/>
      <c r="EIQ71" s="459"/>
      <c r="EIR71" s="459"/>
      <c r="EIS71" s="459"/>
      <c r="EIT71" s="459"/>
      <c r="EIU71" s="459"/>
      <c r="EIV71" s="459"/>
      <c r="EIW71" s="459"/>
      <c r="EIX71" s="459"/>
      <c r="EIY71" s="459"/>
      <c r="EIZ71" s="459"/>
      <c r="EJA71" s="459"/>
      <c r="EJB71" s="459"/>
      <c r="EJC71" s="459"/>
      <c r="EJD71" s="459"/>
      <c r="EJE71" s="459"/>
      <c r="EJF71" s="459"/>
      <c r="EJG71" s="459"/>
      <c r="EJH71" s="459"/>
      <c r="EJI71" s="459"/>
      <c r="EJJ71" s="459"/>
      <c r="EJK71" s="459"/>
      <c r="EJL71" s="459"/>
      <c r="EJM71" s="459"/>
      <c r="EJN71" s="459"/>
      <c r="EJO71" s="459"/>
      <c r="EJP71" s="459"/>
      <c r="EJQ71" s="459"/>
      <c r="EJR71" s="459"/>
      <c r="EJS71" s="459"/>
      <c r="EJT71" s="459"/>
      <c r="EJU71" s="459"/>
      <c r="EJV71" s="459"/>
      <c r="EJW71" s="459"/>
      <c r="EJX71" s="459"/>
      <c r="EJY71" s="459"/>
      <c r="EJZ71" s="459"/>
      <c r="EKA71" s="459"/>
      <c r="EKB71" s="459"/>
      <c r="EKC71" s="459"/>
      <c r="EKD71" s="459"/>
      <c r="EKE71" s="459"/>
      <c r="EKF71" s="459"/>
      <c r="EKG71" s="459"/>
      <c r="EKH71" s="459"/>
      <c r="EKI71" s="459"/>
      <c r="EKJ71" s="459"/>
      <c r="EKK71" s="459"/>
      <c r="EKL71" s="459"/>
      <c r="EKM71" s="459"/>
      <c r="EKN71" s="459"/>
      <c r="EKO71" s="459"/>
      <c r="EKP71" s="459"/>
      <c r="EKQ71" s="459"/>
      <c r="EKR71" s="459"/>
      <c r="EKS71" s="459"/>
      <c r="EKT71" s="459"/>
      <c r="EKU71" s="459"/>
      <c r="EKV71" s="459"/>
      <c r="EKW71" s="459"/>
      <c r="EKX71" s="459"/>
      <c r="EKY71" s="459"/>
      <c r="EKZ71" s="459"/>
      <c r="ELA71" s="459"/>
      <c r="ELB71" s="459"/>
      <c r="ELC71" s="459"/>
      <c r="ELD71" s="459"/>
      <c r="ELE71" s="459"/>
      <c r="ELF71" s="459"/>
      <c r="ELG71" s="459"/>
      <c r="ELH71" s="459"/>
      <c r="ELI71" s="459"/>
      <c r="ELJ71" s="459"/>
      <c r="ELK71" s="459"/>
      <c r="ELL71" s="459"/>
      <c r="ELM71" s="459"/>
      <c r="ELN71" s="459"/>
      <c r="ELO71" s="459"/>
      <c r="ELP71" s="459"/>
      <c r="ELQ71" s="459"/>
      <c r="ELR71" s="459"/>
      <c r="ELS71" s="459"/>
      <c r="ELT71" s="459"/>
      <c r="ELU71" s="459"/>
      <c r="ELV71" s="459"/>
      <c r="ELW71" s="459"/>
      <c r="ELX71" s="459"/>
      <c r="ELY71" s="459"/>
      <c r="ELZ71" s="459"/>
      <c r="EMA71" s="459"/>
      <c r="EMB71" s="459"/>
      <c r="EMC71" s="459"/>
      <c r="EMD71" s="459"/>
      <c r="EME71" s="459"/>
      <c r="EMF71" s="459"/>
      <c r="EMG71" s="459"/>
      <c r="EMH71" s="459"/>
      <c r="EMI71" s="459"/>
      <c r="EMJ71" s="459"/>
      <c r="EMK71" s="459"/>
      <c r="EML71" s="459"/>
      <c r="EMM71" s="459"/>
      <c r="EMN71" s="459"/>
      <c r="EMO71" s="459"/>
      <c r="EMP71" s="459"/>
      <c r="EMQ71" s="459"/>
      <c r="EMR71" s="459"/>
      <c r="EMS71" s="459"/>
      <c r="EMT71" s="459"/>
      <c r="EMU71" s="459"/>
      <c r="EMV71" s="459"/>
      <c r="EMW71" s="459"/>
      <c r="EMX71" s="459"/>
      <c r="EMY71" s="459"/>
      <c r="EMZ71" s="459"/>
      <c r="ENA71" s="459"/>
      <c r="ENB71" s="459"/>
      <c r="ENC71" s="459"/>
      <c r="END71" s="459"/>
      <c r="ENE71" s="459"/>
      <c r="ENF71" s="459"/>
      <c r="ENG71" s="459"/>
      <c r="ENH71" s="459"/>
      <c r="ENI71" s="459"/>
      <c r="ENJ71" s="459"/>
      <c r="ENK71" s="459"/>
      <c r="ENL71" s="459"/>
      <c r="ENM71" s="459"/>
      <c r="ENN71" s="459"/>
      <c r="ENO71" s="459"/>
      <c r="ENP71" s="459"/>
      <c r="ENQ71" s="459"/>
      <c r="ENR71" s="459"/>
      <c r="ENS71" s="459"/>
      <c r="ENT71" s="459"/>
      <c r="ENU71" s="459"/>
      <c r="ENV71" s="459"/>
      <c r="ENW71" s="459"/>
      <c r="ENX71" s="459"/>
      <c r="ENY71" s="459"/>
      <c r="ENZ71" s="459"/>
      <c r="EOA71" s="459"/>
      <c r="EOB71" s="459"/>
      <c r="EOC71" s="459"/>
      <c r="EOD71" s="459"/>
      <c r="EOE71" s="459"/>
      <c r="EOF71" s="459"/>
      <c r="EOG71" s="459"/>
      <c r="EOH71" s="459"/>
      <c r="EOI71" s="459"/>
      <c r="EOJ71" s="459"/>
      <c r="EOK71" s="459"/>
      <c r="EOL71" s="459"/>
      <c r="EOM71" s="459"/>
      <c r="EON71" s="459"/>
      <c r="EOO71" s="459"/>
      <c r="EOP71" s="459"/>
      <c r="EOQ71" s="459"/>
      <c r="EOR71" s="459"/>
      <c r="EOS71" s="459"/>
      <c r="EOT71" s="459"/>
      <c r="EOU71" s="459"/>
      <c r="EOV71" s="459"/>
      <c r="EOW71" s="459"/>
      <c r="EOX71" s="459"/>
      <c r="EOY71" s="459"/>
      <c r="EOZ71" s="459"/>
      <c r="EPA71" s="459"/>
      <c r="EPB71" s="459"/>
      <c r="EPC71" s="459"/>
      <c r="EPD71" s="459"/>
      <c r="EPE71" s="459"/>
      <c r="EPF71" s="459"/>
      <c r="EPG71" s="459"/>
      <c r="EPH71" s="459"/>
      <c r="EPI71" s="459"/>
      <c r="EPJ71" s="459"/>
      <c r="EPK71" s="459"/>
      <c r="EPL71" s="459"/>
      <c r="EPM71" s="459"/>
      <c r="EPN71" s="459"/>
      <c r="EPO71" s="459"/>
      <c r="EPP71" s="459"/>
      <c r="EPQ71" s="459"/>
      <c r="EPR71" s="459"/>
      <c r="EPS71" s="459"/>
      <c r="EPT71" s="459"/>
      <c r="EPU71" s="459"/>
      <c r="EPV71" s="459"/>
      <c r="EPW71" s="459"/>
      <c r="EPX71" s="459"/>
      <c r="EPY71" s="459"/>
      <c r="EPZ71" s="459"/>
      <c r="EQA71" s="459"/>
      <c r="EQB71" s="459"/>
      <c r="EQC71" s="459"/>
      <c r="EQD71" s="459"/>
      <c r="EQE71" s="459"/>
      <c r="EQF71" s="459"/>
      <c r="EQG71" s="459"/>
      <c r="EQH71" s="459"/>
      <c r="EQI71" s="459"/>
      <c r="EQJ71" s="459"/>
      <c r="EQK71" s="459"/>
      <c r="EQL71" s="459"/>
      <c r="EQM71" s="459"/>
      <c r="EQN71" s="459"/>
      <c r="EQO71" s="459"/>
      <c r="EQP71" s="459"/>
      <c r="EQQ71" s="459"/>
      <c r="EQR71" s="459"/>
      <c r="EQS71" s="459"/>
      <c r="EQT71" s="459"/>
      <c r="EQU71" s="459"/>
      <c r="EQV71" s="459"/>
      <c r="EQW71" s="459"/>
      <c r="EQX71" s="459"/>
      <c r="EQY71" s="459"/>
      <c r="EQZ71" s="459"/>
      <c r="ERA71" s="459"/>
      <c r="ERB71" s="459"/>
      <c r="ERC71" s="459"/>
      <c r="ERD71" s="459"/>
      <c r="ERE71" s="459"/>
      <c r="ERF71" s="459"/>
      <c r="ERG71" s="459"/>
      <c r="ERH71" s="459"/>
      <c r="ERI71" s="459"/>
      <c r="ERJ71" s="459"/>
      <c r="ERK71" s="459"/>
      <c r="ERL71" s="459"/>
      <c r="ERM71" s="459"/>
      <c r="ERN71" s="459"/>
      <c r="ERO71" s="459"/>
      <c r="ERP71" s="459"/>
      <c r="ERQ71" s="459"/>
      <c r="ERR71" s="459"/>
      <c r="ERS71" s="459"/>
      <c r="ERT71" s="459"/>
      <c r="ERU71" s="459"/>
      <c r="ERV71" s="459"/>
      <c r="ERW71" s="459"/>
      <c r="ERX71" s="459"/>
      <c r="ERY71" s="459"/>
      <c r="ERZ71" s="459"/>
      <c r="ESA71" s="459"/>
      <c r="ESB71" s="459"/>
      <c r="ESC71" s="459"/>
      <c r="ESD71" s="459"/>
      <c r="ESE71" s="459"/>
      <c r="ESF71" s="459"/>
      <c r="ESG71" s="459"/>
      <c r="ESH71" s="459"/>
      <c r="ESI71" s="459"/>
      <c r="ESJ71" s="459"/>
      <c r="ESK71" s="459"/>
      <c r="ESL71" s="459"/>
      <c r="ESM71" s="459"/>
      <c r="ESN71" s="459"/>
      <c r="ESO71" s="459"/>
      <c r="ESP71" s="459"/>
      <c r="ESQ71" s="459"/>
      <c r="ESR71" s="459"/>
      <c r="ESS71" s="459"/>
      <c r="EST71" s="459"/>
      <c r="ESU71" s="459"/>
      <c r="ESV71" s="459"/>
      <c r="ESW71" s="459"/>
      <c r="ESX71" s="459"/>
      <c r="ESY71" s="459"/>
      <c r="ESZ71" s="459"/>
      <c r="ETA71" s="459"/>
      <c r="ETB71" s="459"/>
      <c r="ETC71" s="459"/>
      <c r="ETD71" s="459"/>
      <c r="ETE71" s="459"/>
      <c r="ETF71" s="459"/>
      <c r="ETG71" s="459"/>
      <c r="ETH71" s="459"/>
      <c r="ETI71" s="459"/>
      <c r="ETJ71" s="459"/>
      <c r="ETK71" s="459"/>
      <c r="ETL71" s="459"/>
      <c r="ETM71" s="459"/>
      <c r="ETN71" s="459"/>
      <c r="ETO71" s="459"/>
      <c r="ETP71" s="459"/>
      <c r="ETQ71" s="459"/>
      <c r="ETR71" s="459"/>
      <c r="ETS71" s="459"/>
      <c r="ETT71" s="459"/>
      <c r="ETU71" s="459"/>
      <c r="ETV71" s="459"/>
      <c r="ETW71" s="459"/>
      <c r="ETX71" s="459"/>
      <c r="ETY71" s="459"/>
      <c r="ETZ71" s="459"/>
      <c r="EUA71" s="459"/>
      <c r="EUB71" s="459"/>
      <c r="EUC71" s="459"/>
      <c r="EUD71" s="459"/>
      <c r="EUE71" s="459"/>
      <c r="EUF71" s="459"/>
      <c r="EUG71" s="459"/>
      <c r="EUH71" s="459"/>
      <c r="EUI71" s="459"/>
      <c r="EUJ71" s="459"/>
      <c r="EUK71" s="459"/>
      <c r="EUL71" s="459"/>
      <c r="EUM71" s="459"/>
      <c r="EUN71" s="459"/>
      <c r="EUO71" s="459"/>
      <c r="EUP71" s="459"/>
      <c r="EUQ71" s="459"/>
      <c r="EUR71" s="459"/>
      <c r="EUS71" s="459"/>
      <c r="EUT71" s="459"/>
      <c r="EUU71" s="459"/>
      <c r="EUV71" s="459"/>
      <c r="EUW71" s="459"/>
      <c r="EUX71" s="459"/>
      <c r="EUY71" s="459"/>
      <c r="EUZ71" s="459"/>
      <c r="EVA71" s="459"/>
      <c r="EVB71" s="459"/>
      <c r="EVC71" s="459"/>
      <c r="EVD71" s="459"/>
      <c r="EVE71" s="459"/>
      <c r="EVF71" s="459"/>
      <c r="EVG71" s="459"/>
      <c r="EVH71" s="459"/>
      <c r="EVI71" s="459"/>
      <c r="EVJ71" s="459"/>
      <c r="EVK71" s="459"/>
      <c r="EVL71" s="459"/>
      <c r="EVM71" s="459"/>
      <c r="EVN71" s="459"/>
      <c r="EVO71" s="459"/>
      <c r="EVP71" s="459"/>
      <c r="EVQ71" s="459"/>
      <c r="EVR71" s="459"/>
      <c r="EVS71" s="459"/>
      <c r="EVT71" s="459"/>
      <c r="EVU71" s="459"/>
      <c r="EVV71" s="459"/>
      <c r="EVW71" s="459"/>
      <c r="EVX71" s="459"/>
      <c r="EVY71" s="459"/>
      <c r="EVZ71" s="459"/>
      <c r="EWA71" s="459"/>
      <c r="EWB71" s="459"/>
      <c r="EWC71" s="459"/>
      <c r="EWD71" s="459"/>
      <c r="EWE71" s="459"/>
      <c r="EWF71" s="459"/>
      <c r="EWG71" s="459"/>
      <c r="EWH71" s="459"/>
      <c r="EWI71" s="459"/>
      <c r="EWJ71" s="459"/>
      <c r="EWK71" s="459"/>
      <c r="EWL71" s="459"/>
      <c r="EWM71" s="459"/>
      <c r="EWN71" s="459"/>
      <c r="EWO71" s="459"/>
      <c r="EWP71" s="459"/>
      <c r="EWQ71" s="459"/>
      <c r="EWR71" s="459"/>
      <c r="EWS71" s="459"/>
      <c r="EWT71" s="459"/>
      <c r="EWU71" s="459"/>
      <c r="EWV71" s="459"/>
      <c r="EWW71" s="459"/>
      <c r="EWX71" s="459"/>
      <c r="EWY71" s="459"/>
      <c r="EWZ71" s="459"/>
      <c r="EXA71" s="459"/>
      <c r="EXB71" s="459"/>
      <c r="EXC71" s="459"/>
      <c r="EXD71" s="459"/>
      <c r="EXE71" s="459"/>
      <c r="EXF71" s="459"/>
      <c r="EXG71" s="459"/>
      <c r="EXH71" s="459"/>
      <c r="EXI71" s="459"/>
      <c r="EXJ71" s="459"/>
      <c r="EXK71" s="459"/>
      <c r="EXL71" s="459"/>
      <c r="EXM71" s="459"/>
      <c r="EXN71" s="459"/>
      <c r="EXO71" s="459"/>
      <c r="EXP71" s="459"/>
      <c r="EXQ71" s="459"/>
      <c r="EXR71" s="459"/>
      <c r="EXS71" s="459"/>
      <c r="EXT71" s="459"/>
      <c r="EXU71" s="459"/>
      <c r="EXV71" s="459"/>
      <c r="EXW71" s="459"/>
      <c r="EXX71" s="459"/>
      <c r="EXY71" s="459"/>
      <c r="EXZ71" s="459"/>
      <c r="EYA71" s="459"/>
      <c r="EYB71" s="459"/>
      <c r="EYC71" s="459"/>
      <c r="EYD71" s="459"/>
      <c r="EYE71" s="459"/>
      <c r="EYF71" s="459"/>
      <c r="EYG71" s="459"/>
      <c r="EYH71" s="459"/>
      <c r="EYI71" s="459"/>
      <c r="EYJ71" s="459"/>
      <c r="EYK71" s="459"/>
      <c r="EYL71" s="459"/>
      <c r="EYM71" s="459"/>
      <c r="EYN71" s="459"/>
      <c r="EYO71" s="459"/>
      <c r="EYP71" s="459"/>
      <c r="EYQ71" s="459"/>
      <c r="EYR71" s="459"/>
      <c r="EYS71" s="459"/>
      <c r="EYT71" s="459"/>
      <c r="EYU71" s="459"/>
      <c r="EYV71" s="459"/>
      <c r="EYW71" s="459"/>
      <c r="EYX71" s="459"/>
      <c r="EYY71" s="459"/>
      <c r="EYZ71" s="459"/>
      <c r="EZA71" s="459"/>
      <c r="EZB71" s="459"/>
      <c r="EZC71" s="459"/>
      <c r="EZD71" s="459"/>
      <c r="EZE71" s="459"/>
      <c r="EZF71" s="459"/>
      <c r="EZG71" s="459"/>
      <c r="EZH71" s="459"/>
      <c r="EZI71" s="459"/>
      <c r="EZJ71" s="459"/>
      <c r="EZK71" s="459"/>
      <c r="EZL71" s="459"/>
      <c r="EZM71" s="459"/>
      <c r="EZN71" s="459"/>
      <c r="EZO71" s="459"/>
      <c r="EZP71" s="459"/>
      <c r="EZQ71" s="459"/>
      <c r="EZR71" s="459"/>
      <c r="EZS71" s="459"/>
      <c r="EZT71" s="459"/>
      <c r="EZU71" s="459"/>
      <c r="EZV71" s="459"/>
      <c r="EZW71" s="459"/>
      <c r="EZX71" s="459"/>
      <c r="EZY71" s="459"/>
      <c r="EZZ71" s="459"/>
      <c r="FAA71" s="459"/>
      <c r="FAB71" s="459"/>
      <c r="FAC71" s="459"/>
      <c r="FAD71" s="459"/>
      <c r="FAE71" s="459"/>
      <c r="FAF71" s="459"/>
      <c r="FAG71" s="459"/>
      <c r="FAH71" s="459"/>
      <c r="FAI71" s="459"/>
      <c r="FAJ71" s="459"/>
      <c r="FAK71" s="459"/>
      <c r="FAL71" s="459"/>
      <c r="FAM71" s="459"/>
      <c r="FAN71" s="459"/>
      <c r="FAO71" s="459"/>
      <c r="FAP71" s="459"/>
      <c r="FAQ71" s="459"/>
      <c r="FAR71" s="459"/>
      <c r="FAS71" s="459"/>
      <c r="FAT71" s="459"/>
      <c r="FAU71" s="459"/>
      <c r="FAV71" s="459"/>
      <c r="FAW71" s="459"/>
      <c r="FAX71" s="459"/>
      <c r="FAY71" s="459"/>
      <c r="FAZ71" s="459"/>
      <c r="FBA71" s="459"/>
      <c r="FBB71" s="459"/>
      <c r="FBC71" s="459"/>
      <c r="FBD71" s="459"/>
      <c r="FBE71" s="459"/>
      <c r="FBF71" s="459"/>
      <c r="FBG71" s="459"/>
      <c r="FBH71" s="459"/>
      <c r="FBI71" s="459"/>
      <c r="FBJ71" s="459"/>
      <c r="FBK71" s="459"/>
      <c r="FBL71" s="459"/>
      <c r="FBM71" s="459"/>
      <c r="FBN71" s="459"/>
      <c r="FBO71" s="459"/>
      <c r="FBP71" s="459"/>
      <c r="FBQ71" s="459"/>
      <c r="FBR71" s="459"/>
      <c r="FBS71" s="459"/>
      <c r="FBT71" s="459"/>
      <c r="FBU71" s="459"/>
      <c r="FBV71" s="459"/>
      <c r="FBW71" s="459"/>
      <c r="FBX71" s="459"/>
      <c r="FBY71" s="459"/>
      <c r="FBZ71" s="459"/>
      <c r="FCA71" s="459"/>
      <c r="FCB71" s="459"/>
      <c r="FCC71" s="459"/>
      <c r="FCD71" s="459"/>
      <c r="FCE71" s="459"/>
      <c r="FCF71" s="459"/>
      <c r="FCG71" s="459"/>
      <c r="FCH71" s="459"/>
      <c r="FCI71" s="459"/>
      <c r="FCJ71" s="459"/>
      <c r="FCK71" s="459"/>
      <c r="FCL71" s="459"/>
      <c r="FCM71" s="459"/>
      <c r="FCN71" s="459"/>
      <c r="FCO71" s="459"/>
      <c r="FCP71" s="459"/>
      <c r="FCQ71" s="459"/>
      <c r="FCR71" s="459"/>
      <c r="FCS71" s="459"/>
      <c r="FCT71" s="459"/>
      <c r="FCU71" s="459"/>
      <c r="FCV71" s="459"/>
      <c r="FCW71" s="459"/>
      <c r="FCX71" s="459"/>
      <c r="FCY71" s="459"/>
      <c r="FCZ71" s="459"/>
      <c r="FDA71" s="459"/>
      <c r="FDB71" s="459"/>
      <c r="FDC71" s="459"/>
      <c r="FDD71" s="459"/>
      <c r="FDE71" s="459"/>
      <c r="FDF71" s="459"/>
      <c r="FDG71" s="459"/>
      <c r="FDH71" s="459"/>
      <c r="FDI71" s="459"/>
      <c r="FDJ71" s="459"/>
      <c r="FDK71" s="459"/>
      <c r="FDL71" s="459"/>
      <c r="FDM71" s="459"/>
      <c r="FDN71" s="459"/>
      <c r="FDO71" s="459"/>
      <c r="FDP71" s="459"/>
      <c r="FDQ71" s="459"/>
      <c r="FDR71" s="459"/>
      <c r="FDS71" s="459"/>
      <c r="FDT71" s="459"/>
      <c r="FDU71" s="459"/>
      <c r="FDV71" s="459"/>
      <c r="FDW71" s="459"/>
      <c r="FDX71" s="459"/>
      <c r="FDY71" s="459"/>
      <c r="FDZ71" s="459"/>
      <c r="FEA71" s="459"/>
      <c r="FEB71" s="459"/>
      <c r="FEC71" s="459"/>
      <c r="FED71" s="459"/>
      <c r="FEE71" s="459"/>
      <c r="FEF71" s="459"/>
      <c r="FEG71" s="459"/>
      <c r="FEH71" s="459"/>
      <c r="FEI71" s="459"/>
      <c r="FEJ71" s="459"/>
      <c r="FEK71" s="459"/>
      <c r="FEL71" s="459"/>
      <c r="FEM71" s="459"/>
      <c r="FEN71" s="459"/>
      <c r="FEO71" s="459"/>
      <c r="FEP71" s="459"/>
      <c r="FEQ71" s="459"/>
      <c r="FER71" s="459"/>
      <c r="FES71" s="459"/>
      <c r="FET71" s="459"/>
      <c r="FEU71" s="459"/>
      <c r="FEV71" s="459"/>
      <c r="FEW71" s="459"/>
      <c r="FEX71" s="459"/>
      <c r="FEY71" s="459"/>
      <c r="FEZ71" s="459"/>
      <c r="FFA71" s="459"/>
      <c r="FFB71" s="459"/>
      <c r="FFC71" s="459"/>
      <c r="FFD71" s="459"/>
      <c r="FFE71" s="459"/>
      <c r="FFF71" s="459"/>
      <c r="FFG71" s="459"/>
      <c r="FFH71" s="459"/>
      <c r="FFI71" s="459"/>
      <c r="FFJ71" s="459"/>
      <c r="FFK71" s="459"/>
      <c r="FFL71" s="459"/>
      <c r="FFM71" s="459"/>
      <c r="FFN71" s="459"/>
      <c r="FFO71" s="459"/>
      <c r="FFP71" s="459"/>
      <c r="FFQ71" s="459"/>
      <c r="FFR71" s="459"/>
      <c r="FFS71" s="459"/>
      <c r="FFT71" s="459"/>
      <c r="FFU71" s="459"/>
      <c r="FFV71" s="459"/>
      <c r="FFW71" s="459"/>
      <c r="FFX71" s="459"/>
      <c r="FFY71" s="459"/>
      <c r="FFZ71" s="459"/>
      <c r="FGA71" s="459"/>
      <c r="FGB71" s="459"/>
      <c r="FGC71" s="459"/>
      <c r="FGD71" s="459"/>
      <c r="FGE71" s="459"/>
      <c r="FGF71" s="459"/>
      <c r="FGG71" s="459"/>
      <c r="FGH71" s="459"/>
      <c r="FGI71" s="459"/>
      <c r="FGJ71" s="459"/>
      <c r="FGK71" s="459"/>
      <c r="FGL71" s="459"/>
      <c r="FGM71" s="459"/>
      <c r="FGN71" s="459"/>
      <c r="FGO71" s="459"/>
      <c r="FGP71" s="459"/>
      <c r="FGQ71" s="459"/>
      <c r="FGR71" s="459"/>
      <c r="FGS71" s="459"/>
      <c r="FGT71" s="459"/>
      <c r="FGU71" s="459"/>
      <c r="FGV71" s="459"/>
      <c r="FGW71" s="459"/>
      <c r="FGX71" s="459"/>
      <c r="FGY71" s="459"/>
      <c r="FGZ71" s="459"/>
      <c r="FHA71" s="459"/>
      <c r="FHB71" s="459"/>
      <c r="FHC71" s="459"/>
      <c r="FHD71" s="459"/>
      <c r="FHE71" s="459"/>
      <c r="FHF71" s="459"/>
      <c r="FHG71" s="459"/>
      <c r="FHH71" s="459"/>
      <c r="FHI71" s="459"/>
      <c r="FHJ71" s="459"/>
      <c r="FHK71" s="459"/>
      <c r="FHL71" s="459"/>
      <c r="FHM71" s="459"/>
      <c r="FHN71" s="459"/>
      <c r="FHO71" s="459"/>
      <c r="FHP71" s="459"/>
      <c r="FHQ71" s="459"/>
      <c r="FHR71" s="459"/>
      <c r="FHS71" s="459"/>
      <c r="FHT71" s="459"/>
      <c r="FHU71" s="459"/>
      <c r="FHV71" s="459"/>
      <c r="FHW71" s="459"/>
      <c r="FHX71" s="459"/>
      <c r="FHY71" s="459"/>
      <c r="FHZ71" s="459"/>
      <c r="FIA71" s="459"/>
      <c r="FIB71" s="459"/>
      <c r="FIC71" s="459"/>
      <c r="FID71" s="459"/>
      <c r="FIE71" s="459"/>
      <c r="FIF71" s="459"/>
      <c r="FIG71" s="459"/>
      <c r="FIH71" s="459"/>
      <c r="FII71" s="459"/>
      <c r="FIJ71" s="459"/>
      <c r="FIK71" s="459"/>
      <c r="FIL71" s="459"/>
      <c r="FIM71" s="459"/>
      <c r="FIN71" s="459"/>
      <c r="FIO71" s="459"/>
      <c r="FIP71" s="459"/>
      <c r="FIQ71" s="459"/>
      <c r="FIR71" s="459"/>
      <c r="FIS71" s="459"/>
      <c r="FIT71" s="459"/>
      <c r="FIU71" s="459"/>
      <c r="FIV71" s="459"/>
      <c r="FIW71" s="459"/>
      <c r="FIX71" s="459"/>
      <c r="FIY71" s="459"/>
      <c r="FIZ71" s="459"/>
      <c r="FJA71" s="459"/>
      <c r="FJB71" s="459"/>
      <c r="FJC71" s="459"/>
      <c r="FJD71" s="459"/>
      <c r="FJE71" s="459"/>
      <c r="FJF71" s="459"/>
      <c r="FJG71" s="459"/>
      <c r="FJH71" s="459"/>
      <c r="FJI71" s="459"/>
      <c r="FJJ71" s="459"/>
      <c r="FJK71" s="459"/>
      <c r="FJL71" s="459"/>
      <c r="FJM71" s="459"/>
      <c r="FJN71" s="459"/>
      <c r="FJO71" s="459"/>
      <c r="FJP71" s="459"/>
      <c r="FJQ71" s="459"/>
      <c r="FJR71" s="459"/>
      <c r="FJS71" s="459"/>
      <c r="FJT71" s="459"/>
      <c r="FJU71" s="459"/>
      <c r="FJV71" s="459"/>
      <c r="FJW71" s="459"/>
      <c r="FJX71" s="459"/>
      <c r="FJY71" s="459"/>
      <c r="FJZ71" s="459"/>
      <c r="FKA71" s="459"/>
      <c r="FKB71" s="459"/>
      <c r="FKC71" s="459"/>
      <c r="FKD71" s="459"/>
      <c r="FKE71" s="459"/>
      <c r="FKF71" s="459"/>
      <c r="FKG71" s="459"/>
      <c r="FKH71" s="459"/>
      <c r="FKI71" s="459"/>
      <c r="FKJ71" s="459"/>
      <c r="FKK71" s="459"/>
      <c r="FKL71" s="459"/>
      <c r="FKM71" s="459"/>
      <c r="FKN71" s="459"/>
      <c r="FKO71" s="459"/>
      <c r="FKP71" s="459"/>
      <c r="FKQ71" s="459"/>
      <c r="FKR71" s="459"/>
      <c r="FKS71" s="459"/>
      <c r="FKT71" s="459"/>
      <c r="FKU71" s="459"/>
      <c r="FKV71" s="459"/>
      <c r="FKW71" s="459"/>
      <c r="FKX71" s="459"/>
      <c r="FKY71" s="459"/>
      <c r="FKZ71" s="459"/>
      <c r="FLA71" s="459"/>
      <c r="FLB71" s="459"/>
      <c r="FLC71" s="459"/>
      <c r="FLD71" s="459"/>
      <c r="FLE71" s="459"/>
      <c r="FLF71" s="459"/>
      <c r="FLG71" s="459"/>
      <c r="FLH71" s="459"/>
      <c r="FLI71" s="459"/>
      <c r="FLJ71" s="459"/>
      <c r="FLK71" s="459"/>
      <c r="FLL71" s="459"/>
      <c r="FLM71" s="459"/>
      <c r="FLN71" s="459"/>
      <c r="FLO71" s="459"/>
      <c r="FLP71" s="459"/>
      <c r="FLQ71" s="459"/>
      <c r="FLR71" s="459"/>
      <c r="FLS71" s="459"/>
      <c r="FLT71" s="459"/>
      <c r="FLU71" s="459"/>
      <c r="FLV71" s="459"/>
      <c r="FLW71" s="459"/>
      <c r="FLX71" s="459"/>
      <c r="FLY71" s="459"/>
      <c r="FLZ71" s="459"/>
      <c r="FMA71" s="459"/>
      <c r="FMB71" s="459"/>
      <c r="FMC71" s="459"/>
      <c r="FMD71" s="459"/>
      <c r="FME71" s="459"/>
      <c r="FMF71" s="459"/>
      <c r="FMG71" s="459"/>
      <c r="FMH71" s="459"/>
      <c r="FMI71" s="459"/>
      <c r="FMJ71" s="459"/>
      <c r="FMK71" s="459"/>
      <c r="FML71" s="459"/>
      <c r="FMM71" s="459"/>
      <c r="FMN71" s="459"/>
      <c r="FMO71" s="459"/>
      <c r="FMP71" s="459"/>
      <c r="FMQ71" s="459"/>
      <c r="FMR71" s="459"/>
      <c r="FMS71" s="459"/>
      <c r="FMT71" s="459"/>
      <c r="FMU71" s="459"/>
      <c r="FMV71" s="459"/>
      <c r="FMW71" s="459"/>
      <c r="FMX71" s="459"/>
      <c r="FMY71" s="459"/>
      <c r="FMZ71" s="459"/>
      <c r="FNA71" s="459"/>
      <c r="FNB71" s="459"/>
      <c r="FNC71" s="459"/>
      <c r="FND71" s="459"/>
      <c r="FNE71" s="459"/>
      <c r="FNF71" s="459"/>
      <c r="FNG71" s="459"/>
      <c r="FNH71" s="459"/>
      <c r="FNI71" s="459"/>
      <c r="FNJ71" s="459"/>
      <c r="FNK71" s="459"/>
      <c r="FNL71" s="459"/>
      <c r="FNM71" s="459"/>
      <c r="FNN71" s="459"/>
      <c r="FNO71" s="459"/>
      <c r="FNP71" s="459"/>
      <c r="FNQ71" s="459"/>
      <c r="FNR71" s="459"/>
      <c r="FNS71" s="459"/>
      <c r="FNT71" s="459"/>
      <c r="FNU71" s="459"/>
      <c r="FNV71" s="459"/>
      <c r="FNW71" s="459"/>
      <c r="FNX71" s="459"/>
      <c r="FNY71" s="459"/>
      <c r="FNZ71" s="459"/>
      <c r="FOA71" s="459"/>
      <c r="FOB71" s="459"/>
      <c r="FOC71" s="459"/>
      <c r="FOD71" s="459"/>
      <c r="FOE71" s="459"/>
      <c r="FOF71" s="459"/>
      <c r="FOG71" s="459"/>
      <c r="FOH71" s="459"/>
      <c r="FOI71" s="459"/>
      <c r="FOJ71" s="459"/>
      <c r="FOK71" s="459"/>
      <c r="FOL71" s="459"/>
      <c r="FOM71" s="459"/>
      <c r="FON71" s="459"/>
      <c r="FOO71" s="459"/>
      <c r="FOP71" s="459"/>
      <c r="FOQ71" s="459"/>
      <c r="FOR71" s="459"/>
      <c r="FOS71" s="459"/>
      <c r="FOT71" s="459"/>
      <c r="FOU71" s="459"/>
      <c r="FOV71" s="459"/>
      <c r="FOW71" s="459"/>
      <c r="FOX71" s="459"/>
      <c r="FOY71" s="459"/>
      <c r="FOZ71" s="459"/>
      <c r="FPA71" s="459"/>
      <c r="FPB71" s="459"/>
      <c r="FPC71" s="459"/>
      <c r="FPD71" s="459"/>
      <c r="FPE71" s="459"/>
      <c r="FPF71" s="459"/>
      <c r="FPG71" s="459"/>
      <c r="FPH71" s="459"/>
      <c r="FPI71" s="459"/>
      <c r="FPJ71" s="459"/>
      <c r="FPK71" s="459"/>
      <c r="FPL71" s="459"/>
      <c r="FPM71" s="459"/>
      <c r="FPN71" s="459"/>
      <c r="FPO71" s="459"/>
      <c r="FPP71" s="459"/>
      <c r="FPQ71" s="459"/>
      <c r="FPR71" s="459"/>
      <c r="FPS71" s="459"/>
      <c r="FPT71" s="459"/>
      <c r="FPU71" s="459"/>
      <c r="FPV71" s="459"/>
      <c r="FPW71" s="459"/>
      <c r="FPX71" s="459"/>
      <c r="FPY71" s="459"/>
      <c r="FPZ71" s="459"/>
      <c r="FQA71" s="459"/>
      <c r="FQB71" s="459"/>
      <c r="FQC71" s="459"/>
      <c r="FQD71" s="459"/>
      <c r="FQE71" s="459"/>
      <c r="FQF71" s="459"/>
      <c r="FQG71" s="459"/>
      <c r="FQH71" s="459"/>
      <c r="FQI71" s="459"/>
      <c r="FQJ71" s="459"/>
      <c r="FQK71" s="459"/>
      <c r="FQL71" s="459"/>
      <c r="FQM71" s="459"/>
      <c r="FQN71" s="459"/>
      <c r="FQO71" s="459"/>
      <c r="FQP71" s="459"/>
      <c r="FQQ71" s="459"/>
      <c r="FQR71" s="459"/>
      <c r="FQS71" s="459"/>
      <c r="FQT71" s="459"/>
      <c r="FQU71" s="459"/>
      <c r="FQV71" s="459"/>
      <c r="FQW71" s="459"/>
      <c r="FQX71" s="459"/>
      <c r="FQY71" s="459"/>
      <c r="FQZ71" s="459"/>
      <c r="FRA71" s="459"/>
      <c r="FRB71" s="459"/>
      <c r="FRC71" s="459"/>
      <c r="FRD71" s="459"/>
      <c r="FRE71" s="459"/>
      <c r="FRF71" s="459"/>
      <c r="FRG71" s="459"/>
      <c r="FRH71" s="459"/>
      <c r="FRI71" s="459"/>
      <c r="FRJ71" s="459"/>
      <c r="FRK71" s="459"/>
      <c r="FRL71" s="459"/>
      <c r="FRM71" s="459"/>
      <c r="FRN71" s="459"/>
      <c r="FRO71" s="459"/>
      <c r="FRP71" s="459"/>
      <c r="FRQ71" s="459"/>
      <c r="FRR71" s="459"/>
      <c r="FRS71" s="459"/>
      <c r="FRT71" s="459"/>
      <c r="FRU71" s="459"/>
      <c r="FRV71" s="459"/>
      <c r="FRW71" s="459"/>
      <c r="FRX71" s="459"/>
      <c r="FRY71" s="459"/>
      <c r="FRZ71" s="459"/>
      <c r="FSA71" s="459"/>
      <c r="FSB71" s="459"/>
      <c r="FSC71" s="459"/>
      <c r="FSD71" s="459"/>
      <c r="FSE71" s="459"/>
      <c r="FSF71" s="459"/>
      <c r="FSG71" s="459"/>
      <c r="FSH71" s="459"/>
      <c r="FSI71" s="459"/>
      <c r="FSJ71" s="459"/>
      <c r="FSK71" s="459"/>
      <c r="FSL71" s="459"/>
      <c r="FSM71" s="459"/>
      <c r="FSN71" s="459"/>
      <c r="FSO71" s="459"/>
      <c r="FSP71" s="459"/>
      <c r="FSQ71" s="459"/>
      <c r="FSR71" s="459"/>
      <c r="FSS71" s="459"/>
      <c r="FST71" s="459"/>
      <c r="FSU71" s="459"/>
      <c r="FSV71" s="459"/>
      <c r="FSW71" s="459"/>
      <c r="FSX71" s="459"/>
      <c r="FSY71" s="459"/>
      <c r="FSZ71" s="459"/>
      <c r="FTA71" s="459"/>
      <c r="FTB71" s="459"/>
      <c r="FTC71" s="459"/>
      <c r="FTD71" s="459"/>
      <c r="FTE71" s="459"/>
      <c r="FTF71" s="459"/>
      <c r="FTG71" s="459"/>
      <c r="FTH71" s="459"/>
      <c r="FTI71" s="459"/>
      <c r="FTJ71" s="459"/>
      <c r="FTK71" s="459"/>
      <c r="FTL71" s="459"/>
      <c r="FTM71" s="459"/>
      <c r="FTN71" s="459"/>
      <c r="FTO71" s="459"/>
      <c r="FTP71" s="459"/>
      <c r="FTQ71" s="459"/>
      <c r="FTR71" s="459"/>
      <c r="FTS71" s="459"/>
      <c r="FTT71" s="459"/>
      <c r="FTU71" s="459"/>
      <c r="FTV71" s="459"/>
      <c r="FTW71" s="459"/>
      <c r="FTX71" s="459"/>
      <c r="FTY71" s="459"/>
      <c r="FTZ71" s="459"/>
      <c r="FUA71" s="459"/>
      <c r="FUB71" s="459"/>
      <c r="FUC71" s="459"/>
      <c r="FUD71" s="459"/>
      <c r="FUE71" s="459"/>
      <c r="FUF71" s="459"/>
      <c r="FUG71" s="459"/>
      <c r="FUH71" s="459"/>
      <c r="FUI71" s="459"/>
      <c r="FUJ71" s="459"/>
      <c r="FUK71" s="459"/>
      <c r="FUL71" s="459"/>
      <c r="FUM71" s="459"/>
      <c r="FUN71" s="459"/>
      <c r="FUO71" s="459"/>
      <c r="FUP71" s="459"/>
      <c r="FUQ71" s="459"/>
      <c r="FUR71" s="459"/>
      <c r="FUS71" s="459"/>
      <c r="FUT71" s="459"/>
      <c r="FUU71" s="459"/>
      <c r="FUV71" s="459"/>
      <c r="FUW71" s="459"/>
      <c r="FUX71" s="459"/>
      <c r="FUY71" s="459"/>
      <c r="FUZ71" s="459"/>
      <c r="FVA71" s="459"/>
      <c r="FVB71" s="459"/>
      <c r="FVC71" s="459"/>
      <c r="FVD71" s="459"/>
      <c r="FVE71" s="459"/>
      <c r="FVF71" s="459"/>
      <c r="FVG71" s="459"/>
      <c r="FVH71" s="459"/>
      <c r="FVI71" s="459"/>
      <c r="FVJ71" s="459"/>
      <c r="FVK71" s="459"/>
      <c r="FVL71" s="459"/>
      <c r="FVM71" s="459"/>
      <c r="FVN71" s="459"/>
      <c r="FVO71" s="459"/>
      <c r="FVP71" s="459"/>
      <c r="FVQ71" s="459"/>
      <c r="FVR71" s="459"/>
      <c r="FVS71" s="459"/>
      <c r="FVT71" s="459"/>
      <c r="FVU71" s="459"/>
      <c r="FVV71" s="459"/>
      <c r="FVW71" s="459"/>
      <c r="FVX71" s="459"/>
      <c r="FVY71" s="459"/>
      <c r="FVZ71" s="459"/>
      <c r="FWA71" s="459"/>
      <c r="FWB71" s="459"/>
      <c r="FWC71" s="459"/>
      <c r="FWD71" s="459"/>
      <c r="FWE71" s="459"/>
      <c r="FWF71" s="459"/>
      <c r="FWG71" s="459"/>
      <c r="FWH71" s="459"/>
      <c r="FWI71" s="459"/>
      <c r="FWJ71" s="459"/>
      <c r="FWK71" s="459"/>
      <c r="FWL71" s="459"/>
      <c r="FWM71" s="459"/>
      <c r="FWN71" s="459"/>
      <c r="FWO71" s="459"/>
      <c r="FWP71" s="459"/>
      <c r="FWQ71" s="459"/>
      <c r="FWR71" s="459"/>
      <c r="FWS71" s="459"/>
      <c r="FWT71" s="459"/>
      <c r="FWU71" s="459"/>
      <c r="FWV71" s="459"/>
      <c r="FWW71" s="459"/>
      <c r="FWX71" s="459"/>
      <c r="FWY71" s="459"/>
      <c r="FWZ71" s="459"/>
      <c r="FXA71" s="459"/>
      <c r="FXB71" s="459"/>
      <c r="FXC71" s="459"/>
      <c r="FXD71" s="459"/>
      <c r="FXE71" s="459"/>
      <c r="FXF71" s="459"/>
      <c r="FXG71" s="459"/>
      <c r="FXH71" s="459"/>
      <c r="FXI71" s="459"/>
      <c r="FXJ71" s="459"/>
      <c r="FXK71" s="459"/>
      <c r="FXL71" s="459"/>
      <c r="FXM71" s="459"/>
      <c r="FXN71" s="459"/>
      <c r="FXO71" s="459"/>
      <c r="FXP71" s="459"/>
      <c r="FXQ71" s="459"/>
      <c r="FXR71" s="459"/>
      <c r="FXS71" s="459"/>
      <c r="FXT71" s="459"/>
      <c r="FXU71" s="459"/>
      <c r="FXV71" s="459"/>
      <c r="FXW71" s="459"/>
      <c r="FXX71" s="459"/>
      <c r="FXY71" s="459"/>
      <c r="FXZ71" s="459"/>
      <c r="FYA71" s="459"/>
      <c r="FYB71" s="459"/>
      <c r="FYC71" s="459"/>
      <c r="FYD71" s="459"/>
      <c r="FYE71" s="459"/>
      <c r="FYF71" s="459"/>
      <c r="FYG71" s="459"/>
      <c r="FYH71" s="459"/>
      <c r="FYI71" s="459"/>
      <c r="FYJ71" s="459"/>
      <c r="FYK71" s="459"/>
      <c r="FYL71" s="459"/>
      <c r="FYM71" s="459"/>
      <c r="FYN71" s="459"/>
      <c r="FYO71" s="459"/>
      <c r="FYP71" s="459"/>
      <c r="FYQ71" s="459"/>
      <c r="FYR71" s="459"/>
      <c r="FYS71" s="459"/>
      <c r="FYT71" s="459"/>
      <c r="FYU71" s="459"/>
      <c r="FYV71" s="459"/>
      <c r="FYW71" s="459"/>
      <c r="FYX71" s="459"/>
      <c r="FYY71" s="459"/>
      <c r="FYZ71" s="459"/>
      <c r="FZA71" s="459"/>
      <c r="FZB71" s="459"/>
      <c r="FZC71" s="459"/>
      <c r="FZD71" s="459"/>
      <c r="FZE71" s="459"/>
      <c r="FZF71" s="459"/>
      <c r="FZG71" s="459"/>
      <c r="FZH71" s="459"/>
      <c r="FZI71" s="459"/>
      <c r="FZJ71" s="459"/>
      <c r="FZK71" s="459"/>
      <c r="FZL71" s="459"/>
      <c r="FZM71" s="459"/>
      <c r="FZN71" s="459"/>
      <c r="FZO71" s="459"/>
      <c r="FZP71" s="459"/>
      <c r="FZQ71" s="459"/>
      <c r="FZR71" s="459"/>
      <c r="FZS71" s="459"/>
      <c r="FZT71" s="459"/>
      <c r="FZU71" s="459"/>
      <c r="FZV71" s="459"/>
      <c r="FZW71" s="459"/>
      <c r="FZX71" s="459"/>
      <c r="FZY71" s="459"/>
      <c r="FZZ71" s="459"/>
      <c r="GAA71" s="459"/>
      <c r="GAB71" s="459"/>
      <c r="GAC71" s="459"/>
      <c r="GAD71" s="459"/>
      <c r="GAE71" s="459"/>
      <c r="GAF71" s="459"/>
      <c r="GAG71" s="459"/>
      <c r="GAH71" s="459"/>
      <c r="GAI71" s="459"/>
      <c r="GAJ71" s="459"/>
      <c r="GAK71" s="459"/>
      <c r="GAL71" s="459"/>
      <c r="GAM71" s="459"/>
      <c r="GAN71" s="459"/>
      <c r="GAO71" s="459"/>
      <c r="GAP71" s="459"/>
      <c r="GAQ71" s="459"/>
      <c r="GAR71" s="459"/>
      <c r="GAS71" s="459"/>
      <c r="GAT71" s="459"/>
      <c r="GAU71" s="459"/>
      <c r="GAV71" s="459"/>
      <c r="GAW71" s="459"/>
      <c r="GAX71" s="459"/>
      <c r="GAY71" s="459"/>
      <c r="GAZ71" s="459"/>
      <c r="GBA71" s="459"/>
      <c r="GBB71" s="459"/>
      <c r="GBC71" s="459"/>
      <c r="GBD71" s="459"/>
      <c r="GBE71" s="459"/>
      <c r="GBF71" s="459"/>
      <c r="GBG71" s="459"/>
      <c r="GBH71" s="459"/>
      <c r="GBI71" s="459"/>
      <c r="GBJ71" s="459"/>
      <c r="GBK71" s="459"/>
      <c r="GBL71" s="459"/>
      <c r="GBM71" s="459"/>
      <c r="GBN71" s="459"/>
      <c r="GBO71" s="459"/>
      <c r="GBP71" s="459"/>
      <c r="GBQ71" s="459"/>
      <c r="GBR71" s="459"/>
      <c r="GBS71" s="459"/>
      <c r="GBT71" s="459"/>
      <c r="GBU71" s="459"/>
      <c r="GBV71" s="459"/>
      <c r="GBW71" s="459"/>
      <c r="GBX71" s="459"/>
      <c r="GBY71" s="459"/>
      <c r="GBZ71" s="459"/>
      <c r="GCA71" s="459"/>
      <c r="GCB71" s="459"/>
      <c r="GCC71" s="459"/>
      <c r="GCD71" s="459"/>
      <c r="GCE71" s="459"/>
      <c r="GCF71" s="459"/>
      <c r="GCG71" s="459"/>
      <c r="GCH71" s="459"/>
      <c r="GCI71" s="459"/>
      <c r="GCJ71" s="459"/>
      <c r="GCK71" s="459"/>
      <c r="GCL71" s="459"/>
      <c r="GCM71" s="459"/>
      <c r="GCN71" s="459"/>
      <c r="GCO71" s="459"/>
      <c r="GCP71" s="459"/>
      <c r="GCQ71" s="459"/>
      <c r="GCR71" s="459"/>
      <c r="GCS71" s="459"/>
      <c r="GCT71" s="459"/>
      <c r="GCU71" s="459"/>
      <c r="GCV71" s="459"/>
      <c r="GCW71" s="459"/>
      <c r="GCX71" s="459"/>
      <c r="GCY71" s="459"/>
      <c r="GCZ71" s="459"/>
      <c r="GDA71" s="459"/>
      <c r="GDB71" s="459"/>
      <c r="GDC71" s="459"/>
      <c r="GDD71" s="459"/>
      <c r="GDE71" s="459"/>
      <c r="GDF71" s="459"/>
      <c r="GDG71" s="459"/>
      <c r="GDH71" s="459"/>
      <c r="GDI71" s="459"/>
      <c r="GDJ71" s="459"/>
      <c r="GDK71" s="459"/>
      <c r="GDL71" s="459"/>
      <c r="GDM71" s="459"/>
      <c r="GDN71" s="459"/>
      <c r="GDO71" s="459"/>
      <c r="GDP71" s="459"/>
      <c r="GDQ71" s="459"/>
      <c r="GDR71" s="459"/>
      <c r="GDS71" s="459"/>
      <c r="GDT71" s="459"/>
      <c r="GDU71" s="459"/>
      <c r="GDV71" s="459"/>
      <c r="GDW71" s="459"/>
      <c r="GDX71" s="459"/>
      <c r="GDY71" s="459"/>
      <c r="GDZ71" s="459"/>
      <c r="GEA71" s="459"/>
      <c r="GEB71" s="459"/>
      <c r="GEC71" s="459"/>
      <c r="GED71" s="459"/>
      <c r="GEE71" s="459"/>
      <c r="GEF71" s="459"/>
      <c r="GEG71" s="459"/>
      <c r="GEH71" s="459"/>
      <c r="GEI71" s="459"/>
      <c r="GEJ71" s="459"/>
      <c r="GEK71" s="459"/>
      <c r="GEL71" s="459"/>
      <c r="GEM71" s="459"/>
      <c r="GEN71" s="459"/>
      <c r="GEO71" s="459"/>
      <c r="GEP71" s="459"/>
      <c r="GEQ71" s="459"/>
      <c r="GER71" s="459"/>
      <c r="GES71" s="459"/>
      <c r="GET71" s="459"/>
      <c r="GEU71" s="459"/>
      <c r="GEV71" s="459"/>
      <c r="GEW71" s="459"/>
      <c r="GEX71" s="459"/>
      <c r="GEY71" s="459"/>
      <c r="GEZ71" s="459"/>
      <c r="GFA71" s="459"/>
      <c r="GFB71" s="459"/>
      <c r="GFC71" s="459"/>
      <c r="GFD71" s="459"/>
      <c r="GFE71" s="459"/>
      <c r="GFF71" s="459"/>
      <c r="GFG71" s="459"/>
      <c r="GFH71" s="459"/>
      <c r="GFI71" s="459"/>
      <c r="GFJ71" s="459"/>
      <c r="GFK71" s="459"/>
      <c r="GFL71" s="459"/>
      <c r="GFM71" s="459"/>
      <c r="GFN71" s="459"/>
      <c r="GFO71" s="459"/>
      <c r="GFP71" s="459"/>
      <c r="GFQ71" s="459"/>
      <c r="GFR71" s="459"/>
      <c r="GFS71" s="459"/>
      <c r="GFT71" s="459"/>
      <c r="GFU71" s="459"/>
      <c r="GFV71" s="459"/>
      <c r="GFW71" s="459"/>
      <c r="GFX71" s="459"/>
      <c r="GFY71" s="459"/>
      <c r="GFZ71" s="459"/>
      <c r="GGA71" s="459"/>
      <c r="GGB71" s="459"/>
      <c r="GGC71" s="459"/>
      <c r="GGD71" s="459"/>
      <c r="GGE71" s="459"/>
      <c r="GGF71" s="459"/>
      <c r="GGG71" s="459"/>
      <c r="GGH71" s="459"/>
      <c r="GGI71" s="459"/>
      <c r="GGJ71" s="459"/>
      <c r="GGK71" s="459"/>
      <c r="GGL71" s="459"/>
      <c r="GGM71" s="459"/>
      <c r="GGN71" s="459"/>
      <c r="GGO71" s="459"/>
      <c r="GGP71" s="459"/>
      <c r="GGQ71" s="459"/>
      <c r="GGR71" s="459"/>
      <c r="GGS71" s="459"/>
      <c r="GGT71" s="459"/>
      <c r="GGU71" s="459"/>
      <c r="GGV71" s="459"/>
      <c r="GGW71" s="459"/>
      <c r="GGX71" s="459"/>
      <c r="GGY71" s="459"/>
      <c r="GGZ71" s="459"/>
      <c r="GHA71" s="459"/>
      <c r="GHB71" s="459"/>
      <c r="GHC71" s="459"/>
      <c r="GHD71" s="459"/>
      <c r="GHE71" s="459"/>
      <c r="GHF71" s="459"/>
      <c r="GHG71" s="459"/>
      <c r="GHH71" s="459"/>
      <c r="GHI71" s="459"/>
      <c r="GHJ71" s="459"/>
      <c r="GHK71" s="459"/>
      <c r="GHL71" s="459"/>
      <c r="GHM71" s="459"/>
      <c r="GHN71" s="459"/>
      <c r="GHO71" s="459"/>
      <c r="GHP71" s="459"/>
      <c r="GHQ71" s="459"/>
      <c r="GHR71" s="459"/>
      <c r="GHS71" s="459"/>
      <c r="GHT71" s="459"/>
      <c r="GHU71" s="459"/>
      <c r="GHV71" s="459"/>
      <c r="GHW71" s="459"/>
      <c r="GHX71" s="459"/>
      <c r="GHY71" s="459"/>
      <c r="GHZ71" s="459"/>
      <c r="GIA71" s="459"/>
      <c r="GIB71" s="459"/>
      <c r="GIC71" s="459"/>
      <c r="GID71" s="459"/>
      <c r="GIE71" s="459"/>
      <c r="GIF71" s="459"/>
      <c r="GIG71" s="459"/>
      <c r="GIH71" s="459"/>
      <c r="GII71" s="459"/>
      <c r="GIJ71" s="459"/>
      <c r="GIK71" s="459"/>
      <c r="GIL71" s="459"/>
      <c r="GIM71" s="459"/>
      <c r="GIN71" s="459"/>
      <c r="GIO71" s="459"/>
      <c r="GIP71" s="459"/>
      <c r="GIQ71" s="459"/>
      <c r="GIR71" s="459"/>
      <c r="GIS71" s="459"/>
      <c r="GIT71" s="459"/>
      <c r="GIU71" s="459"/>
      <c r="GIV71" s="459"/>
      <c r="GIW71" s="459"/>
      <c r="GIX71" s="459"/>
      <c r="GIY71" s="459"/>
      <c r="GIZ71" s="459"/>
      <c r="GJA71" s="459"/>
      <c r="GJB71" s="459"/>
      <c r="GJC71" s="459"/>
      <c r="GJD71" s="459"/>
      <c r="GJE71" s="459"/>
      <c r="GJF71" s="459"/>
      <c r="GJG71" s="459"/>
      <c r="GJH71" s="459"/>
      <c r="GJI71" s="459"/>
      <c r="GJJ71" s="459"/>
      <c r="GJK71" s="459"/>
      <c r="GJL71" s="459"/>
      <c r="GJM71" s="459"/>
      <c r="GJN71" s="459"/>
      <c r="GJO71" s="459"/>
      <c r="GJP71" s="459"/>
      <c r="GJQ71" s="459"/>
      <c r="GJR71" s="459"/>
      <c r="GJS71" s="459"/>
      <c r="GJT71" s="459"/>
      <c r="GJU71" s="459"/>
      <c r="GJV71" s="459"/>
      <c r="GJW71" s="459"/>
      <c r="GJX71" s="459"/>
      <c r="GJY71" s="459"/>
      <c r="GJZ71" s="459"/>
      <c r="GKA71" s="459"/>
      <c r="GKB71" s="459"/>
      <c r="GKC71" s="459"/>
      <c r="GKD71" s="459"/>
      <c r="GKE71" s="459"/>
      <c r="GKF71" s="459"/>
      <c r="GKG71" s="459"/>
      <c r="GKH71" s="459"/>
      <c r="GKI71" s="459"/>
      <c r="GKJ71" s="459"/>
      <c r="GKK71" s="459"/>
      <c r="GKL71" s="459"/>
      <c r="GKM71" s="459"/>
      <c r="GKN71" s="459"/>
      <c r="GKO71" s="459"/>
      <c r="GKP71" s="459"/>
      <c r="GKQ71" s="459"/>
      <c r="GKR71" s="459"/>
      <c r="GKS71" s="459"/>
      <c r="GKT71" s="459"/>
      <c r="GKU71" s="459"/>
      <c r="GKV71" s="459"/>
      <c r="GKW71" s="459"/>
      <c r="GKX71" s="459"/>
      <c r="GKY71" s="459"/>
      <c r="GKZ71" s="459"/>
      <c r="GLA71" s="459"/>
      <c r="GLB71" s="459"/>
      <c r="GLC71" s="459"/>
      <c r="GLD71" s="459"/>
      <c r="GLE71" s="459"/>
      <c r="GLF71" s="459"/>
      <c r="GLG71" s="459"/>
      <c r="GLH71" s="459"/>
      <c r="GLI71" s="459"/>
      <c r="GLJ71" s="459"/>
      <c r="GLK71" s="459"/>
      <c r="GLL71" s="459"/>
      <c r="GLM71" s="459"/>
      <c r="GLN71" s="459"/>
      <c r="GLO71" s="459"/>
      <c r="GLP71" s="459"/>
      <c r="GLQ71" s="459"/>
      <c r="GLR71" s="459"/>
      <c r="GLS71" s="459"/>
      <c r="GLT71" s="459"/>
      <c r="GLU71" s="459"/>
      <c r="GLV71" s="459"/>
      <c r="GLW71" s="459"/>
      <c r="GLX71" s="459"/>
      <c r="GLY71" s="459"/>
      <c r="GLZ71" s="459"/>
      <c r="GMA71" s="459"/>
      <c r="GMB71" s="459"/>
      <c r="GMC71" s="459"/>
      <c r="GMD71" s="459"/>
      <c r="GME71" s="459"/>
      <c r="GMF71" s="459"/>
      <c r="GMG71" s="459"/>
      <c r="GMH71" s="459"/>
      <c r="GMI71" s="459"/>
      <c r="GMJ71" s="459"/>
      <c r="GMK71" s="459"/>
      <c r="GML71" s="459"/>
      <c r="GMM71" s="459"/>
      <c r="GMN71" s="459"/>
      <c r="GMO71" s="459"/>
      <c r="GMP71" s="459"/>
      <c r="GMQ71" s="459"/>
      <c r="GMR71" s="459"/>
      <c r="GMS71" s="459"/>
      <c r="GMT71" s="459"/>
      <c r="GMU71" s="459"/>
      <c r="GMV71" s="459"/>
      <c r="GMW71" s="459"/>
      <c r="GMX71" s="459"/>
      <c r="GMY71" s="459"/>
      <c r="GMZ71" s="459"/>
      <c r="GNA71" s="459"/>
      <c r="GNB71" s="459"/>
      <c r="GNC71" s="459"/>
      <c r="GND71" s="459"/>
      <c r="GNE71" s="459"/>
      <c r="GNF71" s="459"/>
      <c r="GNG71" s="459"/>
      <c r="GNH71" s="459"/>
      <c r="GNI71" s="459"/>
      <c r="GNJ71" s="459"/>
      <c r="GNK71" s="459"/>
      <c r="GNL71" s="459"/>
      <c r="GNM71" s="459"/>
      <c r="GNN71" s="459"/>
      <c r="GNO71" s="459"/>
      <c r="GNP71" s="459"/>
      <c r="GNQ71" s="459"/>
      <c r="GNR71" s="459"/>
      <c r="GNS71" s="459"/>
      <c r="GNT71" s="459"/>
      <c r="GNU71" s="459"/>
      <c r="GNV71" s="459"/>
      <c r="GNW71" s="459"/>
      <c r="GNX71" s="459"/>
      <c r="GNY71" s="459"/>
      <c r="GNZ71" s="459"/>
      <c r="GOA71" s="459"/>
      <c r="GOB71" s="459"/>
      <c r="GOC71" s="459"/>
      <c r="GOD71" s="459"/>
      <c r="GOE71" s="459"/>
      <c r="GOF71" s="459"/>
      <c r="GOG71" s="459"/>
      <c r="GOH71" s="459"/>
      <c r="GOI71" s="459"/>
      <c r="GOJ71" s="459"/>
      <c r="GOK71" s="459"/>
      <c r="GOL71" s="459"/>
      <c r="GOM71" s="459"/>
      <c r="GON71" s="459"/>
      <c r="GOO71" s="459"/>
      <c r="GOP71" s="459"/>
      <c r="GOQ71" s="459"/>
      <c r="GOR71" s="459"/>
      <c r="GOS71" s="459"/>
      <c r="GOT71" s="459"/>
      <c r="GOU71" s="459"/>
      <c r="GOV71" s="459"/>
      <c r="GOW71" s="459"/>
      <c r="GOX71" s="459"/>
      <c r="GOY71" s="459"/>
      <c r="GOZ71" s="459"/>
      <c r="GPA71" s="459"/>
      <c r="GPB71" s="459"/>
      <c r="GPC71" s="459"/>
      <c r="GPD71" s="459"/>
      <c r="GPE71" s="459"/>
      <c r="GPF71" s="459"/>
      <c r="GPG71" s="459"/>
      <c r="GPH71" s="459"/>
      <c r="GPI71" s="459"/>
      <c r="GPJ71" s="459"/>
      <c r="GPK71" s="459"/>
      <c r="GPL71" s="459"/>
      <c r="GPM71" s="459"/>
      <c r="GPN71" s="459"/>
      <c r="GPO71" s="459"/>
      <c r="GPP71" s="459"/>
      <c r="GPQ71" s="459"/>
      <c r="GPR71" s="459"/>
      <c r="GPS71" s="459"/>
      <c r="GPT71" s="459"/>
      <c r="GPU71" s="459"/>
      <c r="GPV71" s="459"/>
      <c r="GPW71" s="459"/>
      <c r="GPX71" s="459"/>
      <c r="GPY71" s="459"/>
      <c r="GPZ71" s="459"/>
      <c r="GQA71" s="459"/>
      <c r="GQB71" s="459"/>
      <c r="GQC71" s="459"/>
      <c r="GQD71" s="459"/>
      <c r="GQE71" s="459"/>
      <c r="GQF71" s="459"/>
      <c r="GQG71" s="459"/>
      <c r="GQH71" s="459"/>
      <c r="GQI71" s="459"/>
      <c r="GQJ71" s="459"/>
      <c r="GQK71" s="459"/>
      <c r="GQL71" s="459"/>
      <c r="GQM71" s="459"/>
      <c r="GQN71" s="459"/>
      <c r="GQO71" s="459"/>
      <c r="GQP71" s="459"/>
      <c r="GQQ71" s="459"/>
      <c r="GQR71" s="459"/>
      <c r="GQS71" s="459"/>
      <c r="GQT71" s="459"/>
      <c r="GQU71" s="459"/>
      <c r="GQV71" s="459"/>
      <c r="GQW71" s="459"/>
      <c r="GQX71" s="459"/>
      <c r="GQY71" s="459"/>
      <c r="GQZ71" s="459"/>
      <c r="GRA71" s="459"/>
      <c r="GRB71" s="459"/>
      <c r="GRC71" s="459"/>
      <c r="GRD71" s="459"/>
      <c r="GRE71" s="459"/>
      <c r="GRF71" s="459"/>
      <c r="GRG71" s="459"/>
      <c r="GRH71" s="459"/>
      <c r="GRI71" s="459"/>
      <c r="GRJ71" s="459"/>
      <c r="GRK71" s="459"/>
      <c r="GRL71" s="459"/>
      <c r="GRM71" s="459"/>
      <c r="GRN71" s="459"/>
      <c r="GRO71" s="459"/>
      <c r="GRP71" s="459"/>
      <c r="GRQ71" s="459"/>
      <c r="GRR71" s="459"/>
      <c r="GRS71" s="459"/>
      <c r="GRT71" s="459"/>
      <c r="GRU71" s="459"/>
      <c r="GRV71" s="459"/>
      <c r="GRW71" s="459"/>
      <c r="GRX71" s="459"/>
      <c r="GRY71" s="459"/>
      <c r="GRZ71" s="459"/>
      <c r="GSA71" s="459"/>
      <c r="GSB71" s="459"/>
      <c r="GSC71" s="459"/>
      <c r="GSD71" s="459"/>
      <c r="GSE71" s="459"/>
      <c r="GSF71" s="459"/>
      <c r="GSG71" s="459"/>
      <c r="GSH71" s="459"/>
      <c r="GSI71" s="459"/>
      <c r="GSJ71" s="459"/>
      <c r="GSK71" s="459"/>
      <c r="GSL71" s="459"/>
      <c r="GSM71" s="459"/>
      <c r="GSN71" s="459"/>
      <c r="GSO71" s="459"/>
      <c r="GSP71" s="459"/>
      <c r="GSQ71" s="459"/>
      <c r="GSR71" s="459"/>
      <c r="GSS71" s="459"/>
      <c r="GST71" s="459"/>
      <c r="GSU71" s="459"/>
      <c r="GSV71" s="459"/>
      <c r="GSW71" s="459"/>
      <c r="GSX71" s="459"/>
      <c r="GSY71" s="459"/>
      <c r="GSZ71" s="459"/>
      <c r="GTA71" s="459"/>
      <c r="GTB71" s="459"/>
      <c r="GTC71" s="459"/>
      <c r="GTD71" s="459"/>
      <c r="GTE71" s="459"/>
      <c r="GTF71" s="459"/>
      <c r="GTG71" s="459"/>
      <c r="GTH71" s="459"/>
      <c r="GTI71" s="459"/>
      <c r="GTJ71" s="459"/>
      <c r="GTK71" s="459"/>
      <c r="GTL71" s="459"/>
      <c r="GTM71" s="459"/>
      <c r="GTN71" s="459"/>
      <c r="GTO71" s="459"/>
      <c r="GTP71" s="459"/>
      <c r="GTQ71" s="459"/>
      <c r="GTR71" s="459"/>
      <c r="GTS71" s="459"/>
      <c r="GTT71" s="459"/>
      <c r="GTU71" s="459"/>
      <c r="GTV71" s="459"/>
      <c r="GTW71" s="459"/>
      <c r="GTX71" s="459"/>
      <c r="GTY71" s="459"/>
      <c r="GTZ71" s="459"/>
      <c r="GUA71" s="459"/>
      <c r="GUB71" s="459"/>
      <c r="GUC71" s="459"/>
      <c r="GUD71" s="459"/>
      <c r="GUE71" s="459"/>
      <c r="GUF71" s="459"/>
      <c r="GUG71" s="459"/>
      <c r="GUH71" s="459"/>
      <c r="GUI71" s="459"/>
      <c r="GUJ71" s="459"/>
      <c r="GUK71" s="459"/>
      <c r="GUL71" s="459"/>
      <c r="GUM71" s="459"/>
      <c r="GUN71" s="459"/>
      <c r="GUO71" s="459"/>
      <c r="GUP71" s="459"/>
      <c r="GUQ71" s="459"/>
      <c r="GUR71" s="459"/>
      <c r="GUS71" s="459"/>
      <c r="GUT71" s="459"/>
      <c r="GUU71" s="459"/>
      <c r="GUV71" s="459"/>
      <c r="GUW71" s="459"/>
      <c r="GUX71" s="459"/>
      <c r="GUY71" s="459"/>
      <c r="GUZ71" s="459"/>
      <c r="GVA71" s="459"/>
      <c r="GVB71" s="459"/>
      <c r="GVC71" s="459"/>
      <c r="GVD71" s="459"/>
      <c r="GVE71" s="459"/>
      <c r="GVF71" s="459"/>
      <c r="GVG71" s="459"/>
      <c r="GVH71" s="459"/>
      <c r="GVI71" s="459"/>
      <c r="GVJ71" s="459"/>
      <c r="GVK71" s="459"/>
      <c r="GVL71" s="459"/>
      <c r="GVM71" s="459"/>
      <c r="GVN71" s="459"/>
      <c r="GVO71" s="459"/>
      <c r="GVP71" s="459"/>
      <c r="GVQ71" s="459"/>
      <c r="GVR71" s="459"/>
      <c r="GVS71" s="459"/>
      <c r="GVT71" s="459"/>
      <c r="GVU71" s="459"/>
      <c r="GVV71" s="459"/>
      <c r="GVW71" s="459"/>
      <c r="GVX71" s="459"/>
      <c r="GVY71" s="459"/>
      <c r="GVZ71" s="459"/>
      <c r="GWA71" s="459"/>
      <c r="GWB71" s="459"/>
      <c r="GWC71" s="459"/>
      <c r="GWD71" s="459"/>
      <c r="GWE71" s="459"/>
      <c r="GWF71" s="459"/>
      <c r="GWG71" s="459"/>
      <c r="GWH71" s="459"/>
      <c r="GWI71" s="459"/>
      <c r="GWJ71" s="459"/>
      <c r="GWK71" s="459"/>
      <c r="GWL71" s="459"/>
      <c r="GWM71" s="459"/>
      <c r="GWN71" s="459"/>
      <c r="GWO71" s="459"/>
      <c r="GWP71" s="459"/>
      <c r="GWQ71" s="459"/>
      <c r="GWR71" s="459"/>
      <c r="GWS71" s="459"/>
      <c r="GWT71" s="459"/>
      <c r="GWU71" s="459"/>
      <c r="GWV71" s="459"/>
      <c r="GWW71" s="459"/>
      <c r="GWX71" s="459"/>
      <c r="GWY71" s="459"/>
      <c r="GWZ71" s="459"/>
      <c r="GXA71" s="459"/>
      <c r="GXB71" s="459"/>
      <c r="GXC71" s="459"/>
      <c r="GXD71" s="459"/>
      <c r="GXE71" s="459"/>
      <c r="GXF71" s="459"/>
      <c r="GXG71" s="459"/>
      <c r="GXH71" s="459"/>
      <c r="GXI71" s="459"/>
      <c r="GXJ71" s="459"/>
      <c r="GXK71" s="459"/>
      <c r="GXL71" s="459"/>
      <c r="GXM71" s="459"/>
      <c r="GXN71" s="459"/>
      <c r="GXO71" s="459"/>
      <c r="GXP71" s="459"/>
      <c r="GXQ71" s="459"/>
      <c r="GXR71" s="459"/>
      <c r="GXS71" s="459"/>
      <c r="GXT71" s="459"/>
      <c r="GXU71" s="459"/>
      <c r="GXV71" s="459"/>
      <c r="GXW71" s="459"/>
      <c r="GXX71" s="459"/>
      <c r="GXY71" s="459"/>
      <c r="GXZ71" s="459"/>
      <c r="GYA71" s="459"/>
      <c r="GYB71" s="459"/>
      <c r="GYC71" s="459"/>
      <c r="GYD71" s="459"/>
      <c r="GYE71" s="459"/>
      <c r="GYF71" s="459"/>
      <c r="GYG71" s="459"/>
      <c r="GYH71" s="459"/>
      <c r="GYI71" s="459"/>
      <c r="GYJ71" s="459"/>
      <c r="GYK71" s="459"/>
      <c r="GYL71" s="459"/>
      <c r="GYM71" s="459"/>
      <c r="GYN71" s="459"/>
      <c r="GYO71" s="459"/>
      <c r="GYP71" s="459"/>
      <c r="GYQ71" s="459"/>
      <c r="GYR71" s="459"/>
      <c r="GYS71" s="459"/>
      <c r="GYT71" s="459"/>
      <c r="GYU71" s="459"/>
      <c r="GYV71" s="459"/>
      <c r="GYW71" s="459"/>
      <c r="GYX71" s="459"/>
      <c r="GYY71" s="459"/>
      <c r="GYZ71" s="459"/>
      <c r="GZA71" s="459"/>
      <c r="GZB71" s="459"/>
      <c r="GZC71" s="459"/>
      <c r="GZD71" s="459"/>
      <c r="GZE71" s="459"/>
      <c r="GZF71" s="459"/>
      <c r="GZG71" s="459"/>
      <c r="GZH71" s="459"/>
      <c r="GZI71" s="459"/>
      <c r="GZJ71" s="459"/>
      <c r="GZK71" s="459"/>
      <c r="GZL71" s="459"/>
      <c r="GZM71" s="459"/>
      <c r="GZN71" s="459"/>
      <c r="GZO71" s="459"/>
      <c r="GZP71" s="459"/>
      <c r="GZQ71" s="459"/>
      <c r="GZR71" s="459"/>
      <c r="GZS71" s="459"/>
      <c r="GZT71" s="459"/>
      <c r="GZU71" s="459"/>
      <c r="GZV71" s="459"/>
      <c r="GZW71" s="459"/>
      <c r="GZX71" s="459"/>
      <c r="GZY71" s="459"/>
      <c r="GZZ71" s="459"/>
      <c r="HAA71" s="459"/>
      <c r="HAB71" s="459"/>
      <c r="HAC71" s="459"/>
      <c r="HAD71" s="459"/>
      <c r="HAE71" s="459"/>
      <c r="HAF71" s="459"/>
      <c r="HAG71" s="459"/>
      <c r="HAH71" s="459"/>
      <c r="HAI71" s="459"/>
      <c r="HAJ71" s="459"/>
      <c r="HAK71" s="459"/>
      <c r="HAL71" s="459"/>
      <c r="HAM71" s="459"/>
      <c r="HAN71" s="459"/>
      <c r="HAO71" s="459"/>
      <c r="HAP71" s="459"/>
      <c r="HAQ71" s="459"/>
      <c r="HAR71" s="459"/>
      <c r="HAS71" s="459"/>
      <c r="HAT71" s="459"/>
      <c r="HAU71" s="459"/>
      <c r="HAV71" s="459"/>
      <c r="HAW71" s="459"/>
      <c r="HAX71" s="459"/>
      <c r="HAY71" s="459"/>
      <c r="HAZ71" s="459"/>
      <c r="HBA71" s="459"/>
      <c r="HBB71" s="459"/>
      <c r="HBC71" s="459"/>
      <c r="HBD71" s="459"/>
      <c r="HBE71" s="459"/>
      <c r="HBF71" s="459"/>
      <c r="HBG71" s="459"/>
      <c r="HBH71" s="459"/>
      <c r="HBI71" s="459"/>
      <c r="HBJ71" s="459"/>
      <c r="HBK71" s="459"/>
      <c r="HBL71" s="459"/>
      <c r="HBM71" s="459"/>
      <c r="HBN71" s="459"/>
      <c r="HBO71" s="459"/>
      <c r="HBP71" s="459"/>
      <c r="HBQ71" s="459"/>
      <c r="HBR71" s="459"/>
      <c r="HBS71" s="459"/>
      <c r="HBT71" s="459"/>
      <c r="HBU71" s="459"/>
      <c r="HBV71" s="459"/>
      <c r="HBW71" s="459"/>
      <c r="HBX71" s="459"/>
      <c r="HBY71" s="459"/>
      <c r="HBZ71" s="459"/>
      <c r="HCA71" s="459"/>
      <c r="HCB71" s="459"/>
      <c r="HCC71" s="459"/>
      <c r="HCD71" s="459"/>
      <c r="HCE71" s="459"/>
      <c r="HCF71" s="459"/>
      <c r="HCG71" s="459"/>
      <c r="HCH71" s="459"/>
      <c r="HCI71" s="459"/>
      <c r="HCJ71" s="459"/>
      <c r="HCK71" s="459"/>
      <c r="HCL71" s="459"/>
      <c r="HCM71" s="459"/>
      <c r="HCN71" s="459"/>
      <c r="HCO71" s="459"/>
      <c r="HCP71" s="459"/>
      <c r="HCQ71" s="459"/>
      <c r="HCR71" s="459"/>
      <c r="HCS71" s="459"/>
      <c r="HCT71" s="459"/>
      <c r="HCU71" s="459"/>
      <c r="HCV71" s="459"/>
      <c r="HCW71" s="459"/>
      <c r="HCX71" s="459"/>
      <c r="HCY71" s="459"/>
      <c r="HCZ71" s="459"/>
      <c r="HDA71" s="459"/>
      <c r="HDB71" s="459"/>
      <c r="HDC71" s="459"/>
      <c r="HDD71" s="459"/>
      <c r="HDE71" s="459"/>
      <c r="HDF71" s="459"/>
      <c r="HDG71" s="459"/>
      <c r="HDH71" s="459"/>
      <c r="HDI71" s="459"/>
      <c r="HDJ71" s="459"/>
      <c r="HDK71" s="459"/>
      <c r="HDL71" s="459"/>
      <c r="HDM71" s="459"/>
      <c r="HDN71" s="459"/>
      <c r="HDO71" s="459"/>
      <c r="HDP71" s="459"/>
      <c r="HDQ71" s="459"/>
      <c r="HDR71" s="459"/>
      <c r="HDS71" s="459"/>
      <c r="HDT71" s="459"/>
      <c r="HDU71" s="459"/>
      <c r="HDV71" s="459"/>
      <c r="HDW71" s="459"/>
      <c r="HDX71" s="459"/>
      <c r="HDY71" s="459"/>
      <c r="HDZ71" s="459"/>
      <c r="HEA71" s="459"/>
      <c r="HEB71" s="459"/>
      <c r="HEC71" s="459"/>
      <c r="HED71" s="459"/>
      <c r="HEE71" s="459"/>
      <c r="HEF71" s="459"/>
      <c r="HEG71" s="459"/>
      <c r="HEH71" s="459"/>
      <c r="HEI71" s="459"/>
      <c r="HEJ71" s="459"/>
      <c r="HEK71" s="459"/>
      <c r="HEL71" s="459"/>
      <c r="HEM71" s="459"/>
      <c r="HEN71" s="459"/>
      <c r="HEO71" s="459"/>
      <c r="HEP71" s="459"/>
      <c r="HEQ71" s="459"/>
      <c r="HER71" s="459"/>
      <c r="HES71" s="459"/>
      <c r="HET71" s="459"/>
      <c r="HEU71" s="459"/>
      <c r="HEV71" s="459"/>
      <c r="HEW71" s="459"/>
      <c r="HEX71" s="459"/>
      <c r="HEY71" s="459"/>
      <c r="HEZ71" s="459"/>
      <c r="HFA71" s="459"/>
      <c r="HFB71" s="459"/>
      <c r="HFC71" s="459"/>
      <c r="HFD71" s="459"/>
      <c r="HFE71" s="459"/>
      <c r="HFF71" s="459"/>
      <c r="HFG71" s="459"/>
      <c r="HFH71" s="459"/>
      <c r="HFI71" s="459"/>
      <c r="HFJ71" s="459"/>
      <c r="HFK71" s="459"/>
      <c r="HFL71" s="459"/>
      <c r="HFM71" s="459"/>
      <c r="HFN71" s="459"/>
      <c r="HFO71" s="459"/>
      <c r="HFP71" s="459"/>
      <c r="HFQ71" s="459"/>
      <c r="HFR71" s="459"/>
      <c r="HFS71" s="459"/>
      <c r="HFT71" s="459"/>
      <c r="HFU71" s="459"/>
      <c r="HFV71" s="459"/>
      <c r="HFW71" s="459"/>
      <c r="HFX71" s="459"/>
      <c r="HFY71" s="459"/>
      <c r="HFZ71" s="459"/>
      <c r="HGA71" s="459"/>
      <c r="HGB71" s="459"/>
      <c r="HGC71" s="459"/>
      <c r="HGD71" s="459"/>
      <c r="HGE71" s="459"/>
      <c r="HGF71" s="459"/>
      <c r="HGG71" s="459"/>
      <c r="HGH71" s="459"/>
      <c r="HGI71" s="459"/>
      <c r="HGJ71" s="459"/>
      <c r="HGK71" s="459"/>
      <c r="HGL71" s="459"/>
      <c r="HGM71" s="459"/>
      <c r="HGN71" s="459"/>
      <c r="HGO71" s="459"/>
      <c r="HGP71" s="459"/>
      <c r="HGQ71" s="459"/>
      <c r="HGR71" s="459"/>
      <c r="HGS71" s="459"/>
      <c r="HGT71" s="459"/>
      <c r="HGU71" s="459"/>
      <c r="HGV71" s="459"/>
      <c r="HGW71" s="459"/>
      <c r="HGX71" s="459"/>
      <c r="HGY71" s="459"/>
      <c r="HGZ71" s="459"/>
      <c r="HHA71" s="459"/>
      <c r="HHB71" s="459"/>
      <c r="HHC71" s="459"/>
      <c r="HHD71" s="459"/>
      <c r="HHE71" s="459"/>
      <c r="HHF71" s="459"/>
      <c r="HHG71" s="459"/>
      <c r="HHH71" s="459"/>
      <c r="HHI71" s="459"/>
      <c r="HHJ71" s="459"/>
      <c r="HHK71" s="459"/>
      <c r="HHL71" s="459"/>
      <c r="HHM71" s="459"/>
      <c r="HHN71" s="459"/>
      <c r="HHO71" s="459"/>
      <c r="HHP71" s="459"/>
      <c r="HHQ71" s="459"/>
      <c r="HHR71" s="459"/>
      <c r="HHS71" s="459"/>
      <c r="HHT71" s="459"/>
      <c r="HHU71" s="459"/>
      <c r="HHV71" s="459"/>
      <c r="HHW71" s="459"/>
      <c r="HHX71" s="459"/>
      <c r="HHY71" s="459"/>
      <c r="HHZ71" s="459"/>
      <c r="HIA71" s="459"/>
      <c r="HIB71" s="459"/>
      <c r="HIC71" s="459"/>
      <c r="HID71" s="459"/>
      <c r="HIE71" s="459"/>
      <c r="HIF71" s="459"/>
      <c r="HIG71" s="459"/>
      <c r="HIH71" s="459"/>
      <c r="HII71" s="459"/>
      <c r="HIJ71" s="459"/>
      <c r="HIK71" s="459"/>
      <c r="HIL71" s="459"/>
      <c r="HIM71" s="459"/>
      <c r="HIN71" s="459"/>
      <c r="HIO71" s="459"/>
      <c r="HIP71" s="459"/>
      <c r="HIQ71" s="459"/>
      <c r="HIR71" s="459"/>
      <c r="HIS71" s="459"/>
      <c r="HIT71" s="459"/>
      <c r="HIU71" s="459"/>
      <c r="HIV71" s="459"/>
      <c r="HIW71" s="459"/>
      <c r="HIX71" s="459"/>
      <c r="HIY71" s="459"/>
      <c r="HIZ71" s="459"/>
      <c r="HJA71" s="459"/>
      <c r="HJB71" s="459"/>
      <c r="HJC71" s="459"/>
      <c r="HJD71" s="459"/>
      <c r="HJE71" s="459"/>
      <c r="HJF71" s="459"/>
      <c r="HJG71" s="459"/>
      <c r="HJH71" s="459"/>
      <c r="HJI71" s="459"/>
      <c r="HJJ71" s="459"/>
      <c r="HJK71" s="459"/>
      <c r="HJL71" s="459"/>
      <c r="HJM71" s="459"/>
      <c r="HJN71" s="459"/>
      <c r="HJO71" s="459"/>
      <c r="HJP71" s="459"/>
      <c r="HJQ71" s="459"/>
      <c r="HJR71" s="459"/>
      <c r="HJS71" s="459"/>
      <c r="HJT71" s="459"/>
      <c r="HJU71" s="459"/>
      <c r="HJV71" s="459"/>
      <c r="HJW71" s="459"/>
      <c r="HJX71" s="459"/>
      <c r="HJY71" s="459"/>
      <c r="HJZ71" s="459"/>
      <c r="HKA71" s="459"/>
      <c r="HKB71" s="459"/>
      <c r="HKC71" s="459"/>
      <c r="HKD71" s="459"/>
      <c r="HKE71" s="459"/>
      <c r="HKF71" s="459"/>
      <c r="HKG71" s="459"/>
      <c r="HKH71" s="459"/>
      <c r="HKI71" s="459"/>
      <c r="HKJ71" s="459"/>
      <c r="HKK71" s="459"/>
      <c r="HKL71" s="459"/>
      <c r="HKM71" s="459"/>
      <c r="HKN71" s="459"/>
      <c r="HKO71" s="459"/>
      <c r="HKP71" s="459"/>
      <c r="HKQ71" s="459"/>
      <c r="HKR71" s="459"/>
      <c r="HKS71" s="459"/>
      <c r="HKT71" s="459"/>
      <c r="HKU71" s="459"/>
      <c r="HKV71" s="459"/>
      <c r="HKW71" s="459"/>
      <c r="HKX71" s="459"/>
      <c r="HKY71" s="459"/>
      <c r="HKZ71" s="459"/>
      <c r="HLA71" s="459"/>
      <c r="HLB71" s="459"/>
      <c r="HLC71" s="459"/>
      <c r="HLD71" s="459"/>
      <c r="HLE71" s="459"/>
      <c r="HLF71" s="459"/>
      <c r="HLG71" s="459"/>
      <c r="HLH71" s="459"/>
      <c r="HLI71" s="459"/>
      <c r="HLJ71" s="459"/>
      <c r="HLK71" s="459"/>
      <c r="HLL71" s="459"/>
      <c r="HLM71" s="459"/>
      <c r="HLN71" s="459"/>
      <c r="HLO71" s="459"/>
      <c r="HLP71" s="459"/>
      <c r="HLQ71" s="459"/>
      <c r="HLR71" s="459"/>
      <c r="HLS71" s="459"/>
      <c r="HLT71" s="459"/>
      <c r="HLU71" s="459"/>
      <c r="HLV71" s="459"/>
      <c r="HLW71" s="459"/>
      <c r="HLX71" s="459"/>
      <c r="HLY71" s="459"/>
      <c r="HLZ71" s="459"/>
      <c r="HMA71" s="459"/>
      <c r="HMB71" s="459"/>
      <c r="HMC71" s="459"/>
      <c r="HMD71" s="459"/>
      <c r="HME71" s="459"/>
      <c r="HMF71" s="459"/>
      <c r="HMG71" s="459"/>
      <c r="HMH71" s="459"/>
      <c r="HMI71" s="459"/>
      <c r="HMJ71" s="459"/>
      <c r="HMK71" s="459"/>
      <c r="HML71" s="459"/>
      <c r="HMM71" s="459"/>
      <c r="HMN71" s="459"/>
      <c r="HMO71" s="459"/>
      <c r="HMP71" s="459"/>
      <c r="HMQ71" s="459"/>
      <c r="HMR71" s="459"/>
      <c r="HMS71" s="459"/>
      <c r="HMT71" s="459"/>
      <c r="HMU71" s="459"/>
      <c r="HMV71" s="459"/>
      <c r="HMW71" s="459"/>
      <c r="HMX71" s="459"/>
      <c r="HMY71" s="459"/>
      <c r="HMZ71" s="459"/>
      <c r="HNA71" s="459"/>
      <c r="HNB71" s="459"/>
      <c r="HNC71" s="459"/>
      <c r="HND71" s="459"/>
      <c r="HNE71" s="459"/>
      <c r="HNF71" s="459"/>
      <c r="HNG71" s="459"/>
      <c r="HNH71" s="459"/>
      <c r="HNI71" s="459"/>
      <c r="HNJ71" s="459"/>
      <c r="HNK71" s="459"/>
      <c r="HNL71" s="459"/>
      <c r="HNM71" s="459"/>
      <c r="HNN71" s="459"/>
      <c r="HNO71" s="459"/>
      <c r="HNP71" s="459"/>
      <c r="HNQ71" s="459"/>
      <c r="HNR71" s="459"/>
      <c r="HNS71" s="459"/>
      <c r="HNT71" s="459"/>
      <c r="HNU71" s="459"/>
      <c r="HNV71" s="459"/>
      <c r="HNW71" s="459"/>
      <c r="HNX71" s="459"/>
      <c r="HNY71" s="459"/>
      <c r="HNZ71" s="459"/>
      <c r="HOA71" s="459"/>
      <c r="HOB71" s="459"/>
      <c r="HOC71" s="459"/>
      <c r="HOD71" s="459"/>
      <c r="HOE71" s="459"/>
      <c r="HOF71" s="459"/>
      <c r="HOG71" s="459"/>
      <c r="HOH71" s="459"/>
      <c r="HOI71" s="459"/>
      <c r="HOJ71" s="459"/>
      <c r="HOK71" s="459"/>
      <c r="HOL71" s="459"/>
      <c r="HOM71" s="459"/>
      <c r="HON71" s="459"/>
      <c r="HOO71" s="459"/>
      <c r="HOP71" s="459"/>
      <c r="HOQ71" s="459"/>
      <c r="HOR71" s="459"/>
      <c r="HOS71" s="459"/>
      <c r="HOT71" s="459"/>
      <c r="HOU71" s="459"/>
      <c r="HOV71" s="459"/>
      <c r="HOW71" s="459"/>
      <c r="HOX71" s="459"/>
      <c r="HOY71" s="459"/>
      <c r="HOZ71" s="459"/>
      <c r="HPA71" s="459"/>
      <c r="HPB71" s="459"/>
      <c r="HPC71" s="459"/>
      <c r="HPD71" s="459"/>
      <c r="HPE71" s="459"/>
      <c r="HPF71" s="459"/>
      <c r="HPG71" s="459"/>
      <c r="HPH71" s="459"/>
      <c r="HPI71" s="459"/>
      <c r="HPJ71" s="459"/>
      <c r="HPK71" s="459"/>
      <c r="HPL71" s="459"/>
      <c r="HPM71" s="459"/>
      <c r="HPN71" s="459"/>
      <c r="HPO71" s="459"/>
      <c r="HPP71" s="459"/>
      <c r="HPQ71" s="459"/>
      <c r="HPR71" s="459"/>
      <c r="HPS71" s="459"/>
      <c r="HPT71" s="459"/>
      <c r="HPU71" s="459"/>
      <c r="HPV71" s="459"/>
      <c r="HPW71" s="459"/>
      <c r="HPX71" s="459"/>
      <c r="HPY71" s="459"/>
      <c r="HPZ71" s="459"/>
      <c r="HQA71" s="459"/>
      <c r="HQB71" s="459"/>
      <c r="HQC71" s="459"/>
      <c r="HQD71" s="459"/>
      <c r="HQE71" s="459"/>
      <c r="HQF71" s="459"/>
      <c r="HQG71" s="459"/>
      <c r="HQH71" s="459"/>
      <c r="HQI71" s="459"/>
      <c r="HQJ71" s="459"/>
      <c r="HQK71" s="459"/>
      <c r="HQL71" s="459"/>
      <c r="HQM71" s="459"/>
      <c r="HQN71" s="459"/>
      <c r="HQO71" s="459"/>
      <c r="HQP71" s="459"/>
      <c r="HQQ71" s="459"/>
      <c r="HQR71" s="459"/>
      <c r="HQS71" s="459"/>
      <c r="HQT71" s="459"/>
      <c r="HQU71" s="459"/>
      <c r="HQV71" s="459"/>
      <c r="HQW71" s="459"/>
      <c r="HQX71" s="459"/>
      <c r="HQY71" s="459"/>
      <c r="HQZ71" s="459"/>
      <c r="HRA71" s="459"/>
      <c r="HRB71" s="459"/>
      <c r="HRC71" s="459"/>
      <c r="HRD71" s="459"/>
      <c r="HRE71" s="459"/>
      <c r="HRF71" s="459"/>
      <c r="HRG71" s="459"/>
      <c r="HRH71" s="459"/>
      <c r="HRI71" s="459"/>
      <c r="HRJ71" s="459"/>
      <c r="HRK71" s="459"/>
      <c r="HRL71" s="459"/>
      <c r="HRM71" s="459"/>
      <c r="HRN71" s="459"/>
      <c r="HRO71" s="459"/>
      <c r="HRP71" s="459"/>
      <c r="HRQ71" s="459"/>
      <c r="HRR71" s="459"/>
      <c r="HRS71" s="459"/>
      <c r="HRT71" s="459"/>
      <c r="HRU71" s="459"/>
      <c r="HRV71" s="459"/>
      <c r="HRW71" s="459"/>
      <c r="HRX71" s="459"/>
      <c r="HRY71" s="459"/>
      <c r="HRZ71" s="459"/>
      <c r="HSA71" s="459"/>
      <c r="HSB71" s="459"/>
      <c r="HSC71" s="459"/>
      <c r="HSD71" s="459"/>
      <c r="HSE71" s="459"/>
      <c r="HSF71" s="459"/>
      <c r="HSG71" s="459"/>
      <c r="HSH71" s="459"/>
      <c r="HSI71" s="459"/>
      <c r="HSJ71" s="459"/>
      <c r="HSK71" s="459"/>
      <c r="HSL71" s="459"/>
      <c r="HSM71" s="459"/>
      <c r="HSN71" s="459"/>
      <c r="HSO71" s="459"/>
      <c r="HSP71" s="459"/>
      <c r="HSQ71" s="459"/>
      <c r="HSR71" s="459"/>
      <c r="HSS71" s="459"/>
      <c r="HST71" s="459"/>
      <c r="HSU71" s="459"/>
      <c r="HSV71" s="459"/>
      <c r="HSW71" s="459"/>
      <c r="HSX71" s="459"/>
      <c r="HSY71" s="459"/>
      <c r="HSZ71" s="459"/>
      <c r="HTA71" s="459"/>
      <c r="HTB71" s="459"/>
      <c r="HTC71" s="459"/>
      <c r="HTD71" s="459"/>
      <c r="HTE71" s="459"/>
      <c r="HTF71" s="459"/>
      <c r="HTG71" s="459"/>
      <c r="HTH71" s="459"/>
      <c r="HTI71" s="459"/>
      <c r="HTJ71" s="459"/>
      <c r="HTK71" s="459"/>
      <c r="HTL71" s="459"/>
      <c r="HTM71" s="459"/>
      <c r="HTN71" s="459"/>
      <c r="HTO71" s="459"/>
      <c r="HTP71" s="459"/>
      <c r="HTQ71" s="459"/>
      <c r="HTR71" s="459"/>
      <c r="HTS71" s="459"/>
      <c r="HTT71" s="459"/>
      <c r="HTU71" s="459"/>
      <c r="HTV71" s="459"/>
      <c r="HTW71" s="459"/>
      <c r="HTX71" s="459"/>
      <c r="HTY71" s="459"/>
      <c r="HTZ71" s="459"/>
      <c r="HUA71" s="459"/>
      <c r="HUB71" s="459"/>
      <c r="HUC71" s="459"/>
      <c r="HUD71" s="459"/>
      <c r="HUE71" s="459"/>
      <c r="HUF71" s="459"/>
      <c r="HUG71" s="459"/>
      <c r="HUH71" s="459"/>
      <c r="HUI71" s="459"/>
      <c r="HUJ71" s="459"/>
      <c r="HUK71" s="459"/>
      <c r="HUL71" s="459"/>
      <c r="HUM71" s="459"/>
      <c r="HUN71" s="459"/>
      <c r="HUO71" s="459"/>
      <c r="HUP71" s="459"/>
      <c r="HUQ71" s="459"/>
      <c r="HUR71" s="459"/>
      <c r="HUS71" s="459"/>
      <c r="HUT71" s="459"/>
      <c r="HUU71" s="459"/>
      <c r="HUV71" s="459"/>
      <c r="HUW71" s="459"/>
      <c r="HUX71" s="459"/>
      <c r="HUY71" s="459"/>
      <c r="HUZ71" s="459"/>
      <c r="HVA71" s="459"/>
      <c r="HVB71" s="459"/>
      <c r="HVC71" s="459"/>
      <c r="HVD71" s="459"/>
      <c r="HVE71" s="459"/>
      <c r="HVF71" s="459"/>
      <c r="HVG71" s="459"/>
      <c r="HVH71" s="459"/>
      <c r="HVI71" s="459"/>
      <c r="HVJ71" s="459"/>
      <c r="HVK71" s="459"/>
      <c r="HVL71" s="459"/>
      <c r="HVM71" s="459"/>
      <c r="HVN71" s="459"/>
      <c r="HVO71" s="459"/>
      <c r="HVP71" s="459"/>
      <c r="HVQ71" s="459"/>
      <c r="HVR71" s="459"/>
      <c r="HVS71" s="459"/>
      <c r="HVT71" s="459"/>
      <c r="HVU71" s="459"/>
      <c r="HVV71" s="459"/>
      <c r="HVW71" s="459"/>
      <c r="HVX71" s="459"/>
      <c r="HVY71" s="459"/>
      <c r="HVZ71" s="459"/>
      <c r="HWA71" s="459"/>
      <c r="HWB71" s="459"/>
      <c r="HWC71" s="459"/>
      <c r="HWD71" s="459"/>
      <c r="HWE71" s="459"/>
      <c r="HWF71" s="459"/>
      <c r="HWG71" s="459"/>
      <c r="HWH71" s="459"/>
      <c r="HWI71" s="459"/>
      <c r="HWJ71" s="459"/>
      <c r="HWK71" s="459"/>
      <c r="HWL71" s="459"/>
      <c r="HWM71" s="459"/>
      <c r="HWN71" s="459"/>
      <c r="HWO71" s="459"/>
      <c r="HWP71" s="459"/>
      <c r="HWQ71" s="459"/>
      <c r="HWR71" s="459"/>
      <c r="HWS71" s="459"/>
      <c r="HWT71" s="459"/>
      <c r="HWU71" s="459"/>
      <c r="HWV71" s="459"/>
      <c r="HWW71" s="459"/>
      <c r="HWX71" s="459"/>
      <c r="HWY71" s="459"/>
      <c r="HWZ71" s="459"/>
      <c r="HXA71" s="459"/>
      <c r="HXB71" s="459"/>
      <c r="HXC71" s="459"/>
      <c r="HXD71" s="459"/>
      <c r="HXE71" s="459"/>
      <c r="HXF71" s="459"/>
      <c r="HXG71" s="459"/>
      <c r="HXH71" s="459"/>
      <c r="HXI71" s="459"/>
      <c r="HXJ71" s="459"/>
      <c r="HXK71" s="459"/>
      <c r="HXL71" s="459"/>
      <c r="HXM71" s="459"/>
      <c r="HXN71" s="459"/>
      <c r="HXO71" s="459"/>
      <c r="HXP71" s="459"/>
      <c r="HXQ71" s="459"/>
      <c r="HXR71" s="459"/>
      <c r="HXS71" s="459"/>
      <c r="HXT71" s="459"/>
      <c r="HXU71" s="459"/>
      <c r="HXV71" s="459"/>
      <c r="HXW71" s="459"/>
      <c r="HXX71" s="459"/>
      <c r="HXY71" s="459"/>
      <c r="HXZ71" s="459"/>
      <c r="HYA71" s="459"/>
      <c r="HYB71" s="459"/>
      <c r="HYC71" s="459"/>
      <c r="HYD71" s="459"/>
      <c r="HYE71" s="459"/>
      <c r="HYF71" s="459"/>
      <c r="HYG71" s="459"/>
      <c r="HYH71" s="459"/>
      <c r="HYI71" s="459"/>
      <c r="HYJ71" s="459"/>
      <c r="HYK71" s="459"/>
      <c r="HYL71" s="459"/>
      <c r="HYM71" s="459"/>
      <c r="HYN71" s="459"/>
      <c r="HYO71" s="459"/>
      <c r="HYP71" s="459"/>
      <c r="HYQ71" s="459"/>
      <c r="HYR71" s="459"/>
      <c r="HYS71" s="459"/>
      <c r="HYT71" s="459"/>
      <c r="HYU71" s="459"/>
      <c r="HYV71" s="459"/>
      <c r="HYW71" s="459"/>
      <c r="HYX71" s="459"/>
      <c r="HYY71" s="459"/>
      <c r="HYZ71" s="459"/>
      <c r="HZA71" s="459"/>
      <c r="HZB71" s="459"/>
      <c r="HZC71" s="459"/>
      <c r="HZD71" s="459"/>
      <c r="HZE71" s="459"/>
      <c r="HZF71" s="459"/>
      <c r="HZG71" s="459"/>
      <c r="HZH71" s="459"/>
      <c r="HZI71" s="459"/>
      <c r="HZJ71" s="459"/>
      <c r="HZK71" s="459"/>
      <c r="HZL71" s="459"/>
      <c r="HZM71" s="459"/>
      <c r="HZN71" s="459"/>
      <c r="HZO71" s="459"/>
      <c r="HZP71" s="459"/>
      <c r="HZQ71" s="459"/>
      <c r="HZR71" s="459"/>
      <c r="HZS71" s="459"/>
      <c r="HZT71" s="459"/>
      <c r="HZU71" s="459"/>
      <c r="HZV71" s="459"/>
      <c r="HZW71" s="459"/>
      <c r="HZX71" s="459"/>
      <c r="HZY71" s="459"/>
      <c r="HZZ71" s="459"/>
      <c r="IAA71" s="459"/>
      <c r="IAB71" s="459"/>
      <c r="IAC71" s="459"/>
      <c r="IAD71" s="459"/>
      <c r="IAE71" s="459"/>
      <c r="IAF71" s="459"/>
      <c r="IAG71" s="459"/>
      <c r="IAH71" s="459"/>
      <c r="IAI71" s="459"/>
      <c r="IAJ71" s="459"/>
      <c r="IAK71" s="459"/>
      <c r="IAL71" s="459"/>
      <c r="IAM71" s="459"/>
      <c r="IAN71" s="459"/>
      <c r="IAO71" s="459"/>
      <c r="IAP71" s="459"/>
      <c r="IAQ71" s="459"/>
      <c r="IAR71" s="459"/>
      <c r="IAS71" s="459"/>
      <c r="IAT71" s="459"/>
      <c r="IAU71" s="459"/>
      <c r="IAV71" s="459"/>
      <c r="IAW71" s="459"/>
      <c r="IAX71" s="459"/>
      <c r="IAY71" s="459"/>
      <c r="IAZ71" s="459"/>
      <c r="IBA71" s="459"/>
      <c r="IBB71" s="459"/>
      <c r="IBC71" s="459"/>
      <c r="IBD71" s="459"/>
      <c r="IBE71" s="459"/>
      <c r="IBF71" s="459"/>
      <c r="IBG71" s="459"/>
      <c r="IBH71" s="459"/>
      <c r="IBI71" s="459"/>
      <c r="IBJ71" s="459"/>
      <c r="IBK71" s="459"/>
      <c r="IBL71" s="459"/>
      <c r="IBM71" s="459"/>
      <c r="IBN71" s="459"/>
      <c r="IBO71" s="459"/>
      <c r="IBP71" s="459"/>
      <c r="IBQ71" s="459"/>
      <c r="IBR71" s="459"/>
      <c r="IBS71" s="459"/>
      <c r="IBT71" s="459"/>
      <c r="IBU71" s="459"/>
      <c r="IBV71" s="459"/>
      <c r="IBW71" s="459"/>
      <c r="IBX71" s="459"/>
      <c r="IBY71" s="459"/>
      <c r="IBZ71" s="459"/>
      <c r="ICA71" s="459"/>
      <c r="ICB71" s="459"/>
      <c r="ICC71" s="459"/>
      <c r="ICD71" s="459"/>
      <c r="ICE71" s="459"/>
      <c r="ICF71" s="459"/>
      <c r="ICG71" s="459"/>
      <c r="ICH71" s="459"/>
      <c r="ICI71" s="459"/>
      <c r="ICJ71" s="459"/>
      <c r="ICK71" s="459"/>
      <c r="ICL71" s="459"/>
      <c r="ICM71" s="459"/>
      <c r="ICN71" s="459"/>
      <c r="ICO71" s="459"/>
      <c r="ICP71" s="459"/>
      <c r="ICQ71" s="459"/>
      <c r="ICR71" s="459"/>
      <c r="ICS71" s="459"/>
      <c r="ICT71" s="459"/>
      <c r="ICU71" s="459"/>
      <c r="ICV71" s="459"/>
      <c r="ICW71" s="459"/>
      <c r="ICX71" s="459"/>
      <c r="ICY71" s="459"/>
      <c r="ICZ71" s="459"/>
      <c r="IDA71" s="459"/>
      <c r="IDB71" s="459"/>
      <c r="IDC71" s="459"/>
      <c r="IDD71" s="459"/>
      <c r="IDE71" s="459"/>
      <c r="IDF71" s="459"/>
      <c r="IDG71" s="459"/>
      <c r="IDH71" s="459"/>
      <c r="IDI71" s="459"/>
      <c r="IDJ71" s="459"/>
      <c r="IDK71" s="459"/>
      <c r="IDL71" s="459"/>
      <c r="IDM71" s="459"/>
      <c r="IDN71" s="459"/>
      <c r="IDO71" s="459"/>
      <c r="IDP71" s="459"/>
      <c r="IDQ71" s="459"/>
      <c r="IDR71" s="459"/>
      <c r="IDS71" s="459"/>
      <c r="IDT71" s="459"/>
      <c r="IDU71" s="459"/>
      <c r="IDV71" s="459"/>
      <c r="IDW71" s="459"/>
      <c r="IDX71" s="459"/>
      <c r="IDY71" s="459"/>
      <c r="IDZ71" s="459"/>
      <c r="IEA71" s="459"/>
      <c r="IEB71" s="459"/>
      <c r="IEC71" s="459"/>
      <c r="IED71" s="459"/>
      <c r="IEE71" s="459"/>
      <c r="IEF71" s="459"/>
      <c r="IEG71" s="459"/>
      <c r="IEH71" s="459"/>
      <c r="IEI71" s="459"/>
      <c r="IEJ71" s="459"/>
      <c r="IEK71" s="459"/>
      <c r="IEL71" s="459"/>
      <c r="IEM71" s="459"/>
      <c r="IEN71" s="459"/>
      <c r="IEO71" s="459"/>
      <c r="IEP71" s="459"/>
      <c r="IEQ71" s="459"/>
      <c r="IER71" s="459"/>
      <c r="IES71" s="459"/>
      <c r="IET71" s="459"/>
      <c r="IEU71" s="459"/>
      <c r="IEV71" s="459"/>
      <c r="IEW71" s="459"/>
      <c r="IEX71" s="459"/>
      <c r="IEY71" s="459"/>
      <c r="IEZ71" s="459"/>
      <c r="IFA71" s="459"/>
      <c r="IFB71" s="459"/>
      <c r="IFC71" s="459"/>
      <c r="IFD71" s="459"/>
      <c r="IFE71" s="459"/>
      <c r="IFF71" s="459"/>
      <c r="IFG71" s="459"/>
      <c r="IFH71" s="459"/>
      <c r="IFI71" s="459"/>
      <c r="IFJ71" s="459"/>
      <c r="IFK71" s="459"/>
      <c r="IFL71" s="459"/>
      <c r="IFM71" s="459"/>
      <c r="IFN71" s="459"/>
      <c r="IFO71" s="459"/>
      <c r="IFP71" s="459"/>
      <c r="IFQ71" s="459"/>
      <c r="IFR71" s="459"/>
      <c r="IFS71" s="459"/>
      <c r="IFT71" s="459"/>
      <c r="IFU71" s="459"/>
      <c r="IFV71" s="459"/>
      <c r="IFW71" s="459"/>
      <c r="IFX71" s="459"/>
      <c r="IFY71" s="459"/>
      <c r="IFZ71" s="459"/>
      <c r="IGA71" s="459"/>
      <c r="IGB71" s="459"/>
      <c r="IGC71" s="459"/>
      <c r="IGD71" s="459"/>
      <c r="IGE71" s="459"/>
      <c r="IGF71" s="459"/>
      <c r="IGG71" s="459"/>
      <c r="IGH71" s="459"/>
      <c r="IGI71" s="459"/>
      <c r="IGJ71" s="459"/>
      <c r="IGK71" s="459"/>
      <c r="IGL71" s="459"/>
      <c r="IGM71" s="459"/>
      <c r="IGN71" s="459"/>
      <c r="IGO71" s="459"/>
      <c r="IGP71" s="459"/>
      <c r="IGQ71" s="459"/>
      <c r="IGR71" s="459"/>
      <c r="IGS71" s="459"/>
      <c r="IGT71" s="459"/>
      <c r="IGU71" s="459"/>
      <c r="IGV71" s="459"/>
      <c r="IGW71" s="459"/>
      <c r="IGX71" s="459"/>
      <c r="IGY71" s="459"/>
      <c r="IGZ71" s="459"/>
      <c r="IHA71" s="459"/>
      <c r="IHB71" s="459"/>
      <c r="IHC71" s="459"/>
      <c r="IHD71" s="459"/>
      <c r="IHE71" s="459"/>
      <c r="IHF71" s="459"/>
      <c r="IHG71" s="459"/>
      <c r="IHH71" s="459"/>
      <c r="IHI71" s="459"/>
      <c r="IHJ71" s="459"/>
      <c r="IHK71" s="459"/>
      <c r="IHL71" s="459"/>
      <c r="IHM71" s="459"/>
      <c r="IHN71" s="459"/>
      <c r="IHO71" s="459"/>
      <c r="IHP71" s="459"/>
      <c r="IHQ71" s="459"/>
      <c r="IHR71" s="459"/>
      <c r="IHS71" s="459"/>
      <c r="IHT71" s="459"/>
      <c r="IHU71" s="459"/>
      <c r="IHV71" s="459"/>
      <c r="IHW71" s="459"/>
      <c r="IHX71" s="459"/>
      <c r="IHY71" s="459"/>
      <c r="IHZ71" s="459"/>
      <c r="IIA71" s="459"/>
      <c r="IIB71" s="459"/>
      <c r="IIC71" s="459"/>
      <c r="IID71" s="459"/>
      <c r="IIE71" s="459"/>
      <c r="IIF71" s="459"/>
      <c r="IIG71" s="459"/>
      <c r="IIH71" s="459"/>
      <c r="III71" s="459"/>
      <c r="IIJ71" s="459"/>
      <c r="IIK71" s="459"/>
      <c r="IIL71" s="459"/>
      <c r="IIM71" s="459"/>
      <c r="IIN71" s="459"/>
      <c r="IIO71" s="459"/>
      <c r="IIP71" s="459"/>
      <c r="IIQ71" s="459"/>
      <c r="IIR71" s="459"/>
      <c r="IIS71" s="459"/>
      <c r="IIT71" s="459"/>
      <c r="IIU71" s="459"/>
      <c r="IIV71" s="459"/>
      <c r="IIW71" s="459"/>
      <c r="IIX71" s="459"/>
      <c r="IIY71" s="459"/>
      <c r="IIZ71" s="459"/>
      <c r="IJA71" s="459"/>
      <c r="IJB71" s="459"/>
      <c r="IJC71" s="459"/>
      <c r="IJD71" s="459"/>
      <c r="IJE71" s="459"/>
      <c r="IJF71" s="459"/>
      <c r="IJG71" s="459"/>
      <c r="IJH71" s="459"/>
      <c r="IJI71" s="459"/>
      <c r="IJJ71" s="459"/>
      <c r="IJK71" s="459"/>
      <c r="IJL71" s="459"/>
      <c r="IJM71" s="459"/>
      <c r="IJN71" s="459"/>
      <c r="IJO71" s="459"/>
      <c r="IJP71" s="459"/>
      <c r="IJQ71" s="459"/>
      <c r="IJR71" s="459"/>
      <c r="IJS71" s="459"/>
      <c r="IJT71" s="459"/>
      <c r="IJU71" s="459"/>
      <c r="IJV71" s="459"/>
      <c r="IJW71" s="459"/>
      <c r="IJX71" s="459"/>
      <c r="IJY71" s="459"/>
      <c r="IJZ71" s="459"/>
      <c r="IKA71" s="459"/>
      <c r="IKB71" s="459"/>
      <c r="IKC71" s="459"/>
      <c r="IKD71" s="459"/>
      <c r="IKE71" s="459"/>
      <c r="IKF71" s="459"/>
      <c r="IKG71" s="459"/>
      <c r="IKH71" s="459"/>
      <c r="IKI71" s="459"/>
      <c r="IKJ71" s="459"/>
      <c r="IKK71" s="459"/>
      <c r="IKL71" s="459"/>
      <c r="IKM71" s="459"/>
      <c r="IKN71" s="459"/>
      <c r="IKO71" s="459"/>
      <c r="IKP71" s="459"/>
      <c r="IKQ71" s="459"/>
      <c r="IKR71" s="459"/>
      <c r="IKS71" s="459"/>
      <c r="IKT71" s="459"/>
      <c r="IKU71" s="459"/>
      <c r="IKV71" s="459"/>
      <c r="IKW71" s="459"/>
      <c r="IKX71" s="459"/>
      <c r="IKY71" s="459"/>
      <c r="IKZ71" s="459"/>
      <c r="ILA71" s="459"/>
      <c r="ILB71" s="459"/>
      <c r="ILC71" s="459"/>
      <c r="ILD71" s="459"/>
      <c r="ILE71" s="459"/>
      <c r="ILF71" s="459"/>
      <c r="ILG71" s="459"/>
      <c r="ILH71" s="459"/>
      <c r="ILI71" s="459"/>
      <c r="ILJ71" s="459"/>
      <c r="ILK71" s="459"/>
      <c r="ILL71" s="459"/>
      <c r="ILM71" s="459"/>
      <c r="ILN71" s="459"/>
      <c r="ILO71" s="459"/>
      <c r="ILP71" s="459"/>
      <c r="ILQ71" s="459"/>
      <c r="ILR71" s="459"/>
      <c r="ILS71" s="459"/>
      <c r="ILT71" s="459"/>
      <c r="ILU71" s="459"/>
      <c r="ILV71" s="459"/>
      <c r="ILW71" s="459"/>
      <c r="ILX71" s="459"/>
      <c r="ILY71" s="459"/>
      <c r="ILZ71" s="459"/>
      <c r="IMA71" s="459"/>
      <c r="IMB71" s="459"/>
      <c r="IMC71" s="459"/>
      <c r="IMD71" s="459"/>
      <c r="IME71" s="459"/>
      <c r="IMF71" s="459"/>
      <c r="IMG71" s="459"/>
      <c r="IMH71" s="459"/>
      <c r="IMI71" s="459"/>
      <c r="IMJ71" s="459"/>
      <c r="IMK71" s="459"/>
      <c r="IML71" s="459"/>
      <c r="IMM71" s="459"/>
      <c r="IMN71" s="459"/>
      <c r="IMO71" s="459"/>
      <c r="IMP71" s="459"/>
      <c r="IMQ71" s="459"/>
      <c r="IMR71" s="459"/>
      <c r="IMS71" s="459"/>
      <c r="IMT71" s="459"/>
      <c r="IMU71" s="459"/>
      <c r="IMV71" s="459"/>
      <c r="IMW71" s="459"/>
      <c r="IMX71" s="459"/>
      <c r="IMY71" s="459"/>
      <c r="IMZ71" s="459"/>
      <c r="INA71" s="459"/>
      <c r="INB71" s="459"/>
      <c r="INC71" s="459"/>
      <c r="IND71" s="459"/>
      <c r="INE71" s="459"/>
      <c r="INF71" s="459"/>
      <c r="ING71" s="459"/>
      <c r="INH71" s="459"/>
      <c r="INI71" s="459"/>
      <c r="INJ71" s="459"/>
      <c r="INK71" s="459"/>
      <c r="INL71" s="459"/>
      <c r="INM71" s="459"/>
      <c r="INN71" s="459"/>
      <c r="INO71" s="459"/>
      <c r="INP71" s="459"/>
      <c r="INQ71" s="459"/>
      <c r="INR71" s="459"/>
      <c r="INS71" s="459"/>
      <c r="INT71" s="459"/>
      <c r="INU71" s="459"/>
      <c r="INV71" s="459"/>
      <c r="INW71" s="459"/>
      <c r="INX71" s="459"/>
      <c r="INY71" s="459"/>
      <c r="INZ71" s="459"/>
      <c r="IOA71" s="459"/>
      <c r="IOB71" s="459"/>
      <c r="IOC71" s="459"/>
      <c r="IOD71" s="459"/>
      <c r="IOE71" s="459"/>
      <c r="IOF71" s="459"/>
      <c r="IOG71" s="459"/>
      <c r="IOH71" s="459"/>
      <c r="IOI71" s="459"/>
      <c r="IOJ71" s="459"/>
      <c r="IOK71" s="459"/>
      <c r="IOL71" s="459"/>
      <c r="IOM71" s="459"/>
      <c r="ION71" s="459"/>
      <c r="IOO71" s="459"/>
      <c r="IOP71" s="459"/>
      <c r="IOQ71" s="459"/>
      <c r="IOR71" s="459"/>
      <c r="IOS71" s="459"/>
      <c r="IOT71" s="459"/>
      <c r="IOU71" s="459"/>
      <c r="IOV71" s="459"/>
      <c r="IOW71" s="459"/>
      <c r="IOX71" s="459"/>
      <c r="IOY71" s="459"/>
      <c r="IOZ71" s="459"/>
      <c r="IPA71" s="459"/>
      <c r="IPB71" s="459"/>
      <c r="IPC71" s="459"/>
      <c r="IPD71" s="459"/>
      <c r="IPE71" s="459"/>
      <c r="IPF71" s="459"/>
      <c r="IPG71" s="459"/>
      <c r="IPH71" s="459"/>
      <c r="IPI71" s="459"/>
      <c r="IPJ71" s="459"/>
      <c r="IPK71" s="459"/>
      <c r="IPL71" s="459"/>
      <c r="IPM71" s="459"/>
      <c r="IPN71" s="459"/>
      <c r="IPO71" s="459"/>
      <c r="IPP71" s="459"/>
      <c r="IPQ71" s="459"/>
      <c r="IPR71" s="459"/>
      <c r="IPS71" s="459"/>
      <c r="IPT71" s="459"/>
      <c r="IPU71" s="459"/>
      <c r="IPV71" s="459"/>
      <c r="IPW71" s="459"/>
      <c r="IPX71" s="459"/>
      <c r="IPY71" s="459"/>
      <c r="IPZ71" s="459"/>
      <c r="IQA71" s="459"/>
      <c r="IQB71" s="459"/>
      <c r="IQC71" s="459"/>
      <c r="IQD71" s="459"/>
      <c r="IQE71" s="459"/>
      <c r="IQF71" s="459"/>
      <c r="IQG71" s="459"/>
      <c r="IQH71" s="459"/>
      <c r="IQI71" s="459"/>
      <c r="IQJ71" s="459"/>
      <c r="IQK71" s="459"/>
      <c r="IQL71" s="459"/>
      <c r="IQM71" s="459"/>
      <c r="IQN71" s="459"/>
      <c r="IQO71" s="459"/>
      <c r="IQP71" s="459"/>
      <c r="IQQ71" s="459"/>
      <c r="IQR71" s="459"/>
      <c r="IQS71" s="459"/>
      <c r="IQT71" s="459"/>
      <c r="IQU71" s="459"/>
      <c r="IQV71" s="459"/>
      <c r="IQW71" s="459"/>
      <c r="IQX71" s="459"/>
      <c r="IQY71" s="459"/>
      <c r="IQZ71" s="459"/>
      <c r="IRA71" s="459"/>
      <c r="IRB71" s="459"/>
      <c r="IRC71" s="459"/>
      <c r="IRD71" s="459"/>
      <c r="IRE71" s="459"/>
      <c r="IRF71" s="459"/>
      <c r="IRG71" s="459"/>
      <c r="IRH71" s="459"/>
      <c r="IRI71" s="459"/>
      <c r="IRJ71" s="459"/>
      <c r="IRK71" s="459"/>
      <c r="IRL71" s="459"/>
      <c r="IRM71" s="459"/>
      <c r="IRN71" s="459"/>
      <c r="IRO71" s="459"/>
      <c r="IRP71" s="459"/>
      <c r="IRQ71" s="459"/>
      <c r="IRR71" s="459"/>
      <c r="IRS71" s="459"/>
      <c r="IRT71" s="459"/>
      <c r="IRU71" s="459"/>
      <c r="IRV71" s="459"/>
      <c r="IRW71" s="459"/>
      <c r="IRX71" s="459"/>
      <c r="IRY71" s="459"/>
      <c r="IRZ71" s="459"/>
      <c r="ISA71" s="459"/>
      <c r="ISB71" s="459"/>
      <c r="ISC71" s="459"/>
      <c r="ISD71" s="459"/>
      <c r="ISE71" s="459"/>
      <c r="ISF71" s="459"/>
      <c r="ISG71" s="459"/>
      <c r="ISH71" s="459"/>
      <c r="ISI71" s="459"/>
      <c r="ISJ71" s="459"/>
      <c r="ISK71" s="459"/>
      <c r="ISL71" s="459"/>
      <c r="ISM71" s="459"/>
      <c r="ISN71" s="459"/>
      <c r="ISO71" s="459"/>
      <c r="ISP71" s="459"/>
      <c r="ISQ71" s="459"/>
      <c r="ISR71" s="459"/>
      <c r="ISS71" s="459"/>
      <c r="IST71" s="459"/>
      <c r="ISU71" s="459"/>
      <c r="ISV71" s="459"/>
      <c r="ISW71" s="459"/>
      <c r="ISX71" s="459"/>
      <c r="ISY71" s="459"/>
      <c r="ISZ71" s="459"/>
      <c r="ITA71" s="459"/>
      <c r="ITB71" s="459"/>
      <c r="ITC71" s="459"/>
      <c r="ITD71" s="459"/>
      <c r="ITE71" s="459"/>
      <c r="ITF71" s="459"/>
      <c r="ITG71" s="459"/>
      <c r="ITH71" s="459"/>
      <c r="ITI71" s="459"/>
      <c r="ITJ71" s="459"/>
      <c r="ITK71" s="459"/>
      <c r="ITL71" s="459"/>
      <c r="ITM71" s="459"/>
      <c r="ITN71" s="459"/>
      <c r="ITO71" s="459"/>
      <c r="ITP71" s="459"/>
      <c r="ITQ71" s="459"/>
      <c r="ITR71" s="459"/>
      <c r="ITS71" s="459"/>
      <c r="ITT71" s="459"/>
      <c r="ITU71" s="459"/>
      <c r="ITV71" s="459"/>
      <c r="ITW71" s="459"/>
      <c r="ITX71" s="459"/>
      <c r="ITY71" s="459"/>
      <c r="ITZ71" s="459"/>
      <c r="IUA71" s="459"/>
      <c r="IUB71" s="459"/>
      <c r="IUC71" s="459"/>
      <c r="IUD71" s="459"/>
      <c r="IUE71" s="459"/>
      <c r="IUF71" s="459"/>
      <c r="IUG71" s="459"/>
      <c r="IUH71" s="459"/>
      <c r="IUI71" s="459"/>
      <c r="IUJ71" s="459"/>
      <c r="IUK71" s="459"/>
      <c r="IUL71" s="459"/>
      <c r="IUM71" s="459"/>
      <c r="IUN71" s="459"/>
      <c r="IUO71" s="459"/>
      <c r="IUP71" s="459"/>
      <c r="IUQ71" s="459"/>
      <c r="IUR71" s="459"/>
      <c r="IUS71" s="459"/>
      <c r="IUT71" s="459"/>
      <c r="IUU71" s="459"/>
      <c r="IUV71" s="459"/>
      <c r="IUW71" s="459"/>
      <c r="IUX71" s="459"/>
      <c r="IUY71" s="459"/>
      <c r="IUZ71" s="459"/>
      <c r="IVA71" s="459"/>
      <c r="IVB71" s="459"/>
      <c r="IVC71" s="459"/>
      <c r="IVD71" s="459"/>
      <c r="IVE71" s="459"/>
      <c r="IVF71" s="459"/>
      <c r="IVG71" s="459"/>
      <c r="IVH71" s="459"/>
      <c r="IVI71" s="459"/>
      <c r="IVJ71" s="459"/>
      <c r="IVK71" s="459"/>
      <c r="IVL71" s="459"/>
      <c r="IVM71" s="459"/>
      <c r="IVN71" s="459"/>
      <c r="IVO71" s="459"/>
      <c r="IVP71" s="459"/>
      <c r="IVQ71" s="459"/>
      <c r="IVR71" s="459"/>
      <c r="IVS71" s="459"/>
      <c r="IVT71" s="459"/>
      <c r="IVU71" s="459"/>
      <c r="IVV71" s="459"/>
      <c r="IVW71" s="459"/>
      <c r="IVX71" s="459"/>
      <c r="IVY71" s="459"/>
      <c r="IVZ71" s="459"/>
      <c r="IWA71" s="459"/>
      <c r="IWB71" s="459"/>
      <c r="IWC71" s="459"/>
      <c r="IWD71" s="459"/>
      <c r="IWE71" s="459"/>
      <c r="IWF71" s="459"/>
      <c r="IWG71" s="459"/>
      <c r="IWH71" s="459"/>
      <c r="IWI71" s="459"/>
      <c r="IWJ71" s="459"/>
      <c r="IWK71" s="459"/>
      <c r="IWL71" s="459"/>
      <c r="IWM71" s="459"/>
      <c r="IWN71" s="459"/>
      <c r="IWO71" s="459"/>
      <c r="IWP71" s="459"/>
      <c r="IWQ71" s="459"/>
      <c r="IWR71" s="459"/>
      <c r="IWS71" s="459"/>
      <c r="IWT71" s="459"/>
      <c r="IWU71" s="459"/>
      <c r="IWV71" s="459"/>
      <c r="IWW71" s="459"/>
      <c r="IWX71" s="459"/>
      <c r="IWY71" s="459"/>
      <c r="IWZ71" s="459"/>
      <c r="IXA71" s="459"/>
      <c r="IXB71" s="459"/>
      <c r="IXC71" s="459"/>
      <c r="IXD71" s="459"/>
      <c r="IXE71" s="459"/>
      <c r="IXF71" s="459"/>
      <c r="IXG71" s="459"/>
      <c r="IXH71" s="459"/>
      <c r="IXI71" s="459"/>
      <c r="IXJ71" s="459"/>
      <c r="IXK71" s="459"/>
      <c r="IXL71" s="459"/>
      <c r="IXM71" s="459"/>
      <c r="IXN71" s="459"/>
      <c r="IXO71" s="459"/>
      <c r="IXP71" s="459"/>
      <c r="IXQ71" s="459"/>
      <c r="IXR71" s="459"/>
      <c r="IXS71" s="459"/>
      <c r="IXT71" s="459"/>
      <c r="IXU71" s="459"/>
      <c r="IXV71" s="459"/>
      <c r="IXW71" s="459"/>
      <c r="IXX71" s="459"/>
      <c r="IXY71" s="459"/>
      <c r="IXZ71" s="459"/>
      <c r="IYA71" s="459"/>
      <c r="IYB71" s="459"/>
      <c r="IYC71" s="459"/>
      <c r="IYD71" s="459"/>
      <c r="IYE71" s="459"/>
      <c r="IYF71" s="459"/>
      <c r="IYG71" s="459"/>
      <c r="IYH71" s="459"/>
      <c r="IYI71" s="459"/>
      <c r="IYJ71" s="459"/>
      <c r="IYK71" s="459"/>
      <c r="IYL71" s="459"/>
      <c r="IYM71" s="459"/>
      <c r="IYN71" s="459"/>
      <c r="IYO71" s="459"/>
      <c r="IYP71" s="459"/>
      <c r="IYQ71" s="459"/>
      <c r="IYR71" s="459"/>
      <c r="IYS71" s="459"/>
      <c r="IYT71" s="459"/>
      <c r="IYU71" s="459"/>
      <c r="IYV71" s="459"/>
      <c r="IYW71" s="459"/>
      <c r="IYX71" s="459"/>
      <c r="IYY71" s="459"/>
      <c r="IYZ71" s="459"/>
      <c r="IZA71" s="459"/>
      <c r="IZB71" s="459"/>
      <c r="IZC71" s="459"/>
      <c r="IZD71" s="459"/>
      <c r="IZE71" s="459"/>
      <c r="IZF71" s="459"/>
      <c r="IZG71" s="459"/>
      <c r="IZH71" s="459"/>
      <c r="IZI71" s="459"/>
      <c r="IZJ71" s="459"/>
      <c r="IZK71" s="459"/>
      <c r="IZL71" s="459"/>
      <c r="IZM71" s="459"/>
      <c r="IZN71" s="459"/>
      <c r="IZO71" s="459"/>
      <c r="IZP71" s="459"/>
      <c r="IZQ71" s="459"/>
      <c r="IZR71" s="459"/>
      <c r="IZS71" s="459"/>
      <c r="IZT71" s="459"/>
      <c r="IZU71" s="459"/>
      <c r="IZV71" s="459"/>
      <c r="IZW71" s="459"/>
      <c r="IZX71" s="459"/>
      <c r="IZY71" s="459"/>
      <c r="IZZ71" s="459"/>
      <c r="JAA71" s="459"/>
      <c r="JAB71" s="459"/>
      <c r="JAC71" s="459"/>
      <c r="JAD71" s="459"/>
      <c r="JAE71" s="459"/>
      <c r="JAF71" s="459"/>
      <c r="JAG71" s="459"/>
      <c r="JAH71" s="459"/>
      <c r="JAI71" s="459"/>
      <c r="JAJ71" s="459"/>
      <c r="JAK71" s="459"/>
      <c r="JAL71" s="459"/>
      <c r="JAM71" s="459"/>
      <c r="JAN71" s="459"/>
      <c r="JAO71" s="459"/>
      <c r="JAP71" s="459"/>
      <c r="JAQ71" s="459"/>
      <c r="JAR71" s="459"/>
      <c r="JAS71" s="459"/>
      <c r="JAT71" s="459"/>
      <c r="JAU71" s="459"/>
      <c r="JAV71" s="459"/>
      <c r="JAW71" s="459"/>
      <c r="JAX71" s="459"/>
      <c r="JAY71" s="459"/>
      <c r="JAZ71" s="459"/>
      <c r="JBA71" s="459"/>
      <c r="JBB71" s="459"/>
      <c r="JBC71" s="459"/>
      <c r="JBD71" s="459"/>
      <c r="JBE71" s="459"/>
      <c r="JBF71" s="459"/>
      <c r="JBG71" s="459"/>
      <c r="JBH71" s="459"/>
      <c r="JBI71" s="459"/>
      <c r="JBJ71" s="459"/>
      <c r="JBK71" s="459"/>
      <c r="JBL71" s="459"/>
      <c r="JBM71" s="459"/>
      <c r="JBN71" s="459"/>
      <c r="JBO71" s="459"/>
      <c r="JBP71" s="459"/>
      <c r="JBQ71" s="459"/>
      <c r="JBR71" s="459"/>
      <c r="JBS71" s="459"/>
      <c r="JBT71" s="459"/>
      <c r="JBU71" s="459"/>
      <c r="JBV71" s="459"/>
      <c r="JBW71" s="459"/>
      <c r="JBX71" s="459"/>
      <c r="JBY71" s="459"/>
      <c r="JBZ71" s="459"/>
      <c r="JCA71" s="459"/>
      <c r="JCB71" s="459"/>
      <c r="JCC71" s="459"/>
      <c r="JCD71" s="459"/>
      <c r="JCE71" s="459"/>
      <c r="JCF71" s="459"/>
      <c r="JCG71" s="459"/>
      <c r="JCH71" s="459"/>
      <c r="JCI71" s="459"/>
      <c r="JCJ71" s="459"/>
      <c r="JCK71" s="459"/>
      <c r="JCL71" s="459"/>
      <c r="JCM71" s="459"/>
      <c r="JCN71" s="459"/>
      <c r="JCO71" s="459"/>
      <c r="JCP71" s="459"/>
      <c r="JCQ71" s="459"/>
      <c r="JCR71" s="459"/>
      <c r="JCS71" s="459"/>
      <c r="JCT71" s="459"/>
      <c r="JCU71" s="459"/>
      <c r="JCV71" s="459"/>
      <c r="JCW71" s="459"/>
      <c r="JCX71" s="459"/>
      <c r="JCY71" s="459"/>
      <c r="JCZ71" s="459"/>
      <c r="JDA71" s="459"/>
      <c r="JDB71" s="459"/>
      <c r="JDC71" s="459"/>
      <c r="JDD71" s="459"/>
      <c r="JDE71" s="459"/>
      <c r="JDF71" s="459"/>
      <c r="JDG71" s="459"/>
      <c r="JDH71" s="459"/>
      <c r="JDI71" s="459"/>
      <c r="JDJ71" s="459"/>
      <c r="JDK71" s="459"/>
      <c r="JDL71" s="459"/>
      <c r="JDM71" s="459"/>
      <c r="JDN71" s="459"/>
      <c r="JDO71" s="459"/>
      <c r="JDP71" s="459"/>
      <c r="JDQ71" s="459"/>
      <c r="JDR71" s="459"/>
      <c r="JDS71" s="459"/>
      <c r="JDT71" s="459"/>
      <c r="JDU71" s="459"/>
      <c r="JDV71" s="459"/>
      <c r="JDW71" s="459"/>
      <c r="JDX71" s="459"/>
      <c r="JDY71" s="459"/>
      <c r="JDZ71" s="459"/>
      <c r="JEA71" s="459"/>
      <c r="JEB71" s="459"/>
      <c r="JEC71" s="459"/>
      <c r="JED71" s="459"/>
      <c r="JEE71" s="459"/>
      <c r="JEF71" s="459"/>
      <c r="JEG71" s="459"/>
      <c r="JEH71" s="459"/>
      <c r="JEI71" s="459"/>
      <c r="JEJ71" s="459"/>
      <c r="JEK71" s="459"/>
      <c r="JEL71" s="459"/>
      <c r="JEM71" s="459"/>
      <c r="JEN71" s="459"/>
      <c r="JEO71" s="459"/>
      <c r="JEP71" s="459"/>
      <c r="JEQ71" s="459"/>
      <c r="JER71" s="459"/>
      <c r="JES71" s="459"/>
      <c r="JET71" s="459"/>
      <c r="JEU71" s="459"/>
      <c r="JEV71" s="459"/>
      <c r="JEW71" s="459"/>
      <c r="JEX71" s="459"/>
      <c r="JEY71" s="459"/>
      <c r="JEZ71" s="459"/>
      <c r="JFA71" s="459"/>
      <c r="JFB71" s="459"/>
      <c r="JFC71" s="459"/>
      <c r="JFD71" s="459"/>
      <c r="JFE71" s="459"/>
      <c r="JFF71" s="459"/>
      <c r="JFG71" s="459"/>
      <c r="JFH71" s="459"/>
      <c r="JFI71" s="459"/>
      <c r="JFJ71" s="459"/>
      <c r="JFK71" s="459"/>
      <c r="JFL71" s="459"/>
      <c r="JFM71" s="459"/>
      <c r="JFN71" s="459"/>
      <c r="JFO71" s="459"/>
      <c r="JFP71" s="459"/>
      <c r="JFQ71" s="459"/>
      <c r="JFR71" s="459"/>
      <c r="JFS71" s="459"/>
      <c r="JFT71" s="459"/>
      <c r="JFU71" s="459"/>
      <c r="JFV71" s="459"/>
      <c r="JFW71" s="459"/>
      <c r="JFX71" s="459"/>
      <c r="JFY71" s="459"/>
      <c r="JFZ71" s="459"/>
      <c r="JGA71" s="459"/>
      <c r="JGB71" s="459"/>
      <c r="JGC71" s="459"/>
      <c r="JGD71" s="459"/>
      <c r="JGE71" s="459"/>
      <c r="JGF71" s="459"/>
      <c r="JGG71" s="459"/>
      <c r="JGH71" s="459"/>
      <c r="JGI71" s="459"/>
      <c r="JGJ71" s="459"/>
      <c r="JGK71" s="459"/>
      <c r="JGL71" s="459"/>
      <c r="JGM71" s="459"/>
      <c r="JGN71" s="459"/>
      <c r="JGO71" s="459"/>
      <c r="JGP71" s="459"/>
      <c r="JGQ71" s="459"/>
      <c r="JGR71" s="459"/>
      <c r="JGS71" s="459"/>
      <c r="JGT71" s="459"/>
      <c r="JGU71" s="459"/>
      <c r="JGV71" s="459"/>
      <c r="JGW71" s="459"/>
      <c r="JGX71" s="459"/>
      <c r="JGY71" s="459"/>
      <c r="JGZ71" s="459"/>
      <c r="JHA71" s="459"/>
      <c r="JHB71" s="459"/>
      <c r="JHC71" s="459"/>
      <c r="JHD71" s="459"/>
      <c r="JHE71" s="459"/>
      <c r="JHF71" s="459"/>
      <c r="JHG71" s="459"/>
      <c r="JHH71" s="459"/>
      <c r="JHI71" s="459"/>
      <c r="JHJ71" s="459"/>
      <c r="JHK71" s="459"/>
      <c r="JHL71" s="459"/>
      <c r="JHM71" s="459"/>
      <c r="JHN71" s="459"/>
      <c r="JHO71" s="459"/>
      <c r="JHP71" s="459"/>
      <c r="JHQ71" s="459"/>
      <c r="JHR71" s="459"/>
      <c r="JHS71" s="459"/>
      <c r="JHT71" s="459"/>
      <c r="JHU71" s="459"/>
      <c r="JHV71" s="459"/>
      <c r="JHW71" s="459"/>
      <c r="JHX71" s="459"/>
      <c r="JHY71" s="459"/>
      <c r="JHZ71" s="459"/>
      <c r="JIA71" s="459"/>
      <c r="JIB71" s="459"/>
      <c r="JIC71" s="459"/>
      <c r="JID71" s="459"/>
      <c r="JIE71" s="459"/>
      <c r="JIF71" s="459"/>
      <c r="JIG71" s="459"/>
      <c r="JIH71" s="459"/>
      <c r="JII71" s="459"/>
      <c r="JIJ71" s="459"/>
      <c r="JIK71" s="459"/>
      <c r="JIL71" s="459"/>
      <c r="JIM71" s="459"/>
      <c r="JIN71" s="459"/>
      <c r="JIO71" s="459"/>
      <c r="JIP71" s="459"/>
      <c r="JIQ71" s="459"/>
      <c r="JIR71" s="459"/>
      <c r="JIS71" s="459"/>
      <c r="JIT71" s="459"/>
      <c r="JIU71" s="459"/>
      <c r="JIV71" s="459"/>
      <c r="JIW71" s="459"/>
      <c r="JIX71" s="459"/>
      <c r="JIY71" s="459"/>
      <c r="JIZ71" s="459"/>
      <c r="JJA71" s="459"/>
      <c r="JJB71" s="459"/>
      <c r="JJC71" s="459"/>
      <c r="JJD71" s="459"/>
      <c r="JJE71" s="459"/>
      <c r="JJF71" s="459"/>
      <c r="JJG71" s="459"/>
      <c r="JJH71" s="459"/>
      <c r="JJI71" s="459"/>
      <c r="JJJ71" s="459"/>
      <c r="JJK71" s="459"/>
      <c r="JJL71" s="459"/>
      <c r="JJM71" s="459"/>
      <c r="JJN71" s="459"/>
      <c r="JJO71" s="459"/>
      <c r="JJP71" s="459"/>
      <c r="JJQ71" s="459"/>
      <c r="JJR71" s="459"/>
      <c r="JJS71" s="459"/>
      <c r="JJT71" s="459"/>
      <c r="JJU71" s="459"/>
      <c r="JJV71" s="459"/>
      <c r="JJW71" s="459"/>
      <c r="JJX71" s="459"/>
      <c r="JJY71" s="459"/>
      <c r="JJZ71" s="459"/>
      <c r="JKA71" s="459"/>
      <c r="JKB71" s="459"/>
      <c r="JKC71" s="459"/>
      <c r="JKD71" s="459"/>
      <c r="JKE71" s="459"/>
      <c r="JKF71" s="459"/>
      <c r="JKG71" s="459"/>
      <c r="JKH71" s="459"/>
      <c r="JKI71" s="459"/>
      <c r="JKJ71" s="459"/>
      <c r="JKK71" s="459"/>
      <c r="JKL71" s="459"/>
      <c r="JKM71" s="459"/>
      <c r="JKN71" s="459"/>
      <c r="JKO71" s="459"/>
      <c r="JKP71" s="459"/>
      <c r="JKQ71" s="459"/>
      <c r="JKR71" s="459"/>
      <c r="JKS71" s="459"/>
      <c r="JKT71" s="459"/>
      <c r="JKU71" s="459"/>
      <c r="JKV71" s="459"/>
      <c r="JKW71" s="459"/>
      <c r="JKX71" s="459"/>
      <c r="JKY71" s="459"/>
      <c r="JKZ71" s="459"/>
      <c r="JLA71" s="459"/>
      <c r="JLB71" s="459"/>
      <c r="JLC71" s="459"/>
      <c r="JLD71" s="459"/>
      <c r="JLE71" s="459"/>
      <c r="JLF71" s="459"/>
      <c r="JLG71" s="459"/>
      <c r="JLH71" s="459"/>
      <c r="JLI71" s="459"/>
      <c r="JLJ71" s="459"/>
      <c r="JLK71" s="459"/>
      <c r="JLL71" s="459"/>
      <c r="JLM71" s="459"/>
      <c r="JLN71" s="459"/>
      <c r="JLO71" s="459"/>
      <c r="JLP71" s="459"/>
      <c r="JLQ71" s="459"/>
      <c r="JLR71" s="459"/>
      <c r="JLS71" s="459"/>
      <c r="JLT71" s="459"/>
      <c r="JLU71" s="459"/>
      <c r="JLV71" s="459"/>
      <c r="JLW71" s="459"/>
      <c r="JLX71" s="459"/>
      <c r="JLY71" s="459"/>
      <c r="JLZ71" s="459"/>
      <c r="JMA71" s="459"/>
      <c r="JMB71" s="459"/>
      <c r="JMC71" s="459"/>
      <c r="JMD71" s="459"/>
      <c r="JME71" s="459"/>
      <c r="JMF71" s="459"/>
      <c r="JMG71" s="459"/>
      <c r="JMH71" s="459"/>
      <c r="JMI71" s="459"/>
      <c r="JMJ71" s="459"/>
      <c r="JMK71" s="459"/>
      <c r="JML71" s="459"/>
      <c r="JMM71" s="459"/>
      <c r="JMN71" s="459"/>
      <c r="JMO71" s="459"/>
      <c r="JMP71" s="459"/>
      <c r="JMQ71" s="459"/>
      <c r="JMR71" s="459"/>
      <c r="JMS71" s="459"/>
      <c r="JMT71" s="459"/>
      <c r="JMU71" s="459"/>
      <c r="JMV71" s="459"/>
      <c r="JMW71" s="459"/>
      <c r="JMX71" s="459"/>
      <c r="JMY71" s="459"/>
      <c r="JMZ71" s="459"/>
      <c r="JNA71" s="459"/>
      <c r="JNB71" s="459"/>
      <c r="JNC71" s="459"/>
      <c r="JND71" s="459"/>
      <c r="JNE71" s="459"/>
      <c r="JNF71" s="459"/>
      <c r="JNG71" s="459"/>
      <c r="JNH71" s="459"/>
      <c r="JNI71" s="459"/>
      <c r="JNJ71" s="459"/>
      <c r="JNK71" s="459"/>
      <c r="JNL71" s="459"/>
      <c r="JNM71" s="459"/>
      <c r="JNN71" s="459"/>
      <c r="JNO71" s="459"/>
      <c r="JNP71" s="459"/>
      <c r="JNQ71" s="459"/>
      <c r="JNR71" s="459"/>
      <c r="JNS71" s="459"/>
      <c r="JNT71" s="459"/>
      <c r="JNU71" s="459"/>
      <c r="JNV71" s="459"/>
      <c r="JNW71" s="459"/>
      <c r="JNX71" s="459"/>
      <c r="JNY71" s="459"/>
      <c r="JNZ71" s="459"/>
      <c r="JOA71" s="459"/>
      <c r="JOB71" s="459"/>
      <c r="JOC71" s="459"/>
      <c r="JOD71" s="459"/>
      <c r="JOE71" s="459"/>
      <c r="JOF71" s="459"/>
      <c r="JOG71" s="459"/>
      <c r="JOH71" s="459"/>
      <c r="JOI71" s="459"/>
      <c r="JOJ71" s="459"/>
      <c r="JOK71" s="459"/>
      <c r="JOL71" s="459"/>
      <c r="JOM71" s="459"/>
      <c r="JON71" s="459"/>
      <c r="JOO71" s="459"/>
      <c r="JOP71" s="459"/>
      <c r="JOQ71" s="459"/>
      <c r="JOR71" s="459"/>
      <c r="JOS71" s="459"/>
      <c r="JOT71" s="459"/>
      <c r="JOU71" s="459"/>
      <c r="JOV71" s="459"/>
      <c r="JOW71" s="459"/>
      <c r="JOX71" s="459"/>
      <c r="JOY71" s="459"/>
      <c r="JOZ71" s="459"/>
      <c r="JPA71" s="459"/>
      <c r="JPB71" s="459"/>
      <c r="JPC71" s="459"/>
      <c r="JPD71" s="459"/>
      <c r="JPE71" s="459"/>
      <c r="JPF71" s="459"/>
      <c r="JPG71" s="459"/>
      <c r="JPH71" s="459"/>
      <c r="JPI71" s="459"/>
      <c r="JPJ71" s="459"/>
      <c r="JPK71" s="459"/>
      <c r="JPL71" s="459"/>
      <c r="JPM71" s="459"/>
      <c r="JPN71" s="459"/>
      <c r="JPO71" s="459"/>
      <c r="JPP71" s="459"/>
      <c r="JPQ71" s="459"/>
      <c r="JPR71" s="459"/>
      <c r="JPS71" s="459"/>
      <c r="JPT71" s="459"/>
      <c r="JPU71" s="459"/>
      <c r="JPV71" s="459"/>
      <c r="JPW71" s="459"/>
      <c r="JPX71" s="459"/>
      <c r="JPY71" s="459"/>
      <c r="JPZ71" s="459"/>
      <c r="JQA71" s="459"/>
      <c r="JQB71" s="459"/>
      <c r="JQC71" s="459"/>
      <c r="JQD71" s="459"/>
      <c r="JQE71" s="459"/>
      <c r="JQF71" s="459"/>
      <c r="JQG71" s="459"/>
      <c r="JQH71" s="459"/>
      <c r="JQI71" s="459"/>
      <c r="JQJ71" s="459"/>
      <c r="JQK71" s="459"/>
      <c r="JQL71" s="459"/>
      <c r="JQM71" s="459"/>
      <c r="JQN71" s="459"/>
      <c r="JQO71" s="459"/>
      <c r="JQP71" s="459"/>
      <c r="JQQ71" s="459"/>
      <c r="JQR71" s="459"/>
      <c r="JQS71" s="459"/>
      <c r="JQT71" s="459"/>
      <c r="JQU71" s="459"/>
      <c r="JQV71" s="459"/>
      <c r="JQW71" s="459"/>
      <c r="JQX71" s="459"/>
      <c r="JQY71" s="459"/>
      <c r="JQZ71" s="459"/>
      <c r="JRA71" s="459"/>
      <c r="JRB71" s="459"/>
      <c r="JRC71" s="459"/>
      <c r="JRD71" s="459"/>
      <c r="JRE71" s="459"/>
      <c r="JRF71" s="459"/>
      <c r="JRG71" s="459"/>
      <c r="JRH71" s="459"/>
      <c r="JRI71" s="459"/>
      <c r="JRJ71" s="459"/>
      <c r="JRK71" s="459"/>
      <c r="JRL71" s="459"/>
      <c r="JRM71" s="459"/>
      <c r="JRN71" s="459"/>
      <c r="JRO71" s="459"/>
      <c r="JRP71" s="459"/>
      <c r="JRQ71" s="459"/>
      <c r="JRR71" s="459"/>
      <c r="JRS71" s="459"/>
      <c r="JRT71" s="459"/>
      <c r="JRU71" s="459"/>
      <c r="JRV71" s="459"/>
      <c r="JRW71" s="459"/>
      <c r="JRX71" s="459"/>
      <c r="JRY71" s="459"/>
      <c r="JRZ71" s="459"/>
      <c r="JSA71" s="459"/>
      <c r="JSB71" s="459"/>
      <c r="JSC71" s="459"/>
      <c r="JSD71" s="459"/>
      <c r="JSE71" s="459"/>
      <c r="JSF71" s="459"/>
      <c r="JSG71" s="459"/>
      <c r="JSH71" s="459"/>
      <c r="JSI71" s="459"/>
      <c r="JSJ71" s="459"/>
      <c r="JSK71" s="459"/>
      <c r="JSL71" s="459"/>
      <c r="JSM71" s="459"/>
      <c r="JSN71" s="459"/>
      <c r="JSO71" s="459"/>
      <c r="JSP71" s="459"/>
      <c r="JSQ71" s="459"/>
      <c r="JSR71" s="459"/>
      <c r="JSS71" s="459"/>
      <c r="JST71" s="459"/>
      <c r="JSU71" s="459"/>
      <c r="JSV71" s="459"/>
      <c r="JSW71" s="459"/>
      <c r="JSX71" s="459"/>
      <c r="JSY71" s="459"/>
      <c r="JSZ71" s="459"/>
      <c r="JTA71" s="459"/>
      <c r="JTB71" s="459"/>
      <c r="JTC71" s="459"/>
      <c r="JTD71" s="459"/>
      <c r="JTE71" s="459"/>
      <c r="JTF71" s="459"/>
      <c r="JTG71" s="459"/>
      <c r="JTH71" s="459"/>
      <c r="JTI71" s="459"/>
      <c r="JTJ71" s="459"/>
      <c r="JTK71" s="459"/>
      <c r="JTL71" s="459"/>
      <c r="JTM71" s="459"/>
      <c r="JTN71" s="459"/>
      <c r="JTO71" s="459"/>
      <c r="JTP71" s="459"/>
      <c r="JTQ71" s="459"/>
      <c r="JTR71" s="459"/>
      <c r="JTS71" s="459"/>
      <c r="JTT71" s="459"/>
      <c r="JTU71" s="459"/>
      <c r="JTV71" s="459"/>
      <c r="JTW71" s="459"/>
      <c r="JTX71" s="459"/>
      <c r="JTY71" s="459"/>
      <c r="JTZ71" s="459"/>
      <c r="JUA71" s="459"/>
      <c r="JUB71" s="459"/>
      <c r="JUC71" s="459"/>
      <c r="JUD71" s="459"/>
      <c r="JUE71" s="459"/>
      <c r="JUF71" s="459"/>
      <c r="JUG71" s="459"/>
      <c r="JUH71" s="459"/>
      <c r="JUI71" s="459"/>
      <c r="JUJ71" s="459"/>
      <c r="JUK71" s="459"/>
      <c r="JUL71" s="459"/>
      <c r="JUM71" s="459"/>
      <c r="JUN71" s="459"/>
      <c r="JUO71" s="459"/>
      <c r="JUP71" s="459"/>
      <c r="JUQ71" s="459"/>
      <c r="JUR71" s="459"/>
      <c r="JUS71" s="459"/>
      <c r="JUT71" s="459"/>
      <c r="JUU71" s="459"/>
      <c r="JUV71" s="459"/>
      <c r="JUW71" s="459"/>
      <c r="JUX71" s="459"/>
      <c r="JUY71" s="459"/>
      <c r="JUZ71" s="459"/>
      <c r="JVA71" s="459"/>
      <c r="JVB71" s="459"/>
      <c r="JVC71" s="459"/>
      <c r="JVD71" s="459"/>
      <c r="JVE71" s="459"/>
      <c r="JVF71" s="459"/>
      <c r="JVG71" s="459"/>
      <c r="JVH71" s="459"/>
      <c r="JVI71" s="459"/>
      <c r="JVJ71" s="459"/>
      <c r="JVK71" s="459"/>
      <c r="JVL71" s="459"/>
      <c r="JVM71" s="459"/>
      <c r="JVN71" s="459"/>
      <c r="JVO71" s="459"/>
      <c r="JVP71" s="459"/>
      <c r="JVQ71" s="459"/>
      <c r="JVR71" s="459"/>
      <c r="JVS71" s="459"/>
      <c r="JVT71" s="459"/>
      <c r="JVU71" s="459"/>
      <c r="JVV71" s="459"/>
      <c r="JVW71" s="459"/>
      <c r="JVX71" s="459"/>
      <c r="JVY71" s="459"/>
      <c r="JVZ71" s="459"/>
      <c r="JWA71" s="459"/>
      <c r="JWB71" s="459"/>
      <c r="JWC71" s="459"/>
      <c r="JWD71" s="459"/>
      <c r="JWE71" s="459"/>
      <c r="JWF71" s="459"/>
      <c r="JWG71" s="459"/>
      <c r="JWH71" s="459"/>
      <c r="JWI71" s="459"/>
      <c r="JWJ71" s="459"/>
      <c r="JWK71" s="459"/>
      <c r="JWL71" s="459"/>
      <c r="JWM71" s="459"/>
      <c r="JWN71" s="459"/>
      <c r="JWO71" s="459"/>
      <c r="JWP71" s="459"/>
      <c r="JWQ71" s="459"/>
      <c r="JWR71" s="459"/>
      <c r="JWS71" s="459"/>
      <c r="JWT71" s="459"/>
      <c r="JWU71" s="459"/>
      <c r="JWV71" s="459"/>
      <c r="JWW71" s="459"/>
      <c r="JWX71" s="459"/>
      <c r="JWY71" s="459"/>
      <c r="JWZ71" s="459"/>
      <c r="JXA71" s="459"/>
      <c r="JXB71" s="459"/>
      <c r="JXC71" s="459"/>
      <c r="JXD71" s="459"/>
      <c r="JXE71" s="459"/>
      <c r="JXF71" s="459"/>
      <c r="JXG71" s="459"/>
      <c r="JXH71" s="459"/>
      <c r="JXI71" s="459"/>
      <c r="JXJ71" s="459"/>
      <c r="JXK71" s="459"/>
      <c r="JXL71" s="459"/>
      <c r="JXM71" s="459"/>
      <c r="JXN71" s="459"/>
      <c r="JXO71" s="459"/>
      <c r="JXP71" s="459"/>
      <c r="JXQ71" s="459"/>
      <c r="JXR71" s="459"/>
      <c r="JXS71" s="459"/>
      <c r="JXT71" s="459"/>
      <c r="JXU71" s="459"/>
      <c r="JXV71" s="459"/>
      <c r="JXW71" s="459"/>
      <c r="JXX71" s="459"/>
      <c r="JXY71" s="459"/>
      <c r="JXZ71" s="459"/>
      <c r="JYA71" s="459"/>
      <c r="JYB71" s="459"/>
      <c r="JYC71" s="459"/>
      <c r="JYD71" s="459"/>
      <c r="JYE71" s="459"/>
      <c r="JYF71" s="459"/>
      <c r="JYG71" s="459"/>
      <c r="JYH71" s="459"/>
      <c r="JYI71" s="459"/>
      <c r="JYJ71" s="459"/>
      <c r="JYK71" s="459"/>
      <c r="JYL71" s="459"/>
      <c r="JYM71" s="459"/>
      <c r="JYN71" s="459"/>
      <c r="JYO71" s="459"/>
      <c r="JYP71" s="459"/>
      <c r="JYQ71" s="459"/>
      <c r="JYR71" s="459"/>
      <c r="JYS71" s="459"/>
      <c r="JYT71" s="459"/>
      <c r="JYU71" s="459"/>
      <c r="JYV71" s="459"/>
      <c r="JYW71" s="459"/>
      <c r="JYX71" s="459"/>
      <c r="JYY71" s="459"/>
      <c r="JYZ71" s="459"/>
      <c r="JZA71" s="459"/>
      <c r="JZB71" s="459"/>
      <c r="JZC71" s="459"/>
      <c r="JZD71" s="459"/>
      <c r="JZE71" s="459"/>
      <c r="JZF71" s="459"/>
      <c r="JZG71" s="459"/>
      <c r="JZH71" s="459"/>
      <c r="JZI71" s="459"/>
      <c r="JZJ71" s="459"/>
      <c r="JZK71" s="459"/>
      <c r="JZL71" s="459"/>
      <c r="JZM71" s="459"/>
      <c r="JZN71" s="459"/>
      <c r="JZO71" s="459"/>
      <c r="JZP71" s="459"/>
      <c r="JZQ71" s="459"/>
      <c r="JZR71" s="459"/>
      <c r="JZS71" s="459"/>
      <c r="JZT71" s="459"/>
      <c r="JZU71" s="459"/>
      <c r="JZV71" s="459"/>
      <c r="JZW71" s="459"/>
      <c r="JZX71" s="459"/>
      <c r="JZY71" s="459"/>
      <c r="JZZ71" s="459"/>
      <c r="KAA71" s="459"/>
      <c r="KAB71" s="459"/>
      <c r="KAC71" s="459"/>
      <c r="KAD71" s="459"/>
      <c r="KAE71" s="459"/>
      <c r="KAF71" s="459"/>
      <c r="KAG71" s="459"/>
      <c r="KAH71" s="459"/>
      <c r="KAI71" s="459"/>
      <c r="KAJ71" s="459"/>
      <c r="KAK71" s="459"/>
      <c r="KAL71" s="459"/>
      <c r="KAM71" s="459"/>
      <c r="KAN71" s="459"/>
      <c r="KAO71" s="459"/>
      <c r="KAP71" s="459"/>
      <c r="KAQ71" s="459"/>
      <c r="KAR71" s="459"/>
      <c r="KAS71" s="459"/>
      <c r="KAT71" s="459"/>
      <c r="KAU71" s="459"/>
      <c r="KAV71" s="459"/>
      <c r="KAW71" s="459"/>
      <c r="KAX71" s="459"/>
      <c r="KAY71" s="459"/>
      <c r="KAZ71" s="459"/>
      <c r="KBA71" s="459"/>
      <c r="KBB71" s="459"/>
      <c r="KBC71" s="459"/>
      <c r="KBD71" s="459"/>
      <c r="KBE71" s="459"/>
      <c r="KBF71" s="459"/>
      <c r="KBG71" s="459"/>
      <c r="KBH71" s="459"/>
      <c r="KBI71" s="459"/>
      <c r="KBJ71" s="459"/>
      <c r="KBK71" s="459"/>
      <c r="KBL71" s="459"/>
      <c r="KBM71" s="459"/>
      <c r="KBN71" s="459"/>
      <c r="KBO71" s="459"/>
      <c r="KBP71" s="459"/>
      <c r="KBQ71" s="459"/>
      <c r="KBR71" s="459"/>
      <c r="KBS71" s="459"/>
      <c r="KBT71" s="459"/>
      <c r="KBU71" s="459"/>
      <c r="KBV71" s="459"/>
      <c r="KBW71" s="459"/>
      <c r="KBX71" s="459"/>
      <c r="KBY71" s="459"/>
      <c r="KBZ71" s="459"/>
      <c r="KCA71" s="459"/>
      <c r="KCB71" s="459"/>
      <c r="KCC71" s="459"/>
      <c r="KCD71" s="459"/>
      <c r="KCE71" s="459"/>
      <c r="KCF71" s="459"/>
      <c r="KCG71" s="459"/>
      <c r="KCH71" s="459"/>
      <c r="KCI71" s="459"/>
      <c r="KCJ71" s="459"/>
      <c r="KCK71" s="459"/>
      <c r="KCL71" s="459"/>
      <c r="KCM71" s="459"/>
      <c r="KCN71" s="459"/>
      <c r="KCO71" s="459"/>
      <c r="KCP71" s="459"/>
      <c r="KCQ71" s="459"/>
      <c r="KCR71" s="459"/>
      <c r="KCS71" s="459"/>
      <c r="KCT71" s="459"/>
      <c r="KCU71" s="459"/>
      <c r="KCV71" s="459"/>
      <c r="KCW71" s="459"/>
      <c r="KCX71" s="459"/>
      <c r="KCY71" s="459"/>
      <c r="KCZ71" s="459"/>
      <c r="KDA71" s="459"/>
      <c r="KDB71" s="459"/>
      <c r="KDC71" s="459"/>
      <c r="KDD71" s="459"/>
      <c r="KDE71" s="459"/>
      <c r="KDF71" s="459"/>
      <c r="KDG71" s="459"/>
      <c r="KDH71" s="459"/>
      <c r="KDI71" s="459"/>
      <c r="KDJ71" s="459"/>
      <c r="KDK71" s="459"/>
      <c r="KDL71" s="459"/>
      <c r="KDM71" s="459"/>
      <c r="KDN71" s="459"/>
      <c r="KDO71" s="459"/>
      <c r="KDP71" s="459"/>
      <c r="KDQ71" s="459"/>
      <c r="KDR71" s="459"/>
      <c r="KDS71" s="459"/>
      <c r="KDT71" s="459"/>
      <c r="KDU71" s="459"/>
      <c r="KDV71" s="459"/>
      <c r="KDW71" s="459"/>
      <c r="KDX71" s="459"/>
      <c r="KDY71" s="459"/>
      <c r="KDZ71" s="459"/>
      <c r="KEA71" s="459"/>
      <c r="KEB71" s="459"/>
      <c r="KEC71" s="459"/>
      <c r="KED71" s="459"/>
      <c r="KEE71" s="459"/>
      <c r="KEF71" s="459"/>
      <c r="KEG71" s="459"/>
      <c r="KEH71" s="459"/>
      <c r="KEI71" s="459"/>
      <c r="KEJ71" s="459"/>
      <c r="KEK71" s="459"/>
      <c r="KEL71" s="459"/>
      <c r="KEM71" s="459"/>
      <c r="KEN71" s="459"/>
      <c r="KEO71" s="459"/>
      <c r="KEP71" s="459"/>
      <c r="KEQ71" s="459"/>
      <c r="KER71" s="459"/>
      <c r="KES71" s="459"/>
      <c r="KET71" s="459"/>
      <c r="KEU71" s="459"/>
      <c r="KEV71" s="459"/>
      <c r="KEW71" s="459"/>
      <c r="KEX71" s="459"/>
      <c r="KEY71" s="459"/>
      <c r="KEZ71" s="459"/>
      <c r="KFA71" s="459"/>
      <c r="KFB71" s="459"/>
      <c r="KFC71" s="459"/>
      <c r="KFD71" s="459"/>
      <c r="KFE71" s="459"/>
      <c r="KFF71" s="459"/>
      <c r="KFG71" s="459"/>
      <c r="KFH71" s="459"/>
      <c r="KFI71" s="459"/>
      <c r="KFJ71" s="459"/>
      <c r="KFK71" s="459"/>
      <c r="KFL71" s="459"/>
      <c r="KFM71" s="459"/>
      <c r="KFN71" s="459"/>
      <c r="KFO71" s="459"/>
      <c r="KFP71" s="459"/>
      <c r="KFQ71" s="459"/>
      <c r="KFR71" s="459"/>
      <c r="KFS71" s="459"/>
      <c r="KFT71" s="459"/>
      <c r="KFU71" s="459"/>
      <c r="KFV71" s="459"/>
      <c r="KFW71" s="459"/>
      <c r="KFX71" s="459"/>
      <c r="KFY71" s="459"/>
      <c r="KFZ71" s="459"/>
      <c r="KGA71" s="459"/>
      <c r="KGB71" s="459"/>
      <c r="KGC71" s="459"/>
      <c r="KGD71" s="459"/>
      <c r="KGE71" s="459"/>
      <c r="KGF71" s="459"/>
      <c r="KGG71" s="459"/>
      <c r="KGH71" s="459"/>
      <c r="KGI71" s="459"/>
      <c r="KGJ71" s="459"/>
      <c r="KGK71" s="459"/>
      <c r="KGL71" s="459"/>
      <c r="KGM71" s="459"/>
      <c r="KGN71" s="459"/>
      <c r="KGO71" s="459"/>
      <c r="KGP71" s="459"/>
      <c r="KGQ71" s="459"/>
      <c r="KGR71" s="459"/>
      <c r="KGS71" s="459"/>
      <c r="KGT71" s="459"/>
      <c r="KGU71" s="459"/>
      <c r="KGV71" s="459"/>
      <c r="KGW71" s="459"/>
      <c r="KGX71" s="459"/>
      <c r="KGY71" s="459"/>
      <c r="KGZ71" s="459"/>
      <c r="KHA71" s="459"/>
      <c r="KHB71" s="459"/>
      <c r="KHC71" s="459"/>
      <c r="KHD71" s="459"/>
      <c r="KHE71" s="459"/>
      <c r="KHF71" s="459"/>
      <c r="KHG71" s="459"/>
      <c r="KHH71" s="459"/>
      <c r="KHI71" s="459"/>
      <c r="KHJ71" s="459"/>
      <c r="KHK71" s="459"/>
      <c r="KHL71" s="459"/>
      <c r="KHM71" s="459"/>
      <c r="KHN71" s="459"/>
      <c r="KHO71" s="459"/>
      <c r="KHP71" s="459"/>
      <c r="KHQ71" s="459"/>
      <c r="KHR71" s="459"/>
      <c r="KHS71" s="459"/>
      <c r="KHT71" s="459"/>
      <c r="KHU71" s="459"/>
      <c r="KHV71" s="459"/>
      <c r="KHW71" s="459"/>
      <c r="KHX71" s="459"/>
      <c r="KHY71" s="459"/>
      <c r="KHZ71" s="459"/>
      <c r="KIA71" s="459"/>
      <c r="KIB71" s="459"/>
      <c r="KIC71" s="459"/>
      <c r="KID71" s="459"/>
      <c r="KIE71" s="459"/>
      <c r="KIF71" s="459"/>
      <c r="KIG71" s="459"/>
      <c r="KIH71" s="459"/>
      <c r="KII71" s="459"/>
      <c r="KIJ71" s="459"/>
      <c r="KIK71" s="459"/>
      <c r="KIL71" s="459"/>
      <c r="KIM71" s="459"/>
      <c r="KIN71" s="459"/>
      <c r="KIO71" s="459"/>
      <c r="KIP71" s="459"/>
      <c r="KIQ71" s="459"/>
      <c r="KIR71" s="459"/>
      <c r="KIS71" s="459"/>
      <c r="KIT71" s="459"/>
      <c r="KIU71" s="459"/>
      <c r="KIV71" s="459"/>
      <c r="KIW71" s="459"/>
      <c r="KIX71" s="459"/>
      <c r="KIY71" s="459"/>
      <c r="KIZ71" s="459"/>
      <c r="KJA71" s="459"/>
      <c r="KJB71" s="459"/>
      <c r="KJC71" s="459"/>
      <c r="KJD71" s="459"/>
      <c r="KJE71" s="459"/>
      <c r="KJF71" s="459"/>
      <c r="KJG71" s="459"/>
      <c r="KJH71" s="459"/>
      <c r="KJI71" s="459"/>
      <c r="KJJ71" s="459"/>
      <c r="KJK71" s="459"/>
      <c r="KJL71" s="459"/>
      <c r="KJM71" s="459"/>
      <c r="KJN71" s="459"/>
      <c r="KJO71" s="459"/>
      <c r="KJP71" s="459"/>
      <c r="KJQ71" s="459"/>
      <c r="KJR71" s="459"/>
      <c r="KJS71" s="459"/>
      <c r="KJT71" s="459"/>
      <c r="KJU71" s="459"/>
      <c r="KJV71" s="459"/>
      <c r="KJW71" s="459"/>
      <c r="KJX71" s="459"/>
      <c r="KJY71" s="459"/>
      <c r="KJZ71" s="459"/>
      <c r="KKA71" s="459"/>
      <c r="KKB71" s="459"/>
      <c r="KKC71" s="459"/>
      <c r="KKD71" s="459"/>
      <c r="KKE71" s="459"/>
      <c r="KKF71" s="459"/>
      <c r="KKG71" s="459"/>
      <c r="KKH71" s="459"/>
      <c r="KKI71" s="459"/>
      <c r="KKJ71" s="459"/>
      <c r="KKK71" s="459"/>
      <c r="KKL71" s="459"/>
      <c r="KKM71" s="459"/>
      <c r="KKN71" s="459"/>
      <c r="KKO71" s="459"/>
      <c r="KKP71" s="459"/>
      <c r="KKQ71" s="459"/>
      <c r="KKR71" s="459"/>
      <c r="KKS71" s="459"/>
      <c r="KKT71" s="459"/>
      <c r="KKU71" s="459"/>
      <c r="KKV71" s="459"/>
      <c r="KKW71" s="459"/>
      <c r="KKX71" s="459"/>
      <c r="KKY71" s="459"/>
      <c r="KKZ71" s="459"/>
      <c r="KLA71" s="459"/>
      <c r="KLB71" s="459"/>
      <c r="KLC71" s="459"/>
      <c r="KLD71" s="459"/>
      <c r="KLE71" s="459"/>
      <c r="KLF71" s="459"/>
      <c r="KLG71" s="459"/>
      <c r="KLH71" s="459"/>
      <c r="KLI71" s="459"/>
      <c r="KLJ71" s="459"/>
      <c r="KLK71" s="459"/>
      <c r="KLL71" s="459"/>
      <c r="KLM71" s="459"/>
      <c r="KLN71" s="459"/>
      <c r="KLO71" s="459"/>
      <c r="KLP71" s="459"/>
      <c r="KLQ71" s="459"/>
      <c r="KLR71" s="459"/>
      <c r="KLS71" s="459"/>
      <c r="KLT71" s="459"/>
      <c r="KLU71" s="459"/>
      <c r="KLV71" s="459"/>
      <c r="KLW71" s="459"/>
      <c r="KLX71" s="459"/>
      <c r="KLY71" s="459"/>
      <c r="KLZ71" s="459"/>
      <c r="KMA71" s="459"/>
      <c r="KMB71" s="459"/>
      <c r="KMC71" s="459"/>
      <c r="KMD71" s="459"/>
      <c r="KME71" s="459"/>
      <c r="KMF71" s="459"/>
      <c r="KMG71" s="459"/>
      <c r="KMH71" s="459"/>
      <c r="KMI71" s="459"/>
      <c r="KMJ71" s="459"/>
      <c r="KMK71" s="459"/>
      <c r="KML71" s="459"/>
      <c r="KMM71" s="459"/>
      <c r="KMN71" s="459"/>
      <c r="KMO71" s="459"/>
      <c r="KMP71" s="459"/>
      <c r="KMQ71" s="459"/>
      <c r="KMR71" s="459"/>
      <c r="KMS71" s="459"/>
      <c r="KMT71" s="459"/>
      <c r="KMU71" s="459"/>
      <c r="KMV71" s="459"/>
      <c r="KMW71" s="459"/>
      <c r="KMX71" s="459"/>
      <c r="KMY71" s="459"/>
      <c r="KMZ71" s="459"/>
      <c r="KNA71" s="459"/>
      <c r="KNB71" s="459"/>
      <c r="KNC71" s="459"/>
      <c r="KND71" s="459"/>
      <c r="KNE71" s="459"/>
      <c r="KNF71" s="459"/>
      <c r="KNG71" s="459"/>
      <c r="KNH71" s="459"/>
      <c r="KNI71" s="459"/>
      <c r="KNJ71" s="459"/>
      <c r="KNK71" s="459"/>
      <c r="KNL71" s="459"/>
      <c r="KNM71" s="459"/>
      <c r="KNN71" s="459"/>
      <c r="KNO71" s="459"/>
      <c r="KNP71" s="459"/>
      <c r="KNQ71" s="459"/>
      <c r="KNR71" s="459"/>
      <c r="KNS71" s="459"/>
      <c r="KNT71" s="459"/>
      <c r="KNU71" s="459"/>
      <c r="KNV71" s="459"/>
      <c r="KNW71" s="459"/>
      <c r="KNX71" s="459"/>
      <c r="KNY71" s="459"/>
      <c r="KNZ71" s="459"/>
      <c r="KOA71" s="459"/>
      <c r="KOB71" s="459"/>
      <c r="KOC71" s="459"/>
      <c r="KOD71" s="459"/>
      <c r="KOE71" s="459"/>
      <c r="KOF71" s="459"/>
      <c r="KOG71" s="459"/>
      <c r="KOH71" s="459"/>
      <c r="KOI71" s="459"/>
      <c r="KOJ71" s="459"/>
      <c r="KOK71" s="459"/>
      <c r="KOL71" s="459"/>
      <c r="KOM71" s="459"/>
      <c r="KON71" s="459"/>
      <c r="KOO71" s="459"/>
      <c r="KOP71" s="459"/>
      <c r="KOQ71" s="459"/>
      <c r="KOR71" s="459"/>
      <c r="KOS71" s="459"/>
      <c r="KOT71" s="459"/>
      <c r="KOU71" s="459"/>
      <c r="KOV71" s="459"/>
      <c r="KOW71" s="459"/>
      <c r="KOX71" s="459"/>
      <c r="KOY71" s="459"/>
      <c r="KOZ71" s="459"/>
      <c r="KPA71" s="459"/>
      <c r="KPB71" s="459"/>
      <c r="KPC71" s="459"/>
      <c r="KPD71" s="459"/>
      <c r="KPE71" s="459"/>
      <c r="KPF71" s="459"/>
      <c r="KPG71" s="459"/>
      <c r="KPH71" s="459"/>
      <c r="KPI71" s="459"/>
      <c r="KPJ71" s="459"/>
      <c r="KPK71" s="459"/>
      <c r="KPL71" s="459"/>
      <c r="KPM71" s="459"/>
      <c r="KPN71" s="459"/>
      <c r="KPO71" s="459"/>
      <c r="KPP71" s="459"/>
      <c r="KPQ71" s="459"/>
      <c r="KPR71" s="459"/>
      <c r="KPS71" s="459"/>
      <c r="KPT71" s="459"/>
      <c r="KPU71" s="459"/>
      <c r="KPV71" s="459"/>
      <c r="KPW71" s="459"/>
      <c r="KPX71" s="459"/>
      <c r="KPY71" s="459"/>
      <c r="KPZ71" s="459"/>
      <c r="KQA71" s="459"/>
      <c r="KQB71" s="459"/>
      <c r="KQC71" s="459"/>
      <c r="KQD71" s="459"/>
      <c r="KQE71" s="459"/>
      <c r="KQF71" s="459"/>
      <c r="KQG71" s="459"/>
      <c r="KQH71" s="459"/>
      <c r="KQI71" s="459"/>
      <c r="KQJ71" s="459"/>
      <c r="KQK71" s="459"/>
      <c r="KQL71" s="459"/>
      <c r="KQM71" s="459"/>
      <c r="KQN71" s="459"/>
      <c r="KQO71" s="459"/>
      <c r="KQP71" s="459"/>
      <c r="KQQ71" s="459"/>
      <c r="KQR71" s="459"/>
      <c r="KQS71" s="459"/>
      <c r="KQT71" s="459"/>
      <c r="KQU71" s="459"/>
      <c r="KQV71" s="459"/>
      <c r="KQW71" s="459"/>
      <c r="KQX71" s="459"/>
      <c r="KQY71" s="459"/>
      <c r="KQZ71" s="459"/>
      <c r="KRA71" s="459"/>
      <c r="KRB71" s="459"/>
      <c r="KRC71" s="459"/>
      <c r="KRD71" s="459"/>
      <c r="KRE71" s="459"/>
      <c r="KRF71" s="459"/>
      <c r="KRG71" s="459"/>
      <c r="KRH71" s="459"/>
      <c r="KRI71" s="459"/>
      <c r="KRJ71" s="459"/>
      <c r="KRK71" s="459"/>
      <c r="KRL71" s="459"/>
      <c r="KRM71" s="459"/>
      <c r="KRN71" s="459"/>
      <c r="KRO71" s="459"/>
      <c r="KRP71" s="459"/>
      <c r="KRQ71" s="459"/>
      <c r="KRR71" s="459"/>
      <c r="KRS71" s="459"/>
      <c r="KRT71" s="459"/>
      <c r="KRU71" s="459"/>
      <c r="KRV71" s="459"/>
      <c r="KRW71" s="459"/>
      <c r="KRX71" s="459"/>
      <c r="KRY71" s="459"/>
      <c r="KRZ71" s="459"/>
      <c r="KSA71" s="459"/>
      <c r="KSB71" s="459"/>
      <c r="KSC71" s="459"/>
      <c r="KSD71" s="459"/>
      <c r="KSE71" s="459"/>
      <c r="KSF71" s="459"/>
      <c r="KSG71" s="459"/>
      <c r="KSH71" s="459"/>
      <c r="KSI71" s="459"/>
      <c r="KSJ71" s="459"/>
      <c r="KSK71" s="459"/>
      <c r="KSL71" s="459"/>
      <c r="KSM71" s="459"/>
      <c r="KSN71" s="459"/>
      <c r="KSO71" s="459"/>
      <c r="KSP71" s="459"/>
      <c r="KSQ71" s="459"/>
      <c r="KSR71" s="459"/>
      <c r="KSS71" s="459"/>
      <c r="KST71" s="459"/>
      <c r="KSU71" s="459"/>
      <c r="KSV71" s="459"/>
      <c r="KSW71" s="459"/>
      <c r="KSX71" s="459"/>
      <c r="KSY71" s="459"/>
      <c r="KSZ71" s="459"/>
      <c r="KTA71" s="459"/>
      <c r="KTB71" s="459"/>
      <c r="KTC71" s="459"/>
      <c r="KTD71" s="459"/>
      <c r="KTE71" s="459"/>
      <c r="KTF71" s="459"/>
      <c r="KTG71" s="459"/>
      <c r="KTH71" s="459"/>
      <c r="KTI71" s="459"/>
      <c r="KTJ71" s="459"/>
      <c r="KTK71" s="459"/>
      <c r="KTL71" s="459"/>
      <c r="KTM71" s="459"/>
      <c r="KTN71" s="459"/>
      <c r="KTO71" s="459"/>
      <c r="KTP71" s="459"/>
      <c r="KTQ71" s="459"/>
      <c r="KTR71" s="459"/>
      <c r="KTS71" s="459"/>
      <c r="KTT71" s="459"/>
      <c r="KTU71" s="459"/>
      <c r="KTV71" s="459"/>
      <c r="KTW71" s="459"/>
      <c r="KTX71" s="459"/>
      <c r="KTY71" s="459"/>
      <c r="KTZ71" s="459"/>
      <c r="KUA71" s="459"/>
      <c r="KUB71" s="459"/>
      <c r="KUC71" s="459"/>
      <c r="KUD71" s="459"/>
      <c r="KUE71" s="459"/>
      <c r="KUF71" s="459"/>
      <c r="KUG71" s="459"/>
      <c r="KUH71" s="459"/>
      <c r="KUI71" s="459"/>
      <c r="KUJ71" s="459"/>
      <c r="KUK71" s="459"/>
      <c r="KUL71" s="459"/>
      <c r="KUM71" s="459"/>
      <c r="KUN71" s="459"/>
      <c r="KUO71" s="459"/>
      <c r="KUP71" s="459"/>
      <c r="KUQ71" s="459"/>
      <c r="KUR71" s="459"/>
      <c r="KUS71" s="459"/>
      <c r="KUT71" s="459"/>
      <c r="KUU71" s="459"/>
      <c r="KUV71" s="459"/>
      <c r="KUW71" s="459"/>
      <c r="KUX71" s="459"/>
      <c r="KUY71" s="459"/>
      <c r="KUZ71" s="459"/>
      <c r="KVA71" s="459"/>
      <c r="KVB71" s="459"/>
      <c r="KVC71" s="459"/>
      <c r="KVD71" s="459"/>
      <c r="KVE71" s="459"/>
      <c r="KVF71" s="459"/>
      <c r="KVG71" s="459"/>
      <c r="KVH71" s="459"/>
      <c r="KVI71" s="459"/>
      <c r="KVJ71" s="459"/>
      <c r="KVK71" s="459"/>
      <c r="KVL71" s="459"/>
      <c r="KVM71" s="459"/>
      <c r="KVN71" s="459"/>
      <c r="KVO71" s="459"/>
      <c r="KVP71" s="459"/>
      <c r="KVQ71" s="459"/>
      <c r="KVR71" s="459"/>
      <c r="KVS71" s="459"/>
      <c r="KVT71" s="459"/>
      <c r="KVU71" s="459"/>
      <c r="KVV71" s="459"/>
      <c r="KVW71" s="459"/>
      <c r="KVX71" s="459"/>
      <c r="KVY71" s="459"/>
      <c r="KVZ71" s="459"/>
      <c r="KWA71" s="459"/>
      <c r="KWB71" s="459"/>
      <c r="KWC71" s="459"/>
      <c r="KWD71" s="459"/>
      <c r="KWE71" s="459"/>
      <c r="KWF71" s="459"/>
      <c r="KWG71" s="459"/>
      <c r="KWH71" s="459"/>
      <c r="KWI71" s="459"/>
      <c r="KWJ71" s="459"/>
      <c r="KWK71" s="459"/>
      <c r="KWL71" s="459"/>
      <c r="KWM71" s="459"/>
      <c r="KWN71" s="459"/>
      <c r="KWO71" s="459"/>
      <c r="KWP71" s="459"/>
      <c r="KWQ71" s="459"/>
      <c r="KWR71" s="459"/>
      <c r="KWS71" s="459"/>
      <c r="KWT71" s="459"/>
      <c r="KWU71" s="459"/>
      <c r="KWV71" s="459"/>
      <c r="KWW71" s="459"/>
      <c r="KWX71" s="459"/>
      <c r="KWY71" s="459"/>
      <c r="KWZ71" s="459"/>
      <c r="KXA71" s="459"/>
      <c r="KXB71" s="459"/>
      <c r="KXC71" s="459"/>
      <c r="KXD71" s="459"/>
      <c r="KXE71" s="459"/>
      <c r="KXF71" s="459"/>
      <c r="KXG71" s="459"/>
      <c r="KXH71" s="459"/>
      <c r="KXI71" s="459"/>
      <c r="KXJ71" s="459"/>
      <c r="KXK71" s="459"/>
      <c r="KXL71" s="459"/>
      <c r="KXM71" s="459"/>
      <c r="KXN71" s="459"/>
      <c r="KXO71" s="459"/>
      <c r="KXP71" s="459"/>
      <c r="KXQ71" s="459"/>
      <c r="KXR71" s="459"/>
      <c r="KXS71" s="459"/>
      <c r="KXT71" s="459"/>
      <c r="KXU71" s="459"/>
      <c r="KXV71" s="459"/>
      <c r="KXW71" s="459"/>
      <c r="KXX71" s="459"/>
      <c r="KXY71" s="459"/>
      <c r="KXZ71" s="459"/>
      <c r="KYA71" s="459"/>
      <c r="KYB71" s="459"/>
      <c r="KYC71" s="459"/>
      <c r="KYD71" s="459"/>
      <c r="KYE71" s="459"/>
      <c r="KYF71" s="459"/>
      <c r="KYG71" s="459"/>
      <c r="KYH71" s="459"/>
      <c r="KYI71" s="459"/>
      <c r="KYJ71" s="459"/>
      <c r="KYK71" s="459"/>
      <c r="KYL71" s="459"/>
      <c r="KYM71" s="459"/>
      <c r="KYN71" s="459"/>
      <c r="KYO71" s="459"/>
      <c r="KYP71" s="459"/>
      <c r="KYQ71" s="459"/>
      <c r="KYR71" s="459"/>
      <c r="KYS71" s="459"/>
      <c r="KYT71" s="459"/>
      <c r="KYU71" s="459"/>
      <c r="KYV71" s="459"/>
      <c r="KYW71" s="459"/>
      <c r="KYX71" s="459"/>
      <c r="KYY71" s="459"/>
      <c r="KYZ71" s="459"/>
      <c r="KZA71" s="459"/>
      <c r="KZB71" s="459"/>
      <c r="KZC71" s="459"/>
      <c r="KZD71" s="459"/>
      <c r="KZE71" s="459"/>
      <c r="KZF71" s="459"/>
      <c r="KZG71" s="459"/>
      <c r="KZH71" s="459"/>
      <c r="KZI71" s="459"/>
      <c r="KZJ71" s="459"/>
      <c r="KZK71" s="459"/>
      <c r="KZL71" s="459"/>
      <c r="KZM71" s="459"/>
      <c r="KZN71" s="459"/>
      <c r="KZO71" s="459"/>
      <c r="KZP71" s="459"/>
      <c r="KZQ71" s="459"/>
      <c r="KZR71" s="459"/>
      <c r="KZS71" s="459"/>
      <c r="KZT71" s="459"/>
      <c r="KZU71" s="459"/>
      <c r="KZV71" s="459"/>
      <c r="KZW71" s="459"/>
      <c r="KZX71" s="459"/>
      <c r="KZY71" s="459"/>
      <c r="KZZ71" s="459"/>
      <c r="LAA71" s="459"/>
      <c r="LAB71" s="459"/>
      <c r="LAC71" s="459"/>
      <c r="LAD71" s="459"/>
      <c r="LAE71" s="459"/>
      <c r="LAF71" s="459"/>
      <c r="LAG71" s="459"/>
      <c r="LAH71" s="459"/>
      <c r="LAI71" s="459"/>
      <c r="LAJ71" s="459"/>
      <c r="LAK71" s="459"/>
      <c r="LAL71" s="459"/>
      <c r="LAM71" s="459"/>
      <c r="LAN71" s="459"/>
      <c r="LAO71" s="459"/>
      <c r="LAP71" s="459"/>
      <c r="LAQ71" s="459"/>
      <c r="LAR71" s="459"/>
      <c r="LAS71" s="459"/>
      <c r="LAT71" s="459"/>
      <c r="LAU71" s="459"/>
      <c r="LAV71" s="459"/>
      <c r="LAW71" s="459"/>
      <c r="LAX71" s="459"/>
      <c r="LAY71" s="459"/>
      <c r="LAZ71" s="459"/>
      <c r="LBA71" s="459"/>
      <c r="LBB71" s="459"/>
      <c r="LBC71" s="459"/>
      <c r="LBD71" s="459"/>
      <c r="LBE71" s="459"/>
      <c r="LBF71" s="459"/>
      <c r="LBG71" s="459"/>
      <c r="LBH71" s="459"/>
      <c r="LBI71" s="459"/>
      <c r="LBJ71" s="459"/>
      <c r="LBK71" s="459"/>
      <c r="LBL71" s="459"/>
      <c r="LBM71" s="459"/>
      <c r="LBN71" s="459"/>
      <c r="LBO71" s="459"/>
      <c r="LBP71" s="459"/>
      <c r="LBQ71" s="459"/>
      <c r="LBR71" s="459"/>
      <c r="LBS71" s="459"/>
      <c r="LBT71" s="459"/>
      <c r="LBU71" s="459"/>
      <c r="LBV71" s="459"/>
      <c r="LBW71" s="459"/>
      <c r="LBX71" s="459"/>
      <c r="LBY71" s="459"/>
      <c r="LBZ71" s="459"/>
      <c r="LCA71" s="459"/>
      <c r="LCB71" s="459"/>
      <c r="LCC71" s="459"/>
      <c r="LCD71" s="459"/>
      <c r="LCE71" s="459"/>
      <c r="LCF71" s="459"/>
      <c r="LCG71" s="459"/>
      <c r="LCH71" s="459"/>
      <c r="LCI71" s="459"/>
      <c r="LCJ71" s="459"/>
      <c r="LCK71" s="459"/>
      <c r="LCL71" s="459"/>
      <c r="LCM71" s="459"/>
      <c r="LCN71" s="459"/>
      <c r="LCO71" s="459"/>
      <c r="LCP71" s="459"/>
      <c r="LCQ71" s="459"/>
      <c r="LCR71" s="459"/>
      <c r="LCS71" s="459"/>
      <c r="LCT71" s="459"/>
      <c r="LCU71" s="459"/>
      <c r="LCV71" s="459"/>
      <c r="LCW71" s="459"/>
      <c r="LCX71" s="459"/>
      <c r="LCY71" s="459"/>
      <c r="LCZ71" s="459"/>
      <c r="LDA71" s="459"/>
      <c r="LDB71" s="459"/>
      <c r="LDC71" s="459"/>
      <c r="LDD71" s="459"/>
      <c r="LDE71" s="459"/>
      <c r="LDF71" s="459"/>
      <c r="LDG71" s="459"/>
      <c r="LDH71" s="459"/>
      <c r="LDI71" s="459"/>
      <c r="LDJ71" s="459"/>
      <c r="LDK71" s="459"/>
      <c r="LDL71" s="459"/>
      <c r="LDM71" s="459"/>
      <c r="LDN71" s="459"/>
      <c r="LDO71" s="459"/>
      <c r="LDP71" s="459"/>
      <c r="LDQ71" s="459"/>
      <c r="LDR71" s="459"/>
      <c r="LDS71" s="459"/>
      <c r="LDT71" s="459"/>
      <c r="LDU71" s="459"/>
      <c r="LDV71" s="459"/>
      <c r="LDW71" s="459"/>
      <c r="LDX71" s="459"/>
      <c r="LDY71" s="459"/>
      <c r="LDZ71" s="459"/>
      <c r="LEA71" s="459"/>
      <c r="LEB71" s="459"/>
      <c r="LEC71" s="459"/>
      <c r="LED71" s="459"/>
      <c r="LEE71" s="459"/>
      <c r="LEF71" s="459"/>
      <c r="LEG71" s="459"/>
      <c r="LEH71" s="459"/>
      <c r="LEI71" s="459"/>
      <c r="LEJ71" s="459"/>
      <c r="LEK71" s="459"/>
      <c r="LEL71" s="459"/>
      <c r="LEM71" s="459"/>
      <c r="LEN71" s="459"/>
      <c r="LEO71" s="459"/>
      <c r="LEP71" s="459"/>
      <c r="LEQ71" s="459"/>
      <c r="LER71" s="459"/>
      <c r="LES71" s="459"/>
      <c r="LET71" s="459"/>
      <c r="LEU71" s="459"/>
      <c r="LEV71" s="459"/>
      <c r="LEW71" s="459"/>
      <c r="LEX71" s="459"/>
      <c r="LEY71" s="459"/>
      <c r="LEZ71" s="459"/>
      <c r="LFA71" s="459"/>
      <c r="LFB71" s="459"/>
      <c r="LFC71" s="459"/>
      <c r="LFD71" s="459"/>
      <c r="LFE71" s="459"/>
      <c r="LFF71" s="459"/>
      <c r="LFG71" s="459"/>
      <c r="LFH71" s="459"/>
      <c r="LFI71" s="459"/>
      <c r="LFJ71" s="459"/>
      <c r="LFK71" s="459"/>
      <c r="LFL71" s="459"/>
      <c r="LFM71" s="459"/>
      <c r="LFN71" s="459"/>
      <c r="LFO71" s="459"/>
      <c r="LFP71" s="459"/>
      <c r="LFQ71" s="459"/>
      <c r="LFR71" s="459"/>
      <c r="LFS71" s="459"/>
      <c r="LFT71" s="459"/>
      <c r="LFU71" s="459"/>
      <c r="LFV71" s="459"/>
      <c r="LFW71" s="459"/>
      <c r="LFX71" s="459"/>
      <c r="LFY71" s="459"/>
      <c r="LFZ71" s="459"/>
      <c r="LGA71" s="459"/>
      <c r="LGB71" s="459"/>
      <c r="LGC71" s="459"/>
      <c r="LGD71" s="459"/>
      <c r="LGE71" s="459"/>
      <c r="LGF71" s="459"/>
      <c r="LGG71" s="459"/>
      <c r="LGH71" s="459"/>
      <c r="LGI71" s="459"/>
      <c r="LGJ71" s="459"/>
      <c r="LGK71" s="459"/>
      <c r="LGL71" s="459"/>
      <c r="LGM71" s="459"/>
      <c r="LGN71" s="459"/>
      <c r="LGO71" s="459"/>
      <c r="LGP71" s="459"/>
      <c r="LGQ71" s="459"/>
      <c r="LGR71" s="459"/>
      <c r="LGS71" s="459"/>
      <c r="LGT71" s="459"/>
      <c r="LGU71" s="459"/>
      <c r="LGV71" s="459"/>
      <c r="LGW71" s="459"/>
      <c r="LGX71" s="459"/>
      <c r="LGY71" s="459"/>
      <c r="LGZ71" s="459"/>
      <c r="LHA71" s="459"/>
      <c r="LHB71" s="459"/>
      <c r="LHC71" s="459"/>
      <c r="LHD71" s="459"/>
      <c r="LHE71" s="459"/>
      <c r="LHF71" s="459"/>
      <c r="LHG71" s="459"/>
      <c r="LHH71" s="459"/>
      <c r="LHI71" s="459"/>
      <c r="LHJ71" s="459"/>
      <c r="LHK71" s="459"/>
      <c r="LHL71" s="459"/>
      <c r="LHM71" s="459"/>
      <c r="LHN71" s="459"/>
      <c r="LHO71" s="459"/>
      <c r="LHP71" s="459"/>
      <c r="LHQ71" s="459"/>
      <c r="LHR71" s="459"/>
      <c r="LHS71" s="459"/>
      <c r="LHT71" s="459"/>
      <c r="LHU71" s="459"/>
      <c r="LHV71" s="459"/>
      <c r="LHW71" s="459"/>
      <c r="LHX71" s="459"/>
      <c r="LHY71" s="459"/>
      <c r="LHZ71" s="459"/>
      <c r="LIA71" s="459"/>
      <c r="LIB71" s="459"/>
      <c r="LIC71" s="459"/>
      <c r="LID71" s="459"/>
      <c r="LIE71" s="459"/>
      <c r="LIF71" s="459"/>
      <c r="LIG71" s="459"/>
      <c r="LIH71" s="459"/>
      <c r="LII71" s="459"/>
      <c r="LIJ71" s="459"/>
      <c r="LIK71" s="459"/>
      <c r="LIL71" s="459"/>
      <c r="LIM71" s="459"/>
      <c r="LIN71" s="459"/>
      <c r="LIO71" s="459"/>
      <c r="LIP71" s="459"/>
      <c r="LIQ71" s="459"/>
      <c r="LIR71" s="459"/>
      <c r="LIS71" s="459"/>
      <c r="LIT71" s="459"/>
      <c r="LIU71" s="459"/>
      <c r="LIV71" s="459"/>
      <c r="LIW71" s="459"/>
      <c r="LIX71" s="459"/>
      <c r="LIY71" s="459"/>
      <c r="LIZ71" s="459"/>
      <c r="LJA71" s="459"/>
      <c r="LJB71" s="459"/>
      <c r="LJC71" s="459"/>
      <c r="LJD71" s="459"/>
      <c r="LJE71" s="459"/>
      <c r="LJF71" s="459"/>
      <c r="LJG71" s="459"/>
      <c r="LJH71" s="459"/>
      <c r="LJI71" s="459"/>
      <c r="LJJ71" s="459"/>
      <c r="LJK71" s="459"/>
      <c r="LJL71" s="459"/>
      <c r="LJM71" s="459"/>
      <c r="LJN71" s="459"/>
      <c r="LJO71" s="459"/>
      <c r="LJP71" s="459"/>
      <c r="LJQ71" s="459"/>
      <c r="LJR71" s="459"/>
      <c r="LJS71" s="459"/>
      <c r="LJT71" s="459"/>
      <c r="LJU71" s="459"/>
      <c r="LJV71" s="459"/>
      <c r="LJW71" s="459"/>
      <c r="LJX71" s="459"/>
      <c r="LJY71" s="459"/>
      <c r="LJZ71" s="459"/>
      <c r="LKA71" s="459"/>
      <c r="LKB71" s="459"/>
      <c r="LKC71" s="459"/>
      <c r="LKD71" s="459"/>
      <c r="LKE71" s="459"/>
      <c r="LKF71" s="459"/>
      <c r="LKG71" s="459"/>
      <c r="LKH71" s="459"/>
      <c r="LKI71" s="459"/>
      <c r="LKJ71" s="459"/>
      <c r="LKK71" s="459"/>
      <c r="LKL71" s="459"/>
      <c r="LKM71" s="459"/>
      <c r="LKN71" s="459"/>
      <c r="LKO71" s="459"/>
      <c r="LKP71" s="459"/>
      <c r="LKQ71" s="459"/>
      <c r="LKR71" s="459"/>
      <c r="LKS71" s="459"/>
      <c r="LKT71" s="459"/>
      <c r="LKU71" s="459"/>
      <c r="LKV71" s="459"/>
      <c r="LKW71" s="459"/>
      <c r="LKX71" s="459"/>
      <c r="LKY71" s="459"/>
      <c r="LKZ71" s="459"/>
      <c r="LLA71" s="459"/>
      <c r="LLB71" s="459"/>
      <c r="LLC71" s="459"/>
      <c r="LLD71" s="459"/>
      <c r="LLE71" s="459"/>
      <c r="LLF71" s="459"/>
      <c r="LLG71" s="459"/>
      <c r="LLH71" s="459"/>
      <c r="LLI71" s="459"/>
      <c r="LLJ71" s="459"/>
      <c r="LLK71" s="459"/>
      <c r="LLL71" s="459"/>
      <c r="LLM71" s="459"/>
      <c r="LLN71" s="459"/>
      <c r="LLO71" s="459"/>
      <c r="LLP71" s="459"/>
      <c r="LLQ71" s="459"/>
      <c r="LLR71" s="459"/>
      <c r="LLS71" s="459"/>
      <c r="LLT71" s="459"/>
      <c r="LLU71" s="459"/>
      <c r="LLV71" s="459"/>
      <c r="LLW71" s="459"/>
      <c r="LLX71" s="459"/>
      <c r="LLY71" s="459"/>
      <c r="LLZ71" s="459"/>
      <c r="LMA71" s="459"/>
      <c r="LMB71" s="459"/>
      <c r="LMC71" s="459"/>
      <c r="LMD71" s="459"/>
      <c r="LME71" s="459"/>
      <c r="LMF71" s="459"/>
      <c r="LMG71" s="459"/>
      <c r="LMH71" s="459"/>
      <c r="LMI71" s="459"/>
      <c r="LMJ71" s="459"/>
      <c r="LMK71" s="459"/>
      <c r="LML71" s="459"/>
      <c r="LMM71" s="459"/>
      <c r="LMN71" s="459"/>
      <c r="LMO71" s="459"/>
      <c r="LMP71" s="459"/>
      <c r="LMQ71" s="459"/>
      <c r="LMR71" s="459"/>
      <c r="LMS71" s="459"/>
      <c r="LMT71" s="459"/>
      <c r="LMU71" s="459"/>
      <c r="LMV71" s="459"/>
      <c r="LMW71" s="459"/>
      <c r="LMX71" s="459"/>
      <c r="LMY71" s="459"/>
      <c r="LMZ71" s="459"/>
      <c r="LNA71" s="459"/>
      <c r="LNB71" s="459"/>
      <c r="LNC71" s="459"/>
      <c r="LND71" s="459"/>
      <c r="LNE71" s="459"/>
      <c r="LNF71" s="459"/>
      <c r="LNG71" s="459"/>
      <c r="LNH71" s="459"/>
      <c r="LNI71" s="459"/>
      <c r="LNJ71" s="459"/>
      <c r="LNK71" s="459"/>
      <c r="LNL71" s="459"/>
      <c r="LNM71" s="459"/>
      <c r="LNN71" s="459"/>
      <c r="LNO71" s="459"/>
      <c r="LNP71" s="459"/>
      <c r="LNQ71" s="459"/>
      <c r="LNR71" s="459"/>
      <c r="LNS71" s="459"/>
      <c r="LNT71" s="459"/>
      <c r="LNU71" s="459"/>
      <c r="LNV71" s="459"/>
      <c r="LNW71" s="459"/>
      <c r="LNX71" s="459"/>
      <c r="LNY71" s="459"/>
      <c r="LNZ71" s="459"/>
      <c r="LOA71" s="459"/>
      <c r="LOB71" s="459"/>
      <c r="LOC71" s="459"/>
      <c r="LOD71" s="459"/>
      <c r="LOE71" s="459"/>
      <c r="LOF71" s="459"/>
      <c r="LOG71" s="459"/>
      <c r="LOH71" s="459"/>
      <c r="LOI71" s="459"/>
      <c r="LOJ71" s="459"/>
      <c r="LOK71" s="459"/>
      <c r="LOL71" s="459"/>
      <c r="LOM71" s="459"/>
      <c r="LON71" s="459"/>
      <c r="LOO71" s="459"/>
      <c r="LOP71" s="459"/>
      <c r="LOQ71" s="459"/>
      <c r="LOR71" s="459"/>
      <c r="LOS71" s="459"/>
      <c r="LOT71" s="459"/>
      <c r="LOU71" s="459"/>
      <c r="LOV71" s="459"/>
      <c r="LOW71" s="459"/>
      <c r="LOX71" s="459"/>
      <c r="LOY71" s="459"/>
      <c r="LOZ71" s="459"/>
      <c r="LPA71" s="459"/>
      <c r="LPB71" s="459"/>
      <c r="LPC71" s="459"/>
      <c r="LPD71" s="459"/>
      <c r="LPE71" s="459"/>
      <c r="LPF71" s="459"/>
      <c r="LPG71" s="459"/>
      <c r="LPH71" s="459"/>
      <c r="LPI71" s="459"/>
      <c r="LPJ71" s="459"/>
      <c r="LPK71" s="459"/>
      <c r="LPL71" s="459"/>
      <c r="LPM71" s="459"/>
      <c r="LPN71" s="459"/>
      <c r="LPO71" s="459"/>
      <c r="LPP71" s="459"/>
      <c r="LPQ71" s="459"/>
      <c r="LPR71" s="459"/>
      <c r="LPS71" s="459"/>
      <c r="LPT71" s="459"/>
      <c r="LPU71" s="459"/>
      <c r="LPV71" s="459"/>
      <c r="LPW71" s="459"/>
      <c r="LPX71" s="459"/>
      <c r="LPY71" s="459"/>
      <c r="LPZ71" s="459"/>
      <c r="LQA71" s="459"/>
      <c r="LQB71" s="459"/>
      <c r="LQC71" s="459"/>
      <c r="LQD71" s="459"/>
      <c r="LQE71" s="459"/>
      <c r="LQF71" s="459"/>
      <c r="LQG71" s="459"/>
      <c r="LQH71" s="459"/>
      <c r="LQI71" s="459"/>
      <c r="LQJ71" s="459"/>
      <c r="LQK71" s="459"/>
      <c r="LQL71" s="459"/>
      <c r="LQM71" s="459"/>
      <c r="LQN71" s="459"/>
      <c r="LQO71" s="459"/>
      <c r="LQP71" s="459"/>
      <c r="LQQ71" s="459"/>
      <c r="LQR71" s="459"/>
      <c r="LQS71" s="459"/>
      <c r="LQT71" s="459"/>
      <c r="LQU71" s="459"/>
      <c r="LQV71" s="459"/>
      <c r="LQW71" s="459"/>
      <c r="LQX71" s="459"/>
      <c r="LQY71" s="459"/>
      <c r="LQZ71" s="459"/>
      <c r="LRA71" s="459"/>
      <c r="LRB71" s="459"/>
      <c r="LRC71" s="459"/>
      <c r="LRD71" s="459"/>
      <c r="LRE71" s="459"/>
      <c r="LRF71" s="459"/>
      <c r="LRG71" s="459"/>
      <c r="LRH71" s="459"/>
      <c r="LRI71" s="459"/>
      <c r="LRJ71" s="459"/>
      <c r="LRK71" s="459"/>
      <c r="LRL71" s="459"/>
      <c r="LRM71" s="459"/>
      <c r="LRN71" s="459"/>
      <c r="LRO71" s="459"/>
      <c r="LRP71" s="459"/>
      <c r="LRQ71" s="459"/>
      <c r="LRR71" s="459"/>
      <c r="LRS71" s="459"/>
      <c r="LRT71" s="459"/>
      <c r="LRU71" s="459"/>
      <c r="LRV71" s="459"/>
      <c r="LRW71" s="459"/>
      <c r="LRX71" s="459"/>
      <c r="LRY71" s="459"/>
      <c r="LRZ71" s="459"/>
      <c r="LSA71" s="459"/>
      <c r="LSB71" s="459"/>
      <c r="LSC71" s="459"/>
      <c r="LSD71" s="459"/>
      <c r="LSE71" s="459"/>
      <c r="LSF71" s="459"/>
      <c r="LSG71" s="459"/>
      <c r="LSH71" s="459"/>
      <c r="LSI71" s="459"/>
      <c r="LSJ71" s="459"/>
      <c r="LSK71" s="459"/>
      <c r="LSL71" s="459"/>
      <c r="LSM71" s="459"/>
      <c r="LSN71" s="459"/>
      <c r="LSO71" s="459"/>
      <c r="LSP71" s="459"/>
      <c r="LSQ71" s="459"/>
      <c r="LSR71" s="459"/>
      <c r="LSS71" s="459"/>
      <c r="LST71" s="459"/>
      <c r="LSU71" s="459"/>
      <c r="LSV71" s="459"/>
      <c r="LSW71" s="459"/>
      <c r="LSX71" s="459"/>
      <c r="LSY71" s="459"/>
      <c r="LSZ71" s="459"/>
      <c r="LTA71" s="459"/>
      <c r="LTB71" s="459"/>
      <c r="LTC71" s="459"/>
      <c r="LTD71" s="459"/>
      <c r="LTE71" s="459"/>
      <c r="LTF71" s="459"/>
      <c r="LTG71" s="459"/>
      <c r="LTH71" s="459"/>
      <c r="LTI71" s="459"/>
      <c r="LTJ71" s="459"/>
      <c r="LTK71" s="459"/>
      <c r="LTL71" s="459"/>
      <c r="LTM71" s="459"/>
      <c r="LTN71" s="459"/>
      <c r="LTO71" s="459"/>
      <c r="LTP71" s="459"/>
      <c r="LTQ71" s="459"/>
      <c r="LTR71" s="459"/>
      <c r="LTS71" s="459"/>
      <c r="LTT71" s="459"/>
      <c r="LTU71" s="459"/>
      <c r="LTV71" s="459"/>
      <c r="LTW71" s="459"/>
      <c r="LTX71" s="459"/>
      <c r="LTY71" s="459"/>
      <c r="LTZ71" s="459"/>
      <c r="LUA71" s="459"/>
      <c r="LUB71" s="459"/>
      <c r="LUC71" s="459"/>
      <c r="LUD71" s="459"/>
      <c r="LUE71" s="459"/>
      <c r="LUF71" s="459"/>
      <c r="LUG71" s="459"/>
      <c r="LUH71" s="459"/>
      <c r="LUI71" s="459"/>
      <c r="LUJ71" s="459"/>
      <c r="LUK71" s="459"/>
      <c r="LUL71" s="459"/>
      <c r="LUM71" s="459"/>
      <c r="LUN71" s="459"/>
      <c r="LUO71" s="459"/>
      <c r="LUP71" s="459"/>
      <c r="LUQ71" s="459"/>
      <c r="LUR71" s="459"/>
      <c r="LUS71" s="459"/>
      <c r="LUT71" s="459"/>
      <c r="LUU71" s="459"/>
      <c r="LUV71" s="459"/>
      <c r="LUW71" s="459"/>
      <c r="LUX71" s="459"/>
      <c r="LUY71" s="459"/>
      <c r="LUZ71" s="459"/>
      <c r="LVA71" s="459"/>
      <c r="LVB71" s="459"/>
      <c r="LVC71" s="459"/>
      <c r="LVD71" s="459"/>
      <c r="LVE71" s="459"/>
      <c r="LVF71" s="459"/>
      <c r="LVG71" s="459"/>
      <c r="LVH71" s="459"/>
      <c r="LVI71" s="459"/>
      <c r="LVJ71" s="459"/>
      <c r="LVK71" s="459"/>
      <c r="LVL71" s="459"/>
      <c r="LVM71" s="459"/>
      <c r="LVN71" s="459"/>
      <c r="LVO71" s="459"/>
      <c r="LVP71" s="459"/>
      <c r="LVQ71" s="459"/>
      <c r="LVR71" s="459"/>
      <c r="LVS71" s="459"/>
      <c r="LVT71" s="459"/>
      <c r="LVU71" s="459"/>
      <c r="LVV71" s="459"/>
      <c r="LVW71" s="459"/>
      <c r="LVX71" s="459"/>
      <c r="LVY71" s="459"/>
      <c r="LVZ71" s="459"/>
      <c r="LWA71" s="459"/>
      <c r="LWB71" s="459"/>
      <c r="LWC71" s="459"/>
      <c r="LWD71" s="459"/>
      <c r="LWE71" s="459"/>
      <c r="LWF71" s="459"/>
      <c r="LWG71" s="459"/>
      <c r="LWH71" s="459"/>
      <c r="LWI71" s="459"/>
      <c r="LWJ71" s="459"/>
      <c r="LWK71" s="459"/>
      <c r="LWL71" s="459"/>
      <c r="LWM71" s="459"/>
      <c r="LWN71" s="459"/>
      <c r="LWO71" s="459"/>
      <c r="LWP71" s="459"/>
      <c r="LWQ71" s="459"/>
      <c r="LWR71" s="459"/>
      <c r="LWS71" s="459"/>
      <c r="LWT71" s="459"/>
      <c r="LWU71" s="459"/>
      <c r="LWV71" s="459"/>
      <c r="LWW71" s="459"/>
      <c r="LWX71" s="459"/>
      <c r="LWY71" s="459"/>
      <c r="LWZ71" s="459"/>
      <c r="LXA71" s="459"/>
      <c r="LXB71" s="459"/>
      <c r="LXC71" s="459"/>
      <c r="LXD71" s="459"/>
      <c r="LXE71" s="459"/>
      <c r="LXF71" s="459"/>
      <c r="LXG71" s="459"/>
      <c r="LXH71" s="459"/>
      <c r="LXI71" s="459"/>
      <c r="LXJ71" s="459"/>
      <c r="LXK71" s="459"/>
      <c r="LXL71" s="459"/>
      <c r="LXM71" s="459"/>
      <c r="LXN71" s="459"/>
      <c r="LXO71" s="459"/>
      <c r="LXP71" s="459"/>
      <c r="LXQ71" s="459"/>
      <c r="LXR71" s="459"/>
      <c r="LXS71" s="459"/>
      <c r="LXT71" s="459"/>
      <c r="LXU71" s="459"/>
      <c r="LXV71" s="459"/>
      <c r="LXW71" s="459"/>
      <c r="LXX71" s="459"/>
      <c r="LXY71" s="459"/>
      <c r="LXZ71" s="459"/>
      <c r="LYA71" s="459"/>
      <c r="LYB71" s="459"/>
      <c r="LYC71" s="459"/>
      <c r="LYD71" s="459"/>
      <c r="LYE71" s="459"/>
      <c r="LYF71" s="459"/>
      <c r="LYG71" s="459"/>
      <c r="LYH71" s="459"/>
      <c r="LYI71" s="459"/>
      <c r="LYJ71" s="459"/>
      <c r="LYK71" s="459"/>
      <c r="LYL71" s="459"/>
      <c r="LYM71" s="459"/>
      <c r="LYN71" s="459"/>
      <c r="LYO71" s="459"/>
      <c r="LYP71" s="459"/>
      <c r="LYQ71" s="459"/>
      <c r="LYR71" s="459"/>
      <c r="LYS71" s="459"/>
      <c r="LYT71" s="459"/>
      <c r="LYU71" s="459"/>
      <c r="LYV71" s="459"/>
      <c r="LYW71" s="459"/>
      <c r="LYX71" s="459"/>
      <c r="LYY71" s="459"/>
      <c r="LYZ71" s="459"/>
      <c r="LZA71" s="459"/>
      <c r="LZB71" s="459"/>
      <c r="LZC71" s="459"/>
      <c r="LZD71" s="459"/>
      <c r="LZE71" s="459"/>
      <c r="LZF71" s="459"/>
      <c r="LZG71" s="459"/>
      <c r="LZH71" s="459"/>
      <c r="LZI71" s="459"/>
      <c r="LZJ71" s="459"/>
      <c r="LZK71" s="459"/>
      <c r="LZL71" s="459"/>
      <c r="LZM71" s="459"/>
      <c r="LZN71" s="459"/>
      <c r="LZO71" s="459"/>
      <c r="LZP71" s="459"/>
      <c r="LZQ71" s="459"/>
      <c r="LZR71" s="459"/>
      <c r="LZS71" s="459"/>
      <c r="LZT71" s="459"/>
      <c r="LZU71" s="459"/>
      <c r="LZV71" s="459"/>
      <c r="LZW71" s="459"/>
      <c r="LZX71" s="459"/>
      <c r="LZY71" s="459"/>
      <c r="LZZ71" s="459"/>
      <c r="MAA71" s="459"/>
      <c r="MAB71" s="459"/>
      <c r="MAC71" s="459"/>
      <c r="MAD71" s="459"/>
      <c r="MAE71" s="459"/>
      <c r="MAF71" s="459"/>
      <c r="MAG71" s="459"/>
      <c r="MAH71" s="459"/>
      <c r="MAI71" s="459"/>
      <c r="MAJ71" s="459"/>
      <c r="MAK71" s="459"/>
      <c r="MAL71" s="459"/>
      <c r="MAM71" s="459"/>
      <c r="MAN71" s="459"/>
      <c r="MAO71" s="459"/>
      <c r="MAP71" s="459"/>
      <c r="MAQ71" s="459"/>
      <c r="MAR71" s="459"/>
      <c r="MAS71" s="459"/>
      <c r="MAT71" s="459"/>
      <c r="MAU71" s="459"/>
      <c r="MAV71" s="459"/>
      <c r="MAW71" s="459"/>
      <c r="MAX71" s="459"/>
      <c r="MAY71" s="459"/>
      <c r="MAZ71" s="459"/>
      <c r="MBA71" s="459"/>
      <c r="MBB71" s="459"/>
      <c r="MBC71" s="459"/>
      <c r="MBD71" s="459"/>
      <c r="MBE71" s="459"/>
      <c r="MBF71" s="459"/>
      <c r="MBG71" s="459"/>
      <c r="MBH71" s="459"/>
      <c r="MBI71" s="459"/>
      <c r="MBJ71" s="459"/>
      <c r="MBK71" s="459"/>
      <c r="MBL71" s="459"/>
      <c r="MBM71" s="459"/>
      <c r="MBN71" s="459"/>
      <c r="MBO71" s="459"/>
      <c r="MBP71" s="459"/>
      <c r="MBQ71" s="459"/>
      <c r="MBR71" s="459"/>
      <c r="MBS71" s="459"/>
      <c r="MBT71" s="459"/>
      <c r="MBU71" s="459"/>
      <c r="MBV71" s="459"/>
      <c r="MBW71" s="459"/>
      <c r="MBX71" s="459"/>
      <c r="MBY71" s="459"/>
      <c r="MBZ71" s="459"/>
      <c r="MCA71" s="459"/>
      <c r="MCB71" s="459"/>
      <c r="MCC71" s="459"/>
      <c r="MCD71" s="459"/>
      <c r="MCE71" s="459"/>
      <c r="MCF71" s="459"/>
      <c r="MCG71" s="459"/>
      <c r="MCH71" s="459"/>
      <c r="MCI71" s="459"/>
      <c r="MCJ71" s="459"/>
      <c r="MCK71" s="459"/>
      <c r="MCL71" s="459"/>
      <c r="MCM71" s="459"/>
      <c r="MCN71" s="459"/>
      <c r="MCO71" s="459"/>
      <c r="MCP71" s="459"/>
      <c r="MCQ71" s="459"/>
      <c r="MCR71" s="459"/>
      <c r="MCS71" s="459"/>
      <c r="MCT71" s="459"/>
      <c r="MCU71" s="459"/>
      <c r="MCV71" s="459"/>
      <c r="MCW71" s="459"/>
      <c r="MCX71" s="459"/>
      <c r="MCY71" s="459"/>
      <c r="MCZ71" s="459"/>
      <c r="MDA71" s="459"/>
      <c r="MDB71" s="459"/>
      <c r="MDC71" s="459"/>
      <c r="MDD71" s="459"/>
      <c r="MDE71" s="459"/>
      <c r="MDF71" s="459"/>
      <c r="MDG71" s="459"/>
      <c r="MDH71" s="459"/>
      <c r="MDI71" s="459"/>
      <c r="MDJ71" s="459"/>
      <c r="MDK71" s="459"/>
      <c r="MDL71" s="459"/>
      <c r="MDM71" s="459"/>
      <c r="MDN71" s="459"/>
      <c r="MDO71" s="459"/>
      <c r="MDP71" s="459"/>
      <c r="MDQ71" s="459"/>
      <c r="MDR71" s="459"/>
      <c r="MDS71" s="459"/>
      <c r="MDT71" s="459"/>
      <c r="MDU71" s="459"/>
      <c r="MDV71" s="459"/>
      <c r="MDW71" s="459"/>
      <c r="MDX71" s="459"/>
      <c r="MDY71" s="459"/>
      <c r="MDZ71" s="459"/>
      <c r="MEA71" s="459"/>
      <c r="MEB71" s="459"/>
      <c r="MEC71" s="459"/>
      <c r="MED71" s="459"/>
      <c r="MEE71" s="459"/>
      <c r="MEF71" s="459"/>
      <c r="MEG71" s="459"/>
      <c r="MEH71" s="459"/>
      <c r="MEI71" s="459"/>
      <c r="MEJ71" s="459"/>
      <c r="MEK71" s="459"/>
      <c r="MEL71" s="459"/>
      <c r="MEM71" s="459"/>
      <c r="MEN71" s="459"/>
      <c r="MEO71" s="459"/>
      <c r="MEP71" s="459"/>
      <c r="MEQ71" s="459"/>
      <c r="MER71" s="459"/>
      <c r="MES71" s="459"/>
      <c r="MET71" s="459"/>
      <c r="MEU71" s="459"/>
      <c r="MEV71" s="459"/>
      <c r="MEW71" s="459"/>
      <c r="MEX71" s="459"/>
      <c r="MEY71" s="459"/>
      <c r="MEZ71" s="459"/>
      <c r="MFA71" s="459"/>
      <c r="MFB71" s="459"/>
      <c r="MFC71" s="459"/>
      <c r="MFD71" s="459"/>
      <c r="MFE71" s="459"/>
      <c r="MFF71" s="459"/>
      <c r="MFG71" s="459"/>
      <c r="MFH71" s="459"/>
      <c r="MFI71" s="459"/>
      <c r="MFJ71" s="459"/>
      <c r="MFK71" s="459"/>
      <c r="MFL71" s="459"/>
      <c r="MFM71" s="459"/>
      <c r="MFN71" s="459"/>
      <c r="MFO71" s="459"/>
      <c r="MFP71" s="459"/>
      <c r="MFQ71" s="459"/>
      <c r="MFR71" s="459"/>
      <c r="MFS71" s="459"/>
      <c r="MFT71" s="459"/>
      <c r="MFU71" s="459"/>
      <c r="MFV71" s="459"/>
      <c r="MFW71" s="459"/>
      <c r="MFX71" s="459"/>
      <c r="MFY71" s="459"/>
      <c r="MFZ71" s="459"/>
      <c r="MGA71" s="459"/>
      <c r="MGB71" s="459"/>
      <c r="MGC71" s="459"/>
      <c r="MGD71" s="459"/>
      <c r="MGE71" s="459"/>
      <c r="MGF71" s="459"/>
      <c r="MGG71" s="459"/>
      <c r="MGH71" s="459"/>
      <c r="MGI71" s="459"/>
      <c r="MGJ71" s="459"/>
      <c r="MGK71" s="459"/>
      <c r="MGL71" s="459"/>
      <c r="MGM71" s="459"/>
      <c r="MGN71" s="459"/>
      <c r="MGO71" s="459"/>
      <c r="MGP71" s="459"/>
      <c r="MGQ71" s="459"/>
      <c r="MGR71" s="459"/>
      <c r="MGS71" s="459"/>
      <c r="MGT71" s="459"/>
      <c r="MGU71" s="459"/>
      <c r="MGV71" s="459"/>
      <c r="MGW71" s="459"/>
      <c r="MGX71" s="459"/>
      <c r="MGY71" s="459"/>
      <c r="MGZ71" s="459"/>
      <c r="MHA71" s="459"/>
      <c r="MHB71" s="459"/>
      <c r="MHC71" s="459"/>
      <c r="MHD71" s="459"/>
      <c r="MHE71" s="459"/>
      <c r="MHF71" s="459"/>
      <c r="MHG71" s="459"/>
      <c r="MHH71" s="459"/>
      <c r="MHI71" s="459"/>
      <c r="MHJ71" s="459"/>
      <c r="MHK71" s="459"/>
      <c r="MHL71" s="459"/>
      <c r="MHM71" s="459"/>
      <c r="MHN71" s="459"/>
      <c r="MHO71" s="459"/>
      <c r="MHP71" s="459"/>
      <c r="MHQ71" s="459"/>
      <c r="MHR71" s="459"/>
      <c r="MHS71" s="459"/>
      <c r="MHT71" s="459"/>
      <c r="MHU71" s="459"/>
      <c r="MHV71" s="459"/>
      <c r="MHW71" s="459"/>
      <c r="MHX71" s="459"/>
      <c r="MHY71" s="459"/>
      <c r="MHZ71" s="459"/>
      <c r="MIA71" s="459"/>
      <c r="MIB71" s="459"/>
      <c r="MIC71" s="459"/>
      <c r="MID71" s="459"/>
      <c r="MIE71" s="459"/>
      <c r="MIF71" s="459"/>
      <c r="MIG71" s="459"/>
      <c r="MIH71" s="459"/>
      <c r="MII71" s="459"/>
      <c r="MIJ71" s="459"/>
      <c r="MIK71" s="459"/>
      <c r="MIL71" s="459"/>
      <c r="MIM71" s="459"/>
      <c r="MIN71" s="459"/>
      <c r="MIO71" s="459"/>
      <c r="MIP71" s="459"/>
      <c r="MIQ71" s="459"/>
      <c r="MIR71" s="459"/>
      <c r="MIS71" s="459"/>
      <c r="MIT71" s="459"/>
      <c r="MIU71" s="459"/>
      <c r="MIV71" s="459"/>
      <c r="MIW71" s="459"/>
      <c r="MIX71" s="459"/>
      <c r="MIY71" s="459"/>
      <c r="MIZ71" s="459"/>
      <c r="MJA71" s="459"/>
      <c r="MJB71" s="459"/>
      <c r="MJC71" s="459"/>
      <c r="MJD71" s="459"/>
      <c r="MJE71" s="459"/>
      <c r="MJF71" s="459"/>
      <c r="MJG71" s="459"/>
      <c r="MJH71" s="459"/>
      <c r="MJI71" s="459"/>
      <c r="MJJ71" s="459"/>
      <c r="MJK71" s="459"/>
      <c r="MJL71" s="459"/>
      <c r="MJM71" s="459"/>
      <c r="MJN71" s="459"/>
      <c r="MJO71" s="459"/>
      <c r="MJP71" s="459"/>
      <c r="MJQ71" s="459"/>
      <c r="MJR71" s="459"/>
      <c r="MJS71" s="459"/>
      <c r="MJT71" s="459"/>
      <c r="MJU71" s="459"/>
      <c r="MJV71" s="459"/>
      <c r="MJW71" s="459"/>
      <c r="MJX71" s="459"/>
      <c r="MJY71" s="459"/>
      <c r="MJZ71" s="459"/>
      <c r="MKA71" s="459"/>
      <c r="MKB71" s="459"/>
      <c r="MKC71" s="459"/>
      <c r="MKD71" s="459"/>
      <c r="MKE71" s="459"/>
      <c r="MKF71" s="459"/>
      <c r="MKG71" s="459"/>
      <c r="MKH71" s="459"/>
      <c r="MKI71" s="459"/>
      <c r="MKJ71" s="459"/>
      <c r="MKK71" s="459"/>
      <c r="MKL71" s="459"/>
      <c r="MKM71" s="459"/>
      <c r="MKN71" s="459"/>
      <c r="MKO71" s="459"/>
      <c r="MKP71" s="459"/>
      <c r="MKQ71" s="459"/>
      <c r="MKR71" s="459"/>
      <c r="MKS71" s="459"/>
      <c r="MKT71" s="459"/>
      <c r="MKU71" s="459"/>
      <c r="MKV71" s="459"/>
      <c r="MKW71" s="459"/>
      <c r="MKX71" s="459"/>
      <c r="MKY71" s="459"/>
      <c r="MKZ71" s="459"/>
      <c r="MLA71" s="459"/>
      <c r="MLB71" s="459"/>
      <c r="MLC71" s="459"/>
      <c r="MLD71" s="459"/>
      <c r="MLE71" s="459"/>
      <c r="MLF71" s="459"/>
      <c r="MLG71" s="459"/>
      <c r="MLH71" s="459"/>
      <c r="MLI71" s="459"/>
      <c r="MLJ71" s="459"/>
      <c r="MLK71" s="459"/>
      <c r="MLL71" s="459"/>
      <c r="MLM71" s="459"/>
      <c r="MLN71" s="459"/>
      <c r="MLO71" s="459"/>
      <c r="MLP71" s="459"/>
      <c r="MLQ71" s="459"/>
      <c r="MLR71" s="459"/>
      <c r="MLS71" s="459"/>
      <c r="MLT71" s="459"/>
      <c r="MLU71" s="459"/>
      <c r="MLV71" s="459"/>
      <c r="MLW71" s="459"/>
      <c r="MLX71" s="459"/>
      <c r="MLY71" s="459"/>
      <c r="MLZ71" s="459"/>
      <c r="MMA71" s="459"/>
      <c r="MMB71" s="459"/>
      <c r="MMC71" s="459"/>
      <c r="MMD71" s="459"/>
      <c r="MME71" s="459"/>
      <c r="MMF71" s="459"/>
      <c r="MMG71" s="459"/>
      <c r="MMH71" s="459"/>
      <c r="MMI71" s="459"/>
      <c r="MMJ71" s="459"/>
      <c r="MMK71" s="459"/>
      <c r="MML71" s="459"/>
      <c r="MMM71" s="459"/>
      <c r="MMN71" s="459"/>
      <c r="MMO71" s="459"/>
      <c r="MMP71" s="459"/>
      <c r="MMQ71" s="459"/>
      <c r="MMR71" s="459"/>
      <c r="MMS71" s="459"/>
      <c r="MMT71" s="459"/>
      <c r="MMU71" s="459"/>
      <c r="MMV71" s="459"/>
      <c r="MMW71" s="459"/>
      <c r="MMX71" s="459"/>
      <c r="MMY71" s="459"/>
      <c r="MMZ71" s="459"/>
      <c r="MNA71" s="459"/>
      <c r="MNB71" s="459"/>
      <c r="MNC71" s="459"/>
      <c r="MND71" s="459"/>
      <c r="MNE71" s="459"/>
      <c r="MNF71" s="459"/>
      <c r="MNG71" s="459"/>
      <c r="MNH71" s="459"/>
      <c r="MNI71" s="459"/>
      <c r="MNJ71" s="459"/>
      <c r="MNK71" s="459"/>
      <c r="MNL71" s="459"/>
      <c r="MNM71" s="459"/>
      <c r="MNN71" s="459"/>
      <c r="MNO71" s="459"/>
      <c r="MNP71" s="459"/>
      <c r="MNQ71" s="459"/>
      <c r="MNR71" s="459"/>
      <c r="MNS71" s="459"/>
      <c r="MNT71" s="459"/>
      <c r="MNU71" s="459"/>
      <c r="MNV71" s="459"/>
      <c r="MNW71" s="459"/>
      <c r="MNX71" s="459"/>
      <c r="MNY71" s="459"/>
      <c r="MNZ71" s="459"/>
      <c r="MOA71" s="459"/>
      <c r="MOB71" s="459"/>
      <c r="MOC71" s="459"/>
      <c r="MOD71" s="459"/>
      <c r="MOE71" s="459"/>
      <c r="MOF71" s="459"/>
      <c r="MOG71" s="459"/>
      <c r="MOH71" s="459"/>
      <c r="MOI71" s="459"/>
      <c r="MOJ71" s="459"/>
      <c r="MOK71" s="459"/>
      <c r="MOL71" s="459"/>
      <c r="MOM71" s="459"/>
      <c r="MON71" s="459"/>
      <c r="MOO71" s="459"/>
      <c r="MOP71" s="459"/>
      <c r="MOQ71" s="459"/>
      <c r="MOR71" s="459"/>
      <c r="MOS71" s="459"/>
      <c r="MOT71" s="459"/>
      <c r="MOU71" s="459"/>
      <c r="MOV71" s="459"/>
      <c r="MOW71" s="459"/>
      <c r="MOX71" s="459"/>
      <c r="MOY71" s="459"/>
      <c r="MOZ71" s="459"/>
      <c r="MPA71" s="459"/>
      <c r="MPB71" s="459"/>
      <c r="MPC71" s="459"/>
      <c r="MPD71" s="459"/>
      <c r="MPE71" s="459"/>
      <c r="MPF71" s="459"/>
      <c r="MPG71" s="459"/>
      <c r="MPH71" s="459"/>
      <c r="MPI71" s="459"/>
      <c r="MPJ71" s="459"/>
      <c r="MPK71" s="459"/>
      <c r="MPL71" s="459"/>
      <c r="MPM71" s="459"/>
      <c r="MPN71" s="459"/>
      <c r="MPO71" s="459"/>
      <c r="MPP71" s="459"/>
      <c r="MPQ71" s="459"/>
      <c r="MPR71" s="459"/>
      <c r="MPS71" s="459"/>
      <c r="MPT71" s="459"/>
      <c r="MPU71" s="459"/>
      <c r="MPV71" s="459"/>
      <c r="MPW71" s="459"/>
      <c r="MPX71" s="459"/>
      <c r="MPY71" s="459"/>
      <c r="MPZ71" s="459"/>
      <c r="MQA71" s="459"/>
      <c r="MQB71" s="459"/>
      <c r="MQC71" s="459"/>
      <c r="MQD71" s="459"/>
      <c r="MQE71" s="459"/>
      <c r="MQF71" s="459"/>
      <c r="MQG71" s="459"/>
      <c r="MQH71" s="459"/>
      <c r="MQI71" s="459"/>
      <c r="MQJ71" s="459"/>
      <c r="MQK71" s="459"/>
      <c r="MQL71" s="459"/>
      <c r="MQM71" s="459"/>
      <c r="MQN71" s="459"/>
      <c r="MQO71" s="459"/>
      <c r="MQP71" s="459"/>
      <c r="MQQ71" s="459"/>
      <c r="MQR71" s="459"/>
      <c r="MQS71" s="459"/>
      <c r="MQT71" s="459"/>
      <c r="MQU71" s="459"/>
      <c r="MQV71" s="459"/>
      <c r="MQW71" s="459"/>
      <c r="MQX71" s="459"/>
      <c r="MQY71" s="459"/>
      <c r="MQZ71" s="459"/>
      <c r="MRA71" s="459"/>
      <c r="MRB71" s="459"/>
      <c r="MRC71" s="459"/>
      <c r="MRD71" s="459"/>
      <c r="MRE71" s="459"/>
      <c r="MRF71" s="459"/>
      <c r="MRG71" s="459"/>
      <c r="MRH71" s="459"/>
      <c r="MRI71" s="459"/>
      <c r="MRJ71" s="459"/>
      <c r="MRK71" s="459"/>
      <c r="MRL71" s="459"/>
      <c r="MRM71" s="459"/>
      <c r="MRN71" s="459"/>
      <c r="MRO71" s="459"/>
      <c r="MRP71" s="459"/>
      <c r="MRQ71" s="459"/>
      <c r="MRR71" s="459"/>
      <c r="MRS71" s="459"/>
      <c r="MRT71" s="459"/>
      <c r="MRU71" s="459"/>
      <c r="MRV71" s="459"/>
      <c r="MRW71" s="459"/>
      <c r="MRX71" s="459"/>
      <c r="MRY71" s="459"/>
      <c r="MRZ71" s="459"/>
      <c r="MSA71" s="459"/>
      <c r="MSB71" s="459"/>
      <c r="MSC71" s="459"/>
      <c r="MSD71" s="459"/>
      <c r="MSE71" s="459"/>
      <c r="MSF71" s="459"/>
      <c r="MSG71" s="459"/>
      <c r="MSH71" s="459"/>
      <c r="MSI71" s="459"/>
      <c r="MSJ71" s="459"/>
      <c r="MSK71" s="459"/>
      <c r="MSL71" s="459"/>
      <c r="MSM71" s="459"/>
      <c r="MSN71" s="459"/>
      <c r="MSO71" s="459"/>
      <c r="MSP71" s="459"/>
      <c r="MSQ71" s="459"/>
      <c r="MSR71" s="459"/>
      <c r="MSS71" s="459"/>
      <c r="MST71" s="459"/>
      <c r="MSU71" s="459"/>
      <c r="MSV71" s="459"/>
      <c r="MSW71" s="459"/>
      <c r="MSX71" s="459"/>
      <c r="MSY71" s="459"/>
      <c r="MSZ71" s="459"/>
      <c r="MTA71" s="459"/>
      <c r="MTB71" s="459"/>
      <c r="MTC71" s="459"/>
      <c r="MTD71" s="459"/>
      <c r="MTE71" s="459"/>
      <c r="MTF71" s="459"/>
      <c r="MTG71" s="459"/>
      <c r="MTH71" s="459"/>
      <c r="MTI71" s="459"/>
      <c r="MTJ71" s="459"/>
      <c r="MTK71" s="459"/>
      <c r="MTL71" s="459"/>
      <c r="MTM71" s="459"/>
      <c r="MTN71" s="459"/>
      <c r="MTO71" s="459"/>
      <c r="MTP71" s="459"/>
      <c r="MTQ71" s="459"/>
      <c r="MTR71" s="459"/>
      <c r="MTS71" s="459"/>
      <c r="MTT71" s="459"/>
      <c r="MTU71" s="459"/>
      <c r="MTV71" s="459"/>
      <c r="MTW71" s="459"/>
      <c r="MTX71" s="459"/>
      <c r="MTY71" s="459"/>
      <c r="MTZ71" s="459"/>
      <c r="MUA71" s="459"/>
      <c r="MUB71" s="459"/>
      <c r="MUC71" s="459"/>
      <c r="MUD71" s="459"/>
      <c r="MUE71" s="459"/>
      <c r="MUF71" s="459"/>
      <c r="MUG71" s="459"/>
      <c r="MUH71" s="459"/>
      <c r="MUI71" s="459"/>
      <c r="MUJ71" s="459"/>
      <c r="MUK71" s="459"/>
      <c r="MUL71" s="459"/>
      <c r="MUM71" s="459"/>
      <c r="MUN71" s="459"/>
      <c r="MUO71" s="459"/>
      <c r="MUP71" s="459"/>
      <c r="MUQ71" s="459"/>
      <c r="MUR71" s="459"/>
      <c r="MUS71" s="459"/>
      <c r="MUT71" s="459"/>
      <c r="MUU71" s="459"/>
      <c r="MUV71" s="459"/>
      <c r="MUW71" s="459"/>
      <c r="MUX71" s="459"/>
      <c r="MUY71" s="459"/>
      <c r="MUZ71" s="459"/>
      <c r="MVA71" s="459"/>
      <c r="MVB71" s="459"/>
      <c r="MVC71" s="459"/>
      <c r="MVD71" s="459"/>
      <c r="MVE71" s="459"/>
      <c r="MVF71" s="459"/>
      <c r="MVG71" s="459"/>
      <c r="MVH71" s="459"/>
      <c r="MVI71" s="459"/>
      <c r="MVJ71" s="459"/>
      <c r="MVK71" s="459"/>
      <c r="MVL71" s="459"/>
      <c r="MVM71" s="459"/>
      <c r="MVN71" s="459"/>
      <c r="MVO71" s="459"/>
      <c r="MVP71" s="459"/>
      <c r="MVQ71" s="459"/>
      <c r="MVR71" s="459"/>
      <c r="MVS71" s="459"/>
      <c r="MVT71" s="459"/>
      <c r="MVU71" s="459"/>
      <c r="MVV71" s="459"/>
      <c r="MVW71" s="459"/>
      <c r="MVX71" s="459"/>
      <c r="MVY71" s="459"/>
      <c r="MVZ71" s="459"/>
      <c r="MWA71" s="459"/>
      <c r="MWB71" s="459"/>
      <c r="MWC71" s="459"/>
      <c r="MWD71" s="459"/>
      <c r="MWE71" s="459"/>
      <c r="MWF71" s="459"/>
      <c r="MWG71" s="459"/>
      <c r="MWH71" s="459"/>
      <c r="MWI71" s="459"/>
      <c r="MWJ71" s="459"/>
      <c r="MWK71" s="459"/>
      <c r="MWL71" s="459"/>
      <c r="MWM71" s="459"/>
      <c r="MWN71" s="459"/>
      <c r="MWO71" s="459"/>
      <c r="MWP71" s="459"/>
      <c r="MWQ71" s="459"/>
      <c r="MWR71" s="459"/>
      <c r="MWS71" s="459"/>
      <c r="MWT71" s="459"/>
      <c r="MWU71" s="459"/>
      <c r="MWV71" s="459"/>
      <c r="MWW71" s="459"/>
      <c r="MWX71" s="459"/>
      <c r="MWY71" s="459"/>
      <c r="MWZ71" s="459"/>
      <c r="MXA71" s="459"/>
      <c r="MXB71" s="459"/>
      <c r="MXC71" s="459"/>
      <c r="MXD71" s="459"/>
      <c r="MXE71" s="459"/>
      <c r="MXF71" s="459"/>
      <c r="MXG71" s="459"/>
      <c r="MXH71" s="459"/>
      <c r="MXI71" s="459"/>
      <c r="MXJ71" s="459"/>
      <c r="MXK71" s="459"/>
      <c r="MXL71" s="459"/>
      <c r="MXM71" s="459"/>
      <c r="MXN71" s="459"/>
      <c r="MXO71" s="459"/>
      <c r="MXP71" s="459"/>
      <c r="MXQ71" s="459"/>
      <c r="MXR71" s="459"/>
      <c r="MXS71" s="459"/>
      <c r="MXT71" s="459"/>
      <c r="MXU71" s="459"/>
      <c r="MXV71" s="459"/>
      <c r="MXW71" s="459"/>
      <c r="MXX71" s="459"/>
      <c r="MXY71" s="459"/>
      <c r="MXZ71" s="459"/>
      <c r="MYA71" s="459"/>
      <c r="MYB71" s="459"/>
      <c r="MYC71" s="459"/>
      <c r="MYD71" s="459"/>
      <c r="MYE71" s="459"/>
      <c r="MYF71" s="459"/>
      <c r="MYG71" s="459"/>
      <c r="MYH71" s="459"/>
      <c r="MYI71" s="459"/>
      <c r="MYJ71" s="459"/>
      <c r="MYK71" s="459"/>
      <c r="MYL71" s="459"/>
      <c r="MYM71" s="459"/>
      <c r="MYN71" s="459"/>
      <c r="MYO71" s="459"/>
      <c r="MYP71" s="459"/>
      <c r="MYQ71" s="459"/>
      <c r="MYR71" s="459"/>
      <c r="MYS71" s="459"/>
      <c r="MYT71" s="459"/>
      <c r="MYU71" s="459"/>
      <c r="MYV71" s="459"/>
      <c r="MYW71" s="459"/>
      <c r="MYX71" s="459"/>
      <c r="MYY71" s="459"/>
      <c r="MYZ71" s="459"/>
      <c r="MZA71" s="459"/>
      <c r="MZB71" s="459"/>
      <c r="MZC71" s="459"/>
      <c r="MZD71" s="459"/>
      <c r="MZE71" s="459"/>
      <c r="MZF71" s="459"/>
      <c r="MZG71" s="459"/>
      <c r="MZH71" s="459"/>
      <c r="MZI71" s="459"/>
      <c r="MZJ71" s="459"/>
      <c r="MZK71" s="459"/>
      <c r="MZL71" s="459"/>
      <c r="MZM71" s="459"/>
      <c r="MZN71" s="459"/>
      <c r="MZO71" s="459"/>
      <c r="MZP71" s="459"/>
      <c r="MZQ71" s="459"/>
      <c r="MZR71" s="459"/>
      <c r="MZS71" s="459"/>
      <c r="MZT71" s="459"/>
      <c r="MZU71" s="459"/>
      <c r="MZV71" s="459"/>
      <c r="MZW71" s="459"/>
      <c r="MZX71" s="459"/>
      <c r="MZY71" s="459"/>
      <c r="MZZ71" s="459"/>
      <c r="NAA71" s="459"/>
      <c r="NAB71" s="459"/>
      <c r="NAC71" s="459"/>
      <c r="NAD71" s="459"/>
      <c r="NAE71" s="459"/>
      <c r="NAF71" s="459"/>
      <c r="NAG71" s="459"/>
      <c r="NAH71" s="459"/>
      <c r="NAI71" s="459"/>
      <c r="NAJ71" s="459"/>
      <c r="NAK71" s="459"/>
      <c r="NAL71" s="459"/>
      <c r="NAM71" s="459"/>
      <c r="NAN71" s="459"/>
      <c r="NAO71" s="459"/>
      <c r="NAP71" s="459"/>
      <c r="NAQ71" s="459"/>
      <c r="NAR71" s="459"/>
      <c r="NAS71" s="459"/>
      <c r="NAT71" s="459"/>
      <c r="NAU71" s="459"/>
      <c r="NAV71" s="459"/>
      <c r="NAW71" s="459"/>
      <c r="NAX71" s="459"/>
      <c r="NAY71" s="459"/>
      <c r="NAZ71" s="459"/>
      <c r="NBA71" s="459"/>
      <c r="NBB71" s="459"/>
      <c r="NBC71" s="459"/>
      <c r="NBD71" s="459"/>
      <c r="NBE71" s="459"/>
      <c r="NBF71" s="459"/>
      <c r="NBG71" s="459"/>
      <c r="NBH71" s="459"/>
      <c r="NBI71" s="459"/>
      <c r="NBJ71" s="459"/>
      <c r="NBK71" s="459"/>
      <c r="NBL71" s="459"/>
      <c r="NBM71" s="459"/>
      <c r="NBN71" s="459"/>
      <c r="NBO71" s="459"/>
      <c r="NBP71" s="459"/>
      <c r="NBQ71" s="459"/>
      <c r="NBR71" s="459"/>
      <c r="NBS71" s="459"/>
      <c r="NBT71" s="459"/>
      <c r="NBU71" s="459"/>
      <c r="NBV71" s="459"/>
      <c r="NBW71" s="459"/>
      <c r="NBX71" s="459"/>
      <c r="NBY71" s="459"/>
      <c r="NBZ71" s="459"/>
      <c r="NCA71" s="459"/>
      <c r="NCB71" s="459"/>
      <c r="NCC71" s="459"/>
      <c r="NCD71" s="459"/>
      <c r="NCE71" s="459"/>
      <c r="NCF71" s="459"/>
      <c r="NCG71" s="459"/>
      <c r="NCH71" s="459"/>
      <c r="NCI71" s="459"/>
      <c r="NCJ71" s="459"/>
      <c r="NCK71" s="459"/>
      <c r="NCL71" s="459"/>
      <c r="NCM71" s="459"/>
      <c r="NCN71" s="459"/>
      <c r="NCO71" s="459"/>
      <c r="NCP71" s="459"/>
      <c r="NCQ71" s="459"/>
      <c r="NCR71" s="459"/>
      <c r="NCS71" s="459"/>
      <c r="NCT71" s="459"/>
      <c r="NCU71" s="459"/>
      <c r="NCV71" s="459"/>
      <c r="NCW71" s="459"/>
      <c r="NCX71" s="459"/>
      <c r="NCY71" s="459"/>
      <c r="NCZ71" s="459"/>
      <c r="NDA71" s="459"/>
      <c r="NDB71" s="459"/>
      <c r="NDC71" s="459"/>
      <c r="NDD71" s="459"/>
      <c r="NDE71" s="459"/>
      <c r="NDF71" s="459"/>
      <c r="NDG71" s="459"/>
      <c r="NDH71" s="459"/>
      <c r="NDI71" s="459"/>
      <c r="NDJ71" s="459"/>
      <c r="NDK71" s="459"/>
      <c r="NDL71" s="459"/>
      <c r="NDM71" s="459"/>
      <c r="NDN71" s="459"/>
      <c r="NDO71" s="459"/>
      <c r="NDP71" s="459"/>
      <c r="NDQ71" s="459"/>
      <c r="NDR71" s="459"/>
      <c r="NDS71" s="459"/>
      <c r="NDT71" s="459"/>
      <c r="NDU71" s="459"/>
      <c r="NDV71" s="459"/>
      <c r="NDW71" s="459"/>
      <c r="NDX71" s="459"/>
      <c r="NDY71" s="459"/>
      <c r="NDZ71" s="459"/>
      <c r="NEA71" s="459"/>
      <c r="NEB71" s="459"/>
      <c r="NEC71" s="459"/>
      <c r="NED71" s="459"/>
      <c r="NEE71" s="459"/>
      <c r="NEF71" s="459"/>
      <c r="NEG71" s="459"/>
      <c r="NEH71" s="459"/>
      <c r="NEI71" s="459"/>
      <c r="NEJ71" s="459"/>
      <c r="NEK71" s="459"/>
      <c r="NEL71" s="459"/>
      <c r="NEM71" s="459"/>
      <c r="NEN71" s="459"/>
      <c r="NEO71" s="459"/>
      <c r="NEP71" s="459"/>
      <c r="NEQ71" s="459"/>
      <c r="NER71" s="459"/>
      <c r="NES71" s="459"/>
      <c r="NET71" s="459"/>
      <c r="NEU71" s="459"/>
      <c r="NEV71" s="459"/>
      <c r="NEW71" s="459"/>
      <c r="NEX71" s="459"/>
      <c r="NEY71" s="459"/>
      <c r="NEZ71" s="459"/>
      <c r="NFA71" s="459"/>
      <c r="NFB71" s="459"/>
      <c r="NFC71" s="459"/>
      <c r="NFD71" s="459"/>
      <c r="NFE71" s="459"/>
      <c r="NFF71" s="459"/>
      <c r="NFG71" s="459"/>
      <c r="NFH71" s="459"/>
      <c r="NFI71" s="459"/>
      <c r="NFJ71" s="459"/>
      <c r="NFK71" s="459"/>
      <c r="NFL71" s="459"/>
      <c r="NFM71" s="459"/>
      <c r="NFN71" s="459"/>
      <c r="NFO71" s="459"/>
      <c r="NFP71" s="459"/>
      <c r="NFQ71" s="459"/>
      <c r="NFR71" s="459"/>
      <c r="NFS71" s="459"/>
      <c r="NFT71" s="459"/>
      <c r="NFU71" s="459"/>
      <c r="NFV71" s="459"/>
      <c r="NFW71" s="459"/>
      <c r="NFX71" s="459"/>
      <c r="NFY71" s="459"/>
      <c r="NFZ71" s="459"/>
      <c r="NGA71" s="459"/>
      <c r="NGB71" s="459"/>
      <c r="NGC71" s="459"/>
      <c r="NGD71" s="459"/>
      <c r="NGE71" s="459"/>
      <c r="NGF71" s="459"/>
      <c r="NGG71" s="459"/>
      <c r="NGH71" s="459"/>
      <c r="NGI71" s="459"/>
      <c r="NGJ71" s="459"/>
      <c r="NGK71" s="459"/>
      <c r="NGL71" s="459"/>
      <c r="NGM71" s="459"/>
      <c r="NGN71" s="459"/>
      <c r="NGO71" s="459"/>
      <c r="NGP71" s="459"/>
      <c r="NGQ71" s="459"/>
      <c r="NGR71" s="459"/>
      <c r="NGS71" s="459"/>
      <c r="NGT71" s="459"/>
      <c r="NGU71" s="459"/>
      <c r="NGV71" s="459"/>
      <c r="NGW71" s="459"/>
      <c r="NGX71" s="459"/>
      <c r="NGY71" s="459"/>
      <c r="NGZ71" s="459"/>
      <c r="NHA71" s="459"/>
      <c r="NHB71" s="459"/>
      <c r="NHC71" s="459"/>
      <c r="NHD71" s="459"/>
      <c r="NHE71" s="459"/>
      <c r="NHF71" s="459"/>
      <c r="NHG71" s="459"/>
      <c r="NHH71" s="459"/>
      <c r="NHI71" s="459"/>
      <c r="NHJ71" s="459"/>
      <c r="NHK71" s="459"/>
      <c r="NHL71" s="459"/>
      <c r="NHM71" s="459"/>
      <c r="NHN71" s="459"/>
      <c r="NHO71" s="459"/>
      <c r="NHP71" s="459"/>
      <c r="NHQ71" s="459"/>
      <c r="NHR71" s="459"/>
      <c r="NHS71" s="459"/>
      <c r="NHT71" s="459"/>
      <c r="NHU71" s="459"/>
      <c r="NHV71" s="459"/>
      <c r="NHW71" s="459"/>
      <c r="NHX71" s="459"/>
      <c r="NHY71" s="459"/>
      <c r="NHZ71" s="459"/>
      <c r="NIA71" s="459"/>
      <c r="NIB71" s="459"/>
      <c r="NIC71" s="459"/>
      <c r="NID71" s="459"/>
      <c r="NIE71" s="459"/>
      <c r="NIF71" s="459"/>
      <c r="NIG71" s="459"/>
      <c r="NIH71" s="459"/>
      <c r="NII71" s="459"/>
      <c r="NIJ71" s="459"/>
      <c r="NIK71" s="459"/>
      <c r="NIL71" s="459"/>
      <c r="NIM71" s="459"/>
      <c r="NIN71" s="459"/>
      <c r="NIO71" s="459"/>
      <c r="NIP71" s="459"/>
      <c r="NIQ71" s="459"/>
      <c r="NIR71" s="459"/>
      <c r="NIS71" s="459"/>
      <c r="NIT71" s="459"/>
      <c r="NIU71" s="459"/>
      <c r="NIV71" s="459"/>
      <c r="NIW71" s="459"/>
      <c r="NIX71" s="459"/>
      <c r="NIY71" s="459"/>
      <c r="NIZ71" s="459"/>
      <c r="NJA71" s="459"/>
      <c r="NJB71" s="459"/>
      <c r="NJC71" s="459"/>
      <c r="NJD71" s="459"/>
      <c r="NJE71" s="459"/>
      <c r="NJF71" s="459"/>
      <c r="NJG71" s="459"/>
      <c r="NJH71" s="459"/>
      <c r="NJI71" s="459"/>
      <c r="NJJ71" s="459"/>
      <c r="NJK71" s="459"/>
      <c r="NJL71" s="459"/>
      <c r="NJM71" s="459"/>
      <c r="NJN71" s="459"/>
      <c r="NJO71" s="459"/>
      <c r="NJP71" s="459"/>
      <c r="NJQ71" s="459"/>
      <c r="NJR71" s="459"/>
      <c r="NJS71" s="459"/>
      <c r="NJT71" s="459"/>
      <c r="NJU71" s="459"/>
      <c r="NJV71" s="459"/>
      <c r="NJW71" s="459"/>
      <c r="NJX71" s="459"/>
      <c r="NJY71" s="459"/>
      <c r="NJZ71" s="459"/>
      <c r="NKA71" s="459"/>
      <c r="NKB71" s="459"/>
      <c r="NKC71" s="459"/>
      <c r="NKD71" s="459"/>
      <c r="NKE71" s="459"/>
      <c r="NKF71" s="459"/>
      <c r="NKG71" s="459"/>
      <c r="NKH71" s="459"/>
      <c r="NKI71" s="459"/>
      <c r="NKJ71" s="459"/>
      <c r="NKK71" s="459"/>
      <c r="NKL71" s="459"/>
      <c r="NKM71" s="459"/>
      <c r="NKN71" s="459"/>
      <c r="NKO71" s="459"/>
      <c r="NKP71" s="459"/>
      <c r="NKQ71" s="459"/>
      <c r="NKR71" s="459"/>
      <c r="NKS71" s="459"/>
      <c r="NKT71" s="459"/>
      <c r="NKU71" s="459"/>
      <c r="NKV71" s="459"/>
      <c r="NKW71" s="459"/>
      <c r="NKX71" s="459"/>
      <c r="NKY71" s="459"/>
      <c r="NKZ71" s="459"/>
      <c r="NLA71" s="459"/>
      <c r="NLB71" s="459"/>
      <c r="NLC71" s="459"/>
      <c r="NLD71" s="459"/>
      <c r="NLE71" s="459"/>
      <c r="NLF71" s="459"/>
      <c r="NLG71" s="459"/>
      <c r="NLH71" s="459"/>
      <c r="NLI71" s="459"/>
      <c r="NLJ71" s="459"/>
      <c r="NLK71" s="459"/>
      <c r="NLL71" s="459"/>
      <c r="NLM71" s="459"/>
      <c r="NLN71" s="459"/>
      <c r="NLO71" s="459"/>
      <c r="NLP71" s="459"/>
      <c r="NLQ71" s="459"/>
      <c r="NLR71" s="459"/>
      <c r="NLS71" s="459"/>
      <c r="NLT71" s="459"/>
      <c r="NLU71" s="459"/>
      <c r="NLV71" s="459"/>
      <c r="NLW71" s="459"/>
      <c r="NLX71" s="459"/>
      <c r="NLY71" s="459"/>
      <c r="NLZ71" s="459"/>
      <c r="NMA71" s="459"/>
      <c r="NMB71" s="459"/>
      <c r="NMC71" s="459"/>
      <c r="NMD71" s="459"/>
      <c r="NME71" s="459"/>
      <c r="NMF71" s="459"/>
      <c r="NMG71" s="459"/>
      <c r="NMH71" s="459"/>
      <c r="NMI71" s="459"/>
      <c r="NMJ71" s="459"/>
      <c r="NMK71" s="459"/>
      <c r="NML71" s="459"/>
      <c r="NMM71" s="459"/>
      <c r="NMN71" s="459"/>
      <c r="NMO71" s="459"/>
      <c r="NMP71" s="459"/>
      <c r="NMQ71" s="459"/>
      <c r="NMR71" s="459"/>
      <c r="NMS71" s="459"/>
      <c r="NMT71" s="459"/>
      <c r="NMU71" s="459"/>
      <c r="NMV71" s="459"/>
      <c r="NMW71" s="459"/>
      <c r="NMX71" s="459"/>
      <c r="NMY71" s="459"/>
      <c r="NMZ71" s="459"/>
      <c r="NNA71" s="459"/>
      <c r="NNB71" s="459"/>
      <c r="NNC71" s="459"/>
      <c r="NND71" s="459"/>
      <c r="NNE71" s="459"/>
      <c r="NNF71" s="459"/>
      <c r="NNG71" s="459"/>
      <c r="NNH71" s="459"/>
      <c r="NNI71" s="459"/>
      <c r="NNJ71" s="459"/>
      <c r="NNK71" s="459"/>
      <c r="NNL71" s="459"/>
      <c r="NNM71" s="459"/>
      <c r="NNN71" s="459"/>
      <c r="NNO71" s="459"/>
      <c r="NNP71" s="459"/>
      <c r="NNQ71" s="459"/>
      <c r="NNR71" s="459"/>
      <c r="NNS71" s="459"/>
      <c r="NNT71" s="459"/>
      <c r="NNU71" s="459"/>
      <c r="NNV71" s="459"/>
      <c r="NNW71" s="459"/>
      <c r="NNX71" s="459"/>
      <c r="NNY71" s="459"/>
      <c r="NNZ71" s="459"/>
      <c r="NOA71" s="459"/>
      <c r="NOB71" s="459"/>
      <c r="NOC71" s="459"/>
      <c r="NOD71" s="459"/>
      <c r="NOE71" s="459"/>
      <c r="NOF71" s="459"/>
      <c r="NOG71" s="459"/>
      <c r="NOH71" s="459"/>
      <c r="NOI71" s="459"/>
      <c r="NOJ71" s="459"/>
      <c r="NOK71" s="459"/>
      <c r="NOL71" s="459"/>
      <c r="NOM71" s="459"/>
      <c r="NON71" s="459"/>
      <c r="NOO71" s="459"/>
      <c r="NOP71" s="459"/>
      <c r="NOQ71" s="459"/>
      <c r="NOR71" s="459"/>
      <c r="NOS71" s="459"/>
      <c r="NOT71" s="459"/>
      <c r="NOU71" s="459"/>
      <c r="NOV71" s="459"/>
      <c r="NOW71" s="459"/>
      <c r="NOX71" s="459"/>
      <c r="NOY71" s="459"/>
      <c r="NOZ71" s="459"/>
      <c r="NPA71" s="459"/>
      <c r="NPB71" s="459"/>
      <c r="NPC71" s="459"/>
      <c r="NPD71" s="459"/>
      <c r="NPE71" s="459"/>
      <c r="NPF71" s="459"/>
      <c r="NPG71" s="459"/>
      <c r="NPH71" s="459"/>
      <c r="NPI71" s="459"/>
      <c r="NPJ71" s="459"/>
      <c r="NPK71" s="459"/>
      <c r="NPL71" s="459"/>
      <c r="NPM71" s="459"/>
      <c r="NPN71" s="459"/>
      <c r="NPO71" s="459"/>
      <c r="NPP71" s="459"/>
      <c r="NPQ71" s="459"/>
      <c r="NPR71" s="459"/>
      <c r="NPS71" s="459"/>
      <c r="NPT71" s="459"/>
      <c r="NPU71" s="459"/>
      <c r="NPV71" s="459"/>
      <c r="NPW71" s="459"/>
      <c r="NPX71" s="459"/>
      <c r="NPY71" s="459"/>
      <c r="NPZ71" s="459"/>
      <c r="NQA71" s="459"/>
      <c r="NQB71" s="459"/>
      <c r="NQC71" s="459"/>
      <c r="NQD71" s="459"/>
      <c r="NQE71" s="459"/>
      <c r="NQF71" s="459"/>
      <c r="NQG71" s="459"/>
      <c r="NQH71" s="459"/>
      <c r="NQI71" s="459"/>
      <c r="NQJ71" s="459"/>
      <c r="NQK71" s="459"/>
      <c r="NQL71" s="459"/>
      <c r="NQM71" s="459"/>
      <c r="NQN71" s="459"/>
      <c r="NQO71" s="459"/>
      <c r="NQP71" s="459"/>
      <c r="NQQ71" s="459"/>
      <c r="NQR71" s="459"/>
      <c r="NQS71" s="459"/>
      <c r="NQT71" s="459"/>
      <c r="NQU71" s="459"/>
      <c r="NQV71" s="459"/>
      <c r="NQW71" s="459"/>
      <c r="NQX71" s="459"/>
      <c r="NQY71" s="459"/>
      <c r="NQZ71" s="459"/>
      <c r="NRA71" s="459"/>
      <c r="NRB71" s="459"/>
      <c r="NRC71" s="459"/>
      <c r="NRD71" s="459"/>
      <c r="NRE71" s="459"/>
      <c r="NRF71" s="459"/>
      <c r="NRG71" s="459"/>
      <c r="NRH71" s="459"/>
      <c r="NRI71" s="459"/>
      <c r="NRJ71" s="459"/>
      <c r="NRK71" s="459"/>
      <c r="NRL71" s="459"/>
      <c r="NRM71" s="459"/>
      <c r="NRN71" s="459"/>
      <c r="NRO71" s="459"/>
      <c r="NRP71" s="459"/>
      <c r="NRQ71" s="459"/>
      <c r="NRR71" s="459"/>
      <c r="NRS71" s="459"/>
      <c r="NRT71" s="459"/>
      <c r="NRU71" s="459"/>
      <c r="NRV71" s="459"/>
      <c r="NRW71" s="459"/>
      <c r="NRX71" s="459"/>
      <c r="NRY71" s="459"/>
      <c r="NRZ71" s="459"/>
      <c r="NSA71" s="459"/>
      <c r="NSB71" s="459"/>
      <c r="NSC71" s="459"/>
      <c r="NSD71" s="459"/>
      <c r="NSE71" s="459"/>
      <c r="NSF71" s="459"/>
      <c r="NSG71" s="459"/>
      <c r="NSH71" s="459"/>
      <c r="NSI71" s="459"/>
      <c r="NSJ71" s="459"/>
      <c r="NSK71" s="459"/>
      <c r="NSL71" s="459"/>
      <c r="NSM71" s="459"/>
      <c r="NSN71" s="459"/>
      <c r="NSO71" s="459"/>
      <c r="NSP71" s="459"/>
      <c r="NSQ71" s="459"/>
      <c r="NSR71" s="459"/>
      <c r="NSS71" s="459"/>
      <c r="NST71" s="459"/>
      <c r="NSU71" s="459"/>
      <c r="NSV71" s="459"/>
      <c r="NSW71" s="459"/>
      <c r="NSX71" s="459"/>
      <c r="NSY71" s="459"/>
      <c r="NSZ71" s="459"/>
      <c r="NTA71" s="459"/>
      <c r="NTB71" s="459"/>
      <c r="NTC71" s="459"/>
      <c r="NTD71" s="459"/>
      <c r="NTE71" s="459"/>
      <c r="NTF71" s="459"/>
      <c r="NTG71" s="459"/>
      <c r="NTH71" s="459"/>
      <c r="NTI71" s="459"/>
      <c r="NTJ71" s="459"/>
      <c r="NTK71" s="459"/>
      <c r="NTL71" s="459"/>
      <c r="NTM71" s="459"/>
      <c r="NTN71" s="459"/>
      <c r="NTO71" s="459"/>
      <c r="NTP71" s="459"/>
      <c r="NTQ71" s="459"/>
      <c r="NTR71" s="459"/>
      <c r="NTS71" s="459"/>
      <c r="NTT71" s="459"/>
      <c r="NTU71" s="459"/>
      <c r="NTV71" s="459"/>
      <c r="NTW71" s="459"/>
      <c r="NTX71" s="459"/>
      <c r="NTY71" s="459"/>
      <c r="NTZ71" s="459"/>
      <c r="NUA71" s="459"/>
      <c r="NUB71" s="459"/>
      <c r="NUC71" s="459"/>
      <c r="NUD71" s="459"/>
      <c r="NUE71" s="459"/>
      <c r="NUF71" s="459"/>
      <c r="NUG71" s="459"/>
      <c r="NUH71" s="459"/>
      <c r="NUI71" s="459"/>
      <c r="NUJ71" s="459"/>
      <c r="NUK71" s="459"/>
      <c r="NUL71" s="459"/>
      <c r="NUM71" s="459"/>
      <c r="NUN71" s="459"/>
      <c r="NUO71" s="459"/>
      <c r="NUP71" s="459"/>
      <c r="NUQ71" s="459"/>
      <c r="NUR71" s="459"/>
      <c r="NUS71" s="459"/>
      <c r="NUT71" s="459"/>
      <c r="NUU71" s="459"/>
      <c r="NUV71" s="459"/>
      <c r="NUW71" s="459"/>
      <c r="NUX71" s="459"/>
      <c r="NUY71" s="459"/>
      <c r="NUZ71" s="459"/>
      <c r="NVA71" s="459"/>
      <c r="NVB71" s="459"/>
      <c r="NVC71" s="459"/>
      <c r="NVD71" s="459"/>
      <c r="NVE71" s="459"/>
      <c r="NVF71" s="459"/>
      <c r="NVG71" s="459"/>
      <c r="NVH71" s="459"/>
      <c r="NVI71" s="459"/>
      <c r="NVJ71" s="459"/>
      <c r="NVK71" s="459"/>
      <c r="NVL71" s="459"/>
      <c r="NVM71" s="459"/>
      <c r="NVN71" s="459"/>
      <c r="NVO71" s="459"/>
      <c r="NVP71" s="459"/>
      <c r="NVQ71" s="459"/>
      <c r="NVR71" s="459"/>
      <c r="NVS71" s="459"/>
      <c r="NVT71" s="459"/>
      <c r="NVU71" s="459"/>
      <c r="NVV71" s="459"/>
      <c r="NVW71" s="459"/>
      <c r="NVX71" s="459"/>
      <c r="NVY71" s="459"/>
      <c r="NVZ71" s="459"/>
      <c r="NWA71" s="459"/>
      <c r="NWB71" s="459"/>
      <c r="NWC71" s="459"/>
      <c r="NWD71" s="459"/>
      <c r="NWE71" s="459"/>
      <c r="NWF71" s="459"/>
      <c r="NWG71" s="459"/>
      <c r="NWH71" s="459"/>
      <c r="NWI71" s="459"/>
      <c r="NWJ71" s="459"/>
      <c r="NWK71" s="459"/>
      <c r="NWL71" s="459"/>
      <c r="NWM71" s="459"/>
      <c r="NWN71" s="459"/>
      <c r="NWO71" s="459"/>
      <c r="NWP71" s="459"/>
      <c r="NWQ71" s="459"/>
      <c r="NWR71" s="459"/>
      <c r="NWS71" s="459"/>
      <c r="NWT71" s="459"/>
      <c r="NWU71" s="459"/>
      <c r="NWV71" s="459"/>
      <c r="NWW71" s="459"/>
      <c r="NWX71" s="459"/>
      <c r="NWY71" s="459"/>
      <c r="NWZ71" s="459"/>
      <c r="NXA71" s="459"/>
      <c r="NXB71" s="459"/>
      <c r="NXC71" s="459"/>
      <c r="NXD71" s="459"/>
      <c r="NXE71" s="459"/>
      <c r="NXF71" s="459"/>
      <c r="NXG71" s="459"/>
      <c r="NXH71" s="459"/>
      <c r="NXI71" s="459"/>
      <c r="NXJ71" s="459"/>
      <c r="NXK71" s="459"/>
      <c r="NXL71" s="459"/>
      <c r="NXM71" s="459"/>
      <c r="NXN71" s="459"/>
      <c r="NXO71" s="459"/>
      <c r="NXP71" s="459"/>
      <c r="NXQ71" s="459"/>
      <c r="NXR71" s="459"/>
      <c r="NXS71" s="459"/>
      <c r="NXT71" s="459"/>
      <c r="NXU71" s="459"/>
      <c r="NXV71" s="459"/>
      <c r="NXW71" s="459"/>
      <c r="NXX71" s="459"/>
      <c r="NXY71" s="459"/>
      <c r="NXZ71" s="459"/>
      <c r="NYA71" s="459"/>
      <c r="NYB71" s="459"/>
      <c r="NYC71" s="459"/>
      <c r="NYD71" s="459"/>
      <c r="NYE71" s="459"/>
      <c r="NYF71" s="459"/>
      <c r="NYG71" s="459"/>
      <c r="NYH71" s="459"/>
      <c r="NYI71" s="459"/>
      <c r="NYJ71" s="459"/>
      <c r="NYK71" s="459"/>
      <c r="NYL71" s="459"/>
      <c r="NYM71" s="459"/>
      <c r="NYN71" s="459"/>
      <c r="NYO71" s="459"/>
      <c r="NYP71" s="459"/>
      <c r="NYQ71" s="459"/>
      <c r="NYR71" s="459"/>
      <c r="NYS71" s="459"/>
      <c r="NYT71" s="459"/>
      <c r="NYU71" s="459"/>
      <c r="NYV71" s="459"/>
      <c r="NYW71" s="459"/>
      <c r="NYX71" s="459"/>
      <c r="NYY71" s="459"/>
      <c r="NYZ71" s="459"/>
      <c r="NZA71" s="459"/>
      <c r="NZB71" s="459"/>
      <c r="NZC71" s="459"/>
      <c r="NZD71" s="459"/>
      <c r="NZE71" s="459"/>
      <c r="NZF71" s="459"/>
      <c r="NZG71" s="459"/>
      <c r="NZH71" s="459"/>
      <c r="NZI71" s="459"/>
      <c r="NZJ71" s="459"/>
      <c r="NZK71" s="459"/>
      <c r="NZL71" s="459"/>
      <c r="NZM71" s="459"/>
      <c r="NZN71" s="459"/>
      <c r="NZO71" s="459"/>
      <c r="NZP71" s="459"/>
      <c r="NZQ71" s="459"/>
      <c r="NZR71" s="459"/>
      <c r="NZS71" s="459"/>
      <c r="NZT71" s="459"/>
      <c r="NZU71" s="459"/>
      <c r="NZV71" s="459"/>
      <c r="NZW71" s="459"/>
      <c r="NZX71" s="459"/>
      <c r="NZY71" s="459"/>
      <c r="NZZ71" s="459"/>
      <c r="OAA71" s="459"/>
      <c r="OAB71" s="459"/>
      <c r="OAC71" s="459"/>
      <c r="OAD71" s="459"/>
      <c r="OAE71" s="459"/>
      <c r="OAF71" s="459"/>
      <c r="OAG71" s="459"/>
      <c r="OAH71" s="459"/>
      <c r="OAI71" s="459"/>
      <c r="OAJ71" s="459"/>
      <c r="OAK71" s="459"/>
      <c r="OAL71" s="459"/>
      <c r="OAM71" s="459"/>
      <c r="OAN71" s="459"/>
      <c r="OAO71" s="459"/>
      <c r="OAP71" s="459"/>
      <c r="OAQ71" s="459"/>
      <c r="OAR71" s="459"/>
      <c r="OAS71" s="459"/>
      <c r="OAT71" s="459"/>
      <c r="OAU71" s="459"/>
      <c r="OAV71" s="459"/>
      <c r="OAW71" s="459"/>
      <c r="OAX71" s="459"/>
      <c r="OAY71" s="459"/>
      <c r="OAZ71" s="459"/>
      <c r="OBA71" s="459"/>
      <c r="OBB71" s="459"/>
      <c r="OBC71" s="459"/>
      <c r="OBD71" s="459"/>
      <c r="OBE71" s="459"/>
      <c r="OBF71" s="459"/>
      <c r="OBG71" s="459"/>
      <c r="OBH71" s="459"/>
      <c r="OBI71" s="459"/>
      <c r="OBJ71" s="459"/>
      <c r="OBK71" s="459"/>
      <c r="OBL71" s="459"/>
      <c r="OBM71" s="459"/>
      <c r="OBN71" s="459"/>
      <c r="OBO71" s="459"/>
      <c r="OBP71" s="459"/>
      <c r="OBQ71" s="459"/>
      <c r="OBR71" s="459"/>
      <c r="OBS71" s="459"/>
      <c r="OBT71" s="459"/>
      <c r="OBU71" s="459"/>
      <c r="OBV71" s="459"/>
      <c r="OBW71" s="459"/>
      <c r="OBX71" s="459"/>
      <c r="OBY71" s="459"/>
      <c r="OBZ71" s="459"/>
      <c r="OCA71" s="459"/>
      <c r="OCB71" s="459"/>
      <c r="OCC71" s="459"/>
      <c r="OCD71" s="459"/>
      <c r="OCE71" s="459"/>
      <c r="OCF71" s="459"/>
      <c r="OCG71" s="459"/>
      <c r="OCH71" s="459"/>
      <c r="OCI71" s="459"/>
      <c r="OCJ71" s="459"/>
      <c r="OCK71" s="459"/>
      <c r="OCL71" s="459"/>
      <c r="OCM71" s="459"/>
      <c r="OCN71" s="459"/>
      <c r="OCO71" s="459"/>
      <c r="OCP71" s="459"/>
      <c r="OCQ71" s="459"/>
      <c r="OCR71" s="459"/>
      <c r="OCS71" s="459"/>
      <c r="OCT71" s="459"/>
      <c r="OCU71" s="459"/>
      <c r="OCV71" s="459"/>
      <c r="OCW71" s="459"/>
      <c r="OCX71" s="459"/>
      <c r="OCY71" s="459"/>
      <c r="OCZ71" s="459"/>
      <c r="ODA71" s="459"/>
      <c r="ODB71" s="459"/>
      <c r="ODC71" s="459"/>
      <c r="ODD71" s="459"/>
      <c r="ODE71" s="459"/>
      <c r="ODF71" s="459"/>
      <c r="ODG71" s="459"/>
      <c r="ODH71" s="459"/>
      <c r="ODI71" s="459"/>
      <c r="ODJ71" s="459"/>
      <c r="ODK71" s="459"/>
      <c r="ODL71" s="459"/>
      <c r="ODM71" s="459"/>
      <c r="ODN71" s="459"/>
      <c r="ODO71" s="459"/>
      <c r="ODP71" s="459"/>
      <c r="ODQ71" s="459"/>
      <c r="ODR71" s="459"/>
      <c r="ODS71" s="459"/>
      <c r="ODT71" s="459"/>
      <c r="ODU71" s="459"/>
      <c r="ODV71" s="459"/>
      <c r="ODW71" s="459"/>
      <c r="ODX71" s="459"/>
      <c r="ODY71" s="459"/>
      <c r="ODZ71" s="459"/>
      <c r="OEA71" s="459"/>
      <c r="OEB71" s="459"/>
      <c r="OEC71" s="459"/>
      <c r="OED71" s="459"/>
      <c r="OEE71" s="459"/>
      <c r="OEF71" s="459"/>
      <c r="OEG71" s="459"/>
      <c r="OEH71" s="459"/>
      <c r="OEI71" s="459"/>
      <c r="OEJ71" s="459"/>
      <c r="OEK71" s="459"/>
      <c r="OEL71" s="459"/>
      <c r="OEM71" s="459"/>
      <c r="OEN71" s="459"/>
      <c r="OEO71" s="459"/>
      <c r="OEP71" s="459"/>
      <c r="OEQ71" s="459"/>
      <c r="OER71" s="459"/>
      <c r="OES71" s="459"/>
      <c r="OET71" s="459"/>
      <c r="OEU71" s="459"/>
      <c r="OEV71" s="459"/>
      <c r="OEW71" s="459"/>
      <c r="OEX71" s="459"/>
      <c r="OEY71" s="459"/>
      <c r="OEZ71" s="459"/>
      <c r="OFA71" s="459"/>
      <c r="OFB71" s="459"/>
      <c r="OFC71" s="459"/>
      <c r="OFD71" s="459"/>
      <c r="OFE71" s="459"/>
      <c r="OFF71" s="459"/>
      <c r="OFG71" s="459"/>
      <c r="OFH71" s="459"/>
      <c r="OFI71" s="459"/>
      <c r="OFJ71" s="459"/>
      <c r="OFK71" s="459"/>
      <c r="OFL71" s="459"/>
      <c r="OFM71" s="459"/>
      <c r="OFN71" s="459"/>
      <c r="OFO71" s="459"/>
      <c r="OFP71" s="459"/>
      <c r="OFQ71" s="459"/>
      <c r="OFR71" s="459"/>
      <c r="OFS71" s="459"/>
      <c r="OFT71" s="459"/>
      <c r="OFU71" s="459"/>
      <c r="OFV71" s="459"/>
      <c r="OFW71" s="459"/>
      <c r="OFX71" s="459"/>
      <c r="OFY71" s="459"/>
      <c r="OFZ71" s="459"/>
      <c r="OGA71" s="459"/>
      <c r="OGB71" s="459"/>
      <c r="OGC71" s="459"/>
      <c r="OGD71" s="459"/>
      <c r="OGE71" s="459"/>
      <c r="OGF71" s="459"/>
      <c r="OGG71" s="459"/>
      <c r="OGH71" s="459"/>
      <c r="OGI71" s="459"/>
      <c r="OGJ71" s="459"/>
      <c r="OGK71" s="459"/>
      <c r="OGL71" s="459"/>
      <c r="OGM71" s="459"/>
      <c r="OGN71" s="459"/>
      <c r="OGO71" s="459"/>
      <c r="OGP71" s="459"/>
      <c r="OGQ71" s="459"/>
      <c r="OGR71" s="459"/>
      <c r="OGS71" s="459"/>
      <c r="OGT71" s="459"/>
      <c r="OGU71" s="459"/>
      <c r="OGV71" s="459"/>
      <c r="OGW71" s="459"/>
      <c r="OGX71" s="459"/>
      <c r="OGY71" s="459"/>
      <c r="OGZ71" s="459"/>
      <c r="OHA71" s="459"/>
      <c r="OHB71" s="459"/>
      <c r="OHC71" s="459"/>
      <c r="OHD71" s="459"/>
      <c r="OHE71" s="459"/>
      <c r="OHF71" s="459"/>
      <c r="OHG71" s="459"/>
      <c r="OHH71" s="459"/>
      <c r="OHI71" s="459"/>
      <c r="OHJ71" s="459"/>
      <c r="OHK71" s="459"/>
      <c r="OHL71" s="459"/>
      <c r="OHM71" s="459"/>
      <c r="OHN71" s="459"/>
      <c r="OHO71" s="459"/>
      <c r="OHP71" s="459"/>
      <c r="OHQ71" s="459"/>
      <c r="OHR71" s="459"/>
      <c r="OHS71" s="459"/>
      <c r="OHT71" s="459"/>
      <c r="OHU71" s="459"/>
      <c r="OHV71" s="459"/>
      <c r="OHW71" s="459"/>
      <c r="OHX71" s="459"/>
      <c r="OHY71" s="459"/>
      <c r="OHZ71" s="459"/>
      <c r="OIA71" s="459"/>
      <c r="OIB71" s="459"/>
      <c r="OIC71" s="459"/>
      <c r="OID71" s="459"/>
      <c r="OIE71" s="459"/>
      <c r="OIF71" s="459"/>
      <c r="OIG71" s="459"/>
      <c r="OIH71" s="459"/>
      <c r="OII71" s="459"/>
      <c r="OIJ71" s="459"/>
      <c r="OIK71" s="459"/>
      <c r="OIL71" s="459"/>
      <c r="OIM71" s="459"/>
      <c r="OIN71" s="459"/>
      <c r="OIO71" s="459"/>
      <c r="OIP71" s="459"/>
      <c r="OIQ71" s="459"/>
      <c r="OIR71" s="459"/>
      <c r="OIS71" s="459"/>
      <c r="OIT71" s="459"/>
      <c r="OIU71" s="459"/>
      <c r="OIV71" s="459"/>
      <c r="OIW71" s="459"/>
      <c r="OIX71" s="459"/>
      <c r="OIY71" s="459"/>
      <c r="OIZ71" s="459"/>
      <c r="OJA71" s="459"/>
      <c r="OJB71" s="459"/>
      <c r="OJC71" s="459"/>
      <c r="OJD71" s="459"/>
      <c r="OJE71" s="459"/>
      <c r="OJF71" s="459"/>
      <c r="OJG71" s="459"/>
      <c r="OJH71" s="459"/>
      <c r="OJI71" s="459"/>
      <c r="OJJ71" s="459"/>
      <c r="OJK71" s="459"/>
      <c r="OJL71" s="459"/>
      <c r="OJM71" s="459"/>
      <c r="OJN71" s="459"/>
      <c r="OJO71" s="459"/>
      <c r="OJP71" s="459"/>
      <c r="OJQ71" s="459"/>
      <c r="OJR71" s="459"/>
      <c r="OJS71" s="459"/>
      <c r="OJT71" s="459"/>
      <c r="OJU71" s="459"/>
      <c r="OJV71" s="459"/>
      <c r="OJW71" s="459"/>
      <c r="OJX71" s="459"/>
      <c r="OJY71" s="459"/>
      <c r="OJZ71" s="459"/>
      <c r="OKA71" s="459"/>
      <c r="OKB71" s="459"/>
      <c r="OKC71" s="459"/>
      <c r="OKD71" s="459"/>
      <c r="OKE71" s="459"/>
      <c r="OKF71" s="459"/>
      <c r="OKG71" s="459"/>
      <c r="OKH71" s="459"/>
      <c r="OKI71" s="459"/>
      <c r="OKJ71" s="459"/>
      <c r="OKK71" s="459"/>
      <c r="OKL71" s="459"/>
      <c r="OKM71" s="459"/>
      <c r="OKN71" s="459"/>
      <c r="OKO71" s="459"/>
      <c r="OKP71" s="459"/>
      <c r="OKQ71" s="459"/>
      <c r="OKR71" s="459"/>
      <c r="OKS71" s="459"/>
      <c r="OKT71" s="459"/>
      <c r="OKU71" s="459"/>
      <c r="OKV71" s="459"/>
      <c r="OKW71" s="459"/>
      <c r="OKX71" s="459"/>
      <c r="OKY71" s="459"/>
      <c r="OKZ71" s="459"/>
      <c r="OLA71" s="459"/>
      <c r="OLB71" s="459"/>
      <c r="OLC71" s="459"/>
      <c r="OLD71" s="459"/>
      <c r="OLE71" s="459"/>
      <c r="OLF71" s="459"/>
      <c r="OLG71" s="459"/>
      <c r="OLH71" s="459"/>
      <c r="OLI71" s="459"/>
      <c r="OLJ71" s="459"/>
      <c r="OLK71" s="459"/>
      <c r="OLL71" s="459"/>
      <c r="OLM71" s="459"/>
      <c r="OLN71" s="459"/>
      <c r="OLO71" s="459"/>
      <c r="OLP71" s="459"/>
      <c r="OLQ71" s="459"/>
      <c r="OLR71" s="459"/>
      <c r="OLS71" s="459"/>
      <c r="OLT71" s="459"/>
      <c r="OLU71" s="459"/>
      <c r="OLV71" s="459"/>
      <c r="OLW71" s="459"/>
      <c r="OLX71" s="459"/>
      <c r="OLY71" s="459"/>
      <c r="OLZ71" s="459"/>
      <c r="OMA71" s="459"/>
      <c r="OMB71" s="459"/>
      <c r="OMC71" s="459"/>
      <c r="OMD71" s="459"/>
      <c r="OME71" s="459"/>
      <c r="OMF71" s="459"/>
      <c r="OMG71" s="459"/>
      <c r="OMH71" s="459"/>
      <c r="OMI71" s="459"/>
      <c r="OMJ71" s="459"/>
      <c r="OMK71" s="459"/>
      <c r="OML71" s="459"/>
      <c r="OMM71" s="459"/>
      <c r="OMN71" s="459"/>
      <c r="OMO71" s="459"/>
      <c r="OMP71" s="459"/>
      <c r="OMQ71" s="459"/>
      <c r="OMR71" s="459"/>
      <c r="OMS71" s="459"/>
      <c r="OMT71" s="459"/>
      <c r="OMU71" s="459"/>
      <c r="OMV71" s="459"/>
      <c r="OMW71" s="459"/>
      <c r="OMX71" s="459"/>
      <c r="OMY71" s="459"/>
      <c r="OMZ71" s="459"/>
      <c r="ONA71" s="459"/>
      <c r="ONB71" s="459"/>
      <c r="ONC71" s="459"/>
      <c r="OND71" s="459"/>
      <c r="ONE71" s="459"/>
      <c r="ONF71" s="459"/>
      <c r="ONG71" s="459"/>
      <c r="ONH71" s="459"/>
      <c r="ONI71" s="459"/>
      <c r="ONJ71" s="459"/>
      <c r="ONK71" s="459"/>
      <c r="ONL71" s="459"/>
      <c r="ONM71" s="459"/>
      <c r="ONN71" s="459"/>
      <c r="ONO71" s="459"/>
      <c r="ONP71" s="459"/>
      <c r="ONQ71" s="459"/>
      <c r="ONR71" s="459"/>
      <c r="ONS71" s="459"/>
      <c r="ONT71" s="459"/>
      <c r="ONU71" s="459"/>
      <c r="ONV71" s="459"/>
      <c r="ONW71" s="459"/>
      <c r="ONX71" s="459"/>
      <c r="ONY71" s="459"/>
      <c r="ONZ71" s="459"/>
      <c r="OOA71" s="459"/>
      <c r="OOB71" s="459"/>
      <c r="OOC71" s="459"/>
      <c r="OOD71" s="459"/>
      <c r="OOE71" s="459"/>
      <c r="OOF71" s="459"/>
      <c r="OOG71" s="459"/>
      <c r="OOH71" s="459"/>
      <c r="OOI71" s="459"/>
      <c r="OOJ71" s="459"/>
      <c r="OOK71" s="459"/>
      <c r="OOL71" s="459"/>
      <c r="OOM71" s="459"/>
      <c r="OON71" s="459"/>
      <c r="OOO71" s="459"/>
      <c r="OOP71" s="459"/>
      <c r="OOQ71" s="459"/>
      <c r="OOR71" s="459"/>
      <c r="OOS71" s="459"/>
      <c r="OOT71" s="459"/>
      <c r="OOU71" s="459"/>
      <c r="OOV71" s="459"/>
      <c r="OOW71" s="459"/>
      <c r="OOX71" s="459"/>
      <c r="OOY71" s="459"/>
      <c r="OOZ71" s="459"/>
      <c r="OPA71" s="459"/>
      <c r="OPB71" s="459"/>
      <c r="OPC71" s="459"/>
      <c r="OPD71" s="459"/>
      <c r="OPE71" s="459"/>
      <c r="OPF71" s="459"/>
      <c r="OPG71" s="459"/>
      <c r="OPH71" s="459"/>
      <c r="OPI71" s="459"/>
      <c r="OPJ71" s="459"/>
      <c r="OPK71" s="459"/>
      <c r="OPL71" s="459"/>
      <c r="OPM71" s="459"/>
      <c r="OPN71" s="459"/>
      <c r="OPO71" s="459"/>
      <c r="OPP71" s="459"/>
      <c r="OPQ71" s="459"/>
      <c r="OPR71" s="459"/>
      <c r="OPS71" s="459"/>
      <c r="OPT71" s="459"/>
      <c r="OPU71" s="459"/>
      <c r="OPV71" s="459"/>
      <c r="OPW71" s="459"/>
      <c r="OPX71" s="459"/>
      <c r="OPY71" s="459"/>
      <c r="OPZ71" s="459"/>
      <c r="OQA71" s="459"/>
      <c r="OQB71" s="459"/>
      <c r="OQC71" s="459"/>
      <c r="OQD71" s="459"/>
      <c r="OQE71" s="459"/>
      <c r="OQF71" s="459"/>
      <c r="OQG71" s="459"/>
      <c r="OQH71" s="459"/>
      <c r="OQI71" s="459"/>
      <c r="OQJ71" s="459"/>
      <c r="OQK71" s="459"/>
      <c r="OQL71" s="459"/>
      <c r="OQM71" s="459"/>
      <c r="OQN71" s="459"/>
      <c r="OQO71" s="459"/>
      <c r="OQP71" s="459"/>
      <c r="OQQ71" s="459"/>
      <c r="OQR71" s="459"/>
      <c r="OQS71" s="459"/>
      <c r="OQT71" s="459"/>
      <c r="OQU71" s="459"/>
      <c r="OQV71" s="459"/>
      <c r="OQW71" s="459"/>
      <c r="OQX71" s="459"/>
      <c r="OQY71" s="459"/>
      <c r="OQZ71" s="459"/>
      <c r="ORA71" s="459"/>
      <c r="ORB71" s="459"/>
      <c r="ORC71" s="459"/>
      <c r="ORD71" s="459"/>
      <c r="ORE71" s="459"/>
      <c r="ORF71" s="459"/>
      <c r="ORG71" s="459"/>
      <c r="ORH71" s="459"/>
      <c r="ORI71" s="459"/>
      <c r="ORJ71" s="459"/>
      <c r="ORK71" s="459"/>
      <c r="ORL71" s="459"/>
      <c r="ORM71" s="459"/>
      <c r="ORN71" s="459"/>
      <c r="ORO71" s="459"/>
      <c r="ORP71" s="459"/>
      <c r="ORQ71" s="459"/>
      <c r="ORR71" s="459"/>
      <c r="ORS71" s="459"/>
      <c r="ORT71" s="459"/>
      <c r="ORU71" s="459"/>
      <c r="ORV71" s="459"/>
      <c r="ORW71" s="459"/>
      <c r="ORX71" s="459"/>
      <c r="ORY71" s="459"/>
      <c r="ORZ71" s="459"/>
      <c r="OSA71" s="459"/>
      <c r="OSB71" s="459"/>
      <c r="OSC71" s="459"/>
      <c r="OSD71" s="459"/>
      <c r="OSE71" s="459"/>
      <c r="OSF71" s="459"/>
      <c r="OSG71" s="459"/>
      <c r="OSH71" s="459"/>
      <c r="OSI71" s="459"/>
      <c r="OSJ71" s="459"/>
      <c r="OSK71" s="459"/>
      <c r="OSL71" s="459"/>
      <c r="OSM71" s="459"/>
      <c r="OSN71" s="459"/>
      <c r="OSO71" s="459"/>
      <c r="OSP71" s="459"/>
      <c r="OSQ71" s="459"/>
      <c r="OSR71" s="459"/>
      <c r="OSS71" s="459"/>
      <c r="OST71" s="459"/>
      <c r="OSU71" s="459"/>
      <c r="OSV71" s="459"/>
      <c r="OSW71" s="459"/>
      <c r="OSX71" s="459"/>
      <c r="OSY71" s="459"/>
      <c r="OSZ71" s="459"/>
      <c r="OTA71" s="459"/>
      <c r="OTB71" s="459"/>
      <c r="OTC71" s="459"/>
      <c r="OTD71" s="459"/>
      <c r="OTE71" s="459"/>
      <c r="OTF71" s="459"/>
      <c r="OTG71" s="459"/>
      <c r="OTH71" s="459"/>
      <c r="OTI71" s="459"/>
      <c r="OTJ71" s="459"/>
      <c r="OTK71" s="459"/>
      <c r="OTL71" s="459"/>
      <c r="OTM71" s="459"/>
      <c r="OTN71" s="459"/>
      <c r="OTO71" s="459"/>
      <c r="OTP71" s="459"/>
      <c r="OTQ71" s="459"/>
      <c r="OTR71" s="459"/>
      <c r="OTS71" s="459"/>
      <c r="OTT71" s="459"/>
      <c r="OTU71" s="459"/>
      <c r="OTV71" s="459"/>
      <c r="OTW71" s="459"/>
      <c r="OTX71" s="459"/>
      <c r="OTY71" s="459"/>
      <c r="OTZ71" s="459"/>
      <c r="OUA71" s="459"/>
      <c r="OUB71" s="459"/>
      <c r="OUC71" s="459"/>
      <c r="OUD71" s="459"/>
      <c r="OUE71" s="459"/>
      <c r="OUF71" s="459"/>
      <c r="OUG71" s="459"/>
      <c r="OUH71" s="459"/>
      <c r="OUI71" s="459"/>
      <c r="OUJ71" s="459"/>
      <c r="OUK71" s="459"/>
      <c r="OUL71" s="459"/>
      <c r="OUM71" s="459"/>
      <c r="OUN71" s="459"/>
      <c r="OUO71" s="459"/>
      <c r="OUP71" s="459"/>
      <c r="OUQ71" s="459"/>
      <c r="OUR71" s="459"/>
      <c r="OUS71" s="459"/>
      <c r="OUT71" s="459"/>
      <c r="OUU71" s="459"/>
      <c r="OUV71" s="459"/>
      <c r="OUW71" s="459"/>
      <c r="OUX71" s="459"/>
      <c r="OUY71" s="459"/>
      <c r="OUZ71" s="459"/>
      <c r="OVA71" s="459"/>
      <c r="OVB71" s="459"/>
      <c r="OVC71" s="459"/>
      <c r="OVD71" s="459"/>
      <c r="OVE71" s="459"/>
      <c r="OVF71" s="459"/>
      <c r="OVG71" s="459"/>
      <c r="OVH71" s="459"/>
      <c r="OVI71" s="459"/>
      <c r="OVJ71" s="459"/>
      <c r="OVK71" s="459"/>
      <c r="OVL71" s="459"/>
      <c r="OVM71" s="459"/>
      <c r="OVN71" s="459"/>
      <c r="OVO71" s="459"/>
      <c r="OVP71" s="459"/>
      <c r="OVQ71" s="459"/>
      <c r="OVR71" s="459"/>
      <c r="OVS71" s="459"/>
      <c r="OVT71" s="459"/>
      <c r="OVU71" s="459"/>
      <c r="OVV71" s="459"/>
      <c r="OVW71" s="459"/>
      <c r="OVX71" s="459"/>
      <c r="OVY71" s="459"/>
      <c r="OVZ71" s="459"/>
      <c r="OWA71" s="459"/>
      <c r="OWB71" s="459"/>
      <c r="OWC71" s="459"/>
      <c r="OWD71" s="459"/>
      <c r="OWE71" s="459"/>
      <c r="OWF71" s="459"/>
      <c r="OWG71" s="459"/>
      <c r="OWH71" s="459"/>
      <c r="OWI71" s="459"/>
      <c r="OWJ71" s="459"/>
      <c r="OWK71" s="459"/>
      <c r="OWL71" s="459"/>
      <c r="OWM71" s="459"/>
      <c r="OWN71" s="459"/>
      <c r="OWO71" s="459"/>
      <c r="OWP71" s="459"/>
      <c r="OWQ71" s="459"/>
      <c r="OWR71" s="459"/>
      <c r="OWS71" s="459"/>
      <c r="OWT71" s="459"/>
      <c r="OWU71" s="459"/>
      <c r="OWV71" s="459"/>
      <c r="OWW71" s="459"/>
      <c r="OWX71" s="459"/>
      <c r="OWY71" s="459"/>
      <c r="OWZ71" s="459"/>
      <c r="OXA71" s="459"/>
      <c r="OXB71" s="459"/>
      <c r="OXC71" s="459"/>
      <c r="OXD71" s="459"/>
      <c r="OXE71" s="459"/>
      <c r="OXF71" s="459"/>
      <c r="OXG71" s="459"/>
      <c r="OXH71" s="459"/>
      <c r="OXI71" s="459"/>
      <c r="OXJ71" s="459"/>
      <c r="OXK71" s="459"/>
      <c r="OXL71" s="459"/>
      <c r="OXM71" s="459"/>
      <c r="OXN71" s="459"/>
      <c r="OXO71" s="459"/>
      <c r="OXP71" s="459"/>
      <c r="OXQ71" s="459"/>
      <c r="OXR71" s="459"/>
      <c r="OXS71" s="459"/>
      <c r="OXT71" s="459"/>
      <c r="OXU71" s="459"/>
      <c r="OXV71" s="459"/>
      <c r="OXW71" s="459"/>
      <c r="OXX71" s="459"/>
      <c r="OXY71" s="459"/>
      <c r="OXZ71" s="459"/>
      <c r="OYA71" s="459"/>
      <c r="OYB71" s="459"/>
      <c r="OYC71" s="459"/>
      <c r="OYD71" s="459"/>
      <c r="OYE71" s="459"/>
      <c r="OYF71" s="459"/>
      <c r="OYG71" s="459"/>
      <c r="OYH71" s="459"/>
      <c r="OYI71" s="459"/>
      <c r="OYJ71" s="459"/>
      <c r="OYK71" s="459"/>
      <c r="OYL71" s="459"/>
      <c r="OYM71" s="459"/>
      <c r="OYN71" s="459"/>
      <c r="OYO71" s="459"/>
      <c r="OYP71" s="459"/>
      <c r="OYQ71" s="459"/>
      <c r="OYR71" s="459"/>
      <c r="OYS71" s="459"/>
      <c r="OYT71" s="459"/>
      <c r="OYU71" s="459"/>
      <c r="OYV71" s="459"/>
      <c r="OYW71" s="459"/>
      <c r="OYX71" s="459"/>
      <c r="OYY71" s="459"/>
      <c r="OYZ71" s="459"/>
      <c r="OZA71" s="459"/>
      <c r="OZB71" s="459"/>
      <c r="OZC71" s="459"/>
      <c r="OZD71" s="459"/>
      <c r="OZE71" s="459"/>
      <c r="OZF71" s="459"/>
      <c r="OZG71" s="459"/>
      <c r="OZH71" s="459"/>
      <c r="OZI71" s="459"/>
      <c r="OZJ71" s="459"/>
      <c r="OZK71" s="459"/>
      <c r="OZL71" s="459"/>
      <c r="OZM71" s="459"/>
      <c r="OZN71" s="459"/>
      <c r="OZO71" s="459"/>
      <c r="OZP71" s="459"/>
      <c r="OZQ71" s="459"/>
      <c r="OZR71" s="459"/>
      <c r="OZS71" s="459"/>
      <c r="OZT71" s="459"/>
      <c r="OZU71" s="459"/>
      <c r="OZV71" s="459"/>
      <c r="OZW71" s="459"/>
      <c r="OZX71" s="459"/>
      <c r="OZY71" s="459"/>
      <c r="OZZ71" s="459"/>
      <c r="PAA71" s="459"/>
      <c r="PAB71" s="459"/>
      <c r="PAC71" s="459"/>
      <c r="PAD71" s="459"/>
      <c r="PAE71" s="459"/>
      <c r="PAF71" s="459"/>
      <c r="PAG71" s="459"/>
      <c r="PAH71" s="459"/>
      <c r="PAI71" s="459"/>
      <c r="PAJ71" s="459"/>
      <c r="PAK71" s="459"/>
      <c r="PAL71" s="459"/>
      <c r="PAM71" s="459"/>
      <c r="PAN71" s="459"/>
      <c r="PAO71" s="459"/>
      <c r="PAP71" s="459"/>
      <c r="PAQ71" s="459"/>
      <c r="PAR71" s="459"/>
      <c r="PAS71" s="459"/>
      <c r="PAT71" s="459"/>
      <c r="PAU71" s="459"/>
      <c r="PAV71" s="459"/>
      <c r="PAW71" s="459"/>
      <c r="PAX71" s="459"/>
      <c r="PAY71" s="459"/>
      <c r="PAZ71" s="459"/>
      <c r="PBA71" s="459"/>
      <c r="PBB71" s="459"/>
      <c r="PBC71" s="459"/>
      <c r="PBD71" s="459"/>
      <c r="PBE71" s="459"/>
      <c r="PBF71" s="459"/>
      <c r="PBG71" s="459"/>
      <c r="PBH71" s="459"/>
      <c r="PBI71" s="459"/>
      <c r="PBJ71" s="459"/>
      <c r="PBK71" s="459"/>
      <c r="PBL71" s="459"/>
      <c r="PBM71" s="459"/>
      <c r="PBN71" s="459"/>
      <c r="PBO71" s="459"/>
      <c r="PBP71" s="459"/>
      <c r="PBQ71" s="459"/>
      <c r="PBR71" s="459"/>
      <c r="PBS71" s="459"/>
      <c r="PBT71" s="459"/>
      <c r="PBU71" s="459"/>
      <c r="PBV71" s="459"/>
      <c r="PBW71" s="459"/>
      <c r="PBX71" s="459"/>
      <c r="PBY71" s="459"/>
      <c r="PBZ71" s="459"/>
      <c r="PCA71" s="459"/>
      <c r="PCB71" s="459"/>
      <c r="PCC71" s="459"/>
      <c r="PCD71" s="459"/>
      <c r="PCE71" s="459"/>
      <c r="PCF71" s="459"/>
      <c r="PCG71" s="459"/>
      <c r="PCH71" s="459"/>
      <c r="PCI71" s="459"/>
      <c r="PCJ71" s="459"/>
      <c r="PCK71" s="459"/>
      <c r="PCL71" s="459"/>
      <c r="PCM71" s="459"/>
      <c r="PCN71" s="459"/>
      <c r="PCO71" s="459"/>
      <c r="PCP71" s="459"/>
      <c r="PCQ71" s="459"/>
      <c r="PCR71" s="459"/>
      <c r="PCS71" s="459"/>
      <c r="PCT71" s="459"/>
      <c r="PCU71" s="459"/>
      <c r="PCV71" s="459"/>
      <c r="PCW71" s="459"/>
      <c r="PCX71" s="459"/>
      <c r="PCY71" s="459"/>
      <c r="PCZ71" s="459"/>
      <c r="PDA71" s="459"/>
      <c r="PDB71" s="459"/>
      <c r="PDC71" s="459"/>
      <c r="PDD71" s="459"/>
      <c r="PDE71" s="459"/>
      <c r="PDF71" s="459"/>
      <c r="PDG71" s="459"/>
      <c r="PDH71" s="459"/>
      <c r="PDI71" s="459"/>
      <c r="PDJ71" s="459"/>
      <c r="PDK71" s="459"/>
      <c r="PDL71" s="459"/>
      <c r="PDM71" s="459"/>
      <c r="PDN71" s="459"/>
      <c r="PDO71" s="459"/>
      <c r="PDP71" s="459"/>
      <c r="PDQ71" s="459"/>
      <c r="PDR71" s="459"/>
      <c r="PDS71" s="459"/>
      <c r="PDT71" s="459"/>
      <c r="PDU71" s="459"/>
      <c r="PDV71" s="459"/>
      <c r="PDW71" s="459"/>
      <c r="PDX71" s="459"/>
      <c r="PDY71" s="459"/>
      <c r="PDZ71" s="459"/>
      <c r="PEA71" s="459"/>
      <c r="PEB71" s="459"/>
      <c r="PEC71" s="459"/>
      <c r="PED71" s="459"/>
      <c r="PEE71" s="459"/>
      <c r="PEF71" s="459"/>
      <c r="PEG71" s="459"/>
      <c r="PEH71" s="459"/>
      <c r="PEI71" s="459"/>
      <c r="PEJ71" s="459"/>
      <c r="PEK71" s="459"/>
      <c r="PEL71" s="459"/>
      <c r="PEM71" s="459"/>
      <c r="PEN71" s="459"/>
      <c r="PEO71" s="459"/>
      <c r="PEP71" s="459"/>
      <c r="PEQ71" s="459"/>
      <c r="PER71" s="459"/>
      <c r="PES71" s="459"/>
      <c r="PET71" s="459"/>
      <c r="PEU71" s="459"/>
      <c r="PEV71" s="459"/>
      <c r="PEW71" s="459"/>
      <c r="PEX71" s="459"/>
      <c r="PEY71" s="459"/>
      <c r="PEZ71" s="459"/>
      <c r="PFA71" s="459"/>
      <c r="PFB71" s="459"/>
      <c r="PFC71" s="459"/>
      <c r="PFD71" s="459"/>
      <c r="PFE71" s="459"/>
      <c r="PFF71" s="459"/>
      <c r="PFG71" s="459"/>
      <c r="PFH71" s="459"/>
      <c r="PFI71" s="459"/>
      <c r="PFJ71" s="459"/>
      <c r="PFK71" s="459"/>
      <c r="PFL71" s="459"/>
      <c r="PFM71" s="459"/>
      <c r="PFN71" s="459"/>
      <c r="PFO71" s="459"/>
      <c r="PFP71" s="459"/>
      <c r="PFQ71" s="459"/>
      <c r="PFR71" s="459"/>
      <c r="PFS71" s="459"/>
      <c r="PFT71" s="459"/>
      <c r="PFU71" s="459"/>
      <c r="PFV71" s="459"/>
      <c r="PFW71" s="459"/>
      <c r="PFX71" s="459"/>
      <c r="PFY71" s="459"/>
      <c r="PFZ71" s="459"/>
      <c r="PGA71" s="459"/>
      <c r="PGB71" s="459"/>
      <c r="PGC71" s="459"/>
      <c r="PGD71" s="459"/>
      <c r="PGE71" s="459"/>
      <c r="PGF71" s="459"/>
      <c r="PGG71" s="459"/>
      <c r="PGH71" s="459"/>
      <c r="PGI71" s="459"/>
      <c r="PGJ71" s="459"/>
      <c r="PGK71" s="459"/>
      <c r="PGL71" s="459"/>
      <c r="PGM71" s="459"/>
      <c r="PGN71" s="459"/>
      <c r="PGO71" s="459"/>
      <c r="PGP71" s="459"/>
      <c r="PGQ71" s="459"/>
      <c r="PGR71" s="459"/>
      <c r="PGS71" s="459"/>
      <c r="PGT71" s="459"/>
      <c r="PGU71" s="459"/>
      <c r="PGV71" s="459"/>
      <c r="PGW71" s="459"/>
      <c r="PGX71" s="459"/>
      <c r="PGY71" s="459"/>
      <c r="PGZ71" s="459"/>
      <c r="PHA71" s="459"/>
      <c r="PHB71" s="459"/>
      <c r="PHC71" s="459"/>
      <c r="PHD71" s="459"/>
      <c r="PHE71" s="459"/>
      <c r="PHF71" s="459"/>
      <c r="PHG71" s="459"/>
      <c r="PHH71" s="459"/>
      <c r="PHI71" s="459"/>
      <c r="PHJ71" s="459"/>
      <c r="PHK71" s="459"/>
      <c r="PHL71" s="459"/>
      <c r="PHM71" s="459"/>
      <c r="PHN71" s="459"/>
      <c r="PHO71" s="459"/>
      <c r="PHP71" s="459"/>
      <c r="PHQ71" s="459"/>
      <c r="PHR71" s="459"/>
      <c r="PHS71" s="459"/>
      <c r="PHT71" s="459"/>
      <c r="PHU71" s="459"/>
      <c r="PHV71" s="459"/>
      <c r="PHW71" s="459"/>
      <c r="PHX71" s="459"/>
      <c r="PHY71" s="459"/>
      <c r="PHZ71" s="459"/>
      <c r="PIA71" s="459"/>
      <c r="PIB71" s="459"/>
      <c r="PIC71" s="459"/>
      <c r="PID71" s="459"/>
      <c r="PIE71" s="459"/>
      <c r="PIF71" s="459"/>
      <c r="PIG71" s="459"/>
      <c r="PIH71" s="459"/>
      <c r="PII71" s="459"/>
      <c r="PIJ71" s="459"/>
      <c r="PIK71" s="459"/>
      <c r="PIL71" s="459"/>
      <c r="PIM71" s="459"/>
      <c r="PIN71" s="459"/>
      <c r="PIO71" s="459"/>
      <c r="PIP71" s="459"/>
      <c r="PIQ71" s="459"/>
      <c r="PIR71" s="459"/>
      <c r="PIS71" s="459"/>
      <c r="PIT71" s="459"/>
      <c r="PIU71" s="459"/>
      <c r="PIV71" s="459"/>
      <c r="PIW71" s="459"/>
      <c r="PIX71" s="459"/>
      <c r="PIY71" s="459"/>
      <c r="PIZ71" s="459"/>
      <c r="PJA71" s="459"/>
      <c r="PJB71" s="459"/>
      <c r="PJC71" s="459"/>
      <c r="PJD71" s="459"/>
      <c r="PJE71" s="459"/>
      <c r="PJF71" s="459"/>
      <c r="PJG71" s="459"/>
      <c r="PJH71" s="459"/>
      <c r="PJI71" s="459"/>
      <c r="PJJ71" s="459"/>
      <c r="PJK71" s="459"/>
      <c r="PJL71" s="459"/>
      <c r="PJM71" s="459"/>
      <c r="PJN71" s="459"/>
      <c r="PJO71" s="459"/>
      <c r="PJP71" s="459"/>
      <c r="PJQ71" s="459"/>
      <c r="PJR71" s="459"/>
      <c r="PJS71" s="459"/>
      <c r="PJT71" s="459"/>
      <c r="PJU71" s="459"/>
      <c r="PJV71" s="459"/>
      <c r="PJW71" s="459"/>
      <c r="PJX71" s="459"/>
      <c r="PJY71" s="459"/>
      <c r="PJZ71" s="459"/>
      <c r="PKA71" s="459"/>
      <c r="PKB71" s="459"/>
      <c r="PKC71" s="459"/>
      <c r="PKD71" s="459"/>
      <c r="PKE71" s="459"/>
      <c r="PKF71" s="459"/>
      <c r="PKG71" s="459"/>
      <c r="PKH71" s="459"/>
      <c r="PKI71" s="459"/>
      <c r="PKJ71" s="459"/>
      <c r="PKK71" s="459"/>
      <c r="PKL71" s="459"/>
      <c r="PKM71" s="459"/>
      <c r="PKN71" s="459"/>
      <c r="PKO71" s="459"/>
      <c r="PKP71" s="459"/>
      <c r="PKQ71" s="459"/>
      <c r="PKR71" s="459"/>
      <c r="PKS71" s="459"/>
      <c r="PKT71" s="459"/>
      <c r="PKU71" s="459"/>
      <c r="PKV71" s="459"/>
      <c r="PKW71" s="459"/>
      <c r="PKX71" s="459"/>
      <c r="PKY71" s="459"/>
      <c r="PKZ71" s="459"/>
      <c r="PLA71" s="459"/>
      <c r="PLB71" s="459"/>
      <c r="PLC71" s="459"/>
      <c r="PLD71" s="459"/>
      <c r="PLE71" s="459"/>
      <c r="PLF71" s="459"/>
      <c r="PLG71" s="459"/>
      <c r="PLH71" s="459"/>
      <c r="PLI71" s="459"/>
      <c r="PLJ71" s="459"/>
      <c r="PLK71" s="459"/>
      <c r="PLL71" s="459"/>
      <c r="PLM71" s="459"/>
      <c r="PLN71" s="459"/>
      <c r="PLO71" s="459"/>
      <c r="PLP71" s="459"/>
      <c r="PLQ71" s="459"/>
      <c r="PLR71" s="459"/>
      <c r="PLS71" s="459"/>
      <c r="PLT71" s="459"/>
      <c r="PLU71" s="459"/>
      <c r="PLV71" s="459"/>
      <c r="PLW71" s="459"/>
      <c r="PLX71" s="459"/>
      <c r="PLY71" s="459"/>
      <c r="PLZ71" s="459"/>
      <c r="PMA71" s="459"/>
      <c r="PMB71" s="459"/>
      <c r="PMC71" s="459"/>
      <c r="PMD71" s="459"/>
      <c r="PME71" s="459"/>
      <c r="PMF71" s="459"/>
      <c r="PMG71" s="459"/>
      <c r="PMH71" s="459"/>
      <c r="PMI71" s="459"/>
      <c r="PMJ71" s="459"/>
      <c r="PMK71" s="459"/>
      <c r="PML71" s="459"/>
      <c r="PMM71" s="459"/>
      <c r="PMN71" s="459"/>
      <c r="PMO71" s="459"/>
      <c r="PMP71" s="459"/>
      <c r="PMQ71" s="459"/>
      <c r="PMR71" s="459"/>
      <c r="PMS71" s="459"/>
      <c r="PMT71" s="459"/>
      <c r="PMU71" s="459"/>
      <c r="PMV71" s="459"/>
      <c r="PMW71" s="459"/>
      <c r="PMX71" s="459"/>
      <c r="PMY71" s="459"/>
      <c r="PMZ71" s="459"/>
      <c r="PNA71" s="459"/>
      <c r="PNB71" s="459"/>
      <c r="PNC71" s="459"/>
      <c r="PND71" s="459"/>
      <c r="PNE71" s="459"/>
      <c r="PNF71" s="459"/>
      <c r="PNG71" s="459"/>
      <c r="PNH71" s="459"/>
      <c r="PNI71" s="459"/>
      <c r="PNJ71" s="459"/>
      <c r="PNK71" s="459"/>
      <c r="PNL71" s="459"/>
      <c r="PNM71" s="459"/>
      <c r="PNN71" s="459"/>
      <c r="PNO71" s="459"/>
      <c r="PNP71" s="459"/>
      <c r="PNQ71" s="459"/>
      <c r="PNR71" s="459"/>
      <c r="PNS71" s="459"/>
      <c r="PNT71" s="459"/>
      <c r="PNU71" s="459"/>
      <c r="PNV71" s="459"/>
      <c r="PNW71" s="459"/>
      <c r="PNX71" s="459"/>
      <c r="PNY71" s="459"/>
      <c r="PNZ71" s="459"/>
      <c r="POA71" s="459"/>
      <c r="POB71" s="459"/>
      <c r="POC71" s="459"/>
      <c r="POD71" s="459"/>
      <c r="POE71" s="459"/>
      <c r="POF71" s="459"/>
      <c r="POG71" s="459"/>
      <c r="POH71" s="459"/>
      <c r="POI71" s="459"/>
      <c r="POJ71" s="459"/>
      <c r="POK71" s="459"/>
      <c r="POL71" s="459"/>
      <c r="POM71" s="459"/>
      <c r="PON71" s="459"/>
      <c r="POO71" s="459"/>
      <c r="POP71" s="459"/>
      <c r="POQ71" s="459"/>
      <c r="POR71" s="459"/>
      <c r="POS71" s="459"/>
      <c r="POT71" s="459"/>
      <c r="POU71" s="459"/>
      <c r="POV71" s="459"/>
      <c r="POW71" s="459"/>
      <c r="POX71" s="459"/>
      <c r="POY71" s="459"/>
      <c r="POZ71" s="459"/>
      <c r="PPA71" s="459"/>
      <c r="PPB71" s="459"/>
      <c r="PPC71" s="459"/>
      <c r="PPD71" s="459"/>
      <c r="PPE71" s="459"/>
      <c r="PPF71" s="459"/>
      <c r="PPG71" s="459"/>
      <c r="PPH71" s="459"/>
      <c r="PPI71" s="459"/>
      <c r="PPJ71" s="459"/>
      <c r="PPK71" s="459"/>
      <c r="PPL71" s="459"/>
      <c r="PPM71" s="459"/>
      <c r="PPN71" s="459"/>
      <c r="PPO71" s="459"/>
      <c r="PPP71" s="459"/>
      <c r="PPQ71" s="459"/>
      <c r="PPR71" s="459"/>
      <c r="PPS71" s="459"/>
      <c r="PPT71" s="459"/>
      <c r="PPU71" s="459"/>
      <c r="PPV71" s="459"/>
      <c r="PPW71" s="459"/>
      <c r="PPX71" s="459"/>
      <c r="PPY71" s="459"/>
      <c r="PPZ71" s="459"/>
      <c r="PQA71" s="459"/>
      <c r="PQB71" s="459"/>
      <c r="PQC71" s="459"/>
      <c r="PQD71" s="459"/>
      <c r="PQE71" s="459"/>
      <c r="PQF71" s="459"/>
      <c r="PQG71" s="459"/>
      <c r="PQH71" s="459"/>
      <c r="PQI71" s="459"/>
      <c r="PQJ71" s="459"/>
      <c r="PQK71" s="459"/>
      <c r="PQL71" s="459"/>
      <c r="PQM71" s="459"/>
      <c r="PQN71" s="459"/>
      <c r="PQO71" s="459"/>
      <c r="PQP71" s="459"/>
      <c r="PQQ71" s="459"/>
      <c r="PQR71" s="459"/>
      <c r="PQS71" s="459"/>
      <c r="PQT71" s="459"/>
      <c r="PQU71" s="459"/>
      <c r="PQV71" s="459"/>
      <c r="PQW71" s="459"/>
      <c r="PQX71" s="459"/>
      <c r="PQY71" s="459"/>
      <c r="PQZ71" s="459"/>
      <c r="PRA71" s="459"/>
      <c r="PRB71" s="459"/>
      <c r="PRC71" s="459"/>
      <c r="PRD71" s="459"/>
      <c r="PRE71" s="459"/>
      <c r="PRF71" s="459"/>
      <c r="PRG71" s="459"/>
      <c r="PRH71" s="459"/>
      <c r="PRI71" s="459"/>
      <c r="PRJ71" s="459"/>
      <c r="PRK71" s="459"/>
      <c r="PRL71" s="459"/>
      <c r="PRM71" s="459"/>
      <c r="PRN71" s="459"/>
      <c r="PRO71" s="459"/>
      <c r="PRP71" s="459"/>
      <c r="PRQ71" s="459"/>
      <c r="PRR71" s="459"/>
      <c r="PRS71" s="459"/>
      <c r="PRT71" s="459"/>
      <c r="PRU71" s="459"/>
      <c r="PRV71" s="459"/>
      <c r="PRW71" s="459"/>
      <c r="PRX71" s="459"/>
      <c r="PRY71" s="459"/>
      <c r="PRZ71" s="459"/>
      <c r="PSA71" s="459"/>
      <c r="PSB71" s="459"/>
      <c r="PSC71" s="459"/>
      <c r="PSD71" s="459"/>
      <c r="PSE71" s="459"/>
      <c r="PSF71" s="459"/>
      <c r="PSG71" s="459"/>
      <c r="PSH71" s="459"/>
      <c r="PSI71" s="459"/>
      <c r="PSJ71" s="459"/>
      <c r="PSK71" s="459"/>
      <c r="PSL71" s="459"/>
      <c r="PSM71" s="459"/>
      <c r="PSN71" s="459"/>
      <c r="PSO71" s="459"/>
      <c r="PSP71" s="459"/>
      <c r="PSQ71" s="459"/>
      <c r="PSR71" s="459"/>
      <c r="PSS71" s="459"/>
      <c r="PST71" s="459"/>
      <c r="PSU71" s="459"/>
      <c r="PSV71" s="459"/>
      <c r="PSW71" s="459"/>
      <c r="PSX71" s="459"/>
      <c r="PSY71" s="459"/>
      <c r="PSZ71" s="459"/>
      <c r="PTA71" s="459"/>
      <c r="PTB71" s="459"/>
      <c r="PTC71" s="459"/>
      <c r="PTD71" s="459"/>
      <c r="PTE71" s="459"/>
      <c r="PTF71" s="459"/>
      <c r="PTG71" s="459"/>
      <c r="PTH71" s="459"/>
      <c r="PTI71" s="459"/>
      <c r="PTJ71" s="459"/>
      <c r="PTK71" s="459"/>
      <c r="PTL71" s="459"/>
      <c r="PTM71" s="459"/>
      <c r="PTN71" s="459"/>
      <c r="PTO71" s="459"/>
      <c r="PTP71" s="459"/>
      <c r="PTQ71" s="459"/>
      <c r="PTR71" s="459"/>
      <c r="PTS71" s="459"/>
      <c r="PTT71" s="459"/>
      <c r="PTU71" s="459"/>
      <c r="PTV71" s="459"/>
      <c r="PTW71" s="459"/>
      <c r="PTX71" s="459"/>
      <c r="PTY71" s="459"/>
      <c r="PTZ71" s="459"/>
      <c r="PUA71" s="459"/>
      <c r="PUB71" s="459"/>
      <c r="PUC71" s="459"/>
      <c r="PUD71" s="459"/>
      <c r="PUE71" s="459"/>
      <c r="PUF71" s="459"/>
      <c r="PUG71" s="459"/>
      <c r="PUH71" s="459"/>
      <c r="PUI71" s="459"/>
      <c r="PUJ71" s="459"/>
      <c r="PUK71" s="459"/>
      <c r="PUL71" s="459"/>
      <c r="PUM71" s="459"/>
      <c r="PUN71" s="459"/>
      <c r="PUO71" s="459"/>
      <c r="PUP71" s="459"/>
      <c r="PUQ71" s="459"/>
      <c r="PUR71" s="459"/>
      <c r="PUS71" s="459"/>
      <c r="PUT71" s="459"/>
      <c r="PUU71" s="459"/>
      <c r="PUV71" s="459"/>
      <c r="PUW71" s="459"/>
      <c r="PUX71" s="459"/>
      <c r="PUY71" s="459"/>
      <c r="PUZ71" s="459"/>
      <c r="PVA71" s="459"/>
      <c r="PVB71" s="459"/>
      <c r="PVC71" s="459"/>
      <c r="PVD71" s="459"/>
      <c r="PVE71" s="459"/>
      <c r="PVF71" s="459"/>
      <c r="PVG71" s="459"/>
      <c r="PVH71" s="459"/>
      <c r="PVI71" s="459"/>
      <c r="PVJ71" s="459"/>
      <c r="PVK71" s="459"/>
      <c r="PVL71" s="459"/>
      <c r="PVM71" s="459"/>
      <c r="PVN71" s="459"/>
      <c r="PVO71" s="459"/>
      <c r="PVP71" s="459"/>
      <c r="PVQ71" s="459"/>
      <c r="PVR71" s="459"/>
      <c r="PVS71" s="459"/>
      <c r="PVT71" s="459"/>
      <c r="PVU71" s="459"/>
      <c r="PVV71" s="459"/>
      <c r="PVW71" s="459"/>
      <c r="PVX71" s="459"/>
      <c r="PVY71" s="459"/>
      <c r="PVZ71" s="459"/>
      <c r="PWA71" s="459"/>
      <c r="PWB71" s="459"/>
      <c r="PWC71" s="459"/>
      <c r="PWD71" s="459"/>
      <c r="PWE71" s="459"/>
      <c r="PWF71" s="459"/>
      <c r="PWG71" s="459"/>
      <c r="PWH71" s="459"/>
      <c r="PWI71" s="459"/>
      <c r="PWJ71" s="459"/>
      <c r="PWK71" s="459"/>
      <c r="PWL71" s="459"/>
      <c r="PWM71" s="459"/>
      <c r="PWN71" s="459"/>
      <c r="PWO71" s="459"/>
      <c r="PWP71" s="459"/>
      <c r="PWQ71" s="459"/>
      <c r="PWR71" s="459"/>
      <c r="PWS71" s="459"/>
      <c r="PWT71" s="459"/>
      <c r="PWU71" s="459"/>
      <c r="PWV71" s="459"/>
      <c r="PWW71" s="459"/>
      <c r="PWX71" s="459"/>
      <c r="PWY71" s="459"/>
      <c r="PWZ71" s="459"/>
      <c r="PXA71" s="459"/>
      <c r="PXB71" s="459"/>
      <c r="PXC71" s="459"/>
      <c r="PXD71" s="459"/>
      <c r="PXE71" s="459"/>
      <c r="PXF71" s="459"/>
      <c r="PXG71" s="459"/>
      <c r="PXH71" s="459"/>
      <c r="PXI71" s="459"/>
      <c r="PXJ71" s="459"/>
      <c r="PXK71" s="459"/>
      <c r="PXL71" s="459"/>
      <c r="PXM71" s="459"/>
      <c r="PXN71" s="459"/>
      <c r="PXO71" s="459"/>
      <c r="PXP71" s="459"/>
      <c r="PXQ71" s="459"/>
      <c r="PXR71" s="459"/>
      <c r="PXS71" s="459"/>
      <c r="PXT71" s="459"/>
      <c r="PXU71" s="459"/>
      <c r="PXV71" s="459"/>
      <c r="PXW71" s="459"/>
      <c r="PXX71" s="459"/>
      <c r="PXY71" s="459"/>
      <c r="PXZ71" s="459"/>
      <c r="PYA71" s="459"/>
      <c r="PYB71" s="459"/>
      <c r="PYC71" s="459"/>
      <c r="PYD71" s="459"/>
      <c r="PYE71" s="459"/>
      <c r="PYF71" s="459"/>
      <c r="PYG71" s="459"/>
      <c r="PYH71" s="459"/>
      <c r="PYI71" s="459"/>
      <c r="PYJ71" s="459"/>
      <c r="PYK71" s="459"/>
      <c r="PYL71" s="459"/>
      <c r="PYM71" s="459"/>
      <c r="PYN71" s="459"/>
      <c r="PYO71" s="459"/>
      <c r="PYP71" s="459"/>
      <c r="PYQ71" s="459"/>
      <c r="PYR71" s="459"/>
      <c r="PYS71" s="459"/>
      <c r="PYT71" s="459"/>
      <c r="PYU71" s="459"/>
      <c r="PYV71" s="459"/>
      <c r="PYW71" s="459"/>
      <c r="PYX71" s="459"/>
      <c r="PYY71" s="459"/>
      <c r="PYZ71" s="459"/>
      <c r="PZA71" s="459"/>
      <c r="PZB71" s="459"/>
      <c r="PZC71" s="459"/>
      <c r="PZD71" s="459"/>
      <c r="PZE71" s="459"/>
      <c r="PZF71" s="459"/>
      <c r="PZG71" s="459"/>
      <c r="PZH71" s="459"/>
      <c r="PZI71" s="459"/>
      <c r="PZJ71" s="459"/>
      <c r="PZK71" s="459"/>
      <c r="PZL71" s="459"/>
      <c r="PZM71" s="459"/>
      <c r="PZN71" s="459"/>
      <c r="PZO71" s="459"/>
      <c r="PZP71" s="459"/>
      <c r="PZQ71" s="459"/>
      <c r="PZR71" s="459"/>
      <c r="PZS71" s="459"/>
      <c r="PZT71" s="459"/>
      <c r="PZU71" s="459"/>
      <c r="PZV71" s="459"/>
      <c r="PZW71" s="459"/>
      <c r="PZX71" s="459"/>
      <c r="PZY71" s="459"/>
      <c r="PZZ71" s="459"/>
      <c r="QAA71" s="459"/>
      <c r="QAB71" s="459"/>
      <c r="QAC71" s="459"/>
      <c r="QAD71" s="459"/>
      <c r="QAE71" s="459"/>
      <c r="QAF71" s="459"/>
      <c r="QAG71" s="459"/>
      <c r="QAH71" s="459"/>
      <c r="QAI71" s="459"/>
      <c r="QAJ71" s="459"/>
      <c r="QAK71" s="459"/>
      <c r="QAL71" s="459"/>
      <c r="QAM71" s="459"/>
      <c r="QAN71" s="459"/>
      <c r="QAO71" s="459"/>
      <c r="QAP71" s="459"/>
      <c r="QAQ71" s="459"/>
      <c r="QAR71" s="459"/>
      <c r="QAS71" s="459"/>
      <c r="QAT71" s="459"/>
      <c r="QAU71" s="459"/>
      <c r="QAV71" s="459"/>
      <c r="QAW71" s="459"/>
      <c r="QAX71" s="459"/>
      <c r="QAY71" s="459"/>
      <c r="QAZ71" s="459"/>
      <c r="QBA71" s="459"/>
      <c r="QBB71" s="459"/>
      <c r="QBC71" s="459"/>
      <c r="QBD71" s="459"/>
      <c r="QBE71" s="459"/>
      <c r="QBF71" s="459"/>
      <c r="QBG71" s="459"/>
      <c r="QBH71" s="459"/>
      <c r="QBI71" s="459"/>
      <c r="QBJ71" s="459"/>
      <c r="QBK71" s="459"/>
      <c r="QBL71" s="459"/>
      <c r="QBM71" s="459"/>
      <c r="QBN71" s="459"/>
      <c r="QBO71" s="459"/>
      <c r="QBP71" s="459"/>
      <c r="QBQ71" s="459"/>
      <c r="QBR71" s="459"/>
      <c r="QBS71" s="459"/>
      <c r="QBT71" s="459"/>
      <c r="QBU71" s="459"/>
      <c r="QBV71" s="459"/>
      <c r="QBW71" s="459"/>
      <c r="QBX71" s="459"/>
      <c r="QBY71" s="459"/>
      <c r="QBZ71" s="459"/>
      <c r="QCA71" s="459"/>
      <c r="QCB71" s="459"/>
      <c r="QCC71" s="459"/>
      <c r="QCD71" s="459"/>
      <c r="QCE71" s="459"/>
      <c r="QCF71" s="459"/>
      <c r="QCG71" s="459"/>
      <c r="QCH71" s="459"/>
      <c r="QCI71" s="459"/>
      <c r="QCJ71" s="459"/>
      <c r="QCK71" s="459"/>
      <c r="QCL71" s="459"/>
      <c r="QCM71" s="459"/>
      <c r="QCN71" s="459"/>
      <c r="QCO71" s="459"/>
      <c r="QCP71" s="459"/>
      <c r="QCQ71" s="459"/>
      <c r="QCR71" s="459"/>
      <c r="QCS71" s="459"/>
      <c r="QCT71" s="459"/>
      <c r="QCU71" s="459"/>
      <c r="QCV71" s="459"/>
      <c r="QCW71" s="459"/>
      <c r="QCX71" s="459"/>
      <c r="QCY71" s="459"/>
      <c r="QCZ71" s="459"/>
      <c r="QDA71" s="459"/>
      <c r="QDB71" s="459"/>
      <c r="QDC71" s="459"/>
      <c r="QDD71" s="459"/>
      <c r="QDE71" s="459"/>
      <c r="QDF71" s="459"/>
      <c r="QDG71" s="459"/>
      <c r="QDH71" s="459"/>
      <c r="QDI71" s="459"/>
      <c r="QDJ71" s="459"/>
      <c r="QDK71" s="459"/>
      <c r="QDL71" s="459"/>
      <c r="QDM71" s="459"/>
      <c r="QDN71" s="459"/>
      <c r="QDO71" s="459"/>
      <c r="QDP71" s="459"/>
      <c r="QDQ71" s="459"/>
      <c r="QDR71" s="459"/>
      <c r="QDS71" s="459"/>
      <c r="QDT71" s="459"/>
      <c r="QDU71" s="459"/>
      <c r="QDV71" s="459"/>
      <c r="QDW71" s="459"/>
      <c r="QDX71" s="459"/>
      <c r="QDY71" s="459"/>
      <c r="QDZ71" s="459"/>
      <c r="QEA71" s="459"/>
      <c r="QEB71" s="459"/>
      <c r="QEC71" s="459"/>
      <c r="QED71" s="459"/>
      <c r="QEE71" s="459"/>
      <c r="QEF71" s="459"/>
      <c r="QEG71" s="459"/>
      <c r="QEH71" s="459"/>
      <c r="QEI71" s="459"/>
      <c r="QEJ71" s="459"/>
      <c r="QEK71" s="459"/>
      <c r="QEL71" s="459"/>
      <c r="QEM71" s="459"/>
      <c r="QEN71" s="459"/>
      <c r="QEO71" s="459"/>
      <c r="QEP71" s="459"/>
      <c r="QEQ71" s="459"/>
      <c r="QER71" s="459"/>
      <c r="QES71" s="459"/>
      <c r="QET71" s="459"/>
      <c r="QEU71" s="459"/>
      <c r="QEV71" s="459"/>
      <c r="QEW71" s="459"/>
      <c r="QEX71" s="459"/>
      <c r="QEY71" s="459"/>
      <c r="QEZ71" s="459"/>
      <c r="QFA71" s="459"/>
      <c r="QFB71" s="459"/>
      <c r="QFC71" s="459"/>
      <c r="QFD71" s="459"/>
      <c r="QFE71" s="459"/>
      <c r="QFF71" s="459"/>
      <c r="QFG71" s="459"/>
      <c r="QFH71" s="459"/>
      <c r="QFI71" s="459"/>
      <c r="QFJ71" s="459"/>
      <c r="QFK71" s="459"/>
      <c r="QFL71" s="459"/>
      <c r="QFM71" s="459"/>
      <c r="QFN71" s="459"/>
      <c r="QFO71" s="459"/>
      <c r="QFP71" s="459"/>
      <c r="QFQ71" s="459"/>
      <c r="QFR71" s="459"/>
      <c r="QFS71" s="459"/>
      <c r="QFT71" s="459"/>
      <c r="QFU71" s="459"/>
      <c r="QFV71" s="459"/>
      <c r="QFW71" s="459"/>
      <c r="QFX71" s="459"/>
      <c r="QFY71" s="459"/>
      <c r="QFZ71" s="459"/>
      <c r="QGA71" s="459"/>
      <c r="QGB71" s="459"/>
      <c r="QGC71" s="459"/>
      <c r="QGD71" s="459"/>
      <c r="QGE71" s="459"/>
      <c r="QGF71" s="459"/>
      <c r="QGG71" s="459"/>
      <c r="QGH71" s="459"/>
      <c r="QGI71" s="459"/>
      <c r="QGJ71" s="459"/>
      <c r="QGK71" s="459"/>
      <c r="QGL71" s="459"/>
      <c r="QGM71" s="459"/>
      <c r="QGN71" s="459"/>
      <c r="QGO71" s="459"/>
      <c r="QGP71" s="459"/>
      <c r="QGQ71" s="459"/>
      <c r="QGR71" s="459"/>
      <c r="QGS71" s="459"/>
      <c r="QGT71" s="459"/>
      <c r="QGU71" s="459"/>
      <c r="QGV71" s="459"/>
      <c r="QGW71" s="459"/>
      <c r="QGX71" s="459"/>
      <c r="QGY71" s="459"/>
      <c r="QGZ71" s="459"/>
      <c r="QHA71" s="459"/>
      <c r="QHB71" s="459"/>
      <c r="QHC71" s="459"/>
      <c r="QHD71" s="459"/>
      <c r="QHE71" s="459"/>
      <c r="QHF71" s="459"/>
      <c r="QHG71" s="459"/>
      <c r="QHH71" s="459"/>
      <c r="QHI71" s="459"/>
      <c r="QHJ71" s="459"/>
      <c r="QHK71" s="459"/>
      <c r="QHL71" s="459"/>
      <c r="QHM71" s="459"/>
      <c r="QHN71" s="459"/>
      <c r="QHO71" s="459"/>
      <c r="QHP71" s="459"/>
      <c r="QHQ71" s="459"/>
      <c r="QHR71" s="459"/>
      <c r="QHS71" s="459"/>
      <c r="QHT71" s="459"/>
      <c r="QHU71" s="459"/>
      <c r="QHV71" s="459"/>
      <c r="QHW71" s="459"/>
      <c r="QHX71" s="459"/>
      <c r="QHY71" s="459"/>
      <c r="QHZ71" s="459"/>
      <c r="QIA71" s="459"/>
      <c r="QIB71" s="459"/>
      <c r="QIC71" s="459"/>
      <c r="QID71" s="459"/>
      <c r="QIE71" s="459"/>
      <c r="QIF71" s="459"/>
      <c r="QIG71" s="459"/>
      <c r="QIH71" s="459"/>
      <c r="QII71" s="459"/>
      <c r="QIJ71" s="459"/>
      <c r="QIK71" s="459"/>
      <c r="QIL71" s="459"/>
      <c r="QIM71" s="459"/>
      <c r="QIN71" s="459"/>
      <c r="QIO71" s="459"/>
      <c r="QIP71" s="459"/>
      <c r="QIQ71" s="459"/>
      <c r="QIR71" s="459"/>
      <c r="QIS71" s="459"/>
      <c r="QIT71" s="459"/>
      <c r="QIU71" s="459"/>
      <c r="QIV71" s="459"/>
      <c r="QIW71" s="459"/>
      <c r="QIX71" s="459"/>
      <c r="QIY71" s="459"/>
      <c r="QIZ71" s="459"/>
      <c r="QJA71" s="459"/>
      <c r="QJB71" s="459"/>
      <c r="QJC71" s="459"/>
      <c r="QJD71" s="459"/>
      <c r="QJE71" s="459"/>
      <c r="QJF71" s="459"/>
      <c r="QJG71" s="459"/>
      <c r="QJH71" s="459"/>
      <c r="QJI71" s="459"/>
      <c r="QJJ71" s="459"/>
      <c r="QJK71" s="459"/>
      <c r="QJL71" s="459"/>
      <c r="QJM71" s="459"/>
      <c r="QJN71" s="459"/>
      <c r="QJO71" s="459"/>
      <c r="QJP71" s="459"/>
      <c r="QJQ71" s="459"/>
      <c r="QJR71" s="459"/>
      <c r="QJS71" s="459"/>
      <c r="QJT71" s="459"/>
      <c r="QJU71" s="459"/>
      <c r="QJV71" s="459"/>
      <c r="QJW71" s="459"/>
      <c r="QJX71" s="459"/>
      <c r="QJY71" s="459"/>
      <c r="QJZ71" s="459"/>
      <c r="QKA71" s="459"/>
      <c r="QKB71" s="459"/>
      <c r="QKC71" s="459"/>
      <c r="QKD71" s="459"/>
      <c r="QKE71" s="459"/>
      <c r="QKF71" s="459"/>
      <c r="QKG71" s="459"/>
      <c r="QKH71" s="459"/>
      <c r="QKI71" s="459"/>
      <c r="QKJ71" s="459"/>
      <c r="QKK71" s="459"/>
      <c r="QKL71" s="459"/>
      <c r="QKM71" s="459"/>
      <c r="QKN71" s="459"/>
      <c r="QKO71" s="459"/>
      <c r="QKP71" s="459"/>
      <c r="QKQ71" s="459"/>
      <c r="QKR71" s="459"/>
      <c r="QKS71" s="459"/>
      <c r="QKT71" s="459"/>
      <c r="QKU71" s="459"/>
      <c r="QKV71" s="459"/>
      <c r="QKW71" s="459"/>
      <c r="QKX71" s="459"/>
      <c r="QKY71" s="459"/>
      <c r="QKZ71" s="459"/>
      <c r="QLA71" s="459"/>
      <c r="QLB71" s="459"/>
      <c r="QLC71" s="459"/>
      <c r="QLD71" s="459"/>
      <c r="QLE71" s="459"/>
      <c r="QLF71" s="459"/>
      <c r="QLG71" s="459"/>
      <c r="QLH71" s="459"/>
      <c r="QLI71" s="459"/>
      <c r="QLJ71" s="459"/>
      <c r="QLK71" s="459"/>
      <c r="QLL71" s="459"/>
      <c r="QLM71" s="459"/>
      <c r="QLN71" s="459"/>
      <c r="QLO71" s="459"/>
      <c r="QLP71" s="459"/>
      <c r="QLQ71" s="459"/>
      <c r="QLR71" s="459"/>
      <c r="QLS71" s="459"/>
      <c r="QLT71" s="459"/>
      <c r="QLU71" s="459"/>
      <c r="QLV71" s="459"/>
      <c r="QLW71" s="459"/>
      <c r="QLX71" s="459"/>
      <c r="QLY71" s="459"/>
      <c r="QLZ71" s="459"/>
      <c r="QMA71" s="459"/>
      <c r="QMB71" s="459"/>
      <c r="QMC71" s="459"/>
      <c r="QMD71" s="459"/>
      <c r="QME71" s="459"/>
      <c r="QMF71" s="459"/>
      <c r="QMG71" s="459"/>
      <c r="QMH71" s="459"/>
      <c r="QMI71" s="459"/>
      <c r="QMJ71" s="459"/>
      <c r="QMK71" s="459"/>
      <c r="QML71" s="459"/>
      <c r="QMM71" s="459"/>
      <c r="QMN71" s="459"/>
      <c r="QMO71" s="459"/>
      <c r="QMP71" s="459"/>
      <c r="QMQ71" s="459"/>
      <c r="QMR71" s="459"/>
      <c r="QMS71" s="459"/>
      <c r="QMT71" s="459"/>
      <c r="QMU71" s="459"/>
      <c r="QMV71" s="459"/>
      <c r="QMW71" s="459"/>
      <c r="QMX71" s="459"/>
      <c r="QMY71" s="459"/>
      <c r="QMZ71" s="459"/>
      <c r="QNA71" s="459"/>
      <c r="QNB71" s="459"/>
      <c r="QNC71" s="459"/>
      <c r="QND71" s="459"/>
      <c r="QNE71" s="459"/>
      <c r="QNF71" s="459"/>
      <c r="QNG71" s="459"/>
      <c r="QNH71" s="459"/>
      <c r="QNI71" s="459"/>
      <c r="QNJ71" s="459"/>
      <c r="QNK71" s="459"/>
      <c r="QNL71" s="459"/>
      <c r="QNM71" s="459"/>
      <c r="QNN71" s="459"/>
      <c r="QNO71" s="459"/>
      <c r="QNP71" s="459"/>
      <c r="QNQ71" s="459"/>
      <c r="QNR71" s="459"/>
      <c r="QNS71" s="459"/>
      <c r="QNT71" s="459"/>
      <c r="QNU71" s="459"/>
      <c r="QNV71" s="459"/>
      <c r="QNW71" s="459"/>
      <c r="QNX71" s="459"/>
      <c r="QNY71" s="459"/>
      <c r="QNZ71" s="459"/>
      <c r="QOA71" s="459"/>
      <c r="QOB71" s="459"/>
      <c r="QOC71" s="459"/>
      <c r="QOD71" s="459"/>
      <c r="QOE71" s="459"/>
      <c r="QOF71" s="459"/>
      <c r="QOG71" s="459"/>
      <c r="QOH71" s="459"/>
      <c r="QOI71" s="459"/>
      <c r="QOJ71" s="459"/>
      <c r="QOK71" s="459"/>
      <c r="QOL71" s="459"/>
      <c r="QOM71" s="459"/>
      <c r="QON71" s="459"/>
      <c r="QOO71" s="459"/>
      <c r="QOP71" s="459"/>
      <c r="QOQ71" s="459"/>
      <c r="QOR71" s="459"/>
      <c r="QOS71" s="459"/>
      <c r="QOT71" s="459"/>
      <c r="QOU71" s="459"/>
      <c r="QOV71" s="459"/>
      <c r="QOW71" s="459"/>
      <c r="QOX71" s="459"/>
      <c r="QOY71" s="459"/>
      <c r="QOZ71" s="459"/>
      <c r="QPA71" s="459"/>
      <c r="QPB71" s="459"/>
      <c r="QPC71" s="459"/>
      <c r="QPD71" s="459"/>
      <c r="QPE71" s="459"/>
      <c r="QPF71" s="459"/>
      <c r="QPG71" s="459"/>
      <c r="QPH71" s="459"/>
      <c r="QPI71" s="459"/>
      <c r="QPJ71" s="459"/>
      <c r="QPK71" s="459"/>
      <c r="QPL71" s="459"/>
      <c r="QPM71" s="459"/>
      <c r="QPN71" s="459"/>
      <c r="QPO71" s="459"/>
      <c r="QPP71" s="459"/>
      <c r="QPQ71" s="459"/>
      <c r="QPR71" s="459"/>
      <c r="QPS71" s="459"/>
      <c r="QPT71" s="459"/>
      <c r="QPU71" s="459"/>
      <c r="QPV71" s="459"/>
      <c r="QPW71" s="459"/>
      <c r="QPX71" s="459"/>
      <c r="QPY71" s="459"/>
      <c r="QPZ71" s="459"/>
      <c r="QQA71" s="459"/>
      <c r="QQB71" s="459"/>
      <c r="QQC71" s="459"/>
      <c r="QQD71" s="459"/>
      <c r="QQE71" s="459"/>
      <c r="QQF71" s="459"/>
      <c r="QQG71" s="459"/>
      <c r="QQH71" s="459"/>
      <c r="QQI71" s="459"/>
      <c r="QQJ71" s="459"/>
      <c r="QQK71" s="459"/>
      <c r="QQL71" s="459"/>
      <c r="QQM71" s="459"/>
      <c r="QQN71" s="459"/>
      <c r="QQO71" s="459"/>
      <c r="QQP71" s="459"/>
      <c r="QQQ71" s="459"/>
      <c r="QQR71" s="459"/>
      <c r="QQS71" s="459"/>
      <c r="QQT71" s="459"/>
      <c r="QQU71" s="459"/>
      <c r="QQV71" s="459"/>
      <c r="QQW71" s="459"/>
      <c r="QQX71" s="459"/>
      <c r="QQY71" s="459"/>
      <c r="QQZ71" s="459"/>
      <c r="QRA71" s="459"/>
      <c r="QRB71" s="459"/>
      <c r="QRC71" s="459"/>
      <c r="QRD71" s="459"/>
      <c r="QRE71" s="459"/>
      <c r="QRF71" s="459"/>
      <c r="QRG71" s="459"/>
      <c r="QRH71" s="459"/>
      <c r="QRI71" s="459"/>
      <c r="QRJ71" s="459"/>
      <c r="QRK71" s="459"/>
      <c r="QRL71" s="459"/>
      <c r="QRM71" s="459"/>
      <c r="QRN71" s="459"/>
      <c r="QRO71" s="459"/>
      <c r="QRP71" s="459"/>
      <c r="QRQ71" s="459"/>
      <c r="QRR71" s="459"/>
      <c r="QRS71" s="459"/>
      <c r="QRT71" s="459"/>
      <c r="QRU71" s="459"/>
      <c r="QRV71" s="459"/>
      <c r="QRW71" s="459"/>
      <c r="QRX71" s="459"/>
      <c r="QRY71" s="459"/>
      <c r="QRZ71" s="459"/>
      <c r="QSA71" s="459"/>
      <c r="QSB71" s="459"/>
      <c r="QSC71" s="459"/>
      <c r="QSD71" s="459"/>
      <c r="QSE71" s="459"/>
      <c r="QSF71" s="459"/>
      <c r="QSG71" s="459"/>
      <c r="QSH71" s="459"/>
      <c r="QSI71" s="459"/>
      <c r="QSJ71" s="459"/>
      <c r="QSK71" s="459"/>
      <c r="QSL71" s="459"/>
      <c r="QSM71" s="459"/>
      <c r="QSN71" s="459"/>
      <c r="QSO71" s="459"/>
      <c r="QSP71" s="459"/>
      <c r="QSQ71" s="459"/>
      <c r="QSR71" s="459"/>
      <c r="QSS71" s="459"/>
      <c r="QST71" s="459"/>
      <c r="QSU71" s="459"/>
      <c r="QSV71" s="459"/>
      <c r="QSW71" s="459"/>
      <c r="QSX71" s="459"/>
      <c r="QSY71" s="459"/>
      <c r="QSZ71" s="459"/>
      <c r="QTA71" s="459"/>
      <c r="QTB71" s="459"/>
      <c r="QTC71" s="459"/>
      <c r="QTD71" s="459"/>
      <c r="QTE71" s="459"/>
      <c r="QTF71" s="459"/>
      <c r="QTG71" s="459"/>
      <c r="QTH71" s="459"/>
      <c r="QTI71" s="459"/>
      <c r="QTJ71" s="459"/>
      <c r="QTK71" s="459"/>
      <c r="QTL71" s="459"/>
      <c r="QTM71" s="459"/>
      <c r="QTN71" s="459"/>
      <c r="QTO71" s="459"/>
      <c r="QTP71" s="459"/>
      <c r="QTQ71" s="459"/>
      <c r="QTR71" s="459"/>
      <c r="QTS71" s="459"/>
      <c r="QTT71" s="459"/>
      <c r="QTU71" s="459"/>
      <c r="QTV71" s="459"/>
      <c r="QTW71" s="459"/>
      <c r="QTX71" s="459"/>
      <c r="QTY71" s="459"/>
      <c r="QTZ71" s="459"/>
      <c r="QUA71" s="459"/>
      <c r="QUB71" s="459"/>
      <c r="QUC71" s="459"/>
      <c r="QUD71" s="459"/>
      <c r="QUE71" s="459"/>
      <c r="QUF71" s="459"/>
      <c r="QUG71" s="459"/>
      <c r="QUH71" s="459"/>
      <c r="QUI71" s="459"/>
      <c r="QUJ71" s="459"/>
      <c r="QUK71" s="459"/>
      <c r="QUL71" s="459"/>
      <c r="QUM71" s="459"/>
      <c r="QUN71" s="459"/>
      <c r="QUO71" s="459"/>
      <c r="QUP71" s="459"/>
      <c r="QUQ71" s="459"/>
      <c r="QUR71" s="459"/>
      <c r="QUS71" s="459"/>
      <c r="QUT71" s="459"/>
      <c r="QUU71" s="459"/>
      <c r="QUV71" s="459"/>
      <c r="QUW71" s="459"/>
      <c r="QUX71" s="459"/>
      <c r="QUY71" s="459"/>
      <c r="QUZ71" s="459"/>
      <c r="QVA71" s="459"/>
      <c r="QVB71" s="459"/>
      <c r="QVC71" s="459"/>
      <c r="QVD71" s="459"/>
      <c r="QVE71" s="459"/>
      <c r="QVF71" s="459"/>
      <c r="QVG71" s="459"/>
      <c r="QVH71" s="459"/>
      <c r="QVI71" s="459"/>
      <c r="QVJ71" s="459"/>
      <c r="QVK71" s="459"/>
      <c r="QVL71" s="459"/>
      <c r="QVM71" s="459"/>
      <c r="QVN71" s="459"/>
      <c r="QVO71" s="459"/>
      <c r="QVP71" s="459"/>
      <c r="QVQ71" s="459"/>
      <c r="QVR71" s="459"/>
      <c r="QVS71" s="459"/>
      <c r="QVT71" s="459"/>
      <c r="QVU71" s="459"/>
      <c r="QVV71" s="459"/>
      <c r="QVW71" s="459"/>
      <c r="QVX71" s="459"/>
      <c r="QVY71" s="459"/>
      <c r="QVZ71" s="459"/>
      <c r="QWA71" s="459"/>
      <c r="QWB71" s="459"/>
      <c r="QWC71" s="459"/>
      <c r="QWD71" s="459"/>
      <c r="QWE71" s="459"/>
      <c r="QWF71" s="459"/>
      <c r="QWG71" s="459"/>
      <c r="QWH71" s="459"/>
      <c r="QWI71" s="459"/>
      <c r="QWJ71" s="459"/>
      <c r="QWK71" s="459"/>
      <c r="QWL71" s="459"/>
      <c r="QWM71" s="459"/>
      <c r="QWN71" s="459"/>
      <c r="QWO71" s="459"/>
      <c r="QWP71" s="459"/>
      <c r="QWQ71" s="459"/>
      <c r="QWR71" s="459"/>
      <c r="QWS71" s="459"/>
      <c r="QWT71" s="459"/>
      <c r="QWU71" s="459"/>
      <c r="QWV71" s="459"/>
      <c r="QWW71" s="459"/>
      <c r="QWX71" s="459"/>
      <c r="QWY71" s="459"/>
      <c r="QWZ71" s="459"/>
      <c r="QXA71" s="459"/>
      <c r="QXB71" s="459"/>
      <c r="QXC71" s="459"/>
      <c r="QXD71" s="459"/>
      <c r="QXE71" s="459"/>
      <c r="QXF71" s="459"/>
      <c r="QXG71" s="459"/>
      <c r="QXH71" s="459"/>
      <c r="QXI71" s="459"/>
      <c r="QXJ71" s="459"/>
      <c r="QXK71" s="459"/>
      <c r="QXL71" s="459"/>
      <c r="QXM71" s="459"/>
      <c r="QXN71" s="459"/>
      <c r="QXO71" s="459"/>
      <c r="QXP71" s="459"/>
      <c r="QXQ71" s="459"/>
      <c r="QXR71" s="459"/>
      <c r="QXS71" s="459"/>
      <c r="QXT71" s="459"/>
      <c r="QXU71" s="459"/>
      <c r="QXV71" s="459"/>
      <c r="QXW71" s="459"/>
      <c r="QXX71" s="459"/>
      <c r="QXY71" s="459"/>
      <c r="QXZ71" s="459"/>
      <c r="QYA71" s="459"/>
      <c r="QYB71" s="459"/>
      <c r="QYC71" s="459"/>
      <c r="QYD71" s="459"/>
      <c r="QYE71" s="459"/>
      <c r="QYF71" s="459"/>
      <c r="QYG71" s="459"/>
      <c r="QYH71" s="459"/>
      <c r="QYI71" s="459"/>
      <c r="QYJ71" s="459"/>
      <c r="QYK71" s="459"/>
      <c r="QYL71" s="459"/>
      <c r="QYM71" s="459"/>
      <c r="QYN71" s="459"/>
      <c r="QYO71" s="459"/>
      <c r="QYP71" s="459"/>
      <c r="QYQ71" s="459"/>
      <c r="QYR71" s="459"/>
      <c r="QYS71" s="459"/>
      <c r="QYT71" s="459"/>
      <c r="QYU71" s="459"/>
      <c r="QYV71" s="459"/>
      <c r="QYW71" s="459"/>
      <c r="QYX71" s="459"/>
      <c r="QYY71" s="459"/>
      <c r="QYZ71" s="459"/>
      <c r="QZA71" s="459"/>
      <c r="QZB71" s="459"/>
      <c r="QZC71" s="459"/>
      <c r="QZD71" s="459"/>
      <c r="QZE71" s="459"/>
      <c r="QZF71" s="459"/>
      <c r="QZG71" s="459"/>
      <c r="QZH71" s="459"/>
      <c r="QZI71" s="459"/>
      <c r="QZJ71" s="459"/>
      <c r="QZK71" s="459"/>
      <c r="QZL71" s="459"/>
      <c r="QZM71" s="459"/>
      <c r="QZN71" s="459"/>
      <c r="QZO71" s="459"/>
      <c r="QZP71" s="459"/>
      <c r="QZQ71" s="459"/>
      <c r="QZR71" s="459"/>
      <c r="QZS71" s="459"/>
      <c r="QZT71" s="459"/>
      <c r="QZU71" s="459"/>
      <c r="QZV71" s="459"/>
      <c r="QZW71" s="459"/>
      <c r="QZX71" s="459"/>
      <c r="QZY71" s="459"/>
      <c r="QZZ71" s="459"/>
      <c r="RAA71" s="459"/>
      <c r="RAB71" s="459"/>
      <c r="RAC71" s="459"/>
      <c r="RAD71" s="459"/>
      <c r="RAE71" s="459"/>
      <c r="RAF71" s="459"/>
      <c r="RAG71" s="459"/>
      <c r="RAH71" s="459"/>
      <c r="RAI71" s="459"/>
      <c r="RAJ71" s="459"/>
      <c r="RAK71" s="459"/>
      <c r="RAL71" s="459"/>
      <c r="RAM71" s="459"/>
      <c r="RAN71" s="459"/>
      <c r="RAO71" s="459"/>
      <c r="RAP71" s="459"/>
      <c r="RAQ71" s="459"/>
      <c r="RAR71" s="459"/>
      <c r="RAS71" s="459"/>
      <c r="RAT71" s="459"/>
      <c r="RAU71" s="459"/>
      <c r="RAV71" s="459"/>
      <c r="RAW71" s="459"/>
      <c r="RAX71" s="459"/>
      <c r="RAY71" s="459"/>
      <c r="RAZ71" s="459"/>
      <c r="RBA71" s="459"/>
      <c r="RBB71" s="459"/>
      <c r="RBC71" s="459"/>
      <c r="RBD71" s="459"/>
      <c r="RBE71" s="459"/>
      <c r="RBF71" s="459"/>
      <c r="RBG71" s="459"/>
      <c r="RBH71" s="459"/>
      <c r="RBI71" s="459"/>
      <c r="RBJ71" s="459"/>
      <c r="RBK71" s="459"/>
      <c r="RBL71" s="459"/>
      <c r="RBM71" s="459"/>
      <c r="RBN71" s="459"/>
      <c r="RBO71" s="459"/>
      <c r="RBP71" s="459"/>
      <c r="RBQ71" s="459"/>
      <c r="RBR71" s="459"/>
      <c r="RBS71" s="459"/>
      <c r="RBT71" s="459"/>
      <c r="RBU71" s="459"/>
      <c r="RBV71" s="459"/>
      <c r="RBW71" s="459"/>
      <c r="RBX71" s="459"/>
      <c r="RBY71" s="459"/>
      <c r="RBZ71" s="459"/>
      <c r="RCA71" s="459"/>
      <c r="RCB71" s="459"/>
      <c r="RCC71" s="459"/>
      <c r="RCD71" s="459"/>
      <c r="RCE71" s="459"/>
      <c r="RCF71" s="459"/>
      <c r="RCG71" s="459"/>
      <c r="RCH71" s="459"/>
      <c r="RCI71" s="459"/>
      <c r="RCJ71" s="459"/>
      <c r="RCK71" s="459"/>
      <c r="RCL71" s="459"/>
      <c r="RCM71" s="459"/>
      <c r="RCN71" s="459"/>
      <c r="RCO71" s="459"/>
      <c r="RCP71" s="459"/>
      <c r="RCQ71" s="459"/>
      <c r="RCR71" s="459"/>
      <c r="RCS71" s="459"/>
      <c r="RCT71" s="459"/>
      <c r="RCU71" s="459"/>
      <c r="RCV71" s="459"/>
      <c r="RCW71" s="459"/>
      <c r="RCX71" s="459"/>
      <c r="RCY71" s="459"/>
      <c r="RCZ71" s="459"/>
      <c r="RDA71" s="459"/>
      <c r="RDB71" s="459"/>
      <c r="RDC71" s="459"/>
      <c r="RDD71" s="459"/>
      <c r="RDE71" s="459"/>
      <c r="RDF71" s="459"/>
      <c r="RDG71" s="459"/>
      <c r="RDH71" s="459"/>
      <c r="RDI71" s="459"/>
      <c r="RDJ71" s="459"/>
      <c r="RDK71" s="459"/>
      <c r="RDL71" s="459"/>
      <c r="RDM71" s="459"/>
      <c r="RDN71" s="459"/>
      <c r="RDO71" s="459"/>
      <c r="RDP71" s="459"/>
      <c r="RDQ71" s="459"/>
      <c r="RDR71" s="459"/>
      <c r="RDS71" s="459"/>
      <c r="RDT71" s="459"/>
      <c r="RDU71" s="459"/>
      <c r="RDV71" s="459"/>
      <c r="RDW71" s="459"/>
      <c r="RDX71" s="459"/>
      <c r="RDY71" s="459"/>
      <c r="RDZ71" s="459"/>
      <c r="REA71" s="459"/>
      <c r="REB71" s="459"/>
      <c r="REC71" s="459"/>
      <c r="RED71" s="459"/>
      <c r="REE71" s="459"/>
      <c r="REF71" s="459"/>
      <c r="REG71" s="459"/>
      <c r="REH71" s="459"/>
      <c r="REI71" s="459"/>
      <c r="REJ71" s="459"/>
      <c r="REK71" s="459"/>
      <c r="REL71" s="459"/>
      <c r="REM71" s="459"/>
      <c r="REN71" s="459"/>
      <c r="REO71" s="459"/>
      <c r="REP71" s="459"/>
      <c r="REQ71" s="459"/>
      <c r="RER71" s="459"/>
      <c r="RES71" s="459"/>
      <c r="RET71" s="459"/>
      <c r="REU71" s="459"/>
      <c r="REV71" s="459"/>
      <c r="REW71" s="459"/>
      <c r="REX71" s="459"/>
      <c r="REY71" s="459"/>
      <c r="REZ71" s="459"/>
      <c r="RFA71" s="459"/>
      <c r="RFB71" s="459"/>
      <c r="RFC71" s="459"/>
      <c r="RFD71" s="459"/>
      <c r="RFE71" s="459"/>
      <c r="RFF71" s="459"/>
      <c r="RFG71" s="459"/>
      <c r="RFH71" s="459"/>
      <c r="RFI71" s="459"/>
      <c r="RFJ71" s="459"/>
      <c r="RFK71" s="459"/>
      <c r="RFL71" s="459"/>
      <c r="RFM71" s="459"/>
      <c r="RFN71" s="459"/>
      <c r="RFO71" s="459"/>
      <c r="RFP71" s="459"/>
      <c r="RFQ71" s="459"/>
      <c r="RFR71" s="459"/>
      <c r="RFS71" s="459"/>
      <c r="RFT71" s="459"/>
      <c r="RFU71" s="459"/>
      <c r="RFV71" s="459"/>
      <c r="RFW71" s="459"/>
      <c r="RFX71" s="459"/>
      <c r="RFY71" s="459"/>
      <c r="RFZ71" s="459"/>
      <c r="RGA71" s="459"/>
      <c r="RGB71" s="459"/>
      <c r="RGC71" s="459"/>
      <c r="RGD71" s="459"/>
      <c r="RGE71" s="459"/>
      <c r="RGF71" s="459"/>
      <c r="RGG71" s="459"/>
      <c r="RGH71" s="459"/>
      <c r="RGI71" s="459"/>
      <c r="RGJ71" s="459"/>
      <c r="RGK71" s="459"/>
      <c r="RGL71" s="459"/>
      <c r="RGM71" s="459"/>
      <c r="RGN71" s="459"/>
      <c r="RGO71" s="459"/>
      <c r="RGP71" s="459"/>
      <c r="RGQ71" s="459"/>
      <c r="RGR71" s="459"/>
      <c r="RGS71" s="459"/>
      <c r="RGT71" s="459"/>
      <c r="RGU71" s="459"/>
      <c r="RGV71" s="459"/>
      <c r="RGW71" s="459"/>
      <c r="RGX71" s="459"/>
      <c r="RGY71" s="459"/>
      <c r="RGZ71" s="459"/>
      <c r="RHA71" s="459"/>
      <c r="RHB71" s="459"/>
      <c r="RHC71" s="459"/>
      <c r="RHD71" s="459"/>
      <c r="RHE71" s="459"/>
      <c r="RHF71" s="459"/>
      <c r="RHG71" s="459"/>
      <c r="RHH71" s="459"/>
      <c r="RHI71" s="459"/>
      <c r="RHJ71" s="459"/>
      <c r="RHK71" s="459"/>
      <c r="RHL71" s="459"/>
      <c r="RHM71" s="459"/>
      <c r="RHN71" s="459"/>
      <c r="RHO71" s="459"/>
      <c r="RHP71" s="459"/>
      <c r="RHQ71" s="459"/>
      <c r="RHR71" s="459"/>
      <c r="RHS71" s="459"/>
      <c r="RHT71" s="459"/>
      <c r="RHU71" s="459"/>
      <c r="RHV71" s="459"/>
      <c r="RHW71" s="459"/>
      <c r="RHX71" s="459"/>
      <c r="RHY71" s="459"/>
      <c r="RHZ71" s="459"/>
      <c r="RIA71" s="459"/>
      <c r="RIB71" s="459"/>
      <c r="RIC71" s="459"/>
      <c r="RID71" s="459"/>
      <c r="RIE71" s="459"/>
      <c r="RIF71" s="459"/>
      <c r="RIG71" s="459"/>
      <c r="RIH71" s="459"/>
      <c r="RII71" s="459"/>
      <c r="RIJ71" s="459"/>
      <c r="RIK71" s="459"/>
      <c r="RIL71" s="459"/>
      <c r="RIM71" s="459"/>
      <c r="RIN71" s="459"/>
      <c r="RIO71" s="459"/>
      <c r="RIP71" s="459"/>
      <c r="RIQ71" s="459"/>
      <c r="RIR71" s="459"/>
      <c r="RIS71" s="459"/>
      <c r="RIT71" s="459"/>
      <c r="RIU71" s="459"/>
      <c r="RIV71" s="459"/>
      <c r="RIW71" s="459"/>
      <c r="RIX71" s="459"/>
      <c r="RIY71" s="459"/>
      <c r="RIZ71" s="459"/>
      <c r="RJA71" s="459"/>
      <c r="RJB71" s="459"/>
      <c r="RJC71" s="459"/>
      <c r="RJD71" s="459"/>
      <c r="RJE71" s="459"/>
      <c r="RJF71" s="459"/>
      <c r="RJG71" s="459"/>
      <c r="RJH71" s="459"/>
      <c r="RJI71" s="459"/>
      <c r="RJJ71" s="459"/>
      <c r="RJK71" s="459"/>
      <c r="RJL71" s="459"/>
      <c r="RJM71" s="459"/>
      <c r="RJN71" s="459"/>
      <c r="RJO71" s="459"/>
      <c r="RJP71" s="459"/>
      <c r="RJQ71" s="459"/>
      <c r="RJR71" s="459"/>
      <c r="RJS71" s="459"/>
      <c r="RJT71" s="459"/>
      <c r="RJU71" s="459"/>
      <c r="RJV71" s="459"/>
      <c r="RJW71" s="459"/>
      <c r="RJX71" s="459"/>
      <c r="RJY71" s="459"/>
      <c r="RJZ71" s="459"/>
      <c r="RKA71" s="459"/>
      <c r="RKB71" s="459"/>
      <c r="RKC71" s="459"/>
      <c r="RKD71" s="459"/>
      <c r="RKE71" s="459"/>
      <c r="RKF71" s="459"/>
      <c r="RKG71" s="459"/>
      <c r="RKH71" s="459"/>
      <c r="RKI71" s="459"/>
      <c r="RKJ71" s="459"/>
      <c r="RKK71" s="459"/>
      <c r="RKL71" s="459"/>
      <c r="RKM71" s="459"/>
      <c r="RKN71" s="459"/>
      <c r="RKO71" s="459"/>
      <c r="RKP71" s="459"/>
      <c r="RKQ71" s="459"/>
      <c r="RKR71" s="459"/>
      <c r="RKS71" s="459"/>
      <c r="RKT71" s="459"/>
      <c r="RKU71" s="459"/>
      <c r="RKV71" s="459"/>
      <c r="RKW71" s="459"/>
      <c r="RKX71" s="459"/>
      <c r="RKY71" s="459"/>
      <c r="RKZ71" s="459"/>
      <c r="RLA71" s="459"/>
      <c r="RLB71" s="459"/>
      <c r="RLC71" s="459"/>
      <c r="RLD71" s="459"/>
      <c r="RLE71" s="459"/>
      <c r="RLF71" s="459"/>
      <c r="RLG71" s="459"/>
      <c r="RLH71" s="459"/>
      <c r="RLI71" s="459"/>
      <c r="RLJ71" s="459"/>
      <c r="RLK71" s="459"/>
      <c r="RLL71" s="459"/>
      <c r="RLM71" s="459"/>
      <c r="RLN71" s="459"/>
      <c r="RLO71" s="459"/>
      <c r="RLP71" s="459"/>
      <c r="RLQ71" s="459"/>
      <c r="RLR71" s="459"/>
      <c r="RLS71" s="459"/>
      <c r="RLT71" s="459"/>
      <c r="RLU71" s="459"/>
      <c r="RLV71" s="459"/>
      <c r="RLW71" s="459"/>
      <c r="RLX71" s="459"/>
      <c r="RLY71" s="459"/>
      <c r="RLZ71" s="459"/>
      <c r="RMA71" s="459"/>
      <c r="RMB71" s="459"/>
      <c r="RMC71" s="459"/>
      <c r="RMD71" s="459"/>
      <c r="RME71" s="459"/>
      <c r="RMF71" s="459"/>
      <c r="RMG71" s="459"/>
      <c r="RMH71" s="459"/>
      <c r="RMI71" s="459"/>
      <c r="RMJ71" s="459"/>
      <c r="RMK71" s="459"/>
      <c r="RML71" s="459"/>
      <c r="RMM71" s="459"/>
      <c r="RMN71" s="459"/>
      <c r="RMO71" s="459"/>
      <c r="RMP71" s="459"/>
      <c r="RMQ71" s="459"/>
      <c r="RMR71" s="459"/>
      <c r="RMS71" s="459"/>
      <c r="RMT71" s="459"/>
      <c r="RMU71" s="459"/>
      <c r="RMV71" s="459"/>
      <c r="RMW71" s="459"/>
      <c r="RMX71" s="459"/>
      <c r="RMY71" s="459"/>
      <c r="RMZ71" s="459"/>
      <c r="RNA71" s="459"/>
      <c r="RNB71" s="459"/>
      <c r="RNC71" s="459"/>
      <c r="RND71" s="459"/>
      <c r="RNE71" s="459"/>
      <c r="RNF71" s="459"/>
      <c r="RNG71" s="459"/>
      <c r="RNH71" s="459"/>
      <c r="RNI71" s="459"/>
      <c r="RNJ71" s="459"/>
      <c r="RNK71" s="459"/>
      <c r="RNL71" s="459"/>
      <c r="RNM71" s="459"/>
      <c r="RNN71" s="459"/>
      <c r="RNO71" s="459"/>
      <c r="RNP71" s="459"/>
      <c r="RNQ71" s="459"/>
      <c r="RNR71" s="459"/>
      <c r="RNS71" s="459"/>
      <c r="RNT71" s="459"/>
      <c r="RNU71" s="459"/>
      <c r="RNV71" s="459"/>
      <c r="RNW71" s="459"/>
      <c r="RNX71" s="459"/>
      <c r="RNY71" s="459"/>
      <c r="RNZ71" s="459"/>
      <c r="ROA71" s="459"/>
      <c r="ROB71" s="459"/>
      <c r="ROC71" s="459"/>
      <c r="ROD71" s="459"/>
      <c r="ROE71" s="459"/>
      <c r="ROF71" s="459"/>
      <c r="ROG71" s="459"/>
      <c r="ROH71" s="459"/>
      <c r="ROI71" s="459"/>
      <c r="ROJ71" s="459"/>
      <c r="ROK71" s="459"/>
      <c r="ROL71" s="459"/>
      <c r="ROM71" s="459"/>
      <c r="RON71" s="459"/>
      <c r="ROO71" s="459"/>
      <c r="ROP71" s="459"/>
      <c r="ROQ71" s="459"/>
      <c r="ROR71" s="459"/>
      <c r="ROS71" s="459"/>
      <c r="ROT71" s="459"/>
      <c r="ROU71" s="459"/>
      <c r="ROV71" s="459"/>
      <c r="ROW71" s="459"/>
      <c r="ROX71" s="459"/>
      <c r="ROY71" s="459"/>
      <c r="ROZ71" s="459"/>
      <c r="RPA71" s="459"/>
      <c r="RPB71" s="459"/>
      <c r="RPC71" s="459"/>
      <c r="RPD71" s="459"/>
      <c r="RPE71" s="459"/>
      <c r="RPF71" s="459"/>
      <c r="RPG71" s="459"/>
      <c r="RPH71" s="459"/>
      <c r="RPI71" s="459"/>
      <c r="RPJ71" s="459"/>
      <c r="RPK71" s="459"/>
      <c r="RPL71" s="459"/>
      <c r="RPM71" s="459"/>
      <c r="RPN71" s="459"/>
      <c r="RPO71" s="459"/>
      <c r="RPP71" s="459"/>
      <c r="RPQ71" s="459"/>
      <c r="RPR71" s="459"/>
      <c r="RPS71" s="459"/>
      <c r="RPT71" s="459"/>
      <c r="RPU71" s="459"/>
      <c r="RPV71" s="459"/>
      <c r="RPW71" s="459"/>
      <c r="RPX71" s="459"/>
      <c r="RPY71" s="459"/>
      <c r="RPZ71" s="459"/>
      <c r="RQA71" s="459"/>
      <c r="RQB71" s="459"/>
      <c r="RQC71" s="459"/>
      <c r="RQD71" s="459"/>
      <c r="RQE71" s="459"/>
      <c r="RQF71" s="459"/>
      <c r="RQG71" s="459"/>
      <c r="RQH71" s="459"/>
      <c r="RQI71" s="459"/>
      <c r="RQJ71" s="459"/>
      <c r="RQK71" s="459"/>
      <c r="RQL71" s="459"/>
      <c r="RQM71" s="459"/>
      <c r="RQN71" s="459"/>
      <c r="RQO71" s="459"/>
      <c r="RQP71" s="459"/>
      <c r="RQQ71" s="459"/>
      <c r="RQR71" s="459"/>
      <c r="RQS71" s="459"/>
      <c r="RQT71" s="459"/>
      <c r="RQU71" s="459"/>
      <c r="RQV71" s="459"/>
      <c r="RQW71" s="459"/>
      <c r="RQX71" s="459"/>
      <c r="RQY71" s="459"/>
      <c r="RQZ71" s="459"/>
      <c r="RRA71" s="459"/>
      <c r="RRB71" s="459"/>
      <c r="RRC71" s="459"/>
      <c r="RRD71" s="459"/>
      <c r="RRE71" s="459"/>
      <c r="RRF71" s="459"/>
      <c r="RRG71" s="459"/>
      <c r="RRH71" s="459"/>
      <c r="RRI71" s="459"/>
      <c r="RRJ71" s="459"/>
      <c r="RRK71" s="459"/>
      <c r="RRL71" s="459"/>
      <c r="RRM71" s="459"/>
      <c r="RRN71" s="459"/>
      <c r="RRO71" s="459"/>
      <c r="RRP71" s="459"/>
      <c r="RRQ71" s="459"/>
      <c r="RRR71" s="459"/>
      <c r="RRS71" s="459"/>
      <c r="RRT71" s="459"/>
      <c r="RRU71" s="459"/>
      <c r="RRV71" s="459"/>
      <c r="RRW71" s="459"/>
      <c r="RRX71" s="459"/>
      <c r="RRY71" s="459"/>
      <c r="RRZ71" s="459"/>
      <c r="RSA71" s="459"/>
      <c r="RSB71" s="459"/>
      <c r="RSC71" s="459"/>
      <c r="RSD71" s="459"/>
      <c r="RSE71" s="459"/>
      <c r="RSF71" s="459"/>
      <c r="RSG71" s="459"/>
      <c r="RSH71" s="459"/>
      <c r="RSI71" s="459"/>
      <c r="RSJ71" s="459"/>
      <c r="RSK71" s="459"/>
      <c r="RSL71" s="459"/>
      <c r="RSM71" s="459"/>
      <c r="RSN71" s="459"/>
      <c r="RSO71" s="459"/>
      <c r="RSP71" s="459"/>
      <c r="RSQ71" s="459"/>
      <c r="RSR71" s="459"/>
      <c r="RSS71" s="459"/>
      <c r="RST71" s="459"/>
      <c r="RSU71" s="459"/>
      <c r="RSV71" s="459"/>
      <c r="RSW71" s="459"/>
      <c r="RSX71" s="459"/>
      <c r="RSY71" s="459"/>
      <c r="RSZ71" s="459"/>
      <c r="RTA71" s="459"/>
      <c r="RTB71" s="459"/>
      <c r="RTC71" s="459"/>
      <c r="RTD71" s="459"/>
      <c r="RTE71" s="459"/>
      <c r="RTF71" s="459"/>
      <c r="RTG71" s="459"/>
      <c r="RTH71" s="459"/>
      <c r="RTI71" s="459"/>
      <c r="RTJ71" s="459"/>
      <c r="RTK71" s="459"/>
      <c r="RTL71" s="459"/>
      <c r="RTM71" s="459"/>
      <c r="RTN71" s="459"/>
      <c r="RTO71" s="459"/>
      <c r="RTP71" s="459"/>
      <c r="RTQ71" s="459"/>
      <c r="RTR71" s="459"/>
      <c r="RTS71" s="459"/>
      <c r="RTT71" s="459"/>
      <c r="RTU71" s="459"/>
      <c r="RTV71" s="459"/>
      <c r="RTW71" s="459"/>
      <c r="RTX71" s="459"/>
      <c r="RTY71" s="459"/>
      <c r="RTZ71" s="459"/>
      <c r="RUA71" s="459"/>
      <c r="RUB71" s="459"/>
      <c r="RUC71" s="459"/>
      <c r="RUD71" s="459"/>
      <c r="RUE71" s="459"/>
      <c r="RUF71" s="459"/>
      <c r="RUG71" s="459"/>
      <c r="RUH71" s="459"/>
      <c r="RUI71" s="459"/>
      <c r="RUJ71" s="459"/>
      <c r="RUK71" s="459"/>
      <c r="RUL71" s="459"/>
      <c r="RUM71" s="459"/>
      <c r="RUN71" s="459"/>
      <c r="RUO71" s="459"/>
      <c r="RUP71" s="459"/>
      <c r="RUQ71" s="459"/>
      <c r="RUR71" s="459"/>
      <c r="RUS71" s="459"/>
      <c r="RUT71" s="459"/>
      <c r="RUU71" s="459"/>
      <c r="RUV71" s="459"/>
      <c r="RUW71" s="459"/>
      <c r="RUX71" s="459"/>
      <c r="RUY71" s="459"/>
      <c r="RUZ71" s="459"/>
      <c r="RVA71" s="459"/>
      <c r="RVB71" s="459"/>
      <c r="RVC71" s="459"/>
      <c r="RVD71" s="459"/>
      <c r="RVE71" s="459"/>
      <c r="RVF71" s="459"/>
      <c r="RVG71" s="459"/>
      <c r="RVH71" s="459"/>
      <c r="RVI71" s="459"/>
      <c r="RVJ71" s="459"/>
      <c r="RVK71" s="459"/>
      <c r="RVL71" s="459"/>
      <c r="RVM71" s="459"/>
      <c r="RVN71" s="459"/>
      <c r="RVO71" s="459"/>
      <c r="RVP71" s="459"/>
      <c r="RVQ71" s="459"/>
      <c r="RVR71" s="459"/>
      <c r="RVS71" s="459"/>
      <c r="RVT71" s="459"/>
      <c r="RVU71" s="459"/>
      <c r="RVV71" s="459"/>
      <c r="RVW71" s="459"/>
      <c r="RVX71" s="459"/>
      <c r="RVY71" s="459"/>
      <c r="RVZ71" s="459"/>
      <c r="RWA71" s="459"/>
      <c r="RWB71" s="459"/>
      <c r="RWC71" s="459"/>
      <c r="RWD71" s="459"/>
      <c r="RWE71" s="459"/>
      <c r="RWF71" s="459"/>
      <c r="RWG71" s="459"/>
      <c r="RWH71" s="459"/>
      <c r="RWI71" s="459"/>
      <c r="RWJ71" s="459"/>
      <c r="RWK71" s="459"/>
      <c r="RWL71" s="459"/>
      <c r="RWM71" s="459"/>
      <c r="RWN71" s="459"/>
      <c r="RWO71" s="459"/>
      <c r="RWP71" s="459"/>
      <c r="RWQ71" s="459"/>
      <c r="RWR71" s="459"/>
      <c r="RWS71" s="459"/>
      <c r="RWT71" s="459"/>
      <c r="RWU71" s="459"/>
      <c r="RWV71" s="459"/>
      <c r="RWW71" s="459"/>
      <c r="RWX71" s="459"/>
      <c r="RWY71" s="459"/>
      <c r="RWZ71" s="459"/>
      <c r="RXA71" s="459"/>
      <c r="RXB71" s="459"/>
      <c r="RXC71" s="459"/>
      <c r="RXD71" s="459"/>
      <c r="RXE71" s="459"/>
      <c r="RXF71" s="459"/>
      <c r="RXG71" s="459"/>
      <c r="RXH71" s="459"/>
      <c r="RXI71" s="459"/>
      <c r="RXJ71" s="459"/>
      <c r="RXK71" s="459"/>
      <c r="RXL71" s="459"/>
      <c r="RXM71" s="459"/>
      <c r="RXN71" s="459"/>
      <c r="RXO71" s="459"/>
      <c r="RXP71" s="459"/>
      <c r="RXQ71" s="459"/>
      <c r="RXR71" s="459"/>
      <c r="RXS71" s="459"/>
      <c r="RXT71" s="459"/>
      <c r="RXU71" s="459"/>
      <c r="RXV71" s="459"/>
      <c r="RXW71" s="459"/>
      <c r="RXX71" s="459"/>
      <c r="RXY71" s="459"/>
      <c r="RXZ71" s="459"/>
      <c r="RYA71" s="459"/>
      <c r="RYB71" s="459"/>
      <c r="RYC71" s="459"/>
      <c r="RYD71" s="459"/>
      <c r="RYE71" s="459"/>
      <c r="RYF71" s="459"/>
      <c r="RYG71" s="459"/>
      <c r="RYH71" s="459"/>
      <c r="RYI71" s="459"/>
      <c r="RYJ71" s="459"/>
      <c r="RYK71" s="459"/>
      <c r="RYL71" s="459"/>
      <c r="RYM71" s="459"/>
      <c r="RYN71" s="459"/>
      <c r="RYO71" s="459"/>
      <c r="RYP71" s="459"/>
      <c r="RYQ71" s="459"/>
      <c r="RYR71" s="459"/>
      <c r="RYS71" s="459"/>
      <c r="RYT71" s="459"/>
      <c r="RYU71" s="459"/>
      <c r="RYV71" s="459"/>
      <c r="RYW71" s="459"/>
      <c r="RYX71" s="459"/>
      <c r="RYY71" s="459"/>
      <c r="RYZ71" s="459"/>
      <c r="RZA71" s="459"/>
      <c r="RZB71" s="459"/>
      <c r="RZC71" s="459"/>
      <c r="RZD71" s="459"/>
      <c r="RZE71" s="459"/>
      <c r="RZF71" s="459"/>
      <c r="RZG71" s="459"/>
      <c r="RZH71" s="459"/>
      <c r="RZI71" s="459"/>
      <c r="RZJ71" s="459"/>
      <c r="RZK71" s="459"/>
      <c r="RZL71" s="459"/>
      <c r="RZM71" s="459"/>
      <c r="RZN71" s="459"/>
      <c r="RZO71" s="459"/>
      <c r="RZP71" s="459"/>
      <c r="RZQ71" s="459"/>
      <c r="RZR71" s="459"/>
      <c r="RZS71" s="459"/>
      <c r="RZT71" s="459"/>
      <c r="RZU71" s="459"/>
      <c r="RZV71" s="459"/>
      <c r="RZW71" s="459"/>
      <c r="RZX71" s="459"/>
      <c r="RZY71" s="459"/>
      <c r="RZZ71" s="459"/>
      <c r="SAA71" s="459"/>
      <c r="SAB71" s="459"/>
      <c r="SAC71" s="459"/>
      <c r="SAD71" s="459"/>
      <c r="SAE71" s="459"/>
      <c r="SAF71" s="459"/>
      <c r="SAG71" s="459"/>
      <c r="SAH71" s="459"/>
      <c r="SAI71" s="459"/>
      <c r="SAJ71" s="459"/>
      <c r="SAK71" s="459"/>
      <c r="SAL71" s="459"/>
      <c r="SAM71" s="459"/>
      <c r="SAN71" s="459"/>
      <c r="SAO71" s="459"/>
      <c r="SAP71" s="459"/>
      <c r="SAQ71" s="459"/>
      <c r="SAR71" s="459"/>
      <c r="SAS71" s="459"/>
      <c r="SAT71" s="459"/>
      <c r="SAU71" s="459"/>
      <c r="SAV71" s="459"/>
      <c r="SAW71" s="459"/>
      <c r="SAX71" s="459"/>
      <c r="SAY71" s="459"/>
      <c r="SAZ71" s="459"/>
      <c r="SBA71" s="459"/>
      <c r="SBB71" s="459"/>
      <c r="SBC71" s="459"/>
      <c r="SBD71" s="459"/>
      <c r="SBE71" s="459"/>
      <c r="SBF71" s="459"/>
      <c r="SBG71" s="459"/>
      <c r="SBH71" s="459"/>
      <c r="SBI71" s="459"/>
      <c r="SBJ71" s="459"/>
      <c r="SBK71" s="459"/>
      <c r="SBL71" s="459"/>
      <c r="SBM71" s="459"/>
      <c r="SBN71" s="459"/>
      <c r="SBO71" s="459"/>
      <c r="SBP71" s="459"/>
      <c r="SBQ71" s="459"/>
      <c r="SBR71" s="459"/>
      <c r="SBS71" s="459"/>
      <c r="SBT71" s="459"/>
      <c r="SBU71" s="459"/>
      <c r="SBV71" s="459"/>
      <c r="SBW71" s="459"/>
      <c r="SBX71" s="459"/>
      <c r="SBY71" s="459"/>
      <c r="SBZ71" s="459"/>
      <c r="SCA71" s="459"/>
      <c r="SCB71" s="459"/>
      <c r="SCC71" s="459"/>
      <c r="SCD71" s="459"/>
      <c r="SCE71" s="459"/>
      <c r="SCF71" s="459"/>
      <c r="SCG71" s="459"/>
      <c r="SCH71" s="459"/>
      <c r="SCI71" s="459"/>
      <c r="SCJ71" s="459"/>
      <c r="SCK71" s="459"/>
      <c r="SCL71" s="459"/>
      <c r="SCM71" s="459"/>
      <c r="SCN71" s="459"/>
      <c r="SCO71" s="459"/>
      <c r="SCP71" s="459"/>
      <c r="SCQ71" s="459"/>
      <c r="SCR71" s="459"/>
      <c r="SCS71" s="459"/>
      <c r="SCT71" s="459"/>
      <c r="SCU71" s="459"/>
      <c r="SCV71" s="459"/>
      <c r="SCW71" s="459"/>
      <c r="SCX71" s="459"/>
      <c r="SCY71" s="459"/>
      <c r="SCZ71" s="459"/>
      <c r="SDA71" s="459"/>
      <c r="SDB71" s="459"/>
      <c r="SDC71" s="459"/>
      <c r="SDD71" s="459"/>
      <c r="SDE71" s="459"/>
      <c r="SDF71" s="459"/>
      <c r="SDG71" s="459"/>
      <c r="SDH71" s="459"/>
      <c r="SDI71" s="459"/>
      <c r="SDJ71" s="459"/>
      <c r="SDK71" s="459"/>
      <c r="SDL71" s="459"/>
      <c r="SDM71" s="459"/>
      <c r="SDN71" s="459"/>
      <c r="SDO71" s="459"/>
      <c r="SDP71" s="459"/>
      <c r="SDQ71" s="459"/>
      <c r="SDR71" s="459"/>
      <c r="SDS71" s="459"/>
      <c r="SDT71" s="459"/>
      <c r="SDU71" s="459"/>
      <c r="SDV71" s="459"/>
      <c r="SDW71" s="459"/>
      <c r="SDX71" s="459"/>
      <c r="SDY71" s="459"/>
      <c r="SDZ71" s="459"/>
      <c r="SEA71" s="459"/>
      <c r="SEB71" s="459"/>
      <c r="SEC71" s="459"/>
      <c r="SED71" s="459"/>
      <c r="SEE71" s="459"/>
      <c r="SEF71" s="459"/>
      <c r="SEG71" s="459"/>
      <c r="SEH71" s="459"/>
      <c r="SEI71" s="459"/>
      <c r="SEJ71" s="459"/>
      <c r="SEK71" s="459"/>
      <c r="SEL71" s="459"/>
      <c r="SEM71" s="459"/>
      <c r="SEN71" s="459"/>
      <c r="SEO71" s="459"/>
      <c r="SEP71" s="459"/>
      <c r="SEQ71" s="459"/>
      <c r="SER71" s="459"/>
      <c r="SES71" s="459"/>
      <c r="SET71" s="459"/>
      <c r="SEU71" s="459"/>
      <c r="SEV71" s="459"/>
      <c r="SEW71" s="459"/>
      <c r="SEX71" s="459"/>
      <c r="SEY71" s="459"/>
      <c r="SEZ71" s="459"/>
      <c r="SFA71" s="459"/>
      <c r="SFB71" s="459"/>
      <c r="SFC71" s="459"/>
      <c r="SFD71" s="459"/>
      <c r="SFE71" s="459"/>
      <c r="SFF71" s="459"/>
      <c r="SFG71" s="459"/>
      <c r="SFH71" s="459"/>
      <c r="SFI71" s="459"/>
      <c r="SFJ71" s="459"/>
      <c r="SFK71" s="459"/>
      <c r="SFL71" s="459"/>
      <c r="SFM71" s="459"/>
      <c r="SFN71" s="459"/>
      <c r="SFO71" s="459"/>
      <c r="SFP71" s="459"/>
      <c r="SFQ71" s="459"/>
      <c r="SFR71" s="459"/>
      <c r="SFS71" s="459"/>
      <c r="SFT71" s="459"/>
      <c r="SFU71" s="459"/>
      <c r="SFV71" s="459"/>
      <c r="SFW71" s="459"/>
      <c r="SFX71" s="459"/>
      <c r="SFY71" s="459"/>
      <c r="SFZ71" s="459"/>
      <c r="SGA71" s="459"/>
      <c r="SGB71" s="459"/>
      <c r="SGC71" s="459"/>
      <c r="SGD71" s="459"/>
      <c r="SGE71" s="459"/>
      <c r="SGF71" s="459"/>
      <c r="SGG71" s="459"/>
      <c r="SGH71" s="459"/>
      <c r="SGI71" s="459"/>
      <c r="SGJ71" s="459"/>
      <c r="SGK71" s="459"/>
      <c r="SGL71" s="459"/>
      <c r="SGM71" s="459"/>
      <c r="SGN71" s="459"/>
      <c r="SGO71" s="459"/>
      <c r="SGP71" s="459"/>
      <c r="SGQ71" s="459"/>
      <c r="SGR71" s="459"/>
      <c r="SGS71" s="459"/>
      <c r="SGT71" s="459"/>
      <c r="SGU71" s="459"/>
      <c r="SGV71" s="459"/>
      <c r="SGW71" s="459"/>
      <c r="SGX71" s="459"/>
      <c r="SGY71" s="459"/>
      <c r="SGZ71" s="459"/>
      <c r="SHA71" s="459"/>
      <c r="SHB71" s="459"/>
      <c r="SHC71" s="459"/>
      <c r="SHD71" s="459"/>
      <c r="SHE71" s="459"/>
      <c r="SHF71" s="459"/>
      <c r="SHG71" s="459"/>
      <c r="SHH71" s="459"/>
      <c r="SHI71" s="459"/>
      <c r="SHJ71" s="459"/>
      <c r="SHK71" s="459"/>
      <c r="SHL71" s="459"/>
      <c r="SHM71" s="459"/>
      <c r="SHN71" s="459"/>
      <c r="SHO71" s="459"/>
      <c r="SHP71" s="459"/>
      <c r="SHQ71" s="459"/>
      <c r="SHR71" s="459"/>
      <c r="SHS71" s="459"/>
      <c r="SHT71" s="459"/>
      <c r="SHU71" s="459"/>
      <c r="SHV71" s="459"/>
      <c r="SHW71" s="459"/>
      <c r="SHX71" s="459"/>
      <c r="SHY71" s="459"/>
      <c r="SHZ71" s="459"/>
      <c r="SIA71" s="459"/>
      <c r="SIB71" s="459"/>
      <c r="SIC71" s="459"/>
      <c r="SID71" s="459"/>
      <c r="SIE71" s="459"/>
      <c r="SIF71" s="459"/>
      <c r="SIG71" s="459"/>
      <c r="SIH71" s="459"/>
      <c r="SII71" s="459"/>
      <c r="SIJ71" s="459"/>
      <c r="SIK71" s="459"/>
      <c r="SIL71" s="459"/>
      <c r="SIM71" s="459"/>
      <c r="SIN71" s="459"/>
      <c r="SIO71" s="459"/>
      <c r="SIP71" s="459"/>
      <c r="SIQ71" s="459"/>
      <c r="SIR71" s="459"/>
      <c r="SIS71" s="459"/>
      <c r="SIT71" s="459"/>
      <c r="SIU71" s="459"/>
      <c r="SIV71" s="459"/>
      <c r="SIW71" s="459"/>
      <c r="SIX71" s="459"/>
      <c r="SIY71" s="459"/>
      <c r="SIZ71" s="459"/>
      <c r="SJA71" s="459"/>
      <c r="SJB71" s="459"/>
      <c r="SJC71" s="459"/>
      <c r="SJD71" s="459"/>
      <c r="SJE71" s="459"/>
      <c r="SJF71" s="459"/>
      <c r="SJG71" s="459"/>
      <c r="SJH71" s="459"/>
      <c r="SJI71" s="459"/>
      <c r="SJJ71" s="459"/>
      <c r="SJK71" s="459"/>
      <c r="SJL71" s="459"/>
      <c r="SJM71" s="459"/>
      <c r="SJN71" s="459"/>
      <c r="SJO71" s="459"/>
      <c r="SJP71" s="459"/>
      <c r="SJQ71" s="459"/>
      <c r="SJR71" s="459"/>
      <c r="SJS71" s="459"/>
      <c r="SJT71" s="459"/>
      <c r="SJU71" s="459"/>
      <c r="SJV71" s="459"/>
      <c r="SJW71" s="459"/>
      <c r="SJX71" s="459"/>
      <c r="SJY71" s="459"/>
      <c r="SJZ71" s="459"/>
      <c r="SKA71" s="459"/>
      <c r="SKB71" s="459"/>
      <c r="SKC71" s="459"/>
      <c r="SKD71" s="459"/>
      <c r="SKE71" s="459"/>
      <c r="SKF71" s="459"/>
      <c r="SKG71" s="459"/>
      <c r="SKH71" s="459"/>
      <c r="SKI71" s="459"/>
      <c r="SKJ71" s="459"/>
      <c r="SKK71" s="459"/>
      <c r="SKL71" s="459"/>
      <c r="SKM71" s="459"/>
      <c r="SKN71" s="459"/>
      <c r="SKO71" s="459"/>
      <c r="SKP71" s="459"/>
      <c r="SKQ71" s="459"/>
      <c r="SKR71" s="459"/>
      <c r="SKS71" s="459"/>
      <c r="SKT71" s="459"/>
      <c r="SKU71" s="459"/>
      <c r="SKV71" s="459"/>
      <c r="SKW71" s="459"/>
      <c r="SKX71" s="459"/>
      <c r="SKY71" s="459"/>
      <c r="SKZ71" s="459"/>
      <c r="SLA71" s="459"/>
      <c r="SLB71" s="459"/>
      <c r="SLC71" s="459"/>
      <c r="SLD71" s="459"/>
      <c r="SLE71" s="459"/>
      <c r="SLF71" s="459"/>
      <c r="SLG71" s="459"/>
      <c r="SLH71" s="459"/>
      <c r="SLI71" s="459"/>
      <c r="SLJ71" s="459"/>
      <c r="SLK71" s="459"/>
      <c r="SLL71" s="459"/>
      <c r="SLM71" s="459"/>
      <c r="SLN71" s="459"/>
      <c r="SLO71" s="459"/>
      <c r="SLP71" s="459"/>
      <c r="SLQ71" s="459"/>
      <c r="SLR71" s="459"/>
      <c r="SLS71" s="459"/>
      <c r="SLT71" s="459"/>
      <c r="SLU71" s="459"/>
      <c r="SLV71" s="459"/>
      <c r="SLW71" s="459"/>
      <c r="SLX71" s="459"/>
      <c r="SLY71" s="459"/>
      <c r="SLZ71" s="459"/>
      <c r="SMA71" s="459"/>
      <c r="SMB71" s="459"/>
      <c r="SMC71" s="459"/>
      <c r="SMD71" s="459"/>
      <c r="SME71" s="459"/>
      <c r="SMF71" s="459"/>
      <c r="SMG71" s="459"/>
      <c r="SMH71" s="459"/>
      <c r="SMI71" s="459"/>
      <c r="SMJ71" s="459"/>
      <c r="SMK71" s="459"/>
      <c r="SML71" s="459"/>
      <c r="SMM71" s="459"/>
      <c r="SMN71" s="459"/>
      <c r="SMO71" s="459"/>
      <c r="SMP71" s="459"/>
      <c r="SMQ71" s="459"/>
      <c r="SMR71" s="459"/>
      <c r="SMS71" s="459"/>
      <c r="SMT71" s="459"/>
      <c r="SMU71" s="459"/>
      <c r="SMV71" s="459"/>
      <c r="SMW71" s="459"/>
      <c r="SMX71" s="459"/>
      <c r="SMY71" s="459"/>
      <c r="SMZ71" s="459"/>
      <c r="SNA71" s="459"/>
      <c r="SNB71" s="459"/>
      <c r="SNC71" s="459"/>
      <c r="SND71" s="459"/>
      <c r="SNE71" s="459"/>
      <c r="SNF71" s="459"/>
      <c r="SNG71" s="459"/>
      <c r="SNH71" s="459"/>
      <c r="SNI71" s="459"/>
      <c r="SNJ71" s="459"/>
      <c r="SNK71" s="459"/>
      <c r="SNL71" s="459"/>
      <c r="SNM71" s="459"/>
      <c r="SNN71" s="459"/>
      <c r="SNO71" s="459"/>
      <c r="SNP71" s="459"/>
      <c r="SNQ71" s="459"/>
      <c r="SNR71" s="459"/>
      <c r="SNS71" s="459"/>
      <c r="SNT71" s="459"/>
      <c r="SNU71" s="459"/>
      <c r="SNV71" s="459"/>
      <c r="SNW71" s="459"/>
      <c r="SNX71" s="459"/>
      <c r="SNY71" s="459"/>
      <c r="SNZ71" s="459"/>
      <c r="SOA71" s="459"/>
      <c r="SOB71" s="459"/>
      <c r="SOC71" s="459"/>
      <c r="SOD71" s="459"/>
      <c r="SOE71" s="459"/>
      <c r="SOF71" s="459"/>
      <c r="SOG71" s="459"/>
      <c r="SOH71" s="459"/>
      <c r="SOI71" s="459"/>
      <c r="SOJ71" s="459"/>
      <c r="SOK71" s="459"/>
      <c r="SOL71" s="459"/>
      <c r="SOM71" s="459"/>
      <c r="SON71" s="459"/>
      <c r="SOO71" s="459"/>
      <c r="SOP71" s="459"/>
      <c r="SOQ71" s="459"/>
      <c r="SOR71" s="459"/>
      <c r="SOS71" s="459"/>
      <c r="SOT71" s="459"/>
      <c r="SOU71" s="459"/>
      <c r="SOV71" s="459"/>
      <c r="SOW71" s="459"/>
      <c r="SOX71" s="459"/>
      <c r="SOY71" s="459"/>
      <c r="SOZ71" s="459"/>
      <c r="SPA71" s="459"/>
      <c r="SPB71" s="459"/>
      <c r="SPC71" s="459"/>
      <c r="SPD71" s="459"/>
      <c r="SPE71" s="459"/>
      <c r="SPF71" s="459"/>
      <c r="SPG71" s="459"/>
      <c r="SPH71" s="459"/>
      <c r="SPI71" s="459"/>
      <c r="SPJ71" s="459"/>
      <c r="SPK71" s="459"/>
      <c r="SPL71" s="459"/>
      <c r="SPM71" s="459"/>
      <c r="SPN71" s="459"/>
      <c r="SPO71" s="459"/>
      <c r="SPP71" s="459"/>
      <c r="SPQ71" s="459"/>
      <c r="SPR71" s="459"/>
      <c r="SPS71" s="459"/>
      <c r="SPT71" s="459"/>
      <c r="SPU71" s="459"/>
      <c r="SPV71" s="459"/>
      <c r="SPW71" s="459"/>
      <c r="SPX71" s="459"/>
      <c r="SPY71" s="459"/>
      <c r="SPZ71" s="459"/>
      <c r="SQA71" s="459"/>
      <c r="SQB71" s="459"/>
      <c r="SQC71" s="459"/>
      <c r="SQD71" s="459"/>
      <c r="SQE71" s="459"/>
      <c r="SQF71" s="459"/>
      <c r="SQG71" s="459"/>
      <c r="SQH71" s="459"/>
      <c r="SQI71" s="459"/>
      <c r="SQJ71" s="459"/>
      <c r="SQK71" s="459"/>
      <c r="SQL71" s="459"/>
      <c r="SQM71" s="459"/>
      <c r="SQN71" s="459"/>
      <c r="SQO71" s="459"/>
      <c r="SQP71" s="459"/>
      <c r="SQQ71" s="459"/>
      <c r="SQR71" s="459"/>
      <c r="SQS71" s="459"/>
      <c r="SQT71" s="459"/>
      <c r="SQU71" s="459"/>
      <c r="SQV71" s="459"/>
      <c r="SQW71" s="459"/>
      <c r="SQX71" s="459"/>
      <c r="SQY71" s="459"/>
      <c r="SQZ71" s="459"/>
      <c r="SRA71" s="459"/>
      <c r="SRB71" s="459"/>
      <c r="SRC71" s="459"/>
      <c r="SRD71" s="459"/>
      <c r="SRE71" s="459"/>
      <c r="SRF71" s="459"/>
      <c r="SRG71" s="459"/>
      <c r="SRH71" s="459"/>
      <c r="SRI71" s="459"/>
      <c r="SRJ71" s="459"/>
      <c r="SRK71" s="459"/>
      <c r="SRL71" s="459"/>
      <c r="SRM71" s="459"/>
      <c r="SRN71" s="459"/>
      <c r="SRO71" s="459"/>
      <c r="SRP71" s="459"/>
      <c r="SRQ71" s="459"/>
      <c r="SRR71" s="459"/>
      <c r="SRS71" s="459"/>
      <c r="SRT71" s="459"/>
      <c r="SRU71" s="459"/>
      <c r="SRV71" s="459"/>
      <c r="SRW71" s="459"/>
      <c r="SRX71" s="459"/>
      <c r="SRY71" s="459"/>
      <c r="SRZ71" s="459"/>
      <c r="SSA71" s="459"/>
      <c r="SSB71" s="459"/>
      <c r="SSC71" s="459"/>
      <c r="SSD71" s="459"/>
      <c r="SSE71" s="459"/>
      <c r="SSF71" s="459"/>
      <c r="SSG71" s="459"/>
      <c r="SSH71" s="459"/>
      <c r="SSI71" s="459"/>
      <c r="SSJ71" s="459"/>
      <c r="SSK71" s="459"/>
      <c r="SSL71" s="459"/>
      <c r="SSM71" s="459"/>
      <c r="SSN71" s="459"/>
      <c r="SSO71" s="459"/>
      <c r="SSP71" s="459"/>
      <c r="SSQ71" s="459"/>
      <c r="SSR71" s="459"/>
      <c r="SSS71" s="459"/>
      <c r="SST71" s="459"/>
      <c r="SSU71" s="459"/>
      <c r="SSV71" s="459"/>
      <c r="SSW71" s="459"/>
      <c r="SSX71" s="459"/>
      <c r="SSY71" s="459"/>
      <c r="SSZ71" s="459"/>
      <c r="STA71" s="459"/>
      <c r="STB71" s="459"/>
      <c r="STC71" s="459"/>
      <c r="STD71" s="459"/>
      <c r="STE71" s="459"/>
      <c r="STF71" s="459"/>
      <c r="STG71" s="459"/>
      <c r="STH71" s="459"/>
      <c r="STI71" s="459"/>
      <c r="STJ71" s="459"/>
      <c r="STK71" s="459"/>
      <c r="STL71" s="459"/>
      <c r="STM71" s="459"/>
      <c r="STN71" s="459"/>
      <c r="STO71" s="459"/>
      <c r="STP71" s="459"/>
      <c r="STQ71" s="459"/>
      <c r="STR71" s="459"/>
      <c r="STS71" s="459"/>
      <c r="STT71" s="459"/>
      <c r="STU71" s="459"/>
      <c r="STV71" s="459"/>
      <c r="STW71" s="459"/>
      <c r="STX71" s="459"/>
      <c r="STY71" s="459"/>
      <c r="STZ71" s="459"/>
      <c r="SUA71" s="459"/>
      <c r="SUB71" s="459"/>
      <c r="SUC71" s="459"/>
      <c r="SUD71" s="459"/>
      <c r="SUE71" s="459"/>
      <c r="SUF71" s="459"/>
      <c r="SUG71" s="459"/>
      <c r="SUH71" s="459"/>
      <c r="SUI71" s="459"/>
      <c r="SUJ71" s="459"/>
      <c r="SUK71" s="459"/>
      <c r="SUL71" s="459"/>
      <c r="SUM71" s="459"/>
      <c r="SUN71" s="459"/>
      <c r="SUO71" s="459"/>
      <c r="SUP71" s="459"/>
      <c r="SUQ71" s="459"/>
      <c r="SUR71" s="459"/>
      <c r="SUS71" s="459"/>
      <c r="SUT71" s="459"/>
      <c r="SUU71" s="459"/>
      <c r="SUV71" s="459"/>
      <c r="SUW71" s="459"/>
      <c r="SUX71" s="459"/>
      <c r="SUY71" s="459"/>
      <c r="SUZ71" s="459"/>
      <c r="SVA71" s="459"/>
      <c r="SVB71" s="459"/>
      <c r="SVC71" s="459"/>
      <c r="SVD71" s="459"/>
      <c r="SVE71" s="459"/>
      <c r="SVF71" s="459"/>
      <c r="SVG71" s="459"/>
      <c r="SVH71" s="459"/>
      <c r="SVI71" s="459"/>
      <c r="SVJ71" s="459"/>
      <c r="SVK71" s="459"/>
      <c r="SVL71" s="459"/>
      <c r="SVM71" s="459"/>
      <c r="SVN71" s="459"/>
      <c r="SVO71" s="459"/>
      <c r="SVP71" s="459"/>
      <c r="SVQ71" s="459"/>
      <c r="SVR71" s="459"/>
      <c r="SVS71" s="459"/>
      <c r="SVT71" s="459"/>
      <c r="SVU71" s="459"/>
      <c r="SVV71" s="459"/>
      <c r="SVW71" s="459"/>
      <c r="SVX71" s="459"/>
      <c r="SVY71" s="459"/>
      <c r="SVZ71" s="459"/>
      <c r="SWA71" s="459"/>
      <c r="SWB71" s="459"/>
      <c r="SWC71" s="459"/>
      <c r="SWD71" s="459"/>
      <c r="SWE71" s="459"/>
      <c r="SWF71" s="459"/>
      <c r="SWG71" s="459"/>
      <c r="SWH71" s="459"/>
      <c r="SWI71" s="459"/>
      <c r="SWJ71" s="459"/>
      <c r="SWK71" s="459"/>
      <c r="SWL71" s="459"/>
      <c r="SWM71" s="459"/>
      <c r="SWN71" s="459"/>
      <c r="SWO71" s="459"/>
      <c r="SWP71" s="459"/>
      <c r="SWQ71" s="459"/>
      <c r="SWR71" s="459"/>
      <c r="SWS71" s="459"/>
      <c r="SWT71" s="459"/>
      <c r="SWU71" s="459"/>
      <c r="SWV71" s="459"/>
      <c r="SWW71" s="459"/>
      <c r="SWX71" s="459"/>
      <c r="SWY71" s="459"/>
      <c r="SWZ71" s="459"/>
      <c r="SXA71" s="459"/>
      <c r="SXB71" s="459"/>
      <c r="SXC71" s="459"/>
      <c r="SXD71" s="459"/>
      <c r="SXE71" s="459"/>
      <c r="SXF71" s="459"/>
      <c r="SXG71" s="459"/>
      <c r="SXH71" s="459"/>
      <c r="SXI71" s="459"/>
      <c r="SXJ71" s="459"/>
      <c r="SXK71" s="459"/>
      <c r="SXL71" s="459"/>
      <c r="SXM71" s="459"/>
      <c r="SXN71" s="459"/>
      <c r="SXO71" s="459"/>
      <c r="SXP71" s="459"/>
      <c r="SXQ71" s="459"/>
      <c r="SXR71" s="459"/>
      <c r="SXS71" s="459"/>
      <c r="SXT71" s="459"/>
      <c r="SXU71" s="459"/>
      <c r="SXV71" s="459"/>
      <c r="SXW71" s="459"/>
      <c r="SXX71" s="459"/>
      <c r="SXY71" s="459"/>
      <c r="SXZ71" s="459"/>
      <c r="SYA71" s="459"/>
      <c r="SYB71" s="459"/>
      <c r="SYC71" s="459"/>
      <c r="SYD71" s="459"/>
      <c r="SYE71" s="459"/>
      <c r="SYF71" s="459"/>
      <c r="SYG71" s="459"/>
      <c r="SYH71" s="459"/>
      <c r="SYI71" s="459"/>
      <c r="SYJ71" s="459"/>
      <c r="SYK71" s="459"/>
      <c r="SYL71" s="459"/>
      <c r="SYM71" s="459"/>
      <c r="SYN71" s="459"/>
      <c r="SYO71" s="459"/>
      <c r="SYP71" s="459"/>
      <c r="SYQ71" s="459"/>
      <c r="SYR71" s="459"/>
      <c r="SYS71" s="459"/>
      <c r="SYT71" s="459"/>
      <c r="SYU71" s="459"/>
      <c r="SYV71" s="459"/>
      <c r="SYW71" s="459"/>
      <c r="SYX71" s="459"/>
      <c r="SYY71" s="459"/>
      <c r="SYZ71" s="459"/>
      <c r="SZA71" s="459"/>
      <c r="SZB71" s="459"/>
      <c r="SZC71" s="459"/>
      <c r="SZD71" s="459"/>
      <c r="SZE71" s="459"/>
      <c r="SZF71" s="459"/>
      <c r="SZG71" s="459"/>
      <c r="SZH71" s="459"/>
      <c r="SZI71" s="459"/>
      <c r="SZJ71" s="459"/>
      <c r="SZK71" s="459"/>
      <c r="SZL71" s="459"/>
      <c r="SZM71" s="459"/>
      <c r="SZN71" s="459"/>
      <c r="SZO71" s="459"/>
      <c r="SZP71" s="459"/>
      <c r="SZQ71" s="459"/>
      <c r="SZR71" s="459"/>
      <c r="SZS71" s="459"/>
      <c r="SZT71" s="459"/>
      <c r="SZU71" s="459"/>
      <c r="SZV71" s="459"/>
      <c r="SZW71" s="459"/>
      <c r="SZX71" s="459"/>
      <c r="SZY71" s="459"/>
      <c r="SZZ71" s="459"/>
      <c r="TAA71" s="459"/>
      <c r="TAB71" s="459"/>
      <c r="TAC71" s="459"/>
      <c r="TAD71" s="459"/>
      <c r="TAE71" s="459"/>
      <c r="TAF71" s="459"/>
      <c r="TAG71" s="459"/>
      <c r="TAH71" s="459"/>
      <c r="TAI71" s="459"/>
      <c r="TAJ71" s="459"/>
      <c r="TAK71" s="459"/>
      <c r="TAL71" s="459"/>
      <c r="TAM71" s="459"/>
      <c r="TAN71" s="459"/>
      <c r="TAO71" s="459"/>
      <c r="TAP71" s="459"/>
      <c r="TAQ71" s="459"/>
      <c r="TAR71" s="459"/>
      <c r="TAS71" s="459"/>
      <c r="TAT71" s="459"/>
      <c r="TAU71" s="459"/>
      <c r="TAV71" s="459"/>
      <c r="TAW71" s="459"/>
      <c r="TAX71" s="459"/>
      <c r="TAY71" s="459"/>
      <c r="TAZ71" s="459"/>
      <c r="TBA71" s="459"/>
      <c r="TBB71" s="459"/>
      <c r="TBC71" s="459"/>
      <c r="TBD71" s="459"/>
      <c r="TBE71" s="459"/>
      <c r="TBF71" s="459"/>
      <c r="TBG71" s="459"/>
      <c r="TBH71" s="459"/>
      <c r="TBI71" s="459"/>
      <c r="TBJ71" s="459"/>
      <c r="TBK71" s="459"/>
      <c r="TBL71" s="459"/>
      <c r="TBM71" s="459"/>
      <c r="TBN71" s="459"/>
      <c r="TBO71" s="459"/>
      <c r="TBP71" s="459"/>
      <c r="TBQ71" s="459"/>
      <c r="TBR71" s="459"/>
      <c r="TBS71" s="459"/>
      <c r="TBT71" s="459"/>
      <c r="TBU71" s="459"/>
      <c r="TBV71" s="459"/>
      <c r="TBW71" s="459"/>
      <c r="TBX71" s="459"/>
      <c r="TBY71" s="459"/>
      <c r="TBZ71" s="459"/>
      <c r="TCA71" s="459"/>
      <c r="TCB71" s="459"/>
      <c r="TCC71" s="459"/>
      <c r="TCD71" s="459"/>
      <c r="TCE71" s="459"/>
      <c r="TCF71" s="459"/>
      <c r="TCG71" s="459"/>
      <c r="TCH71" s="459"/>
      <c r="TCI71" s="459"/>
      <c r="TCJ71" s="459"/>
      <c r="TCK71" s="459"/>
      <c r="TCL71" s="459"/>
      <c r="TCM71" s="459"/>
      <c r="TCN71" s="459"/>
      <c r="TCO71" s="459"/>
      <c r="TCP71" s="459"/>
      <c r="TCQ71" s="459"/>
      <c r="TCR71" s="459"/>
      <c r="TCS71" s="459"/>
      <c r="TCT71" s="459"/>
      <c r="TCU71" s="459"/>
      <c r="TCV71" s="459"/>
      <c r="TCW71" s="459"/>
      <c r="TCX71" s="459"/>
      <c r="TCY71" s="459"/>
      <c r="TCZ71" s="459"/>
      <c r="TDA71" s="459"/>
      <c r="TDB71" s="459"/>
      <c r="TDC71" s="459"/>
      <c r="TDD71" s="459"/>
      <c r="TDE71" s="459"/>
      <c r="TDF71" s="459"/>
      <c r="TDG71" s="459"/>
      <c r="TDH71" s="459"/>
      <c r="TDI71" s="459"/>
      <c r="TDJ71" s="459"/>
      <c r="TDK71" s="459"/>
      <c r="TDL71" s="459"/>
      <c r="TDM71" s="459"/>
      <c r="TDN71" s="459"/>
      <c r="TDO71" s="459"/>
      <c r="TDP71" s="459"/>
      <c r="TDQ71" s="459"/>
      <c r="TDR71" s="459"/>
      <c r="TDS71" s="459"/>
      <c r="TDT71" s="459"/>
      <c r="TDU71" s="459"/>
      <c r="TDV71" s="459"/>
      <c r="TDW71" s="459"/>
      <c r="TDX71" s="459"/>
      <c r="TDY71" s="459"/>
      <c r="TDZ71" s="459"/>
      <c r="TEA71" s="459"/>
      <c r="TEB71" s="459"/>
      <c r="TEC71" s="459"/>
      <c r="TED71" s="459"/>
      <c r="TEE71" s="459"/>
      <c r="TEF71" s="459"/>
      <c r="TEG71" s="459"/>
      <c r="TEH71" s="459"/>
      <c r="TEI71" s="459"/>
      <c r="TEJ71" s="459"/>
      <c r="TEK71" s="459"/>
      <c r="TEL71" s="459"/>
      <c r="TEM71" s="459"/>
      <c r="TEN71" s="459"/>
      <c r="TEO71" s="459"/>
      <c r="TEP71" s="459"/>
      <c r="TEQ71" s="459"/>
      <c r="TER71" s="459"/>
      <c r="TES71" s="459"/>
      <c r="TET71" s="459"/>
      <c r="TEU71" s="459"/>
      <c r="TEV71" s="459"/>
      <c r="TEW71" s="459"/>
      <c r="TEX71" s="459"/>
      <c r="TEY71" s="459"/>
      <c r="TEZ71" s="459"/>
      <c r="TFA71" s="459"/>
      <c r="TFB71" s="459"/>
      <c r="TFC71" s="459"/>
      <c r="TFD71" s="459"/>
      <c r="TFE71" s="459"/>
      <c r="TFF71" s="459"/>
      <c r="TFG71" s="459"/>
      <c r="TFH71" s="459"/>
      <c r="TFI71" s="459"/>
      <c r="TFJ71" s="459"/>
      <c r="TFK71" s="459"/>
      <c r="TFL71" s="459"/>
      <c r="TFM71" s="459"/>
      <c r="TFN71" s="459"/>
      <c r="TFO71" s="459"/>
      <c r="TFP71" s="459"/>
      <c r="TFQ71" s="459"/>
      <c r="TFR71" s="459"/>
      <c r="TFS71" s="459"/>
      <c r="TFT71" s="459"/>
      <c r="TFU71" s="459"/>
      <c r="TFV71" s="459"/>
      <c r="TFW71" s="459"/>
      <c r="TFX71" s="459"/>
      <c r="TFY71" s="459"/>
      <c r="TFZ71" s="459"/>
      <c r="TGA71" s="459"/>
      <c r="TGB71" s="459"/>
      <c r="TGC71" s="459"/>
      <c r="TGD71" s="459"/>
      <c r="TGE71" s="459"/>
      <c r="TGF71" s="459"/>
      <c r="TGG71" s="459"/>
      <c r="TGH71" s="459"/>
      <c r="TGI71" s="459"/>
      <c r="TGJ71" s="459"/>
      <c r="TGK71" s="459"/>
      <c r="TGL71" s="459"/>
      <c r="TGM71" s="459"/>
      <c r="TGN71" s="459"/>
      <c r="TGO71" s="459"/>
      <c r="TGP71" s="459"/>
      <c r="TGQ71" s="459"/>
      <c r="TGR71" s="459"/>
      <c r="TGS71" s="459"/>
      <c r="TGT71" s="459"/>
      <c r="TGU71" s="459"/>
      <c r="TGV71" s="459"/>
      <c r="TGW71" s="459"/>
      <c r="TGX71" s="459"/>
      <c r="TGY71" s="459"/>
      <c r="TGZ71" s="459"/>
      <c r="THA71" s="459"/>
      <c r="THB71" s="459"/>
      <c r="THC71" s="459"/>
      <c r="THD71" s="459"/>
      <c r="THE71" s="459"/>
      <c r="THF71" s="459"/>
      <c r="THG71" s="459"/>
      <c r="THH71" s="459"/>
      <c r="THI71" s="459"/>
      <c r="THJ71" s="459"/>
      <c r="THK71" s="459"/>
      <c r="THL71" s="459"/>
      <c r="THM71" s="459"/>
      <c r="THN71" s="459"/>
      <c r="THO71" s="459"/>
      <c r="THP71" s="459"/>
      <c r="THQ71" s="459"/>
      <c r="THR71" s="459"/>
      <c r="THS71" s="459"/>
      <c r="THT71" s="459"/>
      <c r="THU71" s="459"/>
      <c r="THV71" s="459"/>
      <c r="THW71" s="459"/>
      <c r="THX71" s="459"/>
      <c r="THY71" s="459"/>
      <c r="THZ71" s="459"/>
      <c r="TIA71" s="459"/>
      <c r="TIB71" s="459"/>
      <c r="TIC71" s="459"/>
      <c r="TID71" s="459"/>
      <c r="TIE71" s="459"/>
      <c r="TIF71" s="459"/>
      <c r="TIG71" s="459"/>
      <c r="TIH71" s="459"/>
      <c r="TII71" s="459"/>
      <c r="TIJ71" s="459"/>
      <c r="TIK71" s="459"/>
      <c r="TIL71" s="459"/>
      <c r="TIM71" s="459"/>
      <c r="TIN71" s="459"/>
      <c r="TIO71" s="459"/>
      <c r="TIP71" s="459"/>
      <c r="TIQ71" s="459"/>
      <c r="TIR71" s="459"/>
      <c r="TIS71" s="459"/>
      <c r="TIT71" s="459"/>
      <c r="TIU71" s="459"/>
      <c r="TIV71" s="459"/>
      <c r="TIW71" s="459"/>
      <c r="TIX71" s="459"/>
      <c r="TIY71" s="459"/>
      <c r="TIZ71" s="459"/>
      <c r="TJA71" s="459"/>
      <c r="TJB71" s="459"/>
      <c r="TJC71" s="459"/>
      <c r="TJD71" s="459"/>
      <c r="TJE71" s="459"/>
      <c r="TJF71" s="459"/>
      <c r="TJG71" s="459"/>
      <c r="TJH71" s="459"/>
      <c r="TJI71" s="459"/>
      <c r="TJJ71" s="459"/>
      <c r="TJK71" s="459"/>
      <c r="TJL71" s="459"/>
      <c r="TJM71" s="459"/>
      <c r="TJN71" s="459"/>
      <c r="TJO71" s="459"/>
      <c r="TJP71" s="459"/>
      <c r="TJQ71" s="459"/>
      <c r="TJR71" s="459"/>
      <c r="TJS71" s="459"/>
      <c r="TJT71" s="459"/>
      <c r="TJU71" s="459"/>
      <c r="TJV71" s="459"/>
      <c r="TJW71" s="459"/>
      <c r="TJX71" s="459"/>
      <c r="TJY71" s="459"/>
      <c r="TJZ71" s="459"/>
      <c r="TKA71" s="459"/>
      <c r="TKB71" s="459"/>
      <c r="TKC71" s="459"/>
      <c r="TKD71" s="459"/>
      <c r="TKE71" s="459"/>
      <c r="TKF71" s="459"/>
      <c r="TKG71" s="459"/>
      <c r="TKH71" s="459"/>
      <c r="TKI71" s="459"/>
      <c r="TKJ71" s="459"/>
      <c r="TKK71" s="459"/>
      <c r="TKL71" s="459"/>
      <c r="TKM71" s="459"/>
      <c r="TKN71" s="459"/>
      <c r="TKO71" s="459"/>
      <c r="TKP71" s="459"/>
      <c r="TKQ71" s="459"/>
      <c r="TKR71" s="459"/>
      <c r="TKS71" s="459"/>
      <c r="TKT71" s="459"/>
      <c r="TKU71" s="459"/>
      <c r="TKV71" s="459"/>
      <c r="TKW71" s="459"/>
      <c r="TKX71" s="459"/>
      <c r="TKY71" s="459"/>
      <c r="TKZ71" s="459"/>
      <c r="TLA71" s="459"/>
      <c r="TLB71" s="459"/>
      <c r="TLC71" s="459"/>
      <c r="TLD71" s="459"/>
      <c r="TLE71" s="459"/>
      <c r="TLF71" s="459"/>
      <c r="TLG71" s="459"/>
      <c r="TLH71" s="459"/>
      <c r="TLI71" s="459"/>
      <c r="TLJ71" s="459"/>
      <c r="TLK71" s="459"/>
      <c r="TLL71" s="459"/>
      <c r="TLM71" s="459"/>
      <c r="TLN71" s="459"/>
      <c r="TLO71" s="459"/>
      <c r="TLP71" s="459"/>
      <c r="TLQ71" s="459"/>
      <c r="TLR71" s="459"/>
      <c r="TLS71" s="459"/>
      <c r="TLT71" s="459"/>
      <c r="TLU71" s="459"/>
      <c r="TLV71" s="459"/>
      <c r="TLW71" s="459"/>
      <c r="TLX71" s="459"/>
      <c r="TLY71" s="459"/>
      <c r="TLZ71" s="459"/>
      <c r="TMA71" s="459"/>
      <c r="TMB71" s="459"/>
      <c r="TMC71" s="459"/>
      <c r="TMD71" s="459"/>
      <c r="TME71" s="459"/>
      <c r="TMF71" s="459"/>
      <c r="TMG71" s="459"/>
      <c r="TMH71" s="459"/>
      <c r="TMI71" s="459"/>
      <c r="TMJ71" s="459"/>
      <c r="TMK71" s="459"/>
      <c r="TML71" s="459"/>
      <c r="TMM71" s="459"/>
      <c r="TMN71" s="459"/>
      <c r="TMO71" s="459"/>
      <c r="TMP71" s="459"/>
      <c r="TMQ71" s="459"/>
      <c r="TMR71" s="459"/>
      <c r="TMS71" s="459"/>
      <c r="TMT71" s="459"/>
      <c r="TMU71" s="459"/>
      <c r="TMV71" s="459"/>
      <c r="TMW71" s="459"/>
      <c r="TMX71" s="459"/>
      <c r="TMY71" s="459"/>
      <c r="TMZ71" s="459"/>
      <c r="TNA71" s="459"/>
      <c r="TNB71" s="459"/>
      <c r="TNC71" s="459"/>
      <c r="TND71" s="459"/>
      <c r="TNE71" s="459"/>
      <c r="TNF71" s="459"/>
      <c r="TNG71" s="459"/>
      <c r="TNH71" s="459"/>
      <c r="TNI71" s="459"/>
      <c r="TNJ71" s="459"/>
      <c r="TNK71" s="459"/>
      <c r="TNL71" s="459"/>
      <c r="TNM71" s="459"/>
      <c r="TNN71" s="459"/>
      <c r="TNO71" s="459"/>
      <c r="TNP71" s="459"/>
      <c r="TNQ71" s="459"/>
      <c r="TNR71" s="459"/>
      <c r="TNS71" s="459"/>
      <c r="TNT71" s="459"/>
      <c r="TNU71" s="459"/>
      <c r="TNV71" s="459"/>
      <c r="TNW71" s="459"/>
      <c r="TNX71" s="459"/>
      <c r="TNY71" s="459"/>
      <c r="TNZ71" s="459"/>
      <c r="TOA71" s="459"/>
      <c r="TOB71" s="459"/>
      <c r="TOC71" s="459"/>
      <c r="TOD71" s="459"/>
      <c r="TOE71" s="459"/>
      <c r="TOF71" s="459"/>
      <c r="TOG71" s="459"/>
      <c r="TOH71" s="459"/>
      <c r="TOI71" s="459"/>
      <c r="TOJ71" s="459"/>
      <c r="TOK71" s="459"/>
      <c r="TOL71" s="459"/>
      <c r="TOM71" s="459"/>
      <c r="TON71" s="459"/>
      <c r="TOO71" s="459"/>
      <c r="TOP71" s="459"/>
      <c r="TOQ71" s="459"/>
      <c r="TOR71" s="459"/>
      <c r="TOS71" s="459"/>
      <c r="TOT71" s="459"/>
      <c r="TOU71" s="459"/>
      <c r="TOV71" s="459"/>
      <c r="TOW71" s="459"/>
      <c r="TOX71" s="459"/>
      <c r="TOY71" s="459"/>
      <c r="TOZ71" s="459"/>
      <c r="TPA71" s="459"/>
      <c r="TPB71" s="459"/>
      <c r="TPC71" s="459"/>
      <c r="TPD71" s="459"/>
      <c r="TPE71" s="459"/>
      <c r="TPF71" s="459"/>
      <c r="TPG71" s="459"/>
      <c r="TPH71" s="459"/>
      <c r="TPI71" s="459"/>
      <c r="TPJ71" s="459"/>
      <c r="TPK71" s="459"/>
      <c r="TPL71" s="459"/>
      <c r="TPM71" s="459"/>
      <c r="TPN71" s="459"/>
      <c r="TPO71" s="459"/>
      <c r="TPP71" s="459"/>
      <c r="TPQ71" s="459"/>
      <c r="TPR71" s="459"/>
      <c r="TPS71" s="459"/>
      <c r="TPT71" s="459"/>
      <c r="TPU71" s="459"/>
      <c r="TPV71" s="459"/>
      <c r="TPW71" s="459"/>
      <c r="TPX71" s="459"/>
      <c r="TPY71" s="459"/>
      <c r="TPZ71" s="459"/>
      <c r="TQA71" s="459"/>
      <c r="TQB71" s="459"/>
      <c r="TQC71" s="459"/>
      <c r="TQD71" s="459"/>
      <c r="TQE71" s="459"/>
      <c r="TQF71" s="459"/>
      <c r="TQG71" s="459"/>
      <c r="TQH71" s="459"/>
      <c r="TQI71" s="459"/>
      <c r="TQJ71" s="459"/>
      <c r="TQK71" s="459"/>
      <c r="TQL71" s="459"/>
      <c r="TQM71" s="459"/>
      <c r="TQN71" s="459"/>
      <c r="TQO71" s="459"/>
      <c r="TQP71" s="459"/>
      <c r="TQQ71" s="459"/>
      <c r="TQR71" s="459"/>
      <c r="TQS71" s="459"/>
      <c r="TQT71" s="459"/>
      <c r="TQU71" s="459"/>
      <c r="TQV71" s="459"/>
      <c r="TQW71" s="459"/>
      <c r="TQX71" s="459"/>
      <c r="TQY71" s="459"/>
      <c r="TQZ71" s="459"/>
      <c r="TRA71" s="459"/>
      <c r="TRB71" s="459"/>
      <c r="TRC71" s="459"/>
      <c r="TRD71" s="459"/>
      <c r="TRE71" s="459"/>
      <c r="TRF71" s="459"/>
      <c r="TRG71" s="459"/>
      <c r="TRH71" s="459"/>
      <c r="TRI71" s="459"/>
      <c r="TRJ71" s="459"/>
      <c r="TRK71" s="459"/>
      <c r="TRL71" s="459"/>
      <c r="TRM71" s="459"/>
      <c r="TRN71" s="459"/>
      <c r="TRO71" s="459"/>
      <c r="TRP71" s="459"/>
      <c r="TRQ71" s="459"/>
      <c r="TRR71" s="459"/>
      <c r="TRS71" s="459"/>
      <c r="TRT71" s="459"/>
      <c r="TRU71" s="459"/>
      <c r="TRV71" s="459"/>
      <c r="TRW71" s="459"/>
      <c r="TRX71" s="459"/>
      <c r="TRY71" s="459"/>
      <c r="TRZ71" s="459"/>
      <c r="TSA71" s="459"/>
      <c r="TSB71" s="459"/>
      <c r="TSC71" s="459"/>
      <c r="TSD71" s="459"/>
      <c r="TSE71" s="459"/>
      <c r="TSF71" s="459"/>
      <c r="TSG71" s="459"/>
      <c r="TSH71" s="459"/>
      <c r="TSI71" s="459"/>
      <c r="TSJ71" s="459"/>
      <c r="TSK71" s="459"/>
      <c r="TSL71" s="459"/>
      <c r="TSM71" s="459"/>
      <c r="TSN71" s="459"/>
      <c r="TSO71" s="459"/>
      <c r="TSP71" s="459"/>
      <c r="TSQ71" s="459"/>
      <c r="TSR71" s="459"/>
      <c r="TSS71" s="459"/>
      <c r="TST71" s="459"/>
      <c r="TSU71" s="459"/>
      <c r="TSV71" s="459"/>
      <c r="TSW71" s="459"/>
      <c r="TSX71" s="459"/>
      <c r="TSY71" s="459"/>
      <c r="TSZ71" s="459"/>
      <c r="TTA71" s="459"/>
      <c r="TTB71" s="459"/>
      <c r="TTC71" s="459"/>
      <c r="TTD71" s="459"/>
      <c r="TTE71" s="459"/>
      <c r="TTF71" s="459"/>
      <c r="TTG71" s="459"/>
      <c r="TTH71" s="459"/>
      <c r="TTI71" s="459"/>
      <c r="TTJ71" s="459"/>
      <c r="TTK71" s="459"/>
      <c r="TTL71" s="459"/>
      <c r="TTM71" s="459"/>
      <c r="TTN71" s="459"/>
      <c r="TTO71" s="459"/>
      <c r="TTP71" s="459"/>
      <c r="TTQ71" s="459"/>
      <c r="TTR71" s="459"/>
      <c r="TTS71" s="459"/>
      <c r="TTT71" s="459"/>
      <c r="TTU71" s="459"/>
      <c r="TTV71" s="459"/>
      <c r="TTW71" s="459"/>
      <c r="TTX71" s="459"/>
      <c r="TTY71" s="459"/>
      <c r="TTZ71" s="459"/>
      <c r="TUA71" s="459"/>
      <c r="TUB71" s="459"/>
      <c r="TUC71" s="459"/>
      <c r="TUD71" s="459"/>
      <c r="TUE71" s="459"/>
      <c r="TUF71" s="459"/>
      <c r="TUG71" s="459"/>
      <c r="TUH71" s="459"/>
      <c r="TUI71" s="459"/>
      <c r="TUJ71" s="459"/>
      <c r="TUK71" s="459"/>
      <c r="TUL71" s="459"/>
      <c r="TUM71" s="459"/>
      <c r="TUN71" s="459"/>
      <c r="TUO71" s="459"/>
      <c r="TUP71" s="459"/>
      <c r="TUQ71" s="459"/>
      <c r="TUR71" s="459"/>
      <c r="TUS71" s="459"/>
      <c r="TUT71" s="459"/>
      <c r="TUU71" s="459"/>
      <c r="TUV71" s="459"/>
      <c r="TUW71" s="459"/>
      <c r="TUX71" s="459"/>
      <c r="TUY71" s="459"/>
      <c r="TUZ71" s="459"/>
      <c r="TVA71" s="459"/>
      <c r="TVB71" s="459"/>
      <c r="TVC71" s="459"/>
      <c r="TVD71" s="459"/>
      <c r="TVE71" s="459"/>
      <c r="TVF71" s="459"/>
      <c r="TVG71" s="459"/>
      <c r="TVH71" s="459"/>
      <c r="TVI71" s="459"/>
      <c r="TVJ71" s="459"/>
      <c r="TVK71" s="459"/>
      <c r="TVL71" s="459"/>
      <c r="TVM71" s="459"/>
      <c r="TVN71" s="459"/>
      <c r="TVO71" s="459"/>
      <c r="TVP71" s="459"/>
      <c r="TVQ71" s="459"/>
      <c r="TVR71" s="459"/>
      <c r="TVS71" s="459"/>
      <c r="TVT71" s="459"/>
      <c r="TVU71" s="459"/>
      <c r="TVV71" s="459"/>
      <c r="TVW71" s="459"/>
      <c r="TVX71" s="459"/>
      <c r="TVY71" s="459"/>
      <c r="TVZ71" s="459"/>
      <c r="TWA71" s="459"/>
      <c r="TWB71" s="459"/>
      <c r="TWC71" s="459"/>
      <c r="TWD71" s="459"/>
      <c r="TWE71" s="459"/>
      <c r="TWF71" s="459"/>
      <c r="TWG71" s="459"/>
      <c r="TWH71" s="459"/>
      <c r="TWI71" s="459"/>
      <c r="TWJ71" s="459"/>
      <c r="TWK71" s="459"/>
      <c r="TWL71" s="459"/>
      <c r="TWM71" s="459"/>
      <c r="TWN71" s="459"/>
      <c r="TWO71" s="459"/>
      <c r="TWP71" s="459"/>
      <c r="TWQ71" s="459"/>
      <c r="TWR71" s="459"/>
      <c r="TWS71" s="459"/>
      <c r="TWT71" s="459"/>
      <c r="TWU71" s="459"/>
      <c r="TWV71" s="459"/>
      <c r="TWW71" s="459"/>
      <c r="TWX71" s="459"/>
      <c r="TWY71" s="459"/>
      <c r="TWZ71" s="459"/>
      <c r="TXA71" s="459"/>
      <c r="TXB71" s="459"/>
      <c r="TXC71" s="459"/>
      <c r="TXD71" s="459"/>
      <c r="TXE71" s="459"/>
      <c r="TXF71" s="459"/>
      <c r="TXG71" s="459"/>
      <c r="TXH71" s="459"/>
      <c r="TXI71" s="459"/>
      <c r="TXJ71" s="459"/>
      <c r="TXK71" s="459"/>
      <c r="TXL71" s="459"/>
      <c r="TXM71" s="459"/>
      <c r="TXN71" s="459"/>
      <c r="TXO71" s="459"/>
      <c r="TXP71" s="459"/>
      <c r="TXQ71" s="459"/>
      <c r="TXR71" s="459"/>
      <c r="TXS71" s="459"/>
      <c r="TXT71" s="459"/>
      <c r="TXU71" s="459"/>
      <c r="TXV71" s="459"/>
      <c r="TXW71" s="459"/>
      <c r="TXX71" s="459"/>
      <c r="TXY71" s="459"/>
      <c r="TXZ71" s="459"/>
      <c r="TYA71" s="459"/>
      <c r="TYB71" s="459"/>
      <c r="TYC71" s="459"/>
      <c r="TYD71" s="459"/>
      <c r="TYE71" s="459"/>
      <c r="TYF71" s="459"/>
      <c r="TYG71" s="459"/>
      <c r="TYH71" s="459"/>
      <c r="TYI71" s="459"/>
      <c r="TYJ71" s="459"/>
      <c r="TYK71" s="459"/>
      <c r="TYL71" s="459"/>
      <c r="TYM71" s="459"/>
      <c r="TYN71" s="459"/>
      <c r="TYO71" s="459"/>
      <c r="TYP71" s="459"/>
      <c r="TYQ71" s="459"/>
      <c r="TYR71" s="459"/>
      <c r="TYS71" s="459"/>
      <c r="TYT71" s="459"/>
      <c r="TYU71" s="459"/>
      <c r="TYV71" s="459"/>
      <c r="TYW71" s="459"/>
      <c r="TYX71" s="459"/>
      <c r="TYY71" s="459"/>
      <c r="TYZ71" s="459"/>
      <c r="TZA71" s="459"/>
      <c r="TZB71" s="459"/>
      <c r="TZC71" s="459"/>
      <c r="TZD71" s="459"/>
      <c r="TZE71" s="459"/>
      <c r="TZF71" s="459"/>
      <c r="TZG71" s="459"/>
      <c r="TZH71" s="459"/>
      <c r="TZI71" s="459"/>
      <c r="TZJ71" s="459"/>
      <c r="TZK71" s="459"/>
      <c r="TZL71" s="459"/>
      <c r="TZM71" s="459"/>
      <c r="TZN71" s="459"/>
      <c r="TZO71" s="459"/>
      <c r="TZP71" s="459"/>
      <c r="TZQ71" s="459"/>
      <c r="TZR71" s="459"/>
      <c r="TZS71" s="459"/>
      <c r="TZT71" s="459"/>
      <c r="TZU71" s="459"/>
      <c r="TZV71" s="459"/>
      <c r="TZW71" s="459"/>
      <c r="TZX71" s="459"/>
      <c r="TZY71" s="459"/>
      <c r="TZZ71" s="459"/>
      <c r="UAA71" s="459"/>
      <c r="UAB71" s="459"/>
      <c r="UAC71" s="459"/>
      <c r="UAD71" s="459"/>
      <c r="UAE71" s="459"/>
      <c r="UAF71" s="459"/>
      <c r="UAG71" s="459"/>
      <c r="UAH71" s="459"/>
      <c r="UAI71" s="459"/>
      <c r="UAJ71" s="459"/>
      <c r="UAK71" s="459"/>
      <c r="UAL71" s="459"/>
      <c r="UAM71" s="459"/>
      <c r="UAN71" s="459"/>
      <c r="UAO71" s="459"/>
      <c r="UAP71" s="459"/>
      <c r="UAQ71" s="459"/>
      <c r="UAR71" s="459"/>
      <c r="UAS71" s="459"/>
      <c r="UAT71" s="459"/>
      <c r="UAU71" s="459"/>
      <c r="UAV71" s="459"/>
      <c r="UAW71" s="459"/>
      <c r="UAX71" s="459"/>
      <c r="UAY71" s="459"/>
      <c r="UAZ71" s="459"/>
      <c r="UBA71" s="459"/>
      <c r="UBB71" s="459"/>
      <c r="UBC71" s="459"/>
      <c r="UBD71" s="459"/>
      <c r="UBE71" s="459"/>
      <c r="UBF71" s="459"/>
      <c r="UBG71" s="459"/>
      <c r="UBH71" s="459"/>
      <c r="UBI71" s="459"/>
      <c r="UBJ71" s="459"/>
      <c r="UBK71" s="459"/>
      <c r="UBL71" s="459"/>
      <c r="UBM71" s="459"/>
      <c r="UBN71" s="459"/>
      <c r="UBO71" s="459"/>
      <c r="UBP71" s="459"/>
      <c r="UBQ71" s="459"/>
      <c r="UBR71" s="459"/>
      <c r="UBS71" s="459"/>
      <c r="UBT71" s="459"/>
      <c r="UBU71" s="459"/>
      <c r="UBV71" s="459"/>
      <c r="UBW71" s="459"/>
      <c r="UBX71" s="459"/>
      <c r="UBY71" s="459"/>
      <c r="UBZ71" s="459"/>
      <c r="UCA71" s="459"/>
      <c r="UCB71" s="459"/>
      <c r="UCC71" s="459"/>
      <c r="UCD71" s="459"/>
      <c r="UCE71" s="459"/>
      <c r="UCF71" s="459"/>
      <c r="UCG71" s="459"/>
      <c r="UCH71" s="459"/>
      <c r="UCI71" s="459"/>
      <c r="UCJ71" s="459"/>
      <c r="UCK71" s="459"/>
      <c r="UCL71" s="459"/>
      <c r="UCM71" s="459"/>
      <c r="UCN71" s="459"/>
      <c r="UCO71" s="459"/>
      <c r="UCP71" s="459"/>
      <c r="UCQ71" s="459"/>
      <c r="UCR71" s="459"/>
      <c r="UCS71" s="459"/>
      <c r="UCT71" s="459"/>
      <c r="UCU71" s="459"/>
      <c r="UCV71" s="459"/>
      <c r="UCW71" s="459"/>
      <c r="UCX71" s="459"/>
      <c r="UCY71" s="459"/>
      <c r="UCZ71" s="459"/>
      <c r="UDA71" s="459"/>
      <c r="UDB71" s="459"/>
      <c r="UDC71" s="459"/>
      <c r="UDD71" s="459"/>
      <c r="UDE71" s="459"/>
      <c r="UDF71" s="459"/>
      <c r="UDG71" s="459"/>
      <c r="UDH71" s="459"/>
      <c r="UDI71" s="459"/>
      <c r="UDJ71" s="459"/>
      <c r="UDK71" s="459"/>
      <c r="UDL71" s="459"/>
      <c r="UDM71" s="459"/>
      <c r="UDN71" s="459"/>
      <c r="UDO71" s="459"/>
      <c r="UDP71" s="459"/>
      <c r="UDQ71" s="459"/>
      <c r="UDR71" s="459"/>
      <c r="UDS71" s="459"/>
      <c r="UDT71" s="459"/>
      <c r="UDU71" s="459"/>
      <c r="UDV71" s="459"/>
      <c r="UDW71" s="459"/>
      <c r="UDX71" s="459"/>
      <c r="UDY71" s="459"/>
      <c r="UDZ71" s="459"/>
      <c r="UEA71" s="459"/>
      <c r="UEB71" s="459"/>
      <c r="UEC71" s="459"/>
      <c r="UED71" s="459"/>
      <c r="UEE71" s="459"/>
      <c r="UEF71" s="459"/>
      <c r="UEG71" s="459"/>
      <c r="UEH71" s="459"/>
      <c r="UEI71" s="459"/>
      <c r="UEJ71" s="459"/>
      <c r="UEK71" s="459"/>
      <c r="UEL71" s="459"/>
      <c r="UEM71" s="459"/>
      <c r="UEN71" s="459"/>
      <c r="UEO71" s="459"/>
      <c r="UEP71" s="459"/>
      <c r="UEQ71" s="459"/>
      <c r="UER71" s="459"/>
      <c r="UES71" s="459"/>
      <c r="UET71" s="459"/>
      <c r="UEU71" s="459"/>
      <c r="UEV71" s="459"/>
      <c r="UEW71" s="459"/>
      <c r="UEX71" s="459"/>
      <c r="UEY71" s="459"/>
      <c r="UEZ71" s="459"/>
      <c r="UFA71" s="459"/>
      <c r="UFB71" s="459"/>
      <c r="UFC71" s="459"/>
      <c r="UFD71" s="459"/>
      <c r="UFE71" s="459"/>
      <c r="UFF71" s="459"/>
      <c r="UFG71" s="459"/>
      <c r="UFH71" s="459"/>
      <c r="UFI71" s="459"/>
      <c r="UFJ71" s="459"/>
      <c r="UFK71" s="459"/>
      <c r="UFL71" s="459"/>
      <c r="UFM71" s="459"/>
      <c r="UFN71" s="459"/>
      <c r="UFO71" s="459"/>
      <c r="UFP71" s="459"/>
      <c r="UFQ71" s="459"/>
      <c r="UFR71" s="459"/>
      <c r="UFS71" s="459"/>
      <c r="UFT71" s="459"/>
      <c r="UFU71" s="459"/>
      <c r="UFV71" s="459"/>
      <c r="UFW71" s="459"/>
      <c r="UFX71" s="459"/>
      <c r="UFY71" s="459"/>
      <c r="UFZ71" s="459"/>
      <c r="UGA71" s="459"/>
      <c r="UGB71" s="459"/>
      <c r="UGC71" s="459"/>
      <c r="UGD71" s="459"/>
      <c r="UGE71" s="459"/>
      <c r="UGF71" s="459"/>
      <c r="UGG71" s="459"/>
      <c r="UGH71" s="459"/>
      <c r="UGI71" s="459"/>
      <c r="UGJ71" s="459"/>
      <c r="UGK71" s="459"/>
      <c r="UGL71" s="459"/>
      <c r="UGM71" s="459"/>
      <c r="UGN71" s="459"/>
      <c r="UGO71" s="459"/>
      <c r="UGP71" s="459"/>
      <c r="UGQ71" s="459"/>
      <c r="UGR71" s="459"/>
      <c r="UGS71" s="459"/>
      <c r="UGT71" s="459"/>
      <c r="UGU71" s="459"/>
      <c r="UGV71" s="459"/>
      <c r="UGW71" s="459"/>
      <c r="UGX71" s="459"/>
      <c r="UGY71" s="459"/>
      <c r="UGZ71" s="459"/>
      <c r="UHA71" s="459"/>
      <c r="UHB71" s="459"/>
      <c r="UHC71" s="459"/>
      <c r="UHD71" s="459"/>
      <c r="UHE71" s="459"/>
      <c r="UHF71" s="459"/>
      <c r="UHG71" s="459"/>
      <c r="UHH71" s="459"/>
      <c r="UHI71" s="459"/>
      <c r="UHJ71" s="459"/>
      <c r="UHK71" s="459"/>
      <c r="UHL71" s="459"/>
      <c r="UHM71" s="459"/>
      <c r="UHN71" s="459"/>
      <c r="UHO71" s="459"/>
      <c r="UHP71" s="459"/>
      <c r="UHQ71" s="459"/>
      <c r="UHR71" s="459"/>
      <c r="UHS71" s="459"/>
      <c r="UHT71" s="459"/>
      <c r="UHU71" s="459"/>
      <c r="UHV71" s="459"/>
      <c r="UHW71" s="459"/>
      <c r="UHX71" s="459"/>
      <c r="UHY71" s="459"/>
      <c r="UHZ71" s="459"/>
      <c r="UIA71" s="459"/>
      <c r="UIB71" s="459"/>
      <c r="UIC71" s="459"/>
      <c r="UID71" s="459"/>
      <c r="UIE71" s="459"/>
      <c r="UIF71" s="459"/>
      <c r="UIG71" s="459"/>
      <c r="UIH71" s="459"/>
      <c r="UII71" s="459"/>
      <c r="UIJ71" s="459"/>
      <c r="UIK71" s="459"/>
      <c r="UIL71" s="459"/>
      <c r="UIM71" s="459"/>
      <c r="UIN71" s="459"/>
      <c r="UIO71" s="459"/>
      <c r="UIP71" s="459"/>
      <c r="UIQ71" s="459"/>
      <c r="UIR71" s="459"/>
      <c r="UIS71" s="459"/>
      <c r="UIT71" s="459"/>
      <c r="UIU71" s="459"/>
      <c r="UIV71" s="459"/>
      <c r="UIW71" s="459"/>
      <c r="UIX71" s="459"/>
      <c r="UIY71" s="459"/>
      <c r="UIZ71" s="459"/>
      <c r="UJA71" s="459"/>
      <c r="UJB71" s="459"/>
      <c r="UJC71" s="459"/>
      <c r="UJD71" s="459"/>
      <c r="UJE71" s="459"/>
      <c r="UJF71" s="459"/>
      <c r="UJG71" s="459"/>
      <c r="UJH71" s="459"/>
      <c r="UJI71" s="459"/>
      <c r="UJJ71" s="459"/>
      <c r="UJK71" s="459"/>
      <c r="UJL71" s="459"/>
      <c r="UJM71" s="459"/>
      <c r="UJN71" s="459"/>
      <c r="UJO71" s="459"/>
      <c r="UJP71" s="459"/>
      <c r="UJQ71" s="459"/>
      <c r="UJR71" s="459"/>
      <c r="UJS71" s="459"/>
      <c r="UJT71" s="459"/>
      <c r="UJU71" s="459"/>
      <c r="UJV71" s="459"/>
      <c r="UJW71" s="459"/>
      <c r="UJX71" s="459"/>
      <c r="UJY71" s="459"/>
      <c r="UJZ71" s="459"/>
      <c r="UKA71" s="459"/>
      <c r="UKB71" s="459"/>
      <c r="UKC71" s="459"/>
      <c r="UKD71" s="459"/>
      <c r="UKE71" s="459"/>
      <c r="UKF71" s="459"/>
      <c r="UKG71" s="459"/>
      <c r="UKH71" s="459"/>
      <c r="UKI71" s="459"/>
      <c r="UKJ71" s="459"/>
      <c r="UKK71" s="459"/>
      <c r="UKL71" s="459"/>
      <c r="UKM71" s="459"/>
      <c r="UKN71" s="459"/>
      <c r="UKO71" s="459"/>
      <c r="UKP71" s="459"/>
      <c r="UKQ71" s="459"/>
      <c r="UKR71" s="459"/>
      <c r="UKS71" s="459"/>
      <c r="UKT71" s="459"/>
      <c r="UKU71" s="459"/>
      <c r="UKV71" s="459"/>
      <c r="UKW71" s="459"/>
      <c r="UKX71" s="459"/>
      <c r="UKY71" s="459"/>
      <c r="UKZ71" s="459"/>
      <c r="ULA71" s="459"/>
      <c r="ULB71" s="459"/>
      <c r="ULC71" s="459"/>
      <c r="ULD71" s="459"/>
      <c r="ULE71" s="459"/>
      <c r="ULF71" s="459"/>
      <c r="ULG71" s="459"/>
      <c r="ULH71" s="459"/>
      <c r="ULI71" s="459"/>
      <c r="ULJ71" s="459"/>
      <c r="ULK71" s="459"/>
      <c r="ULL71" s="459"/>
      <c r="ULM71" s="459"/>
      <c r="ULN71" s="459"/>
      <c r="ULO71" s="459"/>
      <c r="ULP71" s="459"/>
      <c r="ULQ71" s="459"/>
      <c r="ULR71" s="459"/>
      <c r="ULS71" s="459"/>
      <c r="ULT71" s="459"/>
      <c r="ULU71" s="459"/>
      <c r="ULV71" s="459"/>
      <c r="ULW71" s="459"/>
      <c r="ULX71" s="459"/>
      <c r="ULY71" s="459"/>
      <c r="ULZ71" s="459"/>
      <c r="UMA71" s="459"/>
      <c r="UMB71" s="459"/>
      <c r="UMC71" s="459"/>
      <c r="UMD71" s="459"/>
      <c r="UME71" s="459"/>
      <c r="UMF71" s="459"/>
      <c r="UMG71" s="459"/>
      <c r="UMH71" s="459"/>
      <c r="UMI71" s="459"/>
      <c r="UMJ71" s="459"/>
      <c r="UMK71" s="459"/>
      <c r="UML71" s="459"/>
      <c r="UMM71" s="459"/>
      <c r="UMN71" s="459"/>
      <c r="UMO71" s="459"/>
      <c r="UMP71" s="459"/>
      <c r="UMQ71" s="459"/>
      <c r="UMR71" s="459"/>
      <c r="UMS71" s="459"/>
      <c r="UMT71" s="459"/>
      <c r="UMU71" s="459"/>
      <c r="UMV71" s="459"/>
      <c r="UMW71" s="459"/>
      <c r="UMX71" s="459"/>
      <c r="UMY71" s="459"/>
      <c r="UMZ71" s="459"/>
      <c r="UNA71" s="459"/>
      <c r="UNB71" s="459"/>
      <c r="UNC71" s="459"/>
      <c r="UND71" s="459"/>
      <c r="UNE71" s="459"/>
      <c r="UNF71" s="459"/>
      <c r="UNG71" s="459"/>
      <c r="UNH71" s="459"/>
      <c r="UNI71" s="459"/>
      <c r="UNJ71" s="459"/>
      <c r="UNK71" s="459"/>
      <c r="UNL71" s="459"/>
      <c r="UNM71" s="459"/>
      <c r="UNN71" s="459"/>
      <c r="UNO71" s="459"/>
      <c r="UNP71" s="459"/>
      <c r="UNQ71" s="459"/>
      <c r="UNR71" s="459"/>
      <c r="UNS71" s="459"/>
      <c r="UNT71" s="459"/>
      <c r="UNU71" s="459"/>
      <c r="UNV71" s="459"/>
      <c r="UNW71" s="459"/>
      <c r="UNX71" s="459"/>
      <c r="UNY71" s="459"/>
      <c r="UNZ71" s="459"/>
      <c r="UOA71" s="459"/>
      <c r="UOB71" s="459"/>
      <c r="UOC71" s="459"/>
      <c r="UOD71" s="459"/>
      <c r="UOE71" s="459"/>
      <c r="UOF71" s="459"/>
      <c r="UOG71" s="459"/>
      <c r="UOH71" s="459"/>
      <c r="UOI71" s="459"/>
      <c r="UOJ71" s="459"/>
      <c r="UOK71" s="459"/>
      <c r="UOL71" s="459"/>
      <c r="UOM71" s="459"/>
      <c r="UON71" s="459"/>
      <c r="UOO71" s="459"/>
      <c r="UOP71" s="459"/>
      <c r="UOQ71" s="459"/>
      <c r="UOR71" s="459"/>
      <c r="UOS71" s="459"/>
      <c r="UOT71" s="459"/>
      <c r="UOU71" s="459"/>
      <c r="UOV71" s="459"/>
      <c r="UOW71" s="459"/>
      <c r="UOX71" s="459"/>
      <c r="UOY71" s="459"/>
      <c r="UOZ71" s="459"/>
      <c r="UPA71" s="459"/>
      <c r="UPB71" s="459"/>
      <c r="UPC71" s="459"/>
      <c r="UPD71" s="459"/>
      <c r="UPE71" s="459"/>
      <c r="UPF71" s="459"/>
      <c r="UPG71" s="459"/>
      <c r="UPH71" s="459"/>
      <c r="UPI71" s="459"/>
      <c r="UPJ71" s="459"/>
      <c r="UPK71" s="459"/>
      <c r="UPL71" s="459"/>
      <c r="UPM71" s="459"/>
      <c r="UPN71" s="459"/>
      <c r="UPO71" s="459"/>
      <c r="UPP71" s="459"/>
      <c r="UPQ71" s="459"/>
      <c r="UPR71" s="459"/>
      <c r="UPS71" s="459"/>
      <c r="UPT71" s="459"/>
      <c r="UPU71" s="459"/>
      <c r="UPV71" s="459"/>
      <c r="UPW71" s="459"/>
      <c r="UPX71" s="459"/>
      <c r="UPY71" s="459"/>
      <c r="UPZ71" s="459"/>
      <c r="UQA71" s="459"/>
      <c r="UQB71" s="459"/>
      <c r="UQC71" s="459"/>
      <c r="UQD71" s="459"/>
      <c r="UQE71" s="459"/>
      <c r="UQF71" s="459"/>
      <c r="UQG71" s="459"/>
      <c r="UQH71" s="459"/>
      <c r="UQI71" s="459"/>
      <c r="UQJ71" s="459"/>
      <c r="UQK71" s="459"/>
      <c r="UQL71" s="459"/>
      <c r="UQM71" s="459"/>
      <c r="UQN71" s="459"/>
      <c r="UQO71" s="459"/>
      <c r="UQP71" s="459"/>
      <c r="UQQ71" s="459"/>
      <c r="UQR71" s="459"/>
      <c r="UQS71" s="459"/>
      <c r="UQT71" s="459"/>
      <c r="UQU71" s="459"/>
      <c r="UQV71" s="459"/>
      <c r="UQW71" s="459"/>
      <c r="UQX71" s="459"/>
      <c r="UQY71" s="459"/>
      <c r="UQZ71" s="459"/>
      <c r="URA71" s="459"/>
      <c r="URB71" s="459"/>
      <c r="URC71" s="459"/>
      <c r="URD71" s="459"/>
      <c r="URE71" s="459"/>
      <c r="URF71" s="459"/>
      <c r="URG71" s="459"/>
      <c r="URH71" s="459"/>
      <c r="URI71" s="459"/>
      <c r="URJ71" s="459"/>
      <c r="URK71" s="459"/>
      <c r="URL71" s="459"/>
      <c r="URM71" s="459"/>
      <c r="URN71" s="459"/>
      <c r="URO71" s="459"/>
      <c r="URP71" s="459"/>
      <c r="URQ71" s="459"/>
      <c r="URR71" s="459"/>
      <c r="URS71" s="459"/>
      <c r="URT71" s="459"/>
      <c r="URU71" s="459"/>
      <c r="URV71" s="459"/>
      <c r="URW71" s="459"/>
      <c r="URX71" s="459"/>
      <c r="URY71" s="459"/>
      <c r="URZ71" s="459"/>
      <c r="USA71" s="459"/>
      <c r="USB71" s="459"/>
      <c r="USC71" s="459"/>
      <c r="USD71" s="459"/>
      <c r="USE71" s="459"/>
      <c r="USF71" s="459"/>
      <c r="USG71" s="459"/>
      <c r="USH71" s="459"/>
      <c r="USI71" s="459"/>
      <c r="USJ71" s="459"/>
      <c r="USK71" s="459"/>
      <c r="USL71" s="459"/>
      <c r="USM71" s="459"/>
      <c r="USN71" s="459"/>
      <c r="USO71" s="459"/>
      <c r="USP71" s="459"/>
      <c r="USQ71" s="459"/>
      <c r="USR71" s="459"/>
      <c r="USS71" s="459"/>
      <c r="UST71" s="459"/>
      <c r="USU71" s="459"/>
      <c r="USV71" s="459"/>
      <c r="USW71" s="459"/>
      <c r="USX71" s="459"/>
      <c r="USY71" s="459"/>
      <c r="USZ71" s="459"/>
      <c r="UTA71" s="459"/>
      <c r="UTB71" s="459"/>
      <c r="UTC71" s="459"/>
      <c r="UTD71" s="459"/>
      <c r="UTE71" s="459"/>
      <c r="UTF71" s="459"/>
      <c r="UTG71" s="459"/>
      <c r="UTH71" s="459"/>
      <c r="UTI71" s="459"/>
      <c r="UTJ71" s="459"/>
      <c r="UTK71" s="459"/>
      <c r="UTL71" s="459"/>
      <c r="UTM71" s="459"/>
      <c r="UTN71" s="459"/>
      <c r="UTO71" s="459"/>
      <c r="UTP71" s="459"/>
      <c r="UTQ71" s="459"/>
      <c r="UTR71" s="459"/>
      <c r="UTS71" s="459"/>
      <c r="UTT71" s="459"/>
      <c r="UTU71" s="459"/>
      <c r="UTV71" s="459"/>
      <c r="UTW71" s="459"/>
      <c r="UTX71" s="459"/>
      <c r="UTY71" s="459"/>
      <c r="UTZ71" s="459"/>
      <c r="UUA71" s="459"/>
      <c r="UUB71" s="459"/>
      <c r="UUC71" s="459"/>
      <c r="UUD71" s="459"/>
      <c r="UUE71" s="459"/>
      <c r="UUF71" s="459"/>
      <c r="UUG71" s="459"/>
      <c r="UUH71" s="459"/>
      <c r="UUI71" s="459"/>
      <c r="UUJ71" s="459"/>
      <c r="UUK71" s="459"/>
      <c r="UUL71" s="459"/>
      <c r="UUM71" s="459"/>
      <c r="UUN71" s="459"/>
      <c r="UUO71" s="459"/>
      <c r="UUP71" s="459"/>
      <c r="UUQ71" s="459"/>
      <c r="UUR71" s="459"/>
      <c r="UUS71" s="459"/>
      <c r="UUT71" s="459"/>
      <c r="UUU71" s="459"/>
      <c r="UUV71" s="459"/>
      <c r="UUW71" s="459"/>
      <c r="UUX71" s="459"/>
      <c r="UUY71" s="459"/>
      <c r="UUZ71" s="459"/>
      <c r="UVA71" s="459"/>
      <c r="UVB71" s="459"/>
      <c r="UVC71" s="459"/>
      <c r="UVD71" s="459"/>
      <c r="UVE71" s="459"/>
      <c r="UVF71" s="459"/>
      <c r="UVG71" s="459"/>
      <c r="UVH71" s="459"/>
      <c r="UVI71" s="459"/>
      <c r="UVJ71" s="459"/>
      <c r="UVK71" s="459"/>
      <c r="UVL71" s="459"/>
      <c r="UVM71" s="459"/>
      <c r="UVN71" s="459"/>
      <c r="UVO71" s="459"/>
      <c r="UVP71" s="459"/>
      <c r="UVQ71" s="459"/>
      <c r="UVR71" s="459"/>
      <c r="UVS71" s="459"/>
      <c r="UVT71" s="459"/>
      <c r="UVU71" s="459"/>
      <c r="UVV71" s="459"/>
      <c r="UVW71" s="459"/>
      <c r="UVX71" s="459"/>
      <c r="UVY71" s="459"/>
      <c r="UVZ71" s="459"/>
      <c r="UWA71" s="459"/>
      <c r="UWB71" s="459"/>
      <c r="UWC71" s="459"/>
      <c r="UWD71" s="459"/>
      <c r="UWE71" s="459"/>
      <c r="UWF71" s="459"/>
      <c r="UWG71" s="459"/>
      <c r="UWH71" s="459"/>
      <c r="UWI71" s="459"/>
      <c r="UWJ71" s="459"/>
      <c r="UWK71" s="459"/>
      <c r="UWL71" s="459"/>
      <c r="UWM71" s="459"/>
      <c r="UWN71" s="459"/>
      <c r="UWO71" s="459"/>
      <c r="UWP71" s="459"/>
      <c r="UWQ71" s="459"/>
      <c r="UWR71" s="459"/>
      <c r="UWS71" s="459"/>
      <c r="UWT71" s="459"/>
      <c r="UWU71" s="459"/>
      <c r="UWV71" s="459"/>
      <c r="UWW71" s="459"/>
      <c r="UWX71" s="459"/>
      <c r="UWY71" s="459"/>
      <c r="UWZ71" s="459"/>
      <c r="UXA71" s="459"/>
      <c r="UXB71" s="459"/>
      <c r="UXC71" s="459"/>
      <c r="UXD71" s="459"/>
      <c r="UXE71" s="459"/>
      <c r="UXF71" s="459"/>
      <c r="UXG71" s="459"/>
      <c r="UXH71" s="459"/>
      <c r="UXI71" s="459"/>
      <c r="UXJ71" s="459"/>
      <c r="UXK71" s="459"/>
      <c r="UXL71" s="459"/>
      <c r="UXM71" s="459"/>
      <c r="UXN71" s="459"/>
      <c r="UXO71" s="459"/>
      <c r="UXP71" s="459"/>
      <c r="UXQ71" s="459"/>
      <c r="UXR71" s="459"/>
      <c r="UXS71" s="459"/>
      <c r="UXT71" s="459"/>
      <c r="UXU71" s="459"/>
      <c r="UXV71" s="459"/>
      <c r="UXW71" s="459"/>
      <c r="UXX71" s="459"/>
      <c r="UXY71" s="459"/>
      <c r="UXZ71" s="459"/>
      <c r="UYA71" s="459"/>
      <c r="UYB71" s="459"/>
      <c r="UYC71" s="459"/>
      <c r="UYD71" s="459"/>
      <c r="UYE71" s="459"/>
      <c r="UYF71" s="459"/>
      <c r="UYG71" s="459"/>
      <c r="UYH71" s="459"/>
      <c r="UYI71" s="459"/>
      <c r="UYJ71" s="459"/>
      <c r="UYK71" s="459"/>
      <c r="UYL71" s="459"/>
      <c r="UYM71" s="459"/>
      <c r="UYN71" s="459"/>
      <c r="UYO71" s="459"/>
      <c r="UYP71" s="459"/>
      <c r="UYQ71" s="459"/>
      <c r="UYR71" s="459"/>
      <c r="UYS71" s="459"/>
      <c r="UYT71" s="459"/>
      <c r="UYU71" s="459"/>
      <c r="UYV71" s="459"/>
      <c r="UYW71" s="459"/>
      <c r="UYX71" s="459"/>
      <c r="UYY71" s="459"/>
      <c r="UYZ71" s="459"/>
      <c r="UZA71" s="459"/>
      <c r="UZB71" s="459"/>
      <c r="UZC71" s="459"/>
      <c r="UZD71" s="459"/>
      <c r="UZE71" s="459"/>
      <c r="UZF71" s="459"/>
      <c r="UZG71" s="459"/>
      <c r="UZH71" s="459"/>
      <c r="UZI71" s="459"/>
      <c r="UZJ71" s="459"/>
      <c r="UZK71" s="459"/>
      <c r="UZL71" s="459"/>
      <c r="UZM71" s="459"/>
      <c r="UZN71" s="459"/>
      <c r="UZO71" s="459"/>
      <c r="UZP71" s="459"/>
      <c r="UZQ71" s="459"/>
      <c r="UZR71" s="459"/>
      <c r="UZS71" s="459"/>
      <c r="UZT71" s="459"/>
      <c r="UZU71" s="459"/>
      <c r="UZV71" s="459"/>
      <c r="UZW71" s="459"/>
      <c r="UZX71" s="459"/>
      <c r="UZY71" s="459"/>
      <c r="UZZ71" s="459"/>
      <c r="VAA71" s="459"/>
      <c r="VAB71" s="459"/>
      <c r="VAC71" s="459"/>
      <c r="VAD71" s="459"/>
      <c r="VAE71" s="459"/>
      <c r="VAF71" s="459"/>
      <c r="VAG71" s="459"/>
      <c r="VAH71" s="459"/>
      <c r="VAI71" s="459"/>
      <c r="VAJ71" s="459"/>
      <c r="VAK71" s="459"/>
      <c r="VAL71" s="459"/>
      <c r="VAM71" s="459"/>
      <c r="VAN71" s="459"/>
      <c r="VAO71" s="459"/>
      <c r="VAP71" s="459"/>
      <c r="VAQ71" s="459"/>
      <c r="VAR71" s="459"/>
      <c r="VAS71" s="459"/>
      <c r="VAT71" s="459"/>
      <c r="VAU71" s="459"/>
      <c r="VAV71" s="459"/>
      <c r="VAW71" s="459"/>
      <c r="VAX71" s="459"/>
      <c r="VAY71" s="459"/>
      <c r="VAZ71" s="459"/>
      <c r="VBA71" s="459"/>
      <c r="VBB71" s="459"/>
      <c r="VBC71" s="459"/>
      <c r="VBD71" s="459"/>
      <c r="VBE71" s="459"/>
      <c r="VBF71" s="459"/>
      <c r="VBG71" s="459"/>
      <c r="VBH71" s="459"/>
      <c r="VBI71" s="459"/>
      <c r="VBJ71" s="459"/>
      <c r="VBK71" s="459"/>
      <c r="VBL71" s="459"/>
      <c r="VBM71" s="459"/>
      <c r="VBN71" s="459"/>
      <c r="VBO71" s="459"/>
      <c r="VBP71" s="459"/>
      <c r="VBQ71" s="459"/>
      <c r="VBR71" s="459"/>
      <c r="VBS71" s="459"/>
      <c r="VBT71" s="459"/>
      <c r="VBU71" s="459"/>
      <c r="VBV71" s="459"/>
      <c r="VBW71" s="459"/>
      <c r="VBX71" s="459"/>
      <c r="VBY71" s="459"/>
      <c r="VBZ71" s="459"/>
      <c r="VCA71" s="459"/>
      <c r="VCB71" s="459"/>
      <c r="VCC71" s="459"/>
      <c r="VCD71" s="459"/>
      <c r="VCE71" s="459"/>
      <c r="VCF71" s="459"/>
      <c r="VCG71" s="459"/>
      <c r="VCH71" s="459"/>
      <c r="VCI71" s="459"/>
      <c r="VCJ71" s="459"/>
      <c r="VCK71" s="459"/>
      <c r="VCL71" s="459"/>
      <c r="VCM71" s="459"/>
      <c r="VCN71" s="459"/>
      <c r="VCO71" s="459"/>
      <c r="VCP71" s="459"/>
      <c r="VCQ71" s="459"/>
      <c r="VCR71" s="459"/>
      <c r="VCS71" s="459"/>
      <c r="VCT71" s="459"/>
      <c r="VCU71" s="459"/>
      <c r="VCV71" s="459"/>
      <c r="VCW71" s="459"/>
      <c r="VCX71" s="459"/>
      <c r="VCY71" s="459"/>
      <c r="VCZ71" s="459"/>
      <c r="VDA71" s="459"/>
      <c r="VDB71" s="459"/>
      <c r="VDC71" s="459"/>
      <c r="VDD71" s="459"/>
      <c r="VDE71" s="459"/>
      <c r="VDF71" s="459"/>
      <c r="VDG71" s="459"/>
      <c r="VDH71" s="459"/>
      <c r="VDI71" s="459"/>
      <c r="VDJ71" s="459"/>
      <c r="VDK71" s="459"/>
      <c r="VDL71" s="459"/>
      <c r="VDM71" s="459"/>
      <c r="VDN71" s="459"/>
      <c r="VDO71" s="459"/>
      <c r="VDP71" s="459"/>
      <c r="VDQ71" s="459"/>
      <c r="VDR71" s="459"/>
      <c r="VDS71" s="459"/>
      <c r="VDT71" s="459"/>
      <c r="VDU71" s="459"/>
      <c r="VDV71" s="459"/>
      <c r="VDW71" s="459"/>
      <c r="VDX71" s="459"/>
      <c r="VDY71" s="459"/>
      <c r="VDZ71" s="459"/>
      <c r="VEA71" s="459"/>
      <c r="VEB71" s="459"/>
      <c r="VEC71" s="459"/>
      <c r="VED71" s="459"/>
      <c r="VEE71" s="459"/>
      <c r="VEF71" s="459"/>
      <c r="VEG71" s="459"/>
      <c r="VEH71" s="459"/>
      <c r="VEI71" s="459"/>
      <c r="VEJ71" s="459"/>
      <c r="VEK71" s="459"/>
      <c r="VEL71" s="459"/>
      <c r="VEM71" s="459"/>
      <c r="VEN71" s="459"/>
      <c r="VEO71" s="459"/>
      <c r="VEP71" s="459"/>
      <c r="VEQ71" s="459"/>
      <c r="VER71" s="459"/>
      <c r="VES71" s="459"/>
      <c r="VET71" s="459"/>
      <c r="VEU71" s="459"/>
      <c r="VEV71" s="459"/>
      <c r="VEW71" s="459"/>
      <c r="VEX71" s="459"/>
      <c r="VEY71" s="459"/>
      <c r="VEZ71" s="459"/>
      <c r="VFA71" s="459"/>
      <c r="VFB71" s="459"/>
      <c r="VFC71" s="459"/>
      <c r="VFD71" s="459"/>
      <c r="VFE71" s="459"/>
      <c r="VFF71" s="459"/>
      <c r="VFG71" s="459"/>
      <c r="VFH71" s="459"/>
      <c r="VFI71" s="459"/>
      <c r="VFJ71" s="459"/>
      <c r="VFK71" s="459"/>
      <c r="VFL71" s="459"/>
      <c r="VFM71" s="459"/>
      <c r="VFN71" s="459"/>
      <c r="VFO71" s="459"/>
      <c r="VFP71" s="459"/>
      <c r="VFQ71" s="459"/>
      <c r="VFR71" s="459"/>
      <c r="VFS71" s="459"/>
      <c r="VFT71" s="459"/>
      <c r="VFU71" s="459"/>
      <c r="VFV71" s="459"/>
      <c r="VFW71" s="459"/>
      <c r="VFX71" s="459"/>
      <c r="VFY71" s="459"/>
      <c r="VFZ71" s="459"/>
      <c r="VGA71" s="459"/>
      <c r="VGB71" s="459"/>
      <c r="VGC71" s="459"/>
      <c r="VGD71" s="459"/>
      <c r="VGE71" s="459"/>
      <c r="VGF71" s="459"/>
      <c r="VGG71" s="459"/>
      <c r="VGH71" s="459"/>
      <c r="VGI71" s="459"/>
      <c r="VGJ71" s="459"/>
      <c r="VGK71" s="459"/>
      <c r="VGL71" s="459"/>
      <c r="VGM71" s="459"/>
      <c r="VGN71" s="459"/>
      <c r="VGO71" s="459"/>
      <c r="VGP71" s="459"/>
      <c r="VGQ71" s="459"/>
      <c r="VGR71" s="459"/>
      <c r="VGS71" s="459"/>
      <c r="VGT71" s="459"/>
      <c r="VGU71" s="459"/>
      <c r="VGV71" s="459"/>
      <c r="VGW71" s="459"/>
      <c r="VGX71" s="459"/>
      <c r="VGY71" s="459"/>
      <c r="VGZ71" s="459"/>
      <c r="VHA71" s="459"/>
      <c r="VHB71" s="459"/>
      <c r="VHC71" s="459"/>
      <c r="VHD71" s="459"/>
      <c r="VHE71" s="459"/>
      <c r="VHF71" s="459"/>
      <c r="VHG71" s="459"/>
      <c r="VHH71" s="459"/>
      <c r="VHI71" s="459"/>
      <c r="VHJ71" s="459"/>
      <c r="VHK71" s="459"/>
      <c r="VHL71" s="459"/>
      <c r="VHM71" s="459"/>
      <c r="VHN71" s="459"/>
      <c r="VHO71" s="459"/>
      <c r="VHP71" s="459"/>
      <c r="VHQ71" s="459"/>
      <c r="VHR71" s="459"/>
      <c r="VHS71" s="459"/>
      <c r="VHT71" s="459"/>
      <c r="VHU71" s="459"/>
      <c r="VHV71" s="459"/>
      <c r="VHW71" s="459"/>
      <c r="VHX71" s="459"/>
      <c r="VHY71" s="459"/>
      <c r="VHZ71" s="459"/>
      <c r="VIA71" s="459"/>
      <c r="VIB71" s="459"/>
      <c r="VIC71" s="459"/>
      <c r="VID71" s="459"/>
      <c r="VIE71" s="459"/>
      <c r="VIF71" s="459"/>
      <c r="VIG71" s="459"/>
      <c r="VIH71" s="459"/>
      <c r="VII71" s="459"/>
      <c r="VIJ71" s="459"/>
      <c r="VIK71" s="459"/>
      <c r="VIL71" s="459"/>
      <c r="VIM71" s="459"/>
      <c r="VIN71" s="459"/>
      <c r="VIO71" s="459"/>
      <c r="VIP71" s="459"/>
      <c r="VIQ71" s="459"/>
      <c r="VIR71" s="459"/>
      <c r="VIS71" s="459"/>
      <c r="VIT71" s="459"/>
      <c r="VIU71" s="459"/>
      <c r="VIV71" s="459"/>
      <c r="VIW71" s="459"/>
      <c r="VIX71" s="459"/>
      <c r="VIY71" s="459"/>
      <c r="VIZ71" s="459"/>
      <c r="VJA71" s="459"/>
      <c r="VJB71" s="459"/>
      <c r="VJC71" s="459"/>
      <c r="VJD71" s="459"/>
      <c r="VJE71" s="459"/>
      <c r="VJF71" s="459"/>
      <c r="VJG71" s="459"/>
      <c r="VJH71" s="459"/>
      <c r="VJI71" s="459"/>
      <c r="VJJ71" s="459"/>
      <c r="VJK71" s="459"/>
      <c r="VJL71" s="459"/>
      <c r="VJM71" s="459"/>
      <c r="VJN71" s="459"/>
      <c r="VJO71" s="459"/>
      <c r="VJP71" s="459"/>
      <c r="VJQ71" s="459"/>
      <c r="VJR71" s="459"/>
      <c r="VJS71" s="459"/>
      <c r="VJT71" s="459"/>
      <c r="VJU71" s="459"/>
      <c r="VJV71" s="459"/>
      <c r="VJW71" s="459"/>
      <c r="VJX71" s="459"/>
      <c r="VJY71" s="459"/>
      <c r="VJZ71" s="459"/>
      <c r="VKA71" s="459"/>
      <c r="VKB71" s="459"/>
      <c r="VKC71" s="459"/>
      <c r="VKD71" s="459"/>
      <c r="VKE71" s="459"/>
      <c r="VKF71" s="459"/>
      <c r="VKG71" s="459"/>
      <c r="VKH71" s="459"/>
      <c r="VKI71" s="459"/>
      <c r="VKJ71" s="459"/>
      <c r="VKK71" s="459"/>
      <c r="VKL71" s="459"/>
      <c r="VKM71" s="459"/>
      <c r="VKN71" s="459"/>
      <c r="VKO71" s="459"/>
      <c r="VKP71" s="459"/>
      <c r="VKQ71" s="459"/>
      <c r="VKR71" s="459"/>
      <c r="VKS71" s="459"/>
      <c r="VKT71" s="459"/>
      <c r="VKU71" s="459"/>
      <c r="VKV71" s="459"/>
      <c r="VKW71" s="459"/>
      <c r="VKX71" s="459"/>
      <c r="VKY71" s="459"/>
      <c r="VKZ71" s="459"/>
      <c r="VLA71" s="459"/>
      <c r="VLB71" s="459"/>
      <c r="VLC71" s="459"/>
      <c r="VLD71" s="459"/>
      <c r="VLE71" s="459"/>
      <c r="VLF71" s="459"/>
      <c r="VLG71" s="459"/>
      <c r="VLH71" s="459"/>
      <c r="VLI71" s="459"/>
      <c r="VLJ71" s="459"/>
      <c r="VLK71" s="459"/>
      <c r="VLL71" s="459"/>
      <c r="VLM71" s="459"/>
      <c r="VLN71" s="459"/>
      <c r="VLO71" s="459"/>
      <c r="VLP71" s="459"/>
      <c r="VLQ71" s="459"/>
      <c r="VLR71" s="459"/>
      <c r="VLS71" s="459"/>
      <c r="VLT71" s="459"/>
      <c r="VLU71" s="459"/>
      <c r="VLV71" s="459"/>
      <c r="VLW71" s="459"/>
      <c r="VLX71" s="459"/>
      <c r="VLY71" s="459"/>
      <c r="VLZ71" s="459"/>
      <c r="VMA71" s="459"/>
      <c r="VMB71" s="459"/>
      <c r="VMC71" s="459"/>
      <c r="VMD71" s="459"/>
      <c r="VME71" s="459"/>
      <c r="VMF71" s="459"/>
      <c r="VMG71" s="459"/>
      <c r="VMH71" s="459"/>
      <c r="VMI71" s="459"/>
      <c r="VMJ71" s="459"/>
      <c r="VMK71" s="459"/>
      <c r="VML71" s="459"/>
      <c r="VMM71" s="459"/>
      <c r="VMN71" s="459"/>
      <c r="VMO71" s="459"/>
      <c r="VMP71" s="459"/>
      <c r="VMQ71" s="459"/>
      <c r="VMR71" s="459"/>
      <c r="VMS71" s="459"/>
      <c r="VMT71" s="459"/>
      <c r="VMU71" s="459"/>
      <c r="VMV71" s="459"/>
      <c r="VMW71" s="459"/>
      <c r="VMX71" s="459"/>
      <c r="VMY71" s="459"/>
      <c r="VMZ71" s="459"/>
      <c r="VNA71" s="459"/>
      <c r="VNB71" s="459"/>
      <c r="VNC71" s="459"/>
      <c r="VND71" s="459"/>
      <c r="VNE71" s="459"/>
      <c r="VNF71" s="459"/>
      <c r="VNG71" s="459"/>
      <c r="VNH71" s="459"/>
      <c r="VNI71" s="459"/>
      <c r="VNJ71" s="459"/>
      <c r="VNK71" s="459"/>
      <c r="VNL71" s="459"/>
      <c r="VNM71" s="459"/>
      <c r="VNN71" s="459"/>
      <c r="VNO71" s="459"/>
      <c r="VNP71" s="459"/>
      <c r="VNQ71" s="459"/>
      <c r="VNR71" s="459"/>
      <c r="VNS71" s="459"/>
      <c r="VNT71" s="459"/>
      <c r="VNU71" s="459"/>
      <c r="VNV71" s="459"/>
      <c r="VNW71" s="459"/>
      <c r="VNX71" s="459"/>
      <c r="VNY71" s="459"/>
      <c r="VNZ71" s="459"/>
      <c r="VOA71" s="459"/>
      <c r="VOB71" s="459"/>
      <c r="VOC71" s="459"/>
      <c r="VOD71" s="459"/>
      <c r="VOE71" s="459"/>
      <c r="VOF71" s="459"/>
      <c r="VOG71" s="459"/>
      <c r="VOH71" s="459"/>
      <c r="VOI71" s="459"/>
      <c r="VOJ71" s="459"/>
      <c r="VOK71" s="459"/>
      <c r="VOL71" s="459"/>
      <c r="VOM71" s="459"/>
      <c r="VON71" s="459"/>
      <c r="VOO71" s="459"/>
      <c r="VOP71" s="459"/>
      <c r="VOQ71" s="459"/>
      <c r="VOR71" s="459"/>
      <c r="VOS71" s="459"/>
      <c r="VOT71" s="459"/>
      <c r="VOU71" s="459"/>
      <c r="VOV71" s="459"/>
      <c r="VOW71" s="459"/>
      <c r="VOX71" s="459"/>
      <c r="VOY71" s="459"/>
      <c r="VOZ71" s="459"/>
      <c r="VPA71" s="459"/>
      <c r="VPB71" s="459"/>
      <c r="VPC71" s="459"/>
      <c r="VPD71" s="459"/>
      <c r="VPE71" s="459"/>
      <c r="VPF71" s="459"/>
      <c r="VPG71" s="459"/>
      <c r="VPH71" s="459"/>
      <c r="VPI71" s="459"/>
      <c r="VPJ71" s="459"/>
      <c r="VPK71" s="459"/>
      <c r="VPL71" s="459"/>
      <c r="VPM71" s="459"/>
      <c r="VPN71" s="459"/>
      <c r="VPO71" s="459"/>
      <c r="VPP71" s="459"/>
      <c r="VPQ71" s="459"/>
      <c r="VPR71" s="459"/>
      <c r="VPS71" s="459"/>
      <c r="VPT71" s="459"/>
      <c r="VPU71" s="459"/>
      <c r="VPV71" s="459"/>
      <c r="VPW71" s="459"/>
      <c r="VPX71" s="459"/>
      <c r="VPY71" s="459"/>
      <c r="VPZ71" s="459"/>
      <c r="VQA71" s="459"/>
      <c r="VQB71" s="459"/>
      <c r="VQC71" s="459"/>
      <c r="VQD71" s="459"/>
      <c r="VQE71" s="459"/>
      <c r="VQF71" s="459"/>
      <c r="VQG71" s="459"/>
      <c r="VQH71" s="459"/>
      <c r="VQI71" s="459"/>
      <c r="VQJ71" s="459"/>
      <c r="VQK71" s="459"/>
      <c r="VQL71" s="459"/>
      <c r="VQM71" s="459"/>
      <c r="VQN71" s="459"/>
      <c r="VQO71" s="459"/>
      <c r="VQP71" s="459"/>
      <c r="VQQ71" s="459"/>
      <c r="VQR71" s="459"/>
      <c r="VQS71" s="459"/>
      <c r="VQT71" s="459"/>
      <c r="VQU71" s="459"/>
      <c r="VQV71" s="459"/>
      <c r="VQW71" s="459"/>
      <c r="VQX71" s="459"/>
      <c r="VQY71" s="459"/>
      <c r="VQZ71" s="459"/>
      <c r="VRA71" s="459"/>
      <c r="VRB71" s="459"/>
      <c r="VRC71" s="459"/>
      <c r="VRD71" s="459"/>
      <c r="VRE71" s="459"/>
      <c r="VRF71" s="459"/>
      <c r="VRG71" s="459"/>
      <c r="VRH71" s="459"/>
      <c r="VRI71" s="459"/>
      <c r="VRJ71" s="459"/>
      <c r="VRK71" s="459"/>
      <c r="VRL71" s="459"/>
      <c r="VRM71" s="459"/>
      <c r="VRN71" s="459"/>
      <c r="VRO71" s="459"/>
      <c r="VRP71" s="459"/>
      <c r="VRQ71" s="459"/>
      <c r="VRR71" s="459"/>
      <c r="VRS71" s="459"/>
      <c r="VRT71" s="459"/>
      <c r="VRU71" s="459"/>
      <c r="VRV71" s="459"/>
      <c r="VRW71" s="459"/>
      <c r="VRX71" s="459"/>
      <c r="VRY71" s="459"/>
      <c r="VRZ71" s="459"/>
      <c r="VSA71" s="459"/>
      <c r="VSB71" s="459"/>
      <c r="VSC71" s="459"/>
      <c r="VSD71" s="459"/>
      <c r="VSE71" s="459"/>
      <c r="VSF71" s="459"/>
      <c r="VSG71" s="459"/>
      <c r="VSH71" s="459"/>
      <c r="VSI71" s="459"/>
      <c r="VSJ71" s="459"/>
      <c r="VSK71" s="459"/>
      <c r="VSL71" s="459"/>
      <c r="VSM71" s="459"/>
      <c r="VSN71" s="459"/>
      <c r="VSO71" s="459"/>
      <c r="VSP71" s="459"/>
      <c r="VSQ71" s="459"/>
      <c r="VSR71" s="459"/>
      <c r="VSS71" s="459"/>
      <c r="VST71" s="459"/>
      <c r="VSU71" s="459"/>
      <c r="VSV71" s="459"/>
      <c r="VSW71" s="459"/>
      <c r="VSX71" s="459"/>
      <c r="VSY71" s="459"/>
      <c r="VSZ71" s="459"/>
      <c r="VTA71" s="459"/>
      <c r="VTB71" s="459"/>
      <c r="VTC71" s="459"/>
      <c r="VTD71" s="459"/>
      <c r="VTE71" s="459"/>
      <c r="VTF71" s="459"/>
      <c r="VTG71" s="459"/>
      <c r="VTH71" s="459"/>
      <c r="VTI71" s="459"/>
      <c r="VTJ71" s="459"/>
      <c r="VTK71" s="459"/>
      <c r="VTL71" s="459"/>
      <c r="VTM71" s="459"/>
      <c r="VTN71" s="459"/>
      <c r="VTO71" s="459"/>
      <c r="VTP71" s="459"/>
      <c r="VTQ71" s="459"/>
      <c r="VTR71" s="459"/>
      <c r="VTS71" s="459"/>
      <c r="VTT71" s="459"/>
      <c r="VTU71" s="459"/>
      <c r="VTV71" s="459"/>
      <c r="VTW71" s="459"/>
      <c r="VTX71" s="459"/>
      <c r="VTY71" s="459"/>
      <c r="VTZ71" s="459"/>
      <c r="VUA71" s="459"/>
      <c r="VUB71" s="459"/>
      <c r="VUC71" s="459"/>
      <c r="VUD71" s="459"/>
      <c r="VUE71" s="459"/>
      <c r="VUF71" s="459"/>
      <c r="VUG71" s="459"/>
      <c r="VUH71" s="459"/>
      <c r="VUI71" s="459"/>
      <c r="VUJ71" s="459"/>
      <c r="VUK71" s="459"/>
      <c r="VUL71" s="459"/>
      <c r="VUM71" s="459"/>
      <c r="VUN71" s="459"/>
      <c r="VUO71" s="459"/>
      <c r="VUP71" s="459"/>
      <c r="VUQ71" s="459"/>
      <c r="VUR71" s="459"/>
      <c r="VUS71" s="459"/>
      <c r="VUT71" s="459"/>
      <c r="VUU71" s="459"/>
      <c r="VUV71" s="459"/>
      <c r="VUW71" s="459"/>
      <c r="VUX71" s="459"/>
      <c r="VUY71" s="459"/>
      <c r="VUZ71" s="459"/>
      <c r="VVA71" s="459"/>
      <c r="VVB71" s="459"/>
      <c r="VVC71" s="459"/>
      <c r="VVD71" s="459"/>
      <c r="VVE71" s="459"/>
      <c r="VVF71" s="459"/>
      <c r="VVG71" s="459"/>
      <c r="VVH71" s="459"/>
      <c r="VVI71" s="459"/>
      <c r="VVJ71" s="459"/>
      <c r="VVK71" s="459"/>
      <c r="VVL71" s="459"/>
      <c r="VVM71" s="459"/>
      <c r="VVN71" s="459"/>
      <c r="VVO71" s="459"/>
      <c r="VVP71" s="459"/>
      <c r="VVQ71" s="459"/>
      <c r="VVR71" s="459"/>
      <c r="VVS71" s="459"/>
      <c r="VVT71" s="459"/>
      <c r="VVU71" s="459"/>
      <c r="VVV71" s="459"/>
      <c r="VVW71" s="459"/>
      <c r="VVX71" s="459"/>
      <c r="VVY71" s="459"/>
      <c r="VVZ71" s="459"/>
      <c r="VWA71" s="459"/>
      <c r="VWB71" s="459"/>
      <c r="VWC71" s="459"/>
      <c r="VWD71" s="459"/>
      <c r="VWE71" s="459"/>
      <c r="VWF71" s="459"/>
      <c r="VWG71" s="459"/>
      <c r="VWH71" s="459"/>
      <c r="VWI71" s="459"/>
      <c r="VWJ71" s="459"/>
      <c r="VWK71" s="459"/>
      <c r="VWL71" s="459"/>
      <c r="VWM71" s="459"/>
      <c r="VWN71" s="459"/>
      <c r="VWO71" s="459"/>
      <c r="VWP71" s="459"/>
      <c r="VWQ71" s="459"/>
      <c r="VWR71" s="459"/>
      <c r="VWS71" s="459"/>
      <c r="VWT71" s="459"/>
      <c r="VWU71" s="459"/>
      <c r="VWV71" s="459"/>
      <c r="VWW71" s="459"/>
      <c r="VWX71" s="459"/>
      <c r="VWY71" s="459"/>
      <c r="VWZ71" s="459"/>
      <c r="VXA71" s="459"/>
      <c r="VXB71" s="459"/>
      <c r="VXC71" s="459"/>
      <c r="VXD71" s="459"/>
      <c r="VXE71" s="459"/>
      <c r="VXF71" s="459"/>
      <c r="VXG71" s="459"/>
      <c r="VXH71" s="459"/>
      <c r="VXI71" s="459"/>
      <c r="VXJ71" s="459"/>
      <c r="VXK71" s="459"/>
      <c r="VXL71" s="459"/>
      <c r="VXM71" s="459"/>
      <c r="VXN71" s="459"/>
      <c r="VXO71" s="459"/>
      <c r="VXP71" s="459"/>
      <c r="VXQ71" s="459"/>
      <c r="VXR71" s="459"/>
      <c r="VXS71" s="459"/>
      <c r="VXT71" s="459"/>
      <c r="VXU71" s="459"/>
      <c r="VXV71" s="459"/>
      <c r="VXW71" s="459"/>
      <c r="VXX71" s="459"/>
      <c r="VXY71" s="459"/>
      <c r="VXZ71" s="459"/>
      <c r="VYA71" s="459"/>
      <c r="VYB71" s="459"/>
      <c r="VYC71" s="459"/>
      <c r="VYD71" s="459"/>
      <c r="VYE71" s="459"/>
      <c r="VYF71" s="459"/>
      <c r="VYG71" s="459"/>
      <c r="VYH71" s="459"/>
      <c r="VYI71" s="459"/>
      <c r="VYJ71" s="459"/>
      <c r="VYK71" s="459"/>
      <c r="VYL71" s="459"/>
      <c r="VYM71" s="459"/>
      <c r="VYN71" s="459"/>
      <c r="VYO71" s="459"/>
      <c r="VYP71" s="459"/>
      <c r="VYQ71" s="459"/>
      <c r="VYR71" s="459"/>
      <c r="VYS71" s="459"/>
      <c r="VYT71" s="459"/>
      <c r="VYU71" s="459"/>
      <c r="VYV71" s="459"/>
      <c r="VYW71" s="459"/>
      <c r="VYX71" s="459"/>
      <c r="VYY71" s="459"/>
      <c r="VYZ71" s="459"/>
      <c r="VZA71" s="459"/>
      <c r="VZB71" s="459"/>
      <c r="VZC71" s="459"/>
      <c r="VZD71" s="459"/>
      <c r="VZE71" s="459"/>
      <c r="VZF71" s="459"/>
      <c r="VZG71" s="459"/>
      <c r="VZH71" s="459"/>
      <c r="VZI71" s="459"/>
      <c r="VZJ71" s="459"/>
      <c r="VZK71" s="459"/>
      <c r="VZL71" s="459"/>
      <c r="VZM71" s="459"/>
      <c r="VZN71" s="459"/>
      <c r="VZO71" s="459"/>
      <c r="VZP71" s="459"/>
      <c r="VZQ71" s="459"/>
      <c r="VZR71" s="459"/>
      <c r="VZS71" s="459"/>
      <c r="VZT71" s="459"/>
      <c r="VZU71" s="459"/>
      <c r="VZV71" s="459"/>
      <c r="VZW71" s="459"/>
      <c r="VZX71" s="459"/>
      <c r="VZY71" s="459"/>
      <c r="VZZ71" s="459"/>
      <c r="WAA71" s="459"/>
      <c r="WAB71" s="459"/>
      <c r="WAC71" s="459"/>
      <c r="WAD71" s="459"/>
      <c r="WAE71" s="459"/>
      <c r="WAF71" s="459"/>
      <c r="WAG71" s="459"/>
      <c r="WAH71" s="459"/>
      <c r="WAI71" s="459"/>
      <c r="WAJ71" s="459"/>
      <c r="WAK71" s="459"/>
      <c r="WAL71" s="459"/>
      <c r="WAM71" s="459"/>
      <c r="WAN71" s="459"/>
      <c r="WAO71" s="459"/>
      <c r="WAP71" s="459"/>
      <c r="WAQ71" s="459"/>
      <c r="WAR71" s="459"/>
      <c r="WAS71" s="459"/>
      <c r="WAT71" s="459"/>
      <c r="WAU71" s="459"/>
      <c r="WAV71" s="459"/>
      <c r="WAW71" s="459"/>
      <c r="WAX71" s="459"/>
      <c r="WAY71" s="459"/>
      <c r="WAZ71" s="459"/>
      <c r="WBA71" s="459"/>
      <c r="WBB71" s="459"/>
      <c r="WBC71" s="459"/>
      <c r="WBD71" s="459"/>
      <c r="WBE71" s="459"/>
      <c r="WBF71" s="459"/>
      <c r="WBG71" s="459"/>
      <c r="WBH71" s="459"/>
      <c r="WBI71" s="459"/>
      <c r="WBJ71" s="459"/>
      <c r="WBK71" s="459"/>
      <c r="WBL71" s="459"/>
      <c r="WBM71" s="459"/>
      <c r="WBN71" s="459"/>
      <c r="WBO71" s="459"/>
      <c r="WBP71" s="459"/>
      <c r="WBQ71" s="459"/>
      <c r="WBR71" s="459"/>
      <c r="WBS71" s="459"/>
      <c r="WBT71" s="459"/>
      <c r="WBU71" s="459"/>
      <c r="WBV71" s="459"/>
      <c r="WBW71" s="459"/>
      <c r="WBX71" s="459"/>
      <c r="WBY71" s="459"/>
      <c r="WBZ71" s="459"/>
      <c r="WCA71" s="459"/>
      <c r="WCB71" s="459"/>
      <c r="WCC71" s="459"/>
      <c r="WCD71" s="459"/>
      <c r="WCE71" s="459"/>
      <c r="WCF71" s="459"/>
      <c r="WCG71" s="459"/>
      <c r="WCH71" s="459"/>
      <c r="WCI71" s="459"/>
      <c r="WCJ71" s="459"/>
      <c r="WCK71" s="459"/>
      <c r="WCL71" s="459"/>
      <c r="WCM71" s="459"/>
      <c r="WCN71" s="459"/>
      <c r="WCO71" s="459"/>
      <c r="WCP71" s="459"/>
      <c r="WCQ71" s="459"/>
      <c r="WCR71" s="459"/>
      <c r="WCS71" s="459"/>
      <c r="WCT71" s="459"/>
      <c r="WCU71" s="459"/>
      <c r="WCV71" s="459"/>
      <c r="WCW71" s="459"/>
      <c r="WCX71" s="459"/>
      <c r="WCY71" s="459"/>
      <c r="WCZ71" s="459"/>
      <c r="WDA71" s="459"/>
      <c r="WDB71" s="459"/>
      <c r="WDC71" s="459"/>
      <c r="WDD71" s="459"/>
      <c r="WDE71" s="459"/>
      <c r="WDF71" s="459"/>
      <c r="WDG71" s="459"/>
      <c r="WDH71" s="459"/>
      <c r="WDI71" s="459"/>
      <c r="WDJ71" s="459"/>
      <c r="WDK71" s="459"/>
      <c r="WDL71" s="459"/>
      <c r="WDM71" s="459"/>
      <c r="WDN71" s="459"/>
      <c r="WDO71" s="459"/>
      <c r="WDP71" s="459"/>
      <c r="WDQ71" s="459"/>
      <c r="WDR71" s="459"/>
      <c r="WDS71" s="459"/>
      <c r="WDT71" s="459"/>
      <c r="WDU71" s="459"/>
      <c r="WDV71" s="459"/>
      <c r="WDW71" s="459"/>
      <c r="WDX71" s="459"/>
      <c r="WDY71" s="459"/>
      <c r="WDZ71" s="459"/>
      <c r="WEA71" s="459"/>
      <c r="WEB71" s="459"/>
      <c r="WEC71" s="459"/>
      <c r="WED71" s="459"/>
      <c r="WEE71" s="459"/>
      <c r="WEF71" s="459"/>
      <c r="WEG71" s="459"/>
      <c r="WEH71" s="459"/>
      <c r="WEI71" s="459"/>
      <c r="WEJ71" s="459"/>
      <c r="WEK71" s="459"/>
      <c r="WEL71" s="459"/>
      <c r="WEM71" s="459"/>
      <c r="WEN71" s="459"/>
      <c r="WEO71" s="459"/>
      <c r="WEP71" s="459"/>
      <c r="WEQ71" s="459"/>
      <c r="WER71" s="459"/>
      <c r="WES71" s="459"/>
      <c r="WET71" s="459"/>
      <c r="WEU71" s="459"/>
      <c r="WEV71" s="459"/>
      <c r="WEW71" s="459"/>
      <c r="WEX71" s="459"/>
      <c r="WEY71" s="459"/>
      <c r="WEZ71" s="459"/>
      <c r="WFA71" s="459"/>
      <c r="WFB71" s="459"/>
      <c r="WFC71" s="459"/>
      <c r="WFD71" s="459"/>
      <c r="WFE71" s="459"/>
      <c r="WFF71" s="459"/>
      <c r="WFG71" s="459"/>
      <c r="WFH71" s="459"/>
      <c r="WFI71" s="459"/>
      <c r="WFJ71" s="459"/>
      <c r="WFK71" s="459"/>
      <c r="WFL71" s="459"/>
      <c r="WFM71" s="459"/>
      <c r="WFN71" s="459"/>
      <c r="WFO71" s="459"/>
      <c r="WFP71" s="459"/>
      <c r="WFQ71" s="459"/>
      <c r="WFR71" s="459"/>
      <c r="WFS71" s="459"/>
      <c r="WFT71" s="459"/>
      <c r="WFU71" s="459"/>
      <c r="WFV71" s="459"/>
      <c r="WFW71" s="459"/>
      <c r="WFX71" s="459"/>
      <c r="WFY71" s="459"/>
      <c r="WFZ71" s="459"/>
      <c r="WGA71" s="459"/>
      <c r="WGB71" s="459"/>
      <c r="WGC71" s="459"/>
      <c r="WGD71" s="459"/>
      <c r="WGE71" s="459"/>
      <c r="WGF71" s="459"/>
      <c r="WGG71" s="459"/>
      <c r="WGH71" s="459"/>
      <c r="WGI71" s="459"/>
      <c r="WGJ71" s="459"/>
      <c r="WGK71" s="459"/>
      <c r="WGL71" s="459"/>
      <c r="WGM71" s="459"/>
      <c r="WGN71" s="459"/>
      <c r="WGO71" s="459"/>
      <c r="WGP71" s="459"/>
      <c r="WGQ71" s="459"/>
      <c r="WGR71" s="459"/>
      <c r="WGS71" s="459"/>
      <c r="WGT71" s="459"/>
      <c r="WGU71" s="459"/>
      <c r="WGV71" s="459"/>
      <c r="WGW71" s="459"/>
      <c r="WGX71" s="459"/>
      <c r="WGY71" s="459"/>
      <c r="WGZ71" s="459"/>
      <c r="WHA71" s="459"/>
      <c r="WHB71" s="459"/>
      <c r="WHC71" s="459"/>
      <c r="WHD71" s="459"/>
      <c r="WHE71" s="459"/>
      <c r="WHF71" s="459"/>
      <c r="WHG71" s="459"/>
      <c r="WHH71" s="459"/>
      <c r="WHI71" s="459"/>
      <c r="WHJ71" s="459"/>
      <c r="WHK71" s="459"/>
      <c r="WHL71" s="459"/>
      <c r="WHM71" s="459"/>
      <c r="WHN71" s="459"/>
      <c r="WHO71" s="459"/>
      <c r="WHP71" s="459"/>
      <c r="WHQ71" s="459"/>
      <c r="WHR71" s="459"/>
      <c r="WHS71" s="459"/>
      <c r="WHT71" s="459"/>
      <c r="WHU71" s="459"/>
      <c r="WHV71" s="459"/>
      <c r="WHW71" s="459"/>
      <c r="WHX71" s="459"/>
      <c r="WHY71" s="459"/>
      <c r="WHZ71" s="459"/>
      <c r="WIA71" s="459"/>
      <c r="WIB71" s="459"/>
      <c r="WIC71" s="459"/>
      <c r="WID71" s="459"/>
      <c r="WIE71" s="459"/>
      <c r="WIF71" s="459"/>
      <c r="WIG71" s="459"/>
      <c r="WIH71" s="459"/>
      <c r="WII71" s="459"/>
      <c r="WIJ71" s="459"/>
      <c r="WIK71" s="459"/>
      <c r="WIL71" s="459"/>
      <c r="WIM71" s="459"/>
      <c r="WIN71" s="459"/>
      <c r="WIO71" s="459"/>
      <c r="WIP71" s="459"/>
      <c r="WIQ71" s="459"/>
      <c r="WIR71" s="459"/>
      <c r="WIS71" s="459"/>
      <c r="WIT71" s="459"/>
      <c r="WIU71" s="459"/>
      <c r="WIV71" s="459"/>
      <c r="WIW71" s="459"/>
      <c r="WIX71" s="459"/>
      <c r="WIY71" s="459"/>
      <c r="WIZ71" s="459"/>
      <c r="WJA71" s="459"/>
      <c r="WJB71" s="459"/>
      <c r="WJC71" s="459"/>
      <c r="WJD71" s="459"/>
      <c r="WJE71" s="459"/>
      <c r="WJF71" s="459"/>
      <c r="WJG71" s="459"/>
      <c r="WJH71" s="459"/>
      <c r="WJI71" s="459"/>
      <c r="WJJ71" s="459"/>
      <c r="WJK71" s="459"/>
      <c r="WJL71" s="459"/>
      <c r="WJM71" s="459"/>
      <c r="WJN71" s="459"/>
      <c r="WJO71" s="459"/>
      <c r="WJP71" s="459"/>
      <c r="WJQ71" s="459"/>
      <c r="WJR71" s="459"/>
      <c r="WJS71" s="459"/>
      <c r="WJT71" s="459"/>
      <c r="WJU71" s="459"/>
      <c r="WJV71" s="459"/>
      <c r="WJW71" s="459"/>
      <c r="WJX71" s="459"/>
      <c r="WJY71" s="459"/>
      <c r="WJZ71" s="459"/>
      <c r="WKA71" s="459"/>
      <c r="WKB71" s="459"/>
      <c r="WKC71" s="459"/>
      <c r="WKD71" s="459"/>
      <c r="WKE71" s="459"/>
      <c r="WKF71" s="459"/>
      <c r="WKG71" s="459"/>
      <c r="WKH71" s="459"/>
      <c r="WKI71" s="459"/>
      <c r="WKJ71" s="459"/>
      <c r="WKK71" s="459"/>
      <c r="WKL71" s="459"/>
      <c r="WKM71" s="459"/>
      <c r="WKN71" s="459"/>
      <c r="WKO71" s="459"/>
      <c r="WKP71" s="459"/>
      <c r="WKQ71" s="459"/>
      <c r="WKR71" s="459"/>
      <c r="WKS71" s="459"/>
      <c r="WKT71" s="459"/>
      <c r="WKU71" s="459"/>
      <c r="WKV71" s="459"/>
      <c r="WKW71" s="459"/>
      <c r="WKX71" s="459"/>
      <c r="WKY71" s="459"/>
      <c r="WKZ71" s="459"/>
      <c r="WLA71" s="459"/>
      <c r="WLB71" s="459"/>
      <c r="WLC71" s="459"/>
      <c r="WLD71" s="459"/>
      <c r="WLE71" s="459"/>
      <c r="WLF71" s="459"/>
      <c r="WLG71" s="459"/>
      <c r="WLH71" s="459"/>
      <c r="WLI71" s="459"/>
      <c r="WLJ71" s="459"/>
      <c r="WLK71" s="459"/>
      <c r="WLL71" s="459"/>
      <c r="WLM71" s="459"/>
      <c r="WLN71" s="459"/>
      <c r="WLO71" s="459"/>
      <c r="WLP71" s="459"/>
      <c r="WLQ71" s="459"/>
      <c r="WLR71" s="459"/>
      <c r="WLS71" s="459"/>
      <c r="WLT71" s="459"/>
      <c r="WLU71" s="459"/>
      <c r="WLV71" s="459"/>
      <c r="WLW71" s="459"/>
      <c r="WLX71" s="459"/>
      <c r="WLY71" s="459"/>
      <c r="WLZ71" s="459"/>
      <c r="WMA71" s="459"/>
      <c r="WMB71" s="459"/>
      <c r="WMC71" s="459"/>
      <c r="WMD71" s="459"/>
      <c r="WME71" s="459"/>
      <c r="WMF71" s="459"/>
      <c r="WMG71" s="459"/>
      <c r="WMH71" s="459"/>
      <c r="WMI71" s="459"/>
      <c r="WMJ71" s="459"/>
      <c r="WMK71" s="459"/>
      <c r="WML71" s="459"/>
      <c r="WMM71" s="459"/>
      <c r="WMN71" s="459"/>
      <c r="WMO71" s="459"/>
      <c r="WMP71" s="459"/>
      <c r="WMQ71" s="459"/>
      <c r="WMR71" s="459"/>
      <c r="WMS71" s="459"/>
      <c r="WMT71" s="459"/>
      <c r="WMU71" s="459"/>
      <c r="WMV71" s="459"/>
      <c r="WMW71" s="459"/>
      <c r="WMX71" s="459"/>
      <c r="WMY71" s="459"/>
      <c r="WMZ71" s="459"/>
      <c r="WNA71" s="459"/>
      <c r="WNB71" s="459"/>
      <c r="WNC71" s="459"/>
      <c r="WND71" s="459"/>
      <c r="WNE71" s="459"/>
      <c r="WNF71" s="459"/>
      <c r="WNG71" s="459"/>
      <c r="WNH71" s="459"/>
      <c r="WNI71" s="459"/>
      <c r="WNJ71" s="459"/>
      <c r="WNK71" s="459"/>
      <c r="WNL71" s="459"/>
      <c r="WNM71" s="459"/>
      <c r="WNN71" s="459"/>
      <c r="WNO71" s="459"/>
      <c r="WNP71" s="459"/>
      <c r="WNQ71" s="459"/>
      <c r="WNR71" s="459"/>
      <c r="WNS71" s="459"/>
      <c r="WNT71" s="459"/>
      <c r="WNU71" s="459"/>
      <c r="WNV71" s="459"/>
      <c r="WNW71" s="459"/>
      <c r="WNX71" s="459"/>
      <c r="WNY71" s="459"/>
      <c r="WNZ71" s="459"/>
      <c r="WOA71" s="459"/>
      <c r="WOB71" s="459"/>
      <c r="WOC71" s="459"/>
      <c r="WOD71" s="459"/>
      <c r="WOE71" s="459"/>
      <c r="WOF71" s="459"/>
      <c r="WOG71" s="459"/>
      <c r="WOH71" s="459"/>
      <c r="WOI71" s="459"/>
      <c r="WOJ71" s="459"/>
      <c r="WOK71" s="459"/>
      <c r="WOL71" s="459"/>
      <c r="WOM71" s="459"/>
      <c r="WON71" s="459"/>
      <c r="WOO71" s="459"/>
      <c r="WOP71" s="459"/>
      <c r="WOQ71" s="459"/>
      <c r="WOR71" s="459"/>
      <c r="WOS71" s="459"/>
      <c r="WOT71" s="459"/>
      <c r="WOU71" s="459"/>
      <c r="WOV71" s="459"/>
      <c r="WOW71" s="459"/>
      <c r="WOX71" s="459"/>
      <c r="WOY71" s="459"/>
      <c r="WOZ71" s="459"/>
      <c r="WPA71" s="459"/>
      <c r="WPB71" s="459"/>
      <c r="WPC71" s="459"/>
      <c r="WPD71" s="459"/>
      <c r="WPE71" s="459"/>
      <c r="WPF71" s="459"/>
      <c r="WPG71" s="459"/>
      <c r="WPH71" s="459"/>
      <c r="WPI71" s="459"/>
      <c r="WPJ71" s="459"/>
      <c r="WPK71" s="459"/>
      <c r="WPL71" s="459"/>
      <c r="WPM71" s="459"/>
      <c r="WPN71" s="459"/>
      <c r="WPO71" s="459"/>
      <c r="WPP71" s="459"/>
      <c r="WPQ71" s="459"/>
      <c r="WPR71" s="459"/>
      <c r="WPS71" s="459"/>
      <c r="WPT71" s="459"/>
      <c r="WPU71" s="459"/>
      <c r="WPV71" s="459"/>
      <c r="WPW71" s="459"/>
      <c r="WPX71" s="459"/>
      <c r="WPY71" s="459"/>
      <c r="WPZ71" s="459"/>
      <c r="WQA71" s="459"/>
      <c r="WQB71" s="459"/>
      <c r="WQC71" s="459"/>
      <c r="WQD71" s="459"/>
      <c r="WQE71" s="459"/>
      <c r="WQF71" s="459"/>
      <c r="WQG71" s="459"/>
      <c r="WQH71" s="459"/>
      <c r="WQI71" s="459"/>
      <c r="WQJ71" s="459"/>
      <c r="WQK71" s="459"/>
      <c r="WQL71" s="459"/>
      <c r="WQM71" s="459"/>
      <c r="WQN71" s="459"/>
      <c r="WQO71" s="459"/>
      <c r="WQP71" s="459"/>
      <c r="WQQ71" s="459"/>
      <c r="WQR71" s="459"/>
      <c r="WQS71" s="459"/>
      <c r="WQT71" s="459"/>
      <c r="WQU71" s="459"/>
      <c r="WQV71" s="459"/>
      <c r="WQW71" s="459"/>
      <c r="WQX71" s="459"/>
      <c r="WQY71" s="459"/>
      <c r="WQZ71" s="459"/>
      <c r="WRA71" s="459"/>
      <c r="WRB71" s="459"/>
      <c r="WRC71" s="459"/>
      <c r="WRD71" s="459"/>
      <c r="WRE71" s="459"/>
      <c r="WRF71" s="459"/>
      <c r="WRG71" s="459"/>
      <c r="WRH71" s="459"/>
      <c r="WRI71" s="459"/>
      <c r="WRJ71" s="459"/>
      <c r="WRK71" s="459"/>
      <c r="WRL71" s="459"/>
      <c r="WRM71" s="459"/>
      <c r="WRN71" s="459"/>
      <c r="WRO71" s="459"/>
      <c r="WRP71" s="459"/>
      <c r="WRQ71" s="459"/>
      <c r="WRR71" s="459"/>
      <c r="WRS71" s="459"/>
      <c r="WRT71" s="459"/>
      <c r="WRU71" s="459"/>
      <c r="WRV71" s="459"/>
      <c r="WRW71" s="459"/>
      <c r="WRX71" s="459"/>
      <c r="WRY71" s="459"/>
      <c r="WRZ71" s="459"/>
      <c r="WSA71" s="459"/>
      <c r="WSB71" s="459"/>
      <c r="WSC71" s="459"/>
      <c r="WSD71" s="459"/>
      <c r="WSE71" s="459"/>
      <c r="WSF71" s="459"/>
      <c r="WSG71" s="459"/>
      <c r="WSH71" s="459"/>
      <c r="WSI71" s="459"/>
      <c r="WSJ71" s="459"/>
      <c r="WSK71" s="459"/>
      <c r="WSL71" s="459"/>
      <c r="WSM71" s="459"/>
      <c r="WSN71" s="459"/>
      <c r="WSO71" s="459"/>
      <c r="WSP71" s="459"/>
      <c r="WSQ71" s="459"/>
      <c r="WSR71" s="459"/>
      <c r="WSS71" s="459"/>
      <c r="WST71" s="459"/>
      <c r="WSU71" s="459"/>
      <c r="WSV71" s="459"/>
      <c r="WSW71" s="459"/>
      <c r="WSX71" s="459"/>
      <c r="WSY71" s="459"/>
      <c r="WSZ71" s="459"/>
      <c r="WTA71" s="459"/>
      <c r="WTB71" s="459"/>
      <c r="WTC71" s="459"/>
      <c r="WTD71" s="459"/>
      <c r="WTE71" s="459"/>
      <c r="WTF71" s="459"/>
      <c r="WTG71" s="459"/>
      <c r="WTH71" s="459"/>
      <c r="WTI71" s="459"/>
      <c r="WTJ71" s="459"/>
      <c r="WTK71" s="459"/>
      <c r="WTL71" s="459"/>
      <c r="WTM71" s="459"/>
      <c r="WTN71" s="459"/>
      <c r="WTO71" s="459"/>
      <c r="WTP71" s="459"/>
      <c r="WTQ71" s="459"/>
      <c r="WTR71" s="459"/>
      <c r="WTS71" s="459"/>
      <c r="WTT71" s="459"/>
      <c r="WTU71" s="459"/>
      <c r="WTV71" s="459"/>
      <c r="WTW71" s="459"/>
      <c r="WTX71" s="459"/>
      <c r="WTY71" s="459"/>
      <c r="WTZ71" s="459"/>
      <c r="WUA71" s="459"/>
      <c r="WUB71" s="459"/>
      <c r="WUC71" s="459"/>
      <c r="WUD71" s="459"/>
      <c r="WUE71" s="459"/>
      <c r="WUF71" s="459"/>
      <c r="WUG71" s="459"/>
      <c r="WUH71" s="459"/>
      <c r="WUI71" s="459"/>
      <c r="WUJ71" s="459"/>
      <c r="WUK71" s="459"/>
      <c r="WUL71" s="459"/>
      <c r="WUM71" s="459"/>
      <c r="WUN71" s="459"/>
      <c r="WUO71" s="459"/>
      <c r="WUP71" s="459"/>
      <c r="WUQ71" s="459"/>
      <c r="WUR71" s="459"/>
      <c r="WUS71" s="459"/>
      <c r="WUT71" s="459"/>
      <c r="WUU71" s="459"/>
      <c r="WUV71" s="459"/>
      <c r="WUW71" s="459"/>
      <c r="WUX71" s="459"/>
      <c r="WUY71" s="459"/>
      <c r="WUZ71" s="459"/>
      <c r="WVA71" s="459"/>
      <c r="WVB71" s="459"/>
      <c r="WVC71" s="459"/>
      <c r="WVD71" s="459"/>
      <c r="WVE71" s="459"/>
      <c r="WVF71" s="459"/>
      <c r="WVG71" s="459"/>
      <c r="WVH71" s="459"/>
      <c r="WVI71" s="459"/>
      <c r="WVJ71" s="459"/>
      <c r="WVK71" s="459"/>
      <c r="WVL71" s="459"/>
      <c r="WVM71" s="459"/>
      <c r="WVN71" s="459"/>
      <c r="WVO71" s="459"/>
      <c r="WVP71" s="459"/>
      <c r="WVQ71" s="459"/>
      <c r="WVR71" s="459"/>
      <c r="WVS71" s="459"/>
      <c r="WVT71" s="459"/>
      <c r="WVU71" s="459"/>
      <c r="WVV71" s="459"/>
      <c r="WVW71" s="459"/>
      <c r="WVX71" s="459"/>
      <c r="WVY71" s="459"/>
      <c r="WVZ71" s="459"/>
      <c r="WWA71" s="459"/>
      <c r="WWB71" s="459"/>
      <c r="WWC71" s="459"/>
      <c r="WWD71" s="459"/>
      <c r="WWE71" s="459"/>
      <c r="WWF71" s="459"/>
      <c r="WWG71" s="459"/>
      <c r="WWH71" s="459"/>
      <c r="WWI71" s="459"/>
      <c r="WWJ71" s="459"/>
      <c r="WWK71" s="459"/>
      <c r="WWL71" s="459"/>
      <c r="WWM71" s="459"/>
      <c r="WWN71" s="459"/>
      <c r="WWO71" s="459"/>
      <c r="WWP71" s="459"/>
      <c r="WWQ71" s="459"/>
      <c r="WWR71" s="459"/>
      <c r="WWS71" s="459"/>
      <c r="WWT71" s="459"/>
      <c r="WWU71" s="459"/>
      <c r="WWV71" s="459"/>
      <c r="WWW71" s="459"/>
      <c r="WWX71" s="459"/>
      <c r="WWY71" s="459"/>
      <c r="WWZ71" s="459"/>
      <c r="WXA71" s="459"/>
      <c r="WXB71" s="459"/>
      <c r="WXC71" s="459"/>
      <c r="WXD71" s="459"/>
      <c r="WXE71" s="459"/>
      <c r="WXF71" s="459"/>
      <c r="WXG71" s="459"/>
      <c r="WXH71" s="459"/>
      <c r="WXI71" s="459"/>
      <c r="WXJ71" s="459"/>
      <c r="WXK71" s="459"/>
      <c r="WXL71" s="459"/>
      <c r="WXM71" s="459"/>
      <c r="WXN71" s="459"/>
      <c r="WXO71" s="459"/>
      <c r="WXP71" s="459"/>
      <c r="WXQ71" s="459"/>
      <c r="WXR71" s="459"/>
      <c r="WXS71" s="459"/>
      <c r="WXT71" s="459"/>
      <c r="WXU71" s="459"/>
      <c r="WXV71" s="459"/>
      <c r="WXW71" s="459"/>
      <c r="WXX71" s="459"/>
      <c r="WXY71" s="459"/>
      <c r="WXZ71" s="459"/>
      <c r="WYA71" s="459"/>
      <c r="WYB71" s="459"/>
      <c r="WYC71" s="459"/>
      <c r="WYD71" s="459"/>
      <c r="WYE71" s="459"/>
      <c r="WYF71" s="459"/>
      <c r="WYG71" s="459"/>
      <c r="WYH71" s="459"/>
      <c r="WYI71" s="459"/>
      <c r="WYJ71" s="459"/>
      <c r="WYK71" s="459"/>
      <c r="WYL71" s="459"/>
      <c r="WYM71" s="459"/>
      <c r="WYN71" s="459"/>
      <c r="WYO71" s="459"/>
      <c r="WYP71" s="459"/>
      <c r="WYQ71" s="459"/>
      <c r="WYR71" s="459"/>
      <c r="WYS71" s="459"/>
      <c r="WYT71" s="459"/>
      <c r="WYU71" s="459"/>
      <c r="WYV71" s="459"/>
      <c r="WYW71" s="459"/>
      <c r="WYX71" s="459"/>
      <c r="WYY71" s="459"/>
      <c r="WYZ71" s="459"/>
      <c r="WZA71" s="459"/>
      <c r="WZB71" s="459"/>
      <c r="WZC71" s="459"/>
      <c r="WZD71" s="459"/>
      <c r="WZE71" s="459"/>
      <c r="WZF71" s="459"/>
      <c r="WZG71" s="459"/>
      <c r="WZH71" s="459"/>
      <c r="WZI71" s="459"/>
      <c r="WZJ71" s="459"/>
      <c r="WZK71" s="459"/>
      <c r="WZL71" s="459"/>
      <c r="WZM71" s="459"/>
      <c r="WZN71" s="459"/>
      <c r="WZO71" s="459"/>
      <c r="WZP71" s="459"/>
      <c r="WZQ71" s="459"/>
      <c r="WZR71" s="459"/>
      <c r="WZS71" s="459"/>
      <c r="WZT71" s="459"/>
      <c r="WZU71" s="459"/>
      <c r="WZV71" s="459"/>
      <c r="WZW71" s="459"/>
      <c r="WZX71" s="459"/>
      <c r="WZY71" s="459"/>
      <c r="WZZ71" s="459"/>
      <c r="XAA71" s="459"/>
      <c r="XAB71" s="459"/>
      <c r="XAC71" s="459"/>
      <c r="XAD71" s="459"/>
      <c r="XAE71" s="459"/>
      <c r="XAF71" s="459"/>
      <c r="XAG71" s="459"/>
      <c r="XAH71" s="459"/>
      <c r="XAI71" s="459"/>
      <c r="XAJ71" s="459"/>
      <c r="XAK71" s="459"/>
      <c r="XAL71" s="459"/>
      <c r="XAM71" s="459"/>
      <c r="XAN71" s="459"/>
      <c r="XAO71" s="459"/>
      <c r="XAP71" s="459"/>
      <c r="XAQ71" s="459"/>
      <c r="XAR71" s="459"/>
      <c r="XAS71" s="459"/>
      <c r="XAT71" s="459"/>
      <c r="XAU71" s="459"/>
      <c r="XAV71" s="459"/>
      <c r="XAW71" s="459"/>
      <c r="XAX71" s="459"/>
      <c r="XAY71" s="459"/>
      <c r="XAZ71" s="459"/>
      <c r="XBA71" s="459"/>
      <c r="XBB71" s="459"/>
      <c r="XBC71" s="459"/>
      <c r="XBD71" s="459"/>
      <c r="XBE71" s="459"/>
      <c r="XBF71" s="459"/>
      <c r="XBG71" s="459"/>
      <c r="XBH71" s="459"/>
      <c r="XBI71" s="459"/>
      <c r="XBJ71" s="459"/>
      <c r="XBK71" s="459"/>
      <c r="XBL71" s="459"/>
      <c r="XBM71" s="459"/>
      <c r="XBN71" s="459"/>
      <c r="XBO71" s="459"/>
      <c r="XBP71" s="459"/>
      <c r="XBQ71" s="459"/>
      <c r="XBR71" s="459"/>
      <c r="XBS71" s="459"/>
      <c r="XBT71" s="459"/>
      <c r="XBU71" s="459"/>
      <c r="XBV71" s="459"/>
      <c r="XBW71" s="459"/>
      <c r="XBX71" s="459"/>
      <c r="XBY71" s="459"/>
      <c r="XBZ71" s="459"/>
      <c r="XCA71" s="459"/>
      <c r="XCB71" s="459"/>
      <c r="XCC71" s="459"/>
      <c r="XCD71" s="459"/>
      <c r="XCE71" s="459"/>
      <c r="XCF71" s="459"/>
      <c r="XCG71" s="459"/>
      <c r="XCH71" s="459"/>
      <c r="XCI71" s="459"/>
      <c r="XCJ71" s="459"/>
      <c r="XCK71" s="459"/>
      <c r="XCL71" s="459"/>
      <c r="XCM71" s="459"/>
      <c r="XCN71" s="459"/>
      <c r="XCO71" s="459"/>
      <c r="XCP71" s="459"/>
      <c r="XCQ71" s="459"/>
      <c r="XCR71" s="459"/>
      <c r="XCS71" s="459"/>
      <c r="XCT71" s="459"/>
      <c r="XCU71" s="459"/>
      <c r="XCV71" s="459"/>
      <c r="XCW71" s="459"/>
      <c r="XCX71" s="459"/>
      <c r="XCY71" s="459"/>
      <c r="XCZ71" s="459"/>
      <c r="XDA71" s="459"/>
      <c r="XDB71" s="459"/>
      <c r="XDC71" s="459"/>
      <c r="XDD71" s="459"/>
      <c r="XDE71" s="459"/>
      <c r="XDF71" s="459"/>
      <c r="XDG71" s="459"/>
      <c r="XDH71" s="459"/>
      <c r="XDI71" s="459"/>
      <c r="XDJ71" s="459"/>
      <c r="XDK71" s="459"/>
      <c r="XDL71" s="459"/>
      <c r="XDM71" s="459"/>
      <c r="XDN71" s="459"/>
      <c r="XDO71" s="459"/>
      <c r="XDP71" s="459"/>
      <c r="XDQ71" s="459"/>
      <c r="XDR71" s="459"/>
      <c r="XDS71" s="459"/>
      <c r="XDT71" s="459"/>
      <c r="XDU71" s="459"/>
      <c r="XDV71" s="459"/>
      <c r="XDW71" s="459"/>
      <c r="XDX71" s="459"/>
      <c r="XDY71" s="459"/>
      <c r="XDZ71" s="459"/>
      <c r="XEA71" s="459"/>
      <c r="XEB71" s="459"/>
      <c r="XEC71" s="459"/>
      <c r="XED71" s="459"/>
      <c r="XEE71" s="459"/>
      <c r="XEF71" s="459"/>
      <c r="XEG71" s="459"/>
      <c r="XEH71" s="459"/>
      <c r="XEI71" s="459"/>
      <c r="XEJ71" s="459"/>
      <c r="XEK71" s="459"/>
      <c r="XEL71" s="459"/>
      <c r="XEM71" s="459"/>
      <c r="XEN71" s="459"/>
    </row>
    <row r="72" spans="1:16368" s="192" customFormat="1" ht="272.5" customHeight="1" x14ac:dyDescent="0.25">
      <c r="A72" s="387">
        <f t="shared" si="16"/>
        <v>53</v>
      </c>
      <c r="B72" s="320" t="s">
        <v>382</v>
      </c>
      <c r="C72" s="274" t="s">
        <v>382</v>
      </c>
      <c r="D72" s="331" t="s">
        <v>383</v>
      </c>
      <c r="E72" s="86">
        <f t="shared" si="13"/>
        <v>294</v>
      </c>
      <c r="F72" s="330" t="s">
        <v>384</v>
      </c>
      <c r="G72" s="159">
        <f t="shared" si="14"/>
        <v>312</v>
      </c>
      <c r="H72" s="330" t="s">
        <v>385</v>
      </c>
      <c r="I72" s="86">
        <f t="shared" si="15"/>
        <v>302</v>
      </c>
      <c r="J72" s="208" t="s">
        <v>34</v>
      </c>
      <c r="K72" s="86" t="s">
        <v>20</v>
      </c>
      <c r="L72" s="86" t="s">
        <v>20</v>
      </c>
      <c r="M72" s="86" t="s">
        <v>35</v>
      </c>
      <c r="N72" s="208" t="s">
        <v>20</v>
      </c>
      <c r="O72" s="85" t="s">
        <v>386</v>
      </c>
      <c r="P72" s="85"/>
      <c r="Q72" s="461" t="s">
        <v>387</v>
      </c>
      <c r="R72" s="242"/>
      <c r="S72" s="187"/>
    </row>
    <row r="73" spans="1:16368" s="192" customFormat="1" ht="409.5" customHeight="1" x14ac:dyDescent="0.25">
      <c r="A73" s="387">
        <f t="shared" si="16"/>
        <v>54</v>
      </c>
      <c r="B73" s="382" t="s">
        <v>388</v>
      </c>
      <c r="C73" s="372" t="s">
        <v>388</v>
      </c>
      <c r="D73" s="457" t="s">
        <v>389</v>
      </c>
      <c r="E73" s="384">
        <f t="shared" si="13"/>
        <v>1244</v>
      </c>
      <c r="F73" s="158" t="s">
        <v>390</v>
      </c>
      <c r="G73" s="159">
        <f t="shared" si="14"/>
        <v>1288</v>
      </c>
      <c r="H73" s="113" t="s">
        <v>391</v>
      </c>
      <c r="I73" s="384">
        <f t="shared" si="15"/>
        <v>1311</v>
      </c>
      <c r="J73" s="386" t="s">
        <v>34</v>
      </c>
      <c r="K73" s="384" t="s">
        <v>20</v>
      </c>
      <c r="L73" s="384" t="s">
        <v>20</v>
      </c>
      <c r="M73" s="458" t="s">
        <v>392</v>
      </c>
      <c r="N73" s="374" t="s">
        <v>20</v>
      </c>
      <c r="O73" s="375" t="s">
        <v>393</v>
      </c>
      <c r="P73" s="226"/>
      <c r="Q73" s="462" t="s">
        <v>394</v>
      </c>
      <c r="R73" s="235"/>
      <c r="S73" s="187"/>
    </row>
    <row r="74" spans="1:16368" s="243" customFormat="1" ht="226" customHeight="1" x14ac:dyDescent="0.25">
      <c r="A74" s="387">
        <f t="shared" si="16"/>
        <v>55</v>
      </c>
      <c r="B74" s="371" t="s">
        <v>395</v>
      </c>
      <c r="C74" s="371" t="s">
        <v>395</v>
      </c>
      <c r="D74" s="341" t="s">
        <v>305</v>
      </c>
      <c r="E74" s="156">
        <f t="shared" si="13"/>
        <v>143</v>
      </c>
      <c r="F74" s="155" t="s">
        <v>396</v>
      </c>
      <c r="G74" s="156">
        <f t="shared" si="14"/>
        <v>145</v>
      </c>
      <c r="H74" s="155" t="s">
        <v>307</v>
      </c>
      <c r="I74" s="156">
        <f t="shared" si="15"/>
        <v>148</v>
      </c>
      <c r="J74" s="372" t="s">
        <v>34</v>
      </c>
      <c r="K74" s="156" t="s">
        <v>20</v>
      </c>
      <c r="L74" s="156" t="s">
        <v>20</v>
      </c>
      <c r="M74" s="156" t="s">
        <v>35</v>
      </c>
      <c r="N74" s="374" t="s">
        <v>20</v>
      </c>
      <c r="O74" s="375" t="s">
        <v>397</v>
      </c>
      <c r="P74" s="226"/>
      <c r="Q74" s="462" t="s">
        <v>398</v>
      </c>
      <c r="R74" s="235"/>
      <c r="S74" s="183"/>
    </row>
    <row r="75" spans="1:16368" s="243" customFormat="1" ht="230.5" customHeight="1" x14ac:dyDescent="0.25">
      <c r="A75" s="387">
        <f t="shared" si="16"/>
        <v>56</v>
      </c>
      <c r="B75" s="177" t="s">
        <v>399</v>
      </c>
      <c r="C75" s="177" t="s">
        <v>399</v>
      </c>
      <c r="D75" s="136" t="s">
        <v>311</v>
      </c>
      <c r="E75" s="84">
        <f t="shared" si="13"/>
        <v>170</v>
      </c>
      <c r="F75" s="83" t="s">
        <v>400</v>
      </c>
      <c r="G75" s="84">
        <f t="shared" si="14"/>
        <v>149</v>
      </c>
      <c r="H75" s="110" t="s">
        <v>361</v>
      </c>
      <c r="I75" s="84">
        <f t="shared" si="15"/>
        <v>146</v>
      </c>
      <c r="J75" s="182" t="s">
        <v>34</v>
      </c>
      <c r="K75" s="84" t="s">
        <v>20</v>
      </c>
      <c r="L75" s="84" t="s">
        <v>20</v>
      </c>
      <c r="M75" s="84" t="s">
        <v>35</v>
      </c>
      <c r="N75" s="178" t="s">
        <v>20</v>
      </c>
      <c r="O75" s="375" t="s">
        <v>397</v>
      </c>
      <c r="P75" s="87"/>
      <c r="Q75" s="462" t="s">
        <v>401</v>
      </c>
      <c r="R75" s="235"/>
      <c r="S75" s="183"/>
    </row>
    <row r="76" spans="1:16368" s="192" customFormat="1" ht="214.5" customHeight="1" x14ac:dyDescent="0.25">
      <c r="A76" s="387">
        <f t="shared" si="16"/>
        <v>57</v>
      </c>
      <c r="B76" s="177" t="s">
        <v>402</v>
      </c>
      <c r="C76" s="177" t="s">
        <v>402</v>
      </c>
      <c r="D76" s="136" t="s">
        <v>403</v>
      </c>
      <c r="E76" s="84">
        <f t="shared" si="13"/>
        <v>175</v>
      </c>
      <c r="F76" s="155" t="s">
        <v>365</v>
      </c>
      <c r="G76" s="156">
        <f t="shared" si="14"/>
        <v>174</v>
      </c>
      <c r="H76" s="88" t="s">
        <v>318</v>
      </c>
      <c r="I76" s="84">
        <f t="shared" si="15"/>
        <v>156</v>
      </c>
      <c r="J76" s="182" t="s">
        <v>34</v>
      </c>
      <c r="K76" s="84" t="s">
        <v>20</v>
      </c>
      <c r="L76" s="84" t="s">
        <v>20</v>
      </c>
      <c r="M76" s="84" t="s">
        <v>35</v>
      </c>
      <c r="N76" s="178" t="s">
        <v>20</v>
      </c>
      <c r="O76" s="375" t="s">
        <v>397</v>
      </c>
      <c r="P76" s="226"/>
      <c r="Q76" s="234" t="s">
        <v>404</v>
      </c>
      <c r="R76" s="235"/>
      <c r="S76" s="183"/>
    </row>
    <row r="77" spans="1:16368" s="192" customFormat="1" ht="288.5" customHeight="1" x14ac:dyDescent="0.25">
      <c r="A77" s="387">
        <f t="shared" si="16"/>
        <v>58</v>
      </c>
      <c r="B77" s="258" t="s">
        <v>405</v>
      </c>
      <c r="C77" s="182" t="s">
        <v>405</v>
      </c>
      <c r="D77" s="139" t="s">
        <v>406</v>
      </c>
      <c r="E77" s="185">
        <f t="shared" si="13"/>
        <v>295</v>
      </c>
      <c r="F77" s="331" t="s">
        <v>407</v>
      </c>
      <c r="G77" s="86">
        <f t="shared" si="14"/>
        <v>314</v>
      </c>
      <c r="H77" s="331" t="s">
        <v>408</v>
      </c>
      <c r="I77" s="185">
        <f t="shared" si="15"/>
        <v>304</v>
      </c>
      <c r="J77" s="186" t="s">
        <v>34</v>
      </c>
      <c r="K77" s="185" t="s">
        <v>20</v>
      </c>
      <c r="L77" s="185" t="s">
        <v>20</v>
      </c>
      <c r="M77" s="185" t="s">
        <v>35</v>
      </c>
      <c r="N77" s="178" t="s">
        <v>20</v>
      </c>
      <c r="O77" s="241" t="s">
        <v>409</v>
      </c>
      <c r="P77" s="205"/>
      <c r="Q77" s="241" t="s">
        <v>410</v>
      </c>
      <c r="R77" s="242"/>
      <c r="S77" s="187"/>
    </row>
    <row r="78" spans="1:16368" s="192" customFormat="1" ht="409.5" customHeight="1" x14ac:dyDescent="0.25">
      <c r="A78" s="387">
        <f t="shared" si="16"/>
        <v>59</v>
      </c>
      <c r="B78" s="258" t="s">
        <v>411</v>
      </c>
      <c r="C78" s="182" t="s">
        <v>412</v>
      </c>
      <c r="D78" s="140" t="s">
        <v>413</v>
      </c>
      <c r="E78" s="185">
        <f t="shared" si="13"/>
        <v>1434</v>
      </c>
      <c r="F78" s="158" t="s">
        <v>414</v>
      </c>
      <c r="G78" s="159">
        <f t="shared" si="14"/>
        <v>1439</v>
      </c>
      <c r="H78" s="113" t="s">
        <v>415</v>
      </c>
      <c r="I78" s="185">
        <f t="shared" si="15"/>
        <v>1530</v>
      </c>
      <c r="J78" s="186" t="s">
        <v>278</v>
      </c>
      <c r="K78" s="185" t="s">
        <v>20</v>
      </c>
      <c r="L78" s="185" t="s">
        <v>20</v>
      </c>
      <c r="M78" s="185" t="s">
        <v>416</v>
      </c>
      <c r="N78" s="179" t="s">
        <v>417</v>
      </c>
      <c r="O78" s="638" t="s">
        <v>418</v>
      </c>
      <c r="P78" s="244" t="s">
        <v>419</v>
      </c>
      <c r="Q78" s="241" t="s">
        <v>420</v>
      </c>
      <c r="R78" s="245"/>
      <c r="S78" s="187"/>
    </row>
    <row r="79" spans="1:16368" s="224" customFormat="1" ht="177.5" customHeight="1" thickBot="1" x14ac:dyDescent="0.3">
      <c r="A79" s="641">
        <f t="shared" si="16"/>
        <v>60</v>
      </c>
      <c r="B79" s="446" t="s">
        <v>421</v>
      </c>
      <c r="C79" s="649" t="s">
        <v>421</v>
      </c>
      <c r="D79" s="639" t="s">
        <v>422</v>
      </c>
      <c r="E79" s="640">
        <f t="shared" si="13"/>
        <v>331</v>
      </c>
      <c r="F79" s="650"/>
      <c r="G79" s="640">
        <f t="shared" si="14"/>
        <v>0</v>
      </c>
      <c r="H79" s="651"/>
      <c r="I79" s="640">
        <f t="shared" si="15"/>
        <v>0</v>
      </c>
      <c r="J79" s="650" t="s">
        <v>22</v>
      </c>
      <c r="K79" s="651" t="s">
        <v>20</v>
      </c>
      <c r="L79" s="651" t="s">
        <v>20</v>
      </c>
      <c r="M79" s="651" t="s">
        <v>23</v>
      </c>
      <c r="N79" s="651" t="s">
        <v>20</v>
      </c>
      <c r="O79" s="652" t="s">
        <v>423</v>
      </c>
      <c r="P79" s="653" t="s">
        <v>87</v>
      </c>
      <c r="Q79" s="654"/>
      <c r="R79" s="655" t="s">
        <v>88</v>
      </c>
      <c r="S79" s="354"/>
      <c r="V79" s="355"/>
      <c r="W79" s="355" t="str">
        <f>IF(V79="","",V79*O79)</f>
        <v/>
      </c>
      <c r="X79" s="353" t="str">
        <f>IF(R79="yes",W79,"")</f>
        <v/>
      </c>
    </row>
    <row r="80" spans="1:16368" s="200" customFormat="1" ht="34.5" customHeight="1" thickBot="1" x14ac:dyDescent="0.3">
      <c r="A80" s="671" t="s">
        <v>424</v>
      </c>
      <c r="B80" s="672"/>
      <c r="C80" s="672"/>
      <c r="D80" s="672"/>
      <c r="E80" s="672"/>
      <c r="F80" s="672"/>
      <c r="G80" s="672"/>
      <c r="H80" s="672"/>
      <c r="I80" s="672"/>
      <c r="J80" s="672"/>
      <c r="K80" s="672"/>
      <c r="L80" s="672"/>
      <c r="M80" s="672"/>
      <c r="N80" s="672"/>
      <c r="O80" s="672"/>
      <c r="P80" s="672"/>
      <c r="Q80" s="672"/>
      <c r="R80" s="672"/>
      <c r="S80" s="673"/>
    </row>
    <row r="81" spans="1:19" s="192" customFormat="1" ht="208" customHeight="1" x14ac:dyDescent="0.25">
      <c r="A81" s="387">
        <f>A79+1</f>
        <v>61</v>
      </c>
      <c r="B81" s="182" t="s">
        <v>425</v>
      </c>
      <c r="C81" s="182" t="s">
        <v>425</v>
      </c>
      <c r="D81" s="141" t="s">
        <v>426</v>
      </c>
      <c r="E81" s="84">
        <f t="shared" ref="E81:E98" si="17">LEN(D81)</f>
        <v>220</v>
      </c>
      <c r="F81" s="141" t="s">
        <v>427</v>
      </c>
      <c r="G81" s="84">
        <f t="shared" ref="G81:G98" si="18">LEN(F81)</f>
        <v>216</v>
      </c>
      <c r="H81" s="141" t="s">
        <v>428</v>
      </c>
      <c r="I81" s="84">
        <f t="shared" ref="I81:I98" si="19">LEN(H81)</f>
        <v>192</v>
      </c>
      <c r="J81" s="209" t="s">
        <v>34</v>
      </c>
      <c r="K81" s="84" t="s">
        <v>20</v>
      </c>
      <c r="L81" s="84" t="s">
        <v>429</v>
      </c>
      <c r="M81" s="185" t="s">
        <v>35</v>
      </c>
      <c r="N81" s="178" t="s">
        <v>20</v>
      </c>
      <c r="O81" s="205" t="s">
        <v>430</v>
      </c>
      <c r="P81" s="205"/>
      <c r="Q81" s="234" t="s">
        <v>431</v>
      </c>
      <c r="R81" s="240"/>
      <c r="S81" s="246"/>
    </row>
    <row r="82" spans="1:19" s="250" customFormat="1" ht="145.5" customHeight="1" x14ac:dyDescent="0.25">
      <c r="A82" s="359">
        <f t="shared" ref="A82:A96" si="20">A81+1</f>
        <v>62</v>
      </c>
      <c r="B82" s="185" t="s">
        <v>432</v>
      </c>
      <c r="C82" s="185" t="s">
        <v>432</v>
      </c>
      <c r="D82" s="138" t="s">
        <v>433</v>
      </c>
      <c r="E82" s="185">
        <f t="shared" si="17"/>
        <v>237</v>
      </c>
      <c r="F82" s="85" t="s">
        <v>434</v>
      </c>
      <c r="G82" s="86">
        <f t="shared" si="18"/>
        <v>215</v>
      </c>
      <c r="H82" s="87" t="s">
        <v>435</v>
      </c>
      <c r="I82" s="185">
        <f t="shared" si="19"/>
        <v>224</v>
      </c>
      <c r="J82" s="217" t="s">
        <v>139</v>
      </c>
      <c r="K82" s="185" t="s">
        <v>20</v>
      </c>
      <c r="L82" s="185" t="s">
        <v>20</v>
      </c>
      <c r="M82" s="185" t="s">
        <v>23</v>
      </c>
      <c r="N82" s="178" t="s">
        <v>20</v>
      </c>
      <c r="O82" s="241" t="s">
        <v>436</v>
      </c>
      <c r="P82" s="205"/>
      <c r="Q82" s="234" t="s">
        <v>437</v>
      </c>
      <c r="R82" s="248"/>
      <c r="S82" s="249"/>
    </row>
    <row r="83" spans="1:19" s="250" customFormat="1" ht="212" customHeight="1" x14ac:dyDescent="0.25">
      <c r="A83" s="359">
        <f t="shared" si="20"/>
        <v>63</v>
      </c>
      <c r="B83" s="185" t="s">
        <v>438</v>
      </c>
      <c r="C83" s="185" t="s">
        <v>438</v>
      </c>
      <c r="D83" s="138" t="s">
        <v>439</v>
      </c>
      <c r="E83" s="185">
        <f t="shared" si="17"/>
        <v>128</v>
      </c>
      <c r="F83" s="85" t="s">
        <v>440</v>
      </c>
      <c r="G83" s="86">
        <f t="shared" si="18"/>
        <v>129</v>
      </c>
      <c r="H83" s="87" t="s">
        <v>441</v>
      </c>
      <c r="I83" s="185">
        <f t="shared" si="19"/>
        <v>130</v>
      </c>
      <c r="J83" s="217" t="s">
        <v>34</v>
      </c>
      <c r="K83" s="185" t="s">
        <v>20</v>
      </c>
      <c r="L83" s="185" t="s">
        <v>20</v>
      </c>
      <c r="M83" s="185" t="s">
        <v>35</v>
      </c>
      <c r="N83" s="178" t="s">
        <v>20</v>
      </c>
      <c r="O83" s="473" t="s">
        <v>442</v>
      </c>
      <c r="P83" s="205"/>
      <c r="Q83" s="234" t="s">
        <v>443</v>
      </c>
      <c r="R83" s="240"/>
      <c r="S83" s="251"/>
    </row>
    <row r="84" spans="1:19" s="192" customFormat="1" ht="409.5" customHeight="1" x14ac:dyDescent="0.25">
      <c r="A84" s="359">
        <f t="shared" si="20"/>
        <v>64</v>
      </c>
      <c r="B84" s="177" t="s">
        <v>444</v>
      </c>
      <c r="C84" s="182" t="s">
        <v>444</v>
      </c>
      <c r="D84" s="474" t="s">
        <v>445</v>
      </c>
      <c r="E84" s="84">
        <f t="shared" si="17"/>
        <v>1488</v>
      </c>
      <c r="F84" s="141" t="s">
        <v>446</v>
      </c>
      <c r="G84" s="84">
        <f t="shared" si="18"/>
        <v>1433</v>
      </c>
      <c r="H84" s="141" t="s">
        <v>447</v>
      </c>
      <c r="I84" s="84">
        <f t="shared" si="19"/>
        <v>1459</v>
      </c>
      <c r="J84" s="209" t="s">
        <v>34</v>
      </c>
      <c r="K84" s="84" t="s">
        <v>20</v>
      </c>
      <c r="L84" s="84" t="s">
        <v>20</v>
      </c>
      <c r="M84" s="475" t="s">
        <v>448</v>
      </c>
      <c r="N84" s="642" t="s">
        <v>449</v>
      </c>
      <c r="O84" s="205" t="s">
        <v>450</v>
      </c>
      <c r="P84" s="205"/>
      <c r="Q84" s="252" t="s">
        <v>451</v>
      </c>
      <c r="R84" s="253"/>
      <c r="S84" s="183"/>
    </row>
    <row r="85" spans="1:19" s="192" customFormat="1" ht="176" customHeight="1" x14ac:dyDescent="0.25">
      <c r="A85" s="359">
        <f t="shared" si="20"/>
        <v>65</v>
      </c>
      <c r="B85" s="371" t="s">
        <v>452</v>
      </c>
      <c r="C85" s="372" t="s">
        <v>452</v>
      </c>
      <c r="D85" s="476" t="s">
        <v>453</v>
      </c>
      <c r="E85" s="156">
        <f t="shared" si="17"/>
        <v>179</v>
      </c>
      <c r="F85" s="155" t="s">
        <v>454</v>
      </c>
      <c r="G85" s="156">
        <f t="shared" si="18"/>
        <v>160</v>
      </c>
      <c r="H85" s="157" t="s">
        <v>455</v>
      </c>
      <c r="I85" s="156">
        <f t="shared" si="19"/>
        <v>157</v>
      </c>
      <c r="J85" s="373" t="s">
        <v>34</v>
      </c>
      <c r="K85" s="156" t="s">
        <v>20</v>
      </c>
      <c r="L85" s="156" t="s">
        <v>20</v>
      </c>
      <c r="M85" s="372" t="s">
        <v>35</v>
      </c>
      <c r="N85" s="374" t="s">
        <v>20</v>
      </c>
      <c r="O85" s="477" t="s">
        <v>456</v>
      </c>
      <c r="P85" s="244"/>
      <c r="Q85" s="254" t="s">
        <v>457</v>
      </c>
      <c r="R85" s="253"/>
      <c r="S85" s="183"/>
    </row>
    <row r="86" spans="1:19" s="192" customFormat="1" ht="268.5" customHeight="1" x14ac:dyDescent="0.25">
      <c r="A86" s="247">
        <f t="shared" si="20"/>
        <v>66</v>
      </c>
      <c r="B86" s="185" t="s">
        <v>458</v>
      </c>
      <c r="C86" s="185" t="s">
        <v>458</v>
      </c>
      <c r="D86" s="138" t="s">
        <v>459</v>
      </c>
      <c r="E86" s="185">
        <f t="shared" si="17"/>
        <v>331</v>
      </c>
      <c r="F86" s="331" t="s">
        <v>460</v>
      </c>
      <c r="G86" s="185">
        <f t="shared" si="18"/>
        <v>338</v>
      </c>
      <c r="H86" s="331" t="s">
        <v>461</v>
      </c>
      <c r="I86" s="185">
        <f t="shared" si="19"/>
        <v>358</v>
      </c>
      <c r="J86" s="217" t="s">
        <v>93</v>
      </c>
      <c r="K86" s="185" t="s">
        <v>20</v>
      </c>
      <c r="L86" s="185" t="s">
        <v>20</v>
      </c>
      <c r="M86" s="185" t="s">
        <v>94</v>
      </c>
      <c r="N86" s="178" t="s">
        <v>20</v>
      </c>
      <c r="O86" s="473" t="s">
        <v>462</v>
      </c>
      <c r="P86" s="205"/>
      <c r="Q86" s="254" t="s">
        <v>463</v>
      </c>
      <c r="R86" s="255"/>
      <c r="S86" s="187"/>
    </row>
    <row r="87" spans="1:19" s="192" customFormat="1" ht="318" customHeight="1" x14ac:dyDescent="0.25">
      <c r="A87" s="359">
        <f t="shared" si="20"/>
        <v>67</v>
      </c>
      <c r="B87" s="219" t="s">
        <v>464</v>
      </c>
      <c r="C87" s="219" t="s">
        <v>465</v>
      </c>
      <c r="D87" s="142" t="s">
        <v>466</v>
      </c>
      <c r="E87" s="185">
        <f t="shared" si="17"/>
        <v>326</v>
      </c>
      <c r="F87" s="332" t="s">
        <v>467</v>
      </c>
      <c r="G87" s="219">
        <f t="shared" si="18"/>
        <v>344</v>
      </c>
      <c r="H87" s="332" t="s">
        <v>468</v>
      </c>
      <c r="I87" s="219">
        <f t="shared" si="19"/>
        <v>354</v>
      </c>
      <c r="J87" s="236" t="s">
        <v>469</v>
      </c>
      <c r="K87" s="239" t="s">
        <v>20</v>
      </c>
      <c r="L87" s="239" t="s">
        <v>20</v>
      </c>
      <c r="M87" s="239" t="s">
        <v>470</v>
      </c>
      <c r="N87" s="207" t="s">
        <v>471</v>
      </c>
      <c r="O87" s="256" t="s">
        <v>472</v>
      </c>
      <c r="P87" s="256"/>
      <c r="Q87" s="257" t="s">
        <v>473</v>
      </c>
      <c r="R87" s="248"/>
      <c r="S87" s="187"/>
    </row>
    <row r="88" spans="1:19" s="192" customFormat="1" ht="280" customHeight="1" x14ac:dyDescent="0.25">
      <c r="A88" s="359">
        <f t="shared" si="20"/>
        <v>68</v>
      </c>
      <c r="B88" s="258" t="s">
        <v>474</v>
      </c>
      <c r="C88" s="258" t="s">
        <v>474</v>
      </c>
      <c r="D88" s="138" t="s">
        <v>475</v>
      </c>
      <c r="E88" s="185">
        <f t="shared" si="17"/>
        <v>254</v>
      </c>
      <c r="F88" s="158" t="s">
        <v>476</v>
      </c>
      <c r="G88" s="159">
        <f t="shared" si="18"/>
        <v>278</v>
      </c>
      <c r="H88" s="113" t="s">
        <v>477</v>
      </c>
      <c r="I88" s="185">
        <f t="shared" si="19"/>
        <v>287</v>
      </c>
      <c r="J88" s="186" t="s">
        <v>34</v>
      </c>
      <c r="K88" s="185" t="s">
        <v>20</v>
      </c>
      <c r="L88" s="185" t="s">
        <v>20</v>
      </c>
      <c r="M88" s="185" t="s">
        <v>35</v>
      </c>
      <c r="N88" s="178" t="s">
        <v>20</v>
      </c>
      <c r="O88" s="241" t="s">
        <v>478</v>
      </c>
      <c r="P88" s="205"/>
      <c r="Q88" s="241" t="s">
        <v>479</v>
      </c>
      <c r="R88" s="242"/>
      <c r="S88" s="187"/>
    </row>
    <row r="89" spans="1:19" s="192" customFormat="1" ht="240" customHeight="1" x14ac:dyDescent="0.25">
      <c r="A89" s="359">
        <f t="shared" si="20"/>
        <v>69</v>
      </c>
      <c r="B89" s="185" t="s">
        <v>480</v>
      </c>
      <c r="C89" s="185" t="s">
        <v>480</v>
      </c>
      <c r="D89" s="138" t="s">
        <v>481</v>
      </c>
      <c r="E89" s="185">
        <f t="shared" si="17"/>
        <v>253</v>
      </c>
      <c r="F89" s="158" t="s">
        <v>482</v>
      </c>
      <c r="G89" s="159">
        <f t="shared" si="18"/>
        <v>284</v>
      </c>
      <c r="H89" s="113" t="s">
        <v>483</v>
      </c>
      <c r="I89" s="185">
        <f t="shared" si="19"/>
        <v>284</v>
      </c>
      <c r="J89" s="186" t="s">
        <v>34</v>
      </c>
      <c r="K89" s="185" t="s">
        <v>20</v>
      </c>
      <c r="L89" s="185" t="s">
        <v>20</v>
      </c>
      <c r="M89" s="185" t="s">
        <v>35</v>
      </c>
      <c r="N89" s="178" t="s">
        <v>20</v>
      </c>
      <c r="O89" s="341" t="s">
        <v>484</v>
      </c>
      <c r="P89" s="179"/>
      <c r="Q89" s="259" t="s">
        <v>485</v>
      </c>
      <c r="R89" s="260"/>
      <c r="S89" s="210"/>
    </row>
    <row r="90" spans="1:19" s="192" customFormat="1" ht="137.5" customHeight="1" x14ac:dyDescent="0.25">
      <c r="A90" s="359">
        <f t="shared" si="20"/>
        <v>70</v>
      </c>
      <c r="B90" s="261" t="s">
        <v>486</v>
      </c>
      <c r="C90" s="261" t="s">
        <v>486</v>
      </c>
      <c r="D90" s="132" t="s">
        <v>487</v>
      </c>
      <c r="E90" s="185">
        <f t="shared" si="17"/>
        <v>236</v>
      </c>
      <c r="F90" s="166" t="s">
        <v>488</v>
      </c>
      <c r="G90" s="165">
        <f t="shared" si="18"/>
        <v>251</v>
      </c>
      <c r="H90" s="167" t="s">
        <v>489</v>
      </c>
      <c r="I90" s="219">
        <f t="shared" si="19"/>
        <v>259</v>
      </c>
      <c r="J90" s="262" t="s">
        <v>139</v>
      </c>
      <c r="K90" s="219" t="s">
        <v>20</v>
      </c>
      <c r="L90" s="219" t="s">
        <v>20</v>
      </c>
      <c r="M90" s="219" t="s">
        <v>23</v>
      </c>
      <c r="N90" s="180" t="s">
        <v>20</v>
      </c>
      <c r="O90" s="137" t="s">
        <v>490</v>
      </c>
      <c r="P90" s="207"/>
      <c r="Q90" s="132" t="s">
        <v>491</v>
      </c>
      <c r="R90" s="263"/>
      <c r="S90" s="682" t="s">
        <v>492</v>
      </c>
    </row>
    <row r="91" spans="1:19" s="192" customFormat="1" ht="324.5" customHeight="1" x14ac:dyDescent="0.25">
      <c r="A91" s="359">
        <f t="shared" si="20"/>
        <v>71</v>
      </c>
      <c r="B91" s="261" t="s">
        <v>493</v>
      </c>
      <c r="C91" s="261" t="s">
        <v>493</v>
      </c>
      <c r="D91" s="114" t="s">
        <v>494</v>
      </c>
      <c r="E91" s="185">
        <f t="shared" si="17"/>
        <v>175</v>
      </c>
      <c r="F91" s="105" t="s">
        <v>495</v>
      </c>
      <c r="G91" s="106">
        <f t="shared" si="18"/>
        <v>163</v>
      </c>
      <c r="H91" s="114" t="s">
        <v>496</v>
      </c>
      <c r="I91" s="219">
        <f t="shared" si="19"/>
        <v>187</v>
      </c>
      <c r="J91" s="262" t="s">
        <v>93</v>
      </c>
      <c r="K91" s="219" t="s">
        <v>20</v>
      </c>
      <c r="L91" s="219" t="s">
        <v>20</v>
      </c>
      <c r="M91" s="219" t="s">
        <v>497</v>
      </c>
      <c r="N91" s="180" t="s">
        <v>20</v>
      </c>
      <c r="O91" s="137" t="s">
        <v>498</v>
      </c>
      <c r="P91" s="207"/>
      <c r="Q91" s="132" t="s">
        <v>499</v>
      </c>
      <c r="R91" s="263"/>
      <c r="S91" s="683"/>
    </row>
    <row r="92" spans="1:19" s="192" customFormat="1" ht="146" customHeight="1" x14ac:dyDescent="0.25">
      <c r="A92" s="359">
        <f t="shared" si="20"/>
        <v>72</v>
      </c>
      <c r="B92" s="261" t="s">
        <v>500</v>
      </c>
      <c r="C92" s="261" t="s">
        <v>500</v>
      </c>
      <c r="D92" s="114" t="s">
        <v>501</v>
      </c>
      <c r="E92" s="185">
        <f t="shared" si="17"/>
        <v>123</v>
      </c>
      <c r="F92" s="105" t="s">
        <v>502</v>
      </c>
      <c r="G92" s="106">
        <f t="shared" si="18"/>
        <v>130</v>
      </c>
      <c r="H92" s="114" t="s">
        <v>503</v>
      </c>
      <c r="I92" s="219">
        <f t="shared" si="19"/>
        <v>127</v>
      </c>
      <c r="J92" s="262" t="s">
        <v>139</v>
      </c>
      <c r="K92" s="219" t="s">
        <v>20</v>
      </c>
      <c r="L92" s="219" t="s">
        <v>20</v>
      </c>
      <c r="M92" s="219" t="s">
        <v>23</v>
      </c>
      <c r="N92" s="180" t="s">
        <v>20</v>
      </c>
      <c r="O92" s="137" t="s">
        <v>504</v>
      </c>
      <c r="P92" s="207"/>
      <c r="Q92" s="132" t="s">
        <v>505</v>
      </c>
      <c r="R92" s="263"/>
      <c r="S92" s="683"/>
    </row>
    <row r="93" spans="1:19" s="192" customFormat="1" ht="180.5" customHeight="1" x14ac:dyDescent="0.25">
      <c r="A93" s="359">
        <f t="shared" si="20"/>
        <v>73</v>
      </c>
      <c r="B93" s="261" t="s">
        <v>506</v>
      </c>
      <c r="C93" s="261" t="s">
        <v>506</v>
      </c>
      <c r="D93" s="143" t="s">
        <v>507</v>
      </c>
      <c r="E93" s="185">
        <f t="shared" si="17"/>
        <v>218</v>
      </c>
      <c r="F93" s="105" t="s">
        <v>508</v>
      </c>
      <c r="G93" s="106">
        <f t="shared" si="18"/>
        <v>214</v>
      </c>
      <c r="H93" s="115" t="s">
        <v>509</v>
      </c>
      <c r="I93" s="219">
        <f t="shared" si="19"/>
        <v>182</v>
      </c>
      <c r="J93" s="262" t="s">
        <v>139</v>
      </c>
      <c r="K93" s="219" t="s">
        <v>20</v>
      </c>
      <c r="L93" s="219" t="s">
        <v>20</v>
      </c>
      <c r="M93" s="219" t="s">
        <v>23</v>
      </c>
      <c r="N93" s="180" t="s">
        <v>20</v>
      </c>
      <c r="O93" s="137" t="s">
        <v>510</v>
      </c>
      <c r="P93" s="207"/>
      <c r="Q93" s="132" t="s">
        <v>511</v>
      </c>
      <c r="R93" s="263"/>
      <c r="S93" s="670"/>
    </row>
    <row r="94" spans="1:19" s="192" customFormat="1" ht="210" customHeight="1" x14ac:dyDescent="0.25">
      <c r="A94" s="359">
        <f t="shared" si="20"/>
        <v>74</v>
      </c>
      <c r="B94" s="185" t="s">
        <v>512</v>
      </c>
      <c r="C94" s="182" t="s">
        <v>512</v>
      </c>
      <c r="D94" s="130" t="s">
        <v>513</v>
      </c>
      <c r="E94" s="185">
        <f t="shared" si="17"/>
        <v>159</v>
      </c>
      <c r="F94" s="158" t="s">
        <v>514</v>
      </c>
      <c r="G94" s="159">
        <f t="shared" si="18"/>
        <v>158</v>
      </c>
      <c r="H94" s="113" t="s">
        <v>515</v>
      </c>
      <c r="I94" s="185">
        <f t="shared" si="19"/>
        <v>162</v>
      </c>
      <c r="J94" s="186" t="s">
        <v>34</v>
      </c>
      <c r="K94" s="185" t="s">
        <v>20</v>
      </c>
      <c r="L94" s="185" t="s">
        <v>20</v>
      </c>
      <c r="M94" s="185" t="s">
        <v>35</v>
      </c>
      <c r="N94" s="178" t="s">
        <v>20</v>
      </c>
      <c r="O94" s="341" t="s">
        <v>516</v>
      </c>
      <c r="P94" s="264"/>
      <c r="Q94" s="136" t="s">
        <v>517</v>
      </c>
      <c r="R94" s="265"/>
      <c r="S94" s="187"/>
    </row>
    <row r="95" spans="1:19" s="192" customFormat="1" ht="372" customHeight="1" x14ac:dyDescent="0.25">
      <c r="A95" s="359">
        <f t="shared" si="20"/>
        <v>75</v>
      </c>
      <c r="B95" s="212" t="s">
        <v>518</v>
      </c>
      <c r="C95" s="217" t="s">
        <v>519</v>
      </c>
      <c r="D95" s="478" t="s">
        <v>520</v>
      </c>
      <c r="E95" s="185">
        <f t="shared" si="17"/>
        <v>776</v>
      </c>
      <c r="F95" s="333" t="s">
        <v>521</v>
      </c>
      <c r="G95" s="86">
        <f t="shared" si="18"/>
        <v>695</v>
      </c>
      <c r="H95" s="333" t="s">
        <v>522</v>
      </c>
      <c r="I95" s="102">
        <f t="shared" si="19"/>
        <v>675</v>
      </c>
      <c r="J95" s="266" t="s">
        <v>469</v>
      </c>
      <c r="K95" s="102" t="s">
        <v>20</v>
      </c>
      <c r="L95" s="102" t="s">
        <v>20</v>
      </c>
      <c r="M95" s="102" t="s">
        <v>523</v>
      </c>
      <c r="N95" s="178" t="s">
        <v>524</v>
      </c>
      <c r="O95" s="489" t="s">
        <v>525</v>
      </c>
      <c r="P95" s="198"/>
      <c r="Q95" s="130" t="s">
        <v>526</v>
      </c>
      <c r="R95" s="191"/>
      <c r="S95" s="187"/>
    </row>
    <row r="96" spans="1:19" s="224" customFormat="1" ht="183" customHeight="1" x14ac:dyDescent="0.25">
      <c r="A96" s="480">
        <f t="shared" si="20"/>
        <v>76</v>
      </c>
      <c r="B96" s="481" t="s">
        <v>527</v>
      </c>
      <c r="C96" s="482" t="s">
        <v>20</v>
      </c>
      <c r="D96" s="483" t="s">
        <v>528</v>
      </c>
      <c r="E96" s="484">
        <f t="shared" si="17"/>
        <v>167</v>
      </c>
      <c r="F96" s="483" t="s">
        <v>529</v>
      </c>
      <c r="G96" s="485">
        <f t="shared" si="18"/>
        <v>181</v>
      </c>
      <c r="H96" s="483" t="s">
        <v>530</v>
      </c>
      <c r="I96" s="485">
        <f t="shared" si="19"/>
        <v>157</v>
      </c>
      <c r="J96" s="486" t="s">
        <v>22</v>
      </c>
      <c r="K96" s="484" t="s">
        <v>20</v>
      </c>
      <c r="L96" s="484" t="s">
        <v>531</v>
      </c>
      <c r="M96" s="484" t="s">
        <v>23</v>
      </c>
      <c r="N96" s="487" t="s">
        <v>20</v>
      </c>
      <c r="O96" s="488" t="s">
        <v>532</v>
      </c>
      <c r="P96" s="643" t="s">
        <v>533</v>
      </c>
      <c r="Q96" s="479" t="s">
        <v>534</v>
      </c>
      <c r="R96" s="464"/>
      <c r="S96" s="223"/>
    </row>
    <row r="97" spans="1:19" s="192" customFormat="1" ht="352.5" customHeight="1" x14ac:dyDescent="0.25">
      <c r="A97" s="247">
        <f>A95+1</f>
        <v>76</v>
      </c>
      <c r="B97" s="218" t="s">
        <v>535</v>
      </c>
      <c r="C97" s="218" t="s">
        <v>535</v>
      </c>
      <c r="D97" s="137" t="s">
        <v>536</v>
      </c>
      <c r="E97" s="185">
        <f t="shared" si="17"/>
        <v>298</v>
      </c>
      <c r="F97" s="164" t="s">
        <v>537</v>
      </c>
      <c r="G97" s="165">
        <f t="shared" si="18"/>
        <v>280</v>
      </c>
      <c r="H97" s="129" t="s">
        <v>538</v>
      </c>
      <c r="I97" s="219">
        <f t="shared" si="19"/>
        <v>285</v>
      </c>
      <c r="J97" s="220" t="s">
        <v>34</v>
      </c>
      <c r="K97" s="219" t="s">
        <v>20</v>
      </c>
      <c r="L97" s="490" t="s">
        <v>539</v>
      </c>
      <c r="M97" s="441" t="s">
        <v>35</v>
      </c>
      <c r="N97" s="442" t="s">
        <v>20</v>
      </c>
      <c r="O97" s="440" t="s">
        <v>540</v>
      </c>
      <c r="P97" s="207"/>
      <c r="Q97" s="137" t="s">
        <v>541</v>
      </c>
      <c r="R97" s="191"/>
      <c r="S97" s="187"/>
    </row>
    <row r="98" spans="1:19" s="192" customFormat="1" ht="212.5" customHeight="1" thickBot="1" x14ac:dyDescent="0.3">
      <c r="A98" s="359">
        <f>A96+1</f>
        <v>77</v>
      </c>
      <c r="B98" s="267" t="s">
        <v>542</v>
      </c>
      <c r="C98" s="267" t="s">
        <v>543</v>
      </c>
      <c r="D98" s="144" t="s">
        <v>544</v>
      </c>
      <c r="E98" s="185">
        <f t="shared" si="17"/>
        <v>233</v>
      </c>
      <c r="F98" s="107" t="s">
        <v>545</v>
      </c>
      <c r="G98" s="116">
        <f t="shared" si="18"/>
        <v>252</v>
      </c>
      <c r="H98" s="109" t="s">
        <v>546</v>
      </c>
      <c r="I98" s="268">
        <f t="shared" si="19"/>
        <v>218</v>
      </c>
      <c r="J98" s="269" t="s">
        <v>278</v>
      </c>
      <c r="K98" s="268" t="s">
        <v>20</v>
      </c>
      <c r="L98" s="270" t="s">
        <v>20</v>
      </c>
      <c r="M98" s="268" t="s">
        <v>547</v>
      </c>
      <c r="N98" s="180" t="s">
        <v>20</v>
      </c>
      <c r="O98" s="215" t="s">
        <v>548</v>
      </c>
      <c r="P98" s="215"/>
      <c r="Q98" s="271" t="s">
        <v>549</v>
      </c>
      <c r="R98" s="271"/>
      <c r="S98" s="210"/>
    </row>
    <row r="99" spans="1:19" s="200" customFormat="1" ht="40.5" customHeight="1" thickBot="1" x14ac:dyDescent="0.3">
      <c r="A99" s="671" t="s">
        <v>550</v>
      </c>
      <c r="B99" s="672"/>
      <c r="C99" s="672"/>
      <c r="D99" s="672"/>
      <c r="E99" s="672"/>
      <c r="F99" s="672"/>
      <c r="G99" s="672"/>
      <c r="H99" s="672"/>
      <c r="I99" s="672"/>
      <c r="J99" s="672"/>
      <c r="K99" s="672"/>
      <c r="L99" s="672"/>
      <c r="M99" s="672"/>
      <c r="N99" s="672"/>
      <c r="O99" s="672"/>
      <c r="P99" s="672"/>
      <c r="Q99" s="672"/>
      <c r="R99" s="672"/>
      <c r="S99" s="673"/>
    </row>
    <row r="100" spans="1:19" s="192" customFormat="1" ht="263.5" customHeight="1" x14ac:dyDescent="0.25">
      <c r="A100" s="184">
        <f>A98+1</f>
        <v>78</v>
      </c>
      <c r="B100" s="258" t="s">
        <v>551</v>
      </c>
      <c r="C100" s="258" t="s">
        <v>551</v>
      </c>
      <c r="D100" s="492" t="s">
        <v>552</v>
      </c>
      <c r="E100" s="84">
        <f>LEN(D100)</f>
        <v>1514</v>
      </c>
      <c r="F100" s="83" t="s">
        <v>553</v>
      </c>
      <c r="G100" s="84">
        <f>LEN(F100)</f>
        <v>1498</v>
      </c>
      <c r="H100" s="97" t="s">
        <v>554</v>
      </c>
      <c r="I100" s="84">
        <f>LEN(H100)</f>
        <v>1493</v>
      </c>
      <c r="J100" s="209" t="s">
        <v>34</v>
      </c>
      <c r="K100" s="185" t="s">
        <v>20</v>
      </c>
      <c r="L100" s="182" t="s">
        <v>555</v>
      </c>
      <c r="M100" s="491" t="s">
        <v>556</v>
      </c>
      <c r="N100" s="374" t="s">
        <v>557</v>
      </c>
      <c r="O100" s="136" t="s">
        <v>558</v>
      </c>
      <c r="P100" s="179"/>
      <c r="Q100" s="136" t="s">
        <v>559</v>
      </c>
      <c r="R100" s="191"/>
      <c r="S100" s="187"/>
    </row>
    <row r="101" spans="1:19" s="192" customFormat="1" ht="222" customHeight="1" x14ac:dyDescent="0.25">
      <c r="A101" s="387">
        <f>A100+1</f>
        <v>79</v>
      </c>
      <c r="B101" s="86" t="s">
        <v>560</v>
      </c>
      <c r="C101" s="274" t="s">
        <v>560</v>
      </c>
      <c r="D101" s="87" t="s">
        <v>561</v>
      </c>
      <c r="E101" s="86">
        <f>LEN(D101)</f>
        <v>167</v>
      </c>
      <c r="F101" s="85" t="s">
        <v>562</v>
      </c>
      <c r="G101" s="86">
        <f>LEN(F101)</f>
        <v>178</v>
      </c>
      <c r="H101" s="87" t="s">
        <v>563</v>
      </c>
      <c r="I101" s="86">
        <f>LEN(H101)</f>
        <v>151</v>
      </c>
      <c r="J101" s="208" t="s">
        <v>34</v>
      </c>
      <c r="K101" s="86" t="s">
        <v>20</v>
      </c>
      <c r="L101" s="274" t="s">
        <v>20</v>
      </c>
      <c r="M101" s="86" t="s">
        <v>35</v>
      </c>
      <c r="N101" s="178" t="s">
        <v>20</v>
      </c>
      <c r="O101" s="179" t="s">
        <v>564</v>
      </c>
      <c r="P101" s="179"/>
      <c r="Q101" s="179" t="s">
        <v>565</v>
      </c>
      <c r="R101" s="207"/>
      <c r="S101" s="183"/>
    </row>
    <row r="102" spans="1:19" s="192" customFormat="1" ht="364.5" customHeight="1" x14ac:dyDescent="0.25">
      <c r="A102" s="387">
        <f>A101+1</f>
        <v>80</v>
      </c>
      <c r="B102" s="177" t="s">
        <v>566</v>
      </c>
      <c r="C102" s="182" t="s">
        <v>567</v>
      </c>
      <c r="D102" s="122" t="s">
        <v>568</v>
      </c>
      <c r="E102" s="84">
        <f>LEN(D102)</f>
        <v>684</v>
      </c>
      <c r="F102" s="155" t="s">
        <v>569</v>
      </c>
      <c r="G102" s="156">
        <f>LEN(F102)</f>
        <v>734</v>
      </c>
      <c r="H102" s="493" t="s">
        <v>570</v>
      </c>
      <c r="I102" s="84">
        <f>LEN(H102)</f>
        <v>660</v>
      </c>
      <c r="J102" s="182" t="s">
        <v>469</v>
      </c>
      <c r="K102" s="84" t="s">
        <v>20</v>
      </c>
      <c r="L102" s="494" t="s">
        <v>20</v>
      </c>
      <c r="M102" s="84" t="s">
        <v>470</v>
      </c>
      <c r="N102" s="178" t="s">
        <v>571</v>
      </c>
      <c r="O102" s="136" t="s">
        <v>572</v>
      </c>
      <c r="P102" s="179"/>
      <c r="Q102" s="136" t="s">
        <v>573</v>
      </c>
      <c r="R102" s="191"/>
      <c r="S102" s="187"/>
    </row>
    <row r="103" spans="1:19" s="192" customFormat="1" ht="261" customHeight="1" thickBot="1" x14ac:dyDescent="0.3">
      <c r="A103" s="387">
        <f>A102+1</f>
        <v>81</v>
      </c>
      <c r="B103" s="258" t="s">
        <v>574</v>
      </c>
      <c r="C103" s="182" t="s">
        <v>574</v>
      </c>
      <c r="D103" s="130" t="s">
        <v>575</v>
      </c>
      <c r="E103" s="185">
        <f>LEN(D103)</f>
        <v>340</v>
      </c>
      <c r="F103" s="161" t="s">
        <v>576</v>
      </c>
      <c r="G103" s="159">
        <f>LEN(F103)</f>
        <v>368</v>
      </c>
      <c r="H103" s="163" t="s">
        <v>577</v>
      </c>
      <c r="I103" s="185">
        <f>LEN(H103)</f>
        <v>316</v>
      </c>
      <c r="J103" s="186" t="s">
        <v>34</v>
      </c>
      <c r="K103" s="185" t="s">
        <v>20</v>
      </c>
      <c r="L103" s="185" t="s">
        <v>20</v>
      </c>
      <c r="M103" s="185" t="s">
        <v>35</v>
      </c>
      <c r="N103" s="178" t="s">
        <v>20</v>
      </c>
      <c r="O103" s="241" t="s">
        <v>578</v>
      </c>
      <c r="P103" s="205"/>
      <c r="Q103" s="234" t="s">
        <v>579</v>
      </c>
      <c r="R103" s="240"/>
      <c r="S103" s="187"/>
    </row>
    <row r="104" spans="1:19" s="200" customFormat="1" ht="46.5" customHeight="1" thickBot="1" x14ac:dyDescent="0.3">
      <c r="A104" s="671" t="s">
        <v>580</v>
      </c>
      <c r="B104" s="672"/>
      <c r="C104" s="672"/>
      <c r="D104" s="672"/>
      <c r="E104" s="672"/>
      <c r="F104" s="672"/>
      <c r="G104" s="672"/>
      <c r="H104" s="672"/>
      <c r="I104" s="672"/>
      <c r="J104" s="672"/>
      <c r="K104" s="672"/>
      <c r="L104" s="672"/>
      <c r="M104" s="672"/>
      <c r="N104" s="672"/>
      <c r="O104" s="672"/>
      <c r="P104" s="672"/>
      <c r="Q104" s="672"/>
      <c r="R104" s="672"/>
      <c r="S104" s="673"/>
    </row>
    <row r="105" spans="1:19" s="192" customFormat="1" ht="213.5" customHeight="1" x14ac:dyDescent="0.25">
      <c r="A105" s="387">
        <f>A103+1</f>
        <v>82</v>
      </c>
      <c r="B105" s="272" t="s">
        <v>581</v>
      </c>
      <c r="C105" s="272" t="s">
        <v>581</v>
      </c>
      <c r="D105" s="154" t="s">
        <v>582</v>
      </c>
      <c r="E105" s="84">
        <f t="shared" ref="E105:E114" si="21">LEN(D105)</f>
        <v>173</v>
      </c>
      <c r="F105" s="83" t="s">
        <v>583</v>
      </c>
      <c r="G105" s="84">
        <f t="shared" ref="G105:G114" si="22">LEN(F105)</f>
        <v>165</v>
      </c>
      <c r="H105" s="117" t="s">
        <v>584</v>
      </c>
      <c r="I105" s="84">
        <f t="shared" ref="I105:I114" si="23">LEN(H105)</f>
        <v>186</v>
      </c>
      <c r="J105" s="84" t="s">
        <v>34</v>
      </c>
      <c r="K105" s="84" t="s">
        <v>20</v>
      </c>
      <c r="L105" s="84" t="s">
        <v>585</v>
      </c>
      <c r="M105" s="84" t="s">
        <v>35</v>
      </c>
      <c r="N105" s="178" t="s">
        <v>20</v>
      </c>
      <c r="O105" s="179" t="s">
        <v>586</v>
      </c>
      <c r="P105" s="179"/>
      <c r="Q105" s="234" t="s">
        <v>587</v>
      </c>
      <c r="R105" s="240"/>
      <c r="S105" s="181"/>
    </row>
    <row r="106" spans="1:19" s="192" customFormat="1" ht="409" customHeight="1" x14ac:dyDescent="0.25">
      <c r="A106" s="387">
        <f t="shared" ref="A106:A113" si="24">A105+1</f>
        <v>83</v>
      </c>
      <c r="B106" s="177" t="s">
        <v>588</v>
      </c>
      <c r="C106" s="182" t="s">
        <v>588</v>
      </c>
      <c r="D106" s="97" t="s">
        <v>589</v>
      </c>
      <c r="E106" s="84">
        <f t="shared" si="21"/>
        <v>579</v>
      </c>
      <c r="F106" s="83" t="s">
        <v>590</v>
      </c>
      <c r="G106" s="84">
        <f t="shared" si="22"/>
        <v>636</v>
      </c>
      <c r="H106" s="83" t="s">
        <v>591</v>
      </c>
      <c r="I106" s="84">
        <f t="shared" si="23"/>
        <v>601</v>
      </c>
      <c r="J106" s="84" t="s">
        <v>34</v>
      </c>
      <c r="K106" s="84" t="s">
        <v>20</v>
      </c>
      <c r="L106" s="84" t="s">
        <v>20</v>
      </c>
      <c r="M106" s="475" t="s">
        <v>592</v>
      </c>
      <c r="N106" s="178" t="s">
        <v>20</v>
      </c>
      <c r="O106" s="179" t="s">
        <v>593</v>
      </c>
      <c r="P106" s="179"/>
      <c r="Q106" s="234" t="s">
        <v>594</v>
      </c>
      <c r="R106" s="240"/>
      <c r="S106" s="183"/>
    </row>
    <row r="107" spans="1:19" s="192" customFormat="1" ht="163" customHeight="1" x14ac:dyDescent="0.25">
      <c r="A107" s="387">
        <f t="shared" si="24"/>
        <v>84</v>
      </c>
      <c r="B107" s="258" t="s">
        <v>595</v>
      </c>
      <c r="C107" s="182" t="s">
        <v>595</v>
      </c>
      <c r="D107" s="130" t="s">
        <v>596</v>
      </c>
      <c r="E107" s="185">
        <f t="shared" si="21"/>
        <v>152</v>
      </c>
      <c r="F107" s="85" t="s">
        <v>597</v>
      </c>
      <c r="G107" s="86">
        <f t="shared" si="22"/>
        <v>129</v>
      </c>
      <c r="H107" s="87" t="s">
        <v>598</v>
      </c>
      <c r="I107" s="185">
        <f t="shared" si="23"/>
        <v>141</v>
      </c>
      <c r="J107" s="186" t="s">
        <v>139</v>
      </c>
      <c r="K107" s="185" t="s">
        <v>20</v>
      </c>
      <c r="L107" s="185" t="s">
        <v>20</v>
      </c>
      <c r="M107" s="185" t="s">
        <v>23</v>
      </c>
      <c r="N107" s="178" t="s">
        <v>20</v>
      </c>
      <c r="O107" s="136" t="s">
        <v>599</v>
      </c>
      <c r="P107" s="179"/>
      <c r="Q107" s="136" t="s">
        <v>600</v>
      </c>
      <c r="R107" s="207"/>
      <c r="S107" s="187"/>
    </row>
    <row r="108" spans="1:19" s="192" customFormat="1" ht="173" customHeight="1" x14ac:dyDescent="0.25">
      <c r="A108" s="387">
        <f t="shared" si="24"/>
        <v>85</v>
      </c>
      <c r="B108" s="258" t="s">
        <v>601</v>
      </c>
      <c r="C108" s="182" t="s">
        <v>601</v>
      </c>
      <c r="D108" s="138" t="s">
        <v>602</v>
      </c>
      <c r="E108" s="185">
        <f t="shared" si="21"/>
        <v>128</v>
      </c>
      <c r="F108" s="85" t="s">
        <v>603</v>
      </c>
      <c r="G108" s="86">
        <f t="shared" si="22"/>
        <v>115</v>
      </c>
      <c r="H108" s="85" t="s">
        <v>604</v>
      </c>
      <c r="I108" s="185">
        <f t="shared" si="23"/>
        <v>122</v>
      </c>
      <c r="J108" s="186" t="s">
        <v>139</v>
      </c>
      <c r="K108" s="185" t="s">
        <v>20</v>
      </c>
      <c r="L108" s="185" t="s">
        <v>20</v>
      </c>
      <c r="M108" s="185" t="s">
        <v>23</v>
      </c>
      <c r="N108" s="178" t="s">
        <v>20</v>
      </c>
      <c r="O108" s="136" t="s">
        <v>605</v>
      </c>
      <c r="P108" s="179"/>
      <c r="Q108" s="136" t="s">
        <v>606</v>
      </c>
      <c r="R108" s="207"/>
      <c r="S108" s="187"/>
    </row>
    <row r="109" spans="1:19" s="192" customFormat="1" ht="409.5" customHeight="1" x14ac:dyDescent="0.25">
      <c r="A109" s="95">
        <f t="shared" si="24"/>
        <v>86</v>
      </c>
      <c r="B109" s="320" t="s">
        <v>607</v>
      </c>
      <c r="C109" s="274" t="s">
        <v>608</v>
      </c>
      <c r="D109" s="87" t="s">
        <v>609</v>
      </c>
      <c r="E109" s="86">
        <f t="shared" si="21"/>
        <v>787</v>
      </c>
      <c r="F109" s="168" t="s">
        <v>610</v>
      </c>
      <c r="G109" s="159">
        <f t="shared" si="22"/>
        <v>834</v>
      </c>
      <c r="H109" s="169" t="s">
        <v>611</v>
      </c>
      <c r="I109" s="86">
        <f t="shared" si="23"/>
        <v>808</v>
      </c>
      <c r="J109" s="274" t="s">
        <v>469</v>
      </c>
      <c r="K109" s="86" t="s">
        <v>20</v>
      </c>
      <c r="L109" s="86" t="s">
        <v>20</v>
      </c>
      <c r="M109" s="86" t="s">
        <v>612</v>
      </c>
      <c r="N109" s="208" t="s">
        <v>613</v>
      </c>
      <c r="O109" s="113" t="s">
        <v>614</v>
      </c>
      <c r="P109" s="179"/>
      <c r="Q109" s="234" t="s">
        <v>615</v>
      </c>
      <c r="R109" s="235"/>
      <c r="S109" s="187"/>
    </row>
    <row r="110" spans="1:19" s="192" customFormat="1" ht="268" customHeight="1" x14ac:dyDescent="0.25">
      <c r="A110" s="387">
        <f t="shared" si="24"/>
        <v>87</v>
      </c>
      <c r="B110" s="218" t="s">
        <v>616</v>
      </c>
      <c r="C110" s="236" t="s">
        <v>617</v>
      </c>
      <c r="D110" s="137" t="s">
        <v>618</v>
      </c>
      <c r="E110" s="219">
        <f t="shared" si="21"/>
        <v>285</v>
      </c>
      <c r="F110" s="164" t="s">
        <v>619</v>
      </c>
      <c r="G110" s="165">
        <f t="shared" si="22"/>
        <v>247</v>
      </c>
      <c r="H110" s="129" t="s">
        <v>620</v>
      </c>
      <c r="I110" s="219">
        <f t="shared" si="23"/>
        <v>277</v>
      </c>
      <c r="J110" s="236" t="s">
        <v>469</v>
      </c>
      <c r="K110" s="219" t="s">
        <v>20</v>
      </c>
      <c r="L110" s="219" t="s">
        <v>20</v>
      </c>
      <c r="M110" s="219" t="s">
        <v>621</v>
      </c>
      <c r="N110" s="180" t="s">
        <v>622</v>
      </c>
      <c r="O110" s="191" t="s">
        <v>623</v>
      </c>
      <c r="P110" s="207"/>
      <c r="Q110" s="257" t="s">
        <v>624</v>
      </c>
      <c r="R110" s="248"/>
      <c r="S110" s="187"/>
    </row>
    <row r="111" spans="1:19" s="192" customFormat="1" ht="252" customHeight="1" x14ac:dyDescent="0.25">
      <c r="A111" s="387">
        <f t="shared" si="24"/>
        <v>88</v>
      </c>
      <c r="B111" s="258" t="s">
        <v>625</v>
      </c>
      <c r="C111" s="182" t="s">
        <v>625</v>
      </c>
      <c r="D111" s="130" t="s">
        <v>626</v>
      </c>
      <c r="E111" s="185">
        <f t="shared" si="21"/>
        <v>167</v>
      </c>
      <c r="F111" s="85" t="s">
        <v>627</v>
      </c>
      <c r="G111" s="86">
        <f t="shared" si="22"/>
        <v>164</v>
      </c>
      <c r="H111" s="87" t="s">
        <v>628</v>
      </c>
      <c r="I111" s="185">
        <f t="shared" si="23"/>
        <v>127</v>
      </c>
      <c r="J111" s="186" t="s">
        <v>34</v>
      </c>
      <c r="K111" s="185" t="s">
        <v>20</v>
      </c>
      <c r="L111" s="185" t="s">
        <v>20</v>
      </c>
      <c r="M111" s="185" t="s">
        <v>35</v>
      </c>
      <c r="N111" s="178" t="s">
        <v>20</v>
      </c>
      <c r="O111" s="341" t="s">
        <v>629</v>
      </c>
      <c r="P111" s="179"/>
      <c r="Q111" s="136" t="s">
        <v>630</v>
      </c>
      <c r="R111" s="273"/>
      <c r="S111" s="187"/>
    </row>
    <row r="112" spans="1:19" s="192" customFormat="1" ht="409.5" customHeight="1" x14ac:dyDescent="0.25">
      <c r="A112" s="176">
        <f t="shared" si="24"/>
        <v>89</v>
      </c>
      <c r="B112" s="212" t="s">
        <v>631</v>
      </c>
      <c r="C112" s="274" t="s">
        <v>632</v>
      </c>
      <c r="D112" s="130" t="s">
        <v>633</v>
      </c>
      <c r="E112" s="185">
        <f t="shared" si="21"/>
        <v>662</v>
      </c>
      <c r="F112" s="158" t="s">
        <v>634</v>
      </c>
      <c r="G112" s="159">
        <f t="shared" si="22"/>
        <v>642</v>
      </c>
      <c r="H112" s="113" t="s">
        <v>635</v>
      </c>
      <c r="I112" s="185">
        <f t="shared" si="23"/>
        <v>691</v>
      </c>
      <c r="J112" s="182" t="s">
        <v>469</v>
      </c>
      <c r="K112" s="185" t="s">
        <v>20</v>
      </c>
      <c r="L112" s="185" t="s">
        <v>20</v>
      </c>
      <c r="M112" s="185" t="s">
        <v>636</v>
      </c>
      <c r="N112" s="178" t="s">
        <v>637</v>
      </c>
      <c r="O112" s="498" t="s">
        <v>638</v>
      </c>
      <c r="P112" s="275"/>
      <c r="Q112" s="130" t="s">
        <v>639</v>
      </c>
      <c r="R112" s="265"/>
      <c r="S112" s="187"/>
    </row>
    <row r="113" spans="1:24" s="224" customFormat="1" ht="115.5" customHeight="1" x14ac:dyDescent="0.25">
      <c r="A113" s="495">
        <f t="shared" si="24"/>
        <v>90</v>
      </c>
      <c r="B113" s="481" t="s">
        <v>640</v>
      </c>
      <c r="C113" s="496" t="s">
        <v>640</v>
      </c>
      <c r="D113" s="483" t="s">
        <v>528</v>
      </c>
      <c r="E113" s="484">
        <f t="shared" si="21"/>
        <v>167</v>
      </c>
      <c r="F113" s="483" t="s">
        <v>641</v>
      </c>
      <c r="G113" s="484">
        <f t="shared" si="22"/>
        <v>154</v>
      </c>
      <c r="H113" s="483" t="s">
        <v>642</v>
      </c>
      <c r="I113" s="484">
        <f t="shared" si="23"/>
        <v>145</v>
      </c>
      <c r="J113" s="497" t="s">
        <v>22</v>
      </c>
      <c r="K113" s="484" t="s">
        <v>20</v>
      </c>
      <c r="L113" s="484" t="s">
        <v>643</v>
      </c>
      <c r="M113" s="484" t="s">
        <v>23</v>
      </c>
      <c r="N113" s="487" t="s">
        <v>20</v>
      </c>
      <c r="O113" s="488" t="s">
        <v>644</v>
      </c>
      <c r="P113" s="643" t="s">
        <v>533</v>
      </c>
      <c r="Q113" s="94" t="s">
        <v>645</v>
      </c>
      <c r="R113" s="222"/>
      <c r="S113" s="223"/>
    </row>
    <row r="114" spans="1:24" s="192" customFormat="1" ht="249" customHeight="1" thickBot="1" x14ac:dyDescent="0.3">
      <c r="A114" s="176">
        <f>A112+1</f>
        <v>90</v>
      </c>
      <c r="B114" s="225" t="s">
        <v>646</v>
      </c>
      <c r="C114" s="218" t="s">
        <v>647</v>
      </c>
      <c r="D114" s="144" t="s">
        <v>648</v>
      </c>
      <c r="E114" s="268">
        <f t="shared" si="21"/>
        <v>241</v>
      </c>
      <c r="F114" s="107" t="s">
        <v>649</v>
      </c>
      <c r="G114" s="116">
        <f t="shared" si="22"/>
        <v>222</v>
      </c>
      <c r="H114" s="109" t="s">
        <v>650</v>
      </c>
      <c r="I114" s="268">
        <f t="shared" si="23"/>
        <v>221</v>
      </c>
      <c r="J114" s="269" t="s">
        <v>278</v>
      </c>
      <c r="K114" s="268" t="s">
        <v>20</v>
      </c>
      <c r="L114" s="499" t="s">
        <v>651</v>
      </c>
      <c r="M114" s="268" t="s">
        <v>652</v>
      </c>
      <c r="N114" s="180" t="s">
        <v>653</v>
      </c>
      <c r="O114" s="215" t="s">
        <v>654</v>
      </c>
      <c r="P114" s="648"/>
      <c r="Q114" s="207" t="s">
        <v>655</v>
      </c>
      <c r="R114" s="271"/>
      <c r="S114" s="210"/>
    </row>
    <row r="115" spans="1:24" s="200" customFormat="1" ht="44" customHeight="1" thickBot="1" x14ac:dyDescent="0.3">
      <c r="A115" s="671" t="s">
        <v>656</v>
      </c>
      <c r="B115" s="672"/>
      <c r="C115" s="672"/>
      <c r="D115" s="672"/>
      <c r="E115" s="672"/>
      <c r="F115" s="672"/>
      <c r="G115" s="672"/>
      <c r="H115" s="672"/>
      <c r="I115" s="672"/>
      <c r="J115" s="672"/>
      <c r="K115" s="672"/>
      <c r="L115" s="672"/>
      <c r="M115" s="672"/>
      <c r="N115" s="672"/>
      <c r="O115" s="672"/>
      <c r="P115" s="672"/>
      <c r="Q115" s="672"/>
      <c r="R115" s="672"/>
      <c r="S115" s="673"/>
    </row>
    <row r="116" spans="1:24" s="192" customFormat="1" ht="383" customHeight="1" x14ac:dyDescent="0.25">
      <c r="A116" s="176">
        <f>A114+1</f>
        <v>91</v>
      </c>
      <c r="B116" s="177" t="s">
        <v>657</v>
      </c>
      <c r="C116" s="182" t="s">
        <v>657</v>
      </c>
      <c r="D116" s="141" t="s">
        <v>658</v>
      </c>
      <c r="E116" s="84">
        <f>LEN(D116)</f>
        <v>503</v>
      </c>
      <c r="F116" s="83" t="s">
        <v>659</v>
      </c>
      <c r="G116" s="84">
        <f>LEN(F116)</f>
        <v>599</v>
      </c>
      <c r="H116" s="83" t="s">
        <v>660</v>
      </c>
      <c r="I116" s="84">
        <f>LEN(H116)</f>
        <v>667</v>
      </c>
      <c r="J116" s="209" t="s">
        <v>34</v>
      </c>
      <c r="K116" s="84" t="s">
        <v>20</v>
      </c>
      <c r="L116" s="84" t="s">
        <v>661</v>
      </c>
      <c r="M116" s="475" t="s">
        <v>662</v>
      </c>
      <c r="N116" s="178" t="s">
        <v>20</v>
      </c>
      <c r="O116" s="179" t="s">
        <v>663</v>
      </c>
      <c r="P116" s="179"/>
      <c r="Q116" s="179" t="s">
        <v>664</v>
      </c>
      <c r="R116" s="207"/>
      <c r="S116" s="181"/>
    </row>
    <row r="117" spans="1:24" s="192" customFormat="1" ht="216" customHeight="1" x14ac:dyDescent="0.25">
      <c r="A117" s="387">
        <f>A116+1</f>
        <v>92</v>
      </c>
      <c r="B117" s="185" t="s">
        <v>665</v>
      </c>
      <c r="C117" s="182" t="s">
        <v>665</v>
      </c>
      <c r="D117" s="130" t="s">
        <v>666</v>
      </c>
      <c r="E117" s="185">
        <f>LEN(D117)</f>
        <v>166</v>
      </c>
      <c r="F117" s="85" t="s">
        <v>667</v>
      </c>
      <c r="G117" s="86">
        <f>LEN(F117)</f>
        <v>180</v>
      </c>
      <c r="H117" s="87" t="s">
        <v>668</v>
      </c>
      <c r="I117" s="185">
        <f>LEN(H117)</f>
        <v>150</v>
      </c>
      <c r="J117" s="186" t="s">
        <v>34</v>
      </c>
      <c r="K117" s="185" t="s">
        <v>20</v>
      </c>
      <c r="L117" s="185" t="s">
        <v>20</v>
      </c>
      <c r="M117" s="185" t="s">
        <v>35</v>
      </c>
      <c r="N117" s="178" t="s">
        <v>20</v>
      </c>
      <c r="O117" s="136" t="s">
        <v>669</v>
      </c>
      <c r="P117" s="179"/>
      <c r="Q117" s="136" t="s">
        <v>670</v>
      </c>
      <c r="R117" s="191"/>
      <c r="S117" s="187"/>
    </row>
    <row r="118" spans="1:24" s="192" customFormat="1" ht="378" customHeight="1" x14ac:dyDescent="0.25">
      <c r="A118" s="358">
        <f>A117+1</f>
        <v>93</v>
      </c>
      <c r="B118" s="258" t="s">
        <v>671</v>
      </c>
      <c r="C118" s="182" t="s">
        <v>672</v>
      </c>
      <c r="D118" s="110" t="s">
        <v>673</v>
      </c>
      <c r="E118" s="185">
        <f>LEN(D118)</f>
        <v>751</v>
      </c>
      <c r="F118" s="158" t="s">
        <v>674</v>
      </c>
      <c r="G118" s="159">
        <f>LEN(F118)</f>
        <v>716</v>
      </c>
      <c r="H118" s="160" t="s">
        <v>675</v>
      </c>
      <c r="I118" s="185">
        <f>LEN(H118)</f>
        <v>715</v>
      </c>
      <c r="J118" s="182" t="s">
        <v>469</v>
      </c>
      <c r="K118" s="185" t="s">
        <v>20</v>
      </c>
      <c r="L118" s="185" t="s">
        <v>20</v>
      </c>
      <c r="M118" s="185" t="s">
        <v>676</v>
      </c>
      <c r="N118" s="178" t="s">
        <v>677</v>
      </c>
      <c r="O118" s="136" t="s">
        <v>678</v>
      </c>
      <c r="P118" s="179"/>
      <c r="Q118" s="136" t="s">
        <v>679</v>
      </c>
      <c r="R118" s="191"/>
      <c r="S118" s="187"/>
    </row>
    <row r="119" spans="1:24" s="192" customFormat="1" ht="290.5" customHeight="1" thickBot="1" x14ac:dyDescent="0.3">
      <c r="A119" s="358">
        <f>A118+1</f>
        <v>94</v>
      </c>
      <c r="B119" s="258" t="s">
        <v>680</v>
      </c>
      <c r="C119" s="182" t="s">
        <v>680</v>
      </c>
      <c r="D119" s="130" t="s">
        <v>681</v>
      </c>
      <c r="E119" s="185">
        <f>LEN(D119)</f>
        <v>338</v>
      </c>
      <c r="F119" s="161" t="s">
        <v>682</v>
      </c>
      <c r="G119" s="159">
        <f>LEN(F119)</f>
        <v>391</v>
      </c>
      <c r="H119" s="163" t="s">
        <v>683</v>
      </c>
      <c r="I119" s="185">
        <f>LEN(H119)</f>
        <v>328</v>
      </c>
      <c r="J119" s="186" t="s">
        <v>34</v>
      </c>
      <c r="K119" s="185" t="s">
        <v>20</v>
      </c>
      <c r="L119" s="185" t="s">
        <v>20</v>
      </c>
      <c r="M119" s="185" t="s">
        <v>35</v>
      </c>
      <c r="N119" s="178" t="s">
        <v>20</v>
      </c>
      <c r="O119" s="241" t="s">
        <v>684</v>
      </c>
      <c r="P119" s="205"/>
      <c r="Q119" s="241" t="s">
        <v>685</v>
      </c>
      <c r="R119" s="242"/>
      <c r="S119" s="187"/>
    </row>
    <row r="120" spans="1:24" s="200" customFormat="1" ht="31" customHeight="1" thickBot="1" x14ac:dyDescent="0.3">
      <c r="A120" s="671" t="s">
        <v>686</v>
      </c>
      <c r="B120" s="672"/>
      <c r="C120" s="672"/>
      <c r="D120" s="672"/>
      <c r="E120" s="672"/>
      <c r="F120" s="672"/>
      <c r="G120" s="672"/>
      <c r="H120" s="672"/>
      <c r="I120" s="672"/>
      <c r="J120" s="672"/>
      <c r="K120" s="672"/>
      <c r="L120" s="672"/>
      <c r="M120" s="672"/>
      <c r="N120" s="672"/>
      <c r="O120" s="672"/>
      <c r="P120" s="672"/>
      <c r="Q120" s="672"/>
      <c r="R120" s="672"/>
      <c r="S120" s="673"/>
    </row>
    <row r="121" spans="1:24" s="192" customFormat="1" ht="168.5" customHeight="1" x14ac:dyDescent="0.25">
      <c r="A121" s="387">
        <f>A119+1</f>
        <v>95</v>
      </c>
      <c r="B121" s="388" t="s">
        <v>687</v>
      </c>
      <c r="C121" s="266" t="s">
        <v>687</v>
      </c>
      <c r="D121" s="500" t="s">
        <v>688</v>
      </c>
      <c r="E121" s="84">
        <f t="shared" ref="E121:E126" si="25">LEN(D121)</f>
        <v>206</v>
      </c>
      <c r="F121" s="83" t="s">
        <v>689</v>
      </c>
      <c r="G121" s="84">
        <f t="shared" ref="G121:G126" si="26">LEN(F121)</f>
        <v>167</v>
      </c>
      <c r="H121" s="117" t="s">
        <v>690</v>
      </c>
      <c r="I121" s="84">
        <f t="shared" ref="I121:I126" si="27">LEN(H121)</f>
        <v>206</v>
      </c>
      <c r="J121" s="84" t="s">
        <v>34</v>
      </c>
      <c r="K121" s="84" t="s">
        <v>20</v>
      </c>
      <c r="L121" s="156" t="s">
        <v>691</v>
      </c>
      <c r="M121" s="185" t="s">
        <v>35</v>
      </c>
      <c r="N121" s="178" t="s">
        <v>20</v>
      </c>
      <c r="O121" s="179" t="s">
        <v>692</v>
      </c>
      <c r="P121" s="179"/>
      <c r="Q121" s="234" t="s">
        <v>693</v>
      </c>
      <c r="R121" s="240"/>
      <c r="S121" s="181"/>
    </row>
    <row r="122" spans="1:24" s="192" customFormat="1" ht="232" customHeight="1" x14ac:dyDescent="0.25">
      <c r="A122" s="387">
        <f>A121+1</f>
        <v>96</v>
      </c>
      <c r="B122" s="320" t="s">
        <v>694</v>
      </c>
      <c r="C122" s="274" t="s">
        <v>695</v>
      </c>
      <c r="D122" s="87" t="s">
        <v>696</v>
      </c>
      <c r="E122" s="84">
        <f t="shared" si="25"/>
        <v>281</v>
      </c>
      <c r="F122" s="155" t="s">
        <v>697</v>
      </c>
      <c r="G122" s="156">
        <f t="shared" si="26"/>
        <v>270</v>
      </c>
      <c r="H122" s="157" t="s">
        <v>698</v>
      </c>
      <c r="I122" s="84">
        <f t="shared" si="27"/>
        <v>326</v>
      </c>
      <c r="J122" s="182" t="s">
        <v>278</v>
      </c>
      <c r="K122" s="84" t="s">
        <v>20</v>
      </c>
      <c r="L122" s="84" t="s">
        <v>20</v>
      </c>
      <c r="M122" s="84" t="s">
        <v>699</v>
      </c>
      <c r="N122" s="178" t="s">
        <v>700</v>
      </c>
      <c r="O122" s="179" t="s">
        <v>701</v>
      </c>
      <c r="P122" s="179"/>
      <c r="Q122" s="179" t="s">
        <v>702</v>
      </c>
      <c r="R122" s="207"/>
      <c r="S122" s="183"/>
    </row>
    <row r="123" spans="1:24" ht="279.5" customHeight="1" x14ac:dyDescent="0.25">
      <c r="A123" s="387">
        <f>A122+1</f>
        <v>97</v>
      </c>
      <c r="B123" s="206" t="s">
        <v>703</v>
      </c>
      <c r="C123" s="206" t="s">
        <v>703</v>
      </c>
      <c r="D123" s="122" t="s">
        <v>704</v>
      </c>
      <c r="E123" s="84">
        <f t="shared" si="25"/>
        <v>293</v>
      </c>
      <c r="F123" s="155" t="s">
        <v>705</v>
      </c>
      <c r="G123" s="156">
        <f t="shared" si="26"/>
        <v>368</v>
      </c>
      <c r="H123" s="113" t="s">
        <v>706</v>
      </c>
      <c r="I123" s="84">
        <f t="shared" si="27"/>
        <v>312</v>
      </c>
      <c r="J123" s="276" t="s">
        <v>34</v>
      </c>
      <c r="K123" s="276" t="s">
        <v>20</v>
      </c>
      <c r="L123" s="276" t="s">
        <v>20</v>
      </c>
      <c r="M123" s="276" t="s">
        <v>35</v>
      </c>
      <c r="N123" s="178" t="s">
        <v>20</v>
      </c>
      <c r="O123" s="277" t="s">
        <v>707</v>
      </c>
      <c r="P123" s="278"/>
      <c r="Q123" s="277" t="s">
        <v>708</v>
      </c>
      <c r="R123" s="279"/>
      <c r="S123" s="187"/>
    </row>
    <row r="124" spans="1:24" s="192" customFormat="1" ht="243" customHeight="1" x14ac:dyDescent="0.25">
      <c r="A124" s="387">
        <f>A123+1</f>
        <v>98</v>
      </c>
      <c r="B124" s="177" t="s">
        <v>709</v>
      </c>
      <c r="C124" s="182" t="s">
        <v>709</v>
      </c>
      <c r="D124" s="110" t="s">
        <v>710</v>
      </c>
      <c r="E124" s="84">
        <f t="shared" si="25"/>
        <v>170</v>
      </c>
      <c r="F124" s="155" t="s">
        <v>711</v>
      </c>
      <c r="G124" s="156">
        <f t="shared" si="26"/>
        <v>188</v>
      </c>
      <c r="H124" s="157" t="s">
        <v>712</v>
      </c>
      <c r="I124" s="84">
        <f t="shared" si="27"/>
        <v>171</v>
      </c>
      <c r="J124" s="209" t="s">
        <v>34</v>
      </c>
      <c r="K124" s="84" t="s">
        <v>20</v>
      </c>
      <c r="L124" s="84" t="s">
        <v>20</v>
      </c>
      <c r="M124" s="84" t="s">
        <v>35</v>
      </c>
      <c r="N124" s="178" t="s">
        <v>20</v>
      </c>
      <c r="O124" s="375" t="s">
        <v>713</v>
      </c>
      <c r="P124" s="179"/>
      <c r="Q124" s="136" t="s">
        <v>714</v>
      </c>
      <c r="R124" s="273"/>
      <c r="S124" s="187"/>
    </row>
    <row r="125" spans="1:24" s="192" customFormat="1" ht="341.5" customHeight="1" x14ac:dyDescent="0.25">
      <c r="A125" s="387">
        <f>A124+1</f>
        <v>99</v>
      </c>
      <c r="B125" s="177" t="s">
        <v>715</v>
      </c>
      <c r="C125" s="182" t="s">
        <v>716</v>
      </c>
      <c r="D125" s="110" t="s">
        <v>717</v>
      </c>
      <c r="E125" s="185">
        <f t="shared" si="25"/>
        <v>763</v>
      </c>
      <c r="F125" s="334" t="s">
        <v>718</v>
      </c>
      <c r="G125" s="84">
        <f t="shared" si="26"/>
        <v>802</v>
      </c>
      <c r="H125" s="334" t="s">
        <v>719</v>
      </c>
      <c r="I125" s="185">
        <f t="shared" si="27"/>
        <v>757</v>
      </c>
      <c r="J125" s="182" t="s">
        <v>469</v>
      </c>
      <c r="K125" s="185" t="s">
        <v>20</v>
      </c>
      <c r="L125" s="185" t="s">
        <v>20</v>
      </c>
      <c r="M125" s="185" t="s">
        <v>676</v>
      </c>
      <c r="N125" s="178" t="s">
        <v>720</v>
      </c>
      <c r="O125" s="341" t="s">
        <v>721</v>
      </c>
      <c r="P125" s="275"/>
      <c r="Q125" s="136" t="s">
        <v>722</v>
      </c>
      <c r="R125" s="265"/>
      <c r="S125" s="187"/>
    </row>
    <row r="126" spans="1:24" s="224" customFormat="1" ht="346.5" customHeight="1" thickBot="1" x14ac:dyDescent="0.3">
      <c r="A126" s="364">
        <f>A125+1</f>
        <v>100</v>
      </c>
      <c r="B126" s="342" t="s">
        <v>723</v>
      </c>
      <c r="C126" s="344" t="s">
        <v>724</v>
      </c>
      <c r="D126" s="501" t="s">
        <v>725</v>
      </c>
      <c r="E126" s="352">
        <f t="shared" si="25"/>
        <v>332</v>
      </c>
      <c r="F126" s="344"/>
      <c r="G126" s="346">
        <f t="shared" si="26"/>
        <v>0</v>
      </c>
      <c r="H126" s="346"/>
      <c r="I126" s="346">
        <f t="shared" si="27"/>
        <v>0</v>
      </c>
      <c r="J126" s="344" t="s">
        <v>726</v>
      </c>
      <c r="K126" s="346" t="s">
        <v>20</v>
      </c>
      <c r="L126" s="346" t="s">
        <v>727</v>
      </c>
      <c r="M126" s="346" t="s">
        <v>470</v>
      </c>
      <c r="N126" s="664" t="s">
        <v>728</v>
      </c>
      <c r="O126" s="445" t="s">
        <v>729</v>
      </c>
      <c r="P126" s="464" t="s">
        <v>730</v>
      </c>
      <c r="R126" s="414" t="s">
        <v>88</v>
      </c>
      <c r="S126" s="354"/>
      <c r="V126" s="355">
        <v>19.20000076293945</v>
      </c>
      <c r="W126" s="355" t="e">
        <f>IF(V126="","",V126*O126)</f>
        <v>#VALUE!</v>
      </c>
      <c r="X126" s="353" t="str">
        <f>IF(R126="yes",W126,"")</f>
        <v/>
      </c>
    </row>
    <row r="127" spans="1:24" s="200" customFormat="1" ht="40.5" customHeight="1" thickBot="1" x14ac:dyDescent="0.3">
      <c r="A127" s="671" t="s">
        <v>731</v>
      </c>
      <c r="B127" s="672"/>
      <c r="C127" s="672"/>
      <c r="D127" s="672"/>
      <c r="E127" s="672"/>
      <c r="F127" s="672"/>
      <c r="G127" s="672"/>
      <c r="H127" s="672"/>
      <c r="I127" s="672"/>
      <c r="J127" s="672"/>
      <c r="K127" s="672"/>
      <c r="L127" s="672"/>
      <c r="M127" s="672"/>
      <c r="N127" s="672"/>
      <c r="O127" s="672"/>
      <c r="P127" s="672"/>
      <c r="Q127" s="672"/>
      <c r="R127" s="672"/>
      <c r="S127" s="673"/>
    </row>
    <row r="128" spans="1:24" s="192" customFormat="1" ht="328.5" customHeight="1" x14ac:dyDescent="0.25">
      <c r="A128" s="387">
        <f>A126+1</f>
        <v>101</v>
      </c>
      <c r="B128" s="177" t="s">
        <v>732</v>
      </c>
      <c r="C128" s="182" t="s">
        <v>732</v>
      </c>
      <c r="D128" s="145" t="s">
        <v>733</v>
      </c>
      <c r="E128" s="84">
        <f>LEN(D128)</f>
        <v>313</v>
      </c>
      <c r="F128" s="155" t="s">
        <v>734</v>
      </c>
      <c r="G128" s="156">
        <f>LEN(F128)</f>
        <v>354</v>
      </c>
      <c r="H128" s="157" t="s">
        <v>735</v>
      </c>
      <c r="I128" s="84">
        <f>LEN(H128)</f>
        <v>406</v>
      </c>
      <c r="J128" s="209" t="s">
        <v>93</v>
      </c>
      <c r="K128" s="84" t="s">
        <v>20</v>
      </c>
      <c r="L128" s="84" t="s">
        <v>20</v>
      </c>
      <c r="M128" s="173" t="s">
        <v>736</v>
      </c>
      <c r="N128" s="178" t="s">
        <v>20</v>
      </c>
      <c r="O128" s="477" t="s">
        <v>737</v>
      </c>
      <c r="P128" s="205"/>
      <c r="Q128" s="280" t="s">
        <v>738</v>
      </c>
      <c r="R128" s="281"/>
      <c r="S128" s="181"/>
    </row>
    <row r="129" spans="1:19" s="192" customFormat="1" ht="246.5" customHeight="1" x14ac:dyDescent="0.25">
      <c r="A129" s="358">
        <f>A128+1</f>
        <v>102</v>
      </c>
      <c r="B129" s="185" t="s">
        <v>739</v>
      </c>
      <c r="C129" s="185" t="s">
        <v>739</v>
      </c>
      <c r="D129" s="110" t="s">
        <v>740</v>
      </c>
      <c r="E129" s="185">
        <f>LEN(D129)</f>
        <v>179</v>
      </c>
      <c r="F129" s="158" t="s">
        <v>741</v>
      </c>
      <c r="G129" s="159">
        <f>LEN(F129)</f>
        <v>194</v>
      </c>
      <c r="H129" s="113" t="s">
        <v>742</v>
      </c>
      <c r="I129" s="185">
        <f>LEN(H129)</f>
        <v>182</v>
      </c>
      <c r="J129" s="186" t="s">
        <v>34</v>
      </c>
      <c r="K129" s="185" t="s">
        <v>20</v>
      </c>
      <c r="L129" s="185" t="s">
        <v>20</v>
      </c>
      <c r="M129" s="185" t="s">
        <v>35</v>
      </c>
      <c r="N129" s="178" t="s">
        <v>20</v>
      </c>
      <c r="O129" s="136" t="s">
        <v>743</v>
      </c>
      <c r="P129" s="179"/>
      <c r="Q129" s="282" t="s">
        <v>744</v>
      </c>
      <c r="R129" s="283"/>
      <c r="S129" s="187"/>
    </row>
    <row r="130" spans="1:19" s="192" customFormat="1" ht="392" customHeight="1" x14ac:dyDescent="0.25">
      <c r="A130" s="358">
        <f>A129+1</f>
        <v>103</v>
      </c>
      <c r="B130" s="258" t="s">
        <v>745</v>
      </c>
      <c r="C130" s="182" t="s">
        <v>746</v>
      </c>
      <c r="D130" s="110" t="s">
        <v>747</v>
      </c>
      <c r="E130" s="185">
        <f>LEN(D130)</f>
        <v>666</v>
      </c>
      <c r="F130" s="158" t="s">
        <v>748</v>
      </c>
      <c r="G130" s="159">
        <f>LEN(F130)</f>
        <v>676</v>
      </c>
      <c r="H130" s="160" t="s">
        <v>749</v>
      </c>
      <c r="I130" s="185">
        <f>LEN(H130)</f>
        <v>634</v>
      </c>
      <c r="J130" s="182" t="s">
        <v>469</v>
      </c>
      <c r="K130" s="185" t="s">
        <v>20</v>
      </c>
      <c r="L130" s="185" t="s">
        <v>20</v>
      </c>
      <c r="M130" s="185" t="s">
        <v>470</v>
      </c>
      <c r="N130" s="178" t="s">
        <v>750</v>
      </c>
      <c r="O130" s="136" t="s">
        <v>751</v>
      </c>
      <c r="P130" s="179"/>
      <c r="Q130" s="214" t="s">
        <v>752</v>
      </c>
      <c r="R130" s="284"/>
      <c r="S130" s="187"/>
    </row>
    <row r="131" spans="1:19" s="192" customFormat="1" ht="281.5" customHeight="1" thickBot="1" x14ac:dyDescent="0.3">
      <c r="A131" s="358">
        <f>A130+1</f>
        <v>104</v>
      </c>
      <c r="B131" s="212" t="s">
        <v>753</v>
      </c>
      <c r="C131" s="217" t="s">
        <v>753</v>
      </c>
      <c r="D131" s="110" t="s">
        <v>754</v>
      </c>
      <c r="E131" s="102">
        <f>LEN(D131)</f>
        <v>354</v>
      </c>
      <c r="F131" s="161" t="s">
        <v>755</v>
      </c>
      <c r="G131" s="162">
        <f>LEN(F131)</f>
        <v>381</v>
      </c>
      <c r="H131" s="163" t="s">
        <v>756</v>
      </c>
      <c r="I131" s="102">
        <f>LEN(H131)</f>
        <v>331</v>
      </c>
      <c r="J131" s="213" t="s">
        <v>34</v>
      </c>
      <c r="K131" s="102" t="s">
        <v>20</v>
      </c>
      <c r="L131" s="102" t="s">
        <v>20</v>
      </c>
      <c r="M131" s="102" t="s">
        <v>35</v>
      </c>
      <c r="N131" s="178" t="s">
        <v>20</v>
      </c>
      <c r="O131" s="449" t="s">
        <v>757</v>
      </c>
      <c r="P131" s="198"/>
      <c r="Q131" s="214" t="s">
        <v>758</v>
      </c>
      <c r="R131" s="284"/>
      <c r="S131" s="187"/>
    </row>
    <row r="132" spans="1:19" s="200" customFormat="1" ht="50.5" customHeight="1" thickBot="1" x14ac:dyDescent="0.3">
      <c r="A132" s="671" t="s">
        <v>759</v>
      </c>
      <c r="B132" s="672"/>
      <c r="C132" s="672"/>
      <c r="D132" s="672"/>
      <c r="E132" s="672"/>
      <c r="F132" s="672"/>
      <c r="G132" s="672"/>
      <c r="H132" s="672"/>
      <c r="I132" s="672"/>
      <c r="J132" s="672"/>
      <c r="K132" s="672"/>
      <c r="L132" s="672"/>
      <c r="M132" s="672"/>
      <c r="N132" s="672"/>
      <c r="O132" s="672"/>
      <c r="P132" s="672"/>
      <c r="Q132" s="672"/>
      <c r="R132" s="672"/>
      <c r="S132" s="673"/>
    </row>
    <row r="133" spans="1:19" s="192" customFormat="1" ht="211" customHeight="1" x14ac:dyDescent="0.25">
      <c r="A133" s="387">
        <f>A131+1</f>
        <v>105</v>
      </c>
      <c r="B133" s="177" t="s">
        <v>760</v>
      </c>
      <c r="C133" s="177" t="s">
        <v>760</v>
      </c>
      <c r="D133" s="97" t="s">
        <v>761</v>
      </c>
      <c r="E133" s="84">
        <f t="shared" ref="E133:E174" si="28">LEN(D133)</f>
        <v>335</v>
      </c>
      <c r="F133" s="83" t="s">
        <v>762</v>
      </c>
      <c r="G133" s="84">
        <f t="shared" ref="G133:G174" si="29">LEN(F133)</f>
        <v>349</v>
      </c>
      <c r="H133" s="97" t="s">
        <v>763</v>
      </c>
      <c r="I133" s="84">
        <f t="shared" ref="I133:I174" si="30">LEN(H133)</f>
        <v>257</v>
      </c>
      <c r="J133" s="209" t="s">
        <v>34</v>
      </c>
      <c r="K133" s="84" t="s">
        <v>20</v>
      </c>
      <c r="L133" s="84" t="s">
        <v>20</v>
      </c>
      <c r="M133" s="84" t="s">
        <v>35</v>
      </c>
      <c r="N133" s="178" t="s">
        <v>20</v>
      </c>
      <c r="O133" s="179" t="s">
        <v>764</v>
      </c>
      <c r="P133" s="179"/>
      <c r="Q133" s="179" t="s">
        <v>765</v>
      </c>
      <c r="R133" s="207"/>
      <c r="S133" s="285" t="s">
        <v>766</v>
      </c>
    </row>
    <row r="134" spans="1:19" s="192" customFormat="1" ht="243" customHeight="1" x14ac:dyDescent="0.25">
      <c r="A134" s="358">
        <f t="shared" ref="A134:A174" si="31">A133+1</f>
        <v>106</v>
      </c>
      <c r="B134" s="258" t="s">
        <v>767</v>
      </c>
      <c r="C134" s="182" t="s">
        <v>767</v>
      </c>
      <c r="D134" s="138" t="s">
        <v>768</v>
      </c>
      <c r="E134" s="185">
        <f t="shared" si="28"/>
        <v>236</v>
      </c>
      <c r="F134" s="85" t="s">
        <v>769</v>
      </c>
      <c r="G134" s="86">
        <f t="shared" si="29"/>
        <v>248</v>
      </c>
      <c r="H134" s="87" t="s">
        <v>770</v>
      </c>
      <c r="I134" s="185">
        <f t="shared" si="30"/>
        <v>223</v>
      </c>
      <c r="J134" s="186" t="s">
        <v>34</v>
      </c>
      <c r="K134" s="185" t="s">
        <v>20</v>
      </c>
      <c r="L134" s="185" t="s">
        <v>20</v>
      </c>
      <c r="M134" s="185" t="s">
        <v>35</v>
      </c>
      <c r="N134" s="178" t="s">
        <v>20</v>
      </c>
      <c r="O134" s="136" t="s">
        <v>771</v>
      </c>
      <c r="P134" s="179"/>
      <c r="Q134" s="286" t="s">
        <v>772</v>
      </c>
      <c r="R134" s="263"/>
      <c r="S134" s="187"/>
    </row>
    <row r="135" spans="1:19" s="192" customFormat="1" ht="240.5" customHeight="1" x14ac:dyDescent="0.25">
      <c r="A135" s="358">
        <f t="shared" si="31"/>
        <v>107</v>
      </c>
      <c r="B135" s="258" t="s">
        <v>773</v>
      </c>
      <c r="C135" s="182" t="s">
        <v>773</v>
      </c>
      <c r="D135" s="138" t="s">
        <v>774</v>
      </c>
      <c r="E135" s="185">
        <f t="shared" si="28"/>
        <v>234</v>
      </c>
      <c r="F135" s="85" t="s">
        <v>775</v>
      </c>
      <c r="G135" s="86">
        <f t="shared" si="29"/>
        <v>243</v>
      </c>
      <c r="H135" s="85" t="s">
        <v>776</v>
      </c>
      <c r="I135" s="185">
        <f t="shared" si="30"/>
        <v>219</v>
      </c>
      <c r="J135" s="186" t="s">
        <v>34</v>
      </c>
      <c r="K135" s="185" t="s">
        <v>20</v>
      </c>
      <c r="L135" s="185" t="s">
        <v>20</v>
      </c>
      <c r="M135" s="185" t="s">
        <v>35</v>
      </c>
      <c r="N135" s="178" t="s">
        <v>20</v>
      </c>
      <c r="O135" s="136" t="s">
        <v>777</v>
      </c>
      <c r="P135" s="179"/>
      <c r="Q135" s="286" t="s">
        <v>778</v>
      </c>
      <c r="R135" s="263"/>
      <c r="S135" s="187"/>
    </row>
    <row r="136" spans="1:19" s="192" customFormat="1" ht="262" customHeight="1" x14ac:dyDescent="0.25">
      <c r="A136" s="358">
        <f t="shared" si="31"/>
        <v>108</v>
      </c>
      <c r="B136" s="258" t="s">
        <v>779</v>
      </c>
      <c r="C136" s="182" t="s">
        <v>779</v>
      </c>
      <c r="D136" s="138" t="s">
        <v>780</v>
      </c>
      <c r="E136" s="185">
        <f t="shared" si="28"/>
        <v>217</v>
      </c>
      <c r="F136" s="85" t="s">
        <v>781</v>
      </c>
      <c r="G136" s="86">
        <f t="shared" si="29"/>
        <v>227</v>
      </c>
      <c r="H136" s="85" t="s">
        <v>782</v>
      </c>
      <c r="I136" s="185">
        <f t="shared" si="30"/>
        <v>207</v>
      </c>
      <c r="J136" s="186" t="s">
        <v>34</v>
      </c>
      <c r="K136" s="185" t="s">
        <v>20</v>
      </c>
      <c r="L136" s="185" t="s">
        <v>20</v>
      </c>
      <c r="M136" s="185" t="s">
        <v>35</v>
      </c>
      <c r="N136" s="178" t="s">
        <v>20</v>
      </c>
      <c r="O136" s="136" t="s">
        <v>783</v>
      </c>
      <c r="P136" s="179"/>
      <c r="Q136" s="286" t="s">
        <v>784</v>
      </c>
      <c r="R136" s="263"/>
      <c r="S136" s="187"/>
    </row>
    <row r="137" spans="1:19" s="192" customFormat="1" ht="242.5" customHeight="1" x14ac:dyDescent="0.25">
      <c r="A137" s="358">
        <f t="shared" si="31"/>
        <v>109</v>
      </c>
      <c r="B137" s="258" t="s">
        <v>785</v>
      </c>
      <c r="C137" s="182" t="s">
        <v>785</v>
      </c>
      <c r="D137" s="138" t="s">
        <v>786</v>
      </c>
      <c r="E137" s="185">
        <f t="shared" si="28"/>
        <v>218</v>
      </c>
      <c r="F137" s="85" t="s">
        <v>787</v>
      </c>
      <c r="G137" s="86">
        <f t="shared" si="29"/>
        <v>240</v>
      </c>
      <c r="H137" s="85" t="s">
        <v>788</v>
      </c>
      <c r="I137" s="185">
        <f t="shared" si="30"/>
        <v>198</v>
      </c>
      <c r="J137" s="186" t="s">
        <v>34</v>
      </c>
      <c r="K137" s="185" t="s">
        <v>20</v>
      </c>
      <c r="L137" s="185" t="s">
        <v>20</v>
      </c>
      <c r="M137" s="185" t="s">
        <v>35</v>
      </c>
      <c r="N137" s="178" t="s">
        <v>20</v>
      </c>
      <c r="O137" s="136" t="s">
        <v>789</v>
      </c>
      <c r="P137" s="179"/>
      <c r="Q137" s="136" t="s">
        <v>790</v>
      </c>
      <c r="R137" s="191"/>
      <c r="S137" s="187"/>
    </row>
    <row r="138" spans="1:19" s="192" customFormat="1" ht="253.5" customHeight="1" x14ac:dyDescent="0.25">
      <c r="A138" s="358">
        <f t="shared" si="31"/>
        <v>110</v>
      </c>
      <c r="B138" s="258" t="s">
        <v>791</v>
      </c>
      <c r="C138" s="182" t="s">
        <v>791</v>
      </c>
      <c r="D138" s="138" t="s">
        <v>792</v>
      </c>
      <c r="E138" s="185">
        <f t="shared" si="28"/>
        <v>224</v>
      </c>
      <c r="F138" s="85" t="s">
        <v>793</v>
      </c>
      <c r="G138" s="86">
        <f t="shared" si="29"/>
        <v>232</v>
      </c>
      <c r="H138" s="85" t="s">
        <v>794</v>
      </c>
      <c r="I138" s="185">
        <f t="shared" si="30"/>
        <v>205</v>
      </c>
      <c r="J138" s="186" t="s">
        <v>34</v>
      </c>
      <c r="K138" s="185" t="s">
        <v>20</v>
      </c>
      <c r="L138" s="185" t="s">
        <v>20</v>
      </c>
      <c r="M138" s="185" t="s">
        <v>35</v>
      </c>
      <c r="N138" s="178" t="s">
        <v>20</v>
      </c>
      <c r="O138" s="136" t="s">
        <v>795</v>
      </c>
      <c r="P138" s="179"/>
      <c r="Q138" s="136" t="s">
        <v>796</v>
      </c>
      <c r="R138" s="191"/>
      <c r="S138" s="187"/>
    </row>
    <row r="139" spans="1:19" s="192" customFormat="1" ht="256" customHeight="1" x14ac:dyDescent="0.25">
      <c r="A139" s="358">
        <f t="shared" si="31"/>
        <v>111</v>
      </c>
      <c r="B139" s="258" t="s">
        <v>797</v>
      </c>
      <c r="C139" s="258" t="s">
        <v>797</v>
      </c>
      <c r="D139" s="145" t="s">
        <v>798</v>
      </c>
      <c r="E139" s="185">
        <f t="shared" si="28"/>
        <v>182</v>
      </c>
      <c r="F139" s="85" t="s">
        <v>799</v>
      </c>
      <c r="G139" s="86">
        <f t="shared" si="29"/>
        <v>202</v>
      </c>
      <c r="H139" s="85" t="s">
        <v>800</v>
      </c>
      <c r="I139" s="185">
        <f t="shared" si="30"/>
        <v>191</v>
      </c>
      <c r="J139" s="186" t="s">
        <v>34</v>
      </c>
      <c r="K139" s="185" t="s">
        <v>20</v>
      </c>
      <c r="L139" s="185" t="s">
        <v>20</v>
      </c>
      <c r="M139" s="185" t="s">
        <v>35</v>
      </c>
      <c r="N139" s="178" t="s">
        <v>20</v>
      </c>
      <c r="O139" s="136" t="s">
        <v>801</v>
      </c>
      <c r="P139" s="179"/>
      <c r="Q139" s="286" t="s">
        <v>802</v>
      </c>
      <c r="R139" s="263"/>
      <c r="S139" s="187"/>
    </row>
    <row r="140" spans="1:19" s="287" customFormat="1" ht="254" customHeight="1" x14ac:dyDescent="0.25">
      <c r="A140" s="358">
        <f t="shared" si="31"/>
        <v>112</v>
      </c>
      <c r="B140" s="258" t="s">
        <v>803</v>
      </c>
      <c r="C140" s="258" t="s">
        <v>803</v>
      </c>
      <c r="D140" s="146" t="s">
        <v>804</v>
      </c>
      <c r="E140" s="185">
        <f t="shared" si="28"/>
        <v>214</v>
      </c>
      <c r="F140" s="85" t="s">
        <v>805</v>
      </c>
      <c r="G140" s="86">
        <f t="shared" si="29"/>
        <v>259</v>
      </c>
      <c r="H140" s="128" t="s">
        <v>806</v>
      </c>
      <c r="I140" s="185">
        <f t="shared" si="30"/>
        <v>223</v>
      </c>
      <c r="J140" s="186" t="s">
        <v>34</v>
      </c>
      <c r="K140" s="185" t="s">
        <v>20</v>
      </c>
      <c r="L140" s="185" t="s">
        <v>20</v>
      </c>
      <c r="M140" s="185" t="s">
        <v>35</v>
      </c>
      <c r="N140" s="178" t="s">
        <v>20</v>
      </c>
      <c r="O140" s="136" t="s">
        <v>807</v>
      </c>
      <c r="P140" s="179"/>
      <c r="Q140" s="136" t="s">
        <v>808</v>
      </c>
      <c r="R140" s="191"/>
      <c r="S140" s="187"/>
    </row>
    <row r="141" spans="1:19" s="192" customFormat="1" ht="263.5" customHeight="1" x14ac:dyDescent="0.25">
      <c r="A141" s="358">
        <f t="shared" si="31"/>
        <v>113</v>
      </c>
      <c r="B141" s="258" t="s">
        <v>809</v>
      </c>
      <c r="C141" s="182" t="s">
        <v>809</v>
      </c>
      <c r="D141" s="145" t="s">
        <v>810</v>
      </c>
      <c r="E141" s="185">
        <f t="shared" si="28"/>
        <v>184</v>
      </c>
      <c r="F141" s="85" t="s">
        <v>811</v>
      </c>
      <c r="G141" s="86">
        <f t="shared" si="29"/>
        <v>184</v>
      </c>
      <c r="H141" s="110" t="s">
        <v>812</v>
      </c>
      <c r="I141" s="185">
        <f t="shared" si="30"/>
        <v>200</v>
      </c>
      <c r="J141" s="186" t="s">
        <v>34</v>
      </c>
      <c r="K141" s="185" t="s">
        <v>20</v>
      </c>
      <c r="L141" s="185" t="s">
        <v>20</v>
      </c>
      <c r="M141" s="185" t="s">
        <v>35</v>
      </c>
      <c r="N141" s="178" t="s">
        <v>20</v>
      </c>
      <c r="O141" s="136" t="s">
        <v>813</v>
      </c>
      <c r="P141" s="179"/>
      <c r="Q141" s="286" t="s">
        <v>814</v>
      </c>
      <c r="R141" s="263"/>
      <c r="S141" s="187"/>
    </row>
    <row r="142" spans="1:19" s="192" customFormat="1" ht="230" customHeight="1" x14ac:dyDescent="0.25">
      <c r="A142" s="358">
        <f t="shared" si="31"/>
        <v>114</v>
      </c>
      <c r="B142" s="258" t="s">
        <v>815</v>
      </c>
      <c r="C142" s="258" t="s">
        <v>815</v>
      </c>
      <c r="D142" s="146" t="s">
        <v>804</v>
      </c>
      <c r="E142" s="185">
        <f t="shared" si="28"/>
        <v>214</v>
      </c>
      <c r="F142" s="85" t="s">
        <v>816</v>
      </c>
      <c r="G142" s="86">
        <f t="shared" si="29"/>
        <v>257</v>
      </c>
      <c r="H142" s="128" t="s">
        <v>806</v>
      </c>
      <c r="I142" s="185">
        <f t="shared" si="30"/>
        <v>223</v>
      </c>
      <c r="J142" s="186" t="s">
        <v>34</v>
      </c>
      <c r="K142" s="185" t="s">
        <v>20</v>
      </c>
      <c r="L142" s="185" t="s">
        <v>20</v>
      </c>
      <c r="M142" s="185" t="s">
        <v>35</v>
      </c>
      <c r="N142" s="178" t="s">
        <v>20</v>
      </c>
      <c r="O142" s="136" t="s">
        <v>817</v>
      </c>
      <c r="P142" s="179"/>
      <c r="Q142" s="136" t="s">
        <v>818</v>
      </c>
      <c r="R142" s="191"/>
      <c r="S142" s="187"/>
    </row>
    <row r="143" spans="1:19" s="192" customFormat="1" ht="190.5" customHeight="1" x14ac:dyDescent="0.25">
      <c r="A143" s="358">
        <f t="shared" si="31"/>
        <v>115</v>
      </c>
      <c r="B143" s="258" t="s">
        <v>819</v>
      </c>
      <c r="C143" s="182" t="s">
        <v>819</v>
      </c>
      <c r="D143" s="145" t="s">
        <v>820</v>
      </c>
      <c r="E143" s="185">
        <f t="shared" si="28"/>
        <v>212</v>
      </c>
      <c r="F143" s="85" t="s">
        <v>821</v>
      </c>
      <c r="G143" s="86">
        <f t="shared" si="29"/>
        <v>210</v>
      </c>
      <c r="H143" s="110" t="s">
        <v>822</v>
      </c>
      <c r="I143" s="185">
        <f t="shared" si="30"/>
        <v>218</v>
      </c>
      <c r="J143" s="186" t="s">
        <v>34</v>
      </c>
      <c r="K143" s="185" t="s">
        <v>20</v>
      </c>
      <c r="L143" s="185" t="s">
        <v>20</v>
      </c>
      <c r="M143" s="185" t="s">
        <v>35</v>
      </c>
      <c r="N143" s="178" t="s">
        <v>20</v>
      </c>
      <c r="O143" s="341" t="s">
        <v>823</v>
      </c>
      <c r="P143" s="179"/>
      <c r="Q143" s="286" t="s">
        <v>824</v>
      </c>
      <c r="R143" s="288"/>
      <c r="S143" s="187"/>
    </row>
    <row r="144" spans="1:19" s="192" customFormat="1" ht="223.5" customHeight="1" thickBot="1" x14ac:dyDescent="0.3">
      <c r="A144" s="389">
        <f t="shared" si="31"/>
        <v>116</v>
      </c>
      <c r="B144" s="376" t="s">
        <v>825</v>
      </c>
      <c r="C144" s="376" t="s">
        <v>825</v>
      </c>
      <c r="D144" s="508" t="s">
        <v>804</v>
      </c>
      <c r="E144" s="92">
        <f t="shared" si="28"/>
        <v>214</v>
      </c>
      <c r="F144" s="91" t="s">
        <v>816</v>
      </c>
      <c r="G144" s="92">
        <f t="shared" si="29"/>
        <v>257</v>
      </c>
      <c r="H144" s="509" t="s">
        <v>806</v>
      </c>
      <c r="I144" s="92">
        <f t="shared" si="30"/>
        <v>223</v>
      </c>
      <c r="J144" s="196" t="s">
        <v>34</v>
      </c>
      <c r="K144" s="92" t="s">
        <v>20</v>
      </c>
      <c r="L144" s="92" t="s">
        <v>20</v>
      </c>
      <c r="M144" s="92" t="s">
        <v>35</v>
      </c>
      <c r="N144" s="510" t="s">
        <v>20</v>
      </c>
      <c r="O144" s="396" t="s">
        <v>826</v>
      </c>
      <c r="P144" s="511"/>
      <c r="Q144" s="512" t="s">
        <v>827</v>
      </c>
      <c r="R144" s="513"/>
      <c r="S144" s="199"/>
    </row>
    <row r="145" spans="1:19" s="192" customFormat="1" ht="157.5" customHeight="1" x14ac:dyDescent="0.25">
      <c r="A145" s="387">
        <f t="shared" si="31"/>
        <v>117</v>
      </c>
      <c r="B145" s="503" t="s">
        <v>828</v>
      </c>
      <c r="C145" s="236" t="s">
        <v>828</v>
      </c>
      <c r="D145" s="504" t="s">
        <v>829</v>
      </c>
      <c r="E145" s="84">
        <f t="shared" si="28"/>
        <v>142</v>
      </c>
      <c r="F145" s="112" t="s">
        <v>830</v>
      </c>
      <c r="G145" s="239">
        <f t="shared" si="29"/>
        <v>172</v>
      </c>
      <c r="H145" s="434" t="s">
        <v>831</v>
      </c>
      <c r="I145" s="239">
        <f t="shared" si="30"/>
        <v>151</v>
      </c>
      <c r="J145" s="238" t="s">
        <v>34</v>
      </c>
      <c r="K145" s="239" t="s">
        <v>20</v>
      </c>
      <c r="L145" s="239" t="s">
        <v>20</v>
      </c>
      <c r="M145" s="239" t="s">
        <v>35</v>
      </c>
      <c r="N145" s="180" t="s">
        <v>20</v>
      </c>
      <c r="O145" s="534" t="s">
        <v>832</v>
      </c>
      <c r="P145" s="207"/>
      <c r="Q145" s="505"/>
      <c r="R145" s="506"/>
      <c r="S145" s="507" t="s">
        <v>833</v>
      </c>
    </row>
    <row r="146" spans="1:19" s="192" customFormat="1" ht="283" customHeight="1" x14ac:dyDescent="0.25">
      <c r="A146" s="358">
        <f t="shared" si="31"/>
        <v>118</v>
      </c>
      <c r="B146" s="236" t="s">
        <v>834</v>
      </c>
      <c r="C146" s="236" t="s">
        <v>835</v>
      </c>
      <c r="D146" s="137" t="s">
        <v>836</v>
      </c>
      <c r="E146" s="185">
        <f t="shared" si="28"/>
        <v>406</v>
      </c>
      <c r="F146" s="105" t="s">
        <v>837</v>
      </c>
      <c r="G146" s="106">
        <f t="shared" si="29"/>
        <v>461</v>
      </c>
      <c r="H146" s="110" t="s">
        <v>838</v>
      </c>
      <c r="I146" s="219">
        <f t="shared" si="30"/>
        <v>377</v>
      </c>
      <c r="J146" s="289" t="s">
        <v>34</v>
      </c>
      <c r="K146" s="219" t="s">
        <v>20</v>
      </c>
      <c r="L146" s="219" t="s">
        <v>20</v>
      </c>
      <c r="M146" s="219" t="s">
        <v>35</v>
      </c>
      <c r="N146" s="180" t="s">
        <v>20</v>
      </c>
      <c r="O146" s="443" t="s">
        <v>839</v>
      </c>
      <c r="P146" s="207"/>
      <c r="Q146" s="284"/>
      <c r="R146" s="284"/>
      <c r="S146" s="187"/>
    </row>
    <row r="147" spans="1:19" s="192" customFormat="1" ht="249" customHeight="1" x14ac:dyDescent="0.25">
      <c r="A147" s="358">
        <f t="shared" si="31"/>
        <v>119</v>
      </c>
      <c r="B147" s="236" t="s">
        <v>840</v>
      </c>
      <c r="C147" s="236" t="s">
        <v>841</v>
      </c>
      <c r="D147" s="137" t="s">
        <v>842</v>
      </c>
      <c r="E147" s="185">
        <f t="shared" si="28"/>
        <v>344</v>
      </c>
      <c r="F147" s="105" t="s">
        <v>843</v>
      </c>
      <c r="G147" s="106">
        <f t="shared" si="29"/>
        <v>377</v>
      </c>
      <c r="H147" s="110" t="s">
        <v>844</v>
      </c>
      <c r="I147" s="219">
        <f t="shared" si="30"/>
        <v>330</v>
      </c>
      <c r="J147" s="289" t="s">
        <v>34</v>
      </c>
      <c r="K147" s="219" t="s">
        <v>20</v>
      </c>
      <c r="L147" s="219" t="s">
        <v>20</v>
      </c>
      <c r="M147" s="219" t="s">
        <v>35</v>
      </c>
      <c r="N147" s="180" t="s">
        <v>20</v>
      </c>
      <c r="O147" s="443" t="s">
        <v>845</v>
      </c>
      <c r="P147" s="207"/>
      <c r="Q147" s="284"/>
      <c r="R147" s="284"/>
      <c r="S147" s="187"/>
    </row>
    <row r="148" spans="1:19" s="192" customFormat="1" ht="299" customHeight="1" x14ac:dyDescent="0.25">
      <c r="A148" s="358">
        <f t="shared" si="31"/>
        <v>120</v>
      </c>
      <c r="B148" s="236" t="s">
        <v>846</v>
      </c>
      <c r="C148" s="236" t="s">
        <v>846</v>
      </c>
      <c r="D148" s="137" t="s">
        <v>847</v>
      </c>
      <c r="E148" s="185">
        <f t="shared" si="28"/>
        <v>343</v>
      </c>
      <c r="F148" s="105" t="s">
        <v>848</v>
      </c>
      <c r="G148" s="106">
        <f t="shared" si="29"/>
        <v>381</v>
      </c>
      <c r="H148" s="110" t="s">
        <v>849</v>
      </c>
      <c r="I148" s="219">
        <f t="shared" si="30"/>
        <v>340</v>
      </c>
      <c r="J148" s="289" t="s">
        <v>34</v>
      </c>
      <c r="K148" s="219" t="s">
        <v>20</v>
      </c>
      <c r="L148" s="219" t="s">
        <v>20</v>
      </c>
      <c r="M148" s="219" t="s">
        <v>35</v>
      </c>
      <c r="N148" s="180" t="s">
        <v>20</v>
      </c>
      <c r="O148" s="443" t="s">
        <v>850</v>
      </c>
      <c r="P148" s="207"/>
      <c r="Q148" s="284"/>
      <c r="R148" s="284"/>
      <c r="S148" s="187"/>
    </row>
    <row r="149" spans="1:19" s="192" customFormat="1" ht="335" customHeight="1" x14ac:dyDescent="0.25">
      <c r="A149" s="358">
        <f t="shared" si="31"/>
        <v>121</v>
      </c>
      <c r="B149" s="236" t="s">
        <v>851</v>
      </c>
      <c r="C149" s="236" t="s">
        <v>851</v>
      </c>
      <c r="D149" s="137" t="s">
        <v>852</v>
      </c>
      <c r="E149" s="185">
        <f t="shared" si="28"/>
        <v>425</v>
      </c>
      <c r="F149" s="105" t="s">
        <v>853</v>
      </c>
      <c r="G149" s="106">
        <f t="shared" si="29"/>
        <v>441</v>
      </c>
      <c r="H149" s="105" t="s">
        <v>854</v>
      </c>
      <c r="I149" s="219">
        <f t="shared" si="30"/>
        <v>422</v>
      </c>
      <c r="J149" s="289" t="s">
        <v>34</v>
      </c>
      <c r="K149" s="219" t="s">
        <v>20</v>
      </c>
      <c r="L149" s="219" t="s">
        <v>20</v>
      </c>
      <c r="M149" s="219" t="s">
        <v>35</v>
      </c>
      <c r="N149" s="180" t="s">
        <v>20</v>
      </c>
      <c r="O149" s="443" t="s">
        <v>855</v>
      </c>
      <c r="P149" s="207"/>
      <c r="Q149" s="284"/>
      <c r="R149" s="284"/>
      <c r="S149" s="187"/>
    </row>
    <row r="150" spans="1:19" s="192" customFormat="1" ht="320.5" customHeight="1" x14ac:dyDescent="0.25">
      <c r="A150" s="358">
        <f t="shared" si="31"/>
        <v>122</v>
      </c>
      <c r="B150" s="236" t="s">
        <v>856</v>
      </c>
      <c r="C150" s="236" t="s">
        <v>856</v>
      </c>
      <c r="D150" s="137" t="s">
        <v>857</v>
      </c>
      <c r="E150" s="185">
        <f t="shared" si="28"/>
        <v>360</v>
      </c>
      <c r="F150" s="105" t="s">
        <v>858</v>
      </c>
      <c r="G150" s="106">
        <f t="shared" si="29"/>
        <v>391</v>
      </c>
      <c r="H150" s="105" t="s">
        <v>859</v>
      </c>
      <c r="I150" s="219">
        <f t="shared" si="30"/>
        <v>353</v>
      </c>
      <c r="J150" s="289" t="s">
        <v>34</v>
      </c>
      <c r="K150" s="219" t="s">
        <v>20</v>
      </c>
      <c r="L150" s="219" t="s">
        <v>20</v>
      </c>
      <c r="M150" s="219" t="s">
        <v>35</v>
      </c>
      <c r="N150" s="180" t="s">
        <v>20</v>
      </c>
      <c r="O150" s="443" t="s">
        <v>860</v>
      </c>
      <c r="P150" s="207"/>
      <c r="Q150" s="137"/>
      <c r="R150" s="191"/>
      <c r="S150" s="187"/>
    </row>
    <row r="151" spans="1:19" s="250" customFormat="1" ht="322.5" customHeight="1" x14ac:dyDescent="0.25">
      <c r="A151" s="358">
        <f t="shared" si="31"/>
        <v>123</v>
      </c>
      <c r="B151" s="236" t="s">
        <v>861</v>
      </c>
      <c r="C151" s="236" t="s">
        <v>862</v>
      </c>
      <c r="D151" s="137" t="s">
        <v>863</v>
      </c>
      <c r="E151" s="185">
        <f t="shared" si="28"/>
        <v>374</v>
      </c>
      <c r="F151" s="105" t="s">
        <v>864</v>
      </c>
      <c r="G151" s="106">
        <f t="shared" si="29"/>
        <v>427</v>
      </c>
      <c r="H151" s="105" t="s">
        <v>865</v>
      </c>
      <c r="I151" s="219">
        <f t="shared" si="30"/>
        <v>381</v>
      </c>
      <c r="J151" s="289" t="s">
        <v>34</v>
      </c>
      <c r="K151" s="219" t="s">
        <v>20</v>
      </c>
      <c r="L151" s="219" t="s">
        <v>20</v>
      </c>
      <c r="M151" s="219" t="s">
        <v>35</v>
      </c>
      <c r="N151" s="180" t="s">
        <v>20</v>
      </c>
      <c r="O151" s="443" t="s">
        <v>866</v>
      </c>
      <c r="P151" s="290"/>
      <c r="Q151" s="291"/>
      <c r="R151" s="292"/>
      <c r="S151" s="293"/>
    </row>
    <row r="152" spans="1:19" s="192" customFormat="1" ht="285.5" customHeight="1" x14ac:dyDescent="0.25">
      <c r="A152" s="358">
        <f t="shared" si="31"/>
        <v>124</v>
      </c>
      <c r="B152" s="236" t="s">
        <v>867</v>
      </c>
      <c r="C152" s="236" t="s">
        <v>867</v>
      </c>
      <c r="D152" s="137" t="s">
        <v>868</v>
      </c>
      <c r="E152" s="185">
        <f t="shared" si="28"/>
        <v>379</v>
      </c>
      <c r="F152" s="111" t="s">
        <v>869</v>
      </c>
      <c r="G152" s="106">
        <f t="shared" si="29"/>
        <v>414</v>
      </c>
      <c r="H152" s="111" t="s">
        <v>870</v>
      </c>
      <c r="I152" s="219">
        <f t="shared" si="30"/>
        <v>381</v>
      </c>
      <c r="J152" s="289" t="s">
        <v>34</v>
      </c>
      <c r="K152" s="219" t="s">
        <v>20</v>
      </c>
      <c r="L152" s="219" t="s">
        <v>20</v>
      </c>
      <c r="M152" s="219" t="s">
        <v>35</v>
      </c>
      <c r="N152" s="180" t="s">
        <v>20</v>
      </c>
      <c r="O152" s="443" t="s">
        <v>871</v>
      </c>
      <c r="P152" s="207"/>
      <c r="Q152" s="294"/>
      <c r="R152" s="295"/>
      <c r="S152" s="187"/>
    </row>
    <row r="153" spans="1:19" s="192" customFormat="1" ht="285.5" customHeight="1" x14ac:dyDescent="0.25">
      <c r="A153" s="358">
        <f t="shared" si="31"/>
        <v>125</v>
      </c>
      <c r="B153" s="236" t="s">
        <v>872</v>
      </c>
      <c r="C153" s="236" t="s">
        <v>872</v>
      </c>
      <c r="D153" s="137" t="s">
        <v>873</v>
      </c>
      <c r="E153" s="185">
        <f t="shared" si="28"/>
        <v>351</v>
      </c>
      <c r="F153" s="105" t="s">
        <v>874</v>
      </c>
      <c r="G153" s="106">
        <f t="shared" si="29"/>
        <v>390</v>
      </c>
      <c r="H153" s="105" t="s">
        <v>875</v>
      </c>
      <c r="I153" s="219">
        <f t="shared" si="30"/>
        <v>350</v>
      </c>
      <c r="J153" s="289" t="s">
        <v>34</v>
      </c>
      <c r="K153" s="219" t="s">
        <v>20</v>
      </c>
      <c r="L153" s="219" t="s">
        <v>20</v>
      </c>
      <c r="M153" s="219" t="s">
        <v>35</v>
      </c>
      <c r="N153" s="180" t="s">
        <v>20</v>
      </c>
      <c r="O153" s="443" t="s">
        <v>876</v>
      </c>
      <c r="P153" s="207"/>
      <c r="Q153" s="294"/>
      <c r="R153" s="295"/>
      <c r="S153" s="187"/>
    </row>
    <row r="154" spans="1:19" s="192" customFormat="1" ht="294.5" customHeight="1" x14ac:dyDescent="0.25">
      <c r="A154" s="358">
        <f t="shared" si="31"/>
        <v>126</v>
      </c>
      <c r="B154" s="236" t="s">
        <v>877</v>
      </c>
      <c r="C154" s="236" t="s">
        <v>877</v>
      </c>
      <c r="D154" s="137" t="s">
        <v>878</v>
      </c>
      <c r="E154" s="185">
        <f t="shared" si="28"/>
        <v>334</v>
      </c>
      <c r="F154" s="105" t="s">
        <v>879</v>
      </c>
      <c r="G154" s="106">
        <f t="shared" si="29"/>
        <v>370</v>
      </c>
      <c r="H154" s="105" t="s">
        <v>880</v>
      </c>
      <c r="I154" s="219">
        <f t="shared" si="30"/>
        <v>332</v>
      </c>
      <c r="J154" s="289" t="s">
        <v>34</v>
      </c>
      <c r="K154" s="219" t="s">
        <v>20</v>
      </c>
      <c r="L154" s="219" t="s">
        <v>20</v>
      </c>
      <c r="M154" s="219" t="s">
        <v>35</v>
      </c>
      <c r="N154" s="180" t="s">
        <v>20</v>
      </c>
      <c r="O154" s="443" t="s">
        <v>881</v>
      </c>
      <c r="P154" s="207"/>
      <c r="Q154" s="294"/>
      <c r="R154" s="295"/>
      <c r="S154" s="187"/>
    </row>
    <row r="155" spans="1:19" s="192" customFormat="1" ht="307.5" customHeight="1" x14ac:dyDescent="0.25">
      <c r="A155" s="358">
        <f t="shared" si="31"/>
        <v>127</v>
      </c>
      <c r="B155" s="236" t="s">
        <v>882</v>
      </c>
      <c r="C155" s="236" t="s">
        <v>882</v>
      </c>
      <c r="D155" s="137" t="s">
        <v>883</v>
      </c>
      <c r="E155" s="185">
        <f t="shared" si="28"/>
        <v>401</v>
      </c>
      <c r="F155" s="105" t="s">
        <v>884</v>
      </c>
      <c r="G155" s="106">
        <f t="shared" si="29"/>
        <v>453</v>
      </c>
      <c r="H155" s="105" t="s">
        <v>885</v>
      </c>
      <c r="I155" s="219">
        <f t="shared" si="30"/>
        <v>407</v>
      </c>
      <c r="J155" s="289" t="s">
        <v>34</v>
      </c>
      <c r="K155" s="219" t="s">
        <v>20</v>
      </c>
      <c r="L155" s="219" t="s">
        <v>20</v>
      </c>
      <c r="M155" s="219" t="s">
        <v>35</v>
      </c>
      <c r="N155" s="180" t="s">
        <v>20</v>
      </c>
      <c r="O155" s="193" t="s">
        <v>886</v>
      </c>
      <c r="P155" s="207"/>
      <c r="Q155" s="294"/>
      <c r="R155" s="295"/>
      <c r="S155" s="187"/>
    </row>
    <row r="156" spans="1:19" s="250" customFormat="1" ht="270" customHeight="1" thickBot="1" x14ac:dyDescent="0.3">
      <c r="A156" s="389">
        <f t="shared" si="31"/>
        <v>128</v>
      </c>
      <c r="B156" s="514" t="s">
        <v>887</v>
      </c>
      <c r="C156" s="514" t="s">
        <v>887</v>
      </c>
      <c r="D156" s="515" t="s">
        <v>888</v>
      </c>
      <c r="E156" s="92">
        <f t="shared" si="28"/>
        <v>360</v>
      </c>
      <c r="F156" s="107" t="s">
        <v>889</v>
      </c>
      <c r="G156" s="516">
        <f t="shared" si="29"/>
        <v>398</v>
      </c>
      <c r="H156" s="107" t="s">
        <v>890</v>
      </c>
      <c r="I156" s="516">
        <f t="shared" si="30"/>
        <v>363</v>
      </c>
      <c r="J156" s="517" t="s">
        <v>34</v>
      </c>
      <c r="K156" s="516" t="s">
        <v>20</v>
      </c>
      <c r="L156" s="516" t="s">
        <v>20</v>
      </c>
      <c r="M156" s="516" t="s">
        <v>35</v>
      </c>
      <c r="N156" s="518" t="s">
        <v>20</v>
      </c>
      <c r="O156" s="535" t="s">
        <v>891</v>
      </c>
      <c r="P156" s="520"/>
      <c r="Q156" s="521"/>
      <c r="R156" s="522"/>
      <c r="S156" s="523"/>
    </row>
    <row r="157" spans="1:19" s="192" customFormat="1" ht="409.5" customHeight="1" thickBot="1" x14ac:dyDescent="0.3">
      <c r="A157" s="399">
        <f t="shared" si="31"/>
        <v>129</v>
      </c>
      <c r="B157" s="381" t="s">
        <v>892</v>
      </c>
      <c r="C157" s="310" t="s">
        <v>893</v>
      </c>
      <c r="D157" s="524" t="s">
        <v>894</v>
      </c>
      <c r="E157" s="124">
        <f t="shared" si="28"/>
        <v>1361</v>
      </c>
      <c r="F157" s="123" t="s">
        <v>895</v>
      </c>
      <c r="G157" s="124">
        <f t="shared" si="29"/>
        <v>1367</v>
      </c>
      <c r="H157" s="525" t="s">
        <v>896</v>
      </c>
      <c r="I157" s="124">
        <f t="shared" si="30"/>
        <v>1463</v>
      </c>
      <c r="J157" s="400" t="s">
        <v>278</v>
      </c>
      <c r="K157" s="124" t="s">
        <v>20</v>
      </c>
      <c r="L157" s="124" t="s">
        <v>20</v>
      </c>
      <c r="M157" s="124" t="s">
        <v>897</v>
      </c>
      <c r="N157" s="401" t="s">
        <v>898</v>
      </c>
      <c r="O157" s="402" t="s">
        <v>899</v>
      </c>
      <c r="P157" s="402"/>
      <c r="Q157" s="402" t="s">
        <v>900</v>
      </c>
      <c r="R157" s="526"/>
      <c r="S157" s="527"/>
    </row>
    <row r="158" spans="1:19" s="192" customFormat="1" ht="236" customHeight="1" thickBot="1" x14ac:dyDescent="0.3">
      <c r="A158" s="399">
        <f t="shared" si="31"/>
        <v>130</v>
      </c>
      <c r="B158" s="381" t="s">
        <v>901</v>
      </c>
      <c r="C158" s="381" t="s">
        <v>901</v>
      </c>
      <c r="D158" s="125" t="s">
        <v>902</v>
      </c>
      <c r="E158" s="124">
        <f t="shared" si="28"/>
        <v>327</v>
      </c>
      <c r="F158" s="123" t="s">
        <v>903</v>
      </c>
      <c r="G158" s="124">
        <f t="shared" si="29"/>
        <v>323</v>
      </c>
      <c r="H158" s="125" t="s">
        <v>904</v>
      </c>
      <c r="I158" s="124">
        <f t="shared" si="30"/>
        <v>325</v>
      </c>
      <c r="J158" s="400" t="s">
        <v>34</v>
      </c>
      <c r="K158" s="124" t="s">
        <v>20</v>
      </c>
      <c r="L158" s="124" t="s">
        <v>20</v>
      </c>
      <c r="M158" s="124" t="s">
        <v>35</v>
      </c>
      <c r="N158" s="401" t="s">
        <v>20</v>
      </c>
      <c r="O158" s="537" t="s">
        <v>905</v>
      </c>
      <c r="P158" s="402"/>
      <c r="Q158" s="402" t="s">
        <v>906</v>
      </c>
      <c r="R158" s="538"/>
      <c r="S158" s="527"/>
    </row>
    <row r="159" spans="1:19" s="192" customFormat="1" ht="146" customHeight="1" x14ac:dyDescent="0.25">
      <c r="A159" s="387">
        <f t="shared" si="31"/>
        <v>131</v>
      </c>
      <c r="B159" s="503" t="s">
        <v>907</v>
      </c>
      <c r="C159" s="503" t="s">
        <v>907</v>
      </c>
      <c r="D159" s="528" t="s">
        <v>908</v>
      </c>
      <c r="E159" s="84">
        <f t="shared" si="28"/>
        <v>178</v>
      </c>
      <c r="F159" s="112" t="s">
        <v>909</v>
      </c>
      <c r="G159" s="239">
        <f t="shared" si="29"/>
        <v>197</v>
      </c>
      <c r="H159" s="529" t="s">
        <v>910</v>
      </c>
      <c r="I159" s="239">
        <f t="shared" si="30"/>
        <v>180</v>
      </c>
      <c r="J159" s="238" t="s">
        <v>34</v>
      </c>
      <c r="K159" s="239" t="s">
        <v>20</v>
      </c>
      <c r="L159" s="239" t="s">
        <v>20</v>
      </c>
      <c r="M159" s="239" t="s">
        <v>35</v>
      </c>
      <c r="N159" s="180" t="s">
        <v>20</v>
      </c>
      <c r="O159" s="207" t="s">
        <v>911</v>
      </c>
      <c r="P159" s="207"/>
      <c r="Q159" s="207" t="s">
        <v>912</v>
      </c>
      <c r="R159" s="207"/>
      <c r="S159" s="297"/>
    </row>
    <row r="160" spans="1:19" s="192" customFormat="1" ht="168.5" customHeight="1" x14ac:dyDescent="0.25">
      <c r="A160" s="358">
        <f t="shared" si="31"/>
        <v>132</v>
      </c>
      <c r="B160" s="218" t="s">
        <v>913</v>
      </c>
      <c r="C160" s="218" t="s">
        <v>913</v>
      </c>
      <c r="D160" s="147" t="s">
        <v>914</v>
      </c>
      <c r="E160" s="185">
        <f t="shared" si="28"/>
        <v>292</v>
      </c>
      <c r="F160" s="105" t="s">
        <v>915</v>
      </c>
      <c r="G160" s="106">
        <f t="shared" si="29"/>
        <v>237</v>
      </c>
      <c r="H160" s="129" t="s">
        <v>916</v>
      </c>
      <c r="I160" s="219">
        <f t="shared" si="30"/>
        <v>207</v>
      </c>
      <c r="J160" s="289" t="s">
        <v>139</v>
      </c>
      <c r="K160" s="219" t="s">
        <v>20</v>
      </c>
      <c r="L160" s="219" t="s">
        <v>20</v>
      </c>
      <c r="M160" s="219" t="s">
        <v>23</v>
      </c>
      <c r="N160" s="180" t="s">
        <v>20</v>
      </c>
      <c r="O160" s="191" t="s">
        <v>917</v>
      </c>
      <c r="P160" s="207"/>
      <c r="Q160" s="191" t="s">
        <v>918</v>
      </c>
      <c r="R160" s="191"/>
      <c r="S160" s="210"/>
    </row>
    <row r="161" spans="1:19" s="192" customFormat="1" ht="156.5" customHeight="1" x14ac:dyDescent="0.25">
      <c r="A161" s="358">
        <f t="shared" si="31"/>
        <v>133</v>
      </c>
      <c r="B161" s="218" t="s">
        <v>919</v>
      </c>
      <c r="C161" s="218" t="s">
        <v>919</v>
      </c>
      <c r="D161" s="147" t="s">
        <v>920</v>
      </c>
      <c r="E161" s="185">
        <f t="shared" si="28"/>
        <v>267</v>
      </c>
      <c r="F161" s="105" t="s">
        <v>921</v>
      </c>
      <c r="G161" s="106">
        <f t="shared" si="29"/>
        <v>175</v>
      </c>
      <c r="H161" s="105" t="s">
        <v>922</v>
      </c>
      <c r="I161" s="219">
        <f t="shared" si="30"/>
        <v>198</v>
      </c>
      <c r="J161" s="289" t="s">
        <v>139</v>
      </c>
      <c r="K161" s="219" t="s">
        <v>20</v>
      </c>
      <c r="L161" s="219" t="s">
        <v>20</v>
      </c>
      <c r="M161" s="219" t="s">
        <v>23</v>
      </c>
      <c r="N161" s="180" t="s">
        <v>20</v>
      </c>
      <c r="O161" s="191" t="s">
        <v>923</v>
      </c>
      <c r="P161" s="207"/>
      <c r="Q161" s="191" t="s">
        <v>924</v>
      </c>
      <c r="R161" s="191"/>
      <c r="S161" s="210"/>
    </row>
    <row r="162" spans="1:19" s="192" customFormat="1" ht="190.5" customHeight="1" x14ac:dyDescent="0.25">
      <c r="A162" s="358">
        <f t="shared" si="31"/>
        <v>134</v>
      </c>
      <c r="B162" s="218" t="s">
        <v>925</v>
      </c>
      <c r="C162" s="218" t="s">
        <v>925</v>
      </c>
      <c r="D162" s="147" t="s">
        <v>926</v>
      </c>
      <c r="E162" s="185">
        <f t="shared" si="28"/>
        <v>257</v>
      </c>
      <c r="F162" s="105" t="s">
        <v>927</v>
      </c>
      <c r="G162" s="106">
        <f t="shared" si="29"/>
        <v>261</v>
      </c>
      <c r="H162" s="105" t="s">
        <v>928</v>
      </c>
      <c r="I162" s="219">
        <f t="shared" si="30"/>
        <v>256</v>
      </c>
      <c r="J162" s="289" t="s">
        <v>139</v>
      </c>
      <c r="K162" s="219" t="s">
        <v>20</v>
      </c>
      <c r="L162" s="219" t="s">
        <v>20</v>
      </c>
      <c r="M162" s="219" t="s">
        <v>23</v>
      </c>
      <c r="N162" s="180" t="s">
        <v>20</v>
      </c>
      <c r="O162" s="191" t="s">
        <v>929</v>
      </c>
      <c r="P162" s="207"/>
      <c r="Q162" s="191" t="s">
        <v>930</v>
      </c>
      <c r="R162" s="191"/>
      <c r="S162" s="210"/>
    </row>
    <row r="163" spans="1:19" s="192" customFormat="1" ht="176.5" customHeight="1" x14ac:dyDescent="0.25">
      <c r="A163" s="358">
        <f t="shared" si="31"/>
        <v>135</v>
      </c>
      <c r="B163" s="218" t="s">
        <v>931</v>
      </c>
      <c r="C163" s="218" t="s">
        <v>931</v>
      </c>
      <c r="D163" s="147" t="s">
        <v>932</v>
      </c>
      <c r="E163" s="185">
        <f t="shared" si="28"/>
        <v>256</v>
      </c>
      <c r="F163" s="335" t="s">
        <v>933</v>
      </c>
      <c r="G163" s="106">
        <f t="shared" si="29"/>
        <v>245</v>
      </c>
      <c r="H163" s="335" t="s">
        <v>934</v>
      </c>
      <c r="I163" s="219">
        <f t="shared" si="30"/>
        <v>232</v>
      </c>
      <c r="J163" s="289" t="s">
        <v>139</v>
      </c>
      <c r="K163" s="219" t="s">
        <v>20</v>
      </c>
      <c r="L163" s="219" t="s">
        <v>20</v>
      </c>
      <c r="M163" s="219" t="s">
        <v>23</v>
      </c>
      <c r="N163" s="180" t="s">
        <v>20</v>
      </c>
      <c r="O163" s="191" t="s">
        <v>935</v>
      </c>
      <c r="P163" s="207"/>
      <c r="Q163" s="191" t="s">
        <v>936</v>
      </c>
      <c r="R163" s="191"/>
      <c r="S163" s="210"/>
    </row>
    <row r="164" spans="1:19" s="192" customFormat="1" ht="151.5" customHeight="1" x14ac:dyDescent="0.25">
      <c r="A164" s="358">
        <f t="shared" si="31"/>
        <v>136</v>
      </c>
      <c r="B164" s="218" t="s">
        <v>937</v>
      </c>
      <c r="C164" s="218" t="s">
        <v>937</v>
      </c>
      <c r="D164" s="147" t="s">
        <v>938</v>
      </c>
      <c r="E164" s="185">
        <f t="shared" si="28"/>
        <v>273</v>
      </c>
      <c r="F164" s="105" t="s">
        <v>939</v>
      </c>
      <c r="G164" s="106">
        <f t="shared" si="29"/>
        <v>230</v>
      </c>
      <c r="H164" s="105" t="s">
        <v>940</v>
      </c>
      <c r="I164" s="219">
        <f t="shared" si="30"/>
        <v>242</v>
      </c>
      <c r="J164" s="289" t="s">
        <v>139</v>
      </c>
      <c r="K164" s="219" t="s">
        <v>20</v>
      </c>
      <c r="L164" s="219" t="s">
        <v>20</v>
      </c>
      <c r="M164" s="219" t="s">
        <v>23</v>
      </c>
      <c r="N164" s="180" t="s">
        <v>20</v>
      </c>
      <c r="O164" s="191" t="s">
        <v>941</v>
      </c>
      <c r="P164" s="207"/>
      <c r="Q164" s="191" t="s">
        <v>942</v>
      </c>
      <c r="R164" s="191"/>
      <c r="S164" s="210"/>
    </row>
    <row r="165" spans="1:19" s="192" customFormat="1" ht="176" customHeight="1" x14ac:dyDescent="0.25">
      <c r="A165" s="358">
        <f t="shared" si="31"/>
        <v>137</v>
      </c>
      <c r="B165" s="218" t="s">
        <v>943</v>
      </c>
      <c r="C165" s="218" t="s">
        <v>943</v>
      </c>
      <c r="D165" s="147" t="s">
        <v>944</v>
      </c>
      <c r="E165" s="185">
        <f t="shared" si="28"/>
        <v>307</v>
      </c>
      <c r="F165" s="105" t="s">
        <v>945</v>
      </c>
      <c r="G165" s="106">
        <f t="shared" si="29"/>
        <v>221</v>
      </c>
      <c r="H165" s="105" t="s">
        <v>946</v>
      </c>
      <c r="I165" s="219">
        <f t="shared" si="30"/>
        <v>237</v>
      </c>
      <c r="J165" s="289" t="s">
        <v>139</v>
      </c>
      <c r="K165" s="219" t="s">
        <v>20</v>
      </c>
      <c r="L165" s="219" t="s">
        <v>20</v>
      </c>
      <c r="M165" s="219" t="s">
        <v>23</v>
      </c>
      <c r="N165" s="180" t="s">
        <v>20</v>
      </c>
      <c r="O165" s="191" t="s">
        <v>947</v>
      </c>
      <c r="P165" s="207"/>
      <c r="Q165" s="191" t="s">
        <v>948</v>
      </c>
      <c r="R165" s="191"/>
      <c r="S165" s="210"/>
    </row>
    <row r="166" spans="1:19" s="192" customFormat="1" ht="160.5" customHeight="1" x14ac:dyDescent="0.25">
      <c r="A166" s="358">
        <f t="shared" si="31"/>
        <v>138</v>
      </c>
      <c r="B166" s="218" t="s">
        <v>949</v>
      </c>
      <c r="C166" s="218" t="s">
        <v>949</v>
      </c>
      <c r="D166" s="147" t="s">
        <v>950</v>
      </c>
      <c r="E166" s="185">
        <f t="shared" si="28"/>
        <v>292</v>
      </c>
      <c r="F166" s="105" t="s">
        <v>951</v>
      </c>
      <c r="G166" s="106">
        <f t="shared" si="29"/>
        <v>216</v>
      </c>
      <c r="H166" s="105" t="s">
        <v>952</v>
      </c>
      <c r="I166" s="219">
        <f t="shared" si="30"/>
        <v>211</v>
      </c>
      <c r="J166" s="289" t="s">
        <v>139</v>
      </c>
      <c r="K166" s="219" t="s">
        <v>20</v>
      </c>
      <c r="L166" s="219" t="s">
        <v>20</v>
      </c>
      <c r="M166" s="219" t="s">
        <v>23</v>
      </c>
      <c r="N166" s="180" t="s">
        <v>20</v>
      </c>
      <c r="O166" s="191" t="s">
        <v>953</v>
      </c>
      <c r="P166" s="207"/>
      <c r="Q166" s="191" t="s">
        <v>954</v>
      </c>
      <c r="R166" s="191"/>
      <c r="S166" s="210"/>
    </row>
    <row r="167" spans="1:19" s="192" customFormat="1" ht="152.5" customHeight="1" x14ac:dyDescent="0.25">
      <c r="A167" s="358">
        <f t="shared" si="31"/>
        <v>139</v>
      </c>
      <c r="B167" s="218" t="s">
        <v>955</v>
      </c>
      <c r="C167" s="218" t="s">
        <v>955</v>
      </c>
      <c r="D167" s="147" t="s">
        <v>956</v>
      </c>
      <c r="E167" s="185">
        <f t="shared" si="28"/>
        <v>262</v>
      </c>
      <c r="F167" s="105" t="s">
        <v>957</v>
      </c>
      <c r="G167" s="106">
        <f t="shared" si="29"/>
        <v>194</v>
      </c>
      <c r="H167" s="105" t="s">
        <v>958</v>
      </c>
      <c r="I167" s="219">
        <f t="shared" si="30"/>
        <v>201</v>
      </c>
      <c r="J167" s="289" t="s">
        <v>139</v>
      </c>
      <c r="K167" s="219" t="s">
        <v>20</v>
      </c>
      <c r="L167" s="219" t="s">
        <v>20</v>
      </c>
      <c r="M167" s="219" t="s">
        <v>23</v>
      </c>
      <c r="N167" s="180" t="s">
        <v>20</v>
      </c>
      <c r="O167" s="191" t="s">
        <v>959</v>
      </c>
      <c r="P167" s="207"/>
      <c r="Q167" s="191" t="s">
        <v>960</v>
      </c>
      <c r="R167" s="191"/>
      <c r="S167" s="210"/>
    </row>
    <row r="168" spans="1:19" s="192" customFormat="1" ht="160.5" customHeight="1" thickBot="1" x14ac:dyDescent="0.3">
      <c r="A168" s="389">
        <f t="shared" si="31"/>
        <v>140</v>
      </c>
      <c r="B168" s="530" t="s">
        <v>961</v>
      </c>
      <c r="C168" s="530" t="s">
        <v>961</v>
      </c>
      <c r="D168" s="531" t="s">
        <v>962</v>
      </c>
      <c r="E168" s="92">
        <f t="shared" si="28"/>
        <v>257</v>
      </c>
      <c r="F168" s="107" t="s">
        <v>963</v>
      </c>
      <c r="G168" s="516">
        <f t="shared" si="29"/>
        <v>252</v>
      </c>
      <c r="H168" s="107" t="s">
        <v>964</v>
      </c>
      <c r="I168" s="516">
        <f t="shared" si="30"/>
        <v>270</v>
      </c>
      <c r="J168" s="517" t="s">
        <v>139</v>
      </c>
      <c r="K168" s="516" t="s">
        <v>20</v>
      </c>
      <c r="L168" s="516" t="s">
        <v>20</v>
      </c>
      <c r="M168" s="516" t="s">
        <v>23</v>
      </c>
      <c r="N168" s="518" t="s">
        <v>20</v>
      </c>
      <c r="O168" s="519" t="s">
        <v>965</v>
      </c>
      <c r="P168" s="519"/>
      <c r="Q168" s="519" t="s">
        <v>966</v>
      </c>
      <c r="R168" s="519"/>
      <c r="S168" s="397"/>
    </row>
    <row r="169" spans="1:19" s="192" customFormat="1" ht="140" customHeight="1" x14ac:dyDescent="0.25">
      <c r="A169" s="387">
        <f t="shared" si="31"/>
        <v>141</v>
      </c>
      <c r="B169" s="503" t="s">
        <v>967</v>
      </c>
      <c r="C169" s="503" t="s">
        <v>967</v>
      </c>
      <c r="D169" s="528" t="s">
        <v>968</v>
      </c>
      <c r="E169" s="84">
        <f t="shared" si="28"/>
        <v>204</v>
      </c>
      <c r="F169" s="112" t="s">
        <v>969</v>
      </c>
      <c r="G169" s="239">
        <f t="shared" si="29"/>
        <v>197</v>
      </c>
      <c r="H169" s="529" t="s">
        <v>970</v>
      </c>
      <c r="I169" s="239">
        <f t="shared" si="30"/>
        <v>180</v>
      </c>
      <c r="J169" s="238" t="s">
        <v>34</v>
      </c>
      <c r="K169" s="239" t="s">
        <v>20</v>
      </c>
      <c r="L169" s="239" t="s">
        <v>20</v>
      </c>
      <c r="M169" s="239" t="s">
        <v>35</v>
      </c>
      <c r="N169" s="180" t="s">
        <v>20</v>
      </c>
      <c r="O169" s="207" t="s">
        <v>971</v>
      </c>
      <c r="P169" s="207"/>
      <c r="Q169" s="207" t="s">
        <v>972</v>
      </c>
      <c r="R169" s="207"/>
      <c r="S169" s="297"/>
    </row>
    <row r="170" spans="1:19" s="192" customFormat="1" ht="153.5" customHeight="1" x14ac:dyDescent="0.25">
      <c r="A170" s="358">
        <f t="shared" si="31"/>
        <v>142</v>
      </c>
      <c r="B170" s="218" t="s">
        <v>973</v>
      </c>
      <c r="C170" s="218" t="s">
        <v>973</v>
      </c>
      <c r="D170" s="147" t="s">
        <v>974</v>
      </c>
      <c r="E170" s="185">
        <f t="shared" si="28"/>
        <v>169</v>
      </c>
      <c r="F170" s="105" t="s">
        <v>975</v>
      </c>
      <c r="G170" s="106">
        <f t="shared" si="29"/>
        <v>170</v>
      </c>
      <c r="H170" s="129" t="s">
        <v>976</v>
      </c>
      <c r="I170" s="219">
        <f t="shared" si="30"/>
        <v>173</v>
      </c>
      <c r="J170" s="220" t="s">
        <v>139</v>
      </c>
      <c r="K170" s="219" t="s">
        <v>20</v>
      </c>
      <c r="L170" s="219" t="s">
        <v>20</v>
      </c>
      <c r="M170" s="219" t="s">
        <v>23</v>
      </c>
      <c r="N170" s="180" t="s">
        <v>20</v>
      </c>
      <c r="O170" s="191" t="s">
        <v>977</v>
      </c>
      <c r="P170" s="207"/>
      <c r="Q170" s="191" t="s">
        <v>978</v>
      </c>
      <c r="R170" s="191"/>
      <c r="S170" s="210"/>
    </row>
    <row r="171" spans="1:19" s="192" customFormat="1" ht="181" customHeight="1" x14ac:dyDescent="0.25">
      <c r="A171" s="358">
        <f t="shared" si="31"/>
        <v>143</v>
      </c>
      <c r="B171" s="218" t="s">
        <v>979</v>
      </c>
      <c r="C171" s="218" t="s">
        <v>979</v>
      </c>
      <c r="D171" s="147" t="s">
        <v>980</v>
      </c>
      <c r="E171" s="185">
        <f t="shared" si="28"/>
        <v>192</v>
      </c>
      <c r="F171" s="105" t="s">
        <v>981</v>
      </c>
      <c r="G171" s="106">
        <f t="shared" si="29"/>
        <v>205</v>
      </c>
      <c r="H171" s="105" t="s">
        <v>982</v>
      </c>
      <c r="I171" s="219">
        <f t="shared" si="30"/>
        <v>215</v>
      </c>
      <c r="J171" s="220" t="s">
        <v>139</v>
      </c>
      <c r="K171" s="219" t="s">
        <v>20</v>
      </c>
      <c r="L171" s="219" t="s">
        <v>20</v>
      </c>
      <c r="M171" s="219" t="s">
        <v>23</v>
      </c>
      <c r="N171" s="180" t="s">
        <v>20</v>
      </c>
      <c r="O171" s="191" t="s">
        <v>983</v>
      </c>
      <c r="P171" s="207"/>
      <c r="Q171" s="191" t="s">
        <v>984</v>
      </c>
      <c r="R171" s="191"/>
      <c r="S171" s="210"/>
    </row>
    <row r="172" spans="1:19" s="192" customFormat="1" ht="127" customHeight="1" x14ac:dyDescent="0.25">
      <c r="A172" s="358">
        <f t="shared" si="31"/>
        <v>144</v>
      </c>
      <c r="B172" s="225" t="s">
        <v>985</v>
      </c>
      <c r="C172" s="225" t="s">
        <v>985</v>
      </c>
      <c r="D172" s="147" t="s">
        <v>986</v>
      </c>
      <c r="E172" s="185">
        <f t="shared" si="28"/>
        <v>178</v>
      </c>
      <c r="F172" s="105" t="s">
        <v>987</v>
      </c>
      <c r="G172" s="106">
        <f t="shared" si="29"/>
        <v>180</v>
      </c>
      <c r="H172" s="105" t="s">
        <v>988</v>
      </c>
      <c r="I172" s="219">
        <f t="shared" si="30"/>
        <v>198</v>
      </c>
      <c r="J172" s="220" t="s">
        <v>139</v>
      </c>
      <c r="K172" s="219" t="s">
        <v>20</v>
      </c>
      <c r="L172" s="219" t="s">
        <v>20</v>
      </c>
      <c r="M172" s="219" t="s">
        <v>23</v>
      </c>
      <c r="N172" s="180" t="s">
        <v>20</v>
      </c>
      <c r="O172" s="191" t="s">
        <v>989</v>
      </c>
      <c r="P172" s="207"/>
      <c r="Q172" s="191" t="s">
        <v>990</v>
      </c>
      <c r="R172" s="191"/>
      <c r="S172" s="210"/>
    </row>
    <row r="173" spans="1:19" s="192" customFormat="1" ht="140.5" customHeight="1" x14ac:dyDescent="0.25">
      <c r="A173" s="358">
        <f t="shared" si="31"/>
        <v>145</v>
      </c>
      <c r="B173" s="218" t="s">
        <v>991</v>
      </c>
      <c r="C173" s="218" t="s">
        <v>991</v>
      </c>
      <c r="D173" s="147" t="s">
        <v>992</v>
      </c>
      <c r="E173" s="185">
        <f t="shared" si="28"/>
        <v>169</v>
      </c>
      <c r="F173" s="105" t="s">
        <v>993</v>
      </c>
      <c r="G173" s="106">
        <f t="shared" si="29"/>
        <v>165</v>
      </c>
      <c r="H173" s="105" t="s">
        <v>994</v>
      </c>
      <c r="I173" s="219">
        <f t="shared" si="30"/>
        <v>178</v>
      </c>
      <c r="J173" s="220" t="s">
        <v>139</v>
      </c>
      <c r="K173" s="219" t="s">
        <v>20</v>
      </c>
      <c r="L173" s="219" t="s">
        <v>20</v>
      </c>
      <c r="M173" s="219" t="s">
        <v>23</v>
      </c>
      <c r="N173" s="180" t="s">
        <v>20</v>
      </c>
      <c r="O173" s="191" t="s">
        <v>995</v>
      </c>
      <c r="P173" s="207"/>
      <c r="Q173" s="191" t="s">
        <v>996</v>
      </c>
      <c r="R173" s="191"/>
      <c r="S173" s="297"/>
    </row>
    <row r="174" spans="1:19" s="192" customFormat="1" ht="133.5" customHeight="1" thickBot="1" x14ac:dyDescent="0.3">
      <c r="A174" s="358">
        <f t="shared" si="31"/>
        <v>146</v>
      </c>
      <c r="B174" s="218" t="s">
        <v>997</v>
      </c>
      <c r="C174" s="218" t="s">
        <v>997</v>
      </c>
      <c r="D174" s="148" t="s">
        <v>998</v>
      </c>
      <c r="E174" s="185">
        <f t="shared" si="28"/>
        <v>190</v>
      </c>
      <c r="F174" s="107" t="s">
        <v>999</v>
      </c>
      <c r="G174" s="106">
        <f t="shared" si="29"/>
        <v>192</v>
      </c>
      <c r="H174" s="107" t="s">
        <v>1000</v>
      </c>
      <c r="I174" s="219">
        <f t="shared" si="30"/>
        <v>198</v>
      </c>
      <c r="J174" s="220" t="s">
        <v>139</v>
      </c>
      <c r="K174" s="268" t="s">
        <v>20</v>
      </c>
      <c r="L174" s="268" t="s">
        <v>20</v>
      </c>
      <c r="M174" s="219" t="s">
        <v>23</v>
      </c>
      <c r="N174" s="180" t="s">
        <v>20</v>
      </c>
      <c r="O174" s="215" t="s">
        <v>1001</v>
      </c>
      <c r="P174" s="215"/>
      <c r="Q174" s="215" t="s">
        <v>1002</v>
      </c>
      <c r="R174" s="215"/>
      <c r="S174" s="297"/>
    </row>
    <row r="175" spans="1:19" s="200" customFormat="1" ht="39" customHeight="1" thickBot="1" x14ac:dyDescent="0.3">
      <c r="A175" s="671" t="s">
        <v>1003</v>
      </c>
      <c r="B175" s="672"/>
      <c r="C175" s="672"/>
      <c r="D175" s="672"/>
      <c r="E175" s="672"/>
      <c r="F175" s="672"/>
      <c r="G175" s="672"/>
      <c r="H175" s="672"/>
      <c r="I175" s="672"/>
      <c r="J175" s="672"/>
      <c r="K175" s="672"/>
      <c r="L175" s="672"/>
      <c r="M175" s="672"/>
      <c r="N175" s="672"/>
      <c r="O175" s="672"/>
      <c r="P175" s="672"/>
      <c r="Q175" s="672"/>
      <c r="R175" s="672"/>
      <c r="S175" s="673"/>
    </row>
    <row r="176" spans="1:19" s="243" customFormat="1" ht="248.25" customHeight="1" x14ac:dyDescent="0.25">
      <c r="A176" s="298">
        <f>A174+1</f>
        <v>147</v>
      </c>
      <c r="B176" s="177" t="s">
        <v>1004</v>
      </c>
      <c r="C176" s="182" t="s">
        <v>1004</v>
      </c>
      <c r="D176" s="97" t="s">
        <v>1005</v>
      </c>
      <c r="E176" s="84">
        <f>LEN(D176)</f>
        <v>222</v>
      </c>
      <c r="F176" s="97" t="s">
        <v>1006</v>
      </c>
      <c r="G176" s="84">
        <f>LEN(F176)</f>
        <v>230</v>
      </c>
      <c r="H176" s="97" t="s">
        <v>1007</v>
      </c>
      <c r="I176" s="84">
        <f>LEN(H176)</f>
        <v>213</v>
      </c>
      <c r="J176" s="209" t="s">
        <v>34</v>
      </c>
      <c r="K176" s="84" t="s">
        <v>20</v>
      </c>
      <c r="L176" s="532" t="s">
        <v>1008</v>
      </c>
      <c r="M176" s="185" t="s">
        <v>35</v>
      </c>
      <c r="N176" s="178" t="s">
        <v>20</v>
      </c>
      <c r="O176" s="179" t="s">
        <v>1009</v>
      </c>
      <c r="P176" s="179"/>
      <c r="Q176" s="179" t="s">
        <v>1010</v>
      </c>
      <c r="R176" s="207"/>
      <c r="S176" s="181"/>
    </row>
    <row r="177" spans="1:19" s="192" customFormat="1" ht="409.5" customHeight="1" x14ac:dyDescent="0.25">
      <c r="A177" s="184">
        <f>A176+1</f>
        <v>148</v>
      </c>
      <c r="B177" s="177" t="s">
        <v>1011</v>
      </c>
      <c r="C177" s="182" t="s">
        <v>1012</v>
      </c>
      <c r="D177" s="533" t="s">
        <v>1013</v>
      </c>
      <c r="E177" s="185">
        <f>LEN(D177)</f>
        <v>1208</v>
      </c>
      <c r="F177" s="334" t="s">
        <v>1014</v>
      </c>
      <c r="G177" s="185">
        <f>LEN(F177)</f>
        <v>1271</v>
      </c>
      <c r="H177" s="334" t="s">
        <v>1015</v>
      </c>
      <c r="I177" s="185">
        <f>LEN(H177)</f>
        <v>1333</v>
      </c>
      <c r="J177" s="217" t="s">
        <v>1016</v>
      </c>
      <c r="K177" s="185" t="s">
        <v>20</v>
      </c>
      <c r="L177" s="185" t="s">
        <v>20</v>
      </c>
      <c r="M177" s="185" t="s">
        <v>1017</v>
      </c>
      <c r="N177" s="178" t="s">
        <v>1018</v>
      </c>
      <c r="O177" s="136" t="s">
        <v>1019</v>
      </c>
      <c r="P177" s="179"/>
      <c r="Q177" s="234" t="s">
        <v>1020</v>
      </c>
      <c r="R177" s="240"/>
      <c r="S177" s="187"/>
    </row>
    <row r="178" spans="1:19" s="192" customFormat="1" ht="409.5" customHeight="1" x14ac:dyDescent="0.25">
      <c r="A178" s="184">
        <f>A177+1</f>
        <v>149</v>
      </c>
      <c r="B178" s="258" t="s">
        <v>1021</v>
      </c>
      <c r="C178" s="217" t="s">
        <v>1022</v>
      </c>
      <c r="D178" s="110" t="s">
        <v>1023</v>
      </c>
      <c r="E178" s="102">
        <f>LEN(D178)</f>
        <v>497</v>
      </c>
      <c r="F178" s="334" t="s">
        <v>1024</v>
      </c>
      <c r="G178" s="102">
        <f>LEN(F178)</f>
        <v>549</v>
      </c>
      <c r="H178" s="334" t="s">
        <v>1025</v>
      </c>
      <c r="I178" s="102">
        <f>LEN(H178)</f>
        <v>535</v>
      </c>
      <c r="J178" s="299" t="s">
        <v>1016</v>
      </c>
      <c r="K178" s="102" t="s">
        <v>20</v>
      </c>
      <c r="L178" s="102" t="s">
        <v>20</v>
      </c>
      <c r="M178" s="102" t="s">
        <v>1026</v>
      </c>
      <c r="N178" s="178" t="s">
        <v>1027</v>
      </c>
      <c r="O178" s="214" t="s">
        <v>1028</v>
      </c>
      <c r="P178" s="198"/>
      <c r="Q178" s="214" t="s">
        <v>1029</v>
      </c>
      <c r="R178" s="284"/>
      <c r="S178" s="187"/>
    </row>
    <row r="179" spans="1:19" s="192" customFormat="1" ht="370.5" customHeight="1" x14ac:dyDescent="0.25">
      <c r="A179" s="184">
        <f>A178+1</f>
        <v>150</v>
      </c>
      <c r="B179" s="300" t="s">
        <v>1030</v>
      </c>
      <c r="C179" s="300" t="s">
        <v>1030</v>
      </c>
      <c r="D179" s="110" t="s">
        <v>1031</v>
      </c>
      <c r="E179" s="102">
        <f>LEN(D179)</f>
        <v>460</v>
      </c>
      <c r="F179" s="334" t="s">
        <v>1032</v>
      </c>
      <c r="G179" s="102">
        <f>LEN(F179)</f>
        <v>432</v>
      </c>
      <c r="H179" s="334" t="s">
        <v>1033</v>
      </c>
      <c r="I179" s="102">
        <f>LEN(H179)</f>
        <v>431</v>
      </c>
      <c r="J179" s="299" t="s">
        <v>34</v>
      </c>
      <c r="K179" s="102" t="s">
        <v>20</v>
      </c>
      <c r="L179" s="102" t="s">
        <v>20</v>
      </c>
      <c r="M179" s="102" t="s">
        <v>35</v>
      </c>
      <c r="N179" s="301" t="s">
        <v>20</v>
      </c>
      <c r="O179" s="539" t="s">
        <v>1034</v>
      </c>
      <c r="P179" s="103"/>
      <c r="Q179" s="286" t="s">
        <v>1035</v>
      </c>
      <c r="R179" s="137"/>
      <c r="S179" s="187"/>
    </row>
    <row r="180" spans="1:19" s="192" customFormat="1" ht="294.5" customHeight="1" thickBot="1" x14ac:dyDescent="0.3">
      <c r="A180" s="184">
        <f>A179+1</f>
        <v>151</v>
      </c>
      <c r="B180" s="379" t="s">
        <v>1036</v>
      </c>
      <c r="C180" s="302" t="s">
        <v>1037</v>
      </c>
      <c r="D180" s="115" t="s">
        <v>1038</v>
      </c>
      <c r="E180" s="102">
        <f>LEN(D180)</f>
        <v>188</v>
      </c>
      <c r="F180" s="336" t="s">
        <v>1039</v>
      </c>
      <c r="G180" s="108">
        <f>LEN(F180)</f>
        <v>194</v>
      </c>
      <c r="H180" s="336" t="s">
        <v>1040</v>
      </c>
      <c r="I180" s="108">
        <f>LEN(H180)</f>
        <v>194</v>
      </c>
      <c r="J180" s="303" t="s">
        <v>278</v>
      </c>
      <c r="K180" s="108" t="s">
        <v>20</v>
      </c>
      <c r="L180" s="108" t="s">
        <v>20</v>
      </c>
      <c r="M180" s="108" t="s">
        <v>1041</v>
      </c>
      <c r="N180" s="180" t="s">
        <v>1042</v>
      </c>
      <c r="O180" s="284" t="s">
        <v>1043</v>
      </c>
      <c r="P180" s="215"/>
      <c r="Q180" s="191" t="s">
        <v>1044</v>
      </c>
      <c r="R180" s="304"/>
      <c r="S180" s="305"/>
    </row>
    <row r="181" spans="1:19" s="200" customFormat="1" ht="43" customHeight="1" thickBot="1" x14ac:dyDescent="0.3">
      <c r="A181" s="671" t="s">
        <v>1045</v>
      </c>
      <c r="B181" s="672"/>
      <c r="C181" s="672"/>
      <c r="D181" s="672"/>
      <c r="E181" s="672"/>
      <c r="F181" s="672"/>
      <c r="G181" s="672"/>
      <c r="H181" s="672"/>
      <c r="I181" s="672"/>
      <c r="J181" s="672"/>
      <c r="K181" s="672"/>
      <c r="L181" s="672"/>
      <c r="M181" s="672"/>
      <c r="N181" s="672"/>
      <c r="O181" s="672"/>
      <c r="P181" s="672"/>
      <c r="Q181" s="672"/>
      <c r="R181" s="672"/>
      <c r="S181" s="673"/>
    </row>
    <row r="182" spans="1:19" s="192" customFormat="1" ht="186" customHeight="1" x14ac:dyDescent="0.25">
      <c r="A182" s="96">
        <f>A180+1</f>
        <v>152</v>
      </c>
      <c r="B182" s="177" t="s">
        <v>1046</v>
      </c>
      <c r="C182" s="182" t="s">
        <v>1046</v>
      </c>
      <c r="D182" s="97" t="s">
        <v>1047</v>
      </c>
      <c r="E182" s="84">
        <f t="shared" ref="E182:E193" si="32">LEN(D182)</f>
        <v>162</v>
      </c>
      <c r="F182" s="83" t="s">
        <v>1048</v>
      </c>
      <c r="G182" s="84">
        <f t="shared" ref="G182:G193" si="33">LEN(F182)</f>
        <v>165</v>
      </c>
      <c r="H182" s="97" t="s">
        <v>1049</v>
      </c>
      <c r="I182" s="84">
        <f t="shared" ref="I182:I193" si="34">LEN(H182)</f>
        <v>169</v>
      </c>
      <c r="J182" s="84" t="s">
        <v>34</v>
      </c>
      <c r="K182" s="84" t="s">
        <v>20</v>
      </c>
      <c r="L182" s="84" t="s">
        <v>20</v>
      </c>
      <c r="M182" s="84" t="s">
        <v>35</v>
      </c>
      <c r="N182" s="209" t="s">
        <v>20</v>
      </c>
      <c r="O182" s="557" t="s">
        <v>1050</v>
      </c>
      <c r="P182" s="179"/>
      <c r="Q182" s="179" t="s">
        <v>1051</v>
      </c>
      <c r="R182" s="207"/>
      <c r="S182" s="183"/>
    </row>
    <row r="183" spans="1:19" s="543" customFormat="1" ht="182" customHeight="1" x14ac:dyDescent="0.25">
      <c r="A183" s="544">
        <f>A182+1</f>
        <v>153</v>
      </c>
      <c r="B183" s="545" t="s">
        <v>1052</v>
      </c>
      <c r="C183" s="545" t="s">
        <v>1052</v>
      </c>
      <c r="D183" s="546" t="s">
        <v>1053</v>
      </c>
      <c r="E183" s="544">
        <f t="shared" si="32"/>
        <v>144</v>
      </c>
      <c r="F183" s="547" t="s">
        <v>1054</v>
      </c>
      <c r="G183" s="485">
        <f t="shared" si="33"/>
        <v>135</v>
      </c>
      <c r="H183" s="548" t="s">
        <v>1055</v>
      </c>
      <c r="I183" s="544">
        <f t="shared" si="34"/>
        <v>131</v>
      </c>
      <c r="J183" s="544" t="s">
        <v>34</v>
      </c>
      <c r="K183" s="544" t="s">
        <v>20</v>
      </c>
      <c r="L183" s="544" t="s">
        <v>20</v>
      </c>
      <c r="M183" s="544" t="s">
        <v>35</v>
      </c>
      <c r="N183" s="549" t="s">
        <v>20</v>
      </c>
      <c r="O183" s="550" t="s">
        <v>1056</v>
      </c>
      <c r="P183" s="666" t="s">
        <v>1057</v>
      </c>
      <c r="Q183" s="327" t="s">
        <v>1058</v>
      </c>
      <c r="R183" s="327"/>
      <c r="S183" s="542"/>
    </row>
    <row r="184" spans="1:19" s="360" customFormat="1" ht="215" customHeight="1" x14ac:dyDescent="0.25">
      <c r="A184" s="544">
        <f>A183+1</f>
        <v>154</v>
      </c>
      <c r="B184" s="545" t="s">
        <v>1059</v>
      </c>
      <c r="C184" s="545" t="s">
        <v>1059</v>
      </c>
      <c r="D184" s="546" t="s">
        <v>1060</v>
      </c>
      <c r="E184" s="544">
        <f t="shared" si="32"/>
        <v>235</v>
      </c>
      <c r="F184" s="547" t="s">
        <v>1061</v>
      </c>
      <c r="G184" s="485">
        <f t="shared" si="33"/>
        <v>224</v>
      </c>
      <c r="H184" s="548" t="s">
        <v>1062</v>
      </c>
      <c r="I184" s="544">
        <f t="shared" si="34"/>
        <v>249</v>
      </c>
      <c r="J184" s="544" t="s">
        <v>93</v>
      </c>
      <c r="K184" s="544" t="s">
        <v>20</v>
      </c>
      <c r="L184" s="544" t="s">
        <v>20</v>
      </c>
      <c r="M184" s="544" t="s">
        <v>94</v>
      </c>
      <c r="N184" s="549" t="s">
        <v>20</v>
      </c>
      <c r="O184" s="550" t="s">
        <v>1063</v>
      </c>
      <c r="P184" s="667"/>
      <c r="Q184" s="327" t="s">
        <v>1064</v>
      </c>
      <c r="R184" s="327"/>
      <c r="S184" s="542"/>
    </row>
    <row r="185" spans="1:19" s="360" customFormat="1" ht="107" customHeight="1" x14ac:dyDescent="0.25">
      <c r="A185" s="544">
        <f>A184+1</f>
        <v>155</v>
      </c>
      <c r="B185" s="545" t="s">
        <v>1065</v>
      </c>
      <c r="C185" s="545" t="s">
        <v>1065</v>
      </c>
      <c r="D185" s="546" t="s">
        <v>1066</v>
      </c>
      <c r="E185" s="544">
        <f t="shared" si="32"/>
        <v>71</v>
      </c>
      <c r="F185" s="547" t="s">
        <v>1067</v>
      </c>
      <c r="G185" s="485">
        <f t="shared" si="33"/>
        <v>69</v>
      </c>
      <c r="H185" s="548" t="s">
        <v>1068</v>
      </c>
      <c r="I185" s="544">
        <f t="shared" si="34"/>
        <v>121</v>
      </c>
      <c r="J185" s="544" t="s">
        <v>22</v>
      </c>
      <c r="K185" s="544" t="s">
        <v>20</v>
      </c>
      <c r="L185" s="544" t="s">
        <v>20</v>
      </c>
      <c r="M185" s="544" t="s">
        <v>23</v>
      </c>
      <c r="N185" s="549" t="s">
        <v>20</v>
      </c>
      <c r="O185" s="550" t="s">
        <v>1069</v>
      </c>
      <c r="P185" s="667"/>
      <c r="Q185" s="327" t="s">
        <v>1070</v>
      </c>
      <c r="R185" s="327"/>
      <c r="S185" s="542"/>
    </row>
    <row r="186" spans="1:19" s="360" customFormat="1" ht="122.5" customHeight="1" x14ac:dyDescent="0.25">
      <c r="A186" s="544">
        <f>A185+1</f>
        <v>156</v>
      </c>
      <c r="B186" s="545" t="s">
        <v>1071</v>
      </c>
      <c r="C186" s="545" t="s">
        <v>1071</v>
      </c>
      <c r="D186" s="546" t="s">
        <v>1072</v>
      </c>
      <c r="E186" s="544">
        <f t="shared" si="32"/>
        <v>92</v>
      </c>
      <c r="F186" s="547" t="s">
        <v>1073</v>
      </c>
      <c r="G186" s="485">
        <f t="shared" si="33"/>
        <v>60</v>
      </c>
      <c r="H186" s="548" t="s">
        <v>1074</v>
      </c>
      <c r="I186" s="544">
        <f t="shared" si="34"/>
        <v>77</v>
      </c>
      <c r="J186" s="544" t="s">
        <v>22</v>
      </c>
      <c r="K186" s="544" t="s">
        <v>20</v>
      </c>
      <c r="L186" s="544" t="s">
        <v>20</v>
      </c>
      <c r="M186" s="544" t="s">
        <v>23</v>
      </c>
      <c r="N186" s="549" t="s">
        <v>20</v>
      </c>
      <c r="O186" s="550" t="s">
        <v>1075</v>
      </c>
      <c r="P186" s="668"/>
      <c r="Q186" s="327" t="s">
        <v>1076</v>
      </c>
      <c r="R186" s="327"/>
      <c r="S186" s="542"/>
    </row>
    <row r="187" spans="1:19" s="339" customFormat="1" ht="259.5" customHeight="1" x14ac:dyDescent="0.25">
      <c r="A187" s="551">
        <f>A182+1</f>
        <v>153</v>
      </c>
      <c r="B187" s="227" t="s">
        <v>1077</v>
      </c>
      <c r="C187" s="227" t="s">
        <v>1078</v>
      </c>
      <c r="D187" s="540" t="s">
        <v>1079</v>
      </c>
      <c r="E187" s="119">
        <f t="shared" si="32"/>
        <v>166</v>
      </c>
      <c r="F187" s="118" t="s">
        <v>1080</v>
      </c>
      <c r="G187" s="119">
        <f t="shared" si="33"/>
        <v>167</v>
      </c>
      <c r="H187" s="541" t="s">
        <v>1081</v>
      </c>
      <c r="I187" s="119">
        <f t="shared" si="34"/>
        <v>172</v>
      </c>
      <c r="J187" s="119" t="s">
        <v>278</v>
      </c>
      <c r="K187" s="119" t="s">
        <v>20</v>
      </c>
      <c r="L187" s="119" t="s">
        <v>20</v>
      </c>
      <c r="M187" s="119" t="s">
        <v>897</v>
      </c>
      <c r="N187" s="178" t="s">
        <v>1082</v>
      </c>
      <c r="O187" s="229" t="s">
        <v>1083</v>
      </c>
      <c r="P187" s="325"/>
      <c r="Q187" s="325" t="s">
        <v>1084</v>
      </c>
      <c r="R187" s="327"/>
      <c r="S187" s="326"/>
    </row>
    <row r="188" spans="1:19" s="339" customFormat="1" ht="188.5" customHeight="1" x14ac:dyDescent="0.25">
      <c r="A188" s="551">
        <f>A187+1</f>
        <v>154</v>
      </c>
      <c r="B188" s="337" t="s">
        <v>1085</v>
      </c>
      <c r="C188" s="337" t="s">
        <v>1086</v>
      </c>
      <c r="D188" s="340" t="s">
        <v>1087</v>
      </c>
      <c r="E188" s="119">
        <f t="shared" si="32"/>
        <v>130</v>
      </c>
      <c r="F188" s="118" t="s">
        <v>1088</v>
      </c>
      <c r="G188" s="119">
        <f t="shared" si="33"/>
        <v>132</v>
      </c>
      <c r="H188" s="100" t="s">
        <v>1089</v>
      </c>
      <c r="I188" s="119">
        <f t="shared" si="34"/>
        <v>126</v>
      </c>
      <c r="J188" s="119" t="s">
        <v>278</v>
      </c>
      <c r="K188" s="119" t="s">
        <v>20</v>
      </c>
      <c r="L188" s="119" t="s">
        <v>20</v>
      </c>
      <c r="M188" s="119" t="s">
        <v>897</v>
      </c>
      <c r="N188" s="178" t="s">
        <v>1090</v>
      </c>
      <c r="O188" s="338" t="s">
        <v>1091</v>
      </c>
      <c r="P188" s="325"/>
      <c r="Q188" s="325" t="s">
        <v>1092</v>
      </c>
      <c r="R188" s="327"/>
      <c r="S188" s="326"/>
    </row>
    <row r="189" spans="1:19" s="243" customFormat="1" ht="206" customHeight="1" thickBot="1" x14ac:dyDescent="0.3">
      <c r="A189" s="551">
        <f>A188+1</f>
        <v>155</v>
      </c>
      <c r="B189" s="380" t="s">
        <v>1093</v>
      </c>
      <c r="C189" s="211" t="s">
        <v>1093</v>
      </c>
      <c r="D189" s="122" t="s">
        <v>1094</v>
      </c>
      <c r="E189" s="296">
        <f t="shared" si="32"/>
        <v>125</v>
      </c>
      <c r="F189" s="120" t="s">
        <v>1095</v>
      </c>
      <c r="G189" s="121">
        <f t="shared" si="33"/>
        <v>110</v>
      </c>
      <c r="H189" s="122" t="s">
        <v>1096</v>
      </c>
      <c r="I189" s="296">
        <f t="shared" si="34"/>
        <v>134</v>
      </c>
      <c r="J189" s="296" t="s">
        <v>34</v>
      </c>
      <c r="K189" s="296" t="s">
        <v>20</v>
      </c>
      <c r="L189" s="296" t="s">
        <v>20</v>
      </c>
      <c r="M189" s="296" t="s">
        <v>35</v>
      </c>
      <c r="N189" s="178" t="s">
        <v>20</v>
      </c>
      <c r="O189" s="536" t="s">
        <v>1097</v>
      </c>
      <c r="P189" s="198"/>
      <c r="Q189" s="306" t="s">
        <v>20</v>
      </c>
      <c r="R189" s="307"/>
      <c r="S189" s="308"/>
    </row>
    <row r="190" spans="1:19" s="192" customFormat="1" ht="78" customHeight="1" thickBot="1" x14ac:dyDescent="0.3">
      <c r="A190" s="309" t="s">
        <v>20</v>
      </c>
      <c r="B190" s="381" t="s">
        <v>1098</v>
      </c>
      <c r="C190" s="310" t="s">
        <v>1098</v>
      </c>
      <c r="D190" s="125" t="s">
        <v>1099</v>
      </c>
      <c r="E190" s="124">
        <f t="shared" si="32"/>
        <v>141</v>
      </c>
      <c r="F190" s="123" t="s">
        <v>1100</v>
      </c>
      <c r="G190" s="124">
        <f t="shared" si="33"/>
        <v>119</v>
      </c>
      <c r="H190" s="125" t="s">
        <v>1101</v>
      </c>
      <c r="I190" s="124">
        <f t="shared" si="34"/>
        <v>120</v>
      </c>
      <c r="J190" s="124" t="s">
        <v>20</v>
      </c>
      <c r="K190" s="124" t="s">
        <v>20</v>
      </c>
      <c r="L190" s="124" t="s">
        <v>20</v>
      </c>
      <c r="M190" s="124" t="s">
        <v>20</v>
      </c>
      <c r="N190" s="311"/>
      <c r="O190" s="311" t="s">
        <v>20</v>
      </c>
      <c r="P190" s="311"/>
      <c r="Q190" s="312" t="s">
        <v>20</v>
      </c>
      <c r="R190" s="313"/>
      <c r="S190" s="314"/>
    </row>
    <row r="191" spans="1:19" ht="40.5" customHeight="1" thickBot="1" x14ac:dyDescent="0.3">
      <c r="A191" s="309" t="s">
        <v>20</v>
      </c>
      <c r="B191" s="315" t="s">
        <v>1102</v>
      </c>
      <c r="C191" s="310" t="s">
        <v>20</v>
      </c>
      <c r="D191" s="149" t="s">
        <v>1103</v>
      </c>
      <c r="E191" s="656">
        <f t="shared" si="32"/>
        <v>13</v>
      </c>
      <c r="F191" s="123" t="s">
        <v>1104</v>
      </c>
      <c r="G191" s="124">
        <f t="shared" si="33"/>
        <v>19</v>
      </c>
      <c r="H191" s="123" t="s">
        <v>1105</v>
      </c>
      <c r="I191" s="316">
        <f t="shared" si="34"/>
        <v>10</v>
      </c>
      <c r="J191" s="124" t="s">
        <v>20</v>
      </c>
      <c r="K191" s="124" t="s">
        <v>20</v>
      </c>
      <c r="L191" s="124" t="s">
        <v>20</v>
      </c>
      <c r="M191" s="124" t="s">
        <v>20</v>
      </c>
      <c r="N191" s="124" t="s">
        <v>20</v>
      </c>
      <c r="O191" s="123" t="s">
        <v>20</v>
      </c>
      <c r="P191" s="123" t="s">
        <v>20</v>
      </c>
      <c r="Q191" s="553"/>
      <c r="R191" s="553"/>
      <c r="S191" s="554"/>
    </row>
    <row r="192" spans="1:19" ht="49" customHeight="1" thickBot="1" x14ac:dyDescent="0.3">
      <c r="A192" s="309" t="s">
        <v>20</v>
      </c>
      <c r="B192" s="310" t="s">
        <v>1106</v>
      </c>
      <c r="C192" s="310" t="s">
        <v>20</v>
      </c>
      <c r="D192" s="149" t="s">
        <v>1107</v>
      </c>
      <c r="E192" s="656">
        <f t="shared" si="32"/>
        <v>12</v>
      </c>
      <c r="F192" s="123" t="s">
        <v>1108</v>
      </c>
      <c r="G192" s="124">
        <f t="shared" si="33"/>
        <v>9</v>
      </c>
      <c r="H192" s="123" t="s">
        <v>1109</v>
      </c>
      <c r="I192" s="316">
        <f t="shared" si="34"/>
        <v>7</v>
      </c>
      <c r="J192" s="124" t="s">
        <v>20</v>
      </c>
      <c r="K192" s="124" t="s">
        <v>20</v>
      </c>
      <c r="L192" s="124" t="s">
        <v>20</v>
      </c>
      <c r="M192" s="124" t="s">
        <v>20</v>
      </c>
      <c r="N192" s="124" t="s">
        <v>20</v>
      </c>
      <c r="O192" s="123" t="s">
        <v>20</v>
      </c>
      <c r="P192" s="123" t="s">
        <v>20</v>
      </c>
      <c r="Q192" s="553"/>
      <c r="R192" s="553"/>
      <c r="S192" s="554"/>
    </row>
    <row r="193" spans="1:19" ht="55" customHeight="1" thickBot="1" x14ac:dyDescent="0.3">
      <c r="A193" s="317" t="s">
        <v>20</v>
      </c>
      <c r="B193" s="195" t="s">
        <v>1110</v>
      </c>
      <c r="C193" s="195" t="s">
        <v>20</v>
      </c>
      <c r="D193" s="150" t="s">
        <v>1111</v>
      </c>
      <c r="E193" s="657">
        <f t="shared" si="32"/>
        <v>12</v>
      </c>
      <c r="F193" s="126" t="s">
        <v>1112</v>
      </c>
      <c r="G193" s="127">
        <f t="shared" si="33"/>
        <v>10</v>
      </c>
      <c r="H193" s="126" t="s">
        <v>1113</v>
      </c>
      <c r="I193" s="552">
        <f t="shared" si="34"/>
        <v>10</v>
      </c>
      <c r="J193" s="127" t="s">
        <v>20</v>
      </c>
      <c r="K193" s="127" t="s">
        <v>20</v>
      </c>
      <c r="L193" s="127" t="s">
        <v>20</v>
      </c>
      <c r="M193" s="127" t="s">
        <v>20</v>
      </c>
      <c r="N193" s="127" t="s">
        <v>20</v>
      </c>
      <c r="O193" s="126" t="s">
        <v>20</v>
      </c>
      <c r="P193" s="126" t="s">
        <v>20</v>
      </c>
      <c r="Q193" s="555"/>
      <c r="R193" s="555"/>
      <c r="S193" s="556"/>
    </row>
    <row r="195" spans="1:19" ht="16" customHeight="1" thickBot="1" x14ac:dyDescent="0.3"/>
    <row r="196" spans="1:19" ht="18" customHeight="1" thickBot="1" x14ac:dyDescent="0.3">
      <c r="D196" s="152" t="s">
        <v>1114</v>
      </c>
      <c r="E196" s="318"/>
      <c r="F196" s="318"/>
      <c r="G196" s="318"/>
      <c r="H196" s="318"/>
      <c r="I196" s="318"/>
      <c r="J196" s="318"/>
      <c r="K196" s="318"/>
      <c r="L196" s="318"/>
      <c r="M196" s="318"/>
      <c r="N196" s="318"/>
      <c r="O196" s="318"/>
      <c r="P196" s="318"/>
      <c r="Q196" s="318"/>
      <c r="R196" s="318"/>
      <c r="S196" s="318"/>
    </row>
    <row r="197" spans="1:19" ht="16" hidden="1" customHeight="1" thickBot="1" x14ac:dyDescent="0.3">
      <c r="D197" s="153" t="s">
        <v>1115</v>
      </c>
      <c r="E197" s="319"/>
      <c r="F197" s="319"/>
      <c r="G197" s="319"/>
      <c r="H197" s="319"/>
      <c r="I197" s="319"/>
      <c r="J197" s="319"/>
      <c r="K197" s="319"/>
      <c r="L197" s="319"/>
      <c r="M197" s="319"/>
      <c r="N197" s="319"/>
      <c r="O197" s="319"/>
      <c r="P197" s="319"/>
      <c r="Q197" s="319"/>
      <c r="R197" s="319"/>
      <c r="S197" s="319"/>
    </row>
    <row r="198" spans="1:19" ht="16" customHeight="1" thickBot="1" x14ac:dyDescent="0.3">
      <c r="D198" s="152" t="s">
        <v>1116</v>
      </c>
      <c r="E198" s="318"/>
      <c r="F198" s="318"/>
      <c r="G198" s="318"/>
      <c r="H198" s="318"/>
      <c r="I198" s="318"/>
      <c r="J198" s="318"/>
      <c r="K198" s="318"/>
      <c r="L198" s="318"/>
      <c r="M198" s="318"/>
      <c r="N198" s="318"/>
      <c r="O198" s="318"/>
      <c r="P198" s="318"/>
      <c r="Q198" s="318"/>
      <c r="R198" s="318"/>
      <c r="S198" s="318"/>
    </row>
  </sheetData>
  <autoFilter ref="A3:XEG193" xr:uid="{00000000-0009-0000-0000-000000000000}"/>
  <mergeCells count="21">
    <mergeCell ref="A104:S104"/>
    <mergeCell ref="A115:S115"/>
    <mergeCell ref="A120:S120"/>
    <mergeCell ref="A132:S132"/>
    <mergeCell ref="S90:S93"/>
    <mergeCell ref="P183:P186"/>
    <mergeCell ref="Q34:Q35"/>
    <mergeCell ref="A43:S43"/>
    <mergeCell ref="A1:S1"/>
    <mergeCell ref="A2:R2"/>
    <mergeCell ref="S2:S3"/>
    <mergeCell ref="A4:S4"/>
    <mergeCell ref="A21:S21"/>
    <mergeCell ref="A54:S54"/>
    <mergeCell ref="S59:S60"/>
    <mergeCell ref="S68:S69"/>
    <mergeCell ref="A127:S127"/>
    <mergeCell ref="A175:S175"/>
    <mergeCell ref="A181:S181"/>
    <mergeCell ref="A80:S80"/>
    <mergeCell ref="A99:S99"/>
  </mergeCells>
  <conditionalFormatting sqref="B14 B16:B19">
    <cfRule type="duplicateValues" dxfId="217" priority="888"/>
  </conditionalFormatting>
  <conditionalFormatting sqref="B15">
    <cfRule type="duplicateValues" dxfId="216" priority="81"/>
    <cfRule type="duplicateValues" dxfId="215" priority="80"/>
  </conditionalFormatting>
  <conditionalFormatting sqref="B20">
    <cfRule type="duplicateValues" dxfId="214" priority="887"/>
  </conditionalFormatting>
  <conditionalFormatting sqref="B27">
    <cfRule type="duplicateValues" dxfId="213" priority="745"/>
  </conditionalFormatting>
  <conditionalFormatting sqref="B28">
    <cfRule type="duplicateValues" dxfId="212" priority="78"/>
  </conditionalFormatting>
  <conditionalFormatting sqref="B31">
    <cfRule type="duplicateValues" dxfId="211" priority="47"/>
  </conditionalFormatting>
  <conditionalFormatting sqref="B33">
    <cfRule type="duplicateValues" dxfId="210" priority="1367"/>
  </conditionalFormatting>
  <conditionalFormatting sqref="B34:B39">
    <cfRule type="duplicateValues" dxfId="209" priority="508"/>
  </conditionalFormatting>
  <conditionalFormatting sqref="B40">
    <cfRule type="duplicateValues" dxfId="208" priority="497"/>
  </conditionalFormatting>
  <conditionalFormatting sqref="B42">
    <cfRule type="duplicateValues" dxfId="207" priority="17"/>
  </conditionalFormatting>
  <conditionalFormatting sqref="B47">
    <cfRule type="duplicateValues" dxfId="206" priority="901"/>
  </conditionalFormatting>
  <conditionalFormatting sqref="B48">
    <cfRule type="duplicateValues" dxfId="205" priority="16"/>
  </conditionalFormatting>
  <conditionalFormatting sqref="B50:B51">
    <cfRule type="duplicateValues" dxfId="204" priority="13"/>
  </conditionalFormatting>
  <conditionalFormatting sqref="B52">
    <cfRule type="duplicateValues" dxfId="203" priority="14"/>
  </conditionalFormatting>
  <conditionalFormatting sqref="B56:B58">
    <cfRule type="duplicateValues" dxfId="202" priority="507"/>
  </conditionalFormatting>
  <conditionalFormatting sqref="B60">
    <cfRule type="duplicateValues" dxfId="201" priority="1400"/>
  </conditionalFormatting>
  <conditionalFormatting sqref="B61">
    <cfRule type="duplicateValues" dxfId="200" priority="8"/>
  </conditionalFormatting>
  <conditionalFormatting sqref="B62">
    <cfRule type="duplicateValues" dxfId="199" priority="9"/>
  </conditionalFormatting>
  <conditionalFormatting sqref="B65:B67">
    <cfRule type="duplicateValues" dxfId="198" priority="503"/>
  </conditionalFormatting>
  <conditionalFormatting sqref="B68">
    <cfRule type="duplicateValues" dxfId="197" priority="852"/>
  </conditionalFormatting>
  <conditionalFormatting sqref="B69">
    <cfRule type="duplicateValues" dxfId="196" priority="1433"/>
  </conditionalFormatting>
  <conditionalFormatting sqref="B70">
    <cfRule type="duplicateValues" dxfId="195" priority="4"/>
  </conditionalFormatting>
  <conditionalFormatting sqref="B71">
    <cfRule type="duplicateValues" dxfId="194" priority="5"/>
  </conditionalFormatting>
  <conditionalFormatting sqref="B74:B76">
    <cfRule type="duplicateValues" dxfId="193" priority="499"/>
  </conditionalFormatting>
  <conditionalFormatting sqref="B77">
    <cfRule type="duplicateValues" dxfId="192" priority="513"/>
  </conditionalFormatting>
  <conditionalFormatting sqref="B79">
    <cfRule type="duplicateValues" dxfId="191" priority="2"/>
  </conditionalFormatting>
  <conditionalFormatting sqref="B88:B89">
    <cfRule type="duplicateValues" dxfId="190" priority="1466"/>
  </conditionalFormatting>
  <conditionalFormatting sqref="B95:B96">
    <cfRule type="duplicateValues" dxfId="189" priority="1500"/>
  </conditionalFormatting>
  <conditionalFormatting sqref="B97">
    <cfRule type="duplicateValues" dxfId="188" priority="849"/>
  </conditionalFormatting>
  <conditionalFormatting sqref="B98">
    <cfRule type="duplicateValues" dxfId="187" priority="896"/>
  </conditionalFormatting>
  <conditionalFormatting sqref="B100">
    <cfRule type="duplicateValues" dxfId="186" priority="1532"/>
  </conditionalFormatting>
  <conditionalFormatting sqref="B110">
    <cfRule type="duplicateValues" dxfId="185" priority="892"/>
  </conditionalFormatting>
  <conditionalFormatting sqref="B112:B113">
    <cfRule type="duplicateValues" dxfId="184" priority="889"/>
    <cfRule type="duplicateValues" dxfId="183" priority="890"/>
  </conditionalFormatting>
  <conditionalFormatting sqref="B114">
    <cfRule type="duplicateValues" dxfId="182" priority="895"/>
  </conditionalFormatting>
  <conditionalFormatting sqref="B118">
    <cfRule type="duplicateValues" dxfId="181" priority="1533"/>
  </conditionalFormatting>
  <conditionalFormatting sqref="B121">
    <cfRule type="duplicateValues" dxfId="180" priority="847"/>
  </conditionalFormatting>
  <conditionalFormatting sqref="B122">
    <cfRule type="duplicateValues" dxfId="179" priority="1534"/>
  </conditionalFormatting>
  <conditionalFormatting sqref="B126">
    <cfRule type="duplicateValues" dxfId="178" priority="1"/>
  </conditionalFormatting>
  <conditionalFormatting sqref="B129:B131">
    <cfRule type="duplicateValues" dxfId="177" priority="1535"/>
  </conditionalFormatting>
  <conditionalFormatting sqref="B133">
    <cfRule type="duplicateValues" dxfId="176" priority="495"/>
  </conditionalFormatting>
  <conditionalFormatting sqref="B139">
    <cfRule type="duplicateValues" dxfId="175" priority="872"/>
  </conditionalFormatting>
  <conditionalFormatting sqref="B140">
    <cfRule type="duplicateValues" dxfId="174" priority="870"/>
  </conditionalFormatting>
  <conditionalFormatting sqref="B142">
    <cfRule type="duplicateValues" dxfId="173" priority="868"/>
  </conditionalFormatting>
  <conditionalFormatting sqref="B144">
    <cfRule type="duplicateValues" dxfId="172" priority="866"/>
  </conditionalFormatting>
  <conditionalFormatting sqref="B145">
    <cfRule type="duplicateValues" dxfId="171" priority="493"/>
  </conditionalFormatting>
  <conditionalFormatting sqref="B158">
    <cfRule type="duplicateValues" dxfId="170" priority="864"/>
  </conditionalFormatting>
  <conditionalFormatting sqref="B159:B167 B169:B171">
    <cfRule type="duplicateValues" dxfId="169" priority="897"/>
  </conditionalFormatting>
  <conditionalFormatting sqref="B168">
    <cfRule type="duplicateValues" dxfId="168" priority="752"/>
  </conditionalFormatting>
  <conditionalFormatting sqref="B172">
    <cfRule type="duplicateValues" dxfId="167" priority="750"/>
  </conditionalFormatting>
  <conditionalFormatting sqref="B173 C159:C167 C169:C171">
    <cfRule type="duplicateValues" dxfId="166" priority="1183"/>
  </conditionalFormatting>
  <conditionalFormatting sqref="B174">
    <cfRule type="duplicateValues" dxfId="165" priority="751"/>
  </conditionalFormatting>
  <conditionalFormatting sqref="B191:B193">
    <cfRule type="duplicateValues" dxfId="164" priority="488"/>
    <cfRule type="duplicateValues" dxfId="163" priority="489"/>
  </conditionalFormatting>
  <conditionalFormatting sqref="B198">
    <cfRule type="duplicateValues" dxfId="162" priority="662"/>
  </conditionalFormatting>
  <conditionalFormatting sqref="B199:B1048576 B189:B190 B182 B176:B178 B141 B128 B101:B103 B2:B3 B116:B117 B63:B64 B72:B73 B94 B106:B109 B111:B113 B119 B123:B125 B134:B138 B143 B5 B24:B26 B157 B49 B78 B84:B85 B7:B14 B29:B30 B45:B46 B41 B55 B59 B194:B197 B16:B20 B32 B53">
    <cfRule type="duplicateValues" dxfId="161" priority="894"/>
  </conditionalFormatting>
  <conditionalFormatting sqref="C26">
    <cfRule type="duplicateValues" dxfId="160" priority="1192"/>
  </conditionalFormatting>
  <conditionalFormatting sqref="C27">
    <cfRule type="duplicateValues" dxfId="159" priority="1193"/>
  </conditionalFormatting>
  <conditionalFormatting sqref="C28">
    <cfRule type="duplicateValues" dxfId="158" priority="79"/>
  </conditionalFormatting>
  <conditionalFormatting sqref="C30">
    <cfRule type="duplicateValues" dxfId="157" priority="1199"/>
  </conditionalFormatting>
  <conditionalFormatting sqref="C31">
    <cfRule type="duplicateValues" dxfId="156" priority="48"/>
  </conditionalFormatting>
  <conditionalFormatting sqref="C32 C29">
    <cfRule type="duplicateValues" dxfId="155" priority="1572"/>
  </conditionalFormatting>
  <conditionalFormatting sqref="C33">
    <cfRule type="duplicateValues" dxfId="154" priority="1399"/>
  </conditionalFormatting>
  <conditionalFormatting sqref="C41">
    <cfRule type="duplicateValues" dxfId="153" priority="1294"/>
  </conditionalFormatting>
  <conditionalFormatting sqref="C47">
    <cfRule type="duplicateValues" dxfId="152" priority="1197"/>
  </conditionalFormatting>
  <conditionalFormatting sqref="C50">
    <cfRule type="duplicateValues" dxfId="151" priority="12"/>
  </conditionalFormatting>
  <conditionalFormatting sqref="C52">
    <cfRule type="duplicateValues" dxfId="150" priority="15"/>
  </conditionalFormatting>
  <conditionalFormatting sqref="C53">
    <cfRule type="duplicateValues" dxfId="149" priority="1179"/>
  </conditionalFormatting>
  <conditionalFormatting sqref="C56">
    <cfRule type="duplicateValues" dxfId="148" priority="505"/>
  </conditionalFormatting>
  <conditionalFormatting sqref="C57">
    <cfRule type="duplicateValues" dxfId="147" priority="504"/>
  </conditionalFormatting>
  <conditionalFormatting sqref="C58">
    <cfRule type="duplicateValues" dxfId="146" priority="506"/>
  </conditionalFormatting>
  <conditionalFormatting sqref="C60">
    <cfRule type="duplicateValues" dxfId="145" priority="1432"/>
  </conditionalFormatting>
  <conditionalFormatting sqref="C61">
    <cfRule type="duplicateValues" dxfId="144" priority="11"/>
  </conditionalFormatting>
  <conditionalFormatting sqref="C62">
    <cfRule type="duplicateValues" dxfId="143" priority="10"/>
  </conditionalFormatting>
  <conditionalFormatting sqref="C65">
    <cfRule type="duplicateValues" dxfId="142" priority="501"/>
  </conditionalFormatting>
  <conditionalFormatting sqref="C66">
    <cfRule type="duplicateValues" dxfId="141" priority="500"/>
  </conditionalFormatting>
  <conditionalFormatting sqref="C67">
    <cfRule type="duplicateValues" dxfId="140" priority="502"/>
  </conditionalFormatting>
  <conditionalFormatting sqref="C69">
    <cfRule type="duplicateValues" dxfId="139" priority="1465"/>
  </conditionalFormatting>
  <conditionalFormatting sqref="C70">
    <cfRule type="duplicateValues" dxfId="138" priority="7"/>
  </conditionalFormatting>
  <conditionalFormatting sqref="C71">
    <cfRule type="duplicateValues" dxfId="137" priority="6"/>
  </conditionalFormatting>
  <conditionalFormatting sqref="C74:C76">
    <cfRule type="duplicateValues" dxfId="136" priority="498"/>
  </conditionalFormatting>
  <conditionalFormatting sqref="C79">
    <cfRule type="duplicateValues" dxfId="135" priority="3"/>
  </conditionalFormatting>
  <conditionalFormatting sqref="C88:C89">
    <cfRule type="duplicateValues" dxfId="134" priority="1499"/>
  </conditionalFormatting>
  <conditionalFormatting sqref="C97">
    <cfRule type="duplicateValues" dxfId="133" priority="1182"/>
  </conditionalFormatting>
  <conditionalFormatting sqref="C98">
    <cfRule type="duplicateValues" dxfId="132" priority="1187"/>
  </conditionalFormatting>
  <conditionalFormatting sqref="C100">
    <cfRule type="duplicateValues" dxfId="131" priority="1202"/>
  </conditionalFormatting>
  <conditionalFormatting sqref="C114">
    <cfRule type="duplicateValues" dxfId="130" priority="1186"/>
  </conditionalFormatting>
  <conditionalFormatting sqref="C129">
    <cfRule type="duplicateValues" dxfId="129" priority="1172"/>
  </conditionalFormatting>
  <conditionalFormatting sqref="C133">
    <cfRule type="duplicateValues" dxfId="128" priority="494"/>
  </conditionalFormatting>
  <conditionalFormatting sqref="C139">
    <cfRule type="duplicateValues" dxfId="127" priority="1173"/>
  </conditionalFormatting>
  <conditionalFormatting sqref="C140">
    <cfRule type="duplicateValues" dxfId="126" priority="1174"/>
  </conditionalFormatting>
  <conditionalFormatting sqref="C142">
    <cfRule type="duplicateValues" dxfId="125" priority="1175"/>
  </conditionalFormatting>
  <conditionalFormatting sqref="C144">
    <cfRule type="duplicateValues" dxfId="124" priority="1176"/>
  </conditionalFormatting>
  <conditionalFormatting sqref="C158">
    <cfRule type="duplicateValues" dxfId="123" priority="1177"/>
  </conditionalFormatting>
  <conditionalFormatting sqref="C168">
    <cfRule type="duplicateValues" dxfId="122" priority="1188"/>
  </conditionalFormatting>
  <conditionalFormatting sqref="C172">
    <cfRule type="duplicateValues" dxfId="121" priority="1191"/>
  </conditionalFormatting>
  <conditionalFormatting sqref="C173">
    <cfRule type="duplicateValues" dxfId="120" priority="1189"/>
  </conditionalFormatting>
  <conditionalFormatting sqref="C174">
    <cfRule type="duplicateValues" dxfId="119" priority="1190"/>
  </conditionalFormatting>
  <conditionalFormatting sqref="D26:D33 H29:H30 H32:H33">
    <cfRule type="expression" dxfId="118" priority="25" stopIfTrue="1">
      <formula>$A26="note"</formula>
    </cfRule>
    <cfRule type="expression" dxfId="117" priority="26" stopIfTrue="1">
      <formula>$A26="note"</formula>
    </cfRule>
    <cfRule type="expression" dxfId="116" priority="27" stopIfTrue="1">
      <formula>$A26="barcode"</formula>
    </cfRule>
    <cfRule type="expression" dxfId="115" priority="28" stopIfTrue="1">
      <formula>$A26="barcode"</formula>
    </cfRule>
    <cfRule type="expression" dxfId="114" priority="29" stopIfTrue="1">
      <formula>$A26="geopoint"</formula>
    </cfRule>
    <cfRule type="expression" dxfId="113" priority="30" stopIfTrue="1">
      <formula>$A26="geopoint"</formula>
    </cfRule>
    <cfRule type="expression" dxfId="112" priority="31" stopIfTrue="1">
      <formula>OR($A26="audio audit", $A26="text audit")</formula>
    </cfRule>
    <cfRule type="expression" dxfId="111" priority="32" stopIfTrue="1">
      <formula>OR($A26="username", $A26="phonenumber", $A26="start", $A26="end", $A26="deviceid", $A26="subscriberid", $A26="simserial")</formula>
    </cfRule>
    <cfRule type="expression" dxfId="110" priority="33" stopIfTrue="1">
      <formula>OR(AND(LEFT($A26, 16)="select_multiple ", LEN($A26)&gt;16, NOT(ISNUMBER(SEARCH(" ", $A26, 17)))), AND(LEFT($A26, 11)="select_one ", LEN($A26)&gt;11, NOT(ISNUMBER(SEARCH(" ", $A26, 12)))))</formula>
    </cfRule>
    <cfRule type="expression" dxfId="109" priority="34" stopIfTrue="1">
      <formula>OR(AND(LEFT($A26, 16)="select_multiple ", LEN($A26)&gt;16, NOT(ISNUMBER(SEARCH(" ", $A26, 17)))), AND(LEFT($A26, 11)="select_one ", LEN($A26)&gt;11, NOT(ISNUMBER(SEARCH(" ", $A26, 12)))))</formula>
    </cfRule>
    <cfRule type="expression" dxfId="108" priority="35" stopIfTrue="1">
      <formula>$A26="decimal"</formula>
    </cfRule>
    <cfRule type="expression" dxfId="107" priority="42" stopIfTrue="1">
      <formula>$A26="begin repeat"</formula>
    </cfRule>
    <cfRule type="expression" dxfId="106" priority="37" stopIfTrue="1">
      <formula>$A26="integer"</formula>
    </cfRule>
    <cfRule type="expression" dxfId="105" priority="38" stopIfTrue="1">
      <formula>$A26="integer"</formula>
    </cfRule>
    <cfRule type="expression" dxfId="104" priority="24" stopIfTrue="1">
      <formula>OR($A26="calculate", $A26="calculate_here")</formula>
    </cfRule>
    <cfRule type="expression" dxfId="103" priority="46" stopIfTrue="1">
      <formula>$A26="begin group"</formula>
    </cfRule>
    <cfRule type="expression" dxfId="102" priority="39" stopIfTrue="1">
      <formula>$A26="text"</formula>
    </cfRule>
    <cfRule type="expression" dxfId="101" priority="36" stopIfTrue="1">
      <formula>$A26="decimal"</formula>
    </cfRule>
    <cfRule type="expression" dxfId="100" priority="40" stopIfTrue="1">
      <formula>$A26="text"</formula>
    </cfRule>
    <cfRule type="expression" dxfId="99" priority="23" stopIfTrue="1">
      <formula>OR($A26="date", $A26="datetime")</formula>
    </cfRule>
    <cfRule type="expression" dxfId="98" priority="22" stopIfTrue="1">
      <formula>OR($A26="date", $A26="datetime")</formula>
    </cfRule>
    <cfRule type="expression" dxfId="97" priority="21" stopIfTrue="1">
      <formula>$A26="image"</formula>
    </cfRule>
    <cfRule type="expression" dxfId="96" priority="41" stopIfTrue="1">
      <formula>$A26="end repeat"</formula>
    </cfRule>
    <cfRule type="expression" dxfId="95" priority="20" stopIfTrue="1">
      <formula>$A26="image"</formula>
    </cfRule>
    <cfRule type="expression" dxfId="94" priority="19" stopIfTrue="1">
      <formula>OR($A26="audio", $A26="video")</formula>
    </cfRule>
    <cfRule type="expression" dxfId="93" priority="18" stopIfTrue="1">
      <formula>OR($A26="audio", $A26="video")</formula>
    </cfRule>
    <cfRule type="expression" dxfId="92" priority="43" stopIfTrue="1">
      <formula>$A26="begin repeat"</formula>
    </cfRule>
    <cfRule type="expression" dxfId="91" priority="44" stopIfTrue="1">
      <formula>$A26="end group"</formula>
    </cfRule>
    <cfRule type="expression" dxfId="90" priority="45" stopIfTrue="1">
      <formula>$A26="begin group"</formula>
    </cfRule>
  </conditionalFormatting>
  <conditionalFormatting sqref="D45">
    <cfRule type="cellIs" dxfId="89" priority="858" operator="notEqual">
      <formula>$D$45</formula>
    </cfRule>
  </conditionalFormatting>
  <conditionalFormatting sqref="D183:D188">
    <cfRule type="expression" dxfId="88" priority="840" stopIfTrue="1">
      <formula>$A183="end group"</formula>
    </cfRule>
    <cfRule type="expression" dxfId="87" priority="841" stopIfTrue="1">
      <formula>$A183="begin group"</formula>
    </cfRule>
    <cfRule type="expression" dxfId="86" priority="842" stopIfTrue="1">
      <formula>$A183="begin group"</formula>
    </cfRule>
    <cfRule type="expression" dxfId="85" priority="820" stopIfTrue="1">
      <formula>OR($A183="calculate", $A183="calculate_here")</formula>
    </cfRule>
    <cfRule type="expression" dxfId="84" priority="814" stopIfTrue="1">
      <formula>OR($A183="audio", $A183="video")</formula>
    </cfRule>
    <cfRule type="expression" dxfId="83" priority="815" stopIfTrue="1">
      <formula>OR($A183="audio", $A183="video")</formula>
    </cfRule>
    <cfRule type="expression" dxfId="82" priority="816" stopIfTrue="1">
      <formula>$A183="image"</formula>
    </cfRule>
    <cfRule type="expression" dxfId="81" priority="817" stopIfTrue="1">
      <formula>$A183="image"</formula>
    </cfRule>
    <cfRule type="expression" dxfId="80" priority="818" stopIfTrue="1">
      <formula>OR($A183="date", $A183="datetime")</formula>
    </cfRule>
    <cfRule type="expression" dxfId="79" priority="819" stopIfTrue="1">
      <formula>OR($A183="date", $A183="datetime")</formula>
    </cfRule>
    <cfRule type="expression" dxfId="78" priority="839" stopIfTrue="1">
      <formula>$A183="begin repeat"</formula>
    </cfRule>
    <cfRule type="expression" dxfId="77" priority="821" stopIfTrue="1">
      <formula>$A183="note"</formula>
    </cfRule>
    <cfRule type="expression" dxfId="76" priority="822" stopIfTrue="1">
      <formula>$A183="note"</formula>
    </cfRule>
    <cfRule type="expression" dxfId="75" priority="823" stopIfTrue="1">
      <formula>$A183="barcode"</formula>
    </cfRule>
    <cfRule type="expression" dxfId="74" priority="824" stopIfTrue="1">
      <formula>$A183="barcode"</formula>
    </cfRule>
    <cfRule type="expression" dxfId="73" priority="825" stopIfTrue="1">
      <formula>$A183="geopoint"</formula>
    </cfRule>
    <cfRule type="expression" dxfId="72" priority="826" stopIfTrue="1">
      <formula>$A183="geopoint"</formula>
    </cfRule>
    <cfRule type="expression" dxfId="71" priority="827" stopIfTrue="1">
      <formula>OR($A183="audio audit", $A183="text audit")</formula>
    </cfRule>
    <cfRule type="expression" dxfId="70" priority="828" stopIfTrue="1">
      <formula>OR($A183="username", $A183="phonenumber", $A183="start", $A183="end", $A183="deviceid", $A183="subscriberid", $A183="simserial")</formula>
    </cfRule>
    <cfRule type="expression" dxfId="69" priority="829" stopIfTrue="1">
      <formula>OR(AND(LEFT($A183, 16)="select_multiple ", LEN($A183)&gt;16, NOT(ISNUMBER(SEARCH(" ", $A183, 17)))), AND(LEFT($A183, 11)="select_one ", LEN($A183)&gt;11, NOT(ISNUMBER(SEARCH(" ", $A183, 12)))))</formula>
    </cfRule>
    <cfRule type="expression" dxfId="68" priority="830" stopIfTrue="1">
      <formula>OR(AND(LEFT($A183, 16)="select_multiple ", LEN($A183)&gt;16, NOT(ISNUMBER(SEARCH(" ", $A183, 17)))), AND(LEFT($A183, 11)="select_one ", LEN($A183)&gt;11, NOT(ISNUMBER(SEARCH(" ", $A183, 12)))))</formula>
    </cfRule>
    <cfRule type="expression" dxfId="67" priority="831" stopIfTrue="1">
      <formula>$A183="decimal"</formula>
    </cfRule>
    <cfRule type="expression" dxfId="66" priority="832" stopIfTrue="1">
      <formula>$A183="decimal"</formula>
    </cfRule>
    <cfRule type="expression" dxfId="65" priority="833" stopIfTrue="1">
      <formula>$A183="integer"</formula>
    </cfRule>
    <cfRule type="expression" dxfId="64" priority="834" stopIfTrue="1">
      <formula>$A183="integer"</formula>
    </cfRule>
    <cfRule type="expression" dxfId="63" priority="835" stopIfTrue="1">
      <formula>$A183="text"</formula>
    </cfRule>
    <cfRule type="expression" dxfId="62" priority="836" stopIfTrue="1">
      <formula>$A183="text"</formula>
    </cfRule>
    <cfRule type="expression" dxfId="61" priority="837" stopIfTrue="1">
      <formula>$A183="end repeat"</formula>
    </cfRule>
    <cfRule type="expression" dxfId="60" priority="838" stopIfTrue="1">
      <formula>$A183="begin repeat"</formula>
    </cfRule>
  </conditionalFormatting>
  <conditionalFormatting sqref="H26:H27">
    <cfRule type="expression" dxfId="59" priority="283" stopIfTrue="1">
      <formula>$A26="begin group"</formula>
    </cfRule>
    <cfRule type="expression" dxfId="58" priority="266" stopIfTrue="1">
      <formula>$A26="barcode"</formula>
    </cfRule>
    <cfRule type="expression" dxfId="57" priority="256" stopIfTrue="1">
      <formula>OR($A26="audio", $A26="video")</formula>
    </cfRule>
    <cfRule type="expression" dxfId="56" priority="257" stopIfTrue="1">
      <formula>OR($A26="audio", $A26="video")</formula>
    </cfRule>
    <cfRule type="expression" dxfId="55" priority="258" stopIfTrue="1">
      <formula>$A26="image"</formula>
    </cfRule>
    <cfRule type="expression" dxfId="54" priority="259" stopIfTrue="1">
      <formula>$A26="image"</formula>
    </cfRule>
    <cfRule type="expression" dxfId="53" priority="260" stopIfTrue="1">
      <formula>OR($A26="date", $A26="datetime")</formula>
    </cfRule>
    <cfRule type="expression" dxfId="52" priority="261" stopIfTrue="1">
      <formula>OR($A26="date", $A26="datetime")</formula>
    </cfRule>
    <cfRule type="expression" dxfId="51" priority="262" stopIfTrue="1">
      <formula>OR($A26="calculate", $A26="calculate_here")</formula>
    </cfRule>
    <cfRule type="expression" dxfId="50" priority="263" stopIfTrue="1">
      <formula>$A26="note"</formula>
    </cfRule>
    <cfRule type="expression" dxfId="49" priority="264" stopIfTrue="1">
      <formula>$A26="note"</formula>
    </cfRule>
    <cfRule type="expression" dxfId="48" priority="284" stopIfTrue="1">
      <formula>$A26="begin group"</formula>
    </cfRule>
    <cfRule type="expression" dxfId="47" priority="265" stopIfTrue="1">
      <formula>$A26="barcode"</formula>
    </cfRule>
    <cfRule type="expression" dxfId="46" priority="282" stopIfTrue="1">
      <formula>$A26="end group"</formula>
    </cfRule>
    <cfRule type="expression" dxfId="45" priority="281" stopIfTrue="1">
      <formula>$A26="begin repeat"</formula>
    </cfRule>
    <cfRule type="expression" dxfId="44" priority="280" stopIfTrue="1">
      <formula>$A26="begin repeat"</formula>
    </cfRule>
    <cfRule type="expression" dxfId="43" priority="279" stopIfTrue="1">
      <formula>$A26="end repeat"</formula>
    </cfRule>
    <cfRule type="expression" dxfId="42" priority="278" stopIfTrue="1">
      <formula>$A26="text"</formula>
    </cfRule>
    <cfRule type="expression" dxfId="41" priority="277" stopIfTrue="1">
      <formula>$A26="text"</formula>
    </cfRule>
    <cfRule type="expression" dxfId="40" priority="276" stopIfTrue="1">
      <formula>$A26="integer"</formula>
    </cfRule>
    <cfRule type="expression" dxfId="39" priority="275" stopIfTrue="1">
      <formula>$A26="integer"</formula>
    </cfRule>
    <cfRule type="expression" dxfId="38" priority="274" stopIfTrue="1">
      <formula>$A26="decimal"</formula>
    </cfRule>
    <cfRule type="expression" dxfId="37" priority="273" stopIfTrue="1">
      <formula>$A26="decimal"</formula>
    </cfRule>
    <cfRule type="expression" dxfId="36" priority="272" stopIfTrue="1">
      <formula>OR(AND(LEFT($A26, 16)="select_multiple ", LEN($A26)&gt;16, NOT(ISNUMBER(SEARCH(" ", $A26, 17)))), AND(LEFT($A26, 11)="select_one ", LEN($A26)&gt;11, NOT(ISNUMBER(SEARCH(" ", $A26, 12)))))</formula>
    </cfRule>
    <cfRule type="expression" dxfId="35" priority="271" stopIfTrue="1">
      <formula>OR(AND(LEFT($A26, 16)="select_multiple ", LEN($A26)&gt;16, NOT(ISNUMBER(SEARCH(" ", $A26, 17)))), AND(LEFT($A26, 11)="select_one ", LEN($A26)&gt;11, NOT(ISNUMBER(SEARCH(" ", $A26, 12)))))</formula>
    </cfRule>
    <cfRule type="expression" dxfId="34" priority="270" stopIfTrue="1">
      <formula>OR($A26="username", $A26="phonenumber", $A26="start", $A26="end", $A26="deviceid", $A26="subscriberid", $A26="simserial")</formula>
    </cfRule>
    <cfRule type="expression" dxfId="33" priority="269" stopIfTrue="1">
      <formula>OR($A26="audio audit", $A26="text audit")</formula>
    </cfRule>
    <cfRule type="expression" dxfId="32" priority="268" stopIfTrue="1">
      <formula>$A26="geopoint"</formula>
    </cfRule>
    <cfRule type="expression" dxfId="31" priority="267" stopIfTrue="1">
      <formula>$A26="geopoint"</formula>
    </cfRule>
  </conditionalFormatting>
  <conditionalFormatting sqref="H183:H188">
    <cfRule type="expression" dxfId="30" priority="82" stopIfTrue="1">
      <formula>OR($A183="audio", $A183="video")</formula>
    </cfRule>
    <cfRule type="expression" dxfId="29" priority="92" stopIfTrue="1">
      <formula>$A183="barcode"</formula>
    </cfRule>
    <cfRule type="expression" dxfId="28" priority="91" stopIfTrue="1">
      <formula>$A183="barcode"</formula>
    </cfRule>
    <cfRule type="expression" dxfId="27" priority="90" stopIfTrue="1">
      <formula>$A183="note"</formula>
    </cfRule>
    <cfRule type="expression" dxfId="26" priority="89" stopIfTrue="1">
      <formula>$A183="note"</formula>
    </cfRule>
    <cfRule type="expression" dxfId="25" priority="88" stopIfTrue="1">
      <formula>OR($A183="calculate", $A183="calculate_here")</formula>
    </cfRule>
    <cfRule type="expression" dxfId="24" priority="87" stopIfTrue="1">
      <formula>OR($A183="date", $A183="datetime")</formula>
    </cfRule>
    <cfRule type="expression" dxfId="23" priority="86" stopIfTrue="1">
      <formula>OR($A183="date", $A183="datetime")</formula>
    </cfRule>
    <cfRule type="expression" dxfId="22" priority="85" stopIfTrue="1">
      <formula>$A183="image"</formula>
    </cfRule>
    <cfRule type="expression" dxfId="21" priority="84" stopIfTrue="1">
      <formula>$A183="image"</formula>
    </cfRule>
    <cfRule type="expression" dxfId="20" priority="83" stopIfTrue="1">
      <formula>OR($A183="audio", $A183="video")</formula>
    </cfRule>
    <cfRule type="expression" dxfId="19" priority="110" stopIfTrue="1">
      <formula>$A183="begin group"</formula>
    </cfRule>
    <cfRule type="expression" dxfId="18" priority="109" stopIfTrue="1">
      <formula>$A183="begin group"</formula>
    </cfRule>
    <cfRule type="expression" dxfId="17" priority="108" stopIfTrue="1">
      <formula>$A183="end group"</formula>
    </cfRule>
    <cfRule type="expression" dxfId="16" priority="107" stopIfTrue="1">
      <formula>$A183="begin repeat"</formula>
    </cfRule>
    <cfRule type="expression" dxfId="15" priority="106" stopIfTrue="1">
      <formula>$A183="begin repeat"</formula>
    </cfRule>
    <cfRule type="expression" dxfId="14" priority="105" stopIfTrue="1">
      <formula>$A183="end repeat"</formula>
    </cfRule>
    <cfRule type="expression" dxfId="13" priority="104" stopIfTrue="1">
      <formula>$A183="text"</formula>
    </cfRule>
    <cfRule type="expression" dxfId="12" priority="103" stopIfTrue="1">
      <formula>$A183="text"</formula>
    </cfRule>
    <cfRule type="expression" dxfId="11" priority="102" stopIfTrue="1">
      <formula>$A183="integer"</formula>
    </cfRule>
    <cfRule type="expression" dxfId="10" priority="101" stopIfTrue="1">
      <formula>$A183="integer"</formula>
    </cfRule>
    <cfRule type="expression" dxfId="9" priority="100" stopIfTrue="1">
      <formula>$A183="decimal"</formula>
    </cfRule>
    <cfRule type="expression" dxfId="8" priority="99" stopIfTrue="1">
      <formula>$A183="decimal"</formula>
    </cfRule>
    <cfRule type="expression" dxfId="7" priority="98" stopIfTrue="1">
      <formula>OR(AND(LEFT($A183, 16)="select_multiple ", LEN($A183)&gt;16, NOT(ISNUMBER(SEARCH(" ", $A183, 17)))), AND(LEFT($A183, 11)="select_one ", LEN($A183)&gt;11, NOT(ISNUMBER(SEARCH(" ", $A183, 12)))))</formula>
    </cfRule>
    <cfRule type="expression" dxfId="6" priority="97" stopIfTrue="1">
      <formula>OR(AND(LEFT($A183, 16)="select_multiple ", LEN($A183)&gt;16, NOT(ISNUMBER(SEARCH(" ", $A183, 17)))), AND(LEFT($A183, 11)="select_one ", LEN($A183)&gt;11, NOT(ISNUMBER(SEARCH(" ", $A183, 12)))))</formula>
    </cfRule>
    <cfRule type="expression" dxfId="5" priority="96" stopIfTrue="1">
      <formula>OR($A183="username", $A183="phonenumber", $A183="start", $A183="end", $A183="deviceid", $A183="subscriberid", $A183="simserial")</formula>
    </cfRule>
    <cfRule type="expression" dxfId="4" priority="95" stopIfTrue="1">
      <formula>OR($A183="audio audit", $A183="text audit")</formula>
    </cfRule>
    <cfRule type="expression" dxfId="3" priority="94" stopIfTrue="1">
      <formula>$A183="geopoint"</formula>
    </cfRule>
    <cfRule type="expression" dxfId="2" priority="93" stopIfTrue="1">
      <formula>$A183="geopoint"</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1117</v>
      </c>
      <c r="B1" t="s">
        <v>1118</v>
      </c>
      <c r="C1" t="s">
        <v>1119</v>
      </c>
      <c r="D1" t="s">
        <v>1120</v>
      </c>
    </row>
    <row r="2" spans="1:4" x14ac:dyDescent="0.2">
      <c r="A2" t="s">
        <v>68</v>
      </c>
      <c r="B2" s="11">
        <v>50.822540283203118</v>
      </c>
      <c r="C2" s="12">
        <v>1</v>
      </c>
      <c r="D2" s="11">
        <v>50.822540283203118</v>
      </c>
    </row>
    <row r="3" spans="1:4" x14ac:dyDescent="0.2">
      <c r="A3" t="s">
        <v>1121</v>
      </c>
      <c r="B3" s="11">
        <v>3.4964737892150879</v>
      </c>
      <c r="C3" s="12">
        <v>0.7969874100719424</v>
      </c>
      <c r="D3" s="11">
        <v>2.7866455896509641</v>
      </c>
    </row>
    <row r="4" spans="1:4" x14ac:dyDescent="0.2">
      <c r="A4" t="s">
        <v>135</v>
      </c>
      <c r="B4" s="11">
        <v>13.753072738647459</v>
      </c>
      <c r="C4" s="12">
        <v>1</v>
      </c>
      <c r="D4" s="11">
        <v>13.753072738647459</v>
      </c>
    </row>
    <row r="5" spans="1:4" x14ac:dyDescent="0.2">
      <c r="A5" t="s">
        <v>142</v>
      </c>
      <c r="B5" s="11">
        <v>2.1173560619354248</v>
      </c>
      <c r="C5" s="12">
        <v>1</v>
      </c>
      <c r="D5" s="11">
        <v>2.1173560619354248</v>
      </c>
    </row>
    <row r="6" spans="1:4" x14ac:dyDescent="0.2">
      <c r="A6" t="s">
        <v>225</v>
      </c>
      <c r="B6" s="11">
        <v>2.284250020980835</v>
      </c>
      <c r="C6" s="12">
        <v>0.7969874100719424</v>
      </c>
      <c r="D6" s="11">
        <v>1.820518508178296</v>
      </c>
    </row>
    <row r="7" spans="1:4" x14ac:dyDescent="0.2">
      <c r="A7" t="s">
        <v>230</v>
      </c>
      <c r="B7" s="11">
        <v>31.372377395629879</v>
      </c>
      <c r="C7" s="12">
        <v>1</v>
      </c>
      <c r="D7" s="11">
        <v>31.372377395629879</v>
      </c>
    </row>
    <row r="8" spans="1:4" x14ac:dyDescent="0.2">
      <c r="A8" t="s">
        <v>1122</v>
      </c>
      <c r="B8" s="11">
        <v>7.9225454330444336</v>
      </c>
      <c r="C8" s="12">
        <v>0.15190347721822539</v>
      </c>
      <c r="D8" s="11">
        <v>1.2034621996988211</v>
      </c>
    </row>
    <row r="9" spans="1:4" x14ac:dyDescent="0.2">
      <c r="A9" t="s">
        <v>247</v>
      </c>
      <c r="B9" s="11">
        <v>10.08573150634766</v>
      </c>
      <c r="C9" s="12">
        <v>1</v>
      </c>
      <c r="D9" s="11">
        <v>10.08573150634766</v>
      </c>
    </row>
    <row r="10" spans="1:4" x14ac:dyDescent="0.2">
      <c r="A10" t="s">
        <v>253</v>
      </c>
      <c r="B10" s="11">
        <v>12.894034385681151</v>
      </c>
      <c r="C10" s="12">
        <v>1</v>
      </c>
      <c r="D10" s="11">
        <v>12.894034385681151</v>
      </c>
    </row>
    <row r="11" spans="1:4" x14ac:dyDescent="0.2">
      <c r="A11" t="s">
        <v>1123</v>
      </c>
      <c r="B11" s="11">
        <v>15.265829086303709</v>
      </c>
      <c r="C11" s="12">
        <v>0.63796462829736211</v>
      </c>
      <c r="D11" s="11">
        <v>9.7390589786948052</v>
      </c>
    </row>
    <row r="12" spans="1:4" x14ac:dyDescent="0.2">
      <c r="A12" t="s">
        <v>259</v>
      </c>
      <c r="B12" s="11">
        <v>15.12371826171875</v>
      </c>
      <c r="C12" s="12">
        <v>0.59180155875299756</v>
      </c>
      <c r="D12" s="11">
        <v>8.9502400414263317</v>
      </c>
    </row>
    <row r="13" spans="1:4" x14ac:dyDescent="0.2">
      <c r="A13" t="s">
        <v>1124</v>
      </c>
      <c r="B13" s="11">
        <v>12.8214111328125</v>
      </c>
      <c r="C13" s="12">
        <v>0.15190347721822539</v>
      </c>
      <c r="D13" s="11">
        <v>1.9476169339186851</v>
      </c>
    </row>
    <row r="14" spans="1:4" x14ac:dyDescent="0.2">
      <c r="A14" t="s">
        <v>269</v>
      </c>
      <c r="B14" s="11">
        <v>15.21184825897217</v>
      </c>
      <c r="C14" s="12">
        <v>0.51611211031175064</v>
      </c>
      <c r="D14" s="11">
        <v>7.8510191066802557</v>
      </c>
    </row>
    <row r="15" spans="1:4" x14ac:dyDescent="0.2">
      <c r="A15" t="s">
        <v>1125</v>
      </c>
      <c r="B15" s="11">
        <v>19.310310363769531</v>
      </c>
      <c r="C15" s="12">
        <v>0.15190347721822539</v>
      </c>
      <c r="D15" s="11">
        <v>2.9333032904197269</v>
      </c>
    </row>
    <row r="16" spans="1:4" x14ac:dyDescent="0.2">
      <c r="A16" t="s">
        <v>297</v>
      </c>
      <c r="B16" s="11">
        <v>36.928733825683587</v>
      </c>
      <c r="C16" s="12">
        <v>1</v>
      </c>
      <c r="D16" s="11">
        <v>36.928733825683587</v>
      </c>
    </row>
    <row r="17" spans="1:4" x14ac:dyDescent="0.2">
      <c r="A17" t="s">
        <v>320</v>
      </c>
      <c r="B17" s="11">
        <v>40.047317504882812</v>
      </c>
      <c r="C17" s="12">
        <v>0.75547062350119909</v>
      </c>
      <c r="D17" s="11">
        <v>30.254571924964299</v>
      </c>
    </row>
    <row r="18" spans="1:4" x14ac:dyDescent="0.2">
      <c r="A18" t="s">
        <v>327</v>
      </c>
      <c r="B18" s="11">
        <v>3.6870110034942631</v>
      </c>
      <c r="C18" s="12">
        <v>4.7886690647482022E-2</v>
      </c>
      <c r="D18" s="11">
        <v>0.17655875533819201</v>
      </c>
    </row>
    <row r="19" spans="1:4" x14ac:dyDescent="0.2">
      <c r="A19" t="s">
        <v>341</v>
      </c>
      <c r="B19" s="11">
        <v>27.242166519165039</v>
      </c>
      <c r="C19" s="12">
        <v>0.94476918465227822</v>
      </c>
      <c r="D19" s="11">
        <v>25.73755945047315</v>
      </c>
    </row>
    <row r="20" spans="1:4" x14ac:dyDescent="0.2">
      <c r="A20" t="s">
        <v>347</v>
      </c>
      <c r="B20" s="11">
        <v>25.308004379272461</v>
      </c>
      <c r="C20" s="12">
        <v>0.94476918465227822</v>
      </c>
      <c r="D20" s="11">
        <v>23.910222662581528</v>
      </c>
    </row>
    <row r="21" spans="1:4" x14ac:dyDescent="0.2">
      <c r="A21" t="s">
        <v>367</v>
      </c>
      <c r="B21" s="11">
        <v>30.828470230102539</v>
      </c>
      <c r="C21" s="12">
        <v>0.33902877697841732</v>
      </c>
      <c r="D21" s="11">
        <v>10.451738558227211</v>
      </c>
    </row>
    <row r="22" spans="1:4" x14ac:dyDescent="0.2">
      <c r="A22" t="s">
        <v>373</v>
      </c>
      <c r="B22" s="11">
        <v>2.29411768913269</v>
      </c>
      <c r="C22" s="12">
        <v>1.14658273381295E-2</v>
      </c>
      <c r="D22" s="11">
        <v>2.6303957316944071E-2</v>
      </c>
    </row>
    <row r="23" spans="1:4" x14ac:dyDescent="0.2">
      <c r="A23" t="s">
        <v>382</v>
      </c>
      <c r="B23" s="11">
        <v>21.193256378173832</v>
      </c>
      <c r="C23" s="12">
        <v>0.43120503597122301</v>
      </c>
      <c r="D23" s="11">
        <v>9.1386388788977975</v>
      </c>
    </row>
    <row r="24" spans="1:4" x14ac:dyDescent="0.2">
      <c r="A24" t="s">
        <v>388</v>
      </c>
      <c r="B24" s="11">
        <v>20.229927062988281</v>
      </c>
      <c r="C24" s="12">
        <v>0.43120503597122301</v>
      </c>
      <c r="D24" s="11">
        <v>8.7232464268910803</v>
      </c>
    </row>
    <row r="25" spans="1:4" x14ac:dyDescent="0.2">
      <c r="A25" t="s">
        <v>1126</v>
      </c>
      <c r="B25" s="11">
        <v>29.42983245849609</v>
      </c>
      <c r="C25" s="12">
        <v>7.6363908872901676E-2</v>
      </c>
      <c r="D25" s="11">
        <v>2.24737704400536</v>
      </c>
    </row>
    <row r="26" spans="1:4" x14ac:dyDescent="0.2">
      <c r="A26" t="s">
        <v>1127</v>
      </c>
      <c r="B26" s="11">
        <v>1.555555582046509</v>
      </c>
      <c r="C26" s="12">
        <v>2.0233812949640292E-3</v>
      </c>
      <c r="D26" s="11">
        <v>3.1474820679897879E-3</v>
      </c>
    </row>
    <row r="27" spans="1:4" x14ac:dyDescent="0.2">
      <c r="A27" t="s">
        <v>405</v>
      </c>
      <c r="B27" s="11">
        <v>16.348396301269531</v>
      </c>
      <c r="C27" s="12">
        <v>0.1144334532374101</v>
      </c>
      <c r="D27" s="11">
        <v>1.870803443647975</v>
      </c>
    </row>
    <row r="28" spans="1:4" x14ac:dyDescent="0.2">
      <c r="A28" t="s">
        <v>1128</v>
      </c>
      <c r="B28" s="11">
        <v>39.025390625</v>
      </c>
      <c r="C28" s="12">
        <v>0.7969124700239808</v>
      </c>
      <c r="D28" s="11">
        <v>31.099820436619449</v>
      </c>
    </row>
    <row r="29" spans="1:4" x14ac:dyDescent="0.2">
      <c r="A29" t="s">
        <v>1129</v>
      </c>
      <c r="B29" s="11">
        <v>10.040084838867189</v>
      </c>
      <c r="C29" s="12">
        <v>3.5521582733812951E-2</v>
      </c>
      <c r="D29" s="11">
        <v>0.35663970425832192</v>
      </c>
    </row>
    <row r="30" spans="1:4" x14ac:dyDescent="0.2">
      <c r="A30" t="s">
        <v>421</v>
      </c>
      <c r="B30" s="11">
        <v>26.118782043457031</v>
      </c>
      <c r="C30" s="12">
        <v>0.35708932853717018</v>
      </c>
      <c r="D30" s="11">
        <v>9.3267383421067702</v>
      </c>
    </row>
    <row r="31" spans="1:4" x14ac:dyDescent="0.2">
      <c r="A31" t="s">
        <v>444</v>
      </c>
      <c r="B31" s="11">
        <v>27.057552337646481</v>
      </c>
      <c r="C31" s="12">
        <v>0.50651978417266186</v>
      </c>
      <c r="D31" s="11">
        <v>13.705185570305201</v>
      </c>
    </row>
    <row r="32" spans="1:4" x14ac:dyDescent="0.2">
      <c r="A32" t="s">
        <v>1130</v>
      </c>
      <c r="B32" s="11">
        <v>15.983505249023439</v>
      </c>
      <c r="C32" s="12">
        <v>0.37709832134292559</v>
      </c>
      <c r="D32" s="11">
        <v>6.0273529985825789</v>
      </c>
    </row>
    <row r="33" spans="1:4" x14ac:dyDescent="0.2">
      <c r="A33" t="s">
        <v>1131</v>
      </c>
      <c r="B33" s="11">
        <v>3.4111571311950679</v>
      </c>
      <c r="C33" s="12">
        <v>3.6270983213429253E-2</v>
      </c>
      <c r="D33" s="11">
        <v>0.1237260230439458</v>
      </c>
    </row>
    <row r="34" spans="1:4" x14ac:dyDescent="0.2">
      <c r="A34" t="s">
        <v>1132</v>
      </c>
      <c r="B34" s="11">
        <v>5.6326532363891602</v>
      </c>
      <c r="C34" s="12">
        <v>3.6720623501199038E-3</v>
      </c>
      <c r="D34" s="11">
        <v>2.068345388062566E-2</v>
      </c>
    </row>
    <row r="35" spans="1:4" x14ac:dyDescent="0.2">
      <c r="A35" t="s">
        <v>1133</v>
      </c>
      <c r="B35" s="11">
        <v>15.95429515838623</v>
      </c>
      <c r="C35" s="12">
        <v>0.25906774580335729</v>
      </c>
      <c r="D35" s="11">
        <v>4.1332432825645391</v>
      </c>
    </row>
    <row r="36" spans="1:4" x14ac:dyDescent="0.2">
      <c r="A36" t="s">
        <v>464</v>
      </c>
      <c r="B36" s="11">
        <v>17.928909301757809</v>
      </c>
      <c r="C36" s="12">
        <v>0.14231115107913669</v>
      </c>
      <c r="D36" s="11">
        <v>2.551483720326595</v>
      </c>
    </row>
    <row r="37" spans="1:4" x14ac:dyDescent="0.2">
      <c r="A37" t="s">
        <v>474</v>
      </c>
      <c r="B37" s="11">
        <v>25.436874389648441</v>
      </c>
      <c r="C37" s="12">
        <v>0.49385491606714632</v>
      </c>
      <c r="D37" s="11">
        <v>12.56212546671037</v>
      </c>
    </row>
    <row r="38" spans="1:4" x14ac:dyDescent="0.2">
      <c r="A38" t="s">
        <v>480</v>
      </c>
      <c r="B38" s="11">
        <v>19.364946365356449</v>
      </c>
      <c r="C38" s="12">
        <v>0.49385491606714632</v>
      </c>
      <c r="D38" s="11">
        <v>9.5634739619078957</v>
      </c>
    </row>
    <row r="39" spans="1:4" x14ac:dyDescent="0.2">
      <c r="A39" t="s">
        <v>1134</v>
      </c>
      <c r="B39" s="11">
        <v>13.458864212036129</v>
      </c>
      <c r="C39" s="12">
        <v>0.38803956834532372</v>
      </c>
      <c r="D39" s="11">
        <v>5.222571859256826</v>
      </c>
    </row>
    <row r="40" spans="1:4" x14ac:dyDescent="0.2">
      <c r="A40" t="s">
        <v>518</v>
      </c>
      <c r="B40" s="11">
        <v>37.523288726806641</v>
      </c>
      <c r="C40" s="12">
        <v>0.30732913669064749</v>
      </c>
      <c r="D40" s="11">
        <v>11.531999930203391</v>
      </c>
    </row>
    <row r="41" spans="1:4" x14ac:dyDescent="0.2">
      <c r="A41" t="s">
        <v>1135</v>
      </c>
      <c r="B41" s="11">
        <v>12.68148708343506</v>
      </c>
      <c r="C41" s="12">
        <v>0.2983363309352518</v>
      </c>
      <c r="D41" s="11">
        <v>3.783348327274803</v>
      </c>
    </row>
    <row r="42" spans="1:4" x14ac:dyDescent="0.2">
      <c r="A42" t="s">
        <v>566</v>
      </c>
      <c r="B42" s="11">
        <v>22.61360931396484</v>
      </c>
      <c r="C42" s="12">
        <v>0.12335131894484409</v>
      </c>
      <c r="D42" s="11">
        <v>2.789418534980975</v>
      </c>
    </row>
    <row r="43" spans="1:4" x14ac:dyDescent="0.2">
      <c r="A43" t="s">
        <v>574</v>
      </c>
      <c r="B43" s="11">
        <v>21.701908111572269</v>
      </c>
      <c r="C43" s="12">
        <v>0.38489208633093519</v>
      </c>
      <c r="D43" s="11">
        <v>8.3528926904252963</v>
      </c>
    </row>
    <row r="44" spans="1:4" x14ac:dyDescent="0.2">
      <c r="A44" t="s">
        <v>1136</v>
      </c>
      <c r="B44" s="11">
        <v>12.12575531005859</v>
      </c>
      <c r="C44" s="12">
        <v>6.1975419664268588E-2</v>
      </c>
      <c r="D44" s="11">
        <v>0.75149877408711463</v>
      </c>
    </row>
    <row r="45" spans="1:4" x14ac:dyDescent="0.2">
      <c r="A45" t="s">
        <v>1137</v>
      </c>
      <c r="B45" s="11">
        <v>13.560262680053709</v>
      </c>
      <c r="C45" s="12">
        <v>0.14860611510791369</v>
      </c>
      <c r="D45" s="11">
        <v>2.0151379567256069</v>
      </c>
    </row>
    <row r="46" spans="1:4" x14ac:dyDescent="0.2">
      <c r="A46" t="s">
        <v>1138</v>
      </c>
      <c r="B46" s="11">
        <v>14.065656661987299</v>
      </c>
      <c r="C46" s="12">
        <v>1.4838129496402881E-2</v>
      </c>
      <c r="D46" s="11">
        <v>0.20870803500250951</v>
      </c>
    </row>
    <row r="47" spans="1:4" x14ac:dyDescent="0.2">
      <c r="A47" t="s">
        <v>1139</v>
      </c>
      <c r="B47" s="11">
        <v>11.010929107666019</v>
      </c>
      <c r="C47" s="12">
        <v>1.371402877697842E-2</v>
      </c>
      <c r="D47" s="11">
        <v>0.15100419864380099</v>
      </c>
    </row>
    <row r="48" spans="1:4" x14ac:dyDescent="0.2">
      <c r="A48" t="s">
        <v>1140</v>
      </c>
      <c r="B48" s="11">
        <v>4.8961749076843262</v>
      </c>
      <c r="C48" s="12">
        <v>1.371402877697842E-2</v>
      </c>
      <c r="D48" s="11">
        <v>6.7146283581102487E-2</v>
      </c>
    </row>
    <row r="49" spans="1:4" x14ac:dyDescent="0.2">
      <c r="A49" t="s">
        <v>588</v>
      </c>
      <c r="B49" s="11">
        <v>20.2944221496582</v>
      </c>
      <c r="C49" s="12">
        <v>0.40572541966426862</v>
      </c>
      <c r="D49" s="11">
        <v>8.2339629435139017</v>
      </c>
    </row>
    <row r="50" spans="1:4" x14ac:dyDescent="0.2">
      <c r="A50" t="s">
        <v>595</v>
      </c>
      <c r="B50" s="11">
        <v>18.539077758789059</v>
      </c>
      <c r="C50" s="12">
        <v>0.40272781774580341</v>
      </c>
      <c r="D50" s="11">
        <v>7.4662023288168777</v>
      </c>
    </row>
    <row r="51" spans="1:4" x14ac:dyDescent="0.2">
      <c r="A51" t="s">
        <v>601</v>
      </c>
      <c r="B51" s="11">
        <v>8.9158916473388672</v>
      </c>
      <c r="C51" s="12">
        <v>0.40272781774580341</v>
      </c>
      <c r="D51" s="11">
        <v>3.590677586390818</v>
      </c>
    </row>
    <row r="52" spans="1:4" x14ac:dyDescent="0.2">
      <c r="A52" t="s">
        <v>607</v>
      </c>
      <c r="B52" s="11">
        <v>25.81001091003418</v>
      </c>
      <c r="C52" s="12">
        <v>0.40272781774580341</v>
      </c>
      <c r="D52" s="11">
        <v>10.39440936979344</v>
      </c>
    </row>
    <row r="53" spans="1:4" x14ac:dyDescent="0.2">
      <c r="A53" t="s">
        <v>1141</v>
      </c>
      <c r="B53" s="11">
        <v>19.55319786071777</v>
      </c>
      <c r="C53" s="12">
        <v>0.29301558752997597</v>
      </c>
      <c r="D53" s="11">
        <v>5.729391759248089</v>
      </c>
    </row>
    <row r="54" spans="1:4" x14ac:dyDescent="0.2">
      <c r="A54" t="s">
        <v>1142</v>
      </c>
      <c r="B54" s="11">
        <v>13.613316535949711</v>
      </c>
      <c r="C54" s="12">
        <v>0.3038818944844125</v>
      </c>
      <c r="D54" s="11">
        <v>4.1368404191603769</v>
      </c>
    </row>
    <row r="55" spans="1:4" x14ac:dyDescent="0.2">
      <c r="A55" t="s">
        <v>631</v>
      </c>
      <c r="B55" s="11">
        <v>27.754648208618161</v>
      </c>
      <c r="C55" s="12">
        <v>0.205560551558753</v>
      </c>
      <c r="D55" s="11">
        <v>5.7052607940827054</v>
      </c>
    </row>
    <row r="56" spans="1:4" x14ac:dyDescent="0.2">
      <c r="A56" t="s">
        <v>657</v>
      </c>
      <c r="B56" s="11">
        <v>13.99939060211182</v>
      </c>
      <c r="C56" s="12">
        <v>0.2460281774580336</v>
      </c>
      <c r="D56" s="11">
        <v>3.4442445553606928</v>
      </c>
    </row>
    <row r="57" spans="1:4" x14ac:dyDescent="0.2">
      <c r="A57" t="s">
        <v>1143</v>
      </c>
      <c r="B57" s="11">
        <v>10.25279426574707</v>
      </c>
      <c r="C57" s="12">
        <v>0.174310551558753</v>
      </c>
      <c r="D57" s="11">
        <v>1.787170223480792</v>
      </c>
    </row>
    <row r="58" spans="1:4" x14ac:dyDescent="0.2">
      <c r="A58" t="s">
        <v>671</v>
      </c>
      <c r="B58" s="11">
        <v>24.194343566894531</v>
      </c>
      <c r="C58" s="12">
        <v>0.1033423261390887</v>
      </c>
      <c r="D58" s="11">
        <v>2.500299743611178</v>
      </c>
    </row>
    <row r="59" spans="1:4" x14ac:dyDescent="0.2">
      <c r="A59" t="s">
        <v>680</v>
      </c>
      <c r="B59" s="11">
        <v>19.321737289428711</v>
      </c>
      <c r="C59" s="12">
        <v>0.23478717026378901</v>
      </c>
      <c r="D59" s="11">
        <v>4.5364960227653004</v>
      </c>
    </row>
    <row r="60" spans="1:4" x14ac:dyDescent="0.2">
      <c r="A60" t="s">
        <v>1144</v>
      </c>
      <c r="B60" s="11">
        <v>6.0948905944824219</v>
      </c>
      <c r="C60" s="12">
        <v>1.0266786570743411E-2</v>
      </c>
      <c r="D60" s="11">
        <v>6.2574940905582424E-2</v>
      </c>
    </row>
    <row r="61" spans="1:4" x14ac:dyDescent="0.2">
      <c r="A61" t="s">
        <v>1145</v>
      </c>
      <c r="B61" s="11">
        <v>17.534246444702148</v>
      </c>
      <c r="C61" s="12">
        <v>1.6411870503597121E-2</v>
      </c>
      <c r="D61" s="11">
        <v>0.28776978202860992</v>
      </c>
    </row>
    <row r="62" spans="1:4" x14ac:dyDescent="0.2">
      <c r="A62" t="s">
        <v>1146</v>
      </c>
      <c r="B62" s="11">
        <v>31.458333969116211</v>
      </c>
      <c r="C62" s="12">
        <v>1.798561151079137E-3</v>
      </c>
      <c r="D62" s="11">
        <v>5.657973735452556E-2</v>
      </c>
    </row>
    <row r="63" spans="1:4" x14ac:dyDescent="0.2">
      <c r="A63" t="s">
        <v>1147</v>
      </c>
      <c r="B63" s="11">
        <v>2.5</v>
      </c>
      <c r="C63" s="12">
        <v>1.4988009592326141E-4</v>
      </c>
      <c r="D63" s="11">
        <v>3.7470023980815342E-4</v>
      </c>
    </row>
    <row r="64" spans="1:4" x14ac:dyDescent="0.2">
      <c r="A64" t="s">
        <v>1148</v>
      </c>
      <c r="B64" s="11">
        <v>5.75</v>
      </c>
      <c r="C64" s="12">
        <v>2.9976019184652282E-4</v>
      </c>
      <c r="D64" s="11">
        <v>1.7236211031175059E-3</v>
      </c>
    </row>
    <row r="65" spans="1:4" x14ac:dyDescent="0.2">
      <c r="A65" t="s">
        <v>1149</v>
      </c>
      <c r="B65" s="11">
        <v>4.5</v>
      </c>
      <c r="C65" s="12">
        <v>1.4988009592326141E-4</v>
      </c>
      <c r="D65" s="11">
        <v>6.7446043165467619E-4</v>
      </c>
    </row>
    <row r="66" spans="1:4" x14ac:dyDescent="0.2">
      <c r="A66" t="s">
        <v>1150</v>
      </c>
      <c r="B66" s="11">
        <v>3</v>
      </c>
      <c r="C66" s="12">
        <v>7.494004796163069E-5</v>
      </c>
      <c r="D66" s="11">
        <v>2.248201438848921E-4</v>
      </c>
    </row>
    <row r="67" spans="1:4" x14ac:dyDescent="0.2">
      <c r="A67" t="s">
        <v>1151</v>
      </c>
      <c r="B67" s="11">
        <v>2</v>
      </c>
      <c r="C67" s="12">
        <v>7.494004796163069E-5</v>
      </c>
      <c r="D67" s="11">
        <v>1.4988009592326141E-4</v>
      </c>
    </row>
    <row r="68" spans="1:4" x14ac:dyDescent="0.2">
      <c r="A68" t="s">
        <v>694</v>
      </c>
      <c r="B68" s="11">
        <v>19.090116500854489</v>
      </c>
      <c r="C68" s="12">
        <v>2.5779376498800959E-2</v>
      </c>
      <c r="D68" s="11">
        <v>0.49213130068150068</v>
      </c>
    </row>
    <row r="69" spans="1:4" x14ac:dyDescent="0.2">
      <c r="A69" t="s">
        <v>703</v>
      </c>
      <c r="B69" s="11">
        <v>17.656976699829102</v>
      </c>
      <c r="C69" s="12">
        <v>2.5779376498800959E-2</v>
      </c>
      <c r="D69" s="11">
        <v>0.45518585017545038</v>
      </c>
    </row>
    <row r="70" spans="1:4" x14ac:dyDescent="0.2">
      <c r="A70" t="s">
        <v>1152</v>
      </c>
      <c r="B70" s="11">
        <v>8.7647056579589844</v>
      </c>
      <c r="C70" s="12">
        <v>2.420563549160671E-2</v>
      </c>
      <c r="D70" s="11">
        <v>0.2121552703477782</v>
      </c>
    </row>
    <row r="71" spans="1:4" x14ac:dyDescent="0.2">
      <c r="A71" t="s">
        <v>715</v>
      </c>
      <c r="B71" s="11">
        <v>27.9538459777832</v>
      </c>
      <c r="C71" s="12">
        <v>9.7422062350119906E-3</v>
      </c>
      <c r="D71" s="11">
        <v>0.27233213257732442</v>
      </c>
    </row>
    <row r="72" spans="1:4" x14ac:dyDescent="0.2">
      <c r="A72" t="s">
        <v>723</v>
      </c>
      <c r="B72" s="11">
        <v>21.25</v>
      </c>
      <c r="C72" s="12">
        <v>1.798561151079137E-3</v>
      </c>
      <c r="D72" s="11">
        <v>3.821942446043166E-2</v>
      </c>
    </row>
    <row r="73" spans="1:4" x14ac:dyDescent="0.2">
      <c r="A73" t="s">
        <v>732</v>
      </c>
      <c r="B73" s="11">
        <v>14.38495540618896</v>
      </c>
      <c r="C73" s="12">
        <v>3.3872901678657072E-2</v>
      </c>
      <c r="D73" s="11">
        <v>0.48726018012570532</v>
      </c>
    </row>
    <row r="74" spans="1:4" x14ac:dyDescent="0.2">
      <c r="A74" t="s">
        <v>1153</v>
      </c>
      <c r="B74" s="11">
        <v>9.4380531311035156</v>
      </c>
      <c r="C74" s="12">
        <v>3.3872901678657072E-2</v>
      </c>
      <c r="D74" s="11">
        <v>0.31969424574781091</v>
      </c>
    </row>
    <row r="75" spans="1:4" x14ac:dyDescent="0.2">
      <c r="A75" t="s">
        <v>739</v>
      </c>
      <c r="B75" s="11">
        <v>27.76699066162109</v>
      </c>
      <c r="C75" s="12">
        <v>7.7188249400479613E-3</v>
      </c>
      <c r="D75" s="11">
        <v>0.2143285400289997</v>
      </c>
    </row>
    <row r="76" spans="1:4" x14ac:dyDescent="0.2">
      <c r="A76" t="s">
        <v>753</v>
      </c>
      <c r="B76" s="11">
        <v>13.705752372741699</v>
      </c>
      <c r="C76" s="12">
        <v>3.3872901678657072E-2</v>
      </c>
      <c r="D76" s="11">
        <v>0.46425360255390052</v>
      </c>
    </row>
    <row r="77" spans="1:4" x14ac:dyDescent="0.2">
      <c r="A77" t="s">
        <v>1154</v>
      </c>
      <c r="B77" s="11">
        <v>12.77690315246582</v>
      </c>
      <c r="C77" s="12">
        <v>1</v>
      </c>
      <c r="D77" s="11">
        <v>12.77690315246582</v>
      </c>
    </row>
    <row r="78" spans="1:4" x14ac:dyDescent="0.2">
      <c r="A78" t="s">
        <v>767</v>
      </c>
      <c r="B78" s="11">
        <v>21.398605346679691</v>
      </c>
      <c r="C78" s="12">
        <v>1</v>
      </c>
      <c r="D78" s="11">
        <v>21.398605346679691</v>
      </c>
    </row>
    <row r="79" spans="1:4" x14ac:dyDescent="0.2">
      <c r="A79" t="s">
        <v>773</v>
      </c>
      <c r="B79" s="11">
        <v>14.980740547180179</v>
      </c>
      <c r="C79" s="12">
        <v>1</v>
      </c>
      <c r="D79" s="11">
        <v>14.980740547180179</v>
      </c>
    </row>
    <row r="80" spans="1:4" x14ac:dyDescent="0.2">
      <c r="A80" t="s">
        <v>779</v>
      </c>
      <c r="B80" s="11">
        <v>13.72302150726318</v>
      </c>
      <c r="C80" s="12">
        <v>1</v>
      </c>
      <c r="D80" s="11">
        <v>13.72302150726318</v>
      </c>
    </row>
    <row r="81" spans="1:4" x14ac:dyDescent="0.2">
      <c r="A81" t="s">
        <v>785</v>
      </c>
      <c r="B81" s="11">
        <v>13.06220054626465</v>
      </c>
      <c r="C81" s="12">
        <v>1</v>
      </c>
      <c r="D81" s="11">
        <v>13.06220054626465</v>
      </c>
    </row>
    <row r="82" spans="1:4" x14ac:dyDescent="0.2">
      <c r="A82" t="s">
        <v>791</v>
      </c>
      <c r="B82" s="11">
        <v>13.09532356262207</v>
      </c>
      <c r="C82" s="12">
        <v>1</v>
      </c>
      <c r="D82" s="11">
        <v>13.09532356262207</v>
      </c>
    </row>
    <row r="83" spans="1:4" x14ac:dyDescent="0.2">
      <c r="A83" t="s">
        <v>797</v>
      </c>
      <c r="B83" s="11">
        <v>16.10101918465228</v>
      </c>
      <c r="C83" s="12">
        <v>1</v>
      </c>
      <c r="D83" s="11">
        <v>16.10101918465228</v>
      </c>
    </row>
    <row r="84" spans="1:4" x14ac:dyDescent="0.2">
      <c r="A84" t="s">
        <v>803</v>
      </c>
      <c r="B84" s="11">
        <v>11.76504325866699</v>
      </c>
      <c r="C84" s="12">
        <v>0.32628896882494007</v>
      </c>
      <c r="D84" s="11">
        <v>3.8388038330512662</v>
      </c>
    </row>
    <row r="85" spans="1:4" x14ac:dyDescent="0.2">
      <c r="A85" t="s">
        <v>809</v>
      </c>
      <c r="B85" s="11">
        <v>12.432478904724119</v>
      </c>
      <c r="C85" s="12">
        <v>1</v>
      </c>
      <c r="D85" s="11">
        <v>12.432478904724119</v>
      </c>
    </row>
    <row r="86" spans="1:4" x14ac:dyDescent="0.2">
      <c r="A86" t="s">
        <v>815</v>
      </c>
      <c r="B86" s="11">
        <v>8.9801836013793945</v>
      </c>
      <c r="C86" s="12">
        <v>0.25337230215827339</v>
      </c>
      <c r="D86" s="11">
        <v>2.2753297928854721</v>
      </c>
    </row>
    <row r="87" spans="1:4" x14ac:dyDescent="0.2">
      <c r="A87" t="s">
        <v>819</v>
      </c>
      <c r="B87" s="11">
        <v>11.089328765869141</v>
      </c>
      <c r="C87" s="12">
        <v>1</v>
      </c>
      <c r="D87" s="11">
        <v>11.089328765869141</v>
      </c>
    </row>
    <row r="88" spans="1:4" x14ac:dyDescent="0.2">
      <c r="A88" t="s">
        <v>825</v>
      </c>
      <c r="B88" s="11">
        <v>8.0683355331420898</v>
      </c>
      <c r="C88" s="12">
        <v>0.14366007194244601</v>
      </c>
      <c r="D88" s="11">
        <v>1.159097663146986</v>
      </c>
    </row>
    <row r="89" spans="1:4" x14ac:dyDescent="0.2">
      <c r="A89" t="s">
        <v>1155</v>
      </c>
      <c r="B89" s="11">
        <v>5.7112536430358887</v>
      </c>
      <c r="C89" s="12">
        <v>0.80508093525179858</v>
      </c>
      <c r="D89" s="11">
        <v>4.5980214243955748</v>
      </c>
    </row>
    <row r="90" spans="1:4" x14ac:dyDescent="0.2">
      <c r="A90" t="s">
        <v>834</v>
      </c>
      <c r="B90" s="11">
        <v>19.851530075073239</v>
      </c>
      <c r="C90" s="12">
        <v>0.31092625899280568</v>
      </c>
      <c r="D90" s="11">
        <v>6.1723619815256949</v>
      </c>
    </row>
    <row r="91" spans="1:4" x14ac:dyDescent="0.2">
      <c r="A91" t="s">
        <v>840</v>
      </c>
      <c r="B91" s="11">
        <v>15.436671257019039</v>
      </c>
      <c r="C91" s="12">
        <v>0.7969874100719424</v>
      </c>
      <c r="D91" s="11">
        <v>12.302832645263599</v>
      </c>
    </row>
    <row r="92" spans="1:4" x14ac:dyDescent="0.2">
      <c r="A92" t="s">
        <v>1156</v>
      </c>
      <c r="B92" s="11">
        <v>12.4080867767334</v>
      </c>
      <c r="C92" s="12">
        <v>0.7969874100719424</v>
      </c>
      <c r="D92" s="11">
        <v>9.8890889441366667</v>
      </c>
    </row>
    <row r="93" spans="1:4" x14ac:dyDescent="0.2">
      <c r="A93" t="s">
        <v>846</v>
      </c>
      <c r="B93" s="11">
        <v>9.2894678115844727</v>
      </c>
      <c r="C93" s="12">
        <v>0.31092625899280568</v>
      </c>
      <c r="D93" s="11">
        <v>2.8883394746900461</v>
      </c>
    </row>
    <row r="94" spans="1:4" x14ac:dyDescent="0.2">
      <c r="A94" t="s">
        <v>1157</v>
      </c>
      <c r="B94" s="11">
        <v>15.05952072143555</v>
      </c>
      <c r="C94" s="12">
        <v>0.7969874100719424</v>
      </c>
      <c r="D94" s="11">
        <v>12.00224841670167</v>
      </c>
    </row>
    <row r="95" spans="1:4" x14ac:dyDescent="0.2">
      <c r="A95" t="s">
        <v>862</v>
      </c>
      <c r="B95" s="11">
        <v>15.543986320495611</v>
      </c>
      <c r="C95" s="12">
        <v>0.31092625899280568</v>
      </c>
      <c r="D95" s="11">
        <v>4.8330335164670464</v>
      </c>
    </row>
    <row r="96" spans="1:4" x14ac:dyDescent="0.2">
      <c r="A96" t="s">
        <v>1158</v>
      </c>
      <c r="B96" s="11">
        <v>12.996181488037109</v>
      </c>
      <c r="C96" s="12">
        <v>0.78507194244604317</v>
      </c>
      <c r="D96" s="11">
        <v>10.2029374451946</v>
      </c>
    </row>
    <row r="97" spans="1:4" x14ac:dyDescent="0.2">
      <c r="A97" t="s">
        <v>872</v>
      </c>
      <c r="B97" s="11">
        <v>10.668112754821779</v>
      </c>
      <c r="C97" s="12">
        <v>0.31092625899280568</v>
      </c>
      <c r="D97" s="11">
        <v>3.3169963893701699</v>
      </c>
    </row>
    <row r="98" spans="1:4" x14ac:dyDescent="0.2">
      <c r="A98" t="s">
        <v>877</v>
      </c>
      <c r="B98" s="11">
        <v>9.716710090637207</v>
      </c>
      <c r="C98" s="12">
        <v>0.43277877697841732</v>
      </c>
      <c r="D98" s="11">
        <v>4.2051859092798161</v>
      </c>
    </row>
    <row r="99" spans="1:4" x14ac:dyDescent="0.2">
      <c r="A99" t="s">
        <v>882</v>
      </c>
      <c r="B99" s="11">
        <v>10.953365325927731</v>
      </c>
      <c r="C99" s="12">
        <v>0.63796462829736211</v>
      </c>
      <c r="D99" s="11">
        <v>6.9878596387607006</v>
      </c>
    </row>
    <row r="100" spans="1:4" x14ac:dyDescent="0.2">
      <c r="A100" t="s">
        <v>887</v>
      </c>
      <c r="B100" s="11">
        <v>10.114131927490231</v>
      </c>
      <c r="C100" s="12">
        <v>0.23703537170263789</v>
      </c>
      <c r="D100" s="11">
        <v>2.3974070208821652</v>
      </c>
    </row>
    <row r="101" spans="1:4" x14ac:dyDescent="0.2">
      <c r="A101" t="s">
        <v>1159</v>
      </c>
      <c r="B101" s="11">
        <v>3.6575121879577641</v>
      </c>
      <c r="C101" s="12">
        <v>4.6387889688249397E-2</v>
      </c>
      <c r="D101" s="11">
        <v>0.16966427190841249</v>
      </c>
    </row>
    <row r="102" spans="1:4" x14ac:dyDescent="0.2">
      <c r="A102" t="s">
        <v>1160</v>
      </c>
      <c r="B102" s="11">
        <v>10.86770534515381</v>
      </c>
      <c r="C102" s="12">
        <v>0.79361510791366907</v>
      </c>
      <c r="D102" s="11">
        <v>8.6247751502681975</v>
      </c>
    </row>
    <row r="103" spans="1:4" x14ac:dyDescent="0.2">
      <c r="A103" t="s">
        <v>1161</v>
      </c>
      <c r="B103" s="11">
        <v>21.53330039978027</v>
      </c>
      <c r="C103" s="12">
        <v>0.15190347721822539</v>
      </c>
      <c r="D103" s="11">
        <v>3.270983206711227</v>
      </c>
    </row>
    <row r="104" spans="1:4" x14ac:dyDescent="0.2">
      <c r="A104" t="s">
        <v>892</v>
      </c>
      <c r="B104" s="11">
        <v>72.295135498046875</v>
      </c>
      <c r="C104" s="12">
        <v>0.84097721822541971</v>
      </c>
      <c r="D104" s="11">
        <v>60.798561942377248</v>
      </c>
    </row>
    <row r="105" spans="1:4" x14ac:dyDescent="0.2">
      <c r="A105" t="s">
        <v>901</v>
      </c>
      <c r="B105" s="11">
        <v>3.7052218914031978</v>
      </c>
      <c r="C105" s="12">
        <v>0.84097721822541971</v>
      </c>
      <c r="D105" s="11">
        <v>3.1160071991401899</v>
      </c>
    </row>
    <row r="106" spans="1:4" x14ac:dyDescent="0.2">
      <c r="A106" t="s">
        <v>1162</v>
      </c>
      <c r="B106" s="11">
        <v>2.7029058933258061</v>
      </c>
      <c r="C106" s="12">
        <v>0.14958033573141491</v>
      </c>
      <c r="D106" s="11">
        <v>0.40430157097409392</v>
      </c>
    </row>
    <row r="107" spans="1:4" x14ac:dyDescent="0.2">
      <c r="A107" t="s">
        <v>1163</v>
      </c>
      <c r="B107" s="11">
        <v>18.146602630615231</v>
      </c>
      <c r="C107" s="12">
        <v>6.2874700239808151E-2</v>
      </c>
      <c r="D107" s="11">
        <v>1.1409622007708471</v>
      </c>
    </row>
    <row r="108" spans="1:4" x14ac:dyDescent="0.2">
      <c r="A108" t="s">
        <v>1164</v>
      </c>
      <c r="B108" s="11">
        <v>14.324113845825201</v>
      </c>
      <c r="C108" s="12">
        <v>8.6705635491606717E-2</v>
      </c>
      <c r="D108" s="11">
        <v>1.2419813938563959</v>
      </c>
    </row>
    <row r="109" spans="1:4" x14ac:dyDescent="0.2">
      <c r="A109" t="s">
        <v>1165</v>
      </c>
      <c r="B109" s="11">
        <v>7.9697494506835938</v>
      </c>
      <c r="C109" s="12">
        <v>8.6705635491606717E-2</v>
      </c>
      <c r="D109" s="11">
        <v>0.6910221908304045</v>
      </c>
    </row>
    <row r="110" spans="1:4" x14ac:dyDescent="0.2">
      <c r="A110" t="s">
        <v>1166</v>
      </c>
      <c r="B110" s="11">
        <v>7.6092715263366699</v>
      </c>
      <c r="C110" s="12">
        <v>3.3947841726618702E-2</v>
      </c>
      <c r="D110" s="11">
        <v>0.25831834543094362</v>
      </c>
    </row>
    <row r="111" spans="1:4" x14ac:dyDescent="0.2">
      <c r="A111" t="s">
        <v>1167</v>
      </c>
      <c r="B111" s="11">
        <v>7.3416147232055664</v>
      </c>
      <c r="C111" s="12">
        <v>1.206534772182254E-2</v>
      </c>
      <c r="D111" s="11">
        <v>8.8579134475127108E-2</v>
      </c>
    </row>
    <row r="112" spans="1:4" x14ac:dyDescent="0.2">
      <c r="A112" t="s">
        <v>1168</v>
      </c>
      <c r="B112" s="11">
        <v>7.5166668891906738</v>
      </c>
      <c r="C112" s="12">
        <v>4.4964028776978424E-3</v>
      </c>
      <c r="D112" s="11">
        <v>3.379796263125303E-2</v>
      </c>
    </row>
    <row r="113" spans="1:4" x14ac:dyDescent="0.2">
      <c r="A113" t="s">
        <v>1169</v>
      </c>
      <c r="B113" s="11">
        <v>8.3076925277709961</v>
      </c>
      <c r="C113" s="12">
        <v>1.9484412470023979E-3</v>
      </c>
      <c r="D113" s="11">
        <v>1.618705078852262E-2</v>
      </c>
    </row>
    <row r="114" spans="1:4" x14ac:dyDescent="0.2">
      <c r="A114" t="s">
        <v>1170</v>
      </c>
      <c r="B114" s="11">
        <v>7.769230842590332</v>
      </c>
      <c r="C114" s="12">
        <v>9.7422062350119906E-4</v>
      </c>
      <c r="D114" s="11">
        <v>7.5689449155930998E-3</v>
      </c>
    </row>
    <row r="115" spans="1:4" x14ac:dyDescent="0.2">
      <c r="A115" t="s">
        <v>1171</v>
      </c>
      <c r="B115" s="11">
        <v>9.3333330154418945</v>
      </c>
      <c r="C115" s="12">
        <v>4.496402877697842E-4</v>
      </c>
      <c r="D115" s="11">
        <v>4.1966425429145211E-3</v>
      </c>
    </row>
    <row r="116" spans="1:4" x14ac:dyDescent="0.2">
      <c r="A116" t="s">
        <v>1172</v>
      </c>
      <c r="B116" s="11">
        <v>6.1999998092651367</v>
      </c>
      <c r="C116" s="12">
        <v>3.7470023980815348E-4</v>
      </c>
      <c r="D116" s="11">
        <v>2.323141415342153E-3</v>
      </c>
    </row>
    <row r="117" spans="1:4" x14ac:dyDescent="0.2">
      <c r="A117" t="s">
        <v>1173</v>
      </c>
      <c r="B117" s="11">
        <v>15.666666984558111</v>
      </c>
      <c r="C117" s="12">
        <v>2.248201438848921E-4</v>
      </c>
      <c r="D117" s="11">
        <v>3.5221823256650418E-3</v>
      </c>
    </row>
    <row r="118" spans="1:4" x14ac:dyDescent="0.2">
      <c r="A118" t="s">
        <v>1174</v>
      </c>
      <c r="B118" s="11">
        <v>19.828245162963871</v>
      </c>
      <c r="C118" s="12">
        <v>0.63092026378896882</v>
      </c>
      <c r="D118" s="11">
        <v>12.51004166868951</v>
      </c>
    </row>
    <row r="119" spans="1:4" x14ac:dyDescent="0.2">
      <c r="A119" t="s">
        <v>1011</v>
      </c>
      <c r="B119" s="11">
        <v>49.529693603515618</v>
      </c>
      <c r="C119" s="12">
        <v>0.67386091127098324</v>
      </c>
      <c r="D119" s="11">
        <v>33.376124466637627</v>
      </c>
    </row>
    <row r="120" spans="1:4" x14ac:dyDescent="0.2">
      <c r="A120" t="s">
        <v>1175</v>
      </c>
      <c r="B120" s="11">
        <v>10.34935474395752</v>
      </c>
      <c r="C120" s="12">
        <v>6.3923860911270988E-2</v>
      </c>
      <c r="D120" s="11">
        <v>0.66157071317414307</v>
      </c>
    </row>
    <row r="121" spans="1:4" x14ac:dyDescent="0.2">
      <c r="A121" t="s">
        <v>1176</v>
      </c>
      <c r="B121" s="11">
        <v>9.9121618270874023</v>
      </c>
      <c r="C121" s="12">
        <v>2.218225419664269E-2</v>
      </c>
      <c r="D121" s="11">
        <v>0.21987409328671101</v>
      </c>
    </row>
    <row r="122" spans="1:4" x14ac:dyDescent="0.2">
      <c r="A122" t="s">
        <v>1177</v>
      </c>
      <c r="B122" s="11">
        <v>12.817567825317379</v>
      </c>
      <c r="C122" s="12">
        <v>2.218225419664269E-2</v>
      </c>
      <c r="D122" s="11">
        <v>0.28432254768389881</v>
      </c>
    </row>
    <row r="123" spans="1:4" x14ac:dyDescent="0.2">
      <c r="A123" t="s">
        <v>1021</v>
      </c>
      <c r="B123" s="11">
        <v>22.029750823974609</v>
      </c>
      <c r="C123" s="12">
        <v>1</v>
      </c>
      <c r="D123" s="11">
        <v>22.029750823974609</v>
      </c>
    </row>
    <row r="124" spans="1:4" x14ac:dyDescent="0.2">
      <c r="A124" t="s">
        <v>1046</v>
      </c>
      <c r="B124" s="11">
        <v>36.783046722412109</v>
      </c>
      <c r="C124" s="12">
        <v>1</v>
      </c>
      <c r="D124" s="11">
        <v>36.783046722412109</v>
      </c>
    </row>
    <row r="125" spans="1:4" x14ac:dyDescent="0.2">
      <c r="A125" t="s">
        <v>1178</v>
      </c>
      <c r="B125" s="11">
        <v>13.76013851165771</v>
      </c>
      <c r="C125" s="12">
        <v>0.28087529976019182</v>
      </c>
      <c r="D125" s="11">
        <v>3.8648830292036198</v>
      </c>
    </row>
    <row r="126" spans="1:4" x14ac:dyDescent="0.2">
      <c r="A126" t="s">
        <v>1179</v>
      </c>
      <c r="B126" s="11">
        <v>13.39993858337402</v>
      </c>
      <c r="C126" s="12">
        <v>0.48606115107913672</v>
      </c>
      <c r="D126" s="11">
        <v>6.5131895722245137</v>
      </c>
    </row>
    <row r="127" spans="1:4" x14ac:dyDescent="0.2">
      <c r="A127" t="s">
        <v>1180</v>
      </c>
      <c r="B127" s="11">
        <v>14.62593364715576</v>
      </c>
      <c r="C127" s="12">
        <v>0.28087529976019182</v>
      </c>
      <c r="D127" s="11">
        <v>4.1080634974175503</v>
      </c>
    </row>
    <row r="128" spans="1:4" x14ac:dyDescent="0.2">
      <c r="A128" t="s">
        <v>1181</v>
      </c>
      <c r="B128" s="11">
        <v>14.752389907836911</v>
      </c>
      <c r="C128" s="12">
        <v>0.48606115107913672</v>
      </c>
      <c r="D128" s="11">
        <v>7.1705636197714497</v>
      </c>
    </row>
    <row r="129" spans="1:4" x14ac:dyDescent="0.2">
      <c r="A129" t="s">
        <v>1182</v>
      </c>
      <c r="B129" s="11">
        <v>14.082502365112299</v>
      </c>
      <c r="C129" s="12">
        <v>0.16531774580335731</v>
      </c>
      <c r="D129" s="11">
        <v>2.3280875462708139</v>
      </c>
    </row>
    <row r="130" spans="1:4" x14ac:dyDescent="0.2">
      <c r="A130" t="s">
        <v>1183</v>
      </c>
      <c r="B130" s="11">
        <v>15.481228828430179</v>
      </c>
      <c r="C130" s="12">
        <v>2.1957434052757789E-2</v>
      </c>
      <c r="D130" s="11">
        <v>0.33992806105590839</v>
      </c>
    </row>
    <row r="131" spans="1:4" x14ac:dyDescent="0.2">
      <c r="A131" t="s">
        <v>61</v>
      </c>
      <c r="B131" s="11">
        <v>3.062232494354248</v>
      </c>
      <c r="C131" s="12">
        <v>0.68277877697841727</v>
      </c>
      <c r="D131" s="11">
        <v>2.0908273573187621</v>
      </c>
    </row>
    <row r="132" spans="1:4" x14ac:dyDescent="0.2">
      <c r="A132" t="s">
        <v>1184</v>
      </c>
      <c r="B132" s="11">
        <v>10.030631065368651</v>
      </c>
      <c r="C132" s="12">
        <v>0.15902278177458029</v>
      </c>
      <c r="D132" s="11">
        <v>1.595098854969446</v>
      </c>
    </row>
    <row r="133" spans="1:4" x14ac:dyDescent="0.2">
      <c r="A133" t="s">
        <v>1185</v>
      </c>
      <c r="B133" s="11">
        <v>11.38066482543945</v>
      </c>
      <c r="C133" s="12">
        <v>2.4805155875299759E-2</v>
      </c>
      <c r="D133" s="11">
        <v>0.28229916495956681</v>
      </c>
    </row>
    <row r="134" spans="1:4" x14ac:dyDescent="0.2">
      <c r="A134" t="s">
        <v>265</v>
      </c>
      <c r="B134" s="11">
        <v>30.646188735961911</v>
      </c>
      <c r="C134" s="12">
        <v>0.56722122302158273</v>
      </c>
      <c r="D134" s="11">
        <v>17.383168655762571</v>
      </c>
    </row>
    <row r="135" spans="1:4" x14ac:dyDescent="0.2">
      <c r="A135" t="s">
        <v>1186</v>
      </c>
      <c r="B135" s="11">
        <v>10.112629890441889</v>
      </c>
      <c r="C135" s="12">
        <v>0.15902278177458029</v>
      </c>
      <c r="D135" s="11">
        <v>1.6081385362348399</v>
      </c>
    </row>
    <row r="136" spans="1:4" x14ac:dyDescent="0.2">
      <c r="A136" t="s">
        <v>1187</v>
      </c>
      <c r="B136" s="11">
        <v>13.900094032287599</v>
      </c>
      <c r="C136" s="12">
        <v>0.15902278177458029</v>
      </c>
      <c r="D136" s="11">
        <v>2.2104316199426171</v>
      </c>
    </row>
    <row r="137" spans="1:4" x14ac:dyDescent="0.2">
      <c r="A137" t="s">
        <v>291</v>
      </c>
      <c r="B137" s="11">
        <v>8.2288064956665039</v>
      </c>
      <c r="C137" s="12">
        <v>0.36420863309352519</v>
      </c>
      <c r="D137" s="11">
        <v>2.997002365777818</v>
      </c>
    </row>
    <row r="138" spans="1:4" x14ac:dyDescent="0.2">
      <c r="A138" t="s">
        <v>1188</v>
      </c>
      <c r="B138" s="11">
        <v>32.266731262207031</v>
      </c>
      <c r="C138" s="12">
        <v>0.15902278177458029</v>
      </c>
      <c r="D138" s="11">
        <v>5.1311453640889786</v>
      </c>
    </row>
    <row r="139" spans="1:4" x14ac:dyDescent="0.2">
      <c r="A139" t="s">
        <v>1189</v>
      </c>
      <c r="B139" s="11">
        <v>11.01242256164551</v>
      </c>
      <c r="C139" s="12">
        <v>8.4457434052757796E-2</v>
      </c>
      <c r="D139" s="11">
        <v>0.93008095226127752</v>
      </c>
    </row>
    <row r="140" spans="1:4" x14ac:dyDescent="0.2">
      <c r="A140" t="s">
        <v>1190</v>
      </c>
      <c r="B140" s="11">
        <v>59.445335388183587</v>
      </c>
      <c r="C140" s="12">
        <v>0.15902278177458029</v>
      </c>
      <c r="D140" s="11">
        <v>9.4531625969518576</v>
      </c>
    </row>
    <row r="141" spans="1:4" x14ac:dyDescent="0.2">
      <c r="A141" t="s">
        <v>1191</v>
      </c>
      <c r="B141" s="11">
        <v>31.696512222290039</v>
      </c>
      <c r="C141" s="12">
        <v>0.15902278177458029</v>
      </c>
      <c r="D141" s="11">
        <v>5.0404675461405466</v>
      </c>
    </row>
    <row r="142" spans="1:4" x14ac:dyDescent="0.2">
      <c r="A142" t="s">
        <v>1192</v>
      </c>
      <c r="B142" s="11">
        <v>18.788320541381839</v>
      </c>
      <c r="C142" s="12">
        <v>3.0800359712230219E-2</v>
      </c>
      <c r="D142" s="11">
        <v>0.57868703106324448</v>
      </c>
    </row>
    <row r="143" spans="1:4" x14ac:dyDescent="0.2">
      <c r="A143" t="s">
        <v>1193</v>
      </c>
      <c r="B143" s="11">
        <v>14.180000305175779</v>
      </c>
      <c r="C143" s="12">
        <v>1.12410071942446E-2</v>
      </c>
      <c r="D143" s="11">
        <v>0.15939748544487159</v>
      </c>
    </row>
    <row r="144" spans="1:4" x14ac:dyDescent="0.2">
      <c r="A144" t="s">
        <v>1194</v>
      </c>
      <c r="B144" s="11">
        <v>14.373562812805179</v>
      </c>
      <c r="C144" s="12">
        <v>1.303956834532374E-2</v>
      </c>
      <c r="D144" s="11">
        <v>0.18742505466337689</v>
      </c>
    </row>
    <row r="145" spans="1:4" x14ac:dyDescent="0.2">
      <c r="A145" t="s">
        <v>1195</v>
      </c>
      <c r="B145" s="11">
        <v>13.638889312744141</v>
      </c>
      <c r="C145" s="12">
        <v>2.6978417266187052E-3</v>
      </c>
      <c r="D145" s="11">
        <v>3.6795564692655047E-2</v>
      </c>
    </row>
    <row r="146" spans="1:4" x14ac:dyDescent="0.2">
      <c r="A146" t="s">
        <v>856</v>
      </c>
      <c r="B146" s="11">
        <v>15.40838527679443</v>
      </c>
      <c r="C146" s="12">
        <v>0.14478417266187049</v>
      </c>
      <c r="D146" s="11">
        <v>2.2308903143560279</v>
      </c>
    </row>
    <row r="147" spans="1:4" x14ac:dyDescent="0.2">
      <c r="A147" t="s">
        <v>1196</v>
      </c>
      <c r="B147" s="11">
        <v>13.428935050964361</v>
      </c>
      <c r="C147" s="12">
        <v>0.14710731414868111</v>
      </c>
      <c r="D147" s="11">
        <v>1.9754945672244479</v>
      </c>
    </row>
    <row r="148" spans="1:4" x14ac:dyDescent="0.2">
      <c r="A148" t="s">
        <v>1197</v>
      </c>
      <c r="B148" s="11">
        <v>16.118755340576168</v>
      </c>
      <c r="C148" s="12">
        <v>0.15902278177458029</v>
      </c>
      <c r="D148" s="11">
        <v>2.563249313002296</v>
      </c>
    </row>
    <row r="149" spans="1:4" x14ac:dyDescent="0.2">
      <c r="A149" t="s">
        <v>1198</v>
      </c>
      <c r="B149" s="11">
        <v>24.20000076293945</v>
      </c>
      <c r="C149" s="12">
        <v>3.3723021582733811E-3</v>
      </c>
      <c r="D149" s="11">
        <v>8.1609714803078187E-2</v>
      </c>
    </row>
    <row r="150" spans="1:4" x14ac:dyDescent="0.2">
      <c r="A150" t="s">
        <v>1199</v>
      </c>
      <c r="B150" s="11">
        <v>15.139491081237789</v>
      </c>
      <c r="C150" s="12">
        <v>0.15902278177458029</v>
      </c>
      <c r="D150" s="11">
        <v>2.407523986389883</v>
      </c>
    </row>
    <row r="151" spans="1:4" x14ac:dyDescent="0.2">
      <c r="A151" t="s">
        <v>1200</v>
      </c>
      <c r="B151" s="11">
        <v>17.901508331298832</v>
      </c>
      <c r="C151" s="12">
        <v>0.15902278177458029</v>
      </c>
      <c r="D151" s="11">
        <v>2.8467476528039661</v>
      </c>
    </row>
    <row r="152" spans="1:4" x14ac:dyDescent="0.2">
      <c r="A152" t="s">
        <v>1201</v>
      </c>
      <c r="B152" s="11">
        <v>27.199811935424801</v>
      </c>
      <c r="C152" s="12">
        <v>0.15902278177458029</v>
      </c>
      <c r="D152" s="11">
        <v>4.3253897577166844</v>
      </c>
    </row>
    <row r="153" spans="1:4" x14ac:dyDescent="0.2">
      <c r="A153" t="s">
        <v>1202</v>
      </c>
      <c r="B153" s="11">
        <v>20.648445129394531</v>
      </c>
      <c r="C153" s="12">
        <v>0.15902278177458029</v>
      </c>
      <c r="D153" s="11">
        <v>3.2835731837961029</v>
      </c>
    </row>
    <row r="154" spans="1:4" x14ac:dyDescent="0.2">
      <c r="A154" t="s">
        <v>1203</v>
      </c>
      <c r="B154" s="11">
        <v>55.302074432373047</v>
      </c>
      <c r="C154" s="12">
        <v>0.15902278177458029</v>
      </c>
      <c r="D154" s="11">
        <v>8.7942897141408576</v>
      </c>
    </row>
    <row r="155" spans="1:4" x14ac:dyDescent="0.2">
      <c r="A155" t="s">
        <v>1204</v>
      </c>
      <c r="B155" s="11">
        <v>24.500471115112301</v>
      </c>
      <c r="C155" s="12">
        <v>0.15902278177458029</v>
      </c>
      <c r="D155" s="11">
        <v>3.8961330715129132</v>
      </c>
    </row>
    <row r="156" spans="1:4" x14ac:dyDescent="0.2">
      <c r="A156" t="s">
        <v>1205</v>
      </c>
      <c r="B156" s="11">
        <v>24.92459869384766</v>
      </c>
      <c r="C156" s="12">
        <v>0.15902278177458029</v>
      </c>
      <c r="D156" s="11">
        <v>3.9635790189107261</v>
      </c>
    </row>
    <row r="157" spans="1:4" x14ac:dyDescent="0.2">
      <c r="A157" t="s">
        <v>1206</v>
      </c>
      <c r="B157" s="11">
        <v>17.525918960571289</v>
      </c>
      <c r="C157" s="12">
        <v>0.15902278177458029</v>
      </c>
      <c r="D157" s="11">
        <v>2.7870203862659082</v>
      </c>
    </row>
    <row r="158" spans="1:4" x14ac:dyDescent="0.2">
      <c r="A158" t="s">
        <v>1207</v>
      </c>
      <c r="B158" s="11">
        <v>28.03440093994141</v>
      </c>
      <c r="C158" s="12">
        <v>0.15902278177458029</v>
      </c>
      <c r="D158" s="11">
        <v>4.4581084228533916</v>
      </c>
    </row>
    <row r="159" spans="1:4" x14ac:dyDescent="0.2">
      <c r="A159" t="s">
        <v>1208</v>
      </c>
      <c r="B159" s="11">
        <v>15.688972473144529</v>
      </c>
      <c r="C159" s="12">
        <v>0.15902278177458029</v>
      </c>
      <c r="D159" s="11">
        <v>2.4949040458642608</v>
      </c>
    </row>
    <row r="160" spans="1:4" x14ac:dyDescent="0.2">
      <c r="A160" t="s">
        <v>1209</v>
      </c>
      <c r="B160" s="11">
        <v>21.188030242919918</v>
      </c>
      <c r="C160" s="12">
        <v>0.15902278177458029</v>
      </c>
      <c r="D160" s="11">
        <v>3.3693795095530632</v>
      </c>
    </row>
    <row r="161" spans="1:4" x14ac:dyDescent="0.2">
      <c r="A161" t="s">
        <v>1210</v>
      </c>
      <c r="B161" s="11">
        <v>10.56944465637207</v>
      </c>
      <c r="C161" s="12">
        <v>5.3956834532374104E-3</v>
      </c>
      <c r="D161" s="11">
        <v>5.7029377642295348E-2</v>
      </c>
    </row>
    <row r="162" spans="1:4" x14ac:dyDescent="0.2">
      <c r="A162" t="s">
        <v>1093</v>
      </c>
      <c r="B162" s="11">
        <v>17.507846832275391</v>
      </c>
      <c r="C162" s="12">
        <v>0.68277877697841727</v>
      </c>
      <c r="D162" s="11">
        <v>11.95398624766645</v>
      </c>
    </row>
    <row r="163" spans="1:4" x14ac:dyDescent="0.2">
      <c r="A163" t="s">
        <v>76</v>
      </c>
      <c r="B163" s="11">
        <v>4.6240768432617188</v>
      </c>
      <c r="C163" s="12">
        <v>0.20293764988009591</v>
      </c>
      <c r="D163" s="11">
        <v>0.9383992874365058</v>
      </c>
    </row>
    <row r="164" spans="1:4" x14ac:dyDescent="0.2">
      <c r="A164" t="s">
        <v>1211</v>
      </c>
      <c r="B164" s="11">
        <v>10.74381732940674</v>
      </c>
      <c r="C164" s="12">
        <v>0.20301258992805751</v>
      </c>
      <c r="D164" s="11">
        <v>2.1811301817568078</v>
      </c>
    </row>
    <row r="165" spans="1:4" x14ac:dyDescent="0.2">
      <c r="A165" t="s">
        <v>1212</v>
      </c>
      <c r="B165" s="11"/>
      <c r="C165" s="12">
        <v>0</v>
      </c>
      <c r="D165" s="11">
        <v>0</v>
      </c>
    </row>
    <row r="166" spans="1:4" x14ac:dyDescent="0.2">
      <c r="A166" t="s">
        <v>1213</v>
      </c>
      <c r="B166" s="11">
        <v>56.471023559570312</v>
      </c>
      <c r="C166" s="12">
        <v>0.20301258992805751</v>
      </c>
      <c r="D166" s="11">
        <v>11.464328748716721</v>
      </c>
    </row>
    <row r="167" spans="1:4" x14ac:dyDescent="0.2">
      <c r="A167" t="s">
        <v>1214</v>
      </c>
      <c r="B167" s="11">
        <v>31</v>
      </c>
      <c r="C167" s="12">
        <v>4.0467625899280584E-3</v>
      </c>
      <c r="D167" s="11">
        <v>0.12544964028776981</v>
      </c>
    </row>
    <row r="168" spans="1:4" x14ac:dyDescent="0.2">
      <c r="A168" t="s">
        <v>1215</v>
      </c>
      <c r="B168" s="11">
        <v>30.833333969116211</v>
      </c>
      <c r="C168" s="12">
        <v>4.0467625899280584E-3</v>
      </c>
      <c r="D168" s="11">
        <v>0.1247751824289775</v>
      </c>
    </row>
    <row r="169" spans="1:4" x14ac:dyDescent="0.2">
      <c r="A169" t="s">
        <v>512</v>
      </c>
      <c r="B169" s="11">
        <v>16.882986068725589</v>
      </c>
      <c r="C169" s="12">
        <v>0.1184802158273381</v>
      </c>
      <c r="D169" s="11">
        <v>2.0002998332325501</v>
      </c>
    </row>
    <row r="170" spans="1:4" x14ac:dyDescent="0.2">
      <c r="A170" t="s">
        <v>560</v>
      </c>
      <c r="B170" s="11">
        <v>16.82699012756348</v>
      </c>
      <c r="C170" s="12">
        <v>8.6630695443645087E-2</v>
      </c>
      <c r="D170" s="11">
        <v>1.457733856974174</v>
      </c>
    </row>
    <row r="171" spans="1:4" x14ac:dyDescent="0.2">
      <c r="A171" t="s">
        <v>1216</v>
      </c>
      <c r="B171" s="11">
        <v>39.486873626708977</v>
      </c>
      <c r="C171" s="12">
        <v>3.139988009592326E-2</v>
      </c>
      <c r="D171" s="11">
        <v>1.2398830972415369</v>
      </c>
    </row>
    <row r="172" spans="1:4" x14ac:dyDescent="0.2">
      <c r="A172" t="s">
        <v>625</v>
      </c>
      <c r="B172" s="11">
        <v>15.9380989074707</v>
      </c>
      <c r="C172" s="12">
        <v>0.1016936450839329</v>
      </c>
      <c r="D172" s="11">
        <v>1.620803373608944</v>
      </c>
    </row>
    <row r="173" spans="1:4" x14ac:dyDescent="0.2">
      <c r="A173" t="s">
        <v>665</v>
      </c>
      <c r="B173" s="11">
        <v>13.330855369567869</v>
      </c>
      <c r="C173" s="12">
        <v>6.047661870503597E-2</v>
      </c>
      <c r="D173" s="11">
        <v>0.80620505719733748</v>
      </c>
    </row>
    <row r="174" spans="1:4" x14ac:dyDescent="0.2">
      <c r="A174" t="s">
        <v>1217</v>
      </c>
      <c r="B174" s="11">
        <v>16.437650680541989</v>
      </c>
      <c r="C174" s="12">
        <v>6.25E-2</v>
      </c>
      <c r="D174" s="11">
        <v>1.027353167533875</v>
      </c>
    </row>
    <row r="175" spans="1:4" x14ac:dyDescent="0.2">
      <c r="A175" t="s">
        <v>1218</v>
      </c>
      <c r="B175" s="11">
        <v>8.6666669845581055</v>
      </c>
      <c r="C175" s="12">
        <v>6.7446043165467629E-4</v>
      </c>
      <c r="D175" s="11">
        <v>5.8453239554123919E-3</v>
      </c>
    </row>
    <row r="176" spans="1:4" x14ac:dyDescent="0.2">
      <c r="A176" t="s">
        <v>709</v>
      </c>
      <c r="B176" s="11">
        <v>12.5238094329834</v>
      </c>
      <c r="C176" s="12">
        <v>1.573741007194245E-3</v>
      </c>
      <c r="D176" s="11">
        <v>1.9709232470972071E-2</v>
      </c>
    </row>
    <row r="177" spans="1:4" x14ac:dyDescent="0.2">
      <c r="A177" t="s">
        <v>1219</v>
      </c>
      <c r="B177" s="11">
        <v>22.220184326171879</v>
      </c>
      <c r="C177" s="12">
        <v>8.1684652278177453E-3</v>
      </c>
      <c r="D177" s="11">
        <v>0.18150480302403579</v>
      </c>
    </row>
    <row r="178" spans="1:4" x14ac:dyDescent="0.2">
      <c r="A178" t="s">
        <v>1220</v>
      </c>
      <c r="B178" s="11">
        <v>12.889907836914061</v>
      </c>
      <c r="C178" s="12">
        <v>8.1684652278177453E-3</v>
      </c>
      <c r="D178" s="11">
        <v>0.105290763955608</v>
      </c>
    </row>
    <row r="179" spans="1:4" x14ac:dyDescent="0.2">
      <c r="A179" t="s">
        <v>1221</v>
      </c>
      <c r="B179" s="11">
        <v>14.84403705596924</v>
      </c>
      <c r="C179" s="12">
        <v>8.1684652278177453E-3</v>
      </c>
      <c r="D179" s="11">
        <v>0.1212530005321228</v>
      </c>
    </row>
    <row r="180" spans="1:4" x14ac:dyDescent="0.2">
      <c r="A180" t="s">
        <v>1222</v>
      </c>
      <c r="B180" s="11">
        <v>18.513761520385739</v>
      </c>
      <c r="C180" s="12">
        <v>8.1684652278177453E-3</v>
      </c>
      <c r="D180" s="11">
        <v>0.1512290172153811</v>
      </c>
    </row>
    <row r="181" spans="1:4" x14ac:dyDescent="0.2">
      <c r="A181" t="s">
        <v>1223</v>
      </c>
      <c r="B181" s="11">
        <v>16.880733489990231</v>
      </c>
      <c r="C181" s="12">
        <v>8.1684652278177453E-3</v>
      </c>
      <c r="D181" s="11">
        <v>0.1378896845330437</v>
      </c>
    </row>
    <row r="182" spans="1:4" x14ac:dyDescent="0.2">
      <c r="A182" t="s">
        <v>1224</v>
      </c>
      <c r="B182" s="11">
        <v>17.431192398071289</v>
      </c>
      <c r="C182" s="12">
        <v>8.1684652278177453E-3</v>
      </c>
      <c r="D182" s="11">
        <v>0.14238608898304631</v>
      </c>
    </row>
    <row r="183" spans="1:4" x14ac:dyDescent="0.2">
      <c r="A183" t="s">
        <v>1225</v>
      </c>
      <c r="B183" s="11">
        <v>14.110092163085939</v>
      </c>
      <c r="C183" s="12">
        <v>8.1684652278177453E-3</v>
      </c>
      <c r="D183" s="11">
        <v>0.1152577971954712</v>
      </c>
    </row>
    <row r="184" spans="1:4" x14ac:dyDescent="0.2">
      <c r="A184" t="s">
        <v>1226</v>
      </c>
      <c r="B184" s="11">
        <v>15.256880760192869</v>
      </c>
      <c r="C184" s="12">
        <v>8.1684652278177453E-3</v>
      </c>
      <c r="D184" s="11">
        <v>0.124625299974597</v>
      </c>
    </row>
    <row r="185" spans="1:4" x14ac:dyDescent="0.2">
      <c r="A185" t="s">
        <v>1227</v>
      </c>
      <c r="B185" s="11">
        <v>12.284403800964361</v>
      </c>
      <c r="C185" s="12">
        <v>8.1684652278177453E-3</v>
      </c>
      <c r="D185" s="11">
        <v>0.1003447252926495</v>
      </c>
    </row>
    <row r="186" spans="1:4" x14ac:dyDescent="0.2">
      <c r="A186" t="s">
        <v>1228</v>
      </c>
      <c r="B186" s="11">
        <v>12.577981948852541</v>
      </c>
      <c r="C186" s="12">
        <v>8.1684652278177453E-3</v>
      </c>
      <c r="D186" s="11">
        <v>0.10274280818532119</v>
      </c>
    </row>
    <row r="187" spans="1:4" x14ac:dyDescent="0.2">
      <c r="A187" t="s">
        <v>1004</v>
      </c>
      <c r="B187" s="11">
        <v>16.78225135803223</v>
      </c>
      <c r="C187" s="12">
        <v>0.16381894484412471</v>
      </c>
      <c r="D187" s="11">
        <v>2.7492507095817178</v>
      </c>
    </row>
    <row r="188" spans="1:4" x14ac:dyDescent="0.2">
      <c r="A188" t="s">
        <v>1229</v>
      </c>
      <c r="B188" s="11">
        <v>11.787801742553709</v>
      </c>
      <c r="C188" s="12">
        <v>0.20518585131894479</v>
      </c>
      <c r="D188" s="11">
        <v>2.4186901357248241</v>
      </c>
    </row>
    <row r="189" spans="1:4" x14ac:dyDescent="0.2">
      <c r="A189" t="s">
        <v>411</v>
      </c>
      <c r="B189" s="11">
        <v>46.247528076171882</v>
      </c>
      <c r="C189" s="12">
        <v>1</v>
      </c>
      <c r="D189" s="11">
        <v>46.247528076171882</v>
      </c>
    </row>
    <row r="190" spans="1:4" x14ac:dyDescent="0.2">
      <c r="A190" t="s">
        <v>1230</v>
      </c>
      <c r="B190" s="11">
        <v>0.1537020355463028</v>
      </c>
      <c r="C190" s="12">
        <v>1</v>
      </c>
      <c r="D190" s="11">
        <v>0.1537020355463028</v>
      </c>
    </row>
    <row r="191" spans="1:4" x14ac:dyDescent="0.2">
      <c r="A191" t="s">
        <v>1231</v>
      </c>
      <c r="B191" s="11">
        <v>0.67963129281997681</v>
      </c>
      <c r="C191" s="12">
        <v>1</v>
      </c>
      <c r="D191" s="11">
        <v>0.67963129281997681</v>
      </c>
    </row>
    <row r="192" spans="1:4" x14ac:dyDescent="0.2">
      <c r="A192" t="s">
        <v>1232</v>
      </c>
      <c r="B192" s="11">
        <v>2.892535924911499</v>
      </c>
      <c r="C192" s="12">
        <v>1</v>
      </c>
      <c r="D192" s="11">
        <v>2.892535924911499</v>
      </c>
    </row>
    <row r="193" spans="1:4" x14ac:dyDescent="0.2">
      <c r="A193" t="s">
        <v>1233</v>
      </c>
      <c r="B193" s="11">
        <v>3.3438248634338379</v>
      </c>
      <c r="C193" s="12">
        <v>1</v>
      </c>
      <c r="D193" s="11">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 activePane="bottomLeft" state="frozen"/>
      <selection activeCell="D69" sqref="D69"/>
      <selection pane="bottomLeft" activeCell="C54" sqref="C54"/>
    </sheetView>
  </sheetViews>
  <sheetFormatPr baseColWidth="10" defaultColWidth="10.83203125" defaultRowHeight="15" x14ac:dyDescent="0.2"/>
  <cols>
    <col min="1" max="2" width="10.83203125" style="1" customWidth="1"/>
    <col min="3" max="3" width="15.1640625" style="2" customWidth="1"/>
    <col min="4" max="4" width="10.83203125" style="62" hidden="1" customWidth="1"/>
    <col min="5" max="5" width="10.83203125" style="62" customWidth="1"/>
    <col min="6" max="6" width="41.5" style="1" customWidth="1"/>
    <col min="7" max="8" width="10.83203125" style="1" customWidth="1"/>
    <col min="9" max="16384" width="10.83203125" style="1"/>
  </cols>
  <sheetData>
    <row r="2" spans="2:6" x14ac:dyDescent="0.2">
      <c r="C2" s="4"/>
      <c r="D2" s="59"/>
      <c r="E2" s="59"/>
      <c r="F2" s="5"/>
    </row>
    <row r="3" spans="2:6" ht="29.25" customHeight="1" x14ac:dyDescent="0.2">
      <c r="B3" s="3"/>
      <c r="C3" s="60" t="s">
        <v>1234</v>
      </c>
      <c r="D3" s="57" t="s">
        <v>1235</v>
      </c>
      <c r="E3" s="57" t="s">
        <v>1236</v>
      </c>
      <c r="F3" s="57" t="s">
        <v>1237</v>
      </c>
    </row>
    <row r="4" spans="2:6" ht="15.75" customHeight="1" x14ac:dyDescent="0.2">
      <c r="B4" s="3"/>
      <c r="C4" s="10" t="s">
        <v>1238</v>
      </c>
      <c r="D4" s="8">
        <f t="array" ref="D4:D93">_xlfn.SEQUENCE(90,1,1,1)</f>
        <v>1</v>
      </c>
      <c r="E4" s="58" t="s">
        <v>1239</v>
      </c>
      <c r="F4" s="8" t="s">
        <v>1240</v>
      </c>
    </row>
    <row r="5" spans="2:6" ht="15.75" customHeight="1" x14ac:dyDescent="0.2">
      <c r="B5" s="3"/>
      <c r="C5" s="10"/>
      <c r="D5" s="8">
        <v>2</v>
      </c>
      <c r="E5" s="58" t="s">
        <v>1241</v>
      </c>
      <c r="F5" s="8" t="s">
        <v>1242</v>
      </c>
    </row>
    <row r="6" spans="2:6" ht="15.75" customHeight="1" x14ac:dyDescent="0.2">
      <c r="B6" s="3"/>
      <c r="C6" s="10" t="s">
        <v>1238</v>
      </c>
      <c r="D6" s="8">
        <v>3</v>
      </c>
      <c r="E6" s="58" t="s">
        <v>1243</v>
      </c>
      <c r="F6" s="8" t="s">
        <v>1244</v>
      </c>
    </row>
    <row r="7" spans="2:6" ht="15.75" customHeight="1" x14ac:dyDescent="0.2">
      <c r="B7" s="3"/>
      <c r="C7" s="10" t="s">
        <v>1238</v>
      </c>
      <c r="D7" s="8">
        <v>4</v>
      </c>
      <c r="E7" s="58" t="s">
        <v>1245</v>
      </c>
      <c r="F7" s="8" t="s">
        <v>1246</v>
      </c>
    </row>
    <row r="8" spans="2:6" ht="15.75" customHeight="1" x14ac:dyDescent="0.2">
      <c r="B8" s="3"/>
      <c r="C8" s="10" t="s">
        <v>1238</v>
      </c>
      <c r="D8" s="8">
        <v>5</v>
      </c>
      <c r="E8" s="58" t="s">
        <v>1247</v>
      </c>
      <c r="F8" s="8" t="s">
        <v>1248</v>
      </c>
    </row>
    <row r="9" spans="2:6" ht="15.75" customHeight="1" x14ac:dyDescent="0.2">
      <c r="B9" s="3"/>
      <c r="C9" s="10"/>
      <c r="D9" s="8">
        <v>6</v>
      </c>
      <c r="E9" s="58" t="s">
        <v>1249</v>
      </c>
      <c r="F9" s="8" t="s">
        <v>1250</v>
      </c>
    </row>
    <row r="10" spans="2:6" ht="15.75" customHeight="1" x14ac:dyDescent="0.2">
      <c r="B10" s="3"/>
      <c r="C10" s="68"/>
      <c r="D10" s="8">
        <v>7</v>
      </c>
      <c r="E10" s="58" t="s">
        <v>1251</v>
      </c>
      <c r="F10" s="9" t="s">
        <v>1252</v>
      </c>
    </row>
    <row r="11" spans="2:6" ht="15.75" customHeight="1" x14ac:dyDescent="0.2">
      <c r="B11" s="3"/>
      <c r="C11" s="10"/>
      <c r="D11" s="8">
        <v>8</v>
      </c>
      <c r="E11" s="58" t="s">
        <v>1253</v>
      </c>
      <c r="F11" s="8" t="s">
        <v>1254</v>
      </c>
    </row>
    <row r="12" spans="2:6" ht="15.75" customHeight="1" x14ac:dyDescent="0.2">
      <c r="B12" s="3"/>
      <c r="C12" s="10"/>
      <c r="D12" s="8">
        <v>9</v>
      </c>
      <c r="E12" s="58" t="s">
        <v>1255</v>
      </c>
      <c r="F12" s="8" t="s">
        <v>1256</v>
      </c>
    </row>
    <row r="13" spans="2:6" ht="15.75" customHeight="1" x14ac:dyDescent="0.2">
      <c r="B13" s="3"/>
      <c r="C13" s="10" t="s">
        <v>1238</v>
      </c>
      <c r="D13" s="8">
        <v>10</v>
      </c>
      <c r="E13" s="58" t="s">
        <v>1257</v>
      </c>
      <c r="F13" s="8" t="s">
        <v>1258</v>
      </c>
    </row>
    <row r="14" spans="2:6" ht="15.75" customHeight="1" x14ac:dyDescent="0.2">
      <c r="B14" s="3"/>
      <c r="C14" s="10"/>
      <c r="D14" s="8">
        <v>11</v>
      </c>
      <c r="E14" s="58" t="s">
        <v>1259</v>
      </c>
      <c r="F14" s="8" t="s">
        <v>1260</v>
      </c>
    </row>
    <row r="15" spans="2:6" ht="15.75" customHeight="1" x14ac:dyDescent="0.2">
      <c r="B15" s="3"/>
      <c r="C15" s="10"/>
      <c r="D15" s="8">
        <v>12</v>
      </c>
      <c r="E15" s="58" t="s">
        <v>1261</v>
      </c>
      <c r="F15" s="8" t="s">
        <v>1262</v>
      </c>
    </row>
    <row r="16" spans="2:6" ht="15.75" customHeight="1" x14ac:dyDescent="0.2">
      <c r="B16" s="3"/>
      <c r="C16" s="10" t="s">
        <v>1238</v>
      </c>
      <c r="D16" s="8">
        <v>13</v>
      </c>
      <c r="E16" s="58" t="s">
        <v>1263</v>
      </c>
      <c r="F16" s="8" t="s">
        <v>1264</v>
      </c>
    </row>
    <row r="17" spans="2:6" ht="15.75" customHeight="1" x14ac:dyDescent="0.2">
      <c r="B17" s="3"/>
      <c r="C17" s="68"/>
      <c r="D17" s="8">
        <v>14</v>
      </c>
      <c r="E17" s="58" t="s">
        <v>1265</v>
      </c>
      <c r="F17" s="9" t="s">
        <v>1266</v>
      </c>
    </row>
    <row r="18" spans="2:6" ht="15.75" customHeight="1" x14ac:dyDescent="0.2">
      <c r="B18" s="3"/>
      <c r="C18" s="10" t="s">
        <v>1238</v>
      </c>
      <c r="D18" s="8">
        <v>15</v>
      </c>
      <c r="E18" s="58" t="s">
        <v>1267</v>
      </c>
      <c r="F18" s="8" t="s">
        <v>1268</v>
      </c>
    </row>
    <row r="19" spans="2:6" ht="15.75" customHeight="1" x14ac:dyDescent="0.2">
      <c r="B19" s="3"/>
      <c r="C19" s="10"/>
      <c r="D19" s="8">
        <v>16</v>
      </c>
      <c r="E19" s="58" t="s">
        <v>1269</v>
      </c>
      <c r="F19" s="8" t="s">
        <v>1270</v>
      </c>
    </row>
    <row r="20" spans="2:6" ht="15.75" customHeight="1" x14ac:dyDescent="0.2">
      <c r="B20" s="3"/>
      <c r="C20" s="10"/>
      <c r="D20" s="8">
        <v>17</v>
      </c>
      <c r="E20" s="58" t="s">
        <v>1271</v>
      </c>
      <c r="F20" s="8" t="s">
        <v>1272</v>
      </c>
    </row>
    <row r="21" spans="2:6" ht="15.75" customHeight="1" x14ac:dyDescent="0.2">
      <c r="B21" s="3"/>
      <c r="C21" s="10"/>
      <c r="D21" s="8">
        <v>18</v>
      </c>
      <c r="E21" s="58" t="s">
        <v>1273</v>
      </c>
      <c r="F21" s="8" t="s">
        <v>1274</v>
      </c>
    </row>
    <row r="22" spans="2:6" ht="15.75" customHeight="1" x14ac:dyDescent="0.2">
      <c r="B22" s="3"/>
      <c r="C22" s="10"/>
      <c r="D22" s="8">
        <v>19</v>
      </c>
      <c r="E22" s="58" t="s">
        <v>1275</v>
      </c>
      <c r="F22" s="8" t="s">
        <v>1276</v>
      </c>
    </row>
    <row r="23" spans="2:6" ht="15.75" customHeight="1" x14ac:dyDescent="0.2">
      <c r="B23" s="3"/>
      <c r="C23" s="10"/>
      <c r="D23" s="8">
        <v>20</v>
      </c>
      <c r="E23" s="58" t="s">
        <v>1277</v>
      </c>
      <c r="F23" s="8" t="s">
        <v>1278</v>
      </c>
    </row>
    <row r="24" spans="2:6" ht="15.75" customHeight="1" x14ac:dyDescent="0.2">
      <c r="B24" s="3"/>
      <c r="C24" s="10"/>
      <c r="D24" s="8">
        <v>21</v>
      </c>
      <c r="E24" s="58" t="s">
        <v>1279</v>
      </c>
      <c r="F24" s="8" t="s">
        <v>1280</v>
      </c>
    </row>
    <row r="25" spans="2:6" ht="15.75" customHeight="1" x14ac:dyDescent="0.2">
      <c r="B25" s="3"/>
      <c r="C25" s="68" t="s">
        <v>1238</v>
      </c>
      <c r="D25" s="8">
        <v>22</v>
      </c>
      <c r="E25" s="58" t="s">
        <v>1281</v>
      </c>
      <c r="F25" s="9" t="s">
        <v>1282</v>
      </c>
    </row>
    <row r="26" spans="2:6" ht="15.75" customHeight="1" x14ac:dyDescent="0.2">
      <c r="B26" s="3"/>
      <c r="C26" s="10"/>
      <c r="D26" s="8">
        <v>23</v>
      </c>
      <c r="E26" s="58" t="s">
        <v>1283</v>
      </c>
      <c r="F26" s="8" t="s">
        <v>1284</v>
      </c>
    </row>
    <row r="27" spans="2:6" ht="15.75" customHeight="1" x14ac:dyDescent="0.2">
      <c r="B27" s="3"/>
      <c r="C27" s="10"/>
      <c r="D27" s="8">
        <v>24</v>
      </c>
      <c r="E27" s="58" t="s">
        <v>1285</v>
      </c>
      <c r="F27" s="8" t="s">
        <v>1286</v>
      </c>
    </row>
    <row r="28" spans="2:6" ht="15.75" customHeight="1" x14ac:dyDescent="0.2">
      <c r="B28" s="3"/>
      <c r="C28" s="10"/>
      <c r="D28" s="8">
        <v>25</v>
      </c>
      <c r="E28" s="58" t="s">
        <v>1287</v>
      </c>
      <c r="F28" s="8" t="s">
        <v>1288</v>
      </c>
    </row>
    <row r="29" spans="2:6" ht="15.75" customHeight="1" x14ac:dyDescent="0.2">
      <c r="B29" s="3"/>
      <c r="C29" s="10"/>
      <c r="D29" s="8">
        <v>26</v>
      </c>
      <c r="E29" s="58" t="s">
        <v>1289</v>
      </c>
      <c r="F29" s="8" t="s">
        <v>1290</v>
      </c>
    </row>
    <row r="30" spans="2:6" ht="15.75" customHeight="1" x14ac:dyDescent="0.2">
      <c r="B30" s="3"/>
      <c r="C30" s="10"/>
      <c r="D30" s="8">
        <v>27</v>
      </c>
      <c r="E30" s="58" t="s">
        <v>1291</v>
      </c>
      <c r="F30" s="8" t="s">
        <v>1292</v>
      </c>
    </row>
    <row r="31" spans="2:6" ht="15.75" customHeight="1" x14ac:dyDescent="0.2">
      <c r="B31" s="3"/>
      <c r="C31" s="10"/>
      <c r="D31" s="8">
        <v>28</v>
      </c>
      <c r="E31" s="58" t="s">
        <v>1293</v>
      </c>
      <c r="F31" s="8" t="s">
        <v>1294</v>
      </c>
    </row>
    <row r="32" spans="2:6" ht="15.75" customHeight="1" x14ac:dyDescent="0.2">
      <c r="B32" s="3"/>
      <c r="C32" s="10"/>
      <c r="D32" s="8">
        <v>29</v>
      </c>
      <c r="E32" s="58" t="s">
        <v>1295</v>
      </c>
      <c r="F32" s="8" t="s">
        <v>1296</v>
      </c>
    </row>
    <row r="33" spans="2:6" ht="15.75" customHeight="1" x14ac:dyDescent="0.2">
      <c r="B33" s="3"/>
      <c r="C33" s="10"/>
      <c r="D33" s="8">
        <v>30</v>
      </c>
      <c r="E33" s="58" t="s">
        <v>1297</v>
      </c>
      <c r="F33" s="8" t="s">
        <v>1298</v>
      </c>
    </row>
    <row r="34" spans="2:6" ht="15.75" customHeight="1" x14ac:dyDescent="0.2">
      <c r="B34" s="3"/>
      <c r="C34" s="10"/>
      <c r="D34" s="8">
        <v>31</v>
      </c>
      <c r="E34" s="58" t="s">
        <v>1299</v>
      </c>
      <c r="F34" s="8" t="s">
        <v>1300</v>
      </c>
    </row>
    <row r="35" spans="2:6" ht="15.75" customHeight="1" x14ac:dyDescent="0.2">
      <c r="B35" s="3"/>
      <c r="C35" s="68"/>
      <c r="D35" s="8">
        <v>32</v>
      </c>
      <c r="E35" s="58" t="s">
        <v>1301</v>
      </c>
      <c r="F35" s="9" t="s">
        <v>1302</v>
      </c>
    </row>
    <row r="36" spans="2:6" ht="15.75" customHeight="1" x14ac:dyDescent="0.2">
      <c r="B36" s="3"/>
      <c r="C36" s="10"/>
      <c r="D36" s="8">
        <v>33</v>
      </c>
      <c r="E36" s="58" t="s">
        <v>1303</v>
      </c>
      <c r="F36" s="8" t="s">
        <v>1304</v>
      </c>
    </row>
    <row r="37" spans="2:6" ht="15.75" customHeight="1" x14ac:dyDescent="0.2">
      <c r="B37" s="3"/>
      <c r="C37" s="10"/>
      <c r="D37" s="8">
        <v>34</v>
      </c>
      <c r="E37" s="58" t="s">
        <v>1305</v>
      </c>
      <c r="F37" s="8" t="s">
        <v>1306</v>
      </c>
    </row>
    <row r="38" spans="2:6" ht="15.75" customHeight="1" x14ac:dyDescent="0.2">
      <c r="B38" s="3"/>
      <c r="C38" s="10"/>
      <c r="D38" s="8">
        <v>35</v>
      </c>
      <c r="E38" s="58" t="s">
        <v>1307</v>
      </c>
      <c r="F38" s="8" t="s">
        <v>1308</v>
      </c>
    </row>
    <row r="39" spans="2:6" ht="15.75" customHeight="1" x14ac:dyDescent="0.2">
      <c r="B39" s="3"/>
      <c r="C39" s="10"/>
      <c r="D39" s="8">
        <v>36</v>
      </c>
      <c r="E39" s="58" t="s">
        <v>1309</v>
      </c>
      <c r="F39" s="8" t="s">
        <v>1310</v>
      </c>
    </row>
    <row r="40" spans="2:6" ht="15.75" customHeight="1" x14ac:dyDescent="0.2">
      <c r="B40" s="3"/>
      <c r="C40" s="10"/>
      <c r="D40" s="8">
        <v>37</v>
      </c>
      <c r="E40" s="58" t="s">
        <v>1311</v>
      </c>
      <c r="F40" s="8" t="s">
        <v>1312</v>
      </c>
    </row>
    <row r="41" spans="2:6" ht="15.75" customHeight="1" x14ac:dyDescent="0.2">
      <c r="B41" s="3"/>
      <c r="C41" s="10"/>
      <c r="D41" s="8">
        <v>38</v>
      </c>
      <c r="E41" s="58" t="s">
        <v>1313</v>
      </c>
      <c r="F41" s="8" t="s">
        <v>1314</v>
      </c>
    </row>
    <row r="42" spans="2:6" ht="15.75" customHeight="1" x14ac:dyDescent="0.2">
      <c r="B42" s="3"/>
      <c r="C42" s="10"/>
      <c r="D42" s="8">
        <v>39</v>
      </c>
      <c r="E42" s="58" t="s">
        <v>1315</v>
      </c>
      <c r="F42" s="8" t="s">
        <v>1316</v>
      </c>
    </row>
    <row r="43" spans="2:6" ht="15.75" customHeight="1" x14ac:dyDescent="0.2">
      <c r="B43" s="3"/>
      <c r="C43" s="10"/>
      <c r="D43" s="8">
        <v>40</v>
      </c>
      <c r="E43" s="58" t="s">
        <v>1317</v>
      </c>
      <c r="F43" s="8" t="s">
        <v>1318</v>
      </c>
    </row>
    <row r="44" spans="2:6" ht="15.75" customHeight="1" x14ac:dyDescent="0.2">
      <c r="B44" s="3"/>
      <c r="C44" s="10"/>
      <c r="D44" s="8">
        <v>41</v>
      </c>
      <c r="E44" s="58" t="s">
        <v>1319</v>
      </c>
      <c r="F44" s="8" t="s">
        <v>1320</v>
      </c>
    </row>
    <row r="45" spans="2:6" ht="15.75" customHeight="1" x14ac:dyDescent="0.2">
      <c r="B45" s="3"/>
      <c r="C45" s="10"/>
      <c r="D45" s="8">
        <v>42</v>
      </c>
      <c r="E45" s="58" t="s">
        <v>1321</v>
      </c>
      <c r="F45" s="8" t="s">
        <v>1322</v>
      </c>
    </row>
    <row r="46" spans="2:6" ht="15.75" customHeight="1" x14ac:dyDescent="0.2">
      <c r="B46" s="3"/>
      <c r="C46" s="10"/>
      <c r="D46" s="8">
        <v>43</v>
      </c>
      <c r="E46" s="58" t="s">
        <v>1323</v>
      </c>
      <c r="F46" s="8" t="s">
        <v>1324</v>
      </c>
    </row>
    <row r="47" spans="2:6" ht="15.75" customHeight="1" x14ac:dyDescent="0.2">
      <c r="B47" s="3"/>
      <c r="C47" s="68"/>
      <c r="D47" s="8">
        <v>44</v>
      </c>
      <c r="E47" s="58" t="s">
        <v>1325</v>
      </c>
      <c r="F47" s="9" t="s">
        <v>1326</v>
      </c>
    </row>
    <row r="48" spans="2:6" ht="15.75" customHeight="1" x14ac:dyDescent="0.2">
      <c r="B48" s="3"/>
      <c r="C48" s="10"/>
      <c r="D48" s="8">
        <v>45</v>
      </c>
      <c r="E48" s="58" t="s">
        <v>1327</v>
      </c>
      <c r="F48" s="8" t="s">
        <v>1328</v>
      </c>
    </row>
    <row r="49" spans="2:6" ht="15.75" customHeight="1" x14ac:dyDescent="0.2">
      <c r="B49" s="3"/>
      <c r="C49" s="10"/>
      <c r="D49" s="8">
        <v>46</v>
      </c>
      <c r="E49" s="58" t="s">
        <v>1329</v>
      </c>
      <c r="F49" s="8" t="s">
        <v>1330</v>
      </c>
    </row>
    <row r="50" spans="2:6" ht="15.75" customHeight="1" x14ac:dyDescent="0.2">
      <c r="B50" s="3"/>
      <c r="C50" s="10"/>
      <c r="D50" s="8">
        <v>47</v>
      </c>
      <c r="E50" s="58" t="s">
        <v>1331</v>
      </c>
      <c r="F50" s="8" t="s">
        <v>1332</v>
      </c>
    </row>
    <row r="51" spans="2:6" ht="15.75" customHeight="1" x14ac:dyDescent="0.2">
      <c r="B51" s="3"/>
      <c r="C51" s="10"/>
      <c r="D51" s="8">
        <v>48</v>
      </c>
      <c r="E51" s="58" t="s">
        <v>1333</v>
      </c>
      <c r="F51" s="8" t="s">
        <v>1334</v>
      </c>
    </row>
    <row r="52" spans="2:6" ht="15.75" customHeight="1" x14ac:dyDescent="0.2">
      <c r="B52" s="3"/>
      <c r="C52" s="68"/>
      <c r="D52" s="8">
        <v>49</v>
      </c>
      <c r="E52" s="58" t="s">
        <v>1335</v>
      </c>
      <c r="F52" s="9" t="s">
        <v>1336</v>
      </c>
    </row>
    <row r="53" spans="2:6" ht="15.75" customHeight="1" x14ac:dyDescent="0.2">
      <c r="B53" s="3"/>
      <c r="C53" s="10"/>
      <c r="D53" s="8">
        <v>50</v>
      </c>
      <c r="E53" s="58" t="s">
        <v>1337</v>
      </c>
      <c r="F53" s="8" t="s">
        <v>1338</v>
      </c>
    </row>
    <row r="54" spans="2:6" ht="15.75" customHeight="1" x14ac:dyDescent="0.2">
      <c r="B54" s="3"/>
      <c r="C54" s="10"/>
      <c r="D54" s="8">
        <v>51</v>
      </c>
      <c r="E54" s="58" t="s">
        <v>1339</v>
      </c>
      <c r="F54" s="8" t="s">
        <v>1340</v>
      </c>
    </row>
    <row r="55" spans="2:6" ht="15.75" customHeight="1" x14ac:dyDescent="0.2">
      <c r="B55" s="3"/>
      <c r="C55" s="10"/>
      <c r="D55" s="8">
        <v>52</v>
      </c>
      <c r="E55" s="58" t="s">
        <v>1341</v>
      </c>
      <c r="F55" s="8" t="s">
        <v>1342</v>
      </c>
    </row>
    <row r="56" spans="2:6" ht="15.75" customHeight="1" x14ac:dyDescent="0.2">
      <c r="B56" s="3"/>
      <c r="C56" s="10" t="s">
        <v>1238</v>
      </c>
      <c r="D56" s="8">
        <v>53</v>
      </c>
      <c r="E56" s="58" t="s">
        <v>1343</v>
      </c>
      <c r="F56" s="8" t="s">
        <v>1344</v>
      </c>
    </row>
    <row r="57" spans="2:6" ht="15.75" customHeight="1" x14ac:dyDescent="0.2">
      <c r="B57" s="3"/>
      <c r="C57" s="10"/>
      <c r="D57" s="8">
        <v>54</v>
      </c>
      <c r="E57" s="58" t="s">
        <v>1345</v>
      </c>
      <c r="F57" s="8" t="s">
        <v>1346</v>
      </c>
    </row>
    <row r="58" spans="2:6" ht="15.75" customHeight="1" x14ac:dyDescent="0.2">
      <c r="B58" s="3"/>
      <c r="C58" s="10"/>
      <c r="D58" s="8">
        <v>55</v>
      </c>
      <c r="E58" s="58" t="s">
        <v>1347</v>
      </c>
      <c r="F58" s="8" t="s">
        <v>1348</v>
      </c>
    </row>
    <row r="59" spans="2:6" ht="15.75" customHeight="1" x14ac:dyDescent="0.2">
      <c r="B59" s="3"/>
      <c r="C59" s="10"/>
      <c r="D59" s="8">
        <v>56</v>
      </c>
      <c r="E59" s="58" t="s">
        <v>1349</v>
      </c>
      <c r="F59" s="8" t="s">
        <v>1350</v>
      </c>
    </row>
    <row r="60" spans="2:6" ht="15.75" customHeight="1" x14ac:dyDescent="0.2">
      <c r="B60" s="3"/>
      <c r="C60" s="10"/>
      <c r="D60" s="8">
        <v>57</v>
      </c>
      <c r="E60" s="58" t="s">
        <v>1351</v>
      </c>
      <c r="F60" s="8" t="s">
        <v>1352</v>
      </c>
    </row>
    <row r="61" spans="2:6" ht="15.75" customHeight="1" x14ac:dyDescent="0.2">
      <c r="B61" s="3"/>
      <c r="C61" s="10"/>
      <c r="D61" s="8">
        <v>58</v>
      </c>
      <c r="E61" s="58" t="s">
        <v>1353</v>
      </c>
      <c r="F61" s="8" t="s">
        <v>1354</v>
      </c>
    </row>
    <row r="62" spans="2:6" ht="15.75" customHeight="1" x14ac:dyDescent="0.2">
      <c r="B62" s="3"/>
      <c r="C62" s="10"/>
      <c r="D62" s="8">
        <v>59</v>
      </c>
      <c r="E62" s="58" t="s">
        <v>1355</v>
      </c>
      <c r="F62" s="8" t="s">
        <v>1356</v>
      </c>
    </row>
    <row r="63" spans="2:6" ht="15.75" customHeight="1" x14ac:dyDescent="0.2">
      <c r="B63" s="3"/>
      <c r="C63" s="10"/>
      <c r="D63" s="8">
        <v>60</v>
      </c>
      <c r="E63" s="58" t="s">
        <v>1357</v>
      </c>
      <c r="F63" s="8" t="s">
        <v>1358</v>
      </c>
    </row>
    <row r="64" spans="2:6" ht="15.75" customHeight="1" x14ac:dyDescent="0.2">
      <c r="B64" s="3"/>
      <c r="C64" s="10"/>
      <c r="D64" s="8">
        <v>61</v>
      </c>
      <c r="E64" s="58" t="s">
        <v>1359</v>
      </c>
      <c r="F64" s="8" t="s">
        <v>1360</v>
      </c>
    </row>
    <row r="65" spans="2:6" ht="15.75" customHeight="1" x14ac:dyDescent="0.2">
      <c r="B65" s="3"/>
      <c r="C65" s="10"/>
      <c r="D65" s="8">
        <v>62</v>
      </c>
      <c r="E65" s="58" t="s">
        <v>1361</v>
      </c>
      <c r="F65" s="8" t="s">
        <v>1362</v>
      </c>
    </row>
    <row r="66" spans="2:6" ht="15.75" customHeight="1" x14ac:dyDescent="0.2">
      <c r="B66" s="3"/>
      <c r="C66" s="10"/>
      <c r="D66" s="8">
        <v>63</v>
      </c>
      <c r="E66" s="58" t="s">
        <v>1363</v>
      </c>
      <c r="F66" s="8" t="s">
        <v>1364</v>
      </c>
    </row>
    <row r="67" spans="2:6" ht="15.75" customHeight="1" x14ac:dyDescent="0.2">
      <c r="B67" s="3"/>
      <c r="C67" s="10"/>
      <c r="D67" s="8">
        <v>64</v>
      </c>
      <c r="E67" s="58" t="s">
        <v>1365</v>
      </c>
      <c r="F67" s="8" t="s">
        <v>1366</v>
      </c>
    </row>
    <row r="68" spans="2:6" ht="15.75" customHeight="1" x14ac:dyDescent="0.2">
      <c r="B68" s="3"/>
      <c r="C68" s="10"/>
      <c r="D68" s="8">
        <v>65</v>
      </c>
      <c r="E68" s="58" t="s">
        <v>1367</v>
      </c>
      <c r="F68" s="8" t="s">
        <v>1368</v>
      </c>
    </row>
    <row r="69" spans="2:6" ht="15.75" customHeight="1" x14ac:dyDescent="0.2">
      <c r="B69" s="3"/>
      <c r="C69" s="10"/>
      <c r="D69" s="8">
        <v>66</v>
      </c>
      <c r="E69" s="58" t="s">
        <v>1369</v>
      </c>
      <c r="F69" s="8" t="s">
        <v>1370</v>
      </c>
    </row>
    <row r="70" spans="2:6" ht="15.75" customHeight="1" x14ac:dyDescent="0.2">
      <c r="B70" s="3"/>
      <c r="C70" s="10"/>
      <c r="D70" s="8">
        <v>67</v>
      </c>
      <c r="E70" s="58" t="s">
        <v>1371</v>
      </c>
      <c r="F70" s="8" t="s">
        <v>1372</v>
      </c>
    </row>
    <row r="71" spans="2:6" ht="15.75" customHeight="1" x14ac:dyDescent="0.2">
      <c r="B71" s="3"/>
      <c r="C71" s="68"/>
      <c r="D71" s="8">
        <v>68</v>
      </c>
      <c r="E71" s="58" t="s">
        <v>1373</v>
      </c>
      <c r="F71" s="9" t="s">
        <v>1374</v>
      </c>
    </row>
    <row r="72" spans="2:6" ht="15.75" customHeight="1" x14ac:dyDescent="0.2">
      <c r="B72" s="3"/>
      <c r="C72" s="10"/>
      <c r="D72" s="8">
        <v>69</v>
      </c>
      <c r="E72" s="58" t="s">
        <v>1375</v>
      </c>
      <c r="F72" s="8" t="s">
        <v>1376</v>
      </c>
    </row>
    <row r="73" spans="2:6" ht="15.75" customHeight="1" x14ac:dyDescent="0.2">
      <c r="B73" s="3"/>
      <c r="C73" s="10" t="s">
        <v>1238</v>
      </c>
      <c r="D73" s="8">
        <v>70</v>
      </c>
      <c r="E73" s="58" t="s">
        <v>1377</v>
      </c>
      <c r="F73" s="8" t="s">
        <v>1378</v>
      </c>
    </row>
    <row r="74" spans="2:6" ht="15.75" customHeight="1" x14ac:dyDescent="0.2">
      <c r="B74" s="3"/>
      <c r="C74" s="10"/>
      <c r="D74" s="8">
        <v>71</v>
      </c>
      <c r="E74" s="58" t="s">
        <v>1379</v>
      </c>
      <c r="F74" s="8" t="s">
        <v>1380</v>
      </c>
    </row>
    <row r="75" spans="2:6" ht="15.75" customHeight="1" x14ac:dyDescent="0.2">
      <c r="B75" s="3"/>
      <c r="C75" s="10"/>
      <c r="D75" s="8">
        <v>72</v>
      </c>
      <c r="E75" s="58" t="s">
        <v>1381</v>
      </c>
      <c r="F75" s="8" t="s">
        <v>1382</v>
      </c>
    </row>
    <row r="76" spans="2:6" ht="15.75" customHeight="1" x14ac:dyDescent="0.2">
      <c r="B76" s="3"/>
      <c r="C76" s="10"/>
      <c r="D76" s="8">
        <v>73</v>
      </c>
      <c r="E76" s="58" t="s">
        <v>1383</v>
      </c>
      <c r="F76" s="8" t="s">
        <v>1384</v>
      </c>
    </row>
    <row r="77" spans="2:6" ht="15.75" customHeight="1" x14ac:dyDescent="0.2">
      <c r="B77" s="3"/>
      <c r="C77" s="10"/>
      <c r="D77" s="8">
        <v>74</v>
      </c>
      <c r="E77" s="58" t="s">
        <v>1385</v>
      </c>
      <c r="F77" s="8" t="s">
        <v>1386</v>
      </c>
    </row>
    <row r="78" spans="2:6" ht="15.75" customHeight="1" x14ac:dyDescent="0.2">
      <c r="B78" s="3"/>
      <c r="C78" s="10"/>
      <c r="D78" s="8">
        <v>75</v>
      </c>
      <c r="E78" s="58" t="s">
        <v>1387</v>
      </c>
      <c r="F78" s="8" t="s">
        <v>1388</v>
      </c>
    </row>
    <row r="79" spans="2:6" ht="15.75" customHeight="1" x14ac:dyDescent="0.2">
      <c r="B79" s="3"/>
      <c r="C79" s="10"/>
      <c r="D79" s="8">
        <v>76</v>
      </c>
      <c r="E79" s="58" t="s">
        <v>1389</v>
      </c>
      <c r="F79" s="8" t="s">
        <v>1390</v>
      </c>
    </row>
    <row r="80" spans="2:6" ht="15.75" customHeight="1" x14ac:dyDescent="0.2">
      <c r="B80" s="3"/>
      <c r="C80" s="68"/>
      <c r="D80" s="8">
        <v>77</v>
      </c>
      <c r="E80" s="58" t="s">
        <v>1391</v>
      </c>
      <c r="F80" s="9" t="s">
        <v>1392</v>
      </c>
    </row>
    <row r="81" spans="2:6" ht="15.75" customHeight="1" x14ac:dyDescent="0.2">
      <c r="B81" s="3"/>
      <c r="C81" s="10"/>
      <c r="D81" s="8">
        <v>78</v>
      </c>
      <c r="E81" s="58" t="s">
        <v>1393</v>
      </c>
      <c r="F81" s="8" t="s">
        <v>1394</v>
      </c>
    </row>
    <row r="82" spans="2:6" ht="15.75" customHeight="1" x14ac:dyDescent="0.2">
      <c r="B82" s="3"/>
      <c r="C82" s="10"/>
      <c r="D82" s="8">
        <v>79</v>
      </c>
      <c r="E82" s="58" t="s">
        <v>1395</v>
      </c>
      <c r="F82" s="8" t="s">
        <v>1396</v>
      </c>
    </row>
    <row r="83" spans="2:6" ht="15.75" customHeight="1" x14ac:dyDescent="0.2">
      <c r="B83" s="3"/>
      <c r="C83" s="10"/>
      <c r="D83" s="8">
        <v>80</v>
      </c>
      <c r="E83" s="58" t="s">
        <v>1397</v>
      </c>
      <c r="F83" s="8" t="s">
        <v>1398</v>
      </c>
    </row>
    <row r="84" spans="2:6" ht="15.75" customHeight="1" x14ac:dyDescent="0.2">
      <c r="B84" s="3"/>
      <c r="C84" s="10"/>
      <c r="D84" s="8">
        <v>81</v>
      </c>
      <c r="E84" s="58" t="s">
        <v>1399</v>
      </c>
      <c r="F84" s="8" t="s">
        <v>1400</v>
      </c>
    </row>
    <row r="85" spans="2:6" ht="15.75" customHeight="1" x14ac:dyDescent="0.2">
      <c r="B85" s="3"/>
      <c r="C85" s="10"/>
      <c r="D85" s="8">
        <v>82</v>
      </c>
      <c r="E85" s="58" t="s">
        <v>1401</v>
      </c>
      <c r="F85" s="8" t="s">
        <v>1402</v>
      </c>
    </row>
    <row r="86" spans="2:6" ht="15.75" customHeight="1" x14ac:dyDescent="0.2">
      <c r="B86" s="3"/>
      <c r="C86" s="68"/>
      <c r="D86" s="8">
        <v>83</v>
      </c>
      <c r="E86" s="58" t="s">
        <v>1403</v>
      </c>
      <c r="F86" s="9" t="s">
        <v>1404</v>
      </c>
    </row>
    <row r="87" spans="2:6" ht="15.75" customHeight="1" x14ac:dyDescent="0.2">
      <c r="B87" s="3"/>
      <c r="C87" s="10"/>
      <c r="D87" s="8">
        <v>84</v>
      </c>
      <c r="E87" s="58" t="s">
        <v>1405</v>
      </c>
      <c r="F87" s="8" t="s">
        <v>1406</v>
      </c>
    </row>
    <row r="88" spans="2:6" ht="15.75" customHeight="1" x14ac:dyDescent="0.2">
      <c r="B88" s="3"/>
      <c r="C88" s="10"/>
      <c r="D88" s="8">
        <v>85</v>
      </c>
      <c r="E88" s="58" t="s">
        <v>1407</v>
      </c>
      <c r="F88" s="8" t="s">
        <v>1408</v>
      </c>
    </row>
    <row r="89" spans="2:6" ht="15.75" customHeight="1" x14ac:dyDescent="0.2">
      <c r="B89" s="3"/>
      <c r="C89" s="10"/>
      <c r="D89" s="8">
        <v>86</v>
      </c>
      <c r="E89" s="58" t="s">
        <v>1409</v>
      </c>
      <c r="F89" s="8" t="s">
        <v>1410</v>
      </c>
    </row>
    <row r="90" spans="2:6" ht="15.75" customHeight="1" x14ac:dyDescent="0.2">
      <c r="B90" s="3"/>
      <c r="C90" s="10"/>
      <c r="D90" s="8">
        <v>87</v>
      </c>
      <c r="E90" s="58" t="s">
        <v>1411</v>
      </c>
      <c r="F90" s="8" t="s">
        <v>1412</v>
      </c>
    </row>
    <row r="91" spans="2:6" ht="15.75" customHeight="1" x14ac:dyDescent="0.2">
      <c r="B91" s="3"/>
      <c r="C91" s="10"/>
      <c r="D91" s="8">
        <v>88</v>
      </c>
      <c r="E91" s="58" t="s">
        <v>1413</v>
      </c>
      <c r="F91" s="8" t="s">
        <v>1414</v>
      </c>
    </row>
    <row r="92" spans="2:6" ht="15.75" customHeight="1" x14ac:dyDescent="0.2">
      <c r="B92" s="3"/>
      <c r="C92" s="10"/>
      <c r="D92" s="8">
        <v>89</v>
      </c>
      <c r="E92" s="58" t="s">
        <v>1415</v>
      </c>
      <c r="F92" s="8" t="s">
        <v>1416</v>
      </c>
    </row>
    <row r="93" spans="2:6" ht="15.75" customHeight="1" x14ac:dyDescent="0.2">
      <c r="B93" s="3"/>
      <c r="C93" s="68"/>
      <c r="D93" s="8">
        <v>90</v>
      </c>
      <c r="E93" s="58" t="s">
        <v>1417</v>
      </c>
      <c r="F93" s="9" t="s">
        <v>1418</v>
      </c>
    </row>
    <row r="94" spans="2:6" x14ac:dyDescent="0.2">
      <c r="C94" s="6"/>
      <c r="D94" s="61"/>
      <c r="E94" s="61"/>
      <c r="F94" s="7"/>
    </row>
  </sheetData>
  <sheetProtection algorithmName="SHA-512" hashValue="keZXUmQzPNSkbXFBTYrZTokyhLB70bcgTz3fJX2DxJDUwkESF/dXUpzuVsfX5gtC58NcbHV/K05msu71mOA7PA==" saltValue="nDda7CzqmPliQlShFTd+Cg=="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opLeftCell="A15" zoomScale="109" zoomScaleNormal="90" workbookViewId="0">
      <selection activeCell="D5" sqref="D5"/>
    </sheetView>
  </sheetViews>
  <sheetFormatPr baseColWidth="10" defaultColWidth="10.83203125" defaultRowHeight="16" x14ac:dyDescent="0.2"/>
  <cols>
    <col min="1" max="1" width="10.83203125" style="13" customWidth="1"/>
    <col min="2" max="2" width="8.83203125" style="13" customWidth="1"/>
    <col min="3" max="3" width="27.5" style="13" customWidth="1"/>
    <col min="4" max="4" width="28" style="13" customWidth="1"/>
    <col min="5" max="5" width="51.1640625" style="53" customWidth="1"/>
    <col min="6" max="6" width="22.83203125" style="13" customWidth="1"/>
    <col min="7" max="8" width="10.83203125" style="13" customWidth="1"/>
    <col min="9" max="9" width="44" style="13" customWidth="1"/>
    <col min="10" max="11" width="10.83203125" style="13" customWidth="1"/>
    <col min="12" max="16384" width="10.83203125" style="13"/>
  </cols>
  <sheetData>
    <row r="1" spans="1:10" ht="40" customHeight="1" thickBot="1" x14ac:dyDescent="0.25">
      <c r="C1" s="14"/>
      <c r="D1" s="14"/>
      <c r="E1" s="41"/>
      <c r="F1" s="14"/>
    </row>
    <row r="2" spans="1:10" ht="16" customHeight="1" thickBot="1" x14ac:dyDescent="0.25">
      <c r="A2" s="15"/>
      <c r="B2" s="16"/>
      <c r="C2" s="17" t="s">
        <v>1419</v>
      </c>
      <c r="D2" s="18" t="s">
        <v>1420</v>
      </c>
      <c r="E2" s="42" t="s">
        <v>1421</v>
      </c>
      <c r="F2" s="19" t="s">
        <v>1422</v>
      </c>
      <c r="G2" s="20"/>
    </row>
    <row r="3" spans="1:10" ht="32.25" customHeight="1" x14ac:dyDescent="0.2">
      <c r="A3" s="15"/>
      <c r="B3" s="685" t="s">
        <v>1423</v>
      </c>
      <c r="C3" s="21" t="s">
        <v>1424</v>
      </c>
      <c r="D3" s="71" t="s">
        <v>1425</v>
      </c>
      <c r="E3" s="43" t="s">
        <v>1426</v>
      </c>
      <c r="F3" s="22" t="s">
        <v>1427</v>
      </c>
      <c r="G3" s="20"/>
    </row>
    <row r="4" spans="1:10" ht="29.25" customHeight="1" x14ac:dyDescent="0.2">
      <c r="A4" s="15"/>
      <c r="B4" s="683"/>
      <c r="C4" s="23" t="s">
        <v>1428</v>
      </c>
      <c r="D4" s="72" t="s">
        <v>1429</v>
      </c>
      <c r="E4" s="44" t="s">
        <v>1430</v>
      </c>
      <c r="F4" s="24" t="s">
        <v>1431</v>
      </c>
      <c r="G4" s="20"/>
    </row>
    <row r="5" spans="1:10" ht="72.75" customHeight="1" x14ac:dyDescent="0.2">
      <c r="A5" s="15"/>
      <c r="B5" s="683"/>
      <c r="C5" s="23" t="s">
        <v>1432</v>
      </c>
      <c r="D5" s="72" t="s">
        <v>1433</v>
      </c>
      <c r="E5" s="44" t="s">
        <v>1434</v>
      </c>
      <c r="F5" s="24" t="s">
        <v>1433</v>
      </c>
      <c r="G5" s="20"/>
    </row>
    <row r="6" spans="1:10" ht="76" customHeight="1" x14ac:dyDescent="0.2">
      <c r="A6" s="15"/>
      <c r="B6" s="683"/>
      <c r="C6" s="23" t="s">
        <v>1435</v>
      </c>
      <c r="D6" s="72" t="s">
        <v>1436</v>
      </c>
      <c r="E6" s="45" t="s">
        <v>1437</v>
      </c>
      <c r="F6" s="25" t="s">
        <v>1438</v>
      </c>
      <c r="G6" s="20"/>
      <c r="H6" s="73"/>
    </row>
    <row r="7" spans="1:10" ht="76" customHeight="1" x14ac:dyDescent="0.2">
      <c r="A7" s="15"/>
      <c r="B7" s="683"/>
      <c r="C7" s="23" t="s">
        <v>1439</v>
      </c>
      <c r="D7" s="72" t="s">
        <v>1440</v>
      </c>
      <c r="E7" s="45" t="s">
        <v>1441</v>
      </c>
      <c r="F7" s="25" t="s">
        <v>1442</v>
      </c>
      <c r="G7" s="20"/>
    </row>
    <row r="8" spans="1:10" ht="76" customHeight="1" x14ac:dyDescent="0.2">
      <c r="A8" s="15"/>
      <c r="B8" s="683"/>
      <c r="C8" s="29" t="s">
        <v>1443</v>
      </c>
      <c r="D8" s="72" t="s">
        <v>1444</v>
      </c>
      <c r="E8" s="67" t="s">
        <v>1445</v>
      </c>
      <c r="F8" s="25" t="s">
        <v>1446</v>
      </c>
      <c r="G8" s="20"/>
    </row>
    <row r="9" spans="1:10" ht="50.25" customHeight="1" thickBot="1" x14ac:dyDescent="0.25">
      <c r="A9" s="15"/>
      <c r="B9" s="680"/>
      <c r="C9" s="70" t="s">
        <v>1447</v>
      </c>
      <c r="D9" s="74"/>
      <c r="E9" s="63" t="s">
        <v>1448</v>
      </c>
      <c r="F9" s="69">
        <v>0.2</v>
      </c>
      <c r="G9" s="20"/>
    </row>
    <row r="10" spans="1:10" ht="32.25" customHeight="1" x14ac:dyDescent="0.2">
      <c r="A10" s="15"/>
      <c r="B10" s="685" t="s">
        <v>1449</v>
      </c>
      <c r="C10" s="27" t="s">
        <v>1450</v>
      </c>
      <c r="D10" s="75" t="s">
        <v>1451</v>
      </c>
      <c r="E10" s="47" t="s">
        <v>1452</v>
      </c>
      <c r="F10" s="28" t="s">
        <v>1451</v>
      </c>
      <c r="G10" s="20"/>
    </row>
    <row r="11" spans="1:10" ht="94" customHeight="1" x14ac:dyDescent="0.2">
      <c r="A11" s="15"/>
      <c r="B11" s="683"/>
      <c r="C11" s="64" t="s">
        <v>1453</v>
      </c>
      <c r="D11" s="54">
        <v>50</v>
      </c>
      <c r="E11" s="65" t="s">
        <v>1454</v>
      </c>
      <c r="F11" s="66">
        <v>5</v>
      </c>
      <c r="G11" s="20"/>
      <c r="I11" s="14"/>
    </row>
    <row r="12" spans="1:10" ht="158.25" customHeight="1" x14ac:dyDescent="0.2">
      <c r="A12" s="15"/>
      <c r="B12" s="683"/>
      <c r="C12" s="23" t="s">
        <v>1455</v>
      </c>
      <c r="D12" s="76">
        <v>5000000</v>
      </c>
      <c r="E12" s="45" t="s">
        <v>1456</v>
      </c>
      <c r="F12" s="55">
        <v>5000000</v>
      </c>
      <c r="G12" s="20"/>
      <c r="H12" s="15"/>
      <c r="I12" s="56"/>
      <c r="J12" s="20"/>
    </row>
    <row r="13" spans="1:10" ht="116.25" customHeight="1" x14ac:dyDescent="0.2">
      <c r="A13" s="15"/>
      <c r="B13" s="683"/>
      <c r="C13" s="64" t="s">
        <v>1457</v>
      </c>
      <c r="D13" s="76">
        <v>2500000</v>
      </c>
      <c r="E13" s="67" t="s">
        <v>1458</v>
      </c>
      <c r="F13" s="55">
        <v>1200000</v>
      </c>
      <c r="G13" s="20"/>
      <c r="I13" s="40"/>
    </row>
    <row r="14" spans="1:10" ht="50.25" customHeight="1" x14ac:dyDescent="0.2">
      <c r="A14" s="15"/>
      <c r="B14" s="683"/>
      <c r="C14" s="29" t="s">
        <v>1459</v>
      </c>
      <c r="D14" s="82" t="s">
        <v>1460</v>
      </c>
      <c r="E14" s="45" t="s">
        <v>1461</v>
      </c>
      <c r="F14" s="25" t="s">
        <v>1462</v>
      </c>
      <c r="G14" s="20"/>
    </row>
    <row r="15" spans="1:10" ht="50.25" customHeight="1" thickBot="1" x14ac:dyDescent="0.25">
      <c r="A15" s="15"/>
      <c r="B15" s="680"/>
      <c r="C15" s="30" t="s">
        <v>1463</v>
      </c>
      <c r="D15" s="81" t="s">
        <v>1464</v>
      </c>
      <c r="E15" s="48" t="s">
        <v>1465</v>
      </c>
      <c r="F15" s="26" t="s">
        <v>1466</v>
      </c>
      <c r="G15" s="20"/>
    </row>
    <row r="16" spans="1:10" ht="5.5" customHeight="1" thickBot="1" x14ac:dyDescent="0.25">
      <c r="A16" s="15"/>
      <c r="B16" s="31"/>
      <c r="C16" s="32"/>
      <c r="D16" s="77"/>
      <c r="E16" s="46"/>
      <c r="F16" s="33"/>
      <c r="G16" s="20"/>
    </row>
    <row r="17" spans="1:7" ht="145" customHeight="1" x14ac:dyDescent="0.2">
      <c r="A17" s="15"/>
      <c r="B17" s="684" t="s">
        <v>1467</v>
      </c>
      <c r="C17" s="34" t="s">
        <v>1468</v>
      </c>
      <c r="D17" s="78">
        <v>0.91</v>
      </c>
      <c r="E17" s="49" t="s">
        <v>1469</v>
      </c>
      <c r="F17" s="35">
        <v>0.91</v>
      </c>
      <c r="G17" s="20"/>
    </row>
    <row r="18" spans="1:7" ht="145" customHeight="1" x14ac:dyDescent="0.2">
      <c r="A18" s="15"/>
      <c r="B18" s="683"/>
      <c r="C18" s="36" t="s">
        <v>1470</v>
      </c>
      <c r="D18" s="79">
        <v>0.91</v>
      </c>
      <c r="E18" s="50" t="s">
        <v>1471</v>
      </c>
      <c r="F18" s="37">
        <v>0.91</v>
      </c>
      <c r="G18" s="20"/>
    </row>
    <row r="19" spans="1:7" ht="131.25" customHeight="1" thickBot="1" x14ac:dyDescent="0.25">
      <c r="A19" s="15"/>
      <c r="B19" s="680"/>
      <c r="C19" s="38" t="s">
        <v>1472</v>
      </c>
      <c r="D19" s="80">
        <v>0.05</v>
      </c>
      <c r="E19" s="51" t="s">
        <v>1473</v>
      </c>
      <c r="F19" s="39">
        <v>0.05</v>
      </c>
      <c r="G19" s="20"/>
    </row>
    <row r="20" spans="1:7" x14ac:dyDescent="0.2">
      <c r="B20" s="40"/>
      <c r="C20" s="40"/>
      <c r="D20" s="40"/>
      <c r="E20" s="52"/>
      <c r="F20" s="40"/>
    </row>
  </sheetData>
  <sheetProtection algorithmName="SHA-512" hashValue="CdvLnQOY8o+ziHme3dCGOtXl8lyYebn9y2nk/IKyWBrW8M2xeNl2S7BOCnPwqWaAMLyC3CB458Y4riYteIKNBw==" saltValue="ZItfXca2FqD9bLvgyCCOAg==" spinCount="100000" sheet="1" formatCells="0"/>
  <mergeCells count="3">
    <mergeCell ref="B17:B19"/>
    <mergeCell ref="B3:B9"/>
    <mergeCell ref="B10:B15"/>
  </mergeCells>
  <dataValidations count="2">
    <dataValidation type="list" showInputMessage="1" showErrorMessage="1" sqref="D7" xr:uid="{00000000-0002-0000-0300-000000000000}">
      <formula1>"Not yet in season,Land preparation,Planting,Early growing,Growing,Maturing,Harvesting,Recently finished "</formula1>
    </dataValidation>
    <dataValidation type="list" showInputMessage="1" showErrorMessage="1" sqref="D5" xr:uid="{00000000-0002-0000-0300-000001000000}">
      <formula1>"last year, a normal year"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75"/>
  <sheetViews>
    <sheetView workbookViewId="0"/>
  </sheetViews>
  <sheetFormatPr baseColWidth="10" defaultColWidth="8.83203125" defaultRowHeight="15" x14ac:dyDescent="0.2"/>
  <sheetData>
    <row r="1" spans="1:7" x14ac:dyDescent="0.2">
      <c r="A1" s="665" t="s">
        <v>1212</v>
      </c>
      <c r="B1" s="665" t="s">
        <v>1474</v>
      </c>
      <c r="C1" s="665" t="s">
        <v>1475</v>
      </c>
      <c r="D1" s="665" t="s">
        <v>1211</v>
      </c>
      <c r="E1" s="665" t="s">
        <v>1476</v>
      </c>
      <c r="F1" s="665" t="s">
        <v>1477</v>
      </c>
      <c r="G1" s="665" t="s">
        <v>1478</v>
      </c>
    </row>
    <row r="2" spans="1:7" x14ac:dyDescent="0.2">
      <c r="A2" t="s">
        <v>1479</v>
      </c>
      <c r="B2" t="s">
        <v>1480</v>
      </c>
      <c r="C2" t="s">
        <v>1481</v>
      </c>
      <c r="D2" t="s">
        <v>1482</v>
      </c>
      <c r="E2" t="s">
        <v>1483</v>
      </c>
      <c r="F2" t="s">
        <v>1484</v>
      </c>
      <c r="G2" t="s">
        <v>1485</v>
      </c>
    </row>
    <row r="3" spans="1:7" x14ac:dyDescent="0.2">
      <c r="A3" t="s">
        <v>1486</v>
      </c>
      <c r="B3" t="s">
        <v>1480</v>
      </c>
      <c r="C3" t="s">
        <v>1487</v>
      </c>
      <c r="D3" t="s">
        <v>1488</v>
      </c>
      <c r="E3" t="s">
        <v>1489</v>
      </c>
      <c r="F3" t="s">
        <v>1484</v>
      </c>
      <c r="G3" t="s">
        <v>1485</v>
      </c>
    </row>
    <row r="4" spans="1:7" x14ac:dyDescent="0.2">
      <c r="A4" t="s">
        <v>1490</v>
      </c>
      <c r="B4" t="s">
        <v>1480</v>
      </c>
      <c r="C4" t="s">
        <v>1491</v>
      </c>
      <c r="D4" t="s">
        <v>1488</v>
      </c>
      <c r="E4" t="s">
        <v>1489</v>
      </c>
      <c r="F4" t="s">
        <v>1484</v>
      </c>
      <c r="G4" t="s">
        <v>1485</v>
      </c>
    </row>
    <row r="5" spans="1:7" x14ac:dyDescent="0.2">
      <c r="A5" t="s">
        <v>1492</v>
      </c>
      <c r="B5" t="s">
        <v>1480</v>
      </c>
      <c r="C5" t="s">
        <v>1493</v>
      </c>
      <c r="D5" t="s">
        <v>1494</v>
      </c>
      <c r="E5" t="s">
        <v>1495</v>
      </c>
      <c r="F5" t="s">
        <v>1484</v>
      </c>
      <c r="G5" t="s">
        <v>1485</v>
      </c>
    </row>
    <row r="6" spans="1:7" x14ac:dyDescent="0.2">
      <c r="A6" t="s">
        <v>1496</v>
      </c>
      <c r="B6" t="s">
        <v>1480</v>
      </c>
      <c r="C6" t="s">
        <v>1497</v>
      </c>
      <c r="D6" t="s">
        <v>1488</v>
      </c>
      <c r="E6" t="s">
        <v>1489</v>
      </c>
      <c r="F6" t="s">
        <v>1484</v>
      </c>
      <c r="G6" t="s">
        <v>1485</v>
      </c>
    </row>
    <row r="7" spans="1:7" x14ac:dyDescent="0.2">
      <c r="A7" t="s">
        <v>1498</v>
      </c>
      <c r="B7" t="s">
        <v>1480</v>
      </c>
      <c r="C7" t="s">
        <v>1499</v>
      </c>
      <c r="D7" t="s">
        <v>1500</v>
      </c>
      <c r="E7" t="s">
        <v>1501</v>
      </c>
      <c r="F7" t="s">
        <v>1484</v>
      </c>
      <c r="G7" t="s">
        <v>1485</v>
      </c>
    </row>
    <row r="8" spans="1:7" x14ac:dyDescent="0.2">
      <c r="A8" t="s">
        <v>1502</v>
      </c>
      <c r="B8" t="s">
        <v>1480</v>
      </c>
      <c r="C8" t="s">
        <v>1503</v>
      </c>
      <c r="D8" t="s">
        <v>1500</v>
      </c>
      <c r="E8" t="s">
        <v>1501</v>
      </c>
      <c r="F8" t="s">
        <v>1484</v>
      </c>
      <c r="G8" t="s">
        <v>1485</v>
      </c>
    </row>
    <row r="9" spans="1:7" x14ac:dyDescent="0.2">
      <c r="A9" t="s">
        <v>1504</v>
      </c>
      <c r="B9" t="s">
        <v>1480</v>
      </c>
      <c r="C9" t="s">
        <v>1505</v>
      </c>
      <c r="D9" t="s">
        <v>1506</v>
      </c>
      <c r="E9" t="s">
        <v>1507</v>
      </c>
      <c r="F9" t="s">
        <v>1484</v>
      </c>
      <c r="G9" t="s">
        <v>1485</v>
      </c>
    </row>
    <row r="10" spans="1:7" x14ac:dyDescent="0.2">
      <c r="A10" t="s">
        <v>1508</v>
      </c>
      <c r="B10" t="s">
        <v>1480</v>
      </c>
      <c r="C10" t="s">
        <v>1509</v>
      </c>
      <c r="D10" t="s">
        <v>1510</v>
      </c>
      <c r="E10" t="s">
        <v>1511</v>
      </c>
      <c r="F10" t="s">
        <v>1484</v>
      </c>
      <c r="G10" t="s">
        <v>1485</v>
      </c>
    </row>
    <row r="11" spans="1:7" x14ac:dyDescent="0.2">
      <c r="A11" t="s">
        <v>1512</v>
      </c>
      <c r="B11" t="s">
        <v>1480</v>
      </c>
      <c r="C11" t="s">
        <v>1513</v>
      </c>
      <c r="D11" t="s">
        <v>1510</v>
      </c>
      <c r="E11" t="s">
        <v>1511</v>
      </c>
      <c r="F11" t="s">
        <v>1484</v>
      </c>
      <c r="G11" t="s">
        <v>1485</v>
      </c>
    </row>
    <row r="12" spans="1:7" x14ac:dyDescent="0.2">
      <c r="A12" t="s">
        <v>1514</v>
      </c>
      <c r="B12" t="s">
        <v>1480</v>
      </c>
      <c r="C12" t="s">
        <v>1515</v>
      </c>
      <c r="D12" t="s">
        <v>1516</v>
      </c>
      <c r="E12" t="s">
        <v>1517</v>
      </c>
      <c r="F12" t="s">
        <v>1484</v>
      </c>
      <c r="G12" t="s">
        <v>1485</v>
      </c>
    </row>
    <row r="13" spans="1:7" x14ac:dyDescent="0.2">
      <c r="A13" t="s">
        <v>1518</v>
      </c>
      <c r="B13" t="s">
        <v>1480</v>
      </c>
      <c r="C13" t="s">
        <v>1519</v>
      </c>
      <c r="D13" t="s">
        <v>1520</v>
      </c>
      <c r="E13" t="s">
        <v>1521</v>
      </c>
      <c r="F13" t="s">
        <v>1484</v>
      </c>
      <c r="G13" t="s">
        <v>1485</v>
      </c>
    </row>
    <row r="14" spans="1:7" x14ac:dyDescent="0.2">
      <c r="A14" t="s">
        <v>1522</v>
      </c>
      <c r="B14" t="s">
        <v>1480</v>
      </c>
      <c r="C14" t="s">
        <v>1523</v>
      </c>
      <c r="D14" t="s">
        <v>1520</v>
      </c>
      <c r="E14" t="s">
        <v>1521</v>
      </c>
      <c r="F14" t="s">
        <v>1484</v>
      </c>
      <c r="G14" t="s">
        <v>1485</v>
      </c>
    </row>
    <row r="15" spans="1:7" x14ac:dyDescent="0.2">
      <c r="A15" t="s">
        <v>1524</v>
      </c>
      <c r="B15" t="s">
        <v>1480</v>
      </c>
      <c r="C15" t="s">
        <v>1525</v>
      </c>
      <c r="D15" t="s">
        <v>1510</v>
      </c>
      <c r="E15" t="s">
        <v>1511</v>
      </c>
      <c r="F15" t="s">
        <v>1484</v>
      </c>
      <c r="G15" t="s">
        <v>1485</v>
      </c>
    </row>
    <row r="16" spans="1:7" x14ac:dyDescent="0.2">
      <c r="A16" t="s">
        <v>1526</v>
      </c>
      <c r="B16" t="s">
        <v>1480</v>
      </c>
      <c r="C16" t="s">
        <v>1527</v>
      </c>
      <c r="D16" t="s">
        <v>1528</v>
      </c>
      <c r="E16" t="s">
        <v>1529</v>
      </c>
      <c r="F16" t="s">
        <v>1484</v>
      </c>
      <c r="G16" t="s">
        <v>1485</v>
      </c>
    </row>
    <row r="17" spans="1:7" x14ac:dyDescent="0.2">
      <c r="A17" t="s">
        <v>1530</v>
      </c>
      <c r="B17" t="s">
        <v>1480</v>
      </c>
      <c r="C17" t="s">
        <v>1531</v>
      </c>
      <c r="D17" t="s">
        <v>1532</v>
      </c>
      <c r="E17" t="s">
        <v>1533</v>
      </c>
      <c r="F17" t="s">
        <v>1484</v>
      </c>
      <c r="G17" t="s">
        <v>1485</v>
      </c>
    </row>
    <row r="18" spans="1:7" x14ac:dyDescent="0.2">
      <c r="A18" t="s">
        <v>1534</v>
      </c>
      <c r="B18" t="s">
        <v>1480</v>
      </c>
      <c r="C18" t="s">
        <v>1535</v>
      </c>
      <c r="D18" t="s">
        <v>1536</v>
      </c>
      <c r="E18" t="s">
        <v>1537</v>
      </c>
      <c r="F18" t="s">
        <v>1484</v>
      </c>
      <c r="G18" t="s">
        <v>1485</v>
      </c>
    </row>
    <row r="19" spans="1:7" x14ac:dyDescent="0.2">
      <c r="A19" t="s">
        <v>1538</v>
      </c>
      <c r="B19" t="s">
        <v>1480</v>
      </c>
      <c r="C19" t="s">
        <v>1539</v>
      </c>
      <c r="D19" t="s">
        <v>1540</v>
      </c>
      <c r="E19" t="s">
        <v>1541</v>
      </c>
      <c r="F19" t="s">
        <v>1484</v>
      </c>
      <c r="G19" t="s">
        <v>1485</v>
      </c>
    </row>
    <row r="20" spans="1:7" x14ac:dyDescent="0.2">
      <c r="A20" t="s">
        <v>1542</v>
      </c>
      <c r="B20" t="s">
        <v>1480</v>
      </c>
      <c r="C20" t="s">
        <v>1543</v>
      </c>
      <c r="D20" t="s">
        <v>1488</v>
      </c>
      <c r="E20" t="s">
        <v>1489</v>
      </c>
      <c r="F20" t="s">
        <v>1484</v>
      </c>
      <c r="G20" t="s">
        <v>1485</v>
      </c>
    </row>
    <row r="21" spans="1:7" x14ac:dyDescent="0.2">
      <c r="A21" t="s">
        <v>1544</v>
      </c>
      <c r="B21" t="s">
        <v>1480</v>
      </c>
      <c r="C21" t="s">
        <v>1545</v>
      </c>
      <c r="D21" t="s">
        <v>1488</v>
      </c>
      <c r="E21" t="s">
        <v>1489</v>
      </c>
      <c r="F21" t="s">
        <v>1484</v>
      </c>
      <c r="G21" t="s">
        <v>1485</v>
      </c>
    </row>
    <row r="22" spans="1:7" x14ac:dyDescent="0.2">
      <c r="A22" t="s">
        <v>1546</v>
      </c>
      <c r="B22" t="s">
        <v>1480</v>
      </c>
      <c r="C22" t="s">
        <v>1547</v>
      </c>
      <c r="D22" t="s">
        <v>1548</v>
      </c>
      <c r="E22" t="s">
        <v>1549</v>
      </c>
      <c r="F22" t="s">
        <v>1484</v>
      </c>
      <c r="G22" t="s">
        <v>1485</v>
      </c>
    </row>
    <row r="23" spans="1:7" x14ac:dyDescent="0.2">
      <c r="A23" t="s">
        <v>1550</v>
      </c>
      <c r="B23" t="s">
        <v>1480</v>
      </c>
      <c r="C23" t="s">
        <v>1551</v>
      </c>
      <c r="D23" t="s">
        <v>1488</v>
      </c>
      <c r="E23" t="s">
        <v>1489</v>
      </c>
      <c r="F23" t="s">
        <v>1484</v>
      </c>
      <c r="G23" t="s">
        <v>1485</v>
      </c>
    </row>
    <row r="24" spans="1:7" x14ac:dyDescent="0.2">
      <c r="A24" t="s">
        <v>1552</v>
      </c>
      <c r="B24" t="s">
        <v>1480</v>
      </c>
      <c r="C24" t="s">
        <v>1553</v>
      </c>
      <c r="D24" t="s">
        <v>1554</v>
      </c>
      <c r="E24" t="s">
        <v>1555</v>
      </c>
      <c r="F24" t="s">
        <v>1484</v>
      </c>
      <c r="G24" t="s">
        <v>1485</v>
      </c>
    </row>
    <row r="25" spans="1:7" x14ac:dyDescent="0.2">
      <c r="A25" t="s">
        <v>1556</v>
      </c>
      <c r="B25" t="s">
        <v>1480</v>
      </c>
      <c r="C25" t="s">
        <v>1557</v>
      </c>
      <c r="D25" t="s">
        <v>1516</v>
      </c>
      <c r="E25" t="s">
        <v>1517</v>
      </c>
      <c r="F25" t="s">
        <v>1484</v>
      </c>
      <c r="G25" t="s">
        <v>1485</v>
      </c>
    </row>
    <row r="26" spans="1:7" x14ac:dyDescent="0.2">
      <c r="A26" t="s">
        <v>1558</v>
      </c>
      <c r="B26" t="s">
        <v>1480</v>
      </c>
      <c r="C26" t="s">
        <v>1559</v>
      </c>
      <c r="D26" t="s">
        <v>1516</v>
      </c>
      <c r="E26" t="s">
        <v>1517</v>
      </c>
      <c r="F26" t="s">
        <v>1484</v>
      </c>
      <c r="G26" t="s">
        <v>1485</v>
      </c>
    </row>
    <row r="27" spans="1:7" x14ac:dyDescent="0.2">
      <c r="A27" t="s">
        <v>1560</v>
      </c>
      <c r="B27" t="s">
        <v>1480</v>
      </c>
      <c r="C27" t="s">
        <v>1561</v>
      </c>
      <c r="D27" t="s">
        <v>1562</v>
      </c>
      <c r="E27" t="s">
        <v>1563</v>
      </c>
      <c r="F27" t="s">
        <v>1484</v>
      </c>
      <c r="G27" t="s">
        <v>1485</v>
      </c>
    </row>
    <row r="28" spans="1:7" x14ac:dyDescent="0.2">
      <c r="A28" t="s">
        <v>1564</v>
      </c>
      <c r="B28" t="s">
        <v>1480</v>
      </c>
      <c r="C28" t="s">
        <v>1565</v>
      </c>
      <c r="D28" t="s">
        <v>1548</v>
      </c>
      <c r="E28" t="s">
        <v>1549</v>
      </c>
      <c r="F28" t="s">
        <v>1484</v>
      </c>
      <c r="G28" t="s">
        <v>1485</v>
      </c>
    </row>
    <row r="29" spans="1:7" x14ac:dyDescent="0.2">
      <c r="A29" t="s">
        <v>1566</v>
      </c>
      <c r="B29" t="s">
        <v>1480</v>
      </c>
      <c r="C29" t="s">
        <v>1567</v>
      </c>
      <c r="D29" t="s">
        <v>1568</v>
      </c>
      <c r="E29" t="s">
        <v>1569</v>
      </c>
      <c r="F29" t="s">
        <v>1484</v>
      </c>
      <c r="G29" t="s">
        <v>1485</v>
      </c>
    </row>
    <row r="30" spans="1:7" x14ac:dyDescent="0.2">
      <c r="A30" t="s">
        <v>1570</v>
      </c>
      <c r="B30" t="s">
        <v>1480</v>
      </c>
      <c r="C30" t="s">
        <v>1571</v>
      </c>
      <c r="D30" t="s">
        <v>1572</v>
      </c>
      <c r="E30" t="s">
        <v>1573</v>
      </c>
      <c r="F30" t="s">
        <v>1484</v>
      </c>
      <c r="G30" t="s">
        <v>1485</v>
      </c>
    </row>
    <row r="31" spans="1:7" x14ac:dyDescent="0.2">
      <c r="A31" t="s">
        <v>1574</v>
      </c>
      <c r="B31" t="s">
        <v>1480</v>
      </c>
      <c r="C31" t="s">
        <v>1575</v>
      </c>
      <c r="D31" t="s">
        <v>1576</v>
      </c>
      <c r="E31" t="s">
        <v>1577</v>
      </c>
      <c r="F31" t="s">
        <v>1484</v>
      </c>
      <c r="G31" t="s">
        <v>1485</v>
      </c>
    </row>
    <row r="32" spans="1:7" x14ac:dyDescent="0.2">
      <c r="A32" t="s">
        <v>1578</v>
      </c>
      <c r="B32" t="s">
        <v>1480</v>
      </c>
      <c r="C32" t="s">
        <v>1579</v>
      </c>
      <c r="D32" t="s">
        <v>1576</v>
      </c>
      <c r="E32" t="s">
        <v>1577</v>
      </c>
      <c r="F32" t="s">
        <v>1484</v>
      </c>
      <c r="G32" t="s">
        <v>1485</v>
      </c>
    </row>
    <row r="33" spans="1:7" x14ac:dyDescent="0.2">
      <c r="A33" t="s">
        <v>1580</v>
      </c>
      <c r="B33" t="s">
        <v>1480</v>
      </c>
      <c r="C33" t="s">
        <v>1581</v>
      </c>
      <c r="D33" t="s">
        <v>1488</v>
      </c>
      <c r="E33" t="s">
        <v>1489</v>
      </c>
      <c r="F33" t="s">
        <v>1484</v>
      </c>
      <c r="G33" t="s">
        <v>1485</v>
      </c>
    </row>
    <row r="34" spans="1:7" x14ac:dyDescent="0.2">
      <c r="A34" t="s">
        <v>1582</v>
      </c>
      <c r="B34" t="s">
        <v>1480</v>
      </c>
      <c r="C34" t="s">
        <v>1583</v>
      </c>
      <c r="D34" t="s">
        <v>1494</v>
      </c>
      <c r="E34" t="s">
        <v>1495</v>
      </c>
      <c r="F34" t="s">
        <v>1484</v>
      </c>
      <c r="G34" t="s">
        <v>1485</v>
      </c>
    </row>
    <row r="35" spans="1:7" x14ac:dyDescent="0.2">
      <c r="A35" t="s">
        <v>1584</v>
      </c>
      <c r="B35" t="s">
        <v>1480</v>
      </c>
      <c r="C35" t="s">
        <v>1585</v>
      </c>
      <c r="D35" t="s">
        <v>1516</v>
      </c>
      <c r="E35" t="s">
        <v>1517</v>
      </c>
      <c r="F35" t="s">
        <v>1484</v>
      </c>
      <c r="G35" t="s">
        <v>1485</v>
      </c>
    </row>
    <row r="36" spans="1:7" x14ac:dyDescent="0.2">
      <c r="A36" t="s">
        <v>1586</v>
      </c>
      <c r="B36" t="s">
        <v>1480</v>
      </c>
      <c r="C36" t="s">
        <v>1587</v>
      </c>
      <c r="D36" t="s">
        <v>1562</v>
      </c>
      <c r="E36" t="s">
        <v>1563</v>
      </c>
      <c r="F36" t="s">
        <v>1484</v>
      </c>
      <c r="G36" t="s">
        <v>1485</v>
      </c>
    </row>
    <row r="37" spans="1:7" x14ac:dyDescent="0.2">
      <c r="A37" t="s">
        <v>1588</v>
      </c>
      <c r="B37" t="s">
        <v>1480</v>
      </c>
      <c r="C37" t="s">
        <v>1589</v>
      </c>
      <c r="D37" t="s">
        <v>1562</v>
      </c>
      <c r="E37" t="s">
        <v>1563</v>
      </c>
      <c r="F37" t="s">
        <v>1484</v>
      </c>
      <c r="G37" t="s">
        <v>1485</v>
      </c>
    </row>
    <row r="38" spans="1:7" x14ac:dyDescent="0.2">
      <c r="A38" t="s">
        <v>1590</v>
      </c>
      <c r="B38" t="s">
        <v>1480</v>
      </c>
      <c r="C38" t="s">
        <v>1591</v>
      </c>
      <c r="D38" t="s">
        <v>1562</v>
      </c>
      <c r="E38" t="s">
        <v>1563</v>
      </c>
      <c r="F38" t="s">
        <v>1484</v>
      </c>
      <c r="G38" t="s">
        <v>1485</v>
      </c>
    </row>
    <row r="39" spans="1:7" x14ac:dyDescent="0.2">
      <c r="A39" t="s">
        <v>1592</v>
      </c>
      <c r="B39" t="s">
        <v>1480</v>
      </c>
      <c r="C39" t="s">
        <v>1593</v>
      </c>
      <c r="D39" t="s">
        <v>1562</v>
      </c>
      <c r="E39" t="s">
        <v>1563</v>
      </c>
      <c r="F39" t="s">
        <v>1484</v>
      </c>
      <c r="G39" t="s">
        <v>1485</v>
      </c>
    </row>
    <row r="40" spans="1:7" x14ac:dyDescent="0.2">
      <c r="A40" t="s">
        <v>1594</v>
      </c>
      <c r="B40" t="s">
        <v>1480</v>
      </c>
      <c r="C40" t="s">
        <v>1595</v>
      </c>
      <c r="D40" t="s">
        <v>1568</v>
      </c>
      <c r="E40" t="s">
        <v>1569</v>
      </c>
      <c r="F40" t="s">
        <v>1484</v>
      </c>
      <c r="G40" t="s">
        <v>1485</v>
      </c>
    </row>
    <row r="41" spans="1:7" x14ac:dyDescent="0.2">
      <c r="A41" t="s">
        <v>1596</v>
      </c>
      <c r="B41" t="s">
        <v>1480</v>
      </c>
      <c r="C41" t="s">
        <v>1597</v>
      </c>
      <c r="D41" t="s">
        <v>1598</v>
      </c>
      <c r="E41" t="s">
        <v>1599</v>
      </c>
      <c r="F41" t="s">
        <v>1484</v>
      </c>
      <c r="G41" t="s">
        <v>1485</v>
      </c>
    </row>
    <row r="42" spans="1:7" x14ac:dyDescent="0.2">
      <c r="A42" t="s">
        <v>1600</v>
      </c>
      <c r="B42" t="s">
        <v>1480</v>
      </c>
      <c r="C42" t="s">
        <v>1601</v>
      </c>
      <c r="D42" t="s">
        <v>1540</v>
      </c>
      <c r="E42" t="s">
        <v>1541</v>
      </c>
      <c r="F42" t="s">
        <v>1484</v>
      </c>
      <c r="G42" t="s">
        <v>1485</v>
      </c>
    </row>
    <row r="43" spans="1:7" x14ac:dyDescent="0.2">
      <c r="A43" t="s">
        <v>1602</v>
      </c>
      <c r="B43" t="s">
        <v>1480</v>
      </c>
      <c r="C43" t="s">
        <v>1603</v>
      </c>
      <c r="D43" t="s">
        <v>1604</v>
      </c>
      <c r="E43" t="s">
        <v>1605</v>
      </c>
      <c r="F43" t="s">
        <v>1484</v>
      </c>
      <c r="G43" t="s">
        <v>1485</v>
      </c>
    </row>
    <row r="44" spans="1:7" x14ac:dyDescent="0.2">
      <c r="A44" t="s">
        <v>1606</v>
      </c>
      <c r="B44" t="s">
        <v>1480</v>
      </c>
      <c r="C44" t="s">
        <v>1607</v>
      </c>
      <c r="D44" t="s">
        <v>1604</v>
      </c>
      <c r="E44" t="s">
        <v>1605</v>
      </c>
      <c r="F44" t="s">
        <v>1484</v>
      </c>
      <c r="G44" t="s">
        <v>1485</v>
      </c>
    </row>
    <row r="45" spans="1:7" x14ac:dyDescent="0.2">
      <c r="A45" t="s">
        <v>1608</v>
      </c>
      <c r="B45" t="s">
        <v>1480</v>
      </c>
      <c r="C45" t="s">
        <v>1609</v>
      </c>
      <c r="D45" t="s">
        <v>1604</v>
      </c>
      <c r="E45" t="s">
        <v>1605</v>
      </c>
      <c r="F45" t="s">
        <v>1484</v>
      </c>
      <c r="G45" t="s">
        <v>1485</v>
      </c>
    </row>
    <row r="46" spans="1:7" x14ac:dyDescent="0.2">
      <c r="A46" t="s">
        <v>1610</v>
      </c>
      <c r="B46" t="s">
        <v>1480</v>
      </c>
      <c r="C46" t="s">
        <v>1611</v>
      </c>
      <c r="D46" t="s">
        <v>1494</v>
      </c>
      <c r="E46" t="s">
        <v>1495</v>
      </c>
      <c r="F46" t="s">
        <v>1484</v>
      </c>
      <c r="G46" t="s">
        <v>1485</v>
      </c>
    </row>
    <row r="47" spans="1:7" x14ac:dyDescent="0.2">
      <c r="A47" t="s">
        <v>1612</v>
      </c>
      <c r="B47" t="s">
        <v>1480</v>
      </c>
      <c r="C47" t="s">
        <v>1613</v>
      </c>
      <c r="D47" t="s">
        <v>1572</v>
      </c>
      <c r="E47" t="s">
        <v>1573</v>
      </c>
      <c r="F47" t="s">
        <v>1484</v>
      </c>
      <c r="G47" t="s">
        <v>1485</v>
      </c>
    </row>
    <row r="48" spans="1:7" x14ac:dyDescent="0.2">
      <c r="A48" t="s">
        <v>1614</v>
      </c>
      <c r="B48" t="s">
        <v>1480</v>
      </c>
      <c r="C48" t="s">
        <v>1615</v>
      </c>
      <c r="D48" t="s">
        <v>1562</v>
      </c>
      <c r="E48" t="s">
        <v>1563</v>
      </c>
      <c r="F48" t="s">
        <v>1484</v>
      </c>
      <c r="G48" t="s">
        <v>1485</v>
      </c>
    </row>
    <row r="49" spans="1:7" x14ac:dyDescent="0.2">
      <c r="A49" t="s">
        <v>1616</v>
      </c>
      <c r="B49" t="s">
        <v>1480</v>
      </c>
      <c r="C49" t="s">
        <v>1617</v>
      </c>
      <c r="D49" t="s">
        <v>1510</v>
      </c>
      <c r="E49" t="s">
        <v>1511</v>
      </c>
      <c r="F49" t="s">
        <v>1484</v>
      </c>
      <c r="G49" t="s">
        <v>1485</v>
      </c>
    </row>
    <row r="50" spans="1:7" x14ac:dyDescent="0.2">
      <c r="A50" t="s">
        <v>1616</v>
      </c>
      <c r="B50" t="s">
        <v>1480</v>
      </c>
      <c r="C50" t="s">
        <v>1618</v>
      </c>
      <c r="D50" t="s">
        <v>1500</v>
      </c>
      <c r="E50" t="s">
        <v>1501</v>
      </c>
      <c r="F50" t="s">
        <v>1484</v>
      </c>
      <c r="G50" t="s">
        <v>1485</v>
      </c>
    </row>
    <row r="51" spans="1:7" x14ac:dyDescent="0.2">
      <c r="A51" t="s">
        <v>1619</v>
      </c>
      <c r="B51" t="s">
        <v>1480</v>
      </c>
      <c r="C51" t="s">
        <v>1620</v>
      </c>
      <c r="D51" t="s">
        <v>1520</v>
      </c>
      <c r="E51" t="s">
        <v>1521</v>
      </c>
      <c r="F51" t="s">
        <v>1484</v>
      </c>
      <c r="G51" t="s">
        <v>1485</v>
      </c>
    </row>
    <row r="52" spans="1:7" x14ac:dyDescent="0.2">
      <c r="A52" t="s">
        <v>1621</v>
      </c>
      <c r="B52" t="s">
        <v>1480</v>
      </c>
      <c r="C52" t="s">
        <v>1622</v>
      </c>
      <c r="D52" t="s">
        <v>1510</v>
      </c>
      <c r="E52" t="s">
        <v>1511</v>
      </c>
      <c r="F52" t="s">
        <v>1484</v>
      </c>
      <c r="G52" t="s">
        <v>1485</v>
      </c>
    </row>
    <row r="53" spans="1:7" x14ac:dyDescent="0.2">
      <c r="A53" t="s">
        <v>1623</v>
      </c>
      <c r="B53" t="s">
        <v>1480</v>
      </c>
      <c r="C53" t="s">
        <v>1624</v>
      </c>
      <c r="D53" t="s">
        <v>1510</v>
      </c>
      <c r="E53" t="s">
        <v>1511</v>
      </c>
      <c r="F53" t="s">
        <v>1484</v>
      </c>
      <c r="G53" t="s">
        <v>1485</v>
      </c>
    </row>
    <row r="54" spans="1:7" x14ac:dyDescent="0.2">
      <c r="A54" t="s">
        <v>1625</v>
      </c>
      <c r="B54" t="s">
        <v>1480</v>
      </c>
      <c r="C54" t="s">
        <v>1626</v>
      </c>
      <c r="D54" t="s">
        <v>1510</v>
      </c>
      <c r="E54" t="s">
        <v>1511</v>
      </c>
      <c r="F54" t="s">
        <v>1484</v>
      </c>
      <c r="G54" t="s">
        <v>1485</v>
      </c>
    </row>
    <row r="55" spans="1:7" x14ac:dyDescent="0.2">
      <c r="A55" t="s">
        <v>1627</v>
      </c>
      <c r="B55" t="s">
        <v>1480</v>
      </c>
      <c r="C55" t="s">
        <v>1628</v>
      </c>
      <c r="D55" t="s">
        <v>1510</v>
      </c>
      <c r="E55" t="s">
        <v>1511</v>
      </c>
      <c r="F55" t="s">
        <v>1484</v>
      </c>
      <c r="G55" t="s">
        <v>1485</v>
      </c>
    </row>
    <row r="56" spans="1:7" x14ac:dyDescent="0.2">
      <c r="A56" t="s">
        <v>1629</v>
      </c>
      <c r="B56" t="s">
        <v>1480</v>
      </c>
      <c r="C56" t="s">
        <v>1630</v>
      </c>
      <c r="D56" t="s">
        <v>1510</v>
      </c>
      <c r="E56" t="s">
        <v>1511</v>
      </c>
      <c r="F56" t="s">
        <v>1484</v>
      </c>
      <c r="G56" t="s">
        <v>1485</v>
      </c>
    </row>
    <row r="57" spans="1:7" x14ac:dyDescent="0.2">
      <c r="A57" t="s">
        <v>1631</v>
      </c>
      <c r="B57" t="s">
        <v>1480</v>
      </c>
      <c r="C57" t="s">
        <v>1632</v>
      </c>
      <c r="D57" t="s">
        <v>1548</v>
      </c>
      <c r="E57" t="s">
        <v>1549</v>
      </c>
      <c r="F57" t="s">
        <v>1484</v>
      </c>
      <c r="G57" t="s">
        <v>1485</v>
      </c>
    </row>
    <row r="58" spans="1:7" x14ac:dyDescent="0.2">
      <c r="A58" t="s">
        <v>1633</v>
      </c>
      <c r="B58" t="s">
        <v>1480</v>
      </c>
      <c r="C58" t="s">
        <v>1634</v>
      </c>
      <c r="D58" t="s">
        <v>1516</v>
      </c>
      <c r="E58" t="s">
        <v>1517</v>
      </c>
      <c r="F58" t="s">
        <v>1484</v>
      </c>
      <c r="G58" t="s">
        <v>1485</v>
      </c>
    </row>
    <row r="59" spans="1:7" x14ac:dyDescent="0.2">
      <c r="A59" t="s">
        <v>1635</v>
      </c>
      <c r="B59" t="s">
        <v>1480</v>
      </c>
      <c r="C59" t="s">
        <v>1636</v>
      </c>
      <c r="D59" t="s">
        <v>1637</v>
      </c>
      <c r="E59" t="s">
        <v>1638</v>
      </c>
      <c r="F59" t="s">
        <v>1484</v>
      </c>
      <c r="G59" t="s">
        <v>1485</v>
      </c>
    </row>
    <row r="60" spans="1:7" x14ac:dyDescent="0.2">
      <c r="A60" t="s">
        <v>1639</v>
      </c>
      <c r="B60" t="s">
        <v>1480</v>
      </c>
      <c r="C60" t="s">
        <v>1640</v>
      </c>
      <c r="D60" t="s">
        <v>1598</v>
      </c>
      <c r="E60" t="s">
        <v>1599</v>
      </c>
      <c r="F60" t="s">
        <v>1484</v>
      </c>
      <c r="G60" t="s">
        <v>1485</v>
      </c>
    </row>
    <row r="61" spans="1:7" x14ac:dyDescent="0.2">
      <c r="A61" t="s">
        <v>1641</v>
      </c>
      <c r="B61" t="s">
        <v>1480</v>
      </c>
      <c r="C61" t="s">
        <v>1642</v>
      </c>
      <c r="D61" t="s">
        <v>1598</v>
      </c>
      <c r="E61" t="s">
        <v>1599</v>
      </c>
      <c r="F61" t="s">
        <v>1484</v>
      </c>
      <c r="G61" t="s">
        <v>1485</v>
      </c>
    </row>
    <row r="62" spans="1:7" x14ac:dyDescent="0.2">
      <c r="A62" t="s">
        <v>1643</v>
      </c>
      <c r="B62" t="s">
        <v>1480</v>
      </c>
      <c r="C62" t="s">
        <v>1644</v>
      </c>
      <c r="D62" t="s">
        <v>1568</v>
      </c>
      <c r="E62" t="s">
        <v>1569</v>
      </c>
      <c r="F62" t="s">
        <v>1484</v>
      </c>
      <c r="G62" t="s">
        <v>1485</v>
      </c>
    </row>
    <row r="63" spans="1:7" x14ac:dyDescent="0.2">
      <c r="A63" t="s">
        <v>1645</v>
      </c>
      <c r="B63" t="s">
        <v>1480</v>
      </c>
      <c r="C63" t="s">
        <v>1646</v>
      </c>
      <c r="D63" t="s">
        <v>1568</v>
      </c>
      <c r="E63" t="s">
        <v>1569</v>
      </c>
      <c r="F63" t="s">
        <v>1484</v>
      </c>
      <c r="G63" t="s">
        <v>1485</v>
      </c>
    </row>
    <row r="64" spans="1:7" x14ac:dyDescent="0.2">
      <c r="A64" t="s">
        <v>1647</v>
      </c>
      <c r="B64" t="s">
        <v>1480</v>
      </c>
      <c r="C64" t="s">
        <v>1648</v>
      </c>
      <c r="D64" t="s">
        <v>1520</v>
      </c>
      <c r="E64" t="s">
        <v>1521</v>
      </c>
      <c r="F64" t="s">
        <v>1484</v>
      </c>
      <c r="G64" t="s">
        <v>1485</v>
      </c>
    </row>
    <row r="65" spans="1:7" x14ac:dyDescent="0.2">
      <c r="A65" t="s">
        <v>1649</v>
      </c>
      <c r="B65" t="s">
        <v>1480</v>
      </c>
      <c r="C65" t="s">
        <v>1650</v>
      </c>
      <c r="D65" t="s">
        <v>1488</v>
      </c>
      <c r="E65" t="s">
        <v>1489</v>
      </c>
      <c r="F65" t="s">
        <v>1484</v>
      </c>
      <c r="G65" t="s">
        <v>1485</v>
      </c>
    </row>
    <row r="66" spans="1:7" x14ac:dyDescent="0.2">
      <c r="A66" t="s">
        <v>1651</v>
      </c>
      <c r="B66" t="s">
        <v>1480</v>
      </c>
      <c r="C66" t="s">
        <v>1652</v>
      </c>
      <c r="D66" t="s">
        <v>1653</v>
      </c>
      <c r="E66" t="s">
        <v>1654</v>
      </c>
      <c r="F66" t="s">
        <v>1484</v>
      </c>
      <c r="G66" t="s">
        <v>1485</v>
      </c>
    </row>
    <row r="67" spans="1:7" x14ac:dyDescent="0.2">
      <c r="A67" t="s">
        <v>1655</v>
      </c>
      <c r="B67" t="s">
        <v>1480</v>
      </c>
      <c r="C67" t="s">
        <v>1656</v>
      </c>
      <c r="D67" t="s">
        <v>1657</v>
      </c>
      <c r="E67" t="s">
        <v>1658</v>
      </c>
      <c r="F67" t="s">
        <v>1484</v>
      </c>
      <c r="G67" t="s">
        <v>1485</v>
      </c>
    </row>
    <row r="68" spans="1:7" x14ac:dyDescent="0.2">
      <c r="A68" t="s">
        <v>1659</v>
      </c>
      <c r="B68" t="s">
        <v>1480</v>
      </c>
      <c r="C68" t="s">
        <v>1660</v>
      </c>
      <c r="D68" t="s">
        <v>1528</v>
      </c>
      <c r="E68" t="s">
        <v>1529</v>
      </c>
      <c r="F68" t="s">
        <v>1484</v>
      </c>
      <c r="G68" t="s">
        <v>1485</v>
      </c>
    </row>
    <row r="69" spans="1:7" x14ac:dyDescent="0.2">
      <c r="A69" t="s">
        <v>1661</v>
      </c>
      <c r="B69" t="s">
        <v>1480</v>
      </c>
      <c r="C69" t="s">
        <v>1662</v>
      </c>
      <c r="D69" t="s">
        <v>1528</v>
      </c>
      <c r="E69" t="s">
        <v>1529</v>
      </c>
      <c r="F69" t="s">
        <v>1484</v>
      </c>
      <c r="G69" t="s">
        <v>1485</v>
      </c>
    </row>
    <row r="70" spans="1:7" x14ac:dyDescent="0.2">
      <c r="A70" t="s">
        <v>1663</v>
      </c>
      <c r="B70" t="s">
        <v>1480</v>
      </c>
      <c r="C70" t="s">
        <v>1664</v>
      </c>
      <c r="D70" t="s">
        <v>1516</v>
      </c>
      <c r="E70" t="s">
        <v>1517</v>
      </c>
      <c r="F70" t="s">
        <v>1484</v>
      </c>
      <c r="G70" t="s">
        <v>1485</v>
      </c>
    </row>
    <row r="71" spans="1:7" x14ac:dyDescent="0.2">
      <c r="A71" t="s">
        <v>1665</v>
      </c>
      <c r="B71" t="s">
        <v>1480</v>
      </c>
      <c r="C71" t="s">
        <v>1666</v>
      </c>
      <c r="D71" t="s">
        <v>1562</v>
      </c>
      <c r="E71" t="s">
        <v>1563</v>
      </c>
      <c r="F71" t="s">
        <v>1484</v>
      </c>
      <c r="G71" t="s">
        <v>1485</v>
      </c>
    </row>
    <row r="72" spans="1:7" x14ac:dyDescent="0.2">
      <c r="A72" t="s">
        <v>1667</v>
      </c>
      <c r="B72" t="s">
        <v>1480</v>
      </c>
      <c r="C72" t="s">
        <v>1668</v>
      </c>
      <c r="D72" t="s">
        <v>1669</v>
      </c>
      <c r="E72" t="s">
        <v>1670</v>
      </c>
      <c r="F72" t="s">
        <v>1484</v>
      </c>
      <c r="G72" t="s">
        <v>1485</v>
      </c>
    </row>
    <row r="73" spans="1:7" x14ac:dyDescent="0.2">
      <c r="A73" t="s">
        <v>1671</v>
      </c>
      <c r="B73" t="s">
        <v>1480</v>
      </c>
      <c r="C73" t="s">
        <v>1672</v>
      </c>
      <c r="D73" t="s">
        <v>1494</v>
      </c>
      <c r="E73" t="s">
        <v>1495</v>
      </c>
      <c r="F73" t="s">
        <v>1484</v>
      </c>
      <c r="G73" t="s">
        <v>1485</v>
      </c>
    </row>
    <row r="74" spans="1:7" x14ac:dyDescent="0.2">
      <c r="A74" t="s">
        <v>1673</v>
      </c>
      <c r="B74" t="s">
        <v>1480</v>
      </c>
      <c r="C74" t="s">
        <v>1674</v>
      </c>
      <c r="D74" t="s">
        <v>1653</v>
      </c>
      <c r="E74" t="s">
        <v>1654</v>
      </c>
      <c r="F74" t="s">
        <v>1484</v>
      </c>
      <c r="G74" t="s">
        <v>1485</v>
      </c>
    </row>
    <row r="75" spans="1:7" x14ac:dyDescent="0.2">
      <c r="A75" t="s">
        <v>1675</v>
      </c>
      <c r="B75" t="s">
        <v>1480</v>
      </c>
      <c r="C75" t="s">
        <v>1676</v>
      </c>
      <c r="D75" t="s">
        <v>1536</v>
      </c>
      <c r="E75" t="s">
        <v>1537</v>
      </c>
      <c r="F75" t="s">
        <v>1484</v>
      </c>
      <c r="G75" t="s">
        <v>1485</v>
      </c>
    </row>
    <row r="76" spans="1:7" x14ac:dyDescent="0.2">
      <c r="A76" t="s">
        <v>1677</v>
      </c>
      <c r="B76" t="s">
        <v>1480</v>
      </c>
      <c r="C76" t="s">
        <v>1678</v>
      </c>
      <c r="D76" t="s">
        <v>1568</v>
      </c>
      <c r="E76" t="s">
        <v>1569</v>
      </c>
      <c r="F76" t="s">
        <v>1484</v>
      </c>
      <c r="G76" t="s">
        <v>1485</v>
      </c>
    </row>
    <row r="77" spans="1:7" x14ac:dyDescent="0.2">
      <c r="A77" t="s">
        <v>1679</v>
      </c>
      <c r="B77" t="s">
        <v>1480</v>
      </c>
      <c r="C77" t="s">
        <v>1680</v>
      </c>
      <c r="D77" t="s">
        <v>1554</v>
      </c>
      <c r="E77" t="s">
        <v>1555</v>
      </c>
      <c r="F77" t="s">
        <v>1484</v>
      </c>
      <c r="G77" t="s">
        <v>1485</v>
      </c>
    </row>
    <row r="78" spans="1:7" x14ac:dyDescent="0.2">
      <c r="A78" t="s">
        <v>1681</v>
      </c>
      <c r="B78" t="s">
        <v>1480</v>
      </c>
      <c r="C78" t="s">
        <v>1682</v>
      </c>
      <c r="D78" t="s">
        <v>1562</v>
      </c>
      <c r="E78" t="s">
        <v>1563</v>
      </c>
      <c r="F78" t="s">
        <v>1484</v>
      </c>
      <c r="G78" t="s">
        <v>1485</v>
      </c>
    </row>
    <row r="79" spans="1:7" x14ac:dyDescent="0.2">
      <c r="A79" t="s">
        <v>1683</v>
      </c>
      <c r="B79" t="s">
        <v>1480</v>
      </c>
      <c r="C79" t="s">
        <v>1684</v>
      </c>
      <c r="D79" t="s">
        <v>1562</v>
      </c>
      <c r="E79" t="s">
        <v>1563</v>
      </c>
      <c r="F79" t="s">
        <v>1484</v>
      </c>
      <c r="G79" t="s">
        <v>1485</v>
      </c>
    </row>
    <row r="80" spans="1:7" x14ac:dyDescent="0.2">
      <c r="A80" t="s">
        <v>1685</v>
      </c>
      <c r="B80" t="s">
        <v>1480</v>
      </c>
      <c r="C80" t="s">
        <v>1686</v>
      </c>
      <c r="D80" t="s">
        <v>1532</v>
      </c>
      <c r="E80" t="s">
        <v>1533</v>
      </c>
      <c r="F80" t="s">
        <v>1484</v>
      </c>
      <c r="G80" t="s">
        <v>1485</v>
      </c>
    </row>
    <row r="81" spans="1:7" x14ac:dyDescent="0.2">
      <c r="A81" t="s">
        <v>1687</v>
      </c>
      <c r="B81" t="s">
        <v>1480</v>
      </c>
      <c r="C81" t="s">
        <v>1688</v>
      </c>
      <c r="D81" t="s">
        <v>1657</v>
      </c>
      <c r="E81" t="s">
        <v>1658</v>
      </c>
      <c r="F81" t="s">
        <v>1484</v>
      </c>
      <c r="G81" t="s">
        <v>1485</v>
      </c>
    </row>
    <row r="82" spans="1:7" x14ac:dyDescent="0.2">
      <c r="A82" t="s">
        <v>1689</v>
      </c>
      <c r="B82" t="s">
        <v>1480</v>
      </c>
      <c r="C82" t="s">
        <v>1690</v>
      </c>
      <c r="D82" t="s">
        <v>1691</v>
      </c>
      <c r="E82" t="s">
        <v>1692</v>
      </c>
      <c r="F82" t="s">
        <v>1484</v>
      </c>
      <c r="G82" t="s">
        <v>1485</v>
      </c>
    </row>
    <row r="83" spans="1:7" x14ac:dyDescent="0.2">
      <c r="A83" t="s">
        <v>1693</v>
      </c>
      <c r="B83" t="s">
        <v>1480</v>
      </c>
      <c r="C83" t="s">
        <v>1694</v>
      </c>
      <c r="D83" t="s">
        <v>1695</v>
      </c>
      <c r="E83" t="s">
        <v>1696</v>
      </c>
      <c r="F83" t="s">
        <v>1484</v>
      </c>
      <c r="G83" t="s">
        <v>1485</v>
      </c>
    </row>
    <row r="84" spans="1:7" x14ac:dyDescent="0.2">
      <c r="A84" t="s">
        <v>1697</v>
      </c>
      <c r="B84" t="s">
        <v>1480</v>
      </c>
      <c r="C84" t="s">
        <v>1698</v>
      </c>
      <c r="D84" t="s">
        <v>1572</v>
      </c>
      <c r="E84" t="s">
        <v>1573</v>
      </c>
      <c r="F84" t="s">
        <v>1484</v>
      </c>
      <c r="G84" t="s">
        <v>1485</v>
      </c>
    </row>
    <row r="85" spans="1:7" x14ac:dyDescent="0.2">
      <c r="A85" t="s">
        <v>1699</v>
      </c>
      <c r="B85" t="s">
        <v>1480</v>
      </c>
      <c r="C85" t="s">
        <v>1700</v>
      </c>
      <c r="D85" t="s">
        <v>1572</v>
      </c>
      <c r="E85" t="s">
        <v>1573</v>
      </c>
      <c r="F85" t="s">
        <v>1484</v>
      </c>
      <c r="G85" t="s">
        <v>1485</v>
      </c>
    </row>
    <row r="86" spans="1:7" x14ac:dyDescent="0.2">
      <c r="A86" t="s">
        <v>1701</v>
      </c>
      <c r="B86" t="s">
        <v>1480</v>
      </c>
      <c r="C86" t="s">
        <v>1702</v>
      </c>
      <c r="D86" t="s">
        <v>1572</v>
      </c>
      <c r="E86" t="s">
        <v>1573</v>
      </c>
      <c r="F86" t="s">
        <v>1484</v>
      </c>
      <c r="G86" t="s">
        <v>1485</v>
      </c>
    </row>
    <row r="87" spans="1:7" x14ac:dyDescent="0.2">
      <c r="A87" t="s">
        <v>1703</v>
      </c>
      <c r="B87" t="s">
        <v>1480</v>
      </c>
      <c r="C87" t="s">
        <v>1704</v>
      </c>
      <c r="D87" t="s">
        <v>1705</v>
      </c>
      <c r="E87" t="s">
        <v>1706</v>
      </c>
      <c r="F87" t="s">
        <v>1484</v>
      </c>
      <c r="G87" t="s">
        <v>1485</v>
      </c>
    </row>
    <row r="88" spans="1:7" x14ac:dyDescent="0.2">
      <c r="A88" t="s">
        <v>1707</v>
      </c>
      <c r="B88" t="s">
        <v>1480</v>
      </c>
      <c r="C88" t="s">
        <v>1708</v>
      </c>
      <c r="D88" t="s">
        <v>1494</v>
      </c>
      <c r="E88" t="s">
        <v>1495</v>
      </c>
      <c r="F88" t="s">
        <v>1484</v>
      </c>
      <c r="G88" t="s">
        <v>1485</v>
      </c>
    </row>
    <row r="89" spans="1:7" x14ac:dyDescent="0.2">
      <c r="A89" t="s">
        <v>1709</v>
      </c>
      <c r="B89" t="s">
        <v>1480</v>
      </c>
      <c r="C89" t="s">
        <v>1710</v>
      </c>
      <c r="D89" t="s">
        <v>1711</v>
      </c>
      <c r="E89" t="s">
        <v>1712</v>
      </c>
      <c r="F89" t="s">
        <v>1484</v>
      </c>
      <c r="G89" t="s">
        <v>1485</v>
      </c>
    </row>
    <row r="90" spans="1:7" x14ac:dyDescent="0.2">
      <c r="A90" t="s">
        <v>1713</v>
      </c>
      <c r="B90" t="s">
        <v>1480</v>
      </c>
      <c r="C90" t="s">
        <v>1714</v>
      </c>
      <c r="D90" t="s">
        <v>1711</v>
      </c>
      <c r="E90" t="s">
        <v>1712</v>
      </c>
      <c r="F90" t="s">
        <v>1484</v>
      </c>
      <c r="G90" t="s">
        <v>1485</v>
      </c>
    </row>
    <row r="91" spans="1:7" x14ac:dyDescent="0.2">
      <c r="A91" t="s">
        <v>1715</v>
      </c>
      <c r="B91" t="s">
        <v>1480</v>
      </c>
      <c r="C91" t="s">
        <v>1716</v>
      </c>
      <c r="D91" t="s">
        <v>1711</v>
      </c>
      <c r="E91" t="s">
        <v>1712</v>
      </c>
      <c r="F91" t="s">
        <v>1484</v>
      </c>
      <c r="G91" t="s">
        <v>1485</v>
      </c>
    </row>
    <row r="92" spans="1:7" x14ac:dyDescent="0.2">
      <c r="A92" t="s">
        <v>1717</v>
      </c>
      <c r="B92" t="s">
        <v>1480</v>
      </c>
      <c r="C92" t="s">
        <v>1718</v>
      </c>
      <c r="D92" t="s">
        <v>1691</v>
      </c>
      <c r="E92" t="s">
        <v>1692</v>
      </c>
      <c r="F92" t="s">
        <v>1484</v>
      </c>
      <c r="G92" t="s">
        <v>1485</v>
      </c>
    </row>
    <row r="93" spans="1:7" x14ac:dyDescent="0.2">
      <c r="A93" t="s">
        <v>1719</v>
      </c>
      <c r="B93" t="s">
        <v>1480</v>
      </c>
      <c r="C93" t="s">
        <v>1720</v>
      </c>
      <c r="D93" t="s">
        <v>1657</v>
      </c>
      <c r="E93" t="s">
        <v>1658</v>
      </c>
      <c r="F93" t="s">
        <v>1484</v>
      </c>
      <c r="G93" t="s">
        <v>1485</v>
      </c>
    </row>
    <row r="94" spans="1:7" x14ac:dyDescent="0.2">
      <c r="A94" t="s">
        <v>1721</v>
      </c>
      <c r="B94" t="s">
        <v>1480</v>
      </c>
      <c r="C94" t="s">
        <v>1722</v>
      </c>
      <c r="D94" t="s">
        <v>1572</v>
      </c>
      <c r="E94" t="s">
        <v>1573</v>
      </c>
      <c r="F94" t="s">
        <v>1484</v>
      </c>
      <c r="G94" t="s">
        <v>1485</v>
      </c>
    </row>
    <row r="95" spans="1:7" x14ac:dyDescent="0.2">
      <c r="A95" t="s">
        <v>1723</v>
      </c>
      <c r="B95" t="s">
        <v>1480</v>
      </c>
      <c r="C95" t="s">
        <v>1724</v>
      </c>
      <c r="D95" t="s">
        <v>1725</v>
      </c>
      <c r="E95" t="s">
        <v>1726</v>
      </c>
      <c r="F95" t="s">
        <v>1484</v>
      </c>
      <c r="G95" t="s">
        <v>1485</v>
      </c>
    </row>
    <row r="96" spans="1:7" x14ac:dyDescent="0.2">
      <c r="A96" t="s">
        <v>1727</v>
      </c>
      <c r="B96" t="s">
        <v>1480</v>
      </c>
      <c r="C96" t="s">
        <v>1728</v>
      </c>
      <c r="D96" t="s">
        <v>1729</v>
      </c>
      <c r="E96" t="s">
        <v>1730</v>
      </c>
      <c r="F96" t="s">
        <v>1484</v>
      </c>
      <c r="G96" t="s">
        <v>1485</v>
      </c>
    </row>
    <row r="97" spans="1:7" x14ac:dyDescent="0.2">
      <c r="A97" t="s">
        <v>1731</v>
      </c>
      <c r="B97" t="s">
        <v>1480</v>
      </c>
      <c r="C97" t="s">
        <v>1732</v>
      </c>
      <c r="D97" t="s">
        <v>1482</v>
      </c>
      <c r="E97" t="s">
        <v>1483</v>
      </c>
      <c r="F97" t="s">
        <v>1484</v>
      </c>
      <c r="G97" t="s">
        <v>1485</v>
      </c>
    </row>
    <row r="98" spans="1:7" x14ac:dyDescent="0.2">
      <c r="A98" t="s">
        <v>1733</v>
      </c>
      <c r="B98" t="s">
        <v>1480</v>
      </c>
      <c r="C98" t="s">
        <v>1734</v>
      </c>
      <c r="D98" t="s">
        <v>1735</v>
      </c>
      <c r="E98" t="s">
        <v>1736</v>
      </c>
      <c r="F98" t="s">
        <v>1484</v>
      </c>
      <c r="G98" t="s">
        <v>1485</v>
      </c>
    </row>
    <row r="99" spans="1:7" x14ac:dyDescent="0.2">
      <c r="A99" t="s">
        <v>1737</v>
      </c>
      <c r="B99" t="s">
        <v>1480</v>
      </c>
      <c r="C99" t="s">
        <v>1738</v>
      </c>
      <c r="D99" t="s">
        <v>1695</v>
      </c>
      <c r="E99" t="s">
        <v>1696</v>
      </c>
      <c r="F99" t="s">
        <v>1484</v>
      </c>
      <c r="G99" t="s">
        <v>1485</v>
      </c>
    </row>
    <row r="100" spans="1:7" x14ac:dyDescent="0.2">
      <c r="A100" t="s">
        <v>1739</v>
      </c>
      <c r="B100" t="s">
        <v>1480</v>
      </c>
      <c r="C100" t="s">
        <v>1740</v>
      </c>
      <c r="D100" t="s">
        <v>1741</v>
      </c>
      <c r="E100" t="s">
        <v>1742</v>
      </c>
      <c r="F100" t="s">
        <v>1484</v>
      </c>
      <c r="G100" t="s">
        <v>1485</v>
      </c>
    </row>
    <row r="101" spans="1:7" x14ac:dyDescent="0.2">
      <c r="A101" t="s">
        <v>1743</v>
      </c>
      <c r="B101" t="s">
        <v>1480</v>
      </c>
      <c r="C101" t="s">
        <v>1744</v>
      </c>
      <c r="D101" t="s">
        <v>1572</v>
      </c>
      <c r="E101" t="s">
        <v>1573</v>
      </c>
      <c r="F101" t="s">
        <v>1484</v>
      </c>
      <c r="G101" t="s">
        <v>1485</v>
      </c>
    </row>
    <row r="102" spans="1:7" x14ac:dyDescent="0.2">
      <c r="A102" t="s">
        <v>1745</v>
      </c>
      <c r="B102" t="s">
        <v>1480</v>
      </c>
      <c r="C102" t="s">
        <v>1746</v>
      </c>
      <c r="D102" t="s">
        <v>1532</v>
      </c>
      <c r="E102" t="s">
        <v>1533</v>
      </c>
      <c r="F102" t="s">
        <v>1484</v>
      </c>
      <c r="G102" t="s">
        <v>1485</v>
      </c>
    </row>
    <row r="103" spans="1:7" x14ac:dyDescent="0.2">
      <c r="A103" t="s">
        <v>1747</v>
      </c>
      <c r="B103" t="s">
        <v>1480</v>
      </c>
      <c r="C103" t="s">
        <v>1748</v>
      </c>
      <c r="D103" t="s">
        <v>1510</v>
      </c>
      <c r="E103" t="s">
        <v>1511</v>
      </c>
      <c r="F103" t="s">
        <v>1484</v>
      </c>
      <c r="G103" t="s">
        <v>1485</v>
      </c>
    </row>
    <row r="104" spans="1:7" x14ac:dyDescent="0.2">
      <c r="A104" t="s">
        <v>1749</v>
      </c>
      <c r="B104" t="s">
        <v>1480</v>
      </c>
      <c r="C104" t="s">
        <v>1750</v>
      </c>
      <c r="D104" t="s">
        <v>1637</v>
      </c>
      <c r="E104" t="s">
        <v>1638</v>
      </c>
      <c r="F104" t="s">
        <v>1484</v>
      </c>
      <c r="G104" t="s">
        <v>1485</v>
      </c>
    </row>
    <row r="105" spans="1:7" x14ac:dyDescent="0.2">
      <c r="A105" t="s">
        <v>1751</v>
      </c>
      <c r="B105" t="s">
        <v>1480</v>
      </c>
      <c r="C105" t="s">
        <v>1752</v>
      </c>
      <c r="D105" t="s">
        <v>1532</v>
      </c>
      <c r="E105" t="s">
        <v>1533</v>
      </c>
      <c r="F105" t="s">
        <v>1484</v>
      </c>
      <c r="G105" t="s">
        <v>1485</v>
      </c>
    </row>
    <row r="106" spans="1:7" x14ac:dyDescent="0.2">
      <c r="A106" t="s">
        <v>1753</v>
      </c>
      <c r="B106" t="s">
        <v>1480</v>
      </c>
      <c r="C106" t="s">
        <v>1754</v>
      </c>
      <c r="D106" t="s">
        <v>1488</v>
      </c>
      <c r="E106" t="s">
        <v>1489</v>
      </c>
      <c r="F106" t="s">
        <v>1484</v>
      </c>
      <c r="G106" t="s">
        <v>1485</v>
      </c>
    </row>
    <row r="107" spans="1:7" x14ac:dyDescent="0.2">
      <c r="A107" t="s">
        <v>1755</v>
      </c>
      <c r="B107" t="s">
        <v>1480</v>
      </c>
      <c r="C107" t="s">
        <v>1756</v>
      </c>
      <c r="D107" t="s">
        <v>1637</v>
      </c>
      <c r="E107" t="s">
        <v>1638</v>
      </c>
      <c r="F107" t="s">
        <v>1484</v>
      </c>
      <c r="G107" t="s">
        <v>1485</v>
      </c>
    </row>
    <row r="108" spans="1:7" x14ac:dyDescent="0.2">
      <c r="A108" t="s">
        <v>1757</v>
      </c>
      <c r="B108" t="s">
        <v>1480</v>
      </c>
      <c r="C108" t="s">
        <v>1758</v>
      </c>
      <c r="D108" t="s">
        <v>1729</v>
      </c>
      <c r="E108" t="s">
        <v>1730</v>
      </c>
      <c r="F108" t="s">
        <v>1484</v>
      </c>
      <c r="G108" t="s">
        <v>1485</v>
      </c>
    </row>
    <row r="109" spans="1:7" x14ac:dyDescent="0.2">
      <c r="A109" t="s">
        <v>1759</v>
      </c>
      <c r="B109" t="s">
        <v>1480</v>
      </c>
      <c r="C109" t="s">
        <v>1760</v>
      </c>
      <c r="D109" t="s">
        <v>1568</v>
      </c>
      <c r="E109" t="s">
        <v>1569</v>
      </c>
      <c r="F109" t="s">
        <v>1484</v>
      </c>
      <c r="G109" t="s">
        <v>1485</v>
      </c>
    </row>
    <row r="110" spans="1:7" x14ac:dyDescent="0.2">
      <c r="A110" t="s">
        <v>1761</v>
      </c>
      <c r="B110" t="s">
        <v>1480</v>
      </c>
      <c r="C110" t="s">
        <v>1762</v>
      </c>
      <c r="D110" t="s">
        <v>1576</v>
      </c>
      <c r="E110" t="s">
        <v>1577</v>
      </c>
      <c r="F110" t="s">
        <v>1484</v>
      </c>
      <c r="G110" t="s">
        <v>1485</v>
      </c>
    </row>
    <row r="111" spans="1:7" x14ac:dyDescent="0.2">
      <c r="A111" t="s">
        <v>1763</v>
      </c>
      <c r="B111" t="s">
        <v>1480</v>
      </c>
      <c r="C111" t="s">
        <v>1764</v>
      </c>
      <c r="D111" t="s">
        <v>1576</v>
      </c>
      <c r="E111" t="s">
        <v>1577</v>
      </c>
      <c r="F111" t="s">
        <v>1484</v>
      </c>
      <c r="G111" t="s">
        <v>1485</v>
      </c>
    </row>
    <row r="112" spans="1:7" x14ac:dyDescent="0.2">
      <c r="A112" t="s">
        <v>1765</v>
      </c>
      <c r="B112" t="s">
        <v>1480</v>
      </c>
      <c r="C112" t="s">
        <v>1766</v>
      </c>
      <c r="D112" t="s">
        <v>1510</v>
      </c>
      <c r="E112" t="s">
        <v>1511</v>
      </c>
      <c r="F112" t="s">
        <v>1484</v>
      </c>
      <c r="G112" t="s">
        <v>1485</v>
      </c>
    </row>
    <row r="113" spans="1:7" x14ac:dyDescent="0.2">
      <c r="A113" t="s">
        <v>1767</v>
      </c>
      <c r="B113" t="s">
        <v>1480</v>
      </c>
      <c r="C113" t="s">
        <v>1768</v>
      </c>
      <c r="D113" t="s">
        <v>1528</v>
      </c>
      <c r="E113" t="s">
        <v>1529</v>
      </c>
      <c r="F113" t="s">
        <v>1484</v>
      </c>
      <c r="G113" t="s">
        <v>1485</v>
      </c>
    </row>
    <row r="114" spans="1:7" x14ac:dyDescent="0.2">
      <c r="A114" t="s">
        <v>1769</v>
      </c>
      <c r="B114" t="s">
        <v>1480</v>
      </c>
      <c r="C114" t="s">
        <v>1770</v>
      </c>
      <c r="D114" t="s">
        <v>1500</v>
      </c>
      <c r="E114" t="s">
        <v>1501</v>
      </c>
      <c r="F114" t="s">
        <v>1484</v>
      </c>
      <c r="G114" t="s">
        <v>1485</v>
      </c>
    </row>
    <row r="115" spans="1:7" x14ac:dyDescent="0.2">
      <c r="A115" t="s">
        <v>1771</v>
      </c>
      <c r="B115" t="s">
        <v>1480</v>
      </c>
      <c r="C115" t="s">
        <v>1772</v>
      </c>
      <c r="D115" t="s">
        <v>1568</v>
      </c>
      <c r="E115" t="s">
        <v>1569</v>
      </c>
      <c r="F115" t="s">
        <v>1484</v>
      </c>
      <c r="G115" t="s">
        <v>1485</v>
      </c>
    </row>
    <row r="116" spans="1:7" x14ac:dyDescent="0.2">
      <c r="A116" t="s">
        <v>1773</v>
      </c>
      <c r="B116" t="s">
        <v>1480</v>
      </c>
      <c r="C116" t="s">
        <v>1774</v>
      </c>
      <c r="D116" t="s">
        <v>1528</v>
      </c>
      <c r="E116" t="s">
        <v>1529</v>
      </c>
      <c r="F116" t="s">
        <v>1484</v>
      </c>
      <c r="G116" t="s">
        <v>1485</v>
      </c>
    </row>
    <row r="117" spans="1:7" x14ac:dyDescent="0.2">
      <c r="A117" t="s">
        <v>1775</v>
      </c>
      <c r="B117" t="s">
        <v>1480</v>
      </c>
      <c r="C117" t="s">
        <v>1776</v>
      </c>
      <c r="D117" t="s">
        <v>1528</v>
      </c>
      <c r="E117" t="s">
        <v>1529</v>
      </c>
      <c r="F117" t="s">
        <v>1484</v>
      </c>
      <c r="G117" t="s">
        <v>1485</v>
      </c>
    </row>
    <row r="118" spans="1:7" x14ac:dyDescent="0.2">
      <c r="A118" t="s">
        <v>1777</v>
      </c>
      <c r="B118" t="s">
        <v>1480</v>
      </c>
      <c r="C118" t="s">
        <v>1778</v>
      </c>
      <c r="D118" t="s">
        <v>1604</v>
      </c>
      <c r="E118" t="s">
        <v>1605</v>
      </c>
      <c r="F118" t="s">
        <v>1484</v>
      </c>
      <c r="G118" t="s">
        <v>1485</v>
      </c>
    </row>
    <row r="119" spans="1:7" x14ac:dyDescent="0.2">
      <c r="A119" t="s">
        <v>1779</v>
      </c>
      <c r="B119" t="s">
        <v>1480</v>
      </c>
      <c r="C119" t="s">
        <v>1780</v>
      </c>
      <c r="D119" t="s">
        <v>1532</v>
      </c>
      <c r="E119" t="s">
        <v>1533</v>
      </c>
      <c r="F119" t="s">
        <v>1484</v>
      </c>
      <c r="G119" t="s">
        <v>1485</v>
      </c>
    </row>
    <row r="120" spans="1:7" x14ac:dyDescent="0.2">
      <c r="A120" t="s">
        <v>1781</v>
      </c>
      <c r="B120" t="s">
        <v>1480</v>
      </c>
      <c r="C120" t="s">
        <v>1782</v>
      </c>
      <c r="D120" t="s">
        <v>1637</v>
      </c>
      <c r="E120" t="s">
        <v>1638</v>
      </c>
      <c r="F120" t="s">
        <v>1484</v>
      </c>
      <c r="G120" t="s">
        <v>1485</v>
      </c>
    </row>
    <row r="121" spans="1:7" x14ac:dyDescent="0.2">
      <c r="A121" t="s">
        <v>1783</v>
      </c>
      <c r="B121" t="s">
        <v>1480</v>
      </c>
      <c r="C121" t="s">
        <v>1784</v>
      </c>
      <c r="D121" t="s">
        <v>1516</v>
      </c>
      <c r="E121" t="s">
        <v>1517</v>
      </c>
      <c r="F121" t="s">
        <v>1484</v>
      </c>
      <c r="G121" t="s">
        <v>1485</v>
      </c>
    </row>
    <row r="122" spans="1:7" x14ac:dyDescent="0.2">
      <c r="A122" t="s">
        <v>1785</v>
      </c>
      <c r="B122" t="s">
        <v>1480</v>
      </c>
      <c r="C122" t="s">
        <v>1786</v>
      </c>
      <c r="D122" t="s">
        <v>1506</v>
      </c>
      <c r="E122" t="s">
        <v>1507</v>
      </c>
      <c r="F122" t="s">
        <v>1484</v>
      </c>
      <c r="G122" t="s">
        <v>1485</v>
      </c>
    </row>
    <row r="123" spans="1:7" x14ac:dyDescent="0.2">
      <c r="A123" t="s">
        <v>1787</v>
      </c>
      <c r="B123" t="s">
        <v>1480</v>
      </c>
      <c r="C123" t="s">
        <v>1788</v>
      </c>
      <c r="D123" t="s">
        <v>1510</v>
      </c>
      <c r="E123" t="s">
        <v>1511</v>
      </c>
      <c r="F123" t="s">
        <v>1484</v>
      </c>
      <c r="G123" t="s">
        <v>1485</v>
      </c>
    </row>
    <row r="124" spans="1:7" x14ac:dyDescent="0.2">
      <c r="A124" t="s">
        <v>1789</v>
      </c>
      <c r="B124" t="s">
        <v>1480</v>
      </c>
      <c r="C124" t="s">
        <v>1790</v>
      </c>
      <c r="D124" t="s">
        <v>1516</v>
      </c>
      <c r="E124" t="s">
        <v>1517</v>
      </c>
      <c r="F124" t="s">
        <v>1484</v>
      </c>
      <c r="G124" t="s">
        <v>1485</v>
      </c>
    </row>
    <row r="125" spans="1:7" x14ac:dyDescent="0.2">
      <c r="A125" t="s">
        <v>1791</v>
      </c>
      <c r="B125" t="s">
        <v>1480</v>
      </c>
      <c r="C125" t="s">
        <v>1792</v>
      </c>
      <c r="D125" t="s">
        <v>1510</v>
      </c>
      <c r="E125" t="s">
        <v>1511</v>
      </c>
      <c r="F125" t="s">
        <v>1484</v>
      </c>
      <c r="G125" t="s">
        <v>1485</v>
      </c>
    </row>
    <row r="126" spans="1:7" x14ac:dyDescent="0.2">
      <c r="A126" t="s">
        <v>1791</v>
      </c>
      <c r="B126" t="s">
        <v>1480</v>
      </c>
      <c r="C126" t="s">
        <v>1793</v>
      </c>
      <c r="D126" t="s">
        <v>1500</v>
      </c>
      <c r="E126" t="s">
        <v>1501</v>
      </c>
      <c r="F126" t="s">
        <v>1484</v>
      </c>
      <c r="G126" t="s">
        <v>1485</v>
      </c>
    </row>
    <row r="127" spans="1:7" x14ac:dyDescent="0.2">
      <c r="A127" t="s">
        <v>1794</v>
      </c>
      <c r="B127" t="s">
        <v>1480</v>
      </c>
      <c r="C127" t="s">
        <v>1795</v>
      </c>
      <c r="D127" t="s">
        <v>1637</v>
      </c>
      <c r="E127" t="s">
        <v>1638</v>
      </c>
      <c r="F127" t="s">
        <v>1484</v>
      </c>
      <c r="G127" t="s">
        <v>1485</v>
      </c>
    </row>
    <row r="128" spans="1:7" x14ac:dyDescent="0.2">
      <c r="A128" t="s">
        <v>1796</v>
      </c>
      <c r="B128" t="s">
        <v>1480</v>
      </c>
      <c r="C128" t="s">
        <v>1797</v>
      </c>
      <c r="D128" t="s">
        <v>1520</v>
      </c>
      <c r="E128" t="s">
        <v>1521</v>
      </c>
      <c r="F128" t="s">
        <v>1484</v>
      </c>
      <c r="G128" t="s">
        <v>1485</v>
      </c>
    </row>
    <row r="129" spans="1:7" x14ac:dyDescent="0.2">
      <c r="A129" t="s">
        <v>1798</v>
      </c>
      <c r="B129" t="s">
        <v>1480</v>
      </c>
      <c r="C129" t="s">
        <v>1799</v>
      </c>
      <c r="D129" t="s">
        <v>1562</v>
      </c>
      <c r="E129" t="s">
        <v>1563</v>
      </c>
      <c r="F129" t="s">
        <v>1484</v>
      </c>
      <c r="G129" t="s">
        <v>1485</v>
      </c>
    </row>
    <row r="130" spans="1:7" x14ac:dyDescent="0.2">
      <c r="A130" t="s">
        <v>1800</v>
      </c>
      <c r="B130" t="s">
        <v>1480</v>
      </c>
      <c r="C130" t="s">
        <v>1801</v>
      </c>
      <c r="D130" t="s">
        <v>1488</v>
      </c>
      <c r="E130" t="s">
        <v>1489</v>
      </c>
      <c r="F130" t="s">
        <v>1484</v>
      </c>
      <c r="G130" t="s">
        <v>1485</v>
      </c>
    </row>
    <row r="131" spans="1:7" x14ac:dyDescent="0.2">
      <c r="A131" t="s">
        <v>1802</v>
      </c>
      <c r="B131" t="s">
        <v>1480</v>
      </c>
      <c r="C131" t="s">
        <v>1803</v>
      </c>
      <c r="D131" t="s">
        <v>1691</v>
      </c>
      <c r="E131" t="s">
        <v>1692</v>
      </c>
      <c r="F131" t="s">
        <v>1484</v>
      </c>
      <c r="G131" t="s">
        <v>1485</v>
      </c>
    </row>
    <row r="132" spans="1:7" x14ac:dyDescent="0.2">
      <c r="A132" t="s">
        <v>1804</v>
      </c>
      <c r="B132" t="s">
        <v>1480</v>
      </c>
      <c r="C132" t="s">
        <v>1805</v>
      </c>
      <c r="D132" t="s">
        <v>1562</v>
      </c>
      <c r="E132" t="s">
        <v>1563</v>
      </c>
      <c r="F132" t="s">
        <v>1484</v>
      </c>
      <c r="G132" t="s">
        <v>1485</v>
      </c>
    </row>
    <row r="133" spans="1:7" x14ac:dyDescent="0.2">
      <c r="A133" t="s">
        <v>1806</v>
      </c>
      <c r="B133" t="s">
        <v>1480</v>
      </c>
      <c r="C133" t="s">
        <v>1807</v>
      </c>
      <c r="D133" t="s">
        <v>1500</v>
      </c>
      <c r="E133" t="s">
        <v>1501</v>
      </c>
      <c r="F133" t="s">
        <v>1484</v>
      </c>
      <c r="G133" t="s">
        <v>1485</v>
      </c>
    </row>
    <row r="134" spans="1:7" x14ac:dyDescent="0.2">
      <c r="A134" t="s">
        <v>1808</v>
      </c>
      <c r="B134" t="s">
        <v>1480</v>
      </c>
      <c r="C134" t="s">
        <v>1809</v>
      </c>
      <c r="D134" t="s">
        <v>1637</v>
      </c>
      <c r="E134" t="s">
        <v>1638</v>
      </c>
      <c r="F134" t="s">
        <v>1484</v>
      </c>
      <c r="G134" t="s">
        <v>1485</v>
      </c>
    </row>
    <row r="135" spans="1:7" x14ac:dyDescent="0.2">
      <c r="A135" t="s">
        <v>1810</v>
      </c>
      <c r="B135" t="s">
        <v>1480</v>
      </c>
      <c r="C135" t="s">
        <v>1811</v>
      </c>
      <c r="D135" t="s">
        <v>1572</v>
      </c>
      <c r="E135" t="s">
        <v>1573</v>
      </c>
      <c r="F135" t="s">
        <v>1484</v>
      </c>
      <c r="G135" t="s">
        <v>1485</v>
      </c>
    </row>
    <row r="136" spans="1:7" x14ac:dyDescent="0.2">
      <c r="A136" t="s">
        <v>1812</v>
      </c>
      <c r="B136" t="s">
        <v>1480</v>
      </c>
      <c r="C136" t="s">
        <v>1813</v>
      </c>
      <c r="D136" t="s">
        <v>1572</v>
      </c>
      <c r="E136" t="s">
        <v>1573</v>
      </c>
      <c r="F136" t="s">
        <v>1484</v>
      </c>
      <c r="G136" t="s">
        <v>1485</v>
      </c>
    </row>
    <row r="137" spans="1:7" x14ac:dyDescent="0.2">
      <c r="A137" t="s">
        <v>1814</v>
      </c>
      <c r="B137" t="s">
        <v>1480</v>
      </c>
      <c r="C137" t="s">
        <v>1815</v>
      </c>
      <c r="D137" t="s">
        <v>1500</v>
      </c>
      <c r="E137" t="s">
        <v>1501</v>
      </c>
      <c r="F137" t="s">
        <v>1484</v>
      </c>
      <c r="G137" t="s">
        <v>1485</v>
      </c>
    </row>
    <row r="138" spans="1:7" x14ac:dyDescent="0.2">
      <c r="A138" t="s">
        <v>1816</v>
      </c>
      <c r="B138" t="s">
        <v>1480</v>
      </c>
      <c r="C138" t="s">
        <v>1817</v>
      </c>
      <c r="D138" t="s">
        <v>1691</v>
      </c>
      <c r="E138" t="s">
        <v>1692</v>
      </c>
      <c r="F138" t="s">
        <v>1484</v>
      </c>
      <c r="G138" t="s">
        <v>1485</v>
      </c>
    </row>
    <row r="139" spans="1:7" x14ac:dyDescent="0.2">
      <c r="A139" t="s">
        <v>1818</v>
      </c>
      <c r="B139" t="s">
        <v>1480</v>
      </c>
      <c r="C139" t="s">
        <v>1819</v>
      </c>
      <c r="D139" t="s">
        <v>1548</v>
      </c>
      <c r="E139" t="s">
        <v>1549</v>
      </c>
      <c r="F139" t="s">
        <v>1484</v>
      </c>
      <c r="G139" t="s">
        <v>1485</v>
      </c>
    </row>
    <row r="140" spans="1:7" x14ac:dyDescent="0.2">
      <c r="A140" t="s">
        <v>1820</v>
      </c>
      <c r="B140" t="s">
        <v>1480</v>
      </c>
      <c r="C140" t="s">
        <v>1821</v>
      </c>
      <c r="D140" t="s">
        <v>1637</v>
      </c>
      <c r="E140" t="s">
        <v>1638</v>
      </c>
      <c r="F140" t="s">
        <v>1484</v>
      </c>
      <c r="G140" t="s">
        <v>1485</v>
      </c>
    </row>
    <row r="141" spans="1:7" x14ac:dyDescent="0.2">
      <c r="A141" t="s">
        <v>1822</v>
      </c>
      <c r="B141" t="s">
        <v>1480</v>
      </c>
      <c r="C141" t="s">
        <v>1823</v>
      </c>
      <c r="D141" t="s">
        <v>1637</v>
      </c>
      <c r="E141" t="s">
        <v>1638</v>
      </c>
      <c r="F141" t="s">
        <v>1484</v>
      </c>
      <c r="G141" t="s">
        <v>1485</v>
      </c>
    </row>
    <row r="142" spans="1:7" x14ac:dyDescent="0.2">
      <c r="A142" t="s">
        <v>1824</v>
      </c>
      <c r="B142" t="s">
        <v>1480</v>
      </c>
      <c r="C142" t="s">
        <v>1825</v>
      </c>
      <c r="D142" t="s">
        <v>1637</v>
      </c>
      <c r="E142" t="s">
        <v>1638</v>
      </c>
      <c r="F142" t="s">
        <v>1484</v>
      </c>
      <c r="G142" t="s">
        <v>1485</v>
      </c>
    </row>
    <row r="143" spans="1:7" x14ac:dyDescent="0.2">
      <c r="A143" t="s">
        <v>1826</v>
      </c>
      <c r="B143" t="s">
        <v>1480</v>
      </c>
      <c r="C143" t="s">
        <v>1827</v>
      </c>
      <c r="D143" t="s">
        <v>1494</v>
      </c>
      <c r="E143" t="s">
        <v>1495</v>
      </c>
      <c r="F143" t="s">
        <v>1484</v>
      </c>
      <c r="G143" t="s">
        <v>1485</v>
      </c>
    </row>
    <row r="144" spans="1:7" x14ac:dyDescent="0.2">
      <c r="A144" t="s">
        <v>1828</v>
      </c>
      <c r="B144" t="s">
        <v>1480</v>
      </c>
      <c r="C144" t="s">
        <v>1829</v>
      </c>
      <c r="D144" t="s">
        <v>1637</v>
      </c>
      <c r="E144" t="s">
        <v>1638</v>
      </c>
      <c r="F144" t="s">
        <v>1484</v>
      </c>
      <c r="G144" t="s">
        <v>1485</v>
      </c>
    </row>
    <row r="145" spans="1:7" x14ac:dyDescent="0.2">
      <c r="A145" t="s">
        <v>1830</v>
      </c>
      <c r="B145" t="s">
        <v>1480</v>
      </c>
      <c r="C145" t="s">
        <v>1831</v>
      </c>
      <c r="D145" t="s">
        <v>1637</v>
      </c>
      <c r="E145" t="s">
        <v>1638</v>
      </c>
      <c r="F145" t="s">
        <v>1484</v>
      </c>
      <c r="G145" t="s">
        <v>1485</v>
      </c>
    </row>
    <row r="146" spans="1:7" x14ac:dyDescent="0.2">
      <c r="A146" t="s">
        <v>1832</v>
      </c>
      <c r="B146" t="s">
        <v>1480</v>
      </c>
      <c r="C146" t="s">
        <v>1833</v>
      </c>
      <c r="D146" t="s">
        <v>1637</v>
      </c>
      <c r="E146" t="s">
        <v>1638</v>
      </c>
      <c r="F146" t="s">
        <v>1484</v>
      </c>
      <c r="G146" t="s">
        <v>1485</v>
      </c>
    </row>
    <row r="147" spans="1:7" x14ac:dyDescent="0.2">
      <c r="A147" t="s">
        <v>1834</v>
      </c>
      <c r="B147" t="s">
        <v>1480</v>
      </c>
      <c r="C147" t="s">
        <v>1835</v>
      </c>
      <c r="D147" t="s">
        <v>1637</v>
      </c>
      <c r="E147" t="s">
        <v>1638</v>
      </c>
      <c r="F147" t="s">
        <v>1484</v>
      </c>
      <c r="G147" t="s">
        <v>1485</v>
      </c>
    </row>
    <row r="148" spans="1:7" x14ac:dyDescent="0.2">
      <c r="A148" t="s">
        <v>1836</v>
      </c>
      <c r="B148" t="s">
        <v>1480</v>
      </c>
      <c r="C148" t="s">
        <v>1837</v>
      </c>
      <c r="D148" t="s">
        <v>1637</v>
      </c>
      <c r="E148" t="s">
        <v>1638</v>
      </c>
      <c r="F148" t="s">
        <v>1484</v>
      </c>
      <c r="G148" t="s">
        <v>1485</v>
      </c>
    </row>
    <row r="149" spans="1:7" x14ac:dyDescent="0.2">
      <c r="A149" t="s">
        <v>1838</v>
      </c>
      <c r="B149" t="s">
        <v>1480</v>
      </c>
      <c r="C149" t="s">
        <v>1839</v>
      </c>
      <c r="D149" t="s">
        <v>1741</v>
      </c>
      <c r="E149" t="s">
        <v>1742</v>
      </c>
      <c r="F149" t="s">
        <v>1484</v>
      </c>
      <c r="G149" t="s">
        <v>1485</v>
      </c>
    </row>
    <row r="150" spans="1:7" x14ac:dyDescent="0.2">
      <c r="A150" t="s">
        <v>1840</v>
      </c>
      <c r="B150" t="s">
        <v>1480</v>
      </c>
      <c r="C150" t="s">
        <v>1841</v>
      </c>
      <c r="D150" t="s">
        <v>1657</v>
      </c>
      <c r="E150" t="s">
        <v>1658</v>
      </c>
      <c r="F150" t="s">
        <v>1484</v>
      </c>
      <c r="G150" t="s">
        <v>1485</v>
      </c>
    </row>
    <row r="151" spans="1:7" x14ac:dyDescent="0.2">
      <c r="A151" t="s">
        <v>1842</v>
      </c>
      <c r="B151" t="s">
        <v>1480</v>
      </c>
      <c r="C151" t="s">
        <v>1843</v>
      </c>
      <c r="D151" t="s">
        <v>1695</v>
      </c>
      <c r="E151" t="s">
        <v>1696</v>
      </c>
      <c r="F151" t="s">
        <v>1484</v>
      </c>
      <c r="G151" t="s">
        <v>1485</v>
      </c>
    </row>
    <row r="152" spans="1:7" x14ac:dyDescent="0.2">
      <c r="A152" t="s">
        <v>1844</v>
      </c>
      <c r="B152" t="s">
        <v>1480</v>
      </c>
      <c r="C152" t="s">
        <v>1845</v>
      </c>
      <c r="D152" t="s">
        <v>1657</v>
      </c>
      <c r="E152" t="s">
        <v>1658</v>
      </c>
      <c r="F152" t="s">
        <v>1484</v>
      </c>
      <c r="G152" t="s">
        <v>1485</v>
      </c>
    </row>
    <row r="153" spans="1:7" x14ac:dyDescent="0.2">
      <c r="A153" t="s">
        <v>1846</v>
      </c>
      <c r="B153" t="s">
        <v>1480</v>
      </c>
      <c r="C153" t="s">
        <v>1847</v>
      </c>
      <c r="D153" t="s">
        <v>1695</v>
      </c>
      <c r="E153" t="s">
        <v>1696</v>
      </c>
      <c r="F153" t="s">
        <v>1484</v>
      </c>
      <c r="G153" t="s">
        <v>1485</v>
      </c>
    </row>
    <row r="154" spans="1:7" x14ac:dyDescent="0.2">
      <c r="A154" t="s">
        <v>1848</v>
      </c>
      <c r="B154" t="s">
        <v>1480</v>
      </c>
      <c r="C154" t="s">
        <v>1849</v>
      </c>
      <c r="D154" t="s">
        <v>1669</v>
      </c>
      <c r="E154" t="s">
        <v>1670</v>
      </c>
      <c r="F154" t="s">
        <v>1484</v>
      </c>
      <c r="G154" t="s">
        <v>1485</v>
      </c>
    </row>
    <row r="155" spans="1:7" x14ac:dyDescent="0.2">
      <c r="A155" t="s">
        <v>1850</v>
      </c>
      <c r="B155" t="s">
        <v>1480</v>
      </c>
      <c r="C155" t="s">
        <v>1851</v>
      </c>
      <c r="D155" t="s">
        <v>1669</v>
      </c>
      <c r="E155" t="s">
        <v>1670</v>
      </c>
      <c r="F155" t="s">
        <v>1484</v>
      </c>
      <c r="G155" t="s">
        <v>1485</v>
      </c>
    </row>
    <row r="156" spans="1:7" x14ac:dyDescent="0.2">
      <c r="A156" t="s">
        <v>1852</v>
      </c>
      <c r="B156" t="s">
        <v>1480</v>
      </c>
      <c r="C156" t="s">
        <v>1853</v>
      </c>
      <c r="D156" t="s">
        <v>1705</v>
      </c>
      <c r="E156" t="s">
        <v>1706</v>
      </c>
      <c r="F156" t="s">
        <v>1484</v>
      </c>
      <c r="G156" t="s">
        <v>1485</v>
      </c>
    </row>
    <row r="157" spans="1:7" x14ac:dyDescent="0.2">
      <c r="A157" t="s">
        <v>1854</v>
      </c>
      <c r="B157" t="s">
        <v>1480</v>
      </c>
      <c r="C157" t="s">
        <v>1855</v>
      </c>
      <c r="D157" t="s">
        <v>1695</v>
      </c>
      <c r="E157" t="s">
        <v>1696</v>
      </c>
      <c r="F157" t="s">
        <v>1484</v>
      </c>
      <c r="G157" t="s">
        <v>1485</v>
      </c>
    </row>
    <row r="158" spans="1:7" x14ac:dyDescent="0.2">
      <c r="A158" t="s">
        <v>1856</v>
      </c>
      <c r="B158" t="s">
        <v>1480</v>
      </c>
      <c r="C158" t="s">
        <v>1857</v>
      </c>
      <c r="D158" t="s">
        <v>1725</v>
      </c>
      <c r="E158" t="s">
        <v>1726</v>
      </c>
      <c r="F158" t="s">
        <v>1484</v>
      </c>
      <c r="G158" t="s">
        <v>1485</v>
      </c>
    </row>
    <row r="159" spans="1:7" x14ac:dyDescent="0.2">
      <c r="A159" t="s">
        <v>1858</v>
      </c>
      <c r="B159" t="s">
        <v>1480</v>
      </c>
      <c r="C159" t="s">
        <v>1859</v>
      </c>
      <c r="D159" t="s">
        <v>1705</v>
      </c>
      <c r="E159" t="s">
        <v>1706</v>
      </c>
      <c r="F159" t="s">
        <v>1484</v>
      </c>
      <c r="G159" t="s">
        <v>1485</v>
      </c>
    </row>
    <row r="160" spans="1:7" x14ac:dyDescent="0.2">
      <c r="A160" t="s">
        <v>1860</v>
      </c>
      <c r="B160" t="s">
        <v>1480</v>
      </c>
      <c r="C160" t="s">
        <v>1861</v>
      </c>
      <c r="D160" t="s">
        <v>1653</v>
      </c>
      <c r="E160" t="s">
        <v>1654</v>
      </c>
      <c r="F160" t="s">
        <v>1484</v>
      </c>
      <c r="G160" t="s">
        <v>1485</v>
      </c>
    </row>
    <row r="161" spans="1:7" x14ac:dyDescent="0.2">
      <c r="A161" t="s">
        <v>1862</v>
      </c>
      <c r="B161" t="s">
        <v>1480</v>
      </c>
      <c r="C161" t="s">
        <v>1863</v>
      </c>
      <c r="D161" t="s">
        <v>1506</v>
      </c>
      <c r="E161" t="s">
        <v>1507</v>
      </c>
      <c r="F161" t="s">
        <v>1484</v>
      </c>
      <c r="G161" t="s">
        <v>1485</v>
      </c>
    </row>
    <row r="162" spans="1:7" x14ac:dyDescent="0.2">
      <c r="A162" t="s">
        <v>1864</v>
      </c>
      <c r="B162" t="s">
        <v>1480</v>
      </c>
      <c r="C162" t="s">
        <v>1865</v>
      </c>
      <c r="D162" t="s">
        <v>1657</v>
      </c>
      <c r="E162" t="s">
        <v>1658</v>
      </c>
      <c r="F162" t="s">
        <v>1484</v>
      </c>
      <c r="G162" t="s">
        <v>1485</v>
      </c>
    </row>
    <row r="163" spans="1:7" x14ac:dyDescent="0.2">
      <c r="A163" t="s">
        <v>1866</v>
      </c>
      <c r="B163" t="s">
        <v>1480</v>
      </c>
      <c r="C163" t="s">
        <v>1867</v>
      </c>
      <c r="D163" t="s">
        <v>1741</v>
      </c>
      <c r="E163" t="s">
        <v>1742</v>
      </c>
      <c r="F163" t="s">
        <v>1484</v>
      </c>
      <c r="G163" t="s">
        <v>1485</v>
      </c>
    </row>
    <row r="164" spans="1:7" x14ac:dyDescent="0.2">
      <c r="A164" t="s">
        <v>1868</v>
      </c>
      <c r="B164" t="s">
        <v>1480</v>
      </c>
      <c r="C164" t="s">
        <v>1869</v>
      </c>
      <c r="D164" t="s">
        <v>1870</v>
      </c>
      <c r="E164" t="s">
        <v>1871</v>
      </c>
      <c r="F164" t="s">
        <v>1484</v>
      </c>
      <c r="G164" t="s">
        <v>1485</v>
      </c>
    </row>
    <row r="165" spans="1:7" x14ac:dyDescent="0.2">
      <c r="A165" t="s">
        <v>1872</v>
      </c>
      <c r="B165" t="s">
        <v>1480</v>
      </c>
      <c r="C165" t="s">
        <v>1873</v>
      </c>
      <c r="D165" t="s">
        <v>1695</v>
      </c>
      <c r="E165" t="s">
        <v>1696</v>
      </c>
      <c r="F165" t="s">
        <v>1484</v>
      </c>
      <c r="G165" t="s">
        <v>1485</v>
      </c>
    </row>
    <row r="166" spans="1:7" x14ac:dyDescent="0.2">
      <c r="A166" t="s">
        <v>1874</v>
      </c>
      <c r="B166" t="s">
        <v>1480</v>
      </c>
      <c r="C166" t="s">
        <v>1875</v>
      </c>
      <c r="D166" t="s">
        <v>1876</v>
      </c>
      <c r="E166" t="s">
        <v>1877</v>
      </c>
      <c r="F166" t="s">
        <v>1484</v>
      </c>
      <c r="G166" t="s">
        <v>1485</v>
      </c>
    </row>
    <row r="167" spans="1:7" x14ac:dyDescent="0.2">
      <c r="A167" t="s">
        <v>1878</v>
      </c>
      <c r="B167" t="s">
        <v>1480</v>
      </c>
      <c r="C167" t="s">
        <v>1879</v>
      </c>
      <c r="D167" t="s">
        <v>1870</v>
      </c>
      <c r="E167" t="s">
        <v>1871</v>
      </c>
      <c r="F167" t="s">
        <v>1484</v>
      </c>
      <c r="G167" t="s">
        <v>1485</v>
      </c>
    </row>
    <row r="168" spans="1:7" x14ac:dyDescent="0.2">
      <c r="A168" t="s">
        <v>1880</v>
      </c>
      <c r="B168" t="s">
        <v>1480</v>
      </c>
      <c r="C168" t="s">
        <v>1881</v>
      </c>
      <c r="D168" t="s">
        <v>1695</v>
      </c>
      <c r="E168" t="s">
        <v>1696</v>
      </c>
      <c r="F168" t="s">
        <v>1484</v>
      </c>
      <c r="G168" t="s">
        <v>1485</v>
      </c>
    </row>
    <row r="169" spans="1:7" x14ac:dyDescent="0.2">
      <c r="A169" t="s">
        <v>1882</v>
      </c>
      <c r="B169" t="s">
        <v>1480</v>
      </c>
      <c r="C169" t="s">
        <v>1883</v>
      </c>
      <c r="D169" t="s">
        <v>1669</v>
      </c>
      <c r="E169" t="s">
        <v>1670</v>
      </c>
      <c r="F169" t="s">
        <v>1484</v>
      </c>
      <c r="G169" t="s">
        <v>1485</v>
      </c>
    </row>
    <row r="170" spans="1:7" x14ac:dyDescent="0.2">
      <c r="A170" t="s">
        <v>1884</v>
      </c>
      <c r="B170" t="s">
        <v>1480</v>
      </c>
      <c r="C170" t="s">
        <v>1885</v>
      </c>
      <c r="D170" t="s">
        <v>1735</v>
      </c>
      <c r="E170" t="s">
        <v>1736</v>
      </c>
      <c r="F170" t="s">
        <v>1484</v>
      </c>
      <c r="G170" t="s">
        <v>1485</v>
      </c>
    </row>
    <row r="171" spans="1:7" x14ac:dyDescent="0.2">
      <c r="A171" t="s">
        <v>1886</v>
      </c>
      <c r="B171" t="s">
        <v>1480</v>
      </c>
      <c r="C171" t="s">
        <v>1887</v>
      </c>
      <c r="D171" t="s">
        <v>1735</v>
      </c>
      <c r="E171" t="s">
        <v>1736</v>
      </c>
      <c r="F171" t="s">
        <v>1484</v>
      </c>
      <c r="G171" t="s">
        <v>1485</v>
      </c>
    </row>
    <row r="172" spans="1:7" x14ac:dyDescent="0.2">
      <c r="A172" t="s">
        <v>1888</v>
      </c>
      <c r="B172" t="s">
        <v>1480</v>
      </c>
      <c r="C172" t="s">
        <v>1889</v>
      </c>
      <c r="D172" t="s">
        <v>1506</v>
      </c>
      <c r="E172" t="s">
        <v>1507</v>
      </c>
      <c r="F172" t="s">
        <v>1484</v>
      </c>
      <c r="G172" t="s">
        <v>1485</v>
      </c>
    </row>
    <row r="173" spans="1:7" x14ac:dyDescent="0.2">
      <c r="A173" t="s">
        <v>1890</v>
      </c>
      <c r="B173" t="s">
        <v>1480</v>
      </c>
      <c r="C173" t="s">
        <v>1891</v>
      </c>
      <c r="D173" t="s">
        <v>1657</v>
      </c>
      <c r="E173" t="s">
        <v>1658</v>
      </c>
      <c r="F173" t="s">
        <v>1484</v>
      </c>
      <c r="G173" t="s">
        <v>1485</v>
      </c>
    </row>
    <row r="174" spans="1:7" x14ac:dyDescent="0.2">
      <c r="A174" t="s">
        <v>1892</v>
      </c>
      <c r="B174" t="s">
        <v>1480</v>
      </c>
      <c r="C174" t="s">
        <v>1893</v>
      </c>
      <c r="D174" t="s">
        <v>1506</v>
      </c>
      <c r="E174" t="s">
        <v>1507</v>
      </c>
      <c r="F174" t="s">
        <v>1484</v>
      </c>
      <c r="G174" t="s">
        <v>1485</v>
      </c>
    </row>
    <row r="175" spans="1:7" x14ac:dyDescent="0.2">
      <c r="A175" t="s">
        <v>1894</v>
      </c>
      <c r="B175" t="s">
        <v>1480</v>
      </c>
      <c r="C175" t="s">
        <v>1895</v>
      </c>
      <c r="D175" t="s">
        <v>1741</v>
      </c>
      <c r="E175" t="s">
        <v>1742</v>
      </c>
      <c r="F175" t="s">
        <v>1484</v>
      </c>
      <c r="G175" t="s">
        <v>1485</v>
      </c>
    </row>
    <row r="176" spans="1:7" x14ac:dyDescent="0.2">
      <c r="A176" t="s">
        <v>1896</v>
      </c>
      <c r="B176" t="s">
        <v>1480</v>
      </c>
      <c r="C176" t="s">
        <v>1897</v>
      </c>
      <c r="D176" t="s">
        <v>1896</v>
      </c>
      <c r="E176" t="s">
        <v>1898</v>
      </c>
      <c r="F176" t="s">
        <v>1484</v>
      </c>
      <c r="G176" t="s">
        <v>1485</v>
      </c>
    </row>
    <row r="177" spans="1:7" x14ac:dyDescent="0.2">
      <c r="A177" t="s">
        <v>1899</v>
      </c>
      <c r="B177" t="s">
        <v>1480</v>
      </c>
      <c r="C177" t="s">
        <v>1900</v>
      </c>
      <c r="D177" t="s">
        <v>1536</v>
      </c>
      <c r="E177" t="s">
        <v>1537</v>
      </c>
      <c r="F177" t="s">
        <v>1484</v>
      </c>
      <c r="G177" t="s">
        <v>1485</v>
      </c>
    </row>
    <row r="178" spans="1:7" x14ac:dyDescent="0.2">
      <c r="A178" t="s">
        <v>1901</v>
      </c>
      <c r="B178" t="s">
        <v>1480</v>
      </c>
      <c r="C178" t="s">
        <v>1902</v>
      </c>
      <c r="D178" t="s">
        <v>1572</v>
      </c>
      <c r="E178" t="s">
        <v>1573</v>
      </c>
      <c r="F178" t="s">
        <v>1484</v>
      </c>
      <c r="G178" t="s">
        <v>1485</v>
      </c>
    </row>
    <row r="179" spans="1:7" x14ac:dyDescent="0.2">
      <c r="A179" t="s">
        <v>1903</v>
      </c>
      <c r="B179" t="s">
        <v>1480</v>
      </c>
      <c r="C179" t="s">
        <v>1904</v>
      </c>
      <c r="D179" t="s">
        <v>1741</v>
      </c>
      <c r="E179" t="s">
        <v>1742</v>
      </c>
      <c r="F179" t="s">
        <v>1484</v>
      </c>
      <c r="G179" t="s">
        <v>1485</v>
      </c>
    </row>
    <row r="180" spans="1:7" x14ac:dyDescent="0.2">
      <c r="A180" t="s">
        <v>1905</v>
      </c>
      <c r="B180" t="s">
        <v>1480</v>
      </c>
      <c r="C180" t="s">
        <v>1906</v>
      </c>
      <c r="D180" t="s">
        <v>1729</v>
      </c>
      <c r="E180" t="s">
        <v>1730</v>
      </c>
      <c r="F180" t="s">
        <v>1484</v>
      </c>
      <c r="G180" t="s">
        <v>1485</v>
      </c>
    </row>
    <row r="181" spans="1:7" x14ac:dyDescent="0.2">
      <c r="A181" t="s">
        <v>1907</v>
      </c>
      <c r="B181" t="s">
        <v>1480</v>
      </c>
      <c r="C181" t="s">
        <v>1908</v>
      </c>
      <c r="D181" t="s">
        <v>1705</v>
      </c>
      <c r="E181" t="s">
        <v>1706</v>
      </c>
      <c r="F181" t="s">
        <v>1484</v>
      </c>
      <c r="G181" t="s">
        <v>1485</v>
      </c>
    </row>
    <row r="182" spans="1:7" x14ac:dyDescent="0.2">
      <c r="A182" t="s">
        <v>1909</v>
      </c>
      <c r="B182" t="s">
        <v>1480</v>
      </c>
      <c r="C182" t="s">
        <v>1910</v>
      </c>
      <c r="D182" t="s">
        <v>1735</v>
      </c>
      <c r="E182" t="s">
        <v>1736</v>
      </c>
      <c r="F182" t="s">
        <v>1484</v>
      </c>
      <c r="G182" t="s">
        <v>1485</v>
      </c>
    </row>
    <row r="183" spans="1:7" x14ac:dyDescent="0.2">
      <c r="A183" t="s">
        <v>1911</v>
      </c>
      <c r="B183" t="s">
        <v>1480</v>
      </c>
      <c r="C183" t="s">
        <v>1912</v>
      </c>
      <c r="D183" t="s">
        <v>1669</v>
      </c>
      <c r="E183" t="s">
        <v>1670</v>
      </c>
      <c r="F183" t="s">
        <v>1484</v>
      </c>
      <c r="G183" t="s">
        <v>1485</v>
      </c>
    </row>
    <row r="184" spans="1:7" x14ac:dyDescent="0.2">
      <c r="A184" t="s">
        <v>1913</v>
      </c>
      <c r="B184" t="s">
        <v>1480</v>
      </c>
      <c r="C184" t="s">
        <v>1914</v>
      </c>
      <c r="D184" t="s">
        <v>1876</v>
      </c>
      <c r="E184" t="s">
        <v>1877</v>
      </c>
      <c r="F184" t="s">
        <v>1484</v>
      </c>
      <c r="G184" t="s">
        <v>1485</v>
      </c>
    </row>
    <row r="185" spans="1:7" x14ac:dyDescent="0.2">
      <c r="A185" t="s">
        <v>1915</v>
      </c>
      <c r="B185" t="s">
        <v>1480</v>
      </c>
      <c r="C185" t="s">
        <v>1916</v>
      </c>
      <c r="D185" t="s">
        <v>1705</v>
      </c>
      <c r="E185" t="s">
        <v>1706</v>
      </c>
      <c r="F185" t="s">
        <v>1484</v>
      </c>
      <c r="G185" t="s">
        <v>1485</v>
      </c>
    </row>
    <row r="186" spans="1:7" x14ac:dyDescent="0.2">
      <c r="A186" t="s">
        <v>1917</v>
      </c>
      <c r="B186" t="s">
        <v>1480</v>
      </c>
      <c r="C186" t="s">
        <v>1918</v>
      </c>
      <c r="D186" t="s">
        <v>1482</v>
      </c>
      <c r="E186" t="s">
        <v>1483</v>
      </c>
      <c r="F186" t="s">
        <v>1484</v>
      </c>
      <c r="G186" t="s">
        <v>1485</v>
      </c>
    </row>
    <row r="187" spans="1:7" x14ac:dyDescent="0.2">
      <c r="A187" t="s">
        <v>1919</v>
      </c>
      <c r="B187" t="s">
        <v>1480</v>
      </c>
      <c r="C187" t="s">
        <v>1920</v>
      </c>
      <c r="D187" t="s">
        <v>1482</v>
      </c>
      <c r="E187" t="s">
        <v>1483</v>
      </c>
      <c r="F187" t="s">
        <v>1484</v>
      </c>
      <c r="G187" t="s">
        <v>1485</v>
      </c>
    </row>
    <row r="188" spans="1:7" x14ac:dyDescent="0.2">
      <c r="A188" t="s">
        <v>1921</v>
      </c>
      <c r="B188" t="s">
        <v>1480</v>
      </c>
      <c r="C188" t="s">
        <v>1922</v>
      </c>
      <c r="D188" t="s">
        <v>1705</v>
      </c>
      <c r="E188" t="s">
        <v>1706</v>
      </c>
      <c r="F188" t="s">
        <v>1484</v>
      </c>
      <c r="G188" t="s">
        <v>1485</v>
      </c>
    </row>
    <row r="189" spans="1:7" x14ac:dyDescent="0.2">
      <c r="A189" t="s">
        <v>1923</v>
      </c>
      <c r="B189" t="s">
        <v>1480</v>
      </c>
      <c r="C189" t="s">
        <v>1924</v>
      </c>
      <c r="D189" t="s">
        <v>1705</v>
      </c>
      <c r="E189" t="s">
        <v>1706</v>
      </c>
      <c r="F189" t="s">
        <v>1484</v>
      </c>
      <c r="G189" t="s">
        <v>1485</v>
      </c>
    </row>
    <row r="190" spans="1:7" x14ac:dyDescent="0.2">
      <c r="A190" t="s">
        <v>1925</v>
      </c>
      <c r="B190" t="s">
        <v>1480</v>
      </c>
      <c r="C190" t="s">
        <v>1926</v>
      </c>
      <c r="D190" t="s">
        <v>1695</v>
      </c>
      <c r="E190" t="s">
        <v>1696</v>
      </c>
      <c r="F190" t="s">
        <v>1484</v>
      </c>
      <c r="G190" t="s">
        <v>1485</v>
      </c>
    </row>
    <row r="191" spans="1:7" x14ac:dyDescent="0.2">
      <c r="A191" t="s">
        <v>1927</v>
      </c>
      <c r="B191" t="s">
        <v>1480</v>
      </c>
      <c r="C191" t="s">
        <v>1928</v>
      </c>
      <c r="D191" t="s">
        <v>1741</v>
      </c>
      <c r="E191" t="s">
        <v>1742</v>
      </c>
      <c r="F191" t="s">
        <v>1484</v>
      </c>
      <c r="G191" t="s">
        <v>1485</v>
      </c>
    </row>
    <row r="192" spans="1:7" x14ac:dyDescent="0.2">
      <c r="A192" t="s">
        <v>1929</v>
      </c>
      <c r="B192" t="s">
        <v>1480</v>
      </c>
      <c r="C192" t="s">
        <v>1930</v>
      </c>
      <c r="D192" t="s">
        <v>1729</v>
      </c>
      <c r="E192" t="s">
        <v>1730</v>
      </c>
      <c r="F192" t="s">
        <v>1484</v>
      </c>
      <c r="G192" t="s">
        <v>1485</v>
      </c>
    </row>
    <row r="193" spans="1:7" x14ac:dyDescent="0.2">
      <c r="A193" t="s">
        <v>1931</v>
      </c>
      <c r="B193" t="s">
        <v>1480</v>
      </c>
      <c r="C193" t="s">
        <v>1932</v>
      </c>
      <c r="D193" t="s">
        <v>1729</v>
      </c>
      <c r="E193" t="s">
        <v>1730</v>
      </c>
      <c r="F193" t="s">
        <v>1484</v>
      </c>
      <c r="G193" t="s">
        <v>1485</v>
      </c>
    </row>
    <row r="194" spans="1:7" x14ac:dyDescent="0.2">
      <c r="A194" t="s">
        <v>1933</v>
      </c>
      <c r="B194" t="s">
        <v>1480</v>
      </c>
      <c r="C194" t="s">
        <v>1934</v>
      </c>
      <c r="D194" t="s">
        <v>1695</v>
      </c>
      <c r="E194" t="s">
        <v>1696</v>
      </c>
      <c r="F194" t="s">
        <v>1484</v>
      </c>
      <c r="G194" t="s">
        <v>1485</v>
      </c>
    </row>
    <row r="195" spans="1:7" x14ac:dyDescent="0.2">
      <c r="A195" t="s">
        <v>1935</v>
      </c>
      <c r="B195" t="s">
        <v>1480</v>
      </c>
      <c r="C195" t="s">
        <v>1936</v>
      </c>
      <c r="D195" t="s">
        <v>1506</v>
      </c>
      <c r="E195" t="s">
        <v>1507</v>
      </c>
      <c r="F195" t="s">
        <v>1484</v>
      </c>
      <c r="G195" t="s">
        <v>1485</v>
      </c>
    </row>
    <row r="196" spans="1:7" x14ac:dyDescent="0.2">
      <c r="A196" t="s">
        <v>1937</v>
      </c>
      <c r="B196" t="s">
        <v>1480</v>
      </c>
      <c r="C196" t="s">
        <v>1938</v>
      </c>
      <c r="D196" t="s">
        <v>1705</v>
      </c>
      <c r="E196" t="s">
        <v>1706</v>
      </c>
      <c r="F196" t="s">
        <v>1484</v>
      </c>
      <c r="G196" t="s">
        <v>1485</v>
      </c>
    </row>
    <row r="197" spans="1:7" x14ac:dyDescent="0.2">
      <c r="A197" t="s">
        <v>1939</v>
      </c>
      <c r="B197" t="s">
        <v>1480</v>
      </c>
      <c r="C197" t="s">
        <v>1940</v>
      </c>
      <c r="D197" t="s">
        <v>1691</v>
      </c>
      <c r="E197" t="s">
        <v>1692</v>
      </c>
      <c r="F197" t="s">
        <v>1484</v>
      </c>
      <c r="G197" t="s">
        <v>1485</v>
      </c>
    </row>
    <row r="198" spans="1:7" x14ac:dyDescent="0.2">
      <c r="A198" t="s">
        <v>1941</v>
      </c>
      <c r="B198" t="s">
        <v>1480</v>
      </c>
      <c r="C198" t="s">
        <v>1942</v>
      </c>
      <c r="D198" t="s">
        <v>1735</v>
      </c>
      <c r="E198" t="s">
        <v>1736</v>
      </c>
      <c r="F198" t="s">
        <v>1484</v>
      </c>
      <c r="G198" t="s">
        <v>1485</v>
      </c>
    </row>
    <row r="199" spans="1:7" x14ac:dyDescent="0.2">
      <c r="A199" t="s">
        <v>1943</v>
      </c>
      <c r="B199" t="s">
        <v>1480</v>
      </c>
      <c r="C199" t="s">
        <v>1944</v>
      </c>
      <c r="D199" t="s">
        <v>1896</v>
      </c>
      <c r="E199" t="s">
        <v>1898</v>
      </c>
      <c r="F199" t="s">
        <v>1484</v>
      </c>
      <c r="G199" t="s">
        <v>1485</v>
      </c>
    </row>
    <row r="200" spans="1:7" x14ac:dyDescent="0.2">
      <c r="A200" t="s">
        <v>1945</v>
      </c>
      <c r="B200" t="s">
        <v>1480</v>
      </c>
      <c r="C200" t="s">
        <v>1946</v>
      </c>
      <c r="D200" t="s">
        <v>1741</v>
      </c>
      <c r="E200" t="s">
        <v>1742</v>
      </c>
      <c r="F200" t="s">
        <v>1484</v>
      </c>
      <c r="G200" t="s">
        <v>1485</v>
      </c>
    </row>
    <row r="201" spans="1:7" x14ac:dyDescent="0.2">
      <c r="A201" t="s">
        <v>1947</v>
      </c>
      <c r="B201" t="s">
        <v>1480</v>
      </c>
      <c r="C201" t="s">
        <v>1948</v>
      </c>
      <c r="D201" t="s">
        <v>1735</v>
      </c>
      <c r="E201" t="s">
        <v>1736</v>
      </c>
      <c r="F201" t="s">
        <v>1484</v>
      </c>
      <c r="G201" t="s">
        <v>1485</v>
      </c>
    </row>
    <row r="202" spans="1:7" x14ac:dyDescent="0.2">
      <c r="A202" t="s">
        <v>1949</v>
      </c>
      <c r="B202" t="s">
        <v>1480</v>
      </c>
      <c r="C202" t="s">
        <v>1950</v>
      </c>
      <c r="D202" t="s">
        <v>1691</v>
      </c>
      <c r="E202" t="s">
        <v>1692</v>
      </c>
      <c r="F202" t="s">
        <v>1484</v>
      </c>
      <c r="G202" t="s">
        <v>1485</v>
      </c>
    </row>
    <row r="203" spans="1:7" x14ac:dyDescent="0.2">
      <c r="A203" t="s">
        <v>1951</v>
      </c>
      <c r="B203" t="s">
        <v>1480</v>
      </c>
      <c r="C203" t="s">
        <v>1952</v>
      </c>
      <c r="D203" t="s">
        <v>1725</v>
      </c>
      <c r="E203" t="s">
        <v>1726</v>
      </c>
      <c r="F203" t="s">
        <v>1484</v>
      </c>
      <c r="G203" t="s">
        <v>1485</v>
      </c>
    </row>
    <row r="204" spans="1:7" x14ac:dyDescent="0.2">
      <c r="A204" t="s">
        <v>1953</v>
      </c>
      <c r="B204" t="s">
        <v>1480</v>
      </c>
      <c r="C204" t="s">
        <v>1954</v>
      </c>
      <c r="D204" t="s">
        <v>1705</v>
      </c>
      <c r="E204" t="s">
        <v>1706</v>
      </c>
      <c r="F204" t="s">
        <v>1484</v>
      </c>
      <c r="G204" t="s">
        <v>1485</v>
      </c>
    </row>
    <row r="205" spans="1:7" x14ac:dyDescent="0.2">
      <c r="A205" t="s">
        <v>1955</v>
      </c>
      <c r="B205" t="s">
        <v>1480</v>
      </c>
      <c r="C205" t="s">
        <v>1956</v>
      </c>
      <c r="D205" t="s">
        <v>1532</v>
      </c>
      <c r="E205" t="s">
        <v>1533</v>
      </c>
      <c r="F205" t="s">
        <v>1484</v>
      </c>
      <c r="G205" t="s">
        <v>1485</v>
      </c>
    </row>
    <row r="206" spans="1:7" x14ac:dyDescent="0.2">
      <c r="A206" t="s">
        <v>1957</v>
      </c>
      <c r="B206" t="s">
        <v>1480</v>
      </c>
      <c r="C206" t="s">
        <v>1958</v>
      </c>
      <c r="D206" t="s">
        <v>1532</v>
      </c>
      <c r="E206" t="s">
        <v>1533</v>
      </c>
      <c r="F206" t="s">
        <v>1484</v>
      </c>
      <c r="G206" t="s">
        <v>1485</v>
      </c>
    </row>
    <row r="207" spans="1:7" x14ac:dyDescent="0.2">
      <c r="A207" t="s">
        <v>1959</v>
      </c>
      <c r="B207" t="s">
        <v>1480</v>
      </c>
      <c r="C207" t="s">
        <v>1960</v>
      </c>
      <c r="D207" t="s">
        <v>1568</v>
      </c>
      <c r="E207" t="s">
        <v>1569</v>
      </c>
      <c r="F207" t="s">
        <v>1484</v>
      </c>
      <c r="G207" t="s">
        <v>1485</v>
      </c>
    </row>
    <row r="208" spans="1:7" x14ac:dyDescent="0.2">
      <c r="A208" t="s">
        <v>1961</v>
      </c>
      <c r="B208" t="s">
        <v>1480</v>
      </c>
      <c r="C208" t="s">
        <v>1962</v>
      </c>
      <c r="D208" t="s">
        <v>1604</v>
      </c>
      <c r="E208" t="s">
        <v>1605</v>
      </c>
      <c r="F208" t="s">
        <v>1484</v>
      </c>
      <c r="G208" t="s">
        <v>1485</v>
      </c>
    </row>
    <row r="209" spans="1:7" x14ac:dyDescent="0.2">
      <c r="A209" t="s">
        <v>1963</v>
      </c>
      <c r="B209" t="s">
        <v>1480</v>
      </c>
      <c r="C209" t="s">
        <v>1964</v>
      </c>
      <c r="D209" t="s">
        <v>1562</v>
      </c>
      <c r="E209" t="s">
        <v>1563</v>
      </c>
      <c r="F209" t="s">
        <v>1484</v>
      </c>
      <c r="G209" t="s">
        <v>1485</v>
      </c>
    </row>
    <row r="210" spans="1:7" x14ac:dyDescent="0.2">
      <c r="A210" t="s">
        <v>1965</v>
      </c>
      <c r="B210" t="s">
        <v>1480</v>
      </c>
      <c r="C210" t="s">
        <v>1966</v>
      </c>
      <c r="D210" t="s">
        <v>1554</v>
      </c>
      <c r="E210" t="s">
        <v>1555</v>
      </c>
      <c r="F210" t="s">
        <v>1484</v>
      </c>
      <c r="G210" t="s">
        <v>1485</v>
      </c>
    </row>
    <row r="211" spans="1:7" x14ac:dyDescent="0.2">
      <c r="A211" t="s">
        <v>1967</v>
      </c>
      <c r="B211" t="s">
        <v>1480</v>
      </c>
      <c r="C211" t="s">
        <v>1968</v>
      </c>
      <c r="D211" t="s">
        <v>1540</v>
      </c>
      <c r="E211" t="s">
        <v>1541</v>
      </c>
      <c r="F211" t="s">
        <v>1484</v>
      </c>
      <c r="G211" t="s">
        <v>1485</v>
      </c>
    </row>
    <row r="212" spans="1:7" x14ac:dyDescent="0.2">
      <c r="A212" t="s">
        <v>1969</v>
      </c>
      <c r="B212" t="s">
        <v>1480</v>
      </c>
      <c r="C212" t="s">
        <v>1970</v>
      </c>
      <c r="D212" t="s">
        <v>1540</v>
      </c>
      <c r="E212" t="s">
        <v>1541</v>
      </c>
      <c r="F212" t="s">
        <v>1484</v>
      </c>
      <c r="G212" t="s">
        <v>1485</v>
      </c>
    </row>
    <row r="213" spans="1:7" x14ac:dyDescent="0.2">
      <c r="A213" t="s">
        <v>1971</v>
      </c>
      <c r="B213" t="s">
        <v>1480</v>
      </c>
      <c r="C213" t="s">
        <v>1972</v>
      </c>
      <c r="D213" t="s">
        <v>1540</v>
      </c>
      <c r="E213" t="s">
        <v>1541</v>
      </c>
      <c r="F213" t="s">
        <v>1484</v>
      </c>
      <c r="G213" t="s">
        <v>1485</v>
      </c>
    </row>
    <row r="214" spans="1:7" x14ac:dyDescent="0.2">
      <c r="A214" t="s">
        <v>1973</v>
      </c>
      <c r="B214" t="s">
        <v>1480</v>
      </c>
      <c r="C214" t="s">
        <v>1974</v>
      </c>
      <c r="D214" t="s">
        <v>1488</v>
      </c>
      <c r="E214" t="s">
        <v>1489</v>
      </c>
      <c r="F214" t="s">
        <v>1484</v>
      </c>
      <c r="G214" t="s">
        <v>1485</v>
      </c>
    </row>
    <row r="215" spans="1:7" x14ac:dyDescent="0.2">
      <c r="A215" t="s">
        <v>1975</v>
      </c>
      <c r="B215" t="s">
        <v>1480</v>
      </c>
      <c r="C215" t="s">
        <v>1976</v>
      </c>
      <c r="D215" t="s">
        <v>1488</v>
      </c>
      <c r="E215" t="s">
        <v>1489</v>
      </c>
      <c r="F215" t="s">
        <v>1484</v>
      </c>
      <c r="G215" t="s">
        <v>1485</v>
      </c>
    </row>
    <row r="216" spans="1:7" x14ac:dyDescent="0.2">
      <c r="A216" t="s">
        <v>1977</v>
      </c>
      <c r="B216" t="s">
        <v>1480</v>
      </c>
      <c r="C216" t="s">
        <v>1978</v>
      </c>
      <c r="D216" t="s">
        <v>1548</v>
      </c>
      <c r="E216" t="s">
        <v>1549</v>
      </c>
      <c r="F216" t="s">
        <v>1484</v>
      </c>
      <c r="G216" t="s">
        <v>1485</v>
      </c>
    </row>
    <row r="217" spans="1:7" x14ac:dyDescent="0.2">
      <c r="A217" t="s">
        <v>1979</v>
      </c>
      <c r="B217" t="s">
        <v>1480</v>
      </c>
      <c r="C217" t="s">
        <v>1980</v>
      </c>
      <c r="D217" t="s">
        <v>1576</v>
      </c>
      <c r="E217" t="s">
        <v>1577</v>
      </c>
      <c r="F217" t="s">
        <v>1484</v>
      </c>
      <c r="G217" t="s">
        <v>1485</v>
      </c>
    </row>
    <row r="218" spans="1:7" x14ac:dyDescent="0.2">
      <c r="A218" t="s">
        <v>1981</v>
      </c>
      <c r="B218" t="s">
        <v>1480</v>
      </c>
      <c r="C218" t="s">
        <v>1982</v>
      </c>
      <c r="D218" t="s">
        <v>1576</v>
      </c>
      <c r="E218" t="s">
        <v>1577</v>
      </c>
      <c r="F218" t="s">
        <v>1484</v>
      </c>
      <c r="G218" t="s">
        <v>1485</v>
      </c>
    </row>
    <row r="219" spans="1:7" x14ac:dyDescent="0.2">
      <c r="A219" t="s">
        <v>1983</v>
      </c>
      <c r="B219" t="s">
        <v>1480</v>
      </c>
      <c r="C219" t="s">
        <v>1984</v>
      </c>
      <c r="D219" t="s">
        <v>1536</v>
      </c>
      <c r="E219" t="s">
        <v>1537</v>
      </c>
      <c r="F219" t="s">
        <v>1484</v>
      </c>
      <c r="G219" t="s">
        <v>1485</v>
      </c>
    </row>
    <row r="220" spans="1:7" x14ac:dyDescent="0.2">
      <c r="A220" t="s">
        <v>1985</v>
      </c>
      <c r="B220" t="s">
        <v>1480</v>
      </c>
      <c r="C220" t="s">
        <v>1986</v>
      </c>
      <c r="D220" t="s">
        <v>1488</v>
      </c>
      <c r="E220" t="s">
        <v>1489</v>
      </c>
      <c r="F220" t="s">
        <v>1484</v>
      </c>
      <c r="G220" t="s">
        <v>1485</v>
      </c>
    </row>
    <row r="221" spans="1:7" x14ac:dyDescent="0.2">
      <c r="A221" t="s">
        <v>1987</v>
      </c>
      <c r="B221" t="s">
        <v>1480</v>
      </c>
      <c r="C221" t="s">
        <v>1988</v>
      </c>
      <c r="D221" t="s">
        <v>1488</v>
      </c>
      <c r="E221" t="s">
        <v>1489</v>
      </c>
      <c r="F221" t="s">
        <v>1484</v>
      </c>
      <c r="G221" t="s">
        <v>1485</v>
      </c>
    </row>
    <row r="222" spans="1:7" x14ac:dyDescent="0.2">
      <c r="A222" t="s">
        <v>1989</v>
      </c>
      <c r="B222" t="s">
        <v>1480</v>
      </c>
      <c r="C222" t="s">
        <v>1990</v>
      </c>
      <c r="D222" t="s">
        <v>1520</v>
      </c>
      <c r="E222" t="s">
        <v>1521</v>
      </c>
      <c r="F222" t="s">
        <v>1484</v>
      </c>
      <c r="G222" t="s">
        <v>1485</v>
      </c>
    </row>
    <row r="223" spans="1:7" x14ac:dyDescent="0.2">
      <c r="A223" t="s">
        <v>1991</v>
      </c>
      <c r="B223" t="s">
        <v>1480</v>
      </c>
      <c r="C223" t="s">
        <v>1992</v>
      </c>
      <c r="D223" t="s">
        <v>1540</v>
      </c>
      <c r="E223" t="s">
        <v>1541</v>
      </c>
      <c r="F223" t="s">
        <v>1484</v>
      </c>
      <c r="G223" t="s">
        <v>1485</v>
      </c>
    </row>
    <row r="224" spans="1:7" x14ac:dyDescent="0.2">
      <c r="A224" t="s">
        <v>1993</v>
      </c>
      <c r="B224" t="s">
        <v>1480</v>
      </c>
      <c r="C224" t="s">
        <v>1994</v>
      </c>
      <c r="D224" t="s">
        <v>1540</v>
      </c>
      <c r="E224" t="s">
        <v>1541</v>
      </c>
      <c r="F224" t="s">
        <v>1484</v>
      </c>
      <c r="G224" t="s">
        <v>1485</v>
      </c>
    </row>
    <row r="225" spans="1:7" x14ac:dyDescent="0.2">
      <c r="A225" t="s">
        <v>1995</v>
      </c>
      <c r="B225" t="s">
        <v>1480</v>
      </c>
      <c r="C225" t="s">
        <v>1996</v>
      </c>
      <c r="D225" t="s">
        <v>1540</v>
      </c>
      <c r="E225" t="s">
        <v>1541</v>
      </c>
      <c r="F225" t="s">
        <v>1484</v>
      </c>
      <c r="G225" t="s">
        <v>1485</v>
      </c>
    </row>
    <row r="226" spans="1:7" x14ac:dyDescent="0.2">
      <c r="A226" t="s">
        <v>1997</v>
      </c>
      <c r="B226" t="s">
        <v>1480</v>
      </c>
      <c r="C226" t="s">
        <v>1998</v>
      </c>
      <c r="D226" t="s">
        <v>1540</v>
      </c>
      <c r="E226" t="s">
        <v>1541</v>
      </c>
      <c r="F226" t="s">
        <v>1484</v>
      </c>
      <c r="G226" t="s">
        <v>1485</v>
      </c>
    </row>
    <row r="227" spans="1:7" x14ac:dyDescent="0.2">
      <c r="A227" t="s">
        <v>1999</v>
      </c>
      <c r="B227" t="s">
        <v>1480</v>
      </c>
      <c r="C227" t="s">
        <v>2000</v>
      </c>
      <c r="D227" t="s">
        <v>1548</v>
      </c>
      <c r="E227" t="s">
        <v>1549</v>
      </c>
      <c r="F227" t="s">
        <v>1484</v>
      </c>
      <c r="G227" t="s">
        <v>1485</v>
      </c>
    </row>
    <row r="228" spans="1:7" x14ac:dyDescent="0.2">
      <c r="A228" t="s">
        <v>2001</v>
      </c>
      <c r="B228" t="s">
        <v>1480</v>
      </c>
      <c r="C228" t="s">
        <v>2002</v>
      </c>
      <c r="D228" t="s">
        <v>1604</v>
      </c>
      <c r="E228" t="s">
        <v>1605</v>
      </c>
      <c r="F228" t="s">
        <v>1484</v>
      </c>
      <c r="G228" t="s">
        <v>1485</v>
      </c>
    </row>
    <row r="229" spans="1:7" x14ac:dyDescent="0.2">
      <c r="A229" t="s">
        <v>2003</v>
      </c>
      <c r="B229" t="s">
        <v>1480</v>
      </c>
      <c r="C229" t="s">
        <v>2004</v>
      </c>
      <c r="D229" t="s">
        <v>1604</v>
      </c>
      <c r="E229" t="s">
        <v>1605</v>
      </c>
      <c r="F229" t="s">
        <v>1484</v>
      </c>
      <c r="G229" t="s">
        <v>1485</v>
      </c>
    </row>
    <row r="230" spans="1:7" x14ac:dyDescent="0.2">
      <c r="A230" t="s">
        <v>2005</v>
      </c>
      <c r="B230" t="s">
        <v>1480</v>
      </c>
      <c r="C230" t="s">
        <v>2006</v>
      </c>
      <c r="D230" t="s">
        <v>1604</v>
      </c>
      <c r="E230" t="s">
        <v>1605</v>
      </c>
      <c r="F230" t="s">
        <v>1484</v>
      </c>
      <c r="G230" t="s">
        <v>1485</v>
      </c>
    </row>
    <row r="231" spans="1:7" x14ac:dyDescent="0.2">
      <c r="A231" t="s">
        <v>2007</v>
      </c>
      <c r="B231" t="s">
        <v>1480</v>
      </c>
      <c r="C231" t="s">
        <v>2008</v>
      </c>
      <c r="D231" t="s">
        <v>1516</v>
      </c>
      <c r="E231" t="s">
        <v>1517</v>
      </c>
      <c r="F231" t="s">
        <v>1484</v>
      </c>
      <c r="G231" t="s">
        <v>1485</v>
      </c>
    </row>
    <row r="232" spans="1:7" x14ac:dyDescent="0.2">
      <c r="A232" t="s">
        <v>2009</v>
      </c>
      <c r="B232" t="s">
        <v>1480</v>
      </c>
      <c r="C232" t="s">
        <v>2010</v>
      </c>
      <c r="D232" t="s">
        <v>1536</v>
      </c>
      <c r="E232" t="s">
        <v>1537</v>
      </c>
      <c r="F232" t="s">
        <v>1484</v>
      </c>
      <c r="G232" t="s">
        <v>1485</v>
      </c>
    </row>
    <row r="233" spans="1:7" x14ac:dyDescent="0.2">
      <c r="A233" t="s">
        <v>2011</v>
      </c>
      <c r="B233" t="s">
        <v>1480</v>
      </c>
      <c r="C233" t="s">
        <v>2012</v>
      </c>
      <c r="D233" t="s">
        <v>1536</v>
      </c>
      <c r="E233" t="s">
        <v>1537</v>
      </c>
      <c r="F233" t="s">
        <v>1484</v>
      </c>
      <c r="G233" t="s">
        <v>1485</v>
      </c>
    </row>
    <row r="234" spans="1:7" x14ac:dyDescent="0.2">
      <c r="A234" t="s">
        <v>2013</v>
      </c>
      <c r="B234" t="s">
        <v>1480</v>
      </c>
      <c r="C234" t="s">
        <v>2014</v>
      </c>
      <c r="D234" t="s">
        <v>1598</v>
      </c>
      <c r="E234" t="s">
        <v>1599</v>
      </c>
      <c r="F234" t="s">
        <v>1484</v>
      </c>
      <c r="G234" t="s">
        <v>1485</v>
      </c>
    </row>
    <row r="235" spans="1:7" x14ac:dyDescent="0.2">
      <c r="A235" t="s">
        <v>2015</v>
      </c>
      <c r="B235" t="s">
        <v>1480</v>
      </c>
      <c r="C235" t="s">
        <v>2016</v>
      </c>
      <c r="D235" t="s">
        <v>1516</v>
      </c>
      <c r="E235" t="s">
        <v>1517</v>
      </c>
      <c r="F235" t="s">
        <v>1484</v>
      </c>
      <c r="G235" t="s">
        <v>1485</v>
      </c>
    </row>
    <row r="236" spans="1:7" x14ac:dyDescent="0.2">
      <c r="A236" t="s">
        <v>2017</v>
      </c>
      <c r="B236" t="s">
        <v>1480</v>
      </c>
      <c r="C236" t="s">
        <v>2018</v>
      </c>
      <c r="D236" t="s">
        <v>1516</v>
      </c>
      <c r="E236" t="s">
        <v>1517</v>
      </c>
      <c r="F236" t="s">
        <v>1484</v>
      </c>
      <c r="G236" t="s">
        <v>1485</v>
      </c>
    </row>
    <row r="237" spans="1:7" x14ac:dyDescent="0.2">
      <c r="A237" t="s">
        <v>2019</v>
      </c>
      <c r="B237" t="s">
        <v>1480</v>
      </c>
      <c r="C237" t="s">
        <v>2020</v>
      </c>
      <c r="D237" t="s">
        <v>1516</v>
      </c>
      <c r="E237" t="s">
        <v>1517</v>
      </c>
      <c r="F237" t="s">
        <v>1484</v>
      </c>
      <c r="G237" t="s">
        <v>1485</v>
      </c>
    </row>
    <row r="238" spans="1:7" x14ac:dyDescent="0.2">
      <c r="A238" t="s">
        <v>1516</v>
      </c>
      <c r="B238" t="s">
        <v>1480</v>
      </c>
      <c r="C238" t="s">
        <v>2021</v>
      </c>
      <c r="D238" t="s">
        <v>1500</v>
      </c>
      <c r="E238" t="s">
        <v>1501</v>
      </c>
      <c r="F238" t="s">
        <v>1484</v>
      </c>
      <c r="G238" t="s">
        <v>1485</v>
      </c>
    </row>
    <row r="239" spans="1:7" x14ac:dyDescent="0.2">
      <c r="A239" t="s">
        <v>2022</v>
      </c>
      <c r="B239" t="s">
        <v>1480</v>
      </c>
      <c r="C239" t="s">
        <v>2023</v>
      </c>
      <c r="D239" t="s">
        <v>1488</v>
      </c>
      <c r="E239" t="s">
        <v>1489</v>
      </c>
      <c r="F239" t="s">
        <v>1484</v>
      </c>
      <c r="G239" t="s">
        <v>1485</v>
      </c>
    </row>
    <row r="240" spans="1:7" x14ac:dyDescent="0.2">
      <c r="A240" t="s">
        <v>2024</v>
      </c>
      <c r="B240" t="s">
        <v>1480</v>
      </c>
      <c r="C240" t="s">
        <v>2025</v>
      </c>
      <c r="D240" t="s">
        <v>2026</v>
      </c>
      <c r="E240" t="s">
        <v>2027</v>
      </c>
      <c r="F240" t="s">
        <v>1484</v>
      </c>
      <c r="G240" t="s">
        <v>1485</v>
      </c>
    </row>
    <row r="241" spans="1:7" x14ac:dyDescent="0.2">
      <c r="A241" t="s">
        <v>2028</v>
      </c>
      <c r="B241" t="s">
        <v>1480</v>
      </c>
      <c r="C241" t="s">
        <v>2029</v>
      </c>
      <c r="D241" t="s">
        <v>1510</v>
      </c>
      <c r="E241" t="s">
        <v>1511</v>
      </c>
      <c r="F241" t="s">
        <v>1484</v>
      </c>
      <c r="G241" t="s">
        <v>1485</v>
      </c>
    </row>
    <row r="242" spans="1:7" x14ac:dyDescent="0.2">
      <c r="A242" t="s">
        <v>2030</v>
      </c>
      <c r="B242" t="s">
        <v>1480</v>
      </c>
      <c r="C242" t="s">
        <v>2031</v>
      </c>
      <c r="D242" t="s">
        <v>1568</v>
      </c>
      <c r="E242" t="s">
        <v>1569</v>
      </c>
      <c r="F242" t="s">
        <v>1484</v>
      </c>
      <c r="G242" t="s">
        <v>1485</v>
      </c>
    </row>
    <row r="243" spans="1:7" x14ac:dyDescent="0.2">
      <c r="A243" t="s">
        <v>2032</v>
      </c>
      <c r="B243" t="s">
        <v>1480</v>
      </c>
      <c r="C243" t="s">
        <v>2033</v>
      </c>
      <c r="D243" t="s">
        <v>1540</v>
      </c>
      <c r="E243" t="s">
        <v>1541</v>
      </c>
      <c r="F243" t="s">
        <v>1484</v>
      </c>
      <c r="G243" t="s">
        <v>1485</v>
      </c>
    </row>
    <row r="244" spans="1:7" x14ac:dyDescent="0.2">
      <c r="A244" t="s">
        <v>2034</v>
      </c>
      <c r="B244" t="s">
        <v>1480</v>
      </c>
      <c r="C244" t="s">
        <v>2035</v>
      </c>
      <c r="D244" t="s">
        <v>1510</v>
      </c>
      <c r="E244" t="s">
        <v>1511</v>
      </c>
      <c r="F244" t="s">
        <v>1484</v>
      </c>
      <c r="G244" t="s">
        <v>1485</v>
      </c>
    </row>
    <row r="245" spans="1:7" x14ac:dyDescent="0.2">
      <c r="A245" t="s">
        <v>2036</v>
      </c>
      <c r="B245" t="s">
        <v>1480</v>
      </c>
      <c r="C245" t="s">
        <v>2037</v>
      </c>
      <c r="D245" t="s">
        <v>1637</v>
      </c>
      <c r="E245" t="s">
        <v>1638</v>
      </c>
      <c r="F245" t="s">
        <v>1484</v>
      </c>
      <c r="G245" t="s">
        <v>1485</v>
      </c>
    </row>
    <row r="246" spans="1:7" x14ac:dyDescent="0.2">
      <c r="A246" t="s">
        <v>2038</v>
      </c>
      <c r="B246" t="s">
        <v>1480</v>
      </c>
      <c r="C246" t="s">
        <v>2039</v>
      </c>
      <c r="D246" t="s">
        <v>1562</v>
      </c>
      <c r="E246" t="s">
        <v>1563</v>
      </c>
      <c r="F246" t="s">
        <v>1484</v>
      </c>
      <c r="G246" t="s">
        <v>1485</v>
      </c>
    </row>
    <row r="247" spans="1:7" x14ac:dyDescent="0.2">
      <c r="A247" t="s">
        <v>2040</v>
      </c>
      <c r="B247" t="s">
        <v>1480</v>
      </c>
      <c r="C247" t="s">
        <v>2041</v>
      </c>
      <c r="D247" t="s">
        <v>1562</v>
      </c>
      <c r="E247" t="s">
        <v>1563</v>
      </c>
      <c r="F247" t="s">
        <v>1484</v>
      </c>
      <c r="G247" t="s">
        <v>1485</v>
      </c>
    </row>
    <row r="248" spans="1:7" x14ac:dyDescent="0.2">
      <c r="A248" t="s">
        <v>2042</v>
      </c>
      <c r="B248" t="s">
        <v>1480</v>
      </c>
      <c r="C248" t="s">
        <v>2043</v>
      </c>
      <c r="D248" t="s">
        <v>1516</v>
      </c>
      <c r="E248" t="s">
        <v>1517</v>
      </c>
      <c r="F248" t="s">
        <v>1484</v>
      </c>
      <c r="G248" t="s">
        <v>1485</v>
      </c>
    </row>
    <row r="249" spans="1:7" x14ac:dyDescent="0.2">
      <c r="A249" t="s">
        <v>2044</v>
      </c>
      <c r="B249" t="s">
        <v>1480</v>
      </c>
      <c r="C249" t="s">
        <v>2045</v>
      </c>
      <c r="D249" t="s">
        <v>1500</v>
      </c>
      <c r="E249" t="s">
        <v>1501</v>
      </c>
      <c r="F249" t="s">
        <v>1484</v>
      </c>
      <c r="G249" t="s">
        <v>1485</v>
      </c>
    </row>
    <row r="250" spans="1:7" x14ac:dyDescent="0.2">
      <c r="A250" t="s">
        <v>2046</v>
      </c>
      <c r="B250" t="s">
        <v>1480</v>
      </c>
      <c r="C250" t="s">
        <v>2047</v>
      </c>
      <c r="D250" t="s">
        <v>1510</v>
      </c>
      <c r="E250" t="s">
        <v>1511</v>
      </c>
      <c r="F250" t="s">
        <v>1484</v>
      </c>
      <c r="G250" t="s">
        <v>1485</v>
      </c>
    </row>
    <row r="251" spans="1:7" x14ac:dyDescent="0.2">
      <c r="A251" t="s">
        <v>2048</v>
      </c>
      <c r="B251" t="s">
        <v>1480</v>
      </c>
      <c r="C251" t="s">
        <v>2049</v>
      </c>
      <c r="D251" t="s">
        <v>1510</v>
      </c>
      <c r="E251" t="s">
        <v>1511</v>
      </c>
      <c r="F251" t="s">
        <v>1484</v>
      </c>
      <c r="G251" t="s">
        <v>1485</v>
      </c>
    </row>
    <row r="252" spans="1:7" x14ac:dyDescent="0.2">
      <c r="A252" t="s">
        <v>2050</v>
      </c>
      <c r="B252" t="s">
        <v>1480</v>
      </c>
      <c r="C252" t="s">
        <v>2051</v>
      </c>
      <c r="D252" t="s">
        <v>1876</v>
      </c>
      <c r="E252" t="s">
        <v>1877</v>
      </c>
      <c r="F252" t="s">
        <v>1484</v>
      </c>
      <c r="G252" t="s">
        <v>1485</v>
      </c>
    </row>
    <row r="253" spans="1:7" x14ac:dyDescent="0.2">
      <c r="A253" t="s">
        <v>1532</v>
      </c>
      <c r="B253" t="s">
        <v>1480</v>
      </c>
      <c r="C253" t="s">
        <v>2052</v>
      </c>
      <c r="D253" t="s">
        <v>1532</v>
      </c>
      <c r="E253" t="s">
        <v>1533</v>
      </c>
      <c r="F253" t="s">
        <v>1484</v>
      </c>
      <c r="G253" t="s">
        <v>1485</v>
      </c>
    </row>
    <row r="254" spans="1:7" x14ac:dyDescent="0.2">
      <c r="A254" t="s">
        <v>2053</v>
      </c>
      <c r="B254" t="s">
        <v>1480</v>
      </c>
      <c r="C254" t="s">
        <v>2054</v>
      </c>
      <c r="D254" t="s">
        <v>1488</v>
      </c>
      <c r="E254" t="s">
        <v>1489</v>
      </c>
      <c r="F254" t="s">
        <v>1484</v>
      </c>
      <c r="G254" t="s">
        <v>1485</v>
      </c>
    </row>
    <row r="255" spans="1:7" x14ac:dyDescent="0.2">
      <c r="A255" t="s">
        <v>2055</v>
      </c>
      <c r="B255" t="s">
        <v>1480</v>
      </c>
      <c r="C255" t="s">
        <v>2056</v>
      </c>
      <c r="D255" t="s">
        <v>1691</v>
      </c>
      <c r="E255" t="s">
        <v>1692</v>
      </c>
      <c r="F255" t="s">
        <v>1484</v>
      </c>
      <c r="G255" t="s">
        <v>1485</v>
      </c>
    </row>
    <row r="256" spans="1:7" x14ac:dyDescent="0.2">
      <c r="A256" t="s">
        <v>2057</v>
      </c>
      <c r="B256" t="s">
        <v>1480</v>
      </c>
      <c r="C256" t="s">
        <v>2058</v>
      </c>
      <c r="D256" t="s">
        <v>1691</v>
      </c>
      <c r="E256" t="s">
        <v>1692</v>
      </c>
      <c r="F256" t="s">
        <v>1484</v>
      </c>
      <c r="G256" t="s">
        <v>1485</v>
      </c>
    </row>
    <row r="257" spans="1:7" x14ac:dyDescent="0.2">
      <c r="A257" t="s">
        <v>2059</v>
      </c>
      <c r="B257" t="s">
        <v>1480</v>
      </c>
      <c r="C257" t="s">
        <v>2060</v>
      </c>
      <c r="D257" t="s">
        <v>1695</v>
      </c>
      <c r="E257" t="s">
        <v>1696</v>
      </c>
      <c r="F257" t="s">
        <v>1484</v>
      </c>
      <c r="G257" t="s">
        <v>1485</v>
      </c>
    </row>
    <row r="258" spans="1:7" x14ac:dyDescent="0.2">
      <c r="A258" t="s">
        <v>2061</v>
      </c>
      <c r="B258" t="s">
        <v>1480</v>
      </c>
      <c r="C258" t="s">
        <v>2062</v>
      </c>
      <c r="D258" t="s">
        <v>1598</v>
      </c>
      <c r="E258" t="s">
        <v>1599</v>
      </c>
      <c r="F258" t="s">
        <v>1484</v>
      </c>
      <c r="G258" t="s">
        <v>1485</v>
      </c>
    </row>
    <row r="259" spans="1:7" x14ac:dyDescent="0.2">
      <c r="A259" t="s">
        <v>2063</v>
      </c>
      <c r="B259" t="s">
        <v>1480</v>
      </c>
      <c r="C259" t="s">
        <v>2064</v>
      </c>
      <c r="D259" t="s">
        <v>1896</v>
      </c>
      <c r="E259" t="s">
        <v>1898</v>
      </c>
      <c r="F259" t="s">
        <v>1484</v>
      </c>
      <c r="G259" t="s">
        <v>1485</v>
      </c>
    </row>
    <row r="260" spans="1:7" x14ac:dyDescent="0.2">
      <c r="A260" t="s">
        <v>2065</v>
      </c>
      <c r="B260" t="s">
        <v>1480</v>
      </c>
      <c r="C260" t="s">
        <v>2066</v>
      </c>
      <c r="D260" t="s">
        <v>1482</v>
      </c>
      <c r="E260" t="s">
        <v>1483</v>
      </c>
      <c r="F260" t="s">
        <v>1484</v>
      </c>
      <c r="G260" t="s">
        <v>1485</v>
      </c>
    </row>
    <row r="261" spans="1:7" x14ac:dyDescent="0.2">
      <c r="A261" t="s">
        <v>2067</v>
      </c>
      <c r="B261" t="s">
        <v>1480</v>
      </c>
      <c r="C261" t="s">
        <v>2068</v>
      </c>
      <c r="D261" t="s">
        <v>2069</v>
      </c>
      <c r="E261" t="s">
        <v>2070</v>
      </c>
      <c r="F261" t="s">
        <v>1484</v>
      </c>
      <c r="G261" t="s">
        <v>1485</v>
      </c>
    </row>
    <row r="262" spans="1:7" x14ac:dyDescent="0.2">
      <c r="A262" t="s">
        <v>2071</v>
      </c>
      <c r="B262" t="s">
        <v>1480</v>
      </c>
      <c r="C262" t="s">
        <v>2072</v>
      </c>
      <c r="D262" t="s">
        <v>1705</v>
      </c>
      <c r="E262" t="s">
        <v>1706</v>
      </c>
      <c r="F262" t="s">
        <v>1484</v>
      </c>
      <c r="G262" t="s">
        <v>1485</v>
      </c>
    </row>
    <row r="263" spans="1:7" x14ac:dyDescent="0.2">
      <c r="A263" t="s">
        <v>2073</v>
      </c>
      <c r="B263" t="s">
        <v>1480</v>
      </c>
      <c r="C263" t="s">
        <v>2074</v>
      </c>
      <c r="D263" t="s">
        <v>1657</v>
      </c>
      <c r="E263" t="s">
        <v>1658</v>
      </c>
      <c r="F263" t="s">
        <v>1484</v>
      </c>
      <c r="G263" t="s">
        <v>1485</v>
      </c>
    </row>
    <row r="264" spans="1:7" x14ac:dyDescent="0.2">
      <c r="A264" t="s">
        <v>2075</v>
      </c>
      <c r="B264" t="s">
        <v>1480</v>
      </c>
      <c r="C264" t="s">
        <v>2076</v>
      </c>
      <c r="D264" t="s">
        <v>1741</v>
      </c>
      <c r="E264" t="s">
        <v>1742</v>
      </c>
      <c r="F264" t="s">
        <v>1484</v>
      </c>
      <c r="G264" t="s">
        <v>1485</v>
      </c>
    </row>
    <row r="265" spans="1:7" x14ac:dyDescent="0.2">
      <c r="A265" t="s">
        <v>2077</v>
      </c>
      <c r="B265" t="s">
        <v>1480</v>
      </c>
      <c r="C265" t="s">
        <v>2078</v>
      </c>
      <c r="D265" t="s">
        <v>1494</v>
      </c>
      <c r="E265" t="s">
        <v>1495</v>
      </c>
      <c r="F265" t="s">
        <v>1484</v>
      </c>
      <c r="G265" t="s">
        <v>1485</v>
      </c>
    </row>
    <row r="266" spans="1:7" x14ac:dyDescent="0.2">
      <c r="A266" t="s">
        <v>2079</v>
      </c>
      <c r="B266" t="s">
        <v>1480</v>
      </c>
      <c r="C266" t="s">
        <v>2080</v>
      </c>
      <c r="D266" t="s">
        <v>1536</v>
      </c>
      <c r="E266" t="s">
        <v>1537</v>
      </c>
      <c r="F266" t="s">
        <v>1484</v>
      </c>
      <c r="G266" t="s">
        <v>1485</v>
      </c>
    </row>
    <row r="267" spans="1:7" x14ac:dyDescent="0.2">
      <c r="A267" t="s">
        <v>2081</v>
      </c>
      <c r="B267" t="s">
        <v>1480</v>
      </c>
      <c r="C267" t="s">
        <v>2082</v>
      </c>
      <c r="D267" t="s">
        <v>1705</v>
      </c>
      <c r="E267" t="s">
        <v>1706</v>
      </c>
      <c r="F267" t="s">
        <v>1484</v>
      </c>
      <c r="G267" t="s">
        <v>1485</v>
      </c>
    </row>
    <row r="268" spans="1:7" x14ac:dyDescent="0.2">
      <c r="A268" t="s">
        <v>2083</v>
      </c>
      <c r="B268" t="s">
        <v>1480</v>
      </c>
      <c r="C268" t="s">
        <v>2084</v>
      </c>
      <c r="D268" t="s">
        <v>1705</v>
      </c>
      <c r="E268" t="s">
        <v>1706</v>
      </c>
      <c r="F268" t="s">
        <v>1484</v>
      </c>
      <c r="G268" t="s">
        <v>1485</v>
      </c>
    </row>
    <row r="269" spans="1:7" x14ac:dyDescent="0.2">
      <c r="A269" t="s">
        <v>2085</v>
      </c>
      <c r="B269" t="s">
        <v>1480</v>
      </c>
      <c r="C269" t="s">
        <v>2086</v>
      </c>
      <c r="D269" t="s">
        <v>1691</v>
      </c>
      <c r="E269" t="s">
        <v>1692</v>
      </c>
      <c r="F269" t="s">
        <v>1484</v>
      </c>
      <c r="G269" t="s">
        <v>1485</v>
      </c>
    </row>
    <row r="270" spans="1:7" x14ac:dyDescent="0.2">
      <c r="A270" t="s">
        <v>2087</v>
      </c>
      <c r="B270" t="s">
        <v>1480</v>
      </c>
      <c r="C270" t="s">
        <v>2088</v>
      </c>
      <c r="D270" t="s">
        <v>1729</v>
      </c>
      <c r="E270" t="s">
        <v>1730</v>
      </c>
      <c r="F270" t="s">
        <v>1484</v>
      </c>
      <c r="G270" t="s">
        <v>1485</v>
      </c>
    </row>
    <row r="271" spans="1:7" x14ac:dyDescent="0.2">
      <c r="A271" t="s">
        <v>2089</v>
      </c>
      <c r="B271" t="s">
        <v>1480</v>
      </c>
      <c r="C271" t="s">
        <v>2090</v>
      </c>
      <c r="D271" t="s">
        <v>1729</v>
      </c>
      <c r="E271" t="s">
        <v>1730</v>
      </c>
      <c r="F271" t="s">
        <v>1484</v>
      </c>
      <c r="G271" t="s">
        <v>1485</v>
      </c>
    </row>
    <row r="272" spans="1:7" x14ac:dyDescent="0.2">
      <c r="A272" t="s">
        <v>2091</v>
      </c>
      <c r="B272" t="s">
        <v>1480</v>
      </c>
      <c r="C272" t="s">
        <v>2092</v>
      </c>
      <c r="D272" t="s">
        <v>1691</v>
      </c>
      <c r="E272" t="s">
        <v>1692</v>
      </c>
      <c r="F272" t="s">
        <v>1484</v>
      </c>
      <c r="G272" t="s">
        <v>1485</v>
      </c>
    </row>
    <row r="273" spans="1:7" x14ac:dyDescent="0.2">
      <c r="A273" t="s">
        <v>2093</v>
      </c>
      <c r="B273" t="s">
        <v>1480</v>
      </c>
      <c r="C273" t="s">
        <v>2094</v>
      </c>
      <c r="D273" t="s">
        <v>1506</v>
      </c>
      <c r="E273" t="s">
        <v>1507</v>
      </c>
      <c r="F273" t="s">
        <v>1484</v>
      </c>
      <c r="G273" t="s">
        <v>1485</v>
      </c>
    </row>
    <row r="274" spans="1:7" x14ac:dyDescent="0.2">
      <c r="A274" t="s">
        <v>2095</v>
      </c>
      <c r="B274" t="s">
        <v>1480</v>
      </c>
      <c r="C274" t="s">
        <v>2096</v>
      </c>
      <c r="D274" t="s">
        <v>1691</v>
      </c>
      <c r="E274" t="s">
        <v>1692</v>
      </c>
      <c r="F274" t="s">
        <v>1484</v>
      </c>
      <c r="G274" t="s">
        <v>1485</v>
      </c>
    </row>
    <row r="275" spans="1:7" x14ac:dyDescent="0.2">
      <c r="A275" t="s">
        <v>2097</v>
      </c>
      <c r="B275" t="s">
        <v>1480</v>
      </c>
      <c r="C275" t="s">
        <v>2098</v>
      </c>
      <c r="D275" t="s">
        <v>1725</v>
      </c>
      <c r="E275" t="s">
        <v>1726</v>
      </c>
      <c r="F275" t="s">
        <v>1484</v>
      </c>
      <c r="G275" t="s">
        <v>1485</v>
      </c>
    </row>
    <row r="276" spans="1:7" x14ac:dyDescent="0.2">
      <c r="A276" t="s">
        <v>2099</v>
      </c>
      <c r="B276" t="s">
        <v>1480</v>
      </c>
      <c r="C276" t="s">
        <v>2100</v>
      </c>
      <c r="D276" t="s">
        <v>1691</v>
      </c>
      <c r="E276" t="s">
        <v>1692</v>
      </c>
      <c r="F276" t="s">
        <v>1484</v>
      </c>
      <c r="G276" t="s">
        <v>1485</v>
      </c>
    </row>
    <row r="277" spans="1:7" x14ac:dyDescent="0.2">
      <c r="A277" t="s">
        <v>2101</v>
      </c>
      <c r="B277" t="s">
        <v>1480</v>
      </c>
      <c r="C277" t="s">
        <v>2102</v>
      </c>
      <c r="D277" t="s">
        <v>1657</v>
      </c>
      <c r="E277" t="s">
        <v>1658</v>
      </c>
      <c r="F277" t="s">
        <v>1484</v>
      </c>
      <c r="G277" t="s">
        <v>1485</v>
      </c>
    </row>
    <row r="278" spans="1:7" x14ac:dyDescent="0.2">
      <c r="A278" t="s">
        <v>2103</v>
      </c>
      <c r="B278" t="s">
        <v>1480</v>
      </c>
      <c r="C278" t="s">
        <v>2104</v>
      </c>
      <c r="D278" t="s">
        <v>1705</v>
      </c>
      <c r="E278" t="s">
        <v>1706</v>
      </c>
      <c r="F278" t="s">
        <v>1484</v>
      </c>
      <c r="G278" t="s">
        <v>1485</v>
      </c>
    </row>
    <row r="279" spans="1:7" x14ac:dyDescent="0.2">
      <c r="A279" t="s">
        <v>2105</v>
      </c>
      <c r="B279" t="s">
        <v>1480</v>
      </c>
      <c r="C279" t="s">
        <v>2106</v>
      </c>
      <c r="D279" t="s">
        <v>1729</v>
      </c>
      <c r="E279" t="s">
        <v>1730</v>
      </c>
      <c r="F279" t="s">
        <v>1484</v>
      </c>
      <c r="G279" t="s">
        <v>1485</v>
      </c>
    </row>
    <row r="280" spans="1:7" x14ac:dyDescent="0.2">
      <c r="A280" t="s">
        <v>2107</v>
      </c>
      <c r="B280" t="s">
        <v>1480</v>
      </c>
      <c r="C280" t="s">
        <v>2108</v>
      </c>
      <c r="D280" t="s">
        <v>1735</v>
      </c>
      <c r="E280" t="s">
        <v>1736</v>
      </c>
      <c r="F280" t="s">
        <v>1484</v>
      </c>
      <c r="G280" t="s">
        <v>1485</v>
      </c>
    </row>
    <row r="281" spans="1:7" x14ac:dyDescent="0.2">
      <c r="A281" t="s">
        <v>2109</v>
      </c>
      <c r="B281" t="s">
        <v>1480</v>
      </c>
      <c r="C281" t="s">
        <v>2110</v>
      </c>
      <c r="D281" t="s">
        <v>1705</v>
      </c>
      <c r="E281" t="s">
        <v>1706</v>
      </c>
      <c r="F281" t="s">
        <v>1484</v>
      </c>
      <c r="G281" t="s">
        <v>1485</v>
      </c>
    </row>
    <row r="282" spans="1:7" x14ac:dyDescent="0.2">
      <c r="A282" t="s">
        <v>2111</v>
      </c>
      <c r="B282" t="s">
        <v>1480</v>
      </c>
      <c r="C282" t="s">
        <v>2112</v>
      </c>
      <c r="D282" t="s">
        <v>1572</v>
      </c>
      <c r="E282" t="s">
        <v>1573</v>
      </c>
      <c r="F282" t="s">
        <v>1484</v>
      </c>
      <c r="G282" t="s">
        <v>1485</v>
      </c>
    </row>
    <row r="283" spans="1:7" x14ac:dyDescent="0.2">
      <c r="A283" t="s">
        <v>2113</v>
      </c>
      <c r="B283" t="s">
        <v>1480</v>
      </c>
      <c r="C283" t="s">
        <v>2114</v>
      </c>
      <c r="D283" t="s">
        <v>1657</v>
      </c>
      <c r="E283" t="s">
        <v>1658</v>
      </c>
      <c r="F283" t="s">
        <v>1484</v>
      </c>
      <c r="G283" t="s">
        <v>1485</v>
      </c>
    </row>
    <row r="284" spans="1:7" x14ac:dyDescent="0.2">
      <c r="A284" t="s">
        <v>2115</v>
      </c>
      <c r="B284" t="s">
        <v>1480</v>
      </c>
      <c r="C284" t="s">
        <v>2116</v>
      </c>
      <c r="D284" t="s">
        <v>1691</v>
      </c>
      <c r="E284" t="s">
        <v>1692</v>
      </c>
      <c r="F284" t="s">
        <v>1484</v>
      </c>
      <c r="G284" t="s">
        <v>1485</v>
      </c>
    </row>
    <row r="285" spans="1:7" x14ac:dyDescent="0.2">
      <c r="A285" t="s">
        <v>2117</v>
      </c>
      <c r="B285" t="s">
        <v>1480</v>
      </c>
      <c r="C285" t="s">
        <v>2118</v>
      </c>
      <c r="D285" t="s">
        <v>1876</v>
      </c>
      <c r="E285" t="s">
        <v>1877</v>
      </c>
      <c r="F285" t="s">
        <v>1484</v>
      </c>
      <c r="G285" t="s">
        <v>1485</v>
      </c>
    </row>
    <row r="286" spans="1:7" x14ac:dyDescent="0.2">
      <c r="A286" t="s">
        <v>2119</v>
      </c>
      <c r="B286" t="s">
        <v>1480</v>
      </c>
      <c r="C286" t="s">
        <v>2120</v>
      </c>
      <c r="D286" t="s">
        <v>1554</v>
      </c>
      <c r="E286" t="s">
        <v>1555</v>
      </c>
      <c r="F286" t="s">
        <v>1484</v>
      </c>
      <c r="G286" t="s">
        <v>1485</v>
      </c>
    </row>
    <row r="287" spans="1:7" x14ac:dyDescent="0.2">
      <c r="A287" t="s">
        <v>2121</v>
      </c>
      <c r="B287" t="s">
        <v>1480</v>
      </c>
      <c r="C287" t="s">
        <v>2122</v>
      </c>
      <c r="D287" t="s">
        <v>1554</v>
      </c>
      <c r="E287" t="s">
        <v>1555</v>
      </c>
      <c r="F287" t="s">
        <v>1484</v>
      </c>
      <c r="G287" t="s">
        <v>1485</v>
      </c>
    </row>
    <row r="288" spans="1:7" x14ac:dyDescent="0.2">
      <c r="A288" t="s">
        <v>2123</v>
      </c>
      <c r="B288" t="s">
        <v>1480</v>
      </c>
      <c r="C288" t="s">
        <v>2124</v>
      </c>
      <c r="D288" t="s">
        <v>1653</v>
      </c>
      <c r="E288" t="s">
        <v>1654</v>
      </c>
      <c r="F288" t="s">
        <v>1484</v>
      </c>
      <c r="G288" t="s">
        <v>1485</v>
      </c>
    </row>
    <row r="289" spans="1:7" x14ac:dyDescent="0.2">
      <c r="A289" t="s">
        <v>2125</v>
      </c>
      <c r="B289" t="s">
        <v>1480</v>
      </c>
      <c r="C289" t="s">
        <v>2126</v>
      </c>
      <c r="D289" t="s">
        <v>1576</v>
      </c>
      <c r="E289" t="s">
        <v>1577</v>
      </c>
      <c r="F289" t="s">
        <v>1484</v>
      </c>
      <c r="G289" t="s">
        <v>1485</v>
      </c>
    </row>
    <row r="290" spans="1:7" x14ac:dyDescent="0.2">
      <c r="A290" t="s">
        <v>2127</v>
      </c>
      <c r="B290" t="s">
        <v>1480</v>
      </c>
      <c r="C290" t="s">
        <v>2128</v>
      </c>
      <c r="D290" t="s">
        <v>1669</v>
      </c>
      <c r="E290" t="s">
        <v>1670</v>
      </c>
      <c r="F290" t="s">
        <v>1484</v>
      </c>
      <c r="G290" t="s">
        <v>1485</v>
      </c>
    </row>
    <row r="291" spans="1:7" x14ac:dyDescent="0.2">
      <c r="A291" t="s">
        <v>2129</v>
      </c>
      <c r="B291" t="s">
        <v>1480</v>
      </c>
      <c r="C291" t="s">
        <v>2130</v>
      </c>
      <c r="D291" t="s">
        <v>1735</v>
      </c>
      <c r="E291" t="s">
        <v>1736</v>
      </c>
      <c r="F291" t="s">
        <v>1484</v>
      </c>
      <c r="G291" t="s">
        <v>1485</v>
      </c>
    </row>
    <row r="292" spans="1:7" x14ac:dyDescent="0.2">
      <c r="A292" t="s">
        <v>2131</v>
      </c>
      <c r="B292" t="s">
        <v>1480</v>
      </c>
      <c r="C292" t="s">
        <v>2132</v>
      </c>
      <c r="D292" t="s">
        <v>1725</v>
      </c>
      <c r="E292" t="s">
        <v>1726</v>
      </c>
      <c r="F292" t="s">
        <v>1484</v>
      </c>
      <c r="G292" t="s">
        <v>1485</v>
      </c>
    </row>
    <row r="293" spans="1:7" x14ac:dyDescent="0.2">
      <c r="A293" t="s">
        <v>2133</v>
      </c>
      <c r="B293" t="s">
        <v>1480</v>
      </c>
      <c r="C293" t="s">
        <v>2134</v>
      </c>
      <c r="D293" t="s">
        <v>1705</v>
      </c>
      <c r="E293" t="s">
        <v>1706</v>
      </c>
      <c r="F293" t="s">
        <v>1484</v>
      </c>
      <c r="G293" t="s">
        <v>1485</v>
      </c>
    </row>
    <row r="294" spans="1:7" x14ac:dyDescent="0.2">
      <c r="A294" t="s">
        <v>2135</v>
      </c>
      <c r="B294" t="s">
        <v>1480</v>
      </c>
      <c r="C294" t="s">
        <v>2136</v>
      </c>
      <c r="D294" t="s">
        <v>1870</v>
      </c>
      <c r="E294" t="s">
        <v>1871</v>
      </c>
      <c r="F294" t="s">
        <v>1484</v>
      </c>
      <c r="G294" t="s">
        <v>1485</v>
      </c>
    </row>
    <row r="295" spans="1:7" x14ac:dyDescent="0.2">
      <c r="A295" t="s">
        <v>2137</v>
      </c>
      <c r="B295" t="s">
        <v>1480</v>
      </c>
      <c r="C295" t="s">
        <v>2138</v>
      </c>
      <c r="D295" t="s">
        <v>1870</v>
      </c>
      <c r="E295" t="s">
        <v>1871</v>
      </c>
      <c r="F295" t="s">
        <v>1484</v>
      </c>
      <c r="G295" t="s">
        <v>1485</v>
      </c>
    </row>
    <row r="296" spans="1:7" x14ac:dyDescent="0.2">
      <c r="A296" t="s">
        <v>2139</v>
      </c>
      <c r="B296" t="s">
        <v>1480</v>
      </c>
      <c r="C296" t="s">
        <v>2140</v>
      </c>
      <c r="D296" t="s">
        <v>1695</v>
      </c>
      <c r="E296" t="s">
        <v>1696</v>
      </c>
      <c r="F296" t="s">
        <v>1484</v>
      </c>
      <c r="G296" t="s">
        <v>1485</v>
      </c>
    </row>
    <row r="297" spans="1:7" x14ac:dyDescent="0.2">
      <c r="A297" t="s">
        <v>2141</v>
      </c>
      <c r="B297" t="s">
        <v>1480</v>
      </c>
      <c r="C297" t="s">
        <v>2142</v>
      </c>
      <c r="D297" t="s">
        <v>2026</v>
      </c>
      <c r="E297" t="s">
        <v>2027</v>
      </c>
      <c r="F297" t="s">
        <v>1484</v>
      </c>
      <c r="G297" t="s">
        <v>1485</v>
      </c>
    </row>
    <row r="298" spans="1:7" x14ac:dyDescent="0.2">
      <c r="A298" t="s">
        <v>2143</v>
      </c>
      <c r="B298" t="s">
        <v>1480</v>
      </c>
      <c r="C298" t="s">
        <v>2144</v>
      </c>
      <c r="D298" t="s">
        <v>1876</v>
      </c>
      <c r="E298" t="s">
        <v>1877</v>
      </c>
      <c r="F298" t="s">
        <v>1484</v>
      </c>
      <c r="G298" t="s">
        <v>1485</v>
      </c>
    </row>
    <row r="299" spans="1:7" x14ac:dyDescent="0.2">
      <c r="A299" t="s">
        <v>2145</v>
      </c>
      <c r="B299" t="s">
        <v>1480</v>
      </c>
      <c r="C299" t="s">
        <v>2146</v>
      </c>
      <c r="D299" t="s">
        <v>1510</v>
      </c>
      <c r="E299" t="s">
        <v>1511</v>
      </c>
      <c r="F299" t="s">
        <v>1484</v>
      </c>
      <c r="G299" t="s">
        <v>1485</v>
      </c>
    </row>
    <row r="300" spans="1:7" x14ac:dyDescent="0.2">
      <c r="A300" t="s">
        <v>2147</v>
      </c>
      <c r="B300" t="s">
        <v>1480</v>
      </c>
      <c r="C300" t="s">
        <v>2148</v>
      </c>
      <c r="D300" t="s">
        <v>1876</v>
      </c>
      <c r="E300" t="s">
        <v>1877</v>
      </c>
      <c r="F300" t="s">
        <v>1484</v>
      </c>
      <c r="G300" t="s">
        <v>1485</v>
      </c>
    </row>
    <row r="301" spans="1:7" x14ac:dyDescent="0.2">
      <c r="A301" t="s">
        <v>2149</v>
      </c>
      <c r="B301" t="s">
        <v>1480</v>
      </c>
      <c r="C301" t="s">
        <v>2150</v>
      </c>
      <c r="D301" t="s">
        <v>1536</v>
      </c>
      <c r="E301" t="s">
        <v>1537</v>
      </c>
      <c r="F301" t="s">
        <v>1484</v>
      </c>
      <c r="G301" t="s">
        <v>1485</v>
      </c>
    </row>
    <row r="302" spans="1:7" x14ac:dyDescent="0.2">
      <c r="A302" t="s">
        <v>2151</v>
      </c>
      <c r="B302" t="s">
        <v>1480</v>
      </c>
      <c r="C302" t="s">
        <v>2152</v>
      </c>
      <c r="D302" t="s">
        <v>1576</v>
      </c>
      <c r="E302" t="s">
        <v>1577</v>
      </c>
      <c r="F302" t="s">
        <v>1484</v>
      </c>
      <c r="G302" t="s">
        <v>1485</v>
      </c>
    </row>
    <row r="303" spans="1:7" x14ac:dyDescent="0.2">
      <c r="A303" t="s">
        <v>2153</v>
      </c>
      <c r="B303" t="s">
        <v>1480</v>
      </c>
      <c r="C303" t="s">
        <v>2154</v>
      </c>
      <c r="D303" t="s">
        <v>1510</v>
      </c>
      <c r="E303" t="s">
        <v>1511</v>
      </c>
      <c r="F303" t="s">
        <v>1484</v>
      </c>
      <c r="G303" t="s">
        <v>1485</v>
      </c>
    </row>
    <row r="304" spans="1:7" x14ac:dyDescent="0.2">
      <c r="A304" t="s">
        <v>2155</v>
      </c>
      <c r="B304" t="s">
        <v>1480</v>
      </c>
      <c r="C304" t="s">
        <v>2156</v>
      </c>
      <c r="D304" t="s">
        <v>1711</v>
      </c>
      <c r="E304" t="s">
        <v>1712</v>
      </c>
      <c r="F304" t="s">
        <v>1484</v>
      </c>
      <c r="G304" t="s">
        <v>1485</v>
      </c>
    </row>
    <row r="305" spans="1:7" x14ac:dyDescent="0.2">
      <c r="A305" t="s">
        <v>2157</v>
      </c>
      <c r="B305" t="s">
        <v>1480</v>
      </c>
      <c r="C305" t="s">
        <v>2158</v>
      </c>
      <c r="D305" t="s">
        <v>1554</v>
      </c>
      <c r="E305" t="s">
        <v>1555</v>
      </c>
      <c r="F305" t="s">
        <v>1484</v>
      </c>
      <c r="G305" t="s">
        <v>1485</v>
      </c>
    </row>
    <row r="306" spans="1:7" x14ac:dyDescent="0.2">
      <c r="A306" t="s">
        <v>2159</v>
      </c>
      <c r="B306" t="s">
        <v>1480</v>
      </c>
      <c r="C306" t="s">
        <v>2160</v>
      </c>
      <c r="D306" t="s">
        <v>1729</v>
      </c>
      <c r="E306" t="s">
        <v>1730</v>
      </c>
      <c r="F306" t="s">
        <v>1484</v>
      </c>
      <c r="G306" t="s">
        <v>1485</v>
      </c>
    </row>
    <row r="307" spans="1:7" x14ac:dyDescent="0.2">
      <c r="A307" t="s">
        <v>2161</v>
      </c>
      <c r="B307" t="s">
        <v>1480</v>
      </c>
      <c r="C307" t="s">
        <v>2162</v>
      </c>
      <c r="D307" t="s">
        <v>1506</v>
      </c>
      <c r="E307" t="s">
        <v>1507</v>
      </c>
      <c r="F307" t="s">
        <v>1484</v>
      </c>
      <c r="G307" t="s">
        <v>1485</v>
      </c>
    </row>
    <row r="308" spans="1:7" x14ac:dyDescent="0.2">
      <c r="A308" t="s">
        <v>2163</v>
      </c>
      <c r="B308" t="s">
        <v>1480</v>
      </c>
      <c r="C308" t="s">
        <v>2164</v>
      </c>
      <c r="D308" t="s">
        <v>1657</v>
      </c>
      <c r="E308" t="s">
        <v>1658</v>
      </c>
      <c r="F308" t="s">
        <v>1484</v>
      </c>
      <c r="G308" t="s">
        <v>1485</v>
      </c>
    </row>
    <row r="309" spans="1:7" x14ac:dyDescent="0.2">
      <c r="A309" t="s">
        <v>2165</v>
      </c>
      <c r="B309" t="s">
        <v>1480</v>
      </c>
      <c r="C309" t="s">
        <v>2166</v>
      </c>
      <c r="D309" t="s">
        <v>1870</v>
      </c>
      <c r="E309" t="s">
        <v>1871</v>
      </c>
      <c r="F309" t="s">
        <v>1484</v>
      </c>
      <c r="G309" t="s">
        <v>1485</v>
      </c>
    </row>
    <row r="310" spans="1:7" x14ac:dyDescent="0.2">
      <c r="A310" t="s">
        <v>2167</v>
      </c>
      <c r="B310" t="s">
        <v>1480</v>
      </c>
      <c r="C310" t="s">
        <v>2168</v>
      </c>
      <c r="D310" t="s">
        <v>1725</v>
      </c>
      <c r="E310" t="s">
        <v>1726</v>
      </c>
      <c r="F310" t="s">
        <v>1484</v>
      </c>
      <c r="G310" t="s">
        <v>1485</v>
      </c>
    </row>
    <row r="311" spans="1:7" x14ac:dyDescent="0.2">
      <c r="A311" t="s">
        <v>2169</v>
      </c>
      <c r="B311" t="s">
        <v>1480</v>
      </c>
      <c r="C311" t="s">
        <v>2170</v>
      </c>
      <c r="D311" t="s">
        <v>1572</v>
      </c>
      <c r="E311" t="s">
        <v>1573</v>
      </c>
      <c r="F311" t="s">
        <v>1484</v>
      </c>
      <c r="G311" t="s">
        <v>1485</v>
      </c>
    </row>
    <row r="312" spans="1:7" x14ac:dyDescent="0.2">
      <c r="A312" t="s">
        <v>2171</v>
      </c>
      <c r="B312" t="s">
        <v>1480</v>
      </c>
      <c r="C312" t="s">
        <v>2172</v>
      </c>
      <c r="D312" t="s">
        <v>1695</v>
      </c>
      <c r="E312" t="s">
        <v>1696</v>
      </c>
      <c r="F312" t="s">
        <v>1484</v>
      </c>
      <c r="G312" t="s">
        <v>1485</v>
      </c>
    </row>
    <row r="313" spans="1:7" x14ac:dyDescent="0.2">
      <c r="A313" t="s">
        <v>2173</v>
      </c>
      <c r="B313" t="s">
        <v>1480</v>
      </c>
      <c r="C313" t="s">
        <v>2174</v>
      </c>
      <c r="D313" t="s">
        <v>1695</v>
      </c>
      <c r="E313" t="s">
        <v>1696</v>
      </c>
      <c r="F313" t="s">
        <v>1484</v>
      </c>
      <c r="G313" t="s">
        <v>1485</v>
      </c>
    </row>
    <row r="314" spans="1:7" x14ac:dyDescent="0.2">
      <c r="A314" t="s">
        <v>2175</v>
      </c>
      <c r="B314" t="s">
        <v>1480</v>
      </c>
      <c r="C314" t="s">
        <v>2176</v>
      </c>
      <c r="D314" t="s">
        <v>1506</v>
      </c>
      <c r="E314" t="s">
        <v>1507</v>
      </c>
      <c r="F314" t="s">
        <v>1484</v>
      </c>
      <c r="G314" t="s">
        <v>1485</v>
      </c>
    </row>
    <row r="315" spans="1:7" x14ac:dyDescent="0.2">
      <c r="A315" t="s">
        <v>2177</v>
      </c>
      <c r="B315" t="s">
        <v>1480</v>
      </c>
      <c r="C315" t="s">
        <v>2178</v>
      </c>
      <c r="D315" t="s">
        <v>1691</v>
      </c>
      <c r="E315" t="s">
        <v>1692</v>
      </c>
      <c r="F315" t="s">
        <v>1484</v>
      </c>
      <c r="G315" t="s">
        <v>1485</v>
      </c>
    </row>
    <row r="316" spans="1:7" x14ac:dyDescent="0.2">
      <c r="A316" t="s">
        <v>2179</v>
      </c>
      <c r="B316" t="s">
        <v>1480</v>
      </c>
      <c r="C316" t="s">
        <v>2180</v>
      </c>
      <c r="D316" t="s">
        <v>1896</v>
      </c>
      <c r="E316" t="s">
        <v>1898</v>
      </c>
      <c r="F316" t="s">
        <v>1484</v>
      </c>
      <c r="G316" t="s">
        <v>1485</v>
      </c>
    </row>
    <row r="317" spans="1:7" x14ac:dyDescent="0.2">
      <c r="A317" t="s">
        <v>2181</v>
      </c>
      <c r="B317" t="s">
        <v>1480</v>
      </c>
      <c r="C317" t="s">
        <v>2182</v>
      </c>
      <c r="D317" t="s">
        <v>1876</v>
      </c>
      <c r="E317" t="s">
        <v>1877</v>
      </c>
      <c r="F317" t="s">
        <v>1484</v>
      </c>
      <c r="G317" t="s">
        <v>1485</v>
      </c>
    </row>
    <row r="318" spans="1:7" x14ac:dyDescent="0.2">
      <c r="A318" t="s">
        <v>2183</v>
      </c>
      <c r="B318" t="s">
        <v>1480</v>
      </c>
      <c r="C318" t="s">
        <v>2184</v>
      </c>
      <c r="D318" t="s">
        <v>1705</v>
      </c>
      <c r="E318" t="s">
        <v>1706</v>
      </c>
      <c r="F318" t="s">
        <v>1484</v>
      </c>
      <c r="G318" t="s">
        <v>1485</v>
      </c>
    </row>
    <row r="319" spans="1:7" x14ac:dyDescent="0.2">
      <c r="A319" t="s">
        <v>2185</v>
      </c>
      <c r="B319" t="s">
        <v>1480</v>
      </c>
      <c r="C319" t="s">
        <v>2186</v>
      </c>
      <c r="D319" t="s">
        <v>1554</v>
      </c>
      <c r="E319" t="s">
        <v>1555</v>
      </c>
      <c r="F319" t="s">
        <v>1484</v>
      </c>
      <c r="G319" t="s">
        <v>1485</v>
      </c>
    </row>
    <row r="320" spans="1:7" x14ac:dyDescent="0.2">
      <c r="A320" t="s">
        <v>2187</v>
      </c>
      <c r="B320" t="s">
        <v>1480</v>
      </c>
      <c r="C320" t="s">
        <v>2188</v>
      </c>
      <c r="D320" t="s">
        <v>1528</v>
      </c>
      <c r="E320" t="s">
        <v>1529</v>
      </c>
      <c r="F320" t="s">
        <v>1484</v>
      </c>
      <c r="G320" t="s">
        <v>1485</v>
      </c>
    </row>
    <row r="321" spans="1:7" x14ac:dyDescent="0.2">
      <c r="A321" t="s">
        <v>2189</v>
      </c>
      <c r="B321" t="s">
        <v>1480</v>
      </c>
      <c r="C321" t="s">
        <v>2190</v>
      </c>
      <c r="D321" t="s">
        <v>1554</v>
      </c>
      <c r="E321" t="s">
        <v>1555</v>
      </c>
      <c r="F321" t="s">
        <v>1484</v>
      </c>
      <c r="G321" t="s">
        <v>1485</v>
      </c>
    </row>
    <row r="322" spans="1:7" x14ac:dyDescent="0.2">
      <c r="A322" t="s">
        <v>2191</v>
      </c>
      <c r="B322" t="s">
        <v>1480</v>
      </c>
      <c r="C322" t="s">
        <v>2192</v>
      </c>
      <c r="D322" t="s">
        <v>1705</v>
      </c>
      <c r="E322" t="s">
        <v>1706</v>
      </c>
      <c r="F322" t="s">
        <v>1484</v>
      </c>
      <c r="G322" t="s">
        <v>1485</v>
      </c>
    </row>
    <row r="323" spans="1:7" x14ac:dyDescent="0.2">
      <c r="A323" t="s">
        <v>2193</v>
      </c>
      <c r="B323" t="s">
        <v>1480</v>
      </c>
      <c r="C323" t="s">
        <v>2194</v>
      </c>
      <c r="D323" t="s">
        <v>1657</v>
      </c>
      <c r="E323" t="s">
        <v>1658</v>
      </c>
      <c r="F323" t="s">
        <v>1484</v>
      </c>
      <c r="G323" t="s">
        <v>1485</v>
      </c>
    </row>
    <row r="324" spans="1:7" x14ac:dyDescent="0.2">
      <c r="A324" t="s">
        <v>2195</v>
      </c>
      <c r="B324" t="s">
        <v>1480</v>
      </c>
      <c r="C324" t="s">
        <v>2196</v>
      </c>
      <c r="D324" t="s">
        <v>1691</v>
      </c>
      <c r="E324" t="s">
        <v>1692</v>
      </c>
      <c r="F324" t="s">
        <v>1484</v>
      </c>
      <c r="G324" t="s">
        <v>1485</v>
      </c>
    </row>
    <row r="325" spans="1:7" x14ac:dyDescent="0.2">
      <c r="A325" t="s">
        <v>1729</v>
      </c>
      <c r="B325" t="s">
        <v>1480</v>
      </c>
      <c r="C325" t="s">
        <v>2197</v>
      </c>
      <c r="D325" t="s">
        <v>1729</v>
      </c>
      <c r="E325" t="s">
        <v>1730</v>
      </c>
      <c r="F325" t="s">
        <v>1484</v>
      </c>
      <c r="G325" t="s">
        <v>1485</v>
      </c>
    </row>
    <row r="326" spans="1:7" x14ac:dyDescent="0.2">
      <c r="A326" t="s">
        <v>2198</v>
      </c>
      <c r="B326" t="s">
        <v>1480</v>
      </c>
      <c r="C326" t="s">
        <v>2199</v>
      </c>
      <c r="D326" t="s">
        <v>1691</v>
      </c>
      <c r="E326" t="s">
        <v>1692</v>
      </c>
      <c r="F326" t="s">
        <v>1484</v>
      </c>
      <c r="G326" t="s">
        <v>1485</v>
      </c>
    </row>
    <row r="327" spans="1:7" x14ac:dyDescent="0.2">
      <c r="A327" t="s">
        <v>2200</v>
      </c>
      <c r="B327" t="s">
        <v>1480</v>
      </c>
      <c r="C327" t="s">
        <v>2201</v>
      </c>
      <c r="D327" t="s">
        <v>1691</v>
      </c>
      <c r="E327" t="s">
        <v>1692</v>
      </c>
      <c r="F327" t="s">
        <v>1484</v>
      </c>
      <c r="G327" t="s">
        <v>1485</v>
      </c>
    </row>
    <row r="328" spans="1:7" x14ac:dyDescent="0.2">
      <c r="A328" t="s">
        <v>2202</v>
      </c>
      <c r="B328" t="s">
        <v>1480</v>
      </c>
      <c r="C328" t="s">
        <v>2203</v>
      </c>
      <c r="D328" t="s">
        <v>1711</v>
      </c>
      <c r="E328" t="s">
        <v>1712</v>
      </c>
      <c r="F328" t="s">
        <v>1484</v>
      </c>
      <c r="G328" t="s">
        <v>1485</v>
      </c>
    </row>
    <row r="329" spans="1:7" x14ac:dyDescent="0.2">
      <c r="A329" t="s">
        <v>2202</v>
      </c>
      <c r="B329" t="s">
        <v>1480</v>
      </c>
      <c r="C329" t="s">
        <v>2204</v>
      </c>
      <c r="D329" t="s">
        <v>1494</v>
      </c>
      <c r="E329" t="s">
        <v>1495</v>
      </c>
      <c r="F329" t="s">
        <v>1484</v>
      </c>
      <c r="G329" t="s">
        <v>1485</v>
      </c>
    </row>
    <row r="330" spans="1:7" x14ac:dyDescent="0.2">
      <c r="A330" t="s">
        <v>2205</v>
      </c>
      <c r="B330" t="s">
        <v>1480</v>
      </c>
      <c r="C330" t="s">
        <v>2206</v>
      </c>
      <c r="D330" t="s">
        <v>1500</v>
      </c>
      <c r="E330" t="s">
        <v>1501</v>
      </c>
      <c r="F330" t="s">
        <v>1484</v>
      </c>
      <c r="G330" t="s">
        <v>1485</v>
      </c>
    </row>
    <row r="331" spans="1:7" x14ac:dyDescent="0.2">
      <c r="A331" t="s">
        <v>2207</v>
      </c>
      <c r="B331" t="s">
        <v>1480</v>
      </c>
      <c r="C331" t="s">
        <v>2208</v>
      </c>
      <c r="D331" t="s">
        <v>1711</v>
      </c>
      <c r="E331" t="s">
        <v>1712</v>
      </c>
      <c r="F331" t="s">
        <v>1484</v>
      </c>
      <c r="G331" t="s">
        <v>1485</v>
      </c>
    </row>
    <row r="332" spans="1:7" x14ac:dyDescent="0.2">
      <c r="A332" t="s">
        <v>2209</v>
      </c>
      <c r="B332" t="s">
        <v>1480</v>
      </c>
      <c r="C332" t="s">
        <v>2210</v>
      </c>
      <c r="D332" t="s">
        <v>1657</v>
      </c>
      <c r="E332" t="s">
        <v>1658</v>
      </c>
      <c r="F332" t="s">
        <v>1484</v>
      </c>
      <c r="G332" t="s">
        <v>1485</v>
      </c>
    </row>
    <row r="333" spans="1:7" x14ac:dyDescent="0.2">
      <c r="A333" t="s">
        <v>2211</v>
      </c>
      <c r="B333" t="s">
        <v>1480</v>
      </c>
      <c r="C333" t="s">
        <v>2212</v>
      </c>
      <c r="D333" t="s">
        <v>1482</v>
      </c>
      <c r="E333" t="s">
        <v>1483</v>
      </c>
      <c r="F333" t="s">
        <v>1484</v>
      </c>
      <c r="G333" t="s">
        <v>1485</v>
      </c>
    </row>
    <row r="334" spans="1:7" x14ac:dyDescent="0.2">
      <c r="A334" t="s">
        <v>2213</v>
      </c>
      <c r="B334" t="s">
        <v>1480</v>
      </c>
      <c r="C334" t="s">
        <v>2214</v>
      </c>
      <c r="D334" t="s">
        <v>1896</v>
      </c>
      <c r="E334" t="s">
        <v>1898</v>
      </c>
      <c r="F334" t="s">
        <v>1484</v>
      </c>
      <c r="G334" t="s">
        <v>1485</v>
      </c>
    </row>
    <row r="335" spans="1:7" x14ac:dyDescent="0.2">
      <c r="A335" t="s">
        <v>2215</v>
      </c>
      <c r="B335" t="s">
        <v>1480</v>
      </c>
      <c r="C335" t="s">
        <v>2216</v>
      </c>
      <c r="D335" t="s">
        <v>1870</v>
      </c>
      <c r="E335" t="s">
        <v>1871</v>
      </c>
      <c r="F335" t="s">
        <v>1484</v>
      </c>
      <c r="G335" t="s">
        <v>1485</v>
      </c>
    </row>
    <row r="336" spans="1:7" x14ac:dyDescent="0.2">
      <c r="A336" t="s">
        <v>2217</v>
      </c>
      <c r="B336" t="s">
        <v>1480</v>
      </c>
      <c r="C336" t="s">
        <v>2218</v>
      </c>
      <c r="D336" t="s">
        <v>1691</v>
      </c>
      <c r="E336" t="s">
        <v>1692</v>
      </c>
      <c r="F336" t="s">
        <v>1484</v>
      </c>
      <c r="G336" t="s">
        <v>1485</v>
      </c>
    </row>
    <row r="337" spans="1:7" x14ac:dyDescent="0.2">
      <c r="A337" t="s">
        <v>2219</v>
      </c>
      <c r="B337" t="s">
        <v>1480</v>
      </c>
      <c r="C337" t="s">
        <v>2220</v>
      </c>
      <c r="D337" t="s">
        <v>1554</v>
      </c>
      <c r="E337" t="s">
        <v>1555</v>
      </c>
      <c r="F337" t="s">
        <v>1484</v>
      </c>
      <c r="G337" t="s">
        <v>1485</v>
      </c>
    </row>
    <row r="338" spans="1:7" x14ac:dyDescent="0.2">
      <c r="A338" t="s">
        <v>2221</v>
      </c>
      <c r="B338" t="s">
        <v>1480</v>
      </c>
      <c r="C338" t="s">
        <v>2222</v>
      </c>
      <c r="D338" t="s">
        <v>1705</v>
      </c>
      <c r="E338" t="s">
        <v>1706</v>
      </c>
      <c r="F338" t="s">
        <v>1484</v>
      </c>
      <c r="G338" t="s">
        <v>1485</v>
      </c>
    </row>
    <row r="339" spans="1:7" x14ac:dyDescent="0.2">
      <c r="A339" t="s">
        <v>2223</v>
      </c>
      <c r="B339" t="s">
        <v>1480</v>
      </c>
      <c r="C339" t="s">
        <v>2224</v>
      </c>
      <c r="D339" t="s">
        <v>1725</v>
      </c>
      <c r="E339" t="s">
        <v>1726</v>
      </c>
      <c r="F339" t="s">
        <v>1484</v>
      </c>
      <c r="G339" t="s">
        <v>1485</v>
      </c>
    </row>
    <row r="340" spans="1:7" x14ac:dyDescent="0.2">
      <c r="A340" t="s">
        <v>2225</v>
      </c>
      <c r="B340" t="s">
        <v>1480</v>
      </c>
      <c r="C340" t="s">
        <v>2226</v>
      </c>
      <c r="D340" t="s">
        <v>1735</v>
      </c>
      <c r="E340" t="s">
        <v>1736</v>
      </c>
      <c r="F340" t="s">
        <v>1484</v>
      </c>
      <c r="G340" t="s">
        <v>1485</v>
      </c>
    </row>
    <row r="341" spans="1:7" x14ac:dyDescent="0.2">
      <c r="A341" t="s">
        <v>2227</v>
      </c>
      <c r="B341" t="s">
        <v>1480</v>
      </c>
      <c r="C341" t="s">
        <v>2228</v>
      </c>
      <c r="D341" t="s">
        <v>1548</v>
      </c>
      <c r="E341" t="s">
        <v>1549</v>
      </c>
      <c r="F341" t="s">
        <v>1484</v>
      </c>
      <c r="G341" t="s">
        <v>1485</v>
      </c>
    </row>
    <row r="342" spans="1:7" x14ac:dyDescent="0.2">
      <c r="A342" t="s">
        <v>2229</v>
      </c>
      <c r="B342" t="s">
        <v>1480</v>
      </c>
      <c r="C342" t="s">
        <v>2230</v>
      </c>
      <c r="D342" t="s">
        <v>1695</v>
      </c>
      <c r="E342" t="s">
        <v>1696</v>
      </c>
      <c r="F342" t="s">
        <v>1484</v>
      </c>
      <c r="G342" t="s">
        <v>1485</v>
      </c>
    </row>
    <row r="343" spans="1:7" x14ac:dyDescent="0.2">
      <c r="A343" t="s">
        <v>2231</v>
      </c>
      <c r="B343" t="s">
        <v>1480</v>
      </c>
      <c r="C343" t="s">
        <v>2232</v>
      </c>
      <c r="D343" t="s">
        <v>1598</v>
      </c>
      <c r="E343" t="s">
        <v>1599</v>
      </c>
      <c r="F343" t="s">
        <v>1484</v>
      </c>
      <c r="G343" t="s">
        <v>1485</v>
      </c>
    </row>
    <row r="344" spans="1:7" x14ac:dyDescent="0.2">
      <c r="A344" t="s">
        <v>2233</v>
      </c>
      <c r="B344" t="s">
        <v>1480</v>
      </c>
      <c r="C344" t="s">
        <v>2234</v>
      </c>
      <c r="D344" t="s">
        <v>1598</v>
      </c>
      <c r="E344" t="s">
        <v>1599</v>
      </c>
      <c r="F344" t="s">
        <v>1484</v>
      </c>
      <c r="G344" t="s">
        <v>1485</v>
      </c>
    </row>
    <row r="345" spans="1:7" x14ac:dyDescent="0.2">
      <c r="A345" t="s">
        <v>2235</v>
      </c>
      <c r="B345" t="s">
        <v>1480</v>
      </c>
      <c r="C345" t="s">
        <v>2236</v>
      </c>
      <c r="D345" t="s">
        <v>1598</v>
      </c>
      <c r="E345" t="s">
        <v>1599</v>
      </c>
      <c r="F345" t="s">
        <v>1484</v>
      </c>
      <c r="G345" t="s">
        <v>1485</v>
      </c>
    </row>
    <row r="346" spans="1:7" x14ac:dyDescent="0.2">
      <c r="A346" t="s">
        <v>2237</v>
      </c>
      <c r="B346" t="s">
        <v>1480</v>
      </c>
      <c r="C346" t="s">
        <v>2238</v>
      </c>
      <c r="D346" t="s">
        <v>1604</v>
      </c>
      <c r="E346" t="s">
        <v>1605</v>
      </c>
      <c r="F346" t="s">
        <v>1484</v>
      </c>
      <c r="G346" t="s">
        <v>1485</v>
      </c>
    </row>
    <row r="347" spans="1:7" x14ac:dyDescent="0.2">
      <c r="A347" t="s">
        <v>2239</v>
      </c>
      <c r="B347" t="s">
        <v>1480</v>
      </c>
      <c r="C347" t="s">
        <v>2240</v>
      </c>
      <c r="D347" t="s">
        <v>2069</v>
      </c>
      <c r="E347" t="s">
        <v>2070</v>
      </c>
      <c r="F347" t="s">
        <v>1484</v>
      </c>
      <c r="G347" t="s">
        <v>1485</v>
      </c>
    </row>
    <row r="348" spans="1:7" x14ac:dyDescent="0.2">
      <c r="A348" t="s">
        <v>2241</v>
      </c>
      <c r="B348" t="s">
        <v>1480</v>
      </c>
      <c r="C348" t="s">
        <v>2242</v>
      </c>
      <c r="D348" t="s">
        <v>1695</v>
      </c>
      <c r="E348" t="s">
        <v>1696</v>
      </c>
      <c r="F348" t="s">
        <v>1484</v>
      </c>
      <c r="G348" t="s">
        <v>1485</v>
      </c>
    </row>
    <row r="349" spans="1:7" x14ac:dyDescent="0.2">
      <c r="A349" t="s">
        <v>2243</v>
      </c>
      <c r="B349" t="s">
        <v>1480</v>
      </c>
      <c r="C349" t="s">
        <v>2244</v>
      </c>
      <c r="D349" t="s">
        <v>1725</v>
      </c>
      <c r="E349" t="s">
        <v>1726</v>
      </c>
      <c r="F349" t="s">
        <v>1484</v>
      </c>
      <c r="G349" t="s">
        <v>1485</v>
      </c>
    </row>
    <row r="350" spans="1:7" x14ac:dyDescent="0.2">
      <c r="A350" t="s">
        <v>2245</v>
      </c>
      <c r="B350" t="s">
        <v>1480</v>
      </c>
      <c r="C350" t="s">
        <v>2246</v>
      </c>
      <c r="D350" t="s">
        <v>1637</v>
      </c>
      <c r="E350" t="s">
        <v>1638</v>
      </c>
      <c r="F350" t="s">
        <v>1484</v>
      </c>
      <c r="G350" t="s">
        <v>1485</v>
      </c>
    </row>
    <row r="351" spans="1:7" x14ac:dyDescent="0.2">
      <c r="A351" t="s">
        <v>2247</v>
      </c>
      <c r="B351" t="s">
        <v>1480</v>
      </c>
      <c r="C351" t="s">
        <v>2248</v>
      </c>
      <c r="D351" t="s">
        <v>1637</v>
      </c>
      <c r="E351" t="s">
        <v>1638</v>
      </c>
      <c r="F351" t="s">
        <v>1484</v>
      </c>
      <c r="G351" t="s">
        <v>1485</v>
      </c>
    </row>
    <row r="352" spans="1:7" x14ac:dyDescent="0.2">
      <c r="A352" t="s">
        <v>2249</v>
      </c>
      <c r="B352" t="s">
        <v>1480</v>
      </c>
      <c r="C352" t="s">
        <v>2250</v>
      </c>
      <c r="D352" t="s">
        <v>1510</v>
      </c>
      <c r="E352" t="s">
        <v>1511</v>
      </c>
      <c r="F352" t="s">
        <v>1484</v>
      </c>
      <c r="G352" t="s">
        <v>1485</v>
      </c>
    </row>
    <row r="353" spans="1:7" x14ac:dyDescent="0.2">
      <c r="A353" t="s">
        <v>2251</v>
      </c>
      <c r="B353" t="s">
        <v>1480</v>
      </c>
      <c r="C353" t="s">
        <v>2252</v>
      </c>
      <c r="D353" t="s">
        <v>1510</v>
      </c>
      <c r="E353" t="s">
        <v>1511</v>
      </c>
      <c r="F353" t="s">
        <v>1484</v>
      </c>
      <c r="G353" t="s">
        <v>1485</v>
      </c>
    </row>
    <row r="354" spans="1:7" x14ac:dyDescent="0.2">
      <c r="A354" t="s">
        <v>2253</v>
      </c>
      <c r="B354" t="s">
        <v>1480</v>
      </c>
      <c r="C354" t="s">
        <v>2254</v>
      </c>
      <c r="D354" t="s">
        <v>1657</v>
      </c>
      <c r="E354" t="s">
        <v>1658</v>
      </c>
      <c r="F354" t="s">
        <v>1484</v>
      </c>
      <c r="G354" t="s">
        <v>1485</v>
      </c>
    </row>
    <row r="355" spans="1:7" x14ac:dyDescent="0.2">
      <c r="A355" t="s">
        <v>2255</v>
      </c>
      <c r="B355" t="s">
        <v>1480</v>
      </c>
      <c r="C355" t="s">
        <v>2256</v>
      </c>
      <c r="D355" t="s">
        <v>1536</v>
      </c>
      <c r="E355" t="s">
        <v>1537</v>
      </c>
      <c r="F355" t="s">
        <v>1484</v>
      </c>
      <c r="G355" t="s">
        <v>1485</v>
      </c>
    </row>
    <row r="356" spans="1:7" x14ac:dyDescent="0.2">
      <c r="A356" t="s">
        <v>2257</v>
      </c>
      <c r="B356" t="s">
        <v>1480</v>
      </c>
      <c r="C356" t="s">
        <v>2258</v>
      </c>
      <c r="D356" t="s">
        <v>1500</v>
      </c>
      <c r="E356" t="s">
        <v>1501</v>
      </c>
      <c r="F356" t="s">
        <v>1484</v>
      </c>
      <c r="G356" t="s">
        <v>1485</v>
      </c>
    </row>
    <row r="357" spans="1:7" x14ac:dyDescent="0.2">
      <c r="A357" t="s">
        <v>2259</v>
      </c>
      <c r="B357" t="s">
        <v>1480</v>
      </c>
      <c r="C357" t="s">
        <v>2260</v>
      </c>
      <c r="D357" t="s">
        <v>1528</v>
      </c>
      <c r="E357" t="s">
        <v>1529</v>
      </c>
      <c r="F357" t="s">
        <v>1484</v>
      </c>
      <c r="G357" t="s">
        <v>1485</v>
      </c>
    </row>
    <row r="358" spans="1:7" x14ac:dyDescent="0.2">
      <c r="A358" t="s">
        <v>2261</v>
      </c>
      <c r="B358" t="s">
        <v>1480</v>
      </c>
      <c r="C358" t="s">
        <v>2262</v>
      </c>
      <c r="D358" t="s">
        <v>1725</v>
      </c>
      <c r="E358" t="s">
        <v>1726</v>
      </c>
      <c r="F358" t="s">
        <v>1484</v>
      </c>
      <c r="G358" t="s">
        <v>1485</v>
      </c>
    </row>
    <row r="359" spans="1:7" x14ac:dyDescent="0.2">
      <c r="A359" t="s">
        <v>2263</v>
      </c>
      <c r="B359" t="s">
        <v>1480</v>
      </c>
      <c r="C359" t="s">
        <v>2264</v>
      </c>
      <c r="D359" t="s">
        <v>1725</v>
      </c>
      <c r="E359" t="s">
        <v>1726</v>
      </c>
      <c r="F359" t="s">
        <v>1484</v>
      </c>
      <c r="G359" t="s">
        <v>1485</v>
      </c>
    </row>
    <row r="360" spans="1:7" x14ac:dyDescent="0.2">
      <c r="A360" t="s">
        <v>2265</v>
      </c>
      <c r="B360" t="s">
        <v>1480</v>
      </c>
      <c r="C360" t="s">
        <v>2266</v>
      </c>
      <c r="D360" t="s">
        <v>1482</v>
      </c>
      <c r="E360" t="s">
        <v>1483</v>
      </c>
      <c r="F360" t="s">
        <v>1484</v>
      </c>
      <c r="G360" t="s">
        <v>1485</v>
      </c>
    </row>
    <row r="361" spans="1:7" x14ac:dyDescent="0.2">
      <c r="A361" t="s">
        <v>2267</v>
      </c>
      <c r="B361" t="s">
        <v>1480</v>
      </c>
      <c r="C361" t="s">
        <v>2268</v>
      </c>
      <c r="D361" t="s">
        <v>1548</v>
      </c>
      <c r="E361" t="s">
        <v>1549</v>
      </c>
      <c r="F361" t="s">
        <v>1484</v>
      </c>
      <c r="G361" t="s">
        <v>1485</v>
      </c>
    </row>
    <row r="362" spans="1:7" x14ac:dyDescent="0.2">
      <c r="A362" t="s">
        <v>2269</v>
      </c>
      <c r="B362" t="s">
        <v>1480</v>
      </c>
      <c r="C362" t="s">
        <v>2270</v>
      </c>
      <c r="D362" t="s">
        <v>1669</v>
      </c>
      <c r="E362" t="s">
        <v>1670</v>
      </c>
      <c r="F362" t="s">
        <v>1484</v>
      </c>
      <c r="G362" t="s">
        <v>1485</v>
      </c>
    </row>
    <row r="363" spans="1:7" x14ac:dyDescent="0.2">
      <c r="A363" t="s">
        <v>2271</v>
      </c>
      <c r="B363" t="s">
        <v>1480</v>
      </c>
      <c r="C363" t="s">
        <v>2272</v>
      </c>
      <c r="D363" t="s">
        <v>1494</v>
      </c>
      <c r="E363" t="s">
        <v>1495</v>
      </c>
      <c r="F363" t="s">
        <v>1484</v>
      </c>
      <c r="G363" t="s">
        <v>1485</v>
      </c>
    </row>
    <row r="364" spans="1:7" x14ac:dyDescent="0.2">
      <c r="A364" t="s">
        <v>2273</v>
      </c>
      <c r="B364" t="s">
        <v>1480</v>
      </c>
      <c r="C364" t="s">
        <v>2274</v>
      </c>
      <c r="D364" t="s">
        <v>1870</v>
      </c>
      <c r="E364" t="s">
        <v>1871</v>
      </c>
      <c r="F364" t="s">
        <v>1484</v>
      </c>
      <c r="G364" t="s">
        <v>1485</v>
      </c>
    </row>
    <row r="365" spans="1:7" x14ac:dyDescent="0.2">
      <c r="A365" t="s">
        <v>2275</v>
      </c>
      <c r="B365" t="s">
        <v>1480</v>
      </c>
      <c r="C365" t="s">
        <v>2276</v>
      </c>
      <c r="D365" t="s">
        <v>1576</v>
      </c>
      <c r="E365" t="s">
        <v>1577</v>
      </c>
      <c r="F365" t="s">
        <v>1484</v>
      </c>
      <c r="G365" t="s">
        <v>1485</v>
      </c>
    </row>
    <row r="366" spans="1:7" x14ac:dyDescent="0.2">
      <c r="A366" t="s">
        <v>2277</v>
      </c>
      <c r="B366" t="s">
        <v>1480</v>
      </c>
      <c r="C366" t="s">
        <v>2278</v>
      </c>
      <c r="D366" t="s">
        <v>1576</v>
      </c>
      <c r="E366" t="s">
        <v>1577</v>
      </c>
      <c r="F366" t="s">
        <v>1484</v>
      </c>
      <c r="G366" t="s">
        <v>1485</v>
      </c>
    </row>
    <row r="367" spans="1:7" x14ac:dyDescent="0.2">
      <c r="A367" t="s">
        <v>2279</v>
      </c>
      <c r="B367" t="s">
        <v>1480</v>
      </c>
      <c r="C367" t="s">
        <v>2280</v>
      </c>
      <c r="D367" t="s">
        <v>1604</v>
      </c>
      <c r="E367" t="s">
        <v>1605</v>
      </c>
      <c r="F367" t="s">
        <v>1484</v>
      </c>
      <c r="G367" t="s">
        <v>1485</v>
      </c>
    </row>
    <row r="368" spans="1:7" x14ac:dyDescent="0.2">
      <c r="A368" t="s">
        <v>2281</v>
      </c>
      <c r="B368" t="s">
        <v>1480</v>
      </c>
      <c r="C368" t="s">
        <v>2282</v>
      </c>
      <c r="D368" t="s">
        <v>1536</v>
      </c>
      <c r="E368" t="s">
        <v>1537</v>
      </c>
      <c r="F368" t="s">
        <v>1484</v>
      </c>
      <c r="G368" t="s">
        <v>1485</v>
      </c>
    </row>
    <row r="369" spans="1:7" x14ac:dyDescent="0.2">
      <c r="A369" t="s">
        <v>2283</v>
      </c>
      <c r="B369" t="s">
        <v>1480</v>
      </c>
      <c r="C369" t="s">
        <v>2284</v>
      </c>
      <c r="D369" t="s">
        <v>1598</v>
      </c>
      <c r="E369" t="s">
        <v>1599</v>
      </c>
      <c r="F369" t="s">
        <v>1484</v>
      </c>
      <c r="G369" t="s">
        <v>1485</v>
      </c>
    </row>
    <row r="370" spans="1:7" x14ac:dyDescent="0.2">
      <c r="A370" t="s">
        <v>2285</v>
      </c>
      <c r="B370" t="s">
        <v>1480</v>
      </c>
      <c r="C370" t="s">
        <v>2286</v>
      </c>
      <c r="D370" t="s">
        <v>1598</v>
      </c>
      <c r="E370" t="s">
        <v>1599</v>
      </c>
      <c r="F370" t="s">
        <v>1484</v>
      </c>
      <c r="G370" t="s">
        <v>1485</v>
      </c>
    </row>
    <row r="371" spans="1:7" x14ac:dyDescent="0.2">
      <c r="A371" t="s">
        <v>2287</v>
      </c>
      <c r="B371" t="s">
        <v>1480</v>
      </c>
      <c r="C371" t="s">
        <v>2288</v>
      </c>
      <c r="D371" t="s">
        <v>1598</v>
      </c>
      <c r="E371" t="s">
        <v>1599</v>
      </c>
      <c r="F371" t="s">
        <v>1484</v>
      </c>
      <c r="G371" t="s">
        <v>1485</v>
      </c>
    </row>
    <row r="372" spans="1:7" x14ac:dyDescent="0.2">
      <c r="A372" t="s">
        <v>2289</v>
      </c>
      <c r="B372" t="s">
        <v>1480</v>
      </c>
      <c r="C372" t="s">
        <v>2290</v>
      </c>
      <c r="D372" t="s">
        <v>1548</v>
      </c>
      <c r="E372" t="s">
        <v>1549</v>
      </c>
      <c r="F372" t="s">
        <v>1484</v>
      </c>
      <c r="G372" t="s">
        <v>1485</v>
      </c>
    </row>
    <row r="373" spans="1:7" x14ac:dyDescent="0.2">
      <c r="A373" t="s">
        <v>2291</v>
      </c>
      <c r="B373" t="s">
        <v>1480</v>
      </c>
      <c r="C373" t="s">
        <v>2292</v>
      </c>
      <c r="D373" t="s">
        <v>1729</v>
      </c>
      <c r="E373" t="s">
        <v>1730</v>
      </c>
      <c r="F373" t="s">
        <v>1484</v>
      </c>
      <c r="G373" t="s">
        <v>1485</v>
      </c>
    </row>
    <row r="374" spans="1:7" x14ac:dyDescent="0.2">
      <c r="A374" t="s">
        <v>2293</v>
      </c>
      <c r="B374" t="s">
        <v>1480</v>
      </c>
      <c r="C374" t="s">
        <v>2294</v>
      </c>
      <c r="D374" t="s">
        <v>1548</v>
      </c>
      <c r="E374" t="s">
        <v>1549</v>
      </c>
      <c r="F374" t="s">
        <v>1484</v>
      </c>
      <c r="G374" t="s">
        <v>1485</v>
      </c>
    </row>
    <row r="375" spans="1:7" x14ac:dyDescent="0.2">
      <c r="A375" t="s">
        <v>2295</v>
      </c>
      <c r="B375" t="s">
        <v>1480</v>
      </c>
      <c r="C375" t="s">
        <v>2296</v>
      </c>
      <c r="D375" t="s">
        <v>1725</v>
      </c>
      <c r="E375" t="s">
        <v>1726</v>
      </c>
      <c r="F375" t="s">
        <v>1484</v>
      </c>
      <c r="G375" t="s">
        <v>1485</v>
      </c>
    </row>
    <row r="376" spans="1:7" x14ac:dyDescent="0.2">
      <c r="A376" t="s">
        <v>2297</v>
      </c>
      <c r="B376" t="s">
        <v>1480</v>
      </c>
      <c r="C376" t="s">
        <v>2298</v>
      </c>
      <c r="D376" t="s">
        <v>1705</v>
      </c>
      <c r="E376" t="s">
        <v>1706</v>
      </c>
      <c r="F376" t="s">
        <v>1484</v>
      </c>
      <c r="G376" t="s">
        <v>1485</v>
      </c>
    </row>
    <row r="377" spans="1:7" x14ac:dyDescent="0.2">
      <c r="A377" t="s">
        <v>2299</v>
      </c>
      <c r="B377" t="s">
        <v>1480</v>
      </c>
      <c r="C377" t="s">
        <v>2300</v>
      </c>
      <c r="D377" t="s">
        <v>2069</v>
      </c>
      <c r="E377" t="s">
        <v>2070</v>
      </c>
      <c r="F377" t="s">
        <v>1484</v>
      </c>
      <c r="G377" t="s">
        <v>1485</v>
      </c>
    </row>
    <row r="378" spans="1:7" x14ac:dyDescent="0.2">
      <c r="A378" t="s">
        <v>2301</v>
      </c>
      <c r="B378" t="s">
        <v>1480</v>
      </c>
      <c r="C378" t="s">
        <v>2302</v>
      </c>
      <c r="D378" t="s">
        <v>1520</v>
      </c>
      <c r="E378" t="s">
        <v>1521</v>
      </c>
      <c r="F378" t="s">
        <v>1484</v>
      </c>
      <c r="G378" t="s">
        <v>1485</v>
      </c>
    </row>
    <row r="379" spans="1:7" x14ac:dyDescent="0.2">
      <c r="A379" t="s">
        <v>2303</v>
      </c>
      <c r="B379" t="s">
        <v>1480</v>
      </c>
      <c r="C379" t="s">
        <v>2304</v>
      </c>
      <c r="D379" t="s">
        <v>1520</v>
      </c>
      <c r="E379" t="s">
        <v>1521</v>
      </c>
      <c r="F379" t="s">
        <v>1484</v>
      </c>
      <c r="G379" t="s">
        <v>1485</v>
      </c>
    </row>
    <row r="380" spans="1:7" x14ac:dyDescent="0.2">
      <c r="A380" t="s">
        <v>2305</v>
      </c>
      <c r="B380" t="s">
        <v>1480</v>
      </c>
      <c r="C380" t="s">
        <v>2306</v>
      </c>
      <c r="D380" t="s">
        <v>1536</v>
      </c>
      <c r="E380" t="s">
        <v>1537</v>
      </c>
      <c r="F380" t="s">
        <v>1484</v>
      </c>
      <c r="G380" t="s">
        <v>1485</v>
      </c>
    </row>
    <row r="381" spans="1:7" x14ac:dyDescent="0.2">
      <c r="A381" t="s">
        <v>2307</v>
      </c>
      <c r="B381" t="s">
        <v>1480</v>
      </c>
      <c r="C381" t="s">
        <v>2308</v>
      </c>
      <c r="D381" t="s">
        <v>1554</v>
      </c>
      <c r="E381" t="s">
        <v>1555</v>
      </c>
      <c r="F381" t="s">
        <v>1484</v>
      </c>
      <c r="G381" t="s">
        <v>1485</v>
      </c>
    </row>
    <row r="382" spans="1:7" x14ac:dyDescent="0.2">
      <c r="A382" t="s">
        <v>2309</v>
      </c>
      <c r="B382" t="s">
        <v>1480</v>
      </c>
      <c r="C382" t="s">
        <v>2310</v>
      </c>
      <c r="D382" t="s">
        <v>1520</v>
      </c>
      <c r="E382" t="s">
        <v>1521</v>
      </c>
      <c r="F382" t="s">
        <v>1484</v>
      </c>
      <c r="G382" t="s">
        <v>1485</v>
      </c>
    </row>
    <row r="383" spans="1:7" x14ac:dyDescent="0.2">
      <c r="A383" t="s">
        <v>2311</v>
      </c>
      <c r="B383" t="s">
        <v>1480</v>
      </c>
      <c r="C383" t="s">
        <v>2312</v>
      </c>
      <c r="D383" t="s">
        <v>1520</v>
      </c>
      <c r="E383" t="s">
        <v>1521</v>
      </c>
      <c r="F383" t="s">
        <v>1484</v>
      </c>
      <c r="G383" t="s">
        <v>1485</v>
      </c>
    </row>
    <row r="384" spans="1:7" x14ac:dyDescent="0.2">
      <c r="A384" t="s">
        <v>2313</v>
      </c>
      <c r="B384" t="s">
        <v>1480</v>
      </c>
      <c r="C384" t="s">
        <v>2314</v>
      </c>
      <c r="D384" t="s">
        <v>1520</v>
      </c>
      <c r="E384" t="s">
        <v>1521</v>
      </c>
      <c r="F384" t="s">
        <v>1484</v>
      </c>
      <c r="G384" t="s">
        <v>1485</v>
      </c>
    </row>
    <row r="385" spans="1:7" x14ac:dyDescent="0.2">
      <c r="A385" t="s">
        <v>2315</v>
      </c>
      <c r="B385" t="s">
        <v>1480</v>
      </c>
      <c r="C385" t="s">
        <v>2316</v>
      </c>
      <c r="D385" t="s">
        <v>1520</v>
      </c>
      <c r="E385" t="s">
        <v>1521</v>
      </c>
      <c r="F385" t="s">
        <v>1484</v>
      </c>
      <c r="G385" t="s">
        <v>1485</v>
      </c>
    </row>
    <row r="386" spans="1:7" x14ac:dyDescent="0.2">
      <c r="A386" t="s">
        <v>2317</v>
      </c>
      <c r="B386" t="s">
        <v>1480</v>
      </c>
      <c r="C386" t="s">
        <v>2318</v>
      </c>
      <c r="D386" t="s">
        <v>1540</v>
      </c>
      <c r="E386" t="s">
        <v>1541</v>
      </c>
      <c r="F386" t="s">
        <v>1484</v>
      </c>
      <c r="G386" t="s">
        <v>1485</v>
      </c>
    </row>
    <row r="387" spans="1:7" x14ac:dyDescent="0.2">
      <c r="A387" t="s">
        <v>2319</v>
      </c>
      <c r="B387" t="s">
        <v>1480</v>
      </c>
      <c r="C387" t="s">
        <v>2320</v>
      </c>
      <c r="D387" t="s">
        <v>1896</v>
      </c>
      <c r="E387" t="s">
        <v>1898</v>
      </c>
      <c r="F387" t="s">
        <v>1484</v>
      </c>
      <c r="G387" t="s">
        <v>1485</v>
      </c>
    </row>
    <row r="388" spans="1:7" x14ac:dyDescent="0.2">
      <c r="A388" t="s">
        <v>2321</v>
      </c>
      <c r="B388" t="s">
        <v>1480</v>
      </c>
      <c r="C388" t="s">
        <v>2322</v>
      </c>
      <c r="D388" t="s">
        <v>1637</v>
      </c>
      <c r="E388" t="s">
        <v>1638</v>
      </c>
      <c r="F388" t="s">
        <v>1484</v>
      </c>
      <c r="G388" t="s">
        <v>1485</v>
      </c>
    </row>
    <row r="389" spans="1:7" x14ac:dyDescent="0.2">
      <c r="A389" t="s">
        <v>2323</v>
      </c>
      <c r="B389" t="s">
        <v>1480</v>
      </c>
      <c r="C389" t="s">
        <v>2324</v>
      </c>
      <c r="D389" t="s">
        <v>1554</v>
      </c>
      <c r="E389" t="s">
        <v>1555</v>
      </c>
      <c r="F389" t="s">
        <v>1484</v>
      </c>
      <c r="G389" t="s">
        <v>1485</v>
      </c>
    </row>
    <row r="390" spans="1:7" x14ac:dyDescent="0.2">
      <c r="A390" t="s">
        <v>2325</v>
      </c>
      <c r="B390" t="s">
        <v>1480</v>
      </c>
      <c r="C390" t="s">
        <v>2326</v>
      </c>
      <c r="D390" t="s">
        <v>1705</v>
      </c>
      <c r="E390" t="s">
        <v>1706</v>
      </c>
      <c r="F390" t="s">
        <v>1484</v>
      </c>
      <c r="G390" t="s">
        <v>1485</v>
      </c>
    </row>
    <row r="391" spans="1:7" x14ac:dyDescent="0.2">
      <c r="A391" t="s">
        <v>2327</v>
      </c>
      <c r="B391" t="s">
        <v>1480</v>
      </c>
      <c r="C391" t="s">
        <v>2328</v>
      </c>
      <c r="D391" t="s">
        <v>1548</v>
      </c>
      <c r="E391" t="s">
        <v>1549</v>
      </c>
      <c r="F391" t="s">
        <v>1484</v>
      </c>
      <c r="G391" t="s">
        <v>1485</v>
      </c>
    </row>
    <row r="392" spans="1:7" x14ac:dyDescent="0.2">
      <c r="A392" t="s">
        <v>2329</v>
      </c>
      <c r="B392" t="s">
        <v>1480</v>
      </c>
      <c r="C392" t="s">
        <v>2330</v>
      </c>
      <c r="D392" t="s">
        <v>1494</v>
      </c>
      <c r="E392" t="s">
        <v>1495</v>
      </c>
      <c r="F392" t="s">
        <v>1484</v>
      </c>
      <c r="G392" t="s">
        <v>1485</v>
      </c>
    </row>
    <row r="393" spans="1:7" x14ac:dyDescent="0.2">
      <c r="A393" t="s">
        <v>2331</v>
      </c>
      <c r="B393" t="s">
        <v>1480</v>
      </c>
      <c r="C393" t="s">
        <v>2332</v>
      </c>
      <c r="D393" t="s">
        <v>1516</v>
      </c>
      <c r="E393" t="s">
        <v>1517</v>
      </c>
      <c r="F393" t="s">
        <v>1484</v>
      </c>
      <c r="G393" t="s">
        <v>1485</v>
      </c>
    </row>
    <row r="394" spans="1:7" x14ac:dyDescent="0.2">
      <c r="A394" t="s">
        <v>2333</v>
      </c>
      <c r="B394" t="s">
        <v>1480</v>
      </c>
      <c r="C394" t="s">
        <v>2334</v>
      </c>
      <c r="D394" t="s">
        <v>1510</v>
      </c>
      <c r="E394" t="s">
        <v>1511</v>
      </c>
      <c r="F394" t="s">
        <v>1484</v>
      </c>
      <c r="G394" t="s">
        <v>1485</v>
      </c>
    </row>
    <row r="395" spans="1:7" x14ac:dyDescent="0.2">
      <c r="A395" t="s">
        <v>2335</v>
      </c>
      <c r="B395" t="s">
        <v>1480</v>
      </c>
      <c r="C395" t="s">
        <v>2336</v>
      </c>
      <c r="D395" t="s">
        <v>1510</v>
      </c>
      <c r="E395" t="s">
        <v>1511</v>
      </c>
      <c r="F395" t="s">
        <v>1484</v>
      </c>
      <c r="G395" t="s">
        <v>1485</v>
      </c>
    </row>
    <row r="396" spans="1:7" x14ac:dyDescent="0.2">
      <c r="A396" t="s">
        <v>2337</v>
      </c>
      <c r="B396" t="s">
        <v>1480</v>
      </c>
      <c r="C396" t="s">
        <v>2338</v>
      </c>
      <c r="D396" t="s">
        <v>1536</v>
      </c>
      <c r="E396" t="s">
        <v>1537</v>
      </c>
      <c r="F396" t="s">
        <v>1484</v>
      </c>
      <c r="G396" t="s">
        <v>1485</v>
      </c>
    </row>
    <row r="397" spans="1:7" x14ac:dyDescent="0.2">
      <c r="A397" t="s">
        <v>2339</v>
      </c>
      <c r="B397" t="s">
        <v>1480</v>
      </c>
      <c r="C397" t="s">
        <v>2340</v>
      </c>
      <c r="D397" t="s">
        <v>1536</v>
      </c>
      <c r="E397" t="s">
        <v>1537</v>
      </c>
      <c r="F397" t="s">
        <v>1484</v>
      </c>
      <c r="G397" t="s">
        <v>1485</v>
      </c>
    </row>
    <row r="398" spans="1:7" x14ac:dyDescent="0.2">
      <c r="A398" t="s">
        <v>2341</v>
      </c>
      <c r="B398" t="s">
        <v>1480</v>
      </c>
      <c r="C398" t="s">
        <v>2342</v>
      </c>
      <c r="D398" t="s">
        <v>1568</v>
      </c>
      <c r="E398" t="s">
        <v>1569</v>
      </c>
      <c r="F398" t="s">
        <v>1484</v>
      </c>
      <c r="G398" t="s">
        <v>1485</v>
      </c>
    </row>
    <row r="399" spans="1:7" x14ac:dyDescent="0.2">
      <c r="A399" t="s">
        <v>2343</v>
      </c>
      <c r="B399" t="s">
        <v>1480</v>
      </c>
      <c r="C399" t="s">
        <v>2344</v>
      </c>
      <c r="D399" t="s">
        <v>1876</v>
      </c>
      <c r="E399" t="s">
        <v>1877</v>
      </c>
      <c r="F399" t="s">
        <v>1484</v>
      </c>
      <c r="G399" t="s">
        <v>1485</v>
      </c>
    </row>
    <row r="400" spans="1:7" x14ac:dyDescent="0.2">
      <c r="A400" t="s">
        <v>2345</v>
      </c>
      <c r="B400" t="s">
        <v>1480</v>
      </c>
      <c r="C400" t="s">
        <v>2346</v>
      </c>
      <c r="D400" t="s">
        <v>1598</v>
      </c>
      <c r="E400" t="s">
        <v>1599</v>
      </c>
      <c r="F400" t="s">
        <v>1484</v>
      </c>
      <c r="G400" t="s">
        <v>1485</v>
      </c>
    </row>
    <row r="401" spans="1:7" x14ac:dyDescent="0.2">
      <c r="A401" t="s">
        <v>2347</v>
      </c>
      <c r="B401" t="s">
        <v>1480</v>
      </c>
      <c r="C401" t="s">
        <v>2348</v>
      </c>
      <c r="D401" t="s">
        <v>1548</v>
      </c>
      <c r="E401" t="s">
        <v>1549</v>
      </c>
      <c r="F401" t="s">
        <v>1484</v>
      </c>
      <c r="G401" t="s">
        <v>1485</v>
      </c>
    </row>
    <row r="402" spans="1:7" x14ac:dyDescent="0.2">
      <c r="A402" t="s">
        <v>2349</v>
      </c>
      <c r="B402" t="s">
        <v>1480</v>
      </c>
      <c r="C402" t="s">
        <v>2350</v>
      </c>
      <c r="D402" t="s">
        <v>1669</v>
      </c>
      <c r="E402" t="s">
        <v>1670</v>
      </c>
      <c r="F402" t="s">
        <v>1484</v>
      </c>
      <c r="G402" t="s">
        <v>1485</v>
      </c>
    </row>
    <row r="403" spans="1:7" x14ac:dyDescent="0.2">
      <c r="A403" t="s">
        <v>2351</v>
      </c>
      <c r="B403" t="s">
        <v>1480</v>
      </c>
      <c r="C403" t="s">
        <v>2352</v>
      </c>
      <c r="D403" t="s">
        <v>1876</v>
      </c>
      <c r="E403" t="s">
        <v>1877</v>
      </c>
      <c r="F403" t="s">
        <v>1484</v>
      </c>
      <c r="G403" t="s">
        <v>1485</v>
      </c>
    </row>
    <row r="404" spans="1:7" x14ac:dyDescent="0.2">
      <c r="A404" t="s">
        <v>2353</v>
      </c>
      <c r="B404" t="s">
        <v>1480</v>
      </c>
      <c r="C404" t="s">
        <v>2354</v>
      </c>
      <c r="D404" t="s">
        <v>1532</v>
      </c>
      <c r="E404" t="s">
        <v>1533</v>
      </c>
      <c r="F404" t="s">
        <v>1484</v>
      </c>
      <c r="G404" t="s">
        <v>1485</v>
      </c>
    </row>
    <row r="405" spans="1:7" x14ac:dyDescent="0.2">
      <c r="A405" t="s">
        <v>2355</v>
      </c>
      <c r="B405" t="s">
        <v>1480</v>
      </c>
      <c r="C405" t="s">
        <v>2356</v>
      </c>
      <c r="D405" t="s">
        <v>1532</v>
      </c>
      <c r="E405" t="s">
        <v>1533</v>
      </c>
      <c r="F405" t="s">
        <v>1484</v>
      </c>
      <c r="G405" t="s">
        <v>1485</v>
      </c>
    </row>
    <row r="406" spans="1:7" x14ac:dyDescent="0.2">
      <c r="A406" t="s">
        <v>2357</v>
      </c>
      <c r="B406" t="s">
        <v>1480</v>
      </c>
      <c r="C406" t="s">
        <v>2358</v>
      </c>
      <c r="D406" t="s">
        <v>1637</v>
      </c>
      <c r="E406" t="s">
        <v>1638</v>
      </c>
      <c r="F406" t="s">
        <v>1484</v>
      </c>
      <c r="G406" t="s">
        <v>1485</v>
      </c>
    </row>
    <row r="407" spans="1:7" x14ac:dyDescent="0.2">
      <c r="A407" t="s">
        <v>2359</v>
      </c>
      <c r="B407" t="s">
        <v>1480</v>
      </c>
      <c r="C407" t="s">
        <v>2360</v>
      </c>
      <c r="D407" t="s">
        <v>1657</v>
      </c>
      <c r="E407" t="s">
        <v>1658</v>
      </c>
      <c r="F407" t="s">
        <v>1484</v>
      </c>
      <c r="G407" t="s">
        <v>1485</v>
      </c>
    </row>
    <row r="408" spans="1:7" x14ac:dyDescent="0.2">
      <c r="A408" t="s">
        <v>2361</v>
      </c>
      <c r="B408" t="s">
        <v>1480</v>
      </c>
      <c r="C408" t="s">
        <v>2362</v>
      </c>
      <c r="D408" t="s">
        <v>1725</v>
      </c>
      <c r="E408" t="s">
        <v>1726</v>
      </c>
      <c r="F408" t="s">
        <v>1484</v>
      </c>
      <c r="G408" t="s">
        <v>1485</v>
      </c>
    </row>
    <row r="409" spans="1:7" x14ac:dyDescent="0.2">
      <c r="A409" t="s">
        <v>2363</v>
      </c>
      <c r="B409" t="s">
        <v>1480</v>
      </c>
      <c r="C409" t="s">
        <v>2364</v>
      </c>
      <c r="D409" t="s">
        <v>1896</v>
      </c>
      <c r="E409" t="s">
        <v>1898</v>
      </c>
      <c r="F409" t="s">
        <v>1484</v>
      </c>
      <c r="G409" t="s">
        <v>1485</v>
      </c>
    </row>
    <row r="410" spans="1:7" x14ac:dyDescent="0.2">
      <c r="A410" t="s">
        <v>2365</v>
      </c>
      <c r="B410" t="s">
        <v>1480</v>
      </c>
      <c r="C410" t="s">
        <v>2366</v>
      </c>
      <c r="D410" t="s">
        <v>1711</v>
      </c>
      <c r="E410" t="s">
        <v>1712</v>
      </c>
      <c r="F410" t="s">
        <v>1484</v>
      </c>
      <c r="G410" t="s">
        <v>1485</v>
      </c>
    </row>
    <row r="411" spans="1:7" x14ac:dyDescent="0.2">
      <c r="A411" t="s">
        <v>2367</v>
      </c>
      <c r="B411" t="s">
        <v>1480</v>
      </c>
      <c r="C411" t="s">
        <v>2368</v>
      </c>
      <c r="D411" t="s">
        <v>1691</v>
      </c>
      <c r="E411" t="s">
        <v>1692</v>
      </c>
      <c r="F411" t="s">
        <v>1484</v>
      </c>
      <c r="G411" t="s">
        <v>1485</v>
      </c>
    </row>
    <row r="412" spans="1:7" x14ac:dyDescent="0.2">
      <c r="A412" t="s">
        <v>2369</v>
      </c>
      <c r="B412" t="s">
        <v>1480</v>
      </c>
      <c r="C412" t="s">
        <v>2370</v>
      </c>
      <c r="D412" t="s">
        <v>1711</v>
      </c>
      <c r="E412" t="s">
        <v>1712</v>
      </c>
      <c r="F412" t="s">
        <v>1484</v>
      </c>
      <c r="G412" t="s">
        <v>1485</v>
      </c>
    </row>
    <row r="413" spans="1:7" x14ac:dyDescent="0.2">
      <c r="A413" t="s">
        <v>2371</v>
      </c>
      <c r="B413" t="s">
        <v>1480</v>
      </c>
      <c r="C413" t="s">
        <v>2372</v>
      </c>
      <c r="D413" t="s">
        <v>1691</v>
      </c>
      <c r="E413" t="s">
        <v>1692</v>
      </c>
      <c r="F413" t="s">
        <v>1484</v>
      </c>
      <c r="G413" t="s">
        <v>1485</v>
      </c>
    </row>
    <row r="414" spans="1:7" x14ac:dyDescent="0.2">
      <c r="A414" t="s">
        <v>2373</v>
      </c>
      <c r="B414" t="s">
        <v>1480</v>
      </c>
      <c r="C414" t="s">
        <v>2374</v>
      </c>
      <c r="D414" t="s">
        <v>1705</v>
      </c>
      <c r="E414" t="s">
        <v>1706</v>
      </c>
      <c r="F414" t="s">
        <v>1484</v>
      </c>
      <c r="G414" t="s">
        <v>1485</v>
      </c>
    </row>
    <row r="415" spans="1:7" x14ac:dyDescent="0.2">
      <c r="A415" t="s">
        <v>2375</v>
      </c>
      <c r="B415" t="s">
        <v>1480</v>
      </c>
      <c r="C415" t="s">
        <v>2376</v>
      </c>
      <c r="D415" t="s">
        <v>1735</v>
      </c>
      <c r="E415" t="s">
        <v>1736</v>
      </c>
      <c r="F415" t="s">
        <v>1484</v>
      </c>
      <c r="G415" t="s">
        <v>1485</v>
      </c>
    </row>
    <row r="416" spans="1:7" x14ac:dyDescent="0.2">
      <c r="A416" t="s">
        <v>2377</v>
      </c>
      <c r="B416" t="s">
        <v>1480</v>
      </c>
      <c r="C416" t="s">
        <v>2378</v>
      </c>
      <c r="D416" t="s">
        <v>1705</v>
      </c>
      <c r="E416" t="s">
        <v>1706</v>
      </c>
      <c r="F416" t="s">
        <v>1484</v>
      </c>
      <c r="G416" t="s">
        <v>1485</v>
      </c>
    </row>
    <row r="417" spans="1:7" x14ac:dyDescent="0.2">
      <c r="A417" t="s">
        <v>2379</v>
      </c>
      <c r="B417" t="s">
        <v>1480</v>
      </c>
      <c r="C417" t="s">
        <v>2380</v>
      </c>
      <c r="D417" t="s">
        <v>1482</v>
      </c>
      <c r="E417" t="s">
        <v>1483</v>
      </c>
      <c r="F417" t="s">
        <v>1484</v>
      </c>
      <c r="G417" t="s">
        <v>1485</v>
      </c>
    </row>
    <row r="418" spans="1:7" x14ac:dyDescent="0.2">
      <c r="A418" t="s">
        <v>2381</v>
      </c>
      <c r="B418" t="s">
        <v>1480</v>
      </c>
      <c r="C418" t="s">
        <v>2382</v>
      </c>
      <c r="D418" t="s">
        <v>1657</v>
      </c>
      <c r="E418" t="s">
        <v>1658</v>
      </c>
      <c r="F418" t="s">
        <v>1484</v>
      </c>
      <c r="G418" t="s">
        <v>1485</v>
      </c>
    </row>
    <row r="419" spans="1:7" x14ac:dyDescent="0.2">
      <c r="A419" t="s">
        <v>2383</v>
      </c>
      <c r="B419" t="s">
        <v>1480</v>
      </c>
      <c r="C419" t="s">
        <v>2384</v>
      </c>
      <c r="D419" t="s">
        <v>1695</v>
      </c>
      <c r="E419" t="s">
        <v>1696</v>
      </c>
      <c r="F419" t="s">
        <v>1484</v>
      </c>
      <c r="G419" t="s">
        <v>1485</v>
      </c>
    </row>
    <row r="420" spans="1:7" x14ac:dyDescent="0.2">
      <c r="A420" t="s">
        <v>2385</v>
      </c>
      <c r="B420" t="s">
        <v>1480</v>
      </c>
      <c r="C420" t="s">
        <v>2386</v>
      </c>
      <c r="D420" t="s">
        <v>1741</v>
      </c>
      <c r="E420" t="s">
        <v>1742</v>
      </c>
      <c r="F420" t="s">
        <v>1484</v>
      </c>
      <c r="G420" t="s">
        <v>1485</v>
      </c>
    </row>
    <row r="421" spans="1:7" x14ac:dyDescent="0.2">
      <c r="A421" t="s">
        <v>2387</v>
      </c>
      <c r="B421" t="s">
        <v>1480</v>
      </c>
      <c r="C421" t="s">
        <v>2388</v>
      </c>
      <c r="D421" t="s">
        <v>1725</v>
      </c>
      <c r="E421" t="s">
        <v>1726</v>
      </c>
      <c r="F421" t="s">
        <v>1484</v>
      </c>
      <c r="G421" t="s">
        <v>1485</v>
      </c>
    </row>
    <row r="422" spans="1:7" x14ac:dyDescent="0.2">
      <c r="A422" t="s">
        <v>2389</v>
      </c>
      <c r="B422" t="s">
        <v>1480</v>
      </c>
      <c r="C422" t="s">
        <v>2390</v>
      </c>
      <c r="D422" t="s">
        <v>1705</v>
      </c>
      <c r="E422" t="s">
        <v>1706</v>
      </c>
      <c r="F422" t="s">
        <v>1484</v>
      </c>
      <c r="G422" t="s">
        <v>1485</v>
      </c>
    </row>
    <row r="423" spans="1:7" x14ac:dyDescent="0.2">
      <c r="A423" t="s">
        <v>2391</v>
      </c>
      <c r="B423" t="s">
        <v>1480</v>
      </c>
      <c r="C423" t="s">
        <v>2392</v>
      </c>
      <c r="D423" t="s">
        <v>1669</v>
      </c>
      <c r="E423" t="s">
        <v>1670</v>
      </c>
      <c r="F423" t="s">
        <v>1484</v>
      </c>
      <c r="G423" t="s">
        <v>1485</v>
      </c>
    </row>
    <row r="424" spans="1:7" x14ac:dyDescent="0.2">
      <c r="A424" t="s">
        <v>2393</v>
      </c>
      <c r="B424" t="s">
        <v>1480</v>
      </c>
      <c r="C424" t="s">
        <v>2394</v>
      </c>
      <c r="D424" t="s">
        <v>2069</v>
      </c>
      <c r="E424" t="s">
        <v>2070</v>
      </c>
      <c r="F424" t="s">
        <v>1484</v>
      </c>
      <c r="G424" t="s">
        <v>1485</v>
      </c>
    </row>
    <row r="425" spans="1:7" x14ac:dyDescent="0.2">
      <c r="A425" t="s">
        <v>2395</v>
      </c>
      <c r="B425" t="s">
        <v>1480</v>
      </c>
      <c r="C425" t="s">
        <v>2396</v>
      </c>
      <c r="D425" t="s">
        <v>1729</v>
      </c>
      <c r="E425" t="s">
        <v>1730</v>
      </c>
      <c r="F425" t="s">
        <v>1484</v>
      </c>
      <c r="G425" t="s">
        <v>1485</v>
      </c>
    </row>
    <row r="426" spans="1:7" x14ac:dyDescent="0.2">
      <c r="A426" t="s">
        <v>2397</v>
      </c>
      <c r="B426" t="s">
        <v>1480</v>
      </c>
      <c r="C426" t="s">
        <v>2398</v>
      </c>
      <c r="D426" t="s">
        <v>1876</v>
      </c>
      <c r="E426" t="s">
        <v>1877</v>
      </c>
      <c r="F426" t="s">
        <v>1484</v>
      </c>
      <c r="G426" t="s">
        <v>1485</v>
      </c>
    </row>
    <row r="427" spans="1:7" x14ac:dyDescent="0.2">
      <c r="A427" t="s">
        <v>1691</v>
      </c>
      <c r="B427" t="s">
        <v>1480</v>
      </c>
      <c r="C427" t="s">
        <v>2399</v>
      </c>
      <c r="D427" t="s">
        <v>1691</v>
      </c>
      <c r="E427" t="s">
        <v>1692</v>
      </c>
      <c r="F427" t="s">
        <v>1484</v>
      </c>
      <c r="G427" t="s">
        <v>1485</v>
      </c>
    </row>
    <row r="428" spans="1:7" x14ac:dyDescent="0.2">
      <c r="A428" t="s">
        <v>2400</v>
      </c>
      <c r="B428" t="s">
        <v>1480</v>
      </c>
      <c r="C428" t="s">
        <v>2401</v>
      </c>
      <c r="D428" t="s">
        <v>1669</v>
      </c>
      <c r="E428" t="s">
        <v>1670</v>
      </c>
      <c r="F428" t="s">
        <v>1484</v>
      </c>
      <c r="G428" t="s">
        <v>1485</v>
      </c>
    </row>
    <row r="429" spans="1:7" x14ac:dyDescent="0.2">
      <c r="A429" t="s">
        <v>2402</v>
      </c>
      <c r="B429" t="s">
        <v>1480</v>
      </c>
      <c r="C429" t="s">
        <v>2403</v>
      </c>
      <c r="D429" t="s">
        <v>1695</v>
      </c>
      <c r="E429" t="s">
        <v>1696</v>
      </c>
      <c r="F429" t="s">
        <v>1484</v>
      </c>
      <c r="G429" t="s">
        <v>1485</v>
      </c>
    </row>
    <row r="430" spans="1:7" x14ac:dyDescent="0.2">
      <c r="A430" t="s">
        <v>2404</v>
      </c>
      <c r="B430" t="s">
        <v>1480</v>
      </c>
      <c r="C430" t="s">
        <v>2405</v>
      </c>
      <c r="D430" t="s">
        <v>1572</v>
      </c>
      <c r="E430" t="s">
        <v>1573</v>
      </c>
      <c r="F430" t="s">
        <v>1484</v>
      </c>
      <c r="G430" t="s">
        <v>1485</v>
      </c>
    </row>
    <row r="431" spans="1:7" x14ac:dyDescent="0.2">
      <c r="A431" t="s">
        <v>2406</v>
      </c>
      <c r="B431" t="s">
        <v>1480</v>
      </c>
      <c r="C431" t="s">
        <v>2407</v>
      </c>
      <c r="D431" t="s">
        <v>1870</v>
      </c>
      <c r="E431" t="s">
        <v>1871</v>
      </c>
      <c r="F431" t="s">
        <v>1484</v>
      </c>
      <c r="G431" t="s">
        <v>1485</v>
      </c>
    </row>
    <row r="432" spans="1:7" x14ac:dyDescent="0.2">
      <c r="A432" t="s">
        <v>2408</v>
      </c>
      <c r="B432" t="s">
        <v>1480</v>
      </c>
      <c r="C432" t="s">
        <v>2409</v>
      </c>
      <c r="D432" t="s">
        <v>1572</v>
      </c>
      <c r="E432" t="s">
        <v>1573</v>
      </c>
      <c r="F432" t="s">
        <v>1484</v>
      </c>
      <c r="G432" t="s">
        <v>1485</v>
      </c>
    </row>
    <row r="433" spans="1:7" x14ac:dyDescent="0.2">
      <c r="A433" t="s">
        <v>2410</v>
      </c>
      <c r="B433" t="s">
        <v>1480</v>
      </c>
      <c r="C433" t="s">
        <v>2411</v>
      </c>
      <c r="D433" t="s">
        <v>1695</v>
      </c>
      <c r="E433" t="s">
        <v>1696</v>
      </c>
      <c r="F433" t="s">
        <v>1484</v>
      </c>
      <c r="G433" t="s">
        <v>1485</v>
      </c>
    </row>
    <row r="434" spans="1:7" x14ac:dyDescent="0.2">
      <c r="A434" t="s">
        <v>2412</v>
      </c>
      <c r="B434" t="s">
        <v>1480</v>
      </c>
      <c r="C434" t="s">
        <v>2413</v>
      </c>
      <c r="D434" t="s">
        <v>2069</v>
      </c>
      <c r="E434" t="s">
        <v>2070</v>
      </c>
      <c r="F434" t="s">
        <v>1484</v>
      </c>
      <c r="G434" t="s">
        <v>1485</v>
      </c>
    </row>
    <row r="435" spans="1:7" x14ac:dyDescent="0.2">
      <c r="A435" t="s">
        <v>2414</v>
      </c>
      <c r="B435" t="s">
        <v>1480</v>
      </c>
      <c r="C435" t="s">
        <v>2415</v>
      </c>
      <c r="D435" t="s">
        <v>1506</v>
      </c>
      <c r="E435" t="s">
        <v>1507</v>
      </c>
      <c r="F435" t="s">
        <v>1484</v>
      </c>
      <c r="G435" t="s">
        <v>1485</v>
      </c>
    </row>
    <row r="436" spans="1:7" x14ac:dyDescent="0.2">
      <c r="A436" t="s">
        <v>2416</v>
      </c>
      <c r="B436" t="s">
        <v>1480</v>
      </c>
      <c r="C436" t="s">
        <v>2417</v>
      </c>
      <c r="D436" t="s">
        <v>2069</v>
      </c>
      <c r="E436" t="s">
        <v>2070</v>
      </c>
      <c r="F436" t="s">
        <v>1484</v>
      </c>
      <c r="G436" t="s">
        <v>1485</v>
      </c>
    </row>
    <row r="437" spans="1:7" x14ac:dyDescent="0.2">
      <c r="A437" t="s">
        <v>2418</v>
      </c>
      <c r="B437" t="s">
        <v>1480</v>
      </c>
      <c r="C437" t="s">
        <v>2419</v>
      </c>
      <c r="D437" t="s">
        <v>1536</v>
      </c>
      <c r="E437" t="s">
        <v>1537</v>
      </c>
      <c r="F437" t="s">
        <v>1484</v>
      </c>
      <c r="G437" t="s">
        <v>1485</v>
      </c>
    </row>
    <row r="438" spans="1:7" x14ac:dyDescent="0.2">
      <c r="A438" t="s">
        <v>2420</v>
      </c>
      <c r="B438" t="s">
        <v>1480</v>
      </c>
      <c r="C438" t="s">
        <v>2421</v>
      </c>
      <c r="D438" t="s">
        <v>1705</v>
      </c>
      <c r="E438" t="s">
        <v>1706</v>
      </c>
      <c r="F438" t="s">
        <v>1484</v>
      </c>
      <c r="G438" t="s">
        <v>1485</v>
      </c>
    </row>
    <row r="439" spans="1:7" x14ac:dyDescent="0.2">
      <c r="A439" t="s">
        <v>2422</v>
      </c>
      <c r="B439" t="s">
        <v>1480</v>
      </c>
      <c r="C439" t="s">
        <v>2423</v>
      </c>
      <c r="D439" t="s">
        <v>1729</v>
      </c>
      <c r="E439" t="s">
        <v>1730</v>
      </c>
      <c r="F439" t="s">
        <v>1484</v>
      </c>
      <c r="G439" t="s">
        <v>1485</v>
      </c>
    </row>
    <row r="440" spans="1:7" x14ac:dyDescent="0.2">
      <c r="A440" t="s">
        <v>2424</v>
      </c>
      <c r="B440" t="s">
        <v>1480</v>
      </c>
      <c r="C440" t="s">
        <v>2425</v>
      </c>
      <c r="D440" t="s">
        <v>1695</v>
      </c>
      <c r="E440" t="s">
        <v>1696</v>
      </c>
      <c r="F440" t="s">
        <v>1484</v>
      </c>
      <c r="G440" t="s">
        <v>1485</v>
      </c>
    </row>
    <row r="441" spans="1:7" x14ac:dyDescent="0.2">
      <c r="A441" t="s">
        <v>2426</v>
      </c>
      <c r="B441" t="s">
        <v>1480</v>
      </c>
      <c r="C441" t="s">
        <v>2427</v>
      </c>
      <c r="D441" t="s">
        <v>1705</v>
      </c>
      <c r="E441" t="s">
        <v>1706</v>
      </c>
      <c r="F441" t="s">
        <v>1484</v>
      </c>
      <c r="G441" t="s">
        <v>1485</v>
      </c>
    </row>
    <row r="442" spans="1:7" x14ac:dyDescent="0.2">
      <c r="A442" t="s">
        <v>2428</v>
      </c>
      <c r="B442" t="s">
        <v>1480</v>
      </c>
      <c r="C442" t="s">
        <v>2429</v>
      </c>
      <c r="D442" t="s">
        <v>1695</v>
      </c>
      <c r="E442" t="s">
        <v>1696</v>
      </c>
      <c r="F442" t="s">
        <v>1484</v>
      </c>
      <c r="G442" t="s">
        <v>1485</v>
      </c>
    </row>
    <row r="443" spans="1:7" x14ac:dyDescent="0.2">
      <c r="A443" t="s">
        <v>1494</v>
      </c>
      <c r="B443" t="s">
        <v>1480</v>
      </c>
      <c r="C443" t="s">
        <v>2430</v>
      </c>
      <c r="D443" t="s">
        <v>1494</v>
      </c>
      <c r="E443" t="s">
        <v>1495</v>
      </c>
      <c r="F443" t="s">
        <v>1484</v>
      </c>
      <c r="G443" t="s">
        <v>1485</v>
      </c>
    </row>
    <row r="444" spans="1:7" x14ac:dyDescent="0.2">
      <c r="A444" t="s">
        <v>2431</v>
      </c>
      <c r="B444" t="s">
        <v>1480</v>
      </c>
      <c r="C444" t="s">
        <v>2432</v>
      </c>
      <c r="D444" t="s">
        <v>1725</v>
      </c>
      <c r="E444" t="s">
        <v>1726</v>
      </c>
      <c r="F444" t="s">
        <v>1484</v>
      </c>
      <c r="G444" t="s">
        <v>1485</v>
      </c>
    </row>
    <row r="445" spans="1:7" x14ac:dyDescent="0.2">
      <c r="A445" t="s">
        <v>2433</v>
      </c>
      <c r="B445" t="s">
        <v>1480</v>
      </c>
      <c r="C445" t="s">
        <v>2434</v>
      </c>
      <c r="D445" t="s">
        <v>2069</v>
      </c>
      <c r="E445" t="s">
        <v>2070</v>
      </c>
      <c r="F445" t="s">
        <v>1484</v>
      </c>
      <c r="G445" t="s">
        <v>1485</v>
      </c>
    </row>
    <row r="446" spans="1:7" x14ac:dyDescent="0.2">
      <c r="A446" t="s">
        <v>2435</v>
      </c>
      <c r="B446" t="s">
        <v>1480</v>
      </c>
      <c r="C446" t="s">
        <v>2436</v>
      </c>
      <c r="D446" t="s">
        <v>2026</v>
      </c>
      <c r="E446" t="s">
        <v>2027</v>
      </c>
      <c r="F446" t="s">
        <v>1484</v>
      </c>
      <c r="G446" t="s">
        <v>1485</v>
      </c>
    </row>
    <row r="447" spans="1:7" x14ac:dyDescent="0.2">
      <c r="A447" t="s">
        <v>2437</v>
      </c>
      <c r="B447" t="s">
        <v>1480</v>
      </c>
      <c r="C447" t="s">
        <v>2438</v>
      </c>
      <c r="D447" t="s">
        <v>1657</v>
      </c>
      <c r="E447" t="s">
        <v>1658</v>
      </c>
      <c r="F447" t="s">
        <v>1484</v>
      </c>
      <c r="G447" t="s">
        <v>1485</v>
      </c>
    </row>
    <row r="448" spans="1:7" x14ac:dyDescent="0.2">
      <c r="A448" t="s">
        <v>2439</v>
      </c>
      <c r="B448" t="s">
        <v>1480</v>
      </c>
      <c r="C448" t="s">
        <v>2440</v>
      </c>
      <c r="D448" t="s">
        <v>1669</v>
      </c>
      <c r="E448" t="s">
        <v>1670</v>
      </c>
      <c r="F448" t="s">
        <v>1484</v>
      </c>
      <c r="G448" t="s">
        <v>1485</v>
      </c>
    </row>
    <row r="449" spans="1:7" x14ac:dyDescent="0.2">
      <c r="A449" t="s">
        <v>2441</v>
      </c>
      <c r="B449" t="s">
        <v>1480</v>
      </c>
      <c r="C449" t="s">
        <v>2442</v>
      </c>
      <c r="D449" t="s">
        <v>1876</v>
      </c>
      <c r="E449" t="s">
        <v>1877</v>
      </c>
      <c r="F449" t="s">
        <v>1484</v>
      </c>
      <c r="G449" t="s">
        <v>1485</v>
      </c>
    </row>
    <row r="450" spans="1:7" x14ac:dyDescent="0.2">
      <c r="A450" t="s">
        <v>2443</v>
      </c>
      <c r="B450" t="s">
        <v>1480</v>
      </c>
      <c r="C450" t="s">
        <v>2444</v>
      </c>
      <c r="D450" t="s">
        <v>1548</v>
      </c>
      <c r="E450" t="s">
        <v>1549</v>
      </c>
      <c r="F450" t="s">
        <v>1484</v>
      </c>
      <c r="G450" t="s">
        <v>1485</v>
      </c>
    </row>
    <row r="451" spans="1:7" x14ac:dyDescent="0.2">
      <c r="A451" t="s">
        <v>2445</v>
      </c>
      <c r="B451" t="s">
        <v>1480</v>
      </c>
      <c r="C451" t="s">
        <v>2446</v>
      </c>
      <c r="D451" t="s">
        <v>1572</v>
      </c>
      <c r="E451" t="s">
        <v>1573</v>
      </c>
      <c r="F451" t="s">
        <v>1484</v>
      </c>
      <c r="G451" t="s">
        <v>1485</v>
      </c>
    </row>
    <row r="452" spans="1:7" x14ac:dyDescent="0.2">
      <c r="A452" t="s">
        <v>2447</v>
      </c>
      <c r="B452" t="s">
        <v>1480</v>
      </c>
      <c r="C452" t="s">
        <v>2448</v>
      </c>
      <c r="D452" t="s">
        <v>1572</v>
      </c>
      <c r="E452" t="s">
        <v>1573</v>
      </c>
      <c r="F452" t="s">
        <v>1484</v>
      </c>
      <c r="G452" t="s">
        <v>1485</v>
      </c>
    </row>
    <row r="453" spans="1:7" x14ac:dyDescent="0.2">
      <c r="A453" t="s">
        <v>2449</v>
      </c>
      <c r="B453" t="s">
        <v>1480</v>
      </c>
      <c r="C453" t="s">
        <v>2450</v>
      </c>
      <c r="D453" t="s">
        <v>1653</v>
      </c>
      <c r="E453" t="s">
        <v>1654</v>
      </c>
      <c r="F453" t="s">
        <v>1484</v>
      </c>
      <c r="G453" t="s">
        <v>1485</v>
      </c>
    </row>
    <row r="454" spans="1:7" x14ac:dyDescent="0.2">
      <c r="A454" t="s">
        <v>2451</v>
      </c>
      <c r="B454" t="s">
        <v>1480</v>
      </c>
      <c r="C454" t="s">
        <v>2452</v>
      </c>
      <c r="D454" t="s">
        <v>1705</v>
      </c>
      <c r="E454" t="s">
        <v>1706</v>
      </c>
      <c r="F454" t="s">
        <v>1484</v>
      </c>
      <c r="G454" t="s">
        <v>1485</v>
      </c>
    </row>
    <row r="455" spans="1:7" x14ac:dyDescent="0.2">
      <c r="A455" t="s">
        <v>2453</v>
      </c>
      <c r="B455" t="s">
        <v>1480</v>
      </c>
      <c r="C455" t="s">
        <v>2454</v>
      </c>
      <c r="D455" t="s">
        <v>1657</v>
      </c>
      <c r="E455" t="s">
        <v>1658</v>
      </c>
      <c r="F455" t="s">
        <v>1484</v>
      </c>
      <c r="G455" t="s">
        <v>1485</v>
      </c>
    </row>
    <row r="456" spans="1:7" x14ac:dyDescent="0.2">
      <c r="A456" t="s">
        <v>2455</v>
      </c>
      <c r="B456" t="s">
        <v>1480</v>
      </c>
      <c r="C456" t="s">
        <v>2456</v>
      </c>
      <c r="D456" t="s">
        <v>1705</v>
      </c>
      <c r="E456" t="s">
        <v>1706</v>
      </c>
      <c r="F456" t="s">
        <v>1484</v>
      </c>
      <c r="G456" t="s">
        <v>1485</v>
      </c>
    </row>
    <row r="457" spans="1:7" x14ac:dyDescent="0.2">
      <c r="A457" t="s">
        <v>2457</v>
      </c>
      <c r="B457" t="s">
        <v>1480</v>
      </c>
      <c r="C457" t="s">
        <v>2458</v>
      </c>
      <c r="D457" t="s">
        <v>1705</v>
      </c>
      <c r="E457" t="s">
        <v>1706</v>
      </c>
      <c r="F457" t="s">
        <v>1484</v>
      </c>
      <c r="G457" t="s">
        <v>1485</v>
      </c>
    </row>
    <row r="458" spans="1:7" x14ac:dyDescent="0.2">
      <c r="A458" t="s">
        <v>2459</v>
      </c>
      <c r="B458" t="s">
        <v>1480</v>
      </c>
      <c r="C458" t="s">
        <v>2460</v>
      </c>
      <c r="D458" t="s">
        <v>1705</v>
      </c>
      <c r="E458" t="s">
        <v>1706</v>
      </c>
      <c r="F458" t="s">
        <v>1484</v>
      </c>
      <c r="G458" t="s">
        <v>1485</v>
      </c>
    </row>
    <row r="459" spans="1:7" x14ac:dyDescent="0.2">
      <c r="A459" t="s">
        <v>2461</v>
      </c>
      <c r="B459" t="s">
        <v>1480</v>
      </c>
      <c r="C459" t="s">
        <v>2462</v>
      </c>
      <c r="D459" t="s">
        <v>1691</v>
      </c>
      <c r="E459" t="s">
        <v>1692</v>
      </c>
      <c r="F459" t="s">
        <v>1484</v>
      </c>
      <c r="G459" t="s">
        <v>1485</v>
      </c>
    </row>
    <row r="460" spans="1:7" x14ac:dyDescent="0.2">
      <c r="A460" t="s">
        <v>2463</v>
      </c>
      <c r="B460" t="s">
        <v>1480</v>
      </c>
      <c r="C460" t="s">
        <v>2464</v>
      </c>
      <c r="D460" t="s">
        <v>1482</v>
      </c>
      <c r="E460" t="s">
        <v>1483</v>
      </c>
      <c r="F460" t="s">
        <v>1484</v>
      </c>
      <c r="G460" t="s">
        <v>1485</v>
      </c>
    </row>
    <row r="461" spans="1:7" x14ac:dyDescent="0.2">
      <c r="A461" t="s">
        <v>2465</v>
      </c>
      <c r="B461" t="s">
        <v>1480</v>
      </c>
      <c r="C461" t="s">
        <v>2466</v>
      </c>
      <c r="D461" t="s">
        <v>1691</v>
      </c>
      <c r="E461" t="s">
        <v>1692</v>
      </c>
      <c r="F461" t="s">
        <v>1484</v>
      </c>
      <c r="G461" t="s">
        <v>1485</v>
      </c>
    </row>
    <row r="462" spans="1:7" x14ac:dyDescent="0.2">
      <c r="A462" t="s">
        <v>2467</v>
      </c>
      <c r="B462" t="s">
        <v>1480</v>
      </c>
      <c r="C462" t="s">
        <v>2468</v>
      </c>
      <c r="D462" t="s">
        <v>1653</v>
      </c>
      <c r="E462" t="s">
        <v>1654</v>
      </c>
      <c r="F462" t="s">
        <v>1484</v>
      </c>
      <c r="G462" t="s">
        <v>1485</v>
      </c>
    </row>
    <row r="463" spans="1:7" x14ac:dyDescent="0.2">
      <c r="A463" t="s">
        <v>2469</v>
      </c>
      <c r="B463" t="s">
        <v>1480</v>
      </c>
      <c r="C463" t="s">
        <v>2470</v>
      </c>
      <c r="D463" t="s">
        <v>1896</v>
      </c>
      <c r="E463" t="s">
        <v>1898</v>
      </c>
      <c r="F463" t="s">
        <v>1484</v>
      </c>
      <c r="G463" t="s">
        <v>1485</v>
      </c>
    </row>
    <row r="464" spans="1:7" x14ac:dyDescent="0.2">
      <c r="A464" t="s">
        <v>2471</v>
      </c>
      <c r="B464" t="s">
        <v>1480</v>
      </c>
      <c r="C464" t="s">
        <v>2472</v>
      </c>
      <c r="D464" t="s">
        <v>1669</v>
      </c>
      <c r="E464" t="s">
        <v>1670</v>
      </c>
      <c r="F464" t="s">
        <v>1484</v>
      </c>
      <c r="G464" t="s">
        <v>1485</v>
      </c>
    </row>
    <row r="465" spans="1:7" x14ac:dyDescent="0.2">
      <c r="A465" t="s">
        <v>2473</v>
      </c>
      <c r="B465" t="s">
        <v>1480</v>
      </c>
      <c r="C465" t="s">
        <v>2474</v>
      </c>
      <c r="D465" t="s">
        <v>1506</v>
      </c>
      <c r="E465" t="s">
        <v>1507</v>
      </c>
      <c r="F465" t="s">
        <v>1484</v>
      </c>
      <c r="G465" t="s">
        <v>1485</v>
      </c>
    </row>
    <row r="466" spans="1:7" x14ac:dyDescent="0.2">
      <c r="A466" t="s">
        <v>2475</v>
      </c>
      <c r="B466" t="s">
        <v>1480</v>
      </c>
      <c r="C466" t="s">
        <v>2476</v>
      </c>
      <c r="D466" t="s">
        <v>1657</v>
      </c>
      <c r="E466" t="s">
        <v>1658</v>
      </c>
      <c r="F466" t="s">
        <v>1484</v>
      </c>
      <c r="G466" t="s">
        <v>1485</v>
      </c>
    </row>
    <row r="467" spans="1:7" x14ac:dyDescent="0.2">
      <c r="A467" t="s">
        <v>2477</v>
      </c>
      <c r="B467" t="s">
        <v>1480</v>
      </c>
      <c r="C467" t="s">
        <v>2478</v>
      </c>
      <c r="D467" t="s">
        <v>2069</v>
      </c>
      <c r="E467" t="s">
        <v>2070</v>
      </c>
      <c r="F467" t="s">
        <v>1484</v>
      </c>
      <c r="G467" t="s">
        <v>1485</v>
      </c>
    </row>
    <row r="468" spans="1:7" x14ac:dyDescent="0.2">
      <c r="A468" t="s">
        <v>2479</v>
      </c>
      <c r="B468" t="s">
        <v>1480</v>
      </c>
      <c r="C468" t="s">
        <v>2480</v>
      </c>
      <c r="D468" t="s">
        <v>1637</v>
      </c>
      <c r="E468" t="s">
        <v>1638</v>
      </c>
      <c r="F468" t="s">
        <v>1484</v>
      </c>
      <c r="G468" t="s">
        <v>1485</v>
      </c>
    </row>
    <row r="469" spans="1:7" x14ac:dyDescent="0.2">
      <c r="A469" t="s">
        <v>2481</v>
      </c>
      <c r="B469" t="s">
        <v>1480</v>
      </c>
      <c r="C469" t="s">
        <v>2482</v>
      </c>
      <c r="D469" t="s">
        <v>1548</v>
      </c>
      <c r="E469" t="s">
        <v>1549</v>
      </c>
      <c r="F469" t="s">
        <v>1484</v>
      </c>
      <c r="G469" t="s">
        <v>1485</v>
      </c>
    </row>
    <row r="470" spans="1:7" x14ac:dyDescent="0.2">
      <c r="A470" t="s">
        <v>2483</v>
      </c>
      <c r="B470" t="s">
        <v>1480</v>
      </c>
      <c r="C470" t="s">
        <v>2484</v>
      </c>
      <c r="D470" t="s">
        <v>1548</v>
      </c>
      <c r="E470" t="s">
        <v>1549</v>
      </c>
      <c r="F470" t="s">
        <v>1484</v>
      </c>
      <c r="G470" t="s">
        <v>1485</v>
      </c>
    </row>
    <row r="471" spans="1:7" x14ac:dyDescent="0.2">
      <c r="A471" t="s">
        <v>2485</v>
      </c>
      <c r="B471" t="s">
        <v>1480</v>
      </c>
      <c r="C471" t="s">
        <v>2486</v>
      </c>
      <c r="D471" t="s">
        <v>1876</v>
      </c>
      <c r="E471" t="s">
        <v>1877</v>
      </c>
      <c r="F471" t="s">
        <v>1484</v>
      </c>
      <c r="G471" t="s">
        <v>1485</v>
      </c>
    </row>
    <row r="472" spans="1:7" x14ac:dyDescent="0.2">
      <c r="A472" t="s">
        <v>2487</v>
      </c>
      <c r="B472" t="s">
        <v>1480</v>
      </c>
      <c r="C472" t="s">
        <v>2488</v>
      </c>
      <c r="D472" t="s">
        <v>1572</v>
      </c>
      <c r="E472" t="s">
        <v>1573</v>
      </c>
      <c r="F472" t="s">
        <v>1484</v>
      </c>
      <c r="G472" t="s">
        <v>1485</v>
      </c>
    </row>
    <row r="473" spans="1:7" x14ac:dyDescent="0.2">
      <c r="A473" t="s">
        <v>2489</v>
      </c>
      <c r="B473" t="s">
        <v>1480</v>
      </c>
      <c r="C473" t="s">
        <v>2490</v>
      </c>
      <c r="D473" t="s">
        <v>1669</v>
      </c>
      <c r="E473" t="s">
        <v>1670</v>
      </c>
      <c r="F473" t="s">
        <v>1484</v>
      </c>
      <c r="G473" t="s">
        <v>1485</v>
      </c>
    </row>
    <row r="474" spans="1:7" x14ac:dyDescent="0.2">
      <c r="A474" t="s">
        <v>2491</v>
      </c>
      <c r="B474" t="s">
        <v>1480</v>
      </c>
      <c r="C474" t="s">
        <v>2492</v>
      </c>
      <c r="D474" t="s">
        <v>1494</v>
      </c>
      <c r="E474" t="s">
        <v>1495</v>
      </c>
      <c r="F474" t="s">
        <v>1484</v>
      </c>
      <c r="G474" t="s">
        <v>1485</v>
      </c>
    </row>
    <row r="475" spans="1:7" x14ac:dyDescent="0.2">
      <c r="A475" t="s">
        <v>2493</v>
      </c>
      <c r="B475" t="s">
        <v>1480</v>
      </c>
      <c r="C475" t="s">
        <v>2494</v>
      </c>
      <c r="D475" t="s">
        <v>1735</v>
      </c>
      <c r="E475" t="s">
        <v>1736</v>
      </c>
      <c r="F475" t="s">
        <v>1484</v>
      </c>
      <c r="G475" t="s">
        <v>1485</v>
      </c>
    </row>
    <row r="476" spans="1:7" x14ac:dyDescent="0.2">
      <c r="A476" t="s">
        <v>2495</v>
      </c>
      <c r="B476" t="s">
        <v>1480</v>
      </c>
      <c r="C476" t="s">
        <v>2496</v>
      </c>
      <c r="D476" t="s">
        <v>1741</v>
      </c>
      <c r="E476" t="s">
        <v>1742</v>
      </c>
      <c r="F476" t="s">
        <v>1484</v>
      </c>
      <c r="G476" t="s">
        <v>1485</v>
      </c>
    </row>
    <row r="477" spans="1:7" x14ac:dyDescent="0.2">
      <c r="A477" t="s">
        <v>2497</v>
      </c>
      <c r="B477" t="s">
        <v>1480</v>
      </c>
      <c r="C477" t="s">
        <v>2498</v>
      </c>
      <c r="D477" t="s">
        <v>1705</v>
      </c>
      <c r="E477" t="s">
        <v>1706</v>
      </c>
      <c r="F477" t="s">
        <v>1484</v>
      </c>
      <c r="G477" t="s">
        <v>1485</v>
      </c>
    </row>
    <row r="478" spans="1:7" x14ac:dyDescent="0.2">
      <c r="A478" t="s">
        <v>2499</v>
      </c>
      <c r="B478" t="s">
        <v>1480</v>
      </c>
      <c r="C478" t="s">
        <v>2500</v>
      </c>
      <c r="D478" t="s">
        <v>1657</v>
      </c>
      <c r="E478" t="s">
        <v>1658</v>
      </c>
      <c r="F478" t="s">
        <v>1484</v>
      </c>
      <c r="G478" t="s">
        <v>1485</v>
      </c>
    </row>
    <row r="479" spans="1:7" x14ac:dyDescent="0.2">
      <c r="A479" t="s">
        <v>2501</v>
      </c>
      <c r="B479" t="s">
        <v>1480</v>
      </c>
      <c r="C479" t="s">
        <v>2502</v>
      </c>
      <c r="D479" t="s">
        <v>1876</v>
      </c>
      <c r="E479" t="s">
        <v>1877</v>
      </c>
      <c r="F479" t="s">
        <v>1484</v>
      </c>
      <c r="G479" t="s">
        <v>1485</v>
      </c>
    </row>
    <row r="480" spans="1:7" x14ac:dyDescent="0.2">
      <c r="A480" t="s">
        <v>2503</v>
      </c>
      <c r="B480" t="s">
        <v>1480</v>
      </c>
      <c r="C480" t="s">
        <v>2504</v>
      </c>
      <c r="D480" t="s">
        <v>1657</v>
      </c>
      <c r="E480" t="s">
        <v>1658</v>
      </c>
      <c r="F480" t="s">
        <v>1484</v>
      </c>
      <c r="G480" t="s">
        <v>1485</v>
      </c>
    </row>
    <row r="481" spans="1:7" x14ac:dyDescent="0.2">
      <c r="A481" t="s">
        <v>2505</v>
      </c>
      <c r="B481" t="s">
        <v>1480</v>
      </c>
      <c r="C481" t="s">
        <v>2506</v>
      </c>
      <c r="D481" t="s">
        <v>1691</v>
      </c>
      <c r="E481" t="s">
        <v>1692</v>
      </c>
      <c r="F481" t="s">
        <v>1484</v>
      </c>
      <c r="G481" t="s">
        <v>1485</v>
      </c>
    </row>
    <row r="482" spans="1:7" x14ac:dyDescent="0.2">
      <c r="A482" t="s">
        <v>2507</v>
      </c>
      <c r="B482" t="s">
        <v>1480</v>
      </c>
      <c r="C482" t="s">
        <v>2508</v>
      </c>
      <c r="D482" t="s">
        <v>1741</v>
      </c>
      <c r="E482" t="s">
        <v>1742</v>
      </c>
      <c r="F482" t="s">
        <v>1484</v>
      </c>
      <c r="G482" t="s">
        <v>1485</v>
      </c>
    </row>
    <row r="483" spans="1:7" x14ac:dyDescent="0.2">
      <c r="A483" t="s">
        <v>2509</v>
      </c>
      <c r="B483" t="s">
        <v>1480</v>
      </c>
      <c r="C483" t="s">
        <v>2510</v>
      </c>
      <c r="D483" t="s">
        <v>1711</v>
      </c>
      <c r="E483" t="s">
        <v>1712</v>
      </c>
      <c r="F483" t="s">
        <v>1484</v>
      </c>
      <c r="G483" t="s">
        <v>1485</v>
      </c>
    </row>
    <row r="484" spans="1:7" x14ac:dyDescent="0.2">
      <c r="A484" t="s">
        <v>2511</v>
      </c>
      <c r="B484" t="s">
        <v>1480</v>
      </c>
      <c r="C484" t="s">
        <v>2512</v>
      </c>
      <c r="D484" t="s">
        <v>1711</v>
      </c>
      <c r="E484" t="s">
        <v>1712</v>
      </c>
      <c r="F484" t="s">
        <v>1484</v>
      </c>
      <c r="G484" t="s">
        <v>1485</v>
      </c>
    </row>
    <row r="485" spans="1:7" x14ac:dyDescent="0.2">
      <c r="A485" t="s">
        <v>2513</v>
      </c>
      <c r="B485" t="s">
        <v>1480</v>
      </c>
      <c r="C485" t="s">
        <v>2514</v>
      </c>
      <c r="D485" t="s">
        <v>1876</v>
      </c>
      <c r="E485" t="s">
        <v>1877</v>
      </c>
      <c r="F485" t="s">
        <v>1484</v>
      </c>
      <c r="G485" t="s">
        <v>1485</v>
      </c>
    </row>
    <row r="486" spans="1:7" x14ac:dyDescent="0.2">
      <c r="A486" t="s">
        <v>2515</v>
      </c>
      <c r="B486" t="s">
        <v>1480</v>
      </c>
      <c r="C486" t="s">
        <v>2516</v>
      </c>
      <c r="D486" t="s">
        <v>1482</v>
      </c>
      <c r="E486" t="s">
        <v>1483</v>
      </c>
      <c r="F486" t="s">
        <v>1484</v>
      </c>
      <c r="G486" t="s">
        <v>1485</v>
      </c>
    </row>
    <row r="487" spans="1:7" x14ac:dyDescent="0.2">
      <c r="A487" t="s">
        <v>2517</v>
      </c>
      <c r="B487" t="s">
        <v>1480</v>
      </c>
      <c r="C487" t="s">
        <v>2518</v>
      </c>
      <c r="D487" t="s">
        <v>1695</v>
      </c>
      <c r="E487" t="s">
        <v>1696</v>
      </c>
      <c r="F487" t="s">
        <v>1484</v>
      </c>
      <c r="G487" t="s">
        <v>1485</v>
      </c>
    </row>
    <row r="488" spans="1:7" x14ac:dyDescent="0.2">
      <c r="A488" t="s">
        <v>2519</v>
      </c>
      <c r="B488" t="s">
        <v>1480</v>
      </c>
      <c r="C488" t="s">
        <v>2520</v>
      </c>
      <c r="D488" t="s">
        <v>1691</v>
      </c>
      <c r="E488" t="s">
        <v>1692</v>
      </c>
      <c r="F488" t="s">
        <v>1484</v>
      </c>
      <c r="G488" t="s">
        <v>1485</v>
      </c>
    </row>
    <row r="489" spans="1:7" x14ac:dyDescent="0.2">
      <c r="A489" t="s">
        <v>2521</v>
      </c>
      <c r="B489" t="s">
        <v>1480</v>
      </c>
      <c r="C489" t="s">
        <v>2522</v>
      </c>
      <c r="D489" t="s">
        <v>1711</v>
      </c>
      <c r="E489" t="s">
        <v>1712</v>
      </c>
      <c r="F489" t="s">
        <v>1484</v>
      </c>
      <c r="G489" t="s">
        <v>1485</v>
      </c>
    </row>
    <row r="490" spans="1:7" x14ac:dyDescent="0.2">
      <c r="A490" t="s">
        <v>2523</v>
      </c>
      <c r="B490" t="s">
        <v>1480</v>
      </c>
      <c r="C490" t="s">
        <v>2524</v>
      </c>
      <c r="D490" t="s">
        <v>1691</v>
      </c>
      <c r="E490" t="s">
        <v>1692</v>
      </c>
      <c r="F490" t="s">
        <v>1484</v>
      </c>
      <c r="G490" t="s">
        <v>1485</v>
      </c>
    </row>
    <row r="491" spans="1:7" x14ac:dyDescent="0.2">
      <c r="A491" t="s">
        <v>2525</v>
      </c>
      <c r="B491" t="s">
        <v>1480</v>
      </c>
      <c r="C491" t="s">
        <v>2526</v>
      </c>
      <c r="D491" t="s">
        <v>1870</v>
      </c>
      <c r="E491" t="s">
        <v>1871</v>
      </c>
      <c r="F491" t="s">
        <v>1484</v>
      </c>
      <c r="G491" t="s">
        <v>1485</v>
      </c>
    </row>
    <row r="492" spans="1:7" x14ac:dyDescent="0.2">
      <c r="A492" t="s">
        <v>2527</v>
      </c>
      <c r="B492" t="s">
        <v>1480</v>
      </c>
      <c r="C492" t="s">
        <v>2528</v>
      </c>
      <c r="D492" t="s">
        <v>1876</v>
      </c>
      <c r="E492" t="s">
        <v>1877</v>
      </c>
      <c r="F492" t="s">
        <v>1484</v>
      </c>
      <c r="G492" t="s">
        <v>1485</v>
      </c>
    </row>
    <row r="493" spans="1:7" x14ac:dyDescent="0.2">
      <c r="A493" t="s">
        <v>2529</v>
      </c>
      <c r="B493" t="s">
        <v>1480</v>
      </c>
      <c r="C493" t="s">
        <v>2530</v>
      </c>
      <c r="D493" t="s">
        <v>1572</v>
      </c>
      <c r="E493" t="s">
        <v>1573</v>
      </c>
      <c r="F493" t="s">
        <v>1484</v>
      </c>
      <c r="G493" t="s">
        <v>1485</v>
      </c>
    </row>
    <row r="494" spans="1:7" x14ac:dyDescent="0.2">
      <c r="A494" t="s">
        <v>2531</v>
      </c>
      <c r="B494" t="s">
        <v>1480</v>
      </c>
      <c r="C494" t="s">
        <v>2532</v>
      </c>
      <c r="D494" t="s">
        <v>1657</v>
      </c>
      <c r="E494" t="s">
        <v>1658</v>
      </c>
      <c r="F494" t="s">
        <v>1484</v>
      </c>
      <c r="G494" t="s">
        <v>1485</v>
      </c>
    </row>
    <row r="495" spans="1:7" x14ac:dyDescent="0.2">
      <c r="A495" t="s">
        <v>2533</v>
      </c>
      <c r="B495" t="s">
        <v>1480</v>
      </c>
      <c r="C495" t="s">
        <v>2534</v>
      </c>
      <c r="D495" t="s">
        <v>1870</v>
      </c>
      <c r="E495" t="s">
        <v>1871</v>
      </c>
      <c r="F495" t="s">
        <v>1484</v>
      </c>
      <c r="G495" t="s">
        <v>1485</v>
      </c>
    </row>
    <row r="496" spans="1:7" x14ac:dyDescent="0.2">
      <c r="A496" t="s">
        <v>2535</v>
      </c>
      <c r="B496" t="s">
        <v>1480</v>
      </c>
      <c r="C496" t="s">
        <v>2536</v>
      </c>
      <c r="D496" t="s">
        <v>1876</v>
      </c>
      <c r="E496" t="s">
        <v>1877</v>
      </c>
      <c r="F496" t="s">
        <v>1484</v>
      </c>
      <c r="G496" t="s">
        <v>1485</v>
      </c>
    </row>
    <row r="497" spans="1:7" x14ac:dyDescent="0.2">
      <c r="A497" t="s">
        <v>2537</v>
      </c>
      <c r="B497" t="s">
        <v>1480</v>
      </c>
      <c r="C497" t="s">
        <v>2538</v>
      </c>
      <c r="D497" t="s">
        <v>1691</v>
      </c>
      <c r="E497" t="s">
        <v>1692</v>
      </c>
      <c r="F497" t="s">
        <v>1484</v>
      </c>
      <c r="G497" t="s">
        <v>1485</v>
      </c>
    </row>
    <row r="498" spans="1:7" x14ac:dyDescent="0.2">
      <c r="A498" t="s">
        <v>2539</v>
      </c>
      <c r="B498" t="s">
        <v>1480</v>
      </c>
      <c r="C498" t="s">
        <v>2540</v>
      </c>
      <c r="D498" t="s">
        <v>1691</v>
      </c>
      <c r="E498" t="s">
        <v>1692</v>
      </c>
      <c r="F498" t="s">
        <v>1484</v>
      </c>
      <c r="G498" t="s">
        <v>1485</v>
      </c>
    </row>
    <row r="499" spans="1:7" x14ac:dyDescent="0.2">
      <c r="A499" t="s">
        <v>2541</v>
      </c>
      <c r="B499" t="s">
        <v>1480</v>
      </c>
      <c r="C499" t="s">
        <v>2542</v>
      </c>
      <c r="D499" t="s">
        <v>1741</v>
      </c>
      <c r="E499" t="s">
        <v>1742</v>
      </c>
      <c r="F499" t="s">
        <v>1484</v>
      </c>
      <c r="G499" t="s">
        <v>1485</v>
      </c>
    </row>
    <row r="500" spans="1:7" x14ac:dyDescent="0.2">
      <c r="A500" t="s">
        <v>2543</v>
      </c>
      <c r="B500" t="s">
        <v>1480</v>
      </c>
      <c r="C500" t="s">
        <v>2544</v>
      </c>
      <c r="D500" t="s">
        <v>1568</v>
      </c>
      <c r="E500" t="s">
        <v>1569</v>
      </c>
      <c r="F500" t="s">
        <v>1484</v>
      </c>
      <c r="G500" t="s">
        <v>1485</v>
      </c>
    </row>
    <row r="501" spans="1:7" x14ac:dyDescent="0.2">
      <c r="A501" t="s">
        <v>2545</v>
      </c>
      <c r="B501" t="s">
        <v>1480</v>
      </c>
      <c r="C501" t="s">
        <v>2546</v>
      </c>
      <c r="D501" t="s">
        <v>1488</v>
      </c>
      <c r="E501" t="s">
        <v>1489</v>
      </c>
      <c r="F501" t="s">
        <v>1484</v>
      </c>
      <c r="G501" t="s">
        <v>1485</v>
      </c>
    </row>
    <row r="502" spans="1:7" x14ac:dyDescent="0.2">
      <c r="A502" t="s">
        <v>2547</v>
      </c>
      <c r="B502" t="s">
        <v>1480</v>
      </c>
      <c r="C502" t="s">
        <v>2548</v>
      </c>
      <c r="D502" t="s">
        <v>1741</v>
      </c>
      <c r="E502" t="s">
        <v>1742</v>
      </c>
      <c r="F502" t="s">
        <v>1484</v>
      </c>
      <c r="G502" t="s">
        <v>1485</v>
      </c>
    </row>
    <row r="503" spans="1:7" x14ac:dyDescent="0.2">
      <c r="A503" t="s">
        <v>2549</v>
      </c>
      <c r="B503" t="s">
        <v>1480</v>
      </c>
      <c r="C503" t="s">
        <v>2550</v>
      </c>
      <c r="D503" t="s">
        <v>1695</v>
      </c>
      <c r="E503" t="s">
        <v>1696</v>
      </c>
      <c r="F503" t="s">
        <v>1484</v>
      </c>
      <c r="G503" t="s">
        <v>1485</v>
      </c>
    </row>
    <row r="504" spans="1:7" x14ac:dyDescent="0.2">
      <c r="A504" t="s">
        <v>2551</v>
      </c>
      <c r="B504" t="s">
        <v>1480</v>
      </c>
      <c r="C504" t="s">
        <v>2552</v>
      </c>
      <c r="D504" t="s">
        <v>1711</v>
      </c>
      <c r="E504" t="s">
        <v>1712</v>
      </c>
      <c r="F504" t="s">
        <v>1484</v>
      </c>
      <c r="G504" t="s">
        <v>1485</v>
      </c>
    </row>
    <row r="505" spans="1:7" x14ac:dyDescent="0.2">
      <c r="A505" t="s">
        <v>2553</v>
      </c>
      <c r="B505" t="s">
        <v>1480</v>
      </c>
      <c r="C505" t="s">
        <v>2554</v>
      </c>
      <c r="D505" t="s">
        <v>1705</v>
      </c>
      <c r="E505" t="s">
        <v>1706</v>
      </c>
      <c r="F505" t="s">
        <v>1484</v>
      </c>
      <c r="G505" t="s">
        <v>1485</v>
      </c>
    </row>
    <row r="506" spans="1:7" x14ac:dyDescent="0.2">
      <c r="A506" t="s">
        <v>2555</v>
      </c>
      <c r="B506" t="s">
        <v>1480</v>
      </c>
      <c r="C506" t="s">
        <v>2556</v>
      </c>
      <c r="D506" t="s">
        <v>1729</v>
      </c>
      <c r="E506" t="s">
        <v>1730</v>
      </c>
      <c r="F506" t="s">
        <v>1484</v>
      </c>
      <c r="G506" t="s">
        <v>1485</v>
      </c>
    </row>
    <row r="507" spans="1:7" x14ac:dyDescent="0.2">
      <c r="A507" t="s">
        <v>2557</v>
      </c>
      <c r="B507" t="s">
        <v>1480</v>
      </c>
      <c r="C507" t="s">
        <v>2558</v>
      </c>
      <c r="D507" t="s">
        <v>1488</v>
      </c>
      <c r="E507" t="s">
        <v>1489</v>
      </c>
      <c r="F507" t="s">
        <v>1484</v>
      </c>
      <c r="G507" t="s">
        <v>1485</v>
      </c>
    </row>
    <row r="508" spans="1:7" x14ac:dyDescent="0.2">
      <c r="A508" t="s">
        <v>2559</v>
      </c>
      <c r="B508" t="s">
        <v>1480</v>
      </c>
      <c r="C508" t="s">
        <v>2560</v>
      </c>
      <c r="D508" t="s">
        <v>1516</v>
      </c>
      <c r="E508" t="s">
        <v>1517</v>
      </c>
      <c r="F508" t="s">
        <v>1484</v>
      </c>
      <c r="G508" t="s">
        <v>1485</v>
      </c>
    </row>
    <row r="509" spans="1:7" x14ac:dyDescent="0.2">
      <c r="A509" t="s">
        <v>2561</v>
      </c>
      <c r="B509" t="s">
        <v>1480</v>
      </c>
      <c r="C509" t="s">
        <v>2562</v>
      </c>
      <c r="D509" t="s">
        <v>1657</v>
      </c>
      <c r="E509" t="s">
        <v>1658</v>
      </c>
      <c r="F509" t="s">
        <v>1484</v>
      </c>
      <c r="G509" t="s">
        <v>1485</v>
      </c>
    </row>
    <row r="510" spans="1:7" x14ac:dyDescent="0.2">
      <c r="A510" t="s">
        <v>2563</v>
      </c>
      <c r="B510" t="s">
        <v>1480</v>
      </c>
      <c r="C510" t="s">
        <v>2564</v>
      </c>
      <c r="D510" t="s">
        <v>1876</v>
      </c>
      <c r="E510" t="s">
        <v>1877</v>
      </c>
      <c r="F510" t="s">
        <v>1484</v>
      </c>
      <c r="G510" t="s">
        <v>1485</v>
      </c>
    </row>
    <row r="511" spans="1:7" x14ac:dyDescent="0.2">
      <c r="A511" t="s">
        <v>2565</v>
      </c>
      <c r="B511" t="s">
        <v>1480</v>
      </c>
      <c r="C511" t="s">
        <v>2566</v>
      </c>
      <c r="D511" t="s">
        <v>1657</v>
      </c>
      <c r="E511" t="s">
        <v>1658</v>
      </c>
      <c r="F511" t="s">
        <v>1484</v>
      </c>
      <c r="G511" t="s">
        <v>1485</v>
      </c>
    </row>
    <row r="512" spans="1:7" x14ac:dyDescent="0.2">
      <c r="A512" t="s">
        <v>2567</v>
      </c>
      <c r="B512" t="s">
        <v>1480</v>
      </c>
      <c r="C512" t="s">
        <v>2568</v>
      </c>
      <c r="D512" t="s">
        <v>1494</v>
      </c>
      <c r="E512" t="s">
        <v>1495</v>
      </c>
      <c r="F512" t="s">
        <v>1484</v>
      </c>
      <c r="G512" t="s">
        <v>1485</v>
      </c>
    </row>
    <row r="513" spans="1:7" x14ac:dyDescent="0.2">
      <c r="A513" t="s">
        <v>2569</v>
      </c>
      <c r="B513" t="s">
        <v>1480</v>
      </c>
      <c r="C513" t="s">
        <v>2570</v>
      </c>
      <c r="D513" t="s">
        <v>1500</v>
      </c>
      <c r="E513" t="s">
        <v>1501</v>
      </c>
      <c r="F513" t="s">
        <v>1484</v>
      </c>
      <c r="G513" t="s">
        <v>1485</v>
      </c>
    </row>
    <row r="514" spans="1:7" x14ac:dyDescent="0.2">
      <c r="A514" t="s">
        <v>2571</v>
      </c>
      <c r="B514" t="s">
        <v>1480</v>
      </c>
      <c r="C514" t="s">
        <v>2572</v>
      </c>
      <c r="D514" t="s">
        <v>1741</v>
      </c>
      <c r="E514" t="s">
        <v>1742</v>
      </c>
      <c r="F514" t="s">
        <v>1484</v>
      </c>
      <c r="G514" t="s">
        <v>1485</v>
      </c>
    </row>
    <row r="515" spans="1:7" x14ac:dyDescent="0.2">
      <c r="A515" t="s">
        <v>2573</v>
      </c>
      <c r="B515" t="s">
        <v>1480</v>
      </c>
      <c r="C515" t="s">
        <v>2574</v>
      </c>
      <c r="D515" t="s">
        <v>1741</v>
      </c>
      <c r="E515" t="s">
        <v>1742</v>
      </c>
      <c r="F515" t="s">
        <v>1484</v>
      </c>
      <c r="G515" t="s">
        <v>1485</v>
      </c>
    </row>
    <row r="516" spans="1:7" x14ac:dyDescent="0.2">
      <c r="A516" t="s">
        <v>2575</v>
      </c>
      <c r="B516" t="s">
        <v>1480</v>
      </c>
      <c r="C516" t="s">
        <v>2576</v>
      </c>
      <c r="D516" t="s">
        <v>1691</v>
      </c>
      <c r="E516" t="s">
        <v>1692</v>
      </c>
      <c r="F516" t="s">
        <v>1484</v>
      </c>
      <c r="G516" t="s">
        <v>1485</v>
      </c>
    </row>
    <row r="517" spans="1:7" x14ac:dyDescent="0.2">
      <c r="A517" t="s">
        <v>2577</v>
      </c>
      <c r="B517" t="s">
        <v>1480</v>
      </c>
      <c r="C517" t="s">
        <v>2578</v>
      </c>
      <c r="D517" t="s">
        <v>1548</v>
      </c>
      <c r="E517" t="s">
        <v>1549</v>
      </c>
      <c r="F517" t="s">
        <v>1484</v>
      </c>
      <c r="G517" t="s">
        <v>1485</v>
      </c>
    </row>
    <row r="518" spans="1:7" x14ac:dyDescent="0.2">
      <c r="A518" t="s">
        <v>2579</v>
      </c>
      <c r="B518" t="s">
        <v>1480</v>
      </c>
      <c r="C518" t="s">
        <v>2580</v>
      </c>
      <c r="D518" t="s">
        <v>1876</v>
      </c>
      <c r="E518" t="s">
        <v>1877</v>
      </c>
      <c r="F518" t="s">
        <v>1484</v>
      </c>
      <c r="G518" t="s">
        <v>1485</v>
      </c>
    </row>
    <row r="519" spans="1:7" x14ac:dyDescent="0.2">
      <c r="A519" t="s">
        <v>2581</v>
      </c>
      <c r="B519" t="s">
        <v>1480</v>
      </c>
      <c r="C519" t="s">
        <v>2582</v>
      </c>
      <c r="D519" t="s">
        <v>1896</v>
      </c>
      <c r="E519" t="s">
        <v>1898</v>
      </c>
      <c r="F519" t="s">
        <v>1484</v>
      </c>
      <c r="G519" t="s">
        <v>1485</v>
      </c>
    </row>
    <row r="520" spans="1:7" x14ac:dyDescent="0.2">
      <c r="A520" t="s">
        <v>2583</v>
      </c>
      <c r="B520" t="s">
        <v>1480</v>
      </c>
      <c r="C520" t="s">
        <v>2584</v>
      </c>
      <c r="D520" t="s">
        <v>1735</v>
      </c>
      <c r="E520" t="s">
        <v>1736</v>
      </c>
      <c r="F520" t="s">
        <v>1484</v>
      </c>
      <c r="G520" t="s">
        <v>1485</v>
      </c>
    </row>
    <row r="521" spans="1:7" x14ac:dyDescent="0.2">
      <c r="A521" t="s">
        <v>2069</v>
      </c>
      <c r="B521" t="s">
        <v>1480</v>
      </c>
      <c r="C521" t="s">
        <v>2585</v>
      </c>
      <c r="D521" t="s">
        <v>1705</v>
      </c>
      <c r="E521" t="s">
        <v>1706</v>
      </c>
      <c r="F521" t="s">
        <v>1484</v>
      </c>
      <c r="G521" t="s">
        <v>1485</v>
      </c>
    </row>
    <row r="522" spans="1:7" x14ac:dyDescent="0.2">
      <c r="A522" t="s">
        <v>2069</v>
      </c>
      <c r="B522" t="s">
        <v>1480</v>
      </c>
      <c r="C522" t="s">
        <v>2586</v>
      </c>
      <c r="D522" t="s">
        <v>2069</v>
      </c>
      <c r="E522" t="s">
        <v>2070</v>
      </c>
      <c r="F522" t="s">
        <v>1484</v>
      </c>
      <c r="G522" t="s">
        <v>1485</v>
      </c>
    </row>
    <row r="523" spans="1:7" x14ac:dyDescent="0.2">
      <c r="A523" t="s">
        <v>2587</v>
      </c>
      <c r="B523" t="s">
        <v>1480</v>
      </c>
      <c r="C523" t="s">
        <v>2588</v>
      </c>
      <c r="D523" t="s">
        <v>2069</v>
      </c>
      <c r="E523" t="s">
        <v>2070</v>
      </c>
      <c r="F523" t="s">
        <v>1484</v>
      </c>
      <c r="G523" t="s">
        <v>1485</v>
      </c>
    </row>
    <row r="524" spans="1:7" x14ac:dyDescent="0.2">
      <c r="A524" t="s">
        <v>2589</v>
      </c>
      <c r="B524" t="s">
        <v>1480</v>
      </c>
      <c r="C524" t="s">
        <v>2590</v>
      </c>
      <c r="D524" t="s">
        <v>1576</v>
      </c>
      <c r="E524" t="s">
        <v>1577</v>
      </c>
      <c r="F524" t="s">
        <v>1484</v>
      </c>
      <c r="G524" t="s">
        <v>1485</v>
      </c>
    </row>
    <row r="525" spans="1:7" x14ac:dyDescent="0.2">
      <c r="A525" t="s">
        <v>2591</v>
      </c>
      <c r="B525" t="s">
        <v>1480</v>
      </c>
      <c r="C525" t="s">
        <v>2592</v>
      </c>
      <c r="D525" t="s">
        <v>1576</v>
      </c>
      <c r="E525" t="s">
        <v>1577</v>
      </c>
      <c r="F525" t="s">
        <v>1484</v>
      </c>
      <c r="G525" t="s">
        <v>1485</v>
      </c>
    </row>
    <row r="526" spans="1:7" x14ac:dyDescent="0.2">
      <c r="A526" t="s">
        <v>2593</v>
      </c>
      <c r="B526" t="s">
        <v>1480</v>
      </c>
      <c r="C526" t="s">
        <v>2594</v>
      </c>
      <c r="D526" t="s">
        <v>2026</v>
      </c>
      <c r="E526" t="s">
        <v>2027</v>
      </c>
      <c r="F526" t="s">
        <v>1484</v>
      </c>
      <c r="G526" t="s">
        <v>1485</v>
      </c>
    </row>
    <row r="527" spans="1:7" x14ac:dyDescent="0.2">
      <c r="A527" t="s">
        <v>2595</v>
      </c>
      <c r="B527" t="s">
        <v>1480</v>
      </c>
      <c r="C527" t="s">
        <v>2596</v>
      </c>
      <c r="D527" t="s">
        <v>1657</v>
      </c>
      <c r="E527" t="s">
        <v>1658</v>
      </c>
      <c r="F527" t="s">
        <v>1484</v>
      </c>
      <c r="G527" t="s">
        <v>1485</v>
      </c>
    </row>
    <row r="528" spans="1:7" x14ac:dyDescent="0.2">
      <c r="A528" t="s">
        <v>2597</v>
      </c>
      <c r="B528" t="s">
        <v>1480</v>
      </c>
      <c r="C528" t="s">
        <v>2598</v>
      </c>
      <c r="D528" t="s">
        <v>1657</v>
      </c>
      <c r="E528" t="s">
        <v>1658</v>
      </c>
      <c r="F528" t="s">
        <v>1484</v>
      </c>
      <c r="G528" t="s">
        <v>1485</v>
      </c>
    </row>
    <row r="529" spans="1:7" x14ac:dyDescent="0.2">
      <c r="A529" t="s">
        <v>2599</v>
      </c>
      <c r="B529" t="s">
        <v>1480</v>
      </c>
      <c r="C529" t="s">
        <v>2600</v>
      </c>
      <c r="D529" t="s">
        <v>1725</v>
      </c>
      <c r="E529" t="s">
        <v>1726</v>
      </c>
      <c r="F529" t="s">
        <v>1484</v>
      </c>
      <c r="G529" t="s">
        <v>1485</v>
      </c>
    </row>
    <row r="530" spans="1:7" x14ac:dyDescent="0.2">
      <c r="A530" t="s">
        <v>2601</v>
      </c>
      <c r="B530" t="s">
        <v>1480</v>
      </c>
      <c r="C530" t="s">
        <v>2602</v>
      </c>
      <c r="D530" t="s">
        <v>1568</v>
      </c>
      <c r="E530" t="s">
        <v>1569</v>
      </c>
      <c r="F530" t="s">
        <v>1484</v>
      </c>
      <c r="G530" t="s">
        <v>1485</v>
      </c>
    </row>
    <row r="531" spans="1:7" x14ac:dyDescent="0.2">
      <c r="A531" t="s">
        <v>2603</v>
      </c>
      <c r="B531" t="s">
        <v>1480</v>
      </c>
      <c r="C531" t="s">
        <v>2604</v>
      </c>
      <c r="D531" t="s">
        <v>1735</v>
      </c>
      <c r="E531" t="s">
        <v>1736</v>
      </c>
      <c r="F531" t="s">
        <v>1484</v>
      </c>
      <c r="G531" t="s">
        <v>1485</v>
      </c>
    </row>
    <row r="532" spans="1:7" x14ac:dyDescent="0.2">
      <c r="A532" t="s">
        <v>2605</v>
      </c>
      <c r="B532" t="s">
        <v>1480</v>
      </c>
      <c r="C532" t="s">
        <v>2606</v>
      </c>
      <c r="D532" t="s">
        <v>1729</v>
      </c>
      <c r="E532" t="s">
        <v>1730</v>
      </c>
      <c r="F532" t="s">
        <v>1484</v>
      </c>
      <c r="G532" t="s">
        <v>1485</v>
      </c>
    </row>
    <row r="533" spans="1:7" x14ac:dyDescent="0.2">
      <c r="A533" t="s">
        <v>2607</v>
      </c>
      <c r="B533" t="s">
        <v>1480</v>
      </c>
      <c r="C533" t="s">
        <v>2608</v>
      </c>
      <c r="D533" t="s">
        <v>1568</v>
      </c>
      <c r="E533" t="s">
        <v>1569</v>
      </c>
      <c r="F533" t="s">
        <v>1484</v>
      </c>
      <c r="G533" t="s">
        <v>1485</v>
      </c>
    </row>
    <row r="534" spans="1:7" x14ac:dyDescent="0.2">
      <c r="A534" t="s">
        <v>2609</v>
      </c>
      <c r="B534" t="s">
        <v>1480</v>
      </c>
      <c r="C534" t="s">
        <v>2610</v>
      </c>
      <c r="D534" t="s">
        <v>1598</v>
      </c>
      <c r="E534" t="s">
        <v>1599</v>
      </c>
      <c r="F534" t="s">
        <v>1484</v>
      </c>
      <c r="G534" t="s">
        <v>1485</v>
      </c>
    </row>
    <row r="535" spans="1:7" x14ac:dyDescent="0.2">
      <c r="A535" t="s">
        <v>2611</v>
      </c>
      <c r="B535" t="s">
        <v>1480</v>
      </c>
      <c r="C535" t="s">
        <v>2612</v>
      </c>
      <c r="D535" t="s">
        <v>1604</v>
      </c>
      <c r="E535" t="s">
        <v>1605</v>
      </c>
      <c r="F535" t="s">
        <v>1484</v>
      </c>
      <c r="G535" t="s">
        <v>1485</v>
      </c>
    </row>
    <row r="536" spans="1:7" x14ac:dyDescent="0.2">
      <c r="A536" t="s">
        <v>2613</v>
      </c>
      <c r="B536" t="s">
        <v>1480</v>
      </c>
      <c r="C536" t="s">
        <v>2614</v>
      </c>
      <c r="D536" t="s">
        <v>1604</v>
      </c>
      <c r="E536" t="s">
        <v>1605</v>
      </c>
      <c r="F536" t="s">
        <v>1484</v>
      </c>
      <c r="G536" t="s">
        <v>1485</v>
      </c>
    </row>
    <row r="537" spans="1:7" x14ac:dyDescent="0.2">
      <c r="A537" t="s">
        <v>2615</v>
      </c>
      <c r="B537" t="s">
        <v>1480</v>
      </c>
      <c r="C537" t="s">
        <v>2616</v>
      </c>
      <c r="D537" t="s">
        <v>1568</v>
      </c>
      <c r="E537" t="s">
        <v>1569</v>
      </c>
      <c r="F537" t="s">
        <v>1484</v>
      </c>
      <c r="G537" t="s">
        <v>1485</v>
      </c>
    </row>
    <row r="538" spans="1:7" x14ac:dyDescent="0.2">
      <c r="A538" t="s">
        <v>2617</v>
      </c>
      <c r="B538" t="s">
        <v>1480</v>
      </c>
      <c r="C538" t="s">
        <v>2618</v>
      </c>
      <c r="D538" t="s">
        <v>1598</v>
      </c>
      <c r="E538" t="s">
        <v>1599</v>
      </c>
      <c r="F538" t="s">
        <v>1484</v>
      </c>
      <c r="G538" t="s">
        <v>1485</v>
      </c>
    </row>
    <row r="539" spans="1:7" x14ac:dyDescent="0.2">
      <c r="A539" t="s">
        <v>2619</v>
      </c>
      <c r="B539" t="s">
        <v>1480</v>
      </c>
      <c r="C539" t="s">
        <v>2620</v>
      </c>
      <c r="D539" t="s">
        <v>1598</v>
      </c>
      <c r="E539" t="s">
        <v>1599</v>
      </c>
      <c r="F539" t="s">
        <v>1484</v>
      </c>
      <c r="G539" t="s">
        <v>1485</v>
      </c>
    </row>
    <row r="540" spans="1:7" x14ac:dyDescent="0.2">
      <c r="A540" t="s">
        <v>2621</v>
      </c>
      <c r="B540" t="s">
        <v>1480</v>
      </c>
      <c r="C540" t="s">
        <v>2622</v>
      </c>
      <c r="D540" t="s">
        <v>1488</v>
      </c>
      <c r="E540" t="s">
        <v>1489</v>
      </c>
      <c r="F540" t="s">
        <v>1484</v>
      </c>
      <c r="G540" t="s">
        <v>1485</v>
      </c>
    </row>
    <row r="541" spans="1:7" x14ac:dyDescent="0.2">
      <c r="A541" t="s">
        <v>2623</v>
      </c>
      <c r="B541" t="s">
        <v>1480</v>
      </c>
      <c r="C541" t="s">
        <v>2624</v>
      </c>
      <c r="D541" t="s">
        <v>1488</v>
      </c>
      <c r="E541" t="s">
        <v>1489</v>
      </c>
      <c r="F541" t="s">
        <v>1484</v>
      </c>
      <c r="G541" t="s">
        <v>1485</v>
      </c>
    </row>
    <row r="542" spans="1:7" x14ac:dyDescent="0.2">
      <c r="A542" t="s">
        <v>2625</v>
      </c>
      <c r="B542" t="s">
        <v>1480</v>
      </c>
      <c r="C542" t="s">
        <v>2626</v>
      </c>
      <c r="D542" t="s">
        <v>1488</v>
      </c>
      <c r="E542" t="s">
        <v>1489</v>
      </c>
      <c r="F542" t="s">
        <v>1484</v>
      </c>
      <c r="G542" t="s">
        <v>1485</v>
      </c>
    </row>
    <row r="543" spans="1:7" x14ac:dyDescent="0.2">
      <c r="A543" t="s">
        <v>2627</v>
      </c>
      <c r="B543" t="s">
        <v>1480</v>
      </c>
      <c r="C543" t="s">
        <v>2628</v>
      </c>
      <c r="D543" t="s">
        <v>1604</v>
      </c>
      <c r="E543" t="s">
        <v>1605</v>
      </c>
      <c r="F543" t="s">
        <v>1484</v>
      </c>
      <c r="G543" t="s">
        <v>1485</v>
      </c>
    </row>
    <row r="544" spans="1:7" x14ac:dyDescent="0.2">
      <c r="A544" t="s">
        <v>2629</v>
      </c>
      <c r="B544" t="s">
        <v>1480</v>
      </c>
      <c r="C544" t="s">
        <v>2630</v>
      </c>
      <c r="D544" t="s">
        <v>1741</v>
      </c>
      <c r="E544" t="s">
        <v>1742</v>
      </c>
      <c r="F544" t="s">
        <v>1484</v>
      </c>
      <c r="G544" t="s">
        <v>1485</v>
      </c>
    </row>
    <row r="545" spans="1:7" x14ac:dyDescent="0.2">
      <c r="A545" t="s">
        <v>2631</v>
      </c>
      <c r="B545" t="s">
        <v>1480</v>
      </c>
      <c r="C545" t="s">
        <v>2632</v>
      </c>
      <c r="D545" t="s">
        <v>1568</v>
      </c>
      <c r="E545" t="s">
        <v>1569</v>
      </c>
      <c r="F545" t="s">
        <v>1484</v>
      </c>
      <c r="G545" t="s">
        <v>1485</v>
      </c>
    </row>
    <row r="546" spans="1:7" x14ac:dyDescent="0.2">
      <c r="A546" t="s">
        <v>2633</v>
      </c>
      <c r="B546" t="s">
        <v>1480</v>
      </c>
      <c r="C546" t="s">
        <v>2634</v>
      </c>
      <c r="D546" t="s">
        <v>1562</v>
      </c>
      <c r="E546" t="s">
        <v>1563</v>
      </c>
      <c r="F546" t="s">
        <v>1484</v>
      </c>
      <c r="G546" t="s">
        <v>1485</v>
      </c>
    </row>
    <row r="547" spans="1:7" x14ac:dyDescent="0.2">
      <c r="A547" t="s">
        <v>2635</v>
      </c>
      <c r="B547" t="s">
        <v>1480</v>
      </c>
      <c r="C547" t="s">
        <v>2636</v>
      </c>
      <c r="D547" t="s">
        <v>1554</v>
      </c>
      <c r="E547" t="s">
        <v>1555</v>
      </c>
      <c r="F547" t="s">
        <v>1484</v>
      </c>
      <c r="G547" t="s">
        <v>1485</v>
      </c>
    </row>
    <row r="548" spans="1:7" x14ac:dyDescent="0.2">
      <c r="A548" t="s">
        <v>2637</v>
      </c>
      <c r="B548" t="s">
        <v>1480</v>
      </c>
      <c r="C548" t="s">
        <v>2638</v>
      </c>
      <c r="D548" t="s">
        <v>1669</v>
      </c>
      <c r="E548" t="s">
        <v>1670</v>
      </c>
      <c r="F548" t="s">
        <v>1484</v>
      </c>
      <c r="G548" t="s">
        <v>1485</v>
      </c>
    </row>
    <row r="549" spans="1:7" x14ac:dyDescent="0.2">
      <c r="A549" t="s">
        <v>2637</v>
      </c>
      <c r="B549" t="s">
        <v>1480</v>
      </c>
      <c r="C549" t="s">
        <v>2639</v>
      </c>
      <c r="D549" t="s">
        <v>2069</v>
      </c>
      <c r="E549" t="s">
        <v>2070</v>
      </c>
      <c r="F549" t="s">
        <v>1484</v>
      </c>
      <c r="G549" t="s">
        <v>1485</v>
      </c>
    </row>
    <row r="550" spans="1:7" x14ac:dyDescent="0.2">
      <c r="A550" t="s">
        <v>2640</v>
      </c>
      <c r="B550" t="s">
        <v>1480</v>
      </c>
      <c r="C550" t="s">
        <v>2641</v>
      </c>
      <c r="D550" t="s">
        <v>1528</v>
      </c>
      <c r="E550" t="s">
        <v>1529</v>
      </c>
      <c r="F550" t="s">
        <v>1484</v>
      </c>
      <c r="G550" t="s">
        <v>1485</v>
      </c>
    </row>
    <row r="551" spans="1:7" x14ac:dyDescent="0.2">
      <c r="A551" t="s">
        <v>2642</v>
      </c>
      <c r="B551" t="s">
        <v>1480</v>
      </c>
      <c r="C551" t="s">
        <v>2643</v>
      </c>
      <c r="D551" t="s">
        <v>1536</v>
      </c>
      <c r="E551" t="s">
        <v>1537</v>
      </c>
      <c r="F551" t="s">
        <v>1484</v>
      </c>
      <c r="G551" t="s">
        <v>1485</v>
      </c>
    </row>
    <row r="552" spans="1:7" x14ac:dyDescent="0.2">
      <c r="A552" t="s">
        <v>2644</v>
      </c>
      <c r="B552" t="s">
        <v>1480</v>
      </c>
      <c r="C552" t="s">
        <v>2645</v>
      </c>
      <c r="D552" t="s">
        <v>1510</v>
      </c>
      <c r="E552" t="s">
        <v>1511</v>
      </c>
      <c r="F552" t="s">
        <v>1484</v>
      </c>
      <c r="G552" t="s">
        <v>1485</v>
      </c>
    </row>
    <row r="553" spans="1:7" x14ac:dyDescent="0.2">
      <c r="A553" t="s">
        <v>2646</v>
      </c>
      <c r="B553" t="s">
        <v>1480</v>
      </c>
      <c r="C553" t="s">
        <v>2647</v>
      </c>
      <c r="D553" t="s">
        <v>1488</v>
      </c>
      <c r="E553" t="s">
        <v>1489</v>
      </c>
      <c r="F553" t="s">
        <v>1484</v>
      </c>
      <c r="G553" t="s">
        <v>1485</v>
      </c>
    </row>
    <row r="554" spans="1:7" x14ac:dyDescent="0.2">
      <c r="A554" t="s">
        <v>2648</v>
      </c>
      <c r="B554" t="s">
        <v>1480</v>
      </c>
      <c r="C554" t="s">
        <v>2649</v>
      </c>
      <c r="D554" t="s">
        <v>1568</v>
      </c>
      <c r="E554" t="s">
        <v>1569</v>
      </c>
      <c r="F554" t="s">
        <v>1484</v>
      </c>
      <c r="G554" t="s">
        <v>1485</v>
      </c>
    </row>
    <row r="555" spans="1:7" x14ac:dyDescent="0.2">
      <c r="A555" t="s">
        <v>2650</v>
      </c>
      <c r="B555" t="s">
        <v>1480</v>
      </c>
      <c r="C555" t="s">
        <v>2651</v>
      </c>
      <c r="D555" t="s">
        <v>1554</v>
      </c>
      <c r="E555" t="s">
        <v>1555</v>
      </c>
      <c r="F555" t="s">
        <v>1484</v>
      </c>
      <c r="G555" t="s">
        <v>1485</v>
      </c>
    </row>
    <row r="556" spans="1:7" x14ac:dyDescent="0.2">
      <c r="A556" t="s">
        <v>2652</v>
      </c>
      <c r="B556" t="s">
        <v>1480</v>
      </c>
      <c r="C556" t="s">
        <v>2653</v>
      </c>
      <c r="D556" t="s">
        <v>1554</v>
      </c>
      <c r="E556" t="s">
        <v>1555</v>
      </c>
      <c r="F556" t="s">
        <v>1484</v>
      </c>
      <c r="G556" t="s">
        <v>1485</v>
      </c>
    </row>
    <row r="557" spans="1:7" x14ac:dyDescent="0.2">
      <c r="A557" t="s">
        <v>2654</v>
      </c>
      <c r="B557" t="s">
        <v>1480</v>
      </c>
      <c r="C557" t="s">
        <v>2655</v>
      </c>
      <c r="D557" t="s">
        <v>1562</v>
      </c>
      <c r="E557" t="s">
        <v>1563</v>
      </c>
      <c r="F557" t="s">
        <v>1484</v>
      </c>
      <c r="G557" t="s">
        <v>1485</v>
      </c>
    </row>
    <row r="558" spans="1:7" x14ac:dyDescent="0.2">
      <c r="A558" t="s">
        <v>2656</v>
      </c>
      <c r="B558" t="s">
        <v>1480</v>
      </c>
      <c r="C558" t="s">
        <v>2657</v>
      </c>
      <c r="D558" t="s">
        <v>1520</v>
      </c>
      <c r="E558" t="s">
        <v>1521</v>
      </c>
      <c r="F558" t="s">
        <v>1484</v>
      </c>
      <c r="G558" t="s">
        <v>1485</v>
      </c>
    </row>
    <row r="559" spans="1:7" x14ac:dyDescent="0.2">
      <c r="A559" t="s">
        <v>2658</v>
      </c>
      <c r="B559" t="s">
        <v>1480</v>
      </c>
      <c r="C559" t="s">
        <v>2659</v>
      </c>
      <c r="D559" t="s">
        <v>1510</v>
      </c>
      <c r="E559" t="s">
        <v>1511</v>
      </c>
      <c r="F559" t="s">
        <v>1484</v>
      </c>
      <c r="G559" t="s">
        <v>1485</v>
      </c>
    </row>
    <row r="560" spans="1:7" x14ac:dyDescent="0.2">
      <c r="A560" t="s">
        <v>2660</v>
      </c>
      <c r="B560" t="s">
        <v>1480</v>
      </c>
      <c r="C560" t="s">
        <v>2661</v>
      </c>
      <c r="D560" t="s">
        <v>1562</v>
      </c>
      <c r="E560" t="s">
        <v>1563</v>
      </c>
      <c r="F560" t="s">
        <v>1484</v>
      </c>
      <c r="G560" t="s">
        <v>1485</v>
      </c>
    </row>
    <row r="561" spans="1:7" x14ac:dyDescent="0.2">
      <c r="A561" t="s">
        <v>2662</v>
      </c>
      <c r="B561" t="s">
        <v>1480</v>
      </c>
      <c r="C561" t="s">
        <v>2663</v>
      </c>
      <c r="D561" t="s">
        <v>1554</v>
      </c>
      <c r="E561" t="s">
        <v>1555</v>
      </c>
      <c r="F561" t="s">
        <v>1484</v>
      </c>
      <c r="G561" t="s">
        <v>1485</v>
      </c>
    </row>
    <row r="562" spans="1:7" x14ac:dyDescent="0.2">
      <c r="A562" t="s">
        <v>2664</v>
      </c>
      <c r="B562" t="s">
        <v>1480</v>
      </c>
      <c r="C562" t="s">
        <v>2665</v>
      </c>
      <c r="D562" t="s">
        <v>1500</v>
      </c>
      <c r="E562" t="s">
        <v>1501</v>
      </c>
      <c r="F562" t="s">
        <v>1484</v>
      </c>
      <c r="G562" t="s">
        <v>1485</v>
      </c>
    </row>
    <row r="563" spans="1:7" x14ac:dyDescent="0.2">
      <c r="A563" t="s">
        <v>2666</v>
      </c>
      <c r="B563" t="s">
        <v>1480</v>
      </c>
      <c r="C563" t="s">
        <v>2667</v>
      </c>
      <c r="D563" t="s">
        <v>1494</v>
      </c>
      <c r="E563" t="s">
        <v>1495</v>
      </c>
      <c r="F563" t="s">
        <v>1484</v>
      </c>
      <c r="G563" t="s">
        <v>1485</v>
      </c>
    </row>
    <row r="564" spans="1:7" x14ac:dyDescent="0.2">
      <c r="A564" t="s">
        <v>2668</v>
      </c>
      <c r="B564" t="s">
        <v>1480</v>
      </c>
      <c r="C564" t="s">
        <v>2669</v>
      </c>
      <c r="D564" t="s">
        <v>1536</v>
      </c>
      <c r="E564" t="s">
        <v>1537</v>
      </c>
      <c r="F564" t="s">
        <v>1484</v>
      </c>
      <c r="G564" t="s">
        <v>1485</v>
      </c>
    </row>
    <row r="565" spans="1:7" x14ac:dyDescent="0.2">
      <c r="A565" t="s">
        <v>2670</v>
      </c>
      <c r="B565" t="s">
        <v>1480</v>
      </c>
      <c r="C565" t="s">
        <v>2671</v>
      </c>
      <c r="D565" t="s">
        <v>1669</v>
      </c>
      <c r="E565" t="s">
        <v>1670</v>
      </c>
      <c r="F565" t="s">
        <v>1484</v>
      </c>
      <c r="G565" t="s">
        <v>1485</v>
      </c>
    </row>
    <row r="566" spans="1:7" x14ac:dyDescent="0.2">
      <c r="A566" t="s">
        <v>2672</v>
      </c>
      <c r="B566" t="s">
        <v>1480</v>
      </c>
      <c r="C566" t="s">
        <v>2673</v>
      </c>
      <c r="D566" t="s">
        <v>1598</v>
      </c>
      <c r="E566" t="s">
        <v>1599</v>
      </c>
      <c r="F566" t="s">
        <v>1484</v>
      </c>
      <c r="G566" t="s">
        <v>1485</v>
      </c>
    </row>
    <row r="567" spans="1:7" x14ac:dyDescent="0.2">
      <c r="A567" t="s">
        <v>2674</v>
      </c>
      <c r="B567" t="s">
        <v>1480</v>
      </c>
      <c r="C567" t="s">
        <v>2675</v>
      </c>
      <c r="D567" t="s">
        <v>2026</v>
      </c>
      <c r="E567" t="s">
        <v>2027</v>
      </c>
      <c r="F567" t="s">
        <v>1484</v>
      </c>
      <c r="G567" t="s">
        <v>1485</v>
      </c>
    </row>
    <row r="568" spans="1:7" x14ac:dyDescent="0.2">
      <c r="A568" t="s">
        <v>2676</v>
      </c>
      <c r="B568" t="s">
        <v>1480</v>
      </c>
      <c r="C568" t="s">
        <v>2677</v>
      </c>
      <c r="D568" t="s">
        <v>1637</v>
      </c>
      <c r="E568" t="s">
        <v>1638</v>
      </c>
      <c r="F568" t="s">
        <v>1484</v>
      </c>
      <c r="G568" t="s">
        <v>1485</v>
      </c>
    </row>
    <row r="569" spans="1:7" x14ac:dyDescent="0.2">
      <c r="A569" t="s">
        <v>2678</v>
      </c>
      <c r="B569" t="s">
        <v>1480</v>
      </c>
      <c r="C569" t="s">
        <v>2679</v>
      </c>
      <c r="D569" t="s">
        <v>1637</v>
      </c>
      <c r="E569" t="s">
        <v>1638</v>
      </c>
      <c r="F569" t="s">
        <v>1484</v>
      </c>
      <c r="G569" t="s">
        <v>1485</v>
      </c>
    </row>
    <row r="570" spans="1:7" x14ac:dyDescent="0.2">
      <c r="A570" t="s">
        <v>2680</v>
      </c>
      <c r="B570" t="s">
        <v>1480</v>
      </c>
      <c r="C570" t="s">
        <v>2681</v>
      </c>
      <c r="D570" t="s">
        <v>1637</v>
      </c>
      <c r="E570" t="s">
        <v>1638</v>
      </c>
      <c r="F570" t="s">
        <v>1484</v>
      </c>
      <c r="G570" t="s">
        <v>1485</v>
      </c>
    </row>
    <row r="571" spans="1:7" x14ac:dyDescent="0.2">
      <c r="A571" t="s">
        <v>2682</v>
      </c>
      <c r="B571" t="s">
        <v>1480</v>
      </c>
      <c r="C571" t="s">
        <v>2683</v>
      </c>
      <c r="D571" t="s">
        <v>1554</v>
      </c>
      <c r="E571" t="s">
        <v>1555</v>
      </c>
      <c r="F571" t="s">
        <v>1484</v>
      </c>
      <c r="G571" t="s">
        <v>1485</v>
      </c>
    </row>
    <row r="572" spans="1:7" x14ac:dyDescent="0.2">
      <c r="A572" t="s">
        <v>2684</v>
      </c>
      <c r="B572" t="s">
        <v>1480</v>
      </c>
      <c r="C572" t="s">
        <v>2685</v>
      </c>
      <c r="D572" t="s">
        <v>1494</v>
      </c>
      <c r="E572" t="s">
        <v>1495</v>
      </c>
      <c r="F572" t="s">
        <v>1484</v>
      </c>
      <c r="G572" t="s">
        <v>1485</v>
      </c>
    </row>
    <row r="573" spans="1:7" x14ac:dyDescent="0.2">
      <c r="A573" t="s">
        <v>2686</v>
      </c>
      <c r="B573" t="s">
        <v>1480</v>
      </c>
      <c r="C573" t="s">
        <v>2687</v>
      </c>
      <c r="D573" t="s">
        <v>1536</v>
      </c>
      <c r="E573" t="s">
        <v>1537</v>
      </c>
      <c r="F573" t="s">
        <v>1484</v>
      </c>
      <c r="G573" t="s">
        <v>1485</v>
      </c>
    </row>
    <row r="574" spans="1:7" x14ac:dyDescent="0.2">
      <c r="A574" t="s">
        <v>2688</v>
      </c>
      <c r="B574" t="s">
        <v>1480</v>
      </c>
      <c r="C574" t="s">
        <v>2689</v>
      </c>
      <c r="D574" t="s">
        <v>1562</v>
      </c>
      <c r="E574" t="s">
        <v>1563</v>
      </c>
      <c r="F574" t="s">
        <v>1484</v>
      </c>
      <c r="G574" t="s">
        <v>1485</v>
      </c>
    </row>
    <row r="575" spans="1:7" x14ac:dyDescent="0.2">
      <c r="A575" t="s">
        <v>2690</v>
      </c>
      <c r="B575" t="s">
        <v>1480</v>
      </c>
      <c r="C575" t="s">
        <v>2691</v>
      </c>
      <c r="D575" t="s">
        <v>1568</v>
      </c>
      <c r="E575" t="s">
        <v>1569</v>
      </c>
      <c r="F575" t="s">
        <v>1484</v>
      </c>
      <c r="G575" t="s">
        <v>1485</v>
      </c>
    </row>
    <row r="576" spans="1:7" x14ac:dyDescent="0.2">
      <c r="A576" t="s">
        <v>2692</v>
      </c>
      <c r="B576" t="s">
        <v>1480</v>
      </c>
      <c r="C576" t="s">
        <v>2693</v>
      </c>
      <c r="D576" t="s">
        <v>1528</v>
      </c>
      <c r="E576" t="s">
        <v>1529</v>
      </c>
      <c r="F576" t="s">
        <v>1484</v>
      </c>
      <c r="G576" t="s">
        <v>1485</v>
      </c>
    </row>
    <row r="577" spans="1:7" x14ac:dyDescent="0.2">
      <c r="A577" t="s">
        <v>2694</v>
      </c>
      <c r="B577" t="s">
        <v>1480</v>
      </c>
      <c r="C577" t="s">
        <v>2695</v>
      </c>
      <c r="D577" t="s">
        <v>1568</v>
      </c>
      <c r="E577" t="s">
        <v>1569</v>
      </c>
      <c r="F577" t="s">
        <v>1484</v>
      </c>
      <c r="G577" t="s">
        <v>1485</v>
      </c>
    </row>
    <row r="578" spans="1:7" x14ac:dyDescent="0.2">
      <c r="A578" t="s">
        <v>2696</v>
      </c>
      <c r="B578" t="s">
        <v>1480</v>
      </c>
      <c r="C578" t="s">
        <v>2697</v>
      </c>
      <c r="D578" t="s">
        <v>1532</v>
      </c>
      <c r="E578" t="s">
        <v>1533</v>
      </c>
      <c r="F578" t="s">
        <v>1484</v>
      </c>
      <c r="G578" t="s">
        <v>1485</v>
      </c>
    </row>
    <row r="579" spans="1:7" x14ac:dyDescent="0.2">
      <c r="A579" t="s">
        <v>2698</v>
      </c>
      <c r="B579" t="s">
        <v>1480</v>
      </c>
      <c r="C579" t="s">
        <v>2699</v>
      </c>
      <c r="D579" t="s">
        <v>1532</v>
      </c>
      <c r="E579" t="s">
        <v>1533</v>
      </c>
      <c r="F579" t="s">
        <v>1484</v>
      </c>
      <c r="G579" t="s">
        <v>1485</v>
      </c>
    </row>
    <row r="580" spans="1:7" x14ac:dyDescent="0.2">
      <c r="A580" t="s">
        <v>2700</v>
      </c>
      <c r="B580" t="s">
        <v>1480</v>
      </c>
      <c r="C580" t="s">
        <v>2701</v>
      </c>
      <c r="D580" t="s">
        <v>1669</v>
      </c>
      <c r="E580" t="s">
        <v>1670</v>
      </c>
      <c r="F580" t="s">
        <v>1484</v>
      </c>
      <c r="G580" t="s">
        <v>1485</v>
      </c>
    </row>
    <row r="581" spans="1:7" x14ac:dyDescent="0.2">
      <c r="A581" t="s">
        <v>2702</v>
      </c>
      <c r="B581" t="s">
        <v>1480</v>
      </c>
      <c r="C581" t="s">
        <v>2703</v>
      </c>
      <c r="D581" t="s">
        <v>1604</v>
      </c>
      <c r="E581" t="s">
        <v>1605</v>
      </c>
      <c r="F581" t="s">
        <v>1484</v>
      </c>
      <c r="G581" t="s">
        <v>1485</v>
      </c>
    </row>
    <row r="582" spans="1:7" x14ac:dyDescent="0.2">
      <c r="A582" t="s">
        <v>2704</v>
      </c>
      <c r="B582" t="s">
        <v>1480</v>
      </c>
      <c r="C582" t="s">
        <v>2705</v>
      </c>
      <c r="D582" t="s">
        <v>1548</v>
      </c>
      <c r="E582" t="s">
        <v>1549</v>
      </c>
      <c r="F582" t="s">
        <v>1484</v>
      </c>
      <c r="G582" t="s">
        <v>1485</v>
      </c>
    </row>
    <row r="583" spans="1:7" x14ac:dyDescent="0.2">
      <c r="A583" t="s">
        <v>2706</v>
      </c>
      <c r="B583" t="s">
        <v>1480</v>
      </c>
      <c r="C583" t="s">
        <v>2707</v>
      </c>
      <c r="D583" t="s">
        <v>1669</v>
      </c>
      <c r="E583" t="s">
        <v>1670</v>
      </c>
      <c r="F583" t="s">
        <v>1484</v>
      </c>
      <c r="G583" t="s">
        <v>1485</v>
      </c>
    </row>
    <row r="584" spans="1:7" x14ac:dyDescent="0.2">
      <c r="A584" t="s">
        <v>2708</v>
      </c>
      <c r="B584" t="s">
        <v>1480</v>
      </c>
      <c r="C584" t="s">
        <v>2709</v>
      </c>
      <c r="D584" t="s">
        <v>1500</v>
      </c>
      <c r="E584" t="s">
        <v>1501</v>
      </c>
      <c r="F584" t="s">
        <v>1484</v>
      </c>
      <c r="G584" t="s">
        <v>1485</v>
      </c>
    </row>
    <row r="585" spans="1:7" x14ac:dyDescent="0.2">
      <c r="A585" t="s">
        <v>2710</v>
      </c>
      <c r="B585" t="s">
        <v>1480</v>
      </c>
      <c r="C585" t="s">
        <v>2711</v>
      </c>
      <c r="D585" t="s">
        <v>1494</v>
      </c>
      <c r="E585" t="s">
        <v>1495</v>
      </c>
      <c r="F585" t="s">
        <v>1484</v>
      </c>
      <c r="G585" t="s">
        <v>1485</v>
      </c>
    </row>
    <row r="586" spans="1:7" x14ac:dyDescent="0.2">
      <c r="A586" t="s">
        <v>2712</v>
      </c>
      <c r="B586" t="s">
        <v>1480</v>
      </c>
      <c r="C586" t="s">
        <v>2713</v>
      </c>
      <c r="D586" t="s">
        <v>1494</v>
      </c>
      <c r="E586" t="s">
        <v>1495</v>
      </c>
      <c r="F586" t="s">
        <v>1484</v>
      </c>
      <c r="G586" t="s">
        <v>1485</v>
      </c>
    </row>
    <row r="587" spans="1:7" x14ac:dyDescent="0.2">
      <c r="A587" t="s">
        <v>2714</v>
      </c>
      <c r="B587" t="s">
        <v>1480</v>
      </c>
      <c r="C587" t="s">
        <v>2715</v>
      </c>
      <c r="D587" t="s">
        <v>1568</v>
      </c>
      <c r="E587" t="s">
        <v>1569</v>
      </c>
      <c r="F587" t="s">
        <v>1484</v>
      </c>
      <c r="G587" t="s">
        <v>1485</v>
      </c>
    </row>
    <row r="588" spans="1:7" x14ac:dyDescent="0.2">
      <c r="A588" t="s">
        <v>2716</v>
      </c>
      <c r="B588" t="s">
        <v>1480</v>
      </c>
      <c r="C588" t="s">
        <v>2717</v>
      </c>
      <c r="D588" t="s">
        <v>1520</v>
      </c>
      <c r="E588" t="s">
        <v>1521</v>
      </c>
      <c r="F588" t="s">
        <v>1484</v>
      </c>
      <c r="G588" t="s">
        <v>1485</v>
      </c>
    </row>
    <row r="589" spans="1:7" x14ac:dyDescent="0.2">
      <c r="A589" t="s">
        <v>2718</v>
      </c>
      <c r="B589" t="s">
        <v>1480</v>
      </c>
      <c r="C589" t="s">
        <v>2719</v>
      </c>
      <c r="D589" t="s">
        <v>1488</v>
      </c>
      <c r="E589" t="s">
        <v>1489</v>
      </c>
      <c r="F589" t="s">
        <v>1484</v>
      </c>
      <c r="G589" t="s">
        <v>1485</v>
      </c>
    </row>
    <row r="590" spans="1:7" x14ac:dyDescent="0.2">
      <c r="A590" t="s">
        <v>2720</v>
      </c>
      <c r="B590" t="s">
        <v>1480</v>
      </c>
      <c r="C590" t="s">
        <v>2721</v>
      </c>
      <c r="D590" t="s">
        <v>1576</v>
      </c>
      <c r="E590" t="s">
        <v>1577</v>
      </c>
      <c r="F590" t="s">
        <v>1484</v>
      </c>
      <c r="G590" t="s">
        <v>1485</v>
      </c>
    </row>
    <row r="591" spans="1:7" x14ac:dyDescent="0.2">
      <c r="A591" t="s">
        <v>2722</v>
      </c>
      <c r="B591" t="s">
        <v>1480</v>
      </c>
      <c r="C591" t="s">
        <v>2723</v>
      </c>
      <c r="D591" t="s">
        <v>1669</v>
      </c>
      <c r="E591" t="s">
        <v>1670</v>
      </c>
      <c r="F591" t="s">
        <v>1484</v>
      </c>
      <c r="G591" t="s">
        <v>1485</v>
      </c>
    </row>
    <row r="592" spans="1:7" x14ac:dyDescent="0.2">
      <c r="A592" t="s">
        <v>2724</v>
      </c>
      <c r="B592" t="s">
        <v>1480</v>
      </c>
      <c r="C592" t="s">
        <v>2725</v>
      </c>
      <c r="D592" t="s">
        <v>1536</v>
      </c>
      <c r="E592" t="s">
        <v>1537</v>
      </c>
      <c r="F592" t="s">
        <v>1484</v>
      </c>
      <c r="G592" t="s">
        <v>1485</v>
      </c>
    </row>
    <row r="593" spans="1:7" x14ac:dyDescent="0.2">
      <c r="A593" t="s">
        <v>2726</v>
      </c>
      <c r="B593" t="s">
        <v>1480</v>
      </c>
      <c r="C593" t="s">
        <v>2727</v>
      </c>
      <c r="D593" t="s">
        <v>1510</v>
      </c>
      <c r="E593" t="s">
        <v>1511</v>
      </c>
      <c r="F593" t="s">
        <v>1484</v>
      </c>
      <c r="G593" t="s">
        <v>1485</v>
      </c>
    </row>
    <row r="594" spans="1:7" x14ac:dyDescent="0.2">
      <c r="A594" t="s">
        <v>2728</v>
      </c>
      <c r="B594" t="s">
        <v>1480</v>
      </c>
      <c r="C594" t="s">
        <v>2729</v>
      </c>
      <c r="D594" t="s">
        <v>1494</v>
      </c>
      <c r="E594" t="s">
        <v>1495</v>
      </c>
      <c r="F594" t="s">
        <v>1484</v>
      </c>
      <c r="G594" t="s">
        <v>1485</v>
      </c>
    </row>
    <row r="595" spans="1:7" x14ac:dyDescent="0.2">
      <c r="A595" t="s">
        <v>2730</v>
      </c>
      <c r="B595" t="s">
        <v>1480</v>
      </c>
      <c r="C595" t="s">
        <v>2731</v>
      </c>
      <c r="D595" t="s">
        <v>1510</v>
      </c>
      <c r="E595" t="s">
        <v>1511</v>
      </c>
      <c r="F595" t="s">
        <v>1484</v>
      </c>
      <c r="G595" t="s">
        <v>1485</v>
      </c>
    </row>
    <row r="596" spans="1:7" x14ac:dyDescent="0.2">
      <c r="A596" t="s">
        <v>2732</v>
      </c>
      <c r="B596" t="s">
        <v>1480</v>
      </c>
      <c r="C596" t="s">
        <v>2733</v>
      </c>
      <c r="D596" t="s">
        <v>1637</v>
      </c>
      <c r="E596" t="s">
        <v>1638</v>
      </c>
      <c r="F596" t="s">
        <v>1484</v>
      </c>
      <c r="G596" t="s">
        <v>1485</v>
      </c>
    </row>
    <row r="597" spans="1:7" x14ac:dyDescent="0.2">
      <c r="A597" t="s">
        <v>2734</v>
      </c>
      <c r="B597" t="s">
        <v>1480</v>
      </c>
      <c r="C597" t="s">
        <v>2735</v>
      </c>
      <c r="D597" t="s">
        <v>1637</v>
      </c>
      <c r="E597" t="s">
        <v>1638</v>
      </c>
      <c r="F597" t="s">
        <v>1484</v>
      </c>
      <c r="G597" t="s">
        <v>1485</v>
      </c>
    </row>
    <row r="598" spans="1:7" x14ac:dyDescent="0.2">
      <c r="A598" t="s">
        <v>2736</v>
      </c>
      <c r="B598" t="s">
        <v>1480</v>
      </c>
      <c r="C598" t="s">
        <v>2737</v>
      </c>
      <c r="D598" t="s">
        <v>1494</v>
      </c>
      <c r="E598" t="s">
        <v>1495</v>
      </c>
      <c r="F598" t="s">
        <v>1484</v>
      </c>
      <c r="G598" t="s">
        <v>1485</v>
      </c>
    </row>
    <row r="599" spans="1:7" x14ac:dyDescent="0.2">
      <c r="A599" t="s">
        <v>2738</v>
      </c>
      <c r="B599" t="s">
        <v>1480</v>
      </c>
      <c r="C599" t="s">
        <v>2739</v>
      </c>
      <c r="D599" t="s">
        <v>1536</v>
      </c>
      <c r="E599" t="s">
        <v>1537</v>
      </c>
      <c r="F599" t="s">
        <v>1484</v>
      </c>
      <c r="G599" t="s">
        <v>1485</v>
      </c>
    </row>
    <row r="600" spans="1:7" x14ac:dyDescent="0.2">
      <c r="A600" t="s">
        <v>2740</v>
      </c>
      <c r="B600" t="s">
        <v>1480</v>
      </c>
      <c r="C600" t="s">
        <v>2741</v>
      </c>
      <c r="D600" t="s">
        <v>1637</v>
      </c>
      <c r="E600" t="s">
        <v>1638</v>
      </c>
      <c r="F600" t="s">
        <v>1484</v>
      </c>
      <c r="G600" t="s">
        <v>1485</v>
      </c>
    </row>
    <row r="601" spans="1:7" x14ac:dyDescent="0.2">
      <c r="A601" t="s">
        <v>2742</v>
      </c>
      <c r="B601" t="s">
        <v>1480</v>
      </c>
      <c r="C601" t="s">
        <v>2743</v>
      </c>
      <c r="D601" t="s">
        <v>1520</v>
      </c>
      <c r="E601" t="s">
        <v>1521</v>
      </c>
      <c r="F601" t="s">
        <v>1484</v>
      </c>
      <c r="G601" t="s">
        <v>1485</v>
      </c>
    </row>
    <row r="602" spans="1:7" x14ac:dyDescent="0.2">
      <c r="A602" t="s">
        <v>2744</v>
      </c>
      <c r="B602" t="s">
        <v>1480</v>
      </c>
      <c r="C602" t="s">
        <v>2745</v>
      </c>
      <c r="D602" t="s">
        <v>1520</v>
      </c>
      <c r="E602" t="s">
        <v>1521</v>
      </c>
      <c r="F602" t="s">
        <v>1484</v>
      </c>
      <c r="G602" t="s">
        <v>1485</v>
      </c>
    </row>
    <row r="603" spans="1:7" x14ac:dyDescent="0.2">
      <c r="A603" t="s">
        <v>2746</v>
      </c>
      <c r="B603" t="s">
        <v>1480</v>
      </c>
      <c r="C603" t="s">
        <v>2747</v>
      </c>
      <c r="D603" t="s">
        <v>1532</v>
      </c>
      <c r="E603" t="s">
        <v>1533</v>
      </c>
      <c r="F603" t="s">
        <v>1484</v>
      </c>
      <c r="G603" t="s">
        <v>1485</v>
      </c>
    </row>
    <row r="604" spans="1:7" x14ac:dyDescent="0.2">
      <c r="A604" t="s">
        <v>2748</v>
      </c>
      <c r="B604" t="s">
        <v>1480</v>
      </c>
      <c r="C604" t="s">
        <v>2749</v>
      </c>
      <c r="D604" t="s">
        <v>1598</v>
      </c>
      <c r="E604" t="s">
        <v>1599</v>
      </c>
      <c r="F604" t="s">
        <v>1484</v>
      </c>
      <c r="G604" t="s">
        <v>1485</v>
      </c>
    </row>
    <row r="605" spans="1:7" x14ac:dyDescent="0.2">
      <c r="A605" t="s">
        <v>2750</v>
      </c>
      <c r="B605" t="s">
        <v>1480</v>
      </c>
      <c r="C605" t="s">
        <v>2751</v>
      </c>
      <c r="D605" t="s">
        <v>1598</v>
      </c>
      <c r="E605" t="s">
        <v>1599</v>
      </c>
      <c r="F605" t="s">
        <v>1484</v>
      </c>
      <c r="G605" t="s">
        <v>1485</v>
      </c>
    </row>
    <row r="606" spans="1:7" x14ac:dyDescent="0.2">
      <c r="A606" t="s">
        <v>2752</v>
      </c>
      <c r="B606" t="s">
        <v>1480</v>
      </c>
      <c r="C606" t="s">
        <v>2753</v>
      </c>
      <c r="D606" t="s">
        <v>1488</v>
      </c>
      <c r="E606" t="s">
        <v>1489</v>
      </c>
      <c r="F606" t="s">
        <v>1484</v>
      </c>
      <c r="G606" t="s">
        <v>1485</v>
      </c>
    </row>
    <row r="607" spans="1:7" x14ac:dyDescent="0.2">
      <c r="A607" t="s">
        <v>2754</v>
      </c>
      <c r="B607" t="s">
        <v>1480</v>
      </c>
      <c r="C607" t="s">
        <v>2755</v>
      </c>
      <c r="D607" t="s">
        <v>1536</v>
      </c>
      <c r="E607" t="s">
        <v>1537</v>
      </c>
      <c r="F607" t="s">
        <v>1484</v>
      </c>
      <c r="G607" t="s">
        <v>1485</v>
      </c>
    </row>
    <row r="608" spans="1:7" x14ac:dyDescent="0.2">
      <c r="A608" t="s">
        <v>2756</v>
      </c>
      <c r="B608" t="s">
        <v>1480</v>
      </c>
      <c r="C608" t="s">
        <v>2757</v>
      </c>
      <c r="D608" t="s">
        <v>1540</v>
      </c>
      <c r="E608" t="s">
        <v>1541</v>
      </c>
      <c r="F608" t="s">
        <v>1484</v>
      </c>
      <c r="G608" t="s">
        <v>1485</v>
      </c>
    </row>
    <row r="609" spans="1:7" x14ac:dyDescent="0.2">
      <c r="A609" t="s">
        <v>2758</v>
      </c>
      <c r="B609" t="s">
        <v>1480</v>
      </c>
      <c r="C609" t="s">
        <v>2759</v>
      </c>
      <c r="D609" t="s">
        <v>1637</v>
      </c>
      <c r="E609" t="s">
        <v>1638</v>
      </c>
      <c r="F609" t="s">
        <v>1484</v>
      </c>
      <c r="G609" t="s">
        <v>1485</v>
      </c>
    </row>
    <row r="610" spans="1:7" x14ac:dyDescent="0.2">
      <c r="A610" t="s">
        <v>2760</v>
      </c>
      <c r="B610" t="s">
        <v>1480</v>
      </c>
      <c r="C610" t="s">
        <v>2761</v>
      </c>
      <c r="D610" t="s">
        <v>1540</v>
      </c>
      <c r="E610" t="s">
        <v>1541</v>
      </c>
      <c r="F610" t="s">
        <v>1484</v>
      </c>
      <c r="G610" t="s">
        <v>1485</v>
      </c>
    </row>
    <row r="611" spans="1:7" x14ac:dyDescent="0.2">
      <c r="A611" t="s">
        <v>2762</v>
      </c>
      <c r="B611" t="s">
        <v>1480</v>
      </c>
      <c r="C611" t="s">
        <v>2763</v>
      </c>
      <c r="D611" t="s">
        <v>1637</v>
      </c>
      <c r="E611" t="s">
        <v>1638</v>
      </c>
      <c r="F611" t="s">
        <v>1484</v>
      </c>
      <c r="G611" t="s">
        <v>1485</v>
      </c>
    </row>
    <row r="612" spans="1:7" x14ac:dyDescent="0.2">
      <c r="A612" t="s">
        <v>2764</v>
      </c>
      <c r="B612" t="s">
        <v>1480</v>
      </c>
      <c r="C612" t="s">
        <v>2765</v>
      </c>
      <c r="D612" t="s">
        <v>1510</v>
      </c>
      <c r="E612" t="s">
        <v>1511</v>
      </c>
      <c r="F612" t="s">
        <v>1484</v>
      </c>
      <c r="G612" t="s">
        <v>1485</v>
      </c>
    </row>
    <row r="613" spans="1:7" x14ac:dyDescent="0.2">
      <c r="A613" t="s">
        <v>2766</v>
      </c>
      <c r="B613" t="s">
        <v>1480</v>
      </c>
      <c r="C613" t="s">
        <v>2767</v>
      </c>
      <c r="D613" t="s">
        <v>1568</v>
      </c>
      <c r="E613" t="s">
        <v>1569</v>
      </c>
      <c r="F613" t="s">
        <v>1484</v>
      </c>
      <c r="G613" t="s">
        <v>1485</v>
      </c>
    </row>
    <row r="614" spans="1:7" x14ac:dyDescent="0.2">
      <c r="A614" t="s">
        <v>2768</v>
      </c>
      <c r="B614" t="s">
        <v>1480</v>
      </c>
      <c r="C614" t="s">
        <v>2769</v>
      </c>
      <c r="D614" t="s">
        <v>1510</v>
      </c>
      <c r="E614" t="s">
        <v>1511</v>
      </c>
      <c r="F614" t="s">
        <v>1484</v>
      </c>
      <c r="G614" t="s">
        <v>1485</v>
      </c>
    </row>
    <row r="615" spans="1:7" x14ac:dyDescent="0.2">
      <c r="A615" t="s">
        <v>2770</v>
      </c>
      <c r="B615" t="s">
        <v>1480</v>
      </c>
      <c r="C615" t="s">
        <v>2771</v>
      </c>
      <c r="D615" t="s">
        <v>1488</v>
      </c>
      <c r="E615" t="s">
        <v>1489</v>
      </c>
      <c r="F615" t="s">
        <v>1484</v>
      </c>
      <c r="G615" t="s">
        <v>1485</v>
      </c>
    </row>
    <row r="616" spans="1:7" x14ac:dyDescent="0.2">
      <c r="A616" t="s">
        <v>2772</v>
      </c>
      <c r="B616" t="s">
        <v>1480</v>
      </c>
      <c r="C616" t="s">
        <v>2773</v>
      </c>
      <c r="D616" t="s">
        <v>1568</v>
      </c>
      <c r="E616" t="s">
        <v>1569</v>
      </c>
      <c r="F616" t="s">
        <v>1484</v>
      </c>
      <c r="G616" t="s">
        <v>1485</v>
      </c>
    </row>
    <row r="617" spans="1:7" x14ac:dyDescent="0.2">
      <c r="A617" t="s">
        <v>2774</v>
      </c>
      <c r="B617" t="s">
        <v>1480</v>
      </c>
      <c r="C617" t="s">
        <v>2775</v>
      </c>
      <c r="D617" t="s">
        <v>1568</v>
      </c>
      <c r="E617" t="s">
        <v>1569</v>
      </c>
      <c r="F617" t="s">
        <v>1484</v>
      </c>
      <c r="G617" t="s">
        <v>1485</v>
      </c>
    </row>
    <row r="618" spans="1:7" x14ac:dyDescent="0.2">
      <c r="A618" t="s">
        <v>2776</v>
      </c>
      <c r="B618" t="s">
        <v>1480</v>
      </c>
      <c r="C618" t="s">
        <v>2777</v>
      </c>
      <c r="D618" t="s">
        <v>1568</v>
      </c>
      <c r="E618" t="s">
        <v>1569</v>
      </c>
      <c r="F618" t="s">
        <v>1484</v>
      </c>
      <c r="G618" t="s">
        <v>1485</v>
      </c>
    </row>
    <row r="619" spans="1:7" x14ac:dyDescent="0.2">
      <c r="A619" t="s">
        <v>2778</v>
      </c>
      <c r="B619" t="s">
        <v>1480</v>
      </c>
      <c r="C619" t="s">
        <v>2779</v>
      </c>
      <c r="D619" t="s">
        <v>1488</v>
      </c>
      <c r="E619" t="s">
        <v>1489</v>
      </c>
      <c r="F619" t="s">
        <v>1484</v>
      </c>
      <c r="G619" t="s">
        <v>1485</v>
      </c>
    </row>
    <row r="620" spans="1:7" x14ac:dyDescent="0.2">
      <c r="A620" t="s">
        <v>2780</v>
      </c>
      <c r="B620" t="s">
        <v>1480</v>
      </c>
      <c r="C620" t="s">
        <v>2781</v>
      </c>
      <c r="D620" t="s">
        <v>1598</v>
      </c>
      <c r="E620" t="s">
        <v>1599</v>
      </c>
      <c r="F620" t="s">
        <v>1484</v>
      </c>
      <c r="G620" t="s">
        <v>1485</v>
      </c>
    </row>
    <row r="621" spans="1:7" x14ac:dyDescent="0.2">
      <c r="A621" t="s">
        <v>2782</v>
      </c>
      <c r="B621" t="s">
        <v>1480</v>
      </c>
      <c r="C621" t="s">
        <v>2783</v>
      </c>
      <c r="D621" t="s">
        <v>1598</v>
      </c>
      <c r="E621" t="s">
        <v>1599</v>
      </c>
      <c r="F621" t="s">
        <v>1484</v>
      </c>
      <c r="G621" t="s">
        <v>1485</v>
      </c>
    </row>
    <row r="622" spans="1:7" x14ac:dyDescent="0.2">
      <c r="A622" t="s">
        <v>2784</v>
      </c>
      <c r="B622" t="s">
        <v>1480</v>
      </c>
      <c r="C622" t="s">
        <v>2785</v>
      </c>
      <c r="D622" t="s">
        <v>1520</v>
      </c>
      <c r="E622" t="s">
        <v>1521</v>
      </c>
      <c r="F622" t="s">
        <v>1484</v>
      </c>
      <c r="G622" t="s">
        <v>1485</v>
      </c>
    </row>
    <row r="623" spans="1:7" x14ac:dyDescent="0.2">
      <c r="A623" t="s">
        <v>2786</v>
      </c>
      <c r="B623" t="s">
        <v>1480</v>
      </c>
      <c r="C623" t="s">
        <v>2787</v>
      </c>
      <c r="D623" t="s">
        <v>1576</v>
      </c>
      <c r="E623" t="s">
        <v>1577</v>
      </c>
      <c r="F623" t="s">
        <v>1484</v>
      </c>
      <c r="G623" t="s">
        <v>1485</v>
      </c>
    </row>
    <row r="624" spans="1:7" x14ac:dyDescent="0.2">
      <c r="A624" t="s">
        <v>2788</v>
      </c>
      <c r="B624" t="s">
        <v>1480</v>
      </c>
      <c r="C624" t="s">
        <v>2789</v>
      </c>
      <c r="D624" t="s">
        <v>1576</v>
      </c>
      <c r="E624" t="s">
        <v>1577</v>
      </c>
      <c r="F624" t="s">
        <v>1484</v>
      </c>
      <c r="G624" t="s">
        <v>1485</v>
      </c>
    </row>
    <row r="625" spans="1:7" x14ac:dyDescent="0.2">
      <c r="A625" t="s">
        <v>2790</v>
      </c>
      <c r="B625" t="s">
        <v>1480</v>
      </c>
      <c r="C625" t="s">
        <v>2791</v>
      </c>
      <c r="D625" t="s">
        <v>1548</v>
      </c>
      <c r="E625" t="s">
        <v>1549</v>
      </c>
      <c r="F625" t="s">
        <v>1484</v>
      </c>
      <c r="G625" t="s">
        <v>1485</v>
      </c>
    </row>
    <row r="626" spans="1:7" x14ac:dyDescent="0.2">
      <c r="A626" t="s">
        <v>2792</v>
      </c>
      <c r="B626" t="s">
        <v>1480</v>
      </c>
      <c r="C626" t="s">
        <v>2793</v>
      </c>
      <c r="D626" t="s">
        <v>1528</v>
      </c>
      <c r="E626" t="s">
        <v>1529</v>
      </c>
      <c r="F626" t="s">
        <v>1484</v>
      </c>
      <c r="G626" t="s">
        <v>1485</v>
      </c>
    </row>
    <row r="627" spans="1:7" x14ac:dyDescent="0.2">
      <c r="A627" t="s">
        <v>2794</v>
      </c>
      <c r="B627" t="s">
        <v>1480</v>
      </c>
      <c r="C627" t="s">
        <v>2795</v>
      </c>
      <c r="D627" t="s">
        <v>1510</v>
      </c>
      <c r="E627" t="s">
        <v>1511</v>
      </c>
      <c r="F627" t="s">
        <v>1484</v>
      </c>
      <c r="G627" t="s">
        <v>1485</v>
      </c>
    </row>
    <row r="628" spans="1:7" x14ac:dyDescent="0.2">
      <c r="A628" t="s">
        <v>2796</v>
      </c>
      <c r="B628" t="s">
        <v>1480</v>
      </c>
      <c r="C628" t="s">
        <v>2797</v>
      </c>
      <c r="D628" t="s">
        <v>1669</v>
      </c>
      <c r="E628" t="s">
        <v>1670</v>
      </c>
      <c r="F628" t="s">
        <v>1484</v>
      </c>
      <c r="G628" t="s">
        <v>1485</v>
      </c>
    </row>
    <row r="629" spans="1:7" x14ac:dyDescent="0.2">
      <c r="A629" t="s">
        <v>2798</v>
      </c>
      <c r="B629" t="s">
        <v>1480</v>
      </c>
      <c r="C629" t="s">
        <v>2799</v>
      </c>
      <c r="D629" t="s">
        <v>1540</v>
      </c>
      <c r="E629" t="s">
        <v>1541</v>
      </c>
      <c r="F629" t="s">
        <v>1484</v>
      </c>
      <c r="G629" t="s">
        <v>1485</v>
      </c>
    </row>
    <row r="630" spans="1:7" x14ac:dyDescent="0.2">
      <c r="A630" t="s">
        <v>2800</v>
      </c>
      <c r="B630" t="s">
        <v>1480</v>
      </c>
      <c r="C630" t="s">
        <v>2801</v>
      </c>
      <c r="D630" t="s">
        <v>1540</v>
      </c>
      <c r="E630" t="s">
        <v>1541</v>
      </c>
      <c r="F630" t="s">
        <v>1484</v>
      </c>
      <c r="G630" t="s">
        <v>1485</v>
      </c>
    </row>
    <row r="631" spans="1:7" x14ac:dyDescent="0.2">
      <c r="A631" t="s">
        <v>2802</v>
      </c>
      <c r="B631" t="s">
        <v>1480</v>
      </c>
      <c r="C631" t="s">
        <v>2803</v>
      </c>
      <c r="D631" t="s">
        <v>1540</v>
      </c>
      <c r="E631" t="s">
        <v>1541</v>
      </c>
      <c r="F631" t="s">
        <v>1484</v>
      </c>
      <c r="G631" t="s">
        <v>1485</v>
      </c>
    </row>
    <row r="632" spans="1:7" x14ac:dyDescent="0.2">
      <c r="A632" t="s">
        <v>2804</v>
      </c>
      <c r="B632" t="s">
        <v>1480</v>
      </c>
      <c r="C632" t="s">
        <v>2805</v>
      </c>
      <c r="D632" t="s">
        <v>1540</v>
      </c>
      <c r="E632" t="s">
        <v>1541</v>
      </c>
      <c r="F632" t="s">
        <v>1484</v>
      </c>
      <c r="G632" t="s">
        <v>1485</v>
      </c>
    </row>
    <row r="633" spans="1:7" x14ac:dyDescent="0.2">
      <c r="A633" t="s">
        <v>2806</v>
      </c>
      <c r="B633" t="s">
        <v>1480</v>
      </c>
      <c r="C633" t="s">
        <v>2807</v>
      </c>
      <c r="D633" t="s">
        <v>1568</v>
      </c>
      <c r="E633" t="s">
        <v>1569</v>
      </c>
      <c r="F633" t="s">
        <v>1484</v>
      </c>
      <c r="G633" t="s">
        <v>1485</v>
      </c>
    </row>
    <row r="634" spans="1:7" x14ac:dyDescent="0.2">
      <c r="A634" t="s">
        <v>2808</v>
      </c>
      <c r="B634" t="s">
        <v>1480</v>
      </c>
      <c r="C634" t="s">
        <v>2809</v>
      </c>
      <c r="D634" t="s">
        <v>1568</v>
      </c>
      <c r="E634" t="s">
        <v>1569</v>
      </c>
      <c r="F634" t="s">
        <v>1484</v>
      </c>
      <c r="G634" t="s">
        <v>1485</v>
      </c>
    </row>
    <row r="635" spans="1:7" x14ac:dyDescent="0.2">
      <c r="A635" t="s">
        <v>2810</v>
      </c>
      <c r="B635" t="s">
        <v>1480</v>
      </c>
      <c r="C635" t="s">
        <v>2811</v>
      </c>
      <c r="D635" t="s">
        <v>1568</v>
      </c>
      <c r="E635" t="s">
        <v>1569</v>
      </c>
      <c r="F635" t="s">
        <v>1484</v>
      </c>
      <c r="G635" t="s">
        <v>1485</v>
      </c>
    </row>
    <row r="636" spans="1:7" x14ac:dyDescent="0.2">
      <c r="A636" t="s">
        <v>2812</v>
      </c>
      <c r="B636" t="s">
        <v>1480</v>
      </c>
      <c r="C636" t="s">
        <v>2813</v>
      </c>
      <c r="D636" t="s">
        <v>1520</v>
      </c>
      <c r="E636" t="s">
        <v>1521</v>
      </c>
      <c r="F636" t="s">
        <v>1484</v>
      </c>
      <c r="G636" t="s">
        <v>1485</v>
      </c>
    </row>
    <row r="637" spans="1:7" x14ac:dyDescent="0.2">
      <c r="A637" t="s">
        <v>2814</v>
      </c>
      <c r="B637" t="s">
        <v>1480</v>
      </c>
      <c r="C637" t="s">
        <v>2815</v>
      </c>
      <c r="D637" t="s">
        <v>1516</v>
      </c>
      <c r="E637" t="s">
        <v>1517</v>
      </c>
      <c r="F637" t="s">
        <v>1484</v>
      </c>
      <c r="G637" t="s">
        <v>1485</v>
      </c>
    </row>
    <row r="638" spans="1:7" x14ac:dyDescent="0.2">
      <c r="A638" t="s">
        <v>2816</v>
      </c>
      <c r="B638" t="s">
        <v>1480</v>
      </c>
      <c r="C638" t="s">
        <v>2817</v>
      </c>
      <c r="D638" t="s">
        <v>1598</v>
      </c>
      <c r="E638" t="s">
        <v>1599</v>
      </c>
      <c r="F638" t="s">
        <v>1484</v>
      </c>
      <c r="G638" t="s">
        <v>1485</v>
      </c>
    </row>
    <row r="639" spans="1:7" x14ac:dyDescent="0.2">
      <c r="A639" t="s">
        <v>2818</v>
      </c>
      <c r="B639" t="s">
        <v>1480</v>
      </c>
      <c r="C639" t="s">
        <v>2819</v>
      </c>
      <c r="D639" t="s">
        <v>1536</v>
      </c>
      <c r="E639" t="s">
        <v>1537</v>
      </c>
      <c r="F639" t="s">
        <v>1484</v>
      </c>
      <c r="G639" t="s">
        <v>1485</v>
      </c>
    </row>
    <row r="640" spans="1:7" x14ac:dyDescent="0.2">
      <c r="A640" t="s">
        <v>2820</v>
      </c>
      <c r="B640" t="s">
        <v>1480</v>
      </c>
      <c r="C640" t="s">
        <v>2821</v>
      </c>
      <c r="D640" t="s">
        <v>1637</v>
      </c>
      <c r="E640" t="s">
        <v>1638</v>
      </c>
      <c r="F640" t="s">
        <v>1484</v>
      </c>
      <c r="G640" t="s">
        <v>1485</v>
      </c>
    </row>
    <row r="641" spans="1:7" x14ac:dyDescent="0.2">
      <c r="A641" t="s">
        <v>2822</v>
      </c>
      <c r="B641" t="s">
        <v>1480</v>
      </c>
      <c r="C641" t="s">
        <v>2823</v>
      </c>
      <c r="D641" t="s">
        <v>1637</v>
      </c>
      <c r="E641" t="s">
        <v>1638</v>
      </c>
      <c r="F641" t="s">
        <v>1484</v>
      </c>
      <c r="G641" t="s">
        <v>1485</v>
      </c>
    </row>
    <row r="642" spans="1:7" x14ac:dyDescent="0.2">
      <c r="A642" t="s">
        <v>2824</v>
      </c>
      <c r="B642" t="s">
        <v>1480</v>
      </c>
      <c r="C642" t="s">
        <v>2825</v>
      </c>
      <c r="D642" t="s">
        <v>1500</v>
      </c>
      <c r="E642" t="s">
        <v>1501</v>
      </c>
      <c r="F642" t="s">
        <v>1484</v>
      </c>
      <c r="G642" t="s">
        <v>1485</v>
      </c>
    </row>
    <row r="643" spans="1:7" x14ac:dyDescent="0.2">
      <c r="A643" t="s">
        <v>2826</v>
      </c>
      <c r="B643" t="s">
        <v>1480</v>
      </c>
      <c r="C643" t="s">
        <v>2827</v>
      </c>
      <c r="D643" t="s">
        <v>1876</v>
      </c>
      <c r="E643" t="s">
        <v>1877</v>
      </c>
      <c r="F643" t="s">
        <v>1484</v>
      </c>
      <c r="G643" t="s">
        <v>1485</v>
      </c>
    </row>
    <row r="644" spans="1:7" x14ac:dyDescent="0.2">
      <c r="A644" t="s">
        <v>2828</v>
      </c>
      <c r="B644" t="s">
        <v>1480</v>
      </c>
      <c r="C644" t="s">
        <v>2829</v>
      </c>
      <c r="D644" t="s">
        <v>1711</v>
      </c>
      <c r="E644" t="s">
        <v>1712</v>
      </c>
      <c r="F644" t="s">
        <v>1484</v>
      </c>
      <c r="G644" t="s">
        <v>1485</v>
      </c>
    </row>
    <row r="645" spans="1:7" x14ac:dyDescent="0.2">
      <c r="A645" t="s">
        <v>2830</v>
      </c>
      <c r="B645" t="s">
        <v>1480</v>
      </c>
      <c r="C645" t="s">
        <v>2831</v>
      </c>
      <c r="D645" t="s">
        <v>1576</v>
      </c>
      <c r="E645" t="s">
        <v>1577</v>
      </c>
      <c r="F645" t="s">
        <v>1484</v>
      </c>
      <c r="G645" t="s">
        <v>1485</v>
      </c>
    </row>
    <row r="646" spans="1:7" x14ac:dyDescent="0.2">
      <c r="A646" t="s">
        <v>2832</v>
      </c>
      <c r="B646" t="s">
        <v>1480</v>
      </c>
      <c r="C646" t="s">
        <v>2833</v>
      </c>
      <c r="D646" t="s">
        <v>1500</v>
      </c>
      <c r="E646" t="s">
        <v>1501</v>
      </c>
      <c r="F646" t="s">
        <v>1484</v>
      </c>
      <c r="G646" t="s">
        <v>1485</v>
      </c>
    </row>
    <row r="647" spans="1:7" x14ac:dyDescent="0.2">
      <c r="A647" t="s">
        <v>2834</v>
      </c>
      <c r="B647" t="s">
        <v>1480</v>
      </c>
      <c r="C647" t="s">
        <v>2835</v>
      </c>
      <c r="D647" t="s">
        <v>1536</v>
      </c>
      <c r="E647" t="s">
        <v>1537</v>
      </c>
      <c r="F647" t="s">
        <v>1484</v>
      </c>
      <c r="G647" t="s">
        <v>1485</v>
      </c>
    </row>
    <row r="648" spans="1:7" x14ac:dyDescent="0.2">
      <c r="A648" t="s">
        <v>2836</v>
      </c>
      <c r="B648" t="s">
        <v>1480</v>
      </c>
      <c r="C648" t="s">
        <v>2837</v>
      </c>
      <c r="D648" t="s">
        <v>1735</v>
      </c>
      <c r="E648" t="s">
        <v>1736</v>
      </c>
      <c r="F648" t="s">
        <v>1484</v>
      </c>
      <c r="G648" t="s">
        <v>1485</v>
      </c>
    </row>
    <row r="649" spans="1:7" x14ac:dyDescent="0.2">
      <c r="A649" t="s">
        <v>2838</v>
      </c>
      <c r="B649" t="s">
        <v>1480</v>
      </c>
      <c r="C649" t="s">
        <v>2839</v>
      </c>
      <c r="D649" t="s">
        <v>1711</v>
      </c>
      <c r="E649" t="s">
        <v>1712</v>
      </c>
      <c r="F649" t="s">
        <v>1484</v>
      </c>
      <c r="G649" t="s">
        <v>1485</v>
      </c>
    </row>
    <row r="650" spans="1:7" x14ac:dyDescent="0.2">
      <c r="A650" t="s">
        <v>2840</v>
      </c>
      <c r="B650" t="s">
        <v>1480</v>
      </c>
      <c r="C650" t="s">
        <v>2841</v>
      </c>
      <c r="D650" t="s">
        <v>1506</v>
      </c>
      <c r="E650" t="s">
        <v>1507</v>
      </c>
      <c r="F650" t="s">
        <v>1484</v>
      </c>
      <c r="G650" t="s">
        <v>1485</v>
      </c>
    </row>
    <row r="651" spans="1:7" x14ac:dyDescent="0.2">
      <c r="A651" t="s">
        <v>2842</v>
      </c>
      <c r="B651" t="s">
        <v>1480</v>
      </c>
      <c r="C651" t="s">
        <v>2843</v>
      </c>
      <c r="D651" t="s">
        <v>1876</v>
      </c>
      <c r="E651" t="s">
        <v>1877</v>
      </c>
      <c r="F651" t="s">
        <v>1484</v>
      </c>
      <c r="G651" t="s">
        <v>1485</v>
      </c>
    </row>
    <row r="652" spans="1:7" x14ac:dyDescent="0.2">
      <c r="A652" t="s">
        <v>2844</v>
      </c>
      <c r="B652" t="s">
        <v>1480</v>
      </c>
      <c r="C652" t="s">
        <v>2845</v>
      </c>
      <c r="D652" t="s">
        <v>1705</v>
      </c>
      <c r="E652" t="s">
        <v>1706</v>
      </c>
      <c r="F652" t="s">
        <v>1484</v>
      </c>
      <c r="G652" t="s">
        <v>1485</v>
      </c>
    </row>
    <row r="653" spans="1:7" x14ac:dyDescent="0.2">
      <c r="A653" t="s">
        <v>2846</v>
      </c>
      <c r="B653" t="s">
        <v>1480</v>
      </c>
      <c r="C653" t="s">
        <v>2847</v>
      </c>
      <c r="D653" t="s">
        <v>1562</v>
      </c>
      <c r="E653" t="s">
        <v>1563</v>
      </c>
      <c r="F653" t="s">
        <v>1484</v>
      </c>
      <c r="G653" t="s">
        <v>1485</v>
      </c>
    </row>
    <row r="654" spans="1:7" x14ac:dyDescent="0.2">
      <c r="A654" t="s">
        <v>2848</v>
      </c>
      <c r="B654" t="s">
        <v>1480</v>
      </c>
      <c r="C654" t="s">
        <v>2849</v>
      </c>
      <c r="D654" t="s">
        <v>1876</v>
      </c>
      <c r="E654" t="s">
        <v>1877</v>
      </c>
      <c r="F654" t="s">
        <v>1484</v>
      </c>
      <c r="G654" t="s">
        <v>1485</v>
      </c>
    </row>
    <row r="655" spans="1:7" x14ac:dyDescent="0.2">
      <c r="A655" t="s">
        <v>2850</v>
      </c>
      <c r="B655" t="s">
        <v>1480</v>
      </c>
      <c r="C655" t="s">
        <v>2851</v>
      </c>
      <c r="D655" t="s">
        <v>1691</v>
      </c>
      <c r="E655" t="s">
        <v>1692</v>
      </c>
      <c r="F655" t="s">
        <v>1484</v>
      </c>
      <c r="G655" t="s">
        <v>1485</v>
      </c>
    </row>
    <row r="656" spans="1:7" x14ac:dyDescent="0.2">
      <c r="A656" t="s">
        <v>2852</v>
      </c>
      <c r="B656" t="s">
        <v>1480</v>
      </c>
      <c r="C656" t="s">
        <v>2853</v>
      </c>
      <c r="D656" t="s">
        <v>1705</v>
      </c>
      <c r="E656" t="s">
        <v>1706</v>
      </c>
      <c r="F656" t="s">
        <v>1484</v>
      </c>
      <c r="G656" t="s">
        <v>1485</v>
      </c>
    </row>
    <row r="657" spans="1:7" x14ac:dyDescent="0.2">
      <c r="A657" t="s">
        <v>2854</v>
      </c>
      <c r="B657" t="s">
        <v>1480</v>
      </c>
      <c r="C657" t="s">
        <v>2855</v>
      </c>
      <c r="D657" t="s">
        <v>1695</v>
      </c>
      <c r="E657" t="s">
        <v>1696</v>
      </c>
      <c r="F657" t="s">
        <v>1484</v>
      </c>
      <c r="G657" t="s">
        <v>1485</v>
      </c>
    </row>
    <row r="658" spans="1:7" x14ac:dyDescent="0.2">
      <c r="A658" t="s">
        <v>2856</v>
      </c>
      <c r="B658" t="s">
        <v>1480</v>
      </c>
      <c r="C658" t="s">
        <v>2857</v>
      </c>
      <c r="D658" t="s">
        <v>1711</v>
      </c>
      <c r="E658" t="s">
        <v>1712</v>
      </c>
      <c r="F658" t="s">
        <v>1484</v>
      </c>
      <c r="G658" t="s">
        <v>1485</v>
      </c>
    </row>
    <row r="659" spans="1:7" x14ac:dyDescent="0.2">
      <c r="A659" t="s">
        <v>2858</v>
      </c>
      <c r="B659" t="s">
        <v>1480</v>
      </c>
      <c r="C659" t="s">
        <v>2859</v>
      </c>
      <c r="D659" t="s">
        <v>1705</v>
      </c>
      <c r="E659" t="s">
        <v>1706</v>
      </c>
      <c r="F659" t="s">
        <v>1484</v>
      </c>
      <c r="G659" t="s">
        <v>1485</v>
      </c>
    </row>
    <row r="660" spans="1:7" x14ac:dyDescent="0.2">
      <c r="A660" t="s">
        <v>2860</v>
      </c>
      <c r="B660" t="s">
        <v>1480</v>
      </c>
      <c r="C660" t="s">
        <v>2861</v>
      </c>
      <c r="D660" t="s">
        <v>1695</v>
      </c>
      <c r="E660" t="s">
        <v>1696</v>
      </c>
      <c r="F660" t="s">
        <v>1484</v>
      </c>
      <c r="G660" t="s">
        <v>1485</v>
      </c>
    </row>
    <row r="661" spans="1:7" x14ac:dyDescent="0.2">
      <c r="A661" t="s">
        <v>2862</v>
      </c>
      <c r="B661" t="s">
        <v>1480</v>
      </c>
      <c r="C661" t="s">
        <v>2863</v>
      </c>
      <c r="D661" t="s">
        <v>1572</v>
      </c>
      <c r="E661" t="s">
        <v>1573</v>
      </c>
      <c r="F661" t="s">
        <v>1484</v>
      </c>
      <c r="G661" t="s">
        <v>1485</v>
      </c>
    </row>
    <row r="662" spans="1:7" x14ac:dyDescent="0.2">
      <c r="A662" t="s">
        <v>2864</v>
      </c>
      <c r="B662" t="s">
        <v>1480</v>
      </c>
      <c r="C662" t="s">
        <v>2865</v>
      </c>
      <c r="D662" t="s">
        <v>1506</v>
      </c>
      <c r="E662" t="s">
        <v>1507</v>
      </c>
      <c r="F662" t="s">
        <v>1484</v>
      </c>
      <c r="G662" t="s">
        <v>1485</v>
      </c>
    </row>
    <row r="663" spans="1:7" x14ac:dyDescent="0.2">
      <c r="A663" t="s">
        <v>2866</v>
      </c>
      <c r="B663" t="s">
        <v>1480</v>
      </c>
      <c r="C663" t="s">
        <v>2867</v>
      </c>
      <c r="D663" t="s">
        <v>1691</v>
      </c>
      <c r="E663" t="s">
        <v>1692</v>
      </c>
      <c r="F663" t="s">
        <v>1484</v>
      </c>
      <c r="G663" t="s">
        <v>1485</v>
      </c>
    </row>
    <row r="664" spans="1:7" x14ac:dyDescent="0.2">
      <c r="A664" t="s">
        <v>2868</v>
      </c>
      <c r="B664" t="s">
        <v>1480</v>
      </c>
      <c r="C664" t="s">
        <v>2869</v>
      </c>
      <c r="D664" t="s">
        <v>1691</v>
      </c>
      <c r="E664" t="s">
        <v>1692</v>
      </c>
      <c r="F664" t="s">
        <v>1484</v>
      </c>
      <c r="G664" t="s">
        <v>1485</v>
      </c>
    </row>
    <row r="665" spans="1:7" x14ac:dyDescent="0.2">
      <c r="A665" t="s">
        <v>2870</v>
      </c>
      <c r="B665" t="s">
        <v>1480</v>
      </c>
      <c r="C665" t="s">
        <v>2871</v>
      </c>
      <c r="D665" t="s">
        <v>2026</v>
      </c>
      <c r="E665" t="s">
        <v>2027</v>
      </c>
      <c r="F665" t="s">
        <v>1484</v>
      </c>
      <c r="G665" t="s">
        <v>1485</v>
      </c>
    </row>
    <row r="666" spans="1:7" x14ac:dyDescent="0.2">
      <c r="A666" t="s">
        <v>2872</v>
      </c>
      <c r="B666" t="s">
        <v>1480</v>
      </c>
      <c r="C666" t="s">
        <v>2873</v>
      </c>
      <c r="D666" t="s">
        <v>1725</v>
      </c>
      <c r="E666" t="s">
        <v>1726</v>
      </c>
      <c r="F666" t="s">
        <v>1484</v>
      </c>
      <c r="G666" t="s">
        <v>1485</v>
      </c>
    </row>
    <row r="667" spans="1:7" x14ac:dyDescent="0.2">
      <c r="A667" t="s">
        <v>2874</v>
      </c>
      <c r="B667" t="s">
        <v>1480</v>
      </c>
      <c r="C667" t="s">
        <v>2875</v>
      </c>
      <c r="D667" t="s">
        <v>1637</v>
      </c>
      <c r="E667" t="s">
        <v>1638</v>
      </c>
      <c r="F667" t="s">
        <v>1484</v>
      </c>
      <c r="G667" t="s">
        <v>1485</v>
      </c>
    </row>
    <row r="668" spans="1:7" x14ac:dyDescent="0.2">
      <c r="A668" t="s">
        <v>2876</v>
      </c>
      <c r="B668" t="s">
        <v>1480</v>
      </c>
      <c r="C668" t="s">
        <v>2877</v>
      </c>
      <c r="D668" t="s">
        <v>1637</v>
      </c>
      <c r="E668" t="s">
        <v>1638</v>
      </c>
      <c r="F668" t="s">
        <v>1484</v>
      </c>
      <c r="G668" t="s">
        <v>1485</v>
      </c>
    </row>
    <row r="669" spans="1:7" x14ac:dyDescent="0.2">
      <c r="A669" t="s">
        <v>2878</v>
      </c>
      <c r="B669" t="s">
        <v>1480</v>
      </c>
      <c r="C669" t="s">
        <v>2879</v>
      </c>
      <c r="D669" t="s">
        <v>1691</v>
      </c>
      <c r="E669" t="s">
        <v>1692</v>
      </c>
      <c r="F669" t="s">
        <v>1484</v>
      </c>
      <c r="G669" t="s">
        <v>1485</v>
      </c>
    </row>
    <row r="670" spans="1:7" x14ac:dyDescent="0.2">
      <c r="A670" t="s">
        <v>2880</v>
      </c>
      <c r="B670" t="s">
        <v>1480</v>
      </c>
      <c r="C670" t="s">
        <v>2881</v>
      </c>
      <c r="D670" t="s">
        <v>1572</v>
      </c>
      <c r="E670" t="s">
        <v>1573</v>
      </c>
      <c r="F670" t="s">
        <v>1484</v>
      </c>
      <c r="G670" t="s">
        <v>1485</v>
      </c>
    </row>
    <row r="671" spans="1:7" x14ac:dyDescent="0.2">
      <c r="A671" t="s">
        <v>2882</v>
      </c>
      <c r="B671" t="s">
        <v>1480</v>
      </c>
      <c r="C671" t="s">
        <v>2883</v>
      </c>
      <c r="D671" t="s">
        <v>1576</v>
      </c>
      <c r="E671" t="s">
        <v>1577</v>
      </c>
      <c r="F671" t="s">
        <v>1484</v>
      </c>
      <c r="G671" t="s">
        <v>1485</v>
      </c>
    </row>
    <row r="672" spans="1:7" x14ac:dyDescent="0.2">
      <c r="A672" t="s">
        <v>2884</v>
      </c>
      <c r="B672" t="s">
        <v>1480</v>
      </c>
      <c r="C672" t="s">
        <v>2885</v>
      </c>
      <c r="D672" t="s">
        <v>1482</v>
      </c>
      <c r="E672" t="s">
        <v>1483</v>
      </c>
      <c r="F672" t="s">
        <v>1484</v>
      </c>
      <c r="G672" t="s">
        <v>1485</v>
      </c>
    </row>
    <row r="673" spans="1:7" x14ac:dyDescent="0.2">
      <c r="A673" t="s">
        <v>2886</v>
      </c>
      <c r="B673" t="s">
        <v>1480</v>
      </c>
      <c r="C673" t="s">
        <v>2887</v>
      </c>
      <c r="D673" t="s">
        <v>1562</v>
      </c>
      <c r="E673" t="s">
        <v>1563</v>
      </c>
      <c r="F673" t="s">
        <v>1484</v>
      </c>
      <c r="G673" t="s">
        <v>1485</v>
      </c>
    </row>
    <row r="674" spans="1:7" x14ac:dyDescent="0.2">
      <c r="A674" t="s">
        <v>2888</v>
      </c>
      <c r="B674" t="s">
        <v>1480</v>
      </c>
      <c r="C674" t="s">
        <v>2889</v>
      </c>
      <c r="D674" t="s">
        <v>1506</v>
      </c>
      <c r="E674" t="s">
        <v>1507</v>
      </c>
      <c r="F674" t="s">
        <v>1484</v>
      </c>
      <c r="G674" t="s">
        <v>1485</v>
      </c>
    </row>
    <row r="675" spans="1:7" x14ac:dyDescent="0.2">
      <c r="A675" t="s">
        <v>2890</v>
      </c>
      <c r="B675" t="s">
        <v>1480</v>
      </c>
      <c r="C675" t="s">
        <v>2891</v>
      </c>
      <c r="D675" t="s">
        <v>1725</v>
      </c>
      <c r="E675" t="s">
        <v>1726</v>
      </c>
      <c r="F675" t="s">
        <v>1484</v>
      </c>
      <c r="G675" t="s">
        <v>1485</v>
      </c>
    </row>
    <row r="676" spans="1:7" x14ac:dyDescent="0.2">
      <c r="A676" t="s">
        <v>2892</v>
      </c>
      <c r="B676" t="s">
        <v>1480</v>
      </c>
      <c r="C676" t="s">
        <v>2893</v>
      </c>
      <c r="D676" t="s">
        <v>1657</v>
      </c>
      <c r="E676" t="s">
        <v>1658</v>
      </c>
      <c r="F676" t="s">
        <v>1484</v>
      </c>
      <c r="G676" t="s">
        <v>1485</v>
      </c>
    </row>
    <row r="677" spans="1:7" x14ac:dyDescent="0.2">
      <c r="A677" t="s">
        <v>2894</v>
      </c>
      <c r="B677" t="s">
        <v>1480</v>
      </c>
      <c r="C677" t="s">
        <v>2895</v>
      </c>
      <c r="D677" t="s">
        <v>1705</v>
      </c>
      <c r="E677" t="s">
        <v>1706</v>
      </c>
      <c r="F677" t="s">
        <v>1484</v>
      </c>
      <c r="G677" t="s">
        <v>1485</v>
      </c>
    </row>
    <row r="678" spans="1:7" x14ac:dyDescent="0.2">
      <c r="A678" t="s">
        <v>2896</v>
      </c>
      <c r="B678" t="s">
        <v>1480</v>
      </c>
      <c r="C678" t="s">
        <v>2897</v>
      </c>
      <c r="D678" t="s">
        <v>1741</v>
      </c>
      <c r="E678" t="s">
        <v>1742</v>
      </c>
      <c r="F678" t="s">
        <v>1484</v>
      </c>
      <c r="G678" t="s">
        <v>1485</v>
      </c>
    </row>
    <row r="679" spans="1:7" x14ac:dyDescent="0.2">
      <c r="A679" t="s">
        <v>2898</v>
      </c>
      <c r="B679" t="s">
        <v>1480</v>
      </c>
      <c r="C679" t="s">
        <v>2899</v>
      </c>
      <c r="D679" t="s">
        <v>1711</v>
      </c>
      <c r="E679" t="s">
        <v>1712</v>
      </c>
      <c r="F679" t="s">
        <v>1484</v>
      </c>
      <c r="G679" t="s">
        <v>1485</v>
      </c>
    </row>
    <row r="680" spans="1:7" x14ac:dyDescent="0.2">
      <c r="A680" t="s">
        <v>2900</v>
      </c>
      <c r="B680" t="s">
        <v>1480</v>
      </c>
      <c r="C680" t="s">
        <v>2901</v>
      </c>
      <c r="D680" t="s">
        <v>1870</v>
      </c>
      <c r="E680" t="s">
        <v>1871</v>
      </c>
      <c r="F680" t="s">
        <v>1484</v>
      </c>
      <c r="G680" t="s">
        <v>1485</v>
      </c>
    </row>
    <row r="681" spans="1:7" x14ac:dyDescent="0.2">
      <c r="A681" t="s">
        <v>2902</v>
      </c>
      <c r="B681" t="s">
        <v>1480</v>
      </c>
      <c r="C681" t="s">
        <v>2903</v>
      </c>
      <c r="D681" t="s">
        <v>1729</v>
      </c>
      <c r="E681" t="s">
        <v>1730</v>
      </c>
      <c r="F681" t="s">
        <v>1484</v>
      </c>
      <c r="G681" t="s">
        <v>1485</v>
      </c>
    </row>
    <row r="682" spans="1:7" x14ac:dyDescent="0.2">
      <c r="A682" t="s">
        <v>2904</v>
      </c>
      <c r="B682" t="s">
        <v>1480</v>
      </c>
      <c r="C682" t="s">
        <v>2905</v>
      </c>
      <c r="D682" t="s">
        <v>1876</v>
      </c>
      <c r="E682" t="s">
        <v>1877</v>
      </c>
      <c r="F682" t="s">
        <v>1484</v>
      </c>
      <c r="G682" t="s">
        <v>1485</v>
      </c>
    </row>
    <row r="683" spans="1:7" x14ac:dyDescent="0.2">
      <c r="A683" t="s">
        <v>2906</v>
      </c>
      <c r="B683" t="s">
        <v>1480</v>
      </c>
      <c r="C683" t="s">
        <v>2907</v>
      </c>
      <c r="D683" t="s">
        <v>1896</v>
      </c>
      <c r="E683" t="s">
        <v>1898</v>
      </c>
      <c r="F683" t="s">
        <v>1484</v>
      </c>
      <c r="G683" t="s">
        <v>1485</v>
      </c>
    </row>
    <row r="684" spans="1:7" x14ac:dyDescent="0.2">
      <c r="A684" t="s">
        <v>2908</v>
      </c>
      <c r="B684" t="s">
        <v>1480</v>
      </c>
      <c r="C684" t="s">
        <v>2909</v>
      </c>
      <c r="D684" t="s">
        <v>1548</v>
      </c>
      <c r="E684" t="s">
        <v>1549</v>
      </c>
      <c r="F684" t="s">
        <v>1484</v>
      </c>
      <c r="G684" t="s">
        <v>1485</v>
      </c>
    </row>
    <row r="685" spans="1:7" x14ac:dyDescent="0.2">
      <c r="A685" t="s">
        <v>2910</v>
      </c>
      <c r="B685" t="s">
        <v>1480</v>
      </c>
      <c r="C685" t="s">
        <v>2911</v>
      </c>
      <c r="D685" t="s">
        <v>1506</v>
      </c>
      <c r="E685" t="s">
        <v>1507</v>
      </c>
      <c r="F685" t="s">
        <v>1484</v>
      </c>
      <c r="G685" t="s">
        <v>1485</v>
      </c>
    </row>
    <row r="686" spans="1:7" x14ac:dyDescent="0.2">
      <c r="A686" t="s">
        <v>2912</v>
      </c>
      <c r="B686" t="s">
        <v>1480</v>
      </c>
      <c r="C686" t="s">
        <v>2913</v>
      </c>
      <c r="D686" t="s">
        <v>1572</v>
      </c>
      <c r="E686" t="s">
        <v>1573</v>
      </c>
      <c r="F686" t="s">
        <v>1484</v>
      </c>
      <c r="G686" t="s">
        <v>1485</v>
      </c>
    </row>
    <row r="687" spans="1:7" x14ac:dyDescent="0.2">
      <c r="A687" t="s">
        <v>2914</v>
      </c>
      <c r="B687" t="s">
        <v>1480</v>
      </c>
      <c r="C687" t="s">
        <v>2915</v>
      </c>
      <c r="D687" t="s">
        <v>1506</v>
      </c>
      <c r="E687" t="s">
        <v>1507</v>
      </c>
      <c r="F687" t="s">
        <v>1484</v>
      </c>
      <c r="G687" t="s">
        <v>1485</v>
      </c>
    </row>
    <row r="688" spans="1:7" x14ac:dyDescent="0.2">
      <c r="A688" t="s">
        <v>2916</v>
      </c>
      <c r="B688" t="s">
        <v>1480</v>
      </c>
      <c r="C688" t="s">
        <v>2917</v>
      </c>
      <c r="D688" t="s">
        <v>1506</v>
      </c>
      <c r="E688" t="s">
        <v>1507</v>
      </c>
      <c r="F688" t="s">
        <v>1484</v>
      </c>
      <c r="G688" t="s">
        <v>1485</v>
      </c>
    </row>
    <row r="689" spans="1:7" x14ac:dyDescent="0.2">
      <c r="A689" t="s">
        <v>2918</v>
      </c>
      <c r="B689" t="s">
        <v>1480</v>
      </c>
      <c r="C689" t="s">
        <v>2919</v>
      </c>
      <c r="D689" t="s">
        <v>1741</v>
      </c>
      <c r="E689" t="s">
        <v>1742</v>
      </c>
      <c r="F689" t="s">
        <v>1484</v>
      </c>
      <c r="G689" t="s">
        <v>1485</v>
      </c>
    </row>
    <row r="690" spans="1:7" x14ac:dyDescent="0.2">
      <c r="A690" t="s">
        <v>2920</v>
      </c>
      <c r="B690" t="s">
        <v>1480</v>
      </c>
      <c r="C690" t="s">
        <v>2921</v>
      </c>
      <c r="D690" t="s">
        <v>2026</v>
      </c>
      <c r="E690" t="s">
        <v>2027</v>
      </c>
      <c r="F690" t="s">
        <v>1484</v>
      </c>
      <c r="G690" t="s">
        <v>1485</v>
      </c>
    </row>
    <row r="691" spans="1:7" x14ac:dyDescent="0.2">
      <c r="A691" t="s">
        <v>2922</v>
      </c>
      <c r="B691" t="s">
        <v>1480</v>
      </c>
      <c r="C691" t="s">
        <v>2923</v>
      </c>
      <c r="D691" t="s">
        <v>1695</v>
      </c>
      <c r="E691" t="s">
        <v>1696</v>
      </c>
      <c r="F691" t="s">
        <v>1484</v>
      </c>
      <c r="G691" t="s">
        <v>1485</v>
      </c>
    </row>
    <row r="692" spans="1:7" x14ac:dyDescent="0.2">
      <c r="A692" t="s">
        <v>2924</v>
      </c>
      <c r="B692" t="s">
        <v>1480</v>
      </c>
      <c r="C692" t="s">
        <v>2925</v>
      </c>
      <c r="D692" t="s">
        <v>1876</v>
      </c>
      <c r="E692" t="s">
        <v>1877</v>
      </c>
      <c r="F692" t="s">
        <v>1484</v>
      </c>
      <c r="G692" t="s">
        <v>1485</v>
      </c>
    </row>
    <row r="693" spans="1:7" x14ac:dyDescent="0.2">
      <c r="A693" t="s">
        <v>2926</v>
      </c>
      <c r="B693" t="s">
        <v>1480</v>
      </c>
      <c r="C693" t="s">
        <v>2927</v>
      </c>
      <c r="D693" t="s">
        <v>1705</v>
      </c>
      <c r="E693" t="s">
        <v>1706</v>
      </c>
      <c r="F693" t="s">
        <v>1484</v>
      </c>
      <c r="G693" t="s">
        <v>1485</v>
      </c>
    </row>
    <row r="694" spans="1:7" x14ac:dyDescent="0.2">
      <c r="A694" t="s">
        <v>2928</v>
      </c>
      <c r="B694" t="s">
        <v>1480</v>
      </c>
      <c r="C694" t="s">
        <v>2929</v>
      </c>
      <c r="D694" t="s">
        <v>1725</v>
      </c>
      <c r="E694" t="s">
        <v>1726</v>
      </c>
      <c r="F694" t="s">
        <v>1484</v>
      </c>
      <c r="G694" t="s">
        <v>1485</v>
      </c>
    </row>
    <row r="695" spans="1:7" x14ac:dyDescent="0.2">
      <c r="A695" t="s">
        <v>2930</v>
      </c>
      <c r="B695" t="s">
        <v>1480</v>
      </c>
      <c r="C695" t="s">
        <v>2931</v>
      </c>
      <c r="D695" t="s">
        <v>1548</v>
      </c>
      <c r="E695" t="s">
        <v>1549</v>
      </c>
      <c r="F695" t="s">
        <v>1484</v>
      </c>
      <c r="G695" t="s">
        <v>1485</v>
      </c>
    </row>
    <row r="696" spans="1:7" x14ac:dyDescent="0.2">
      <c r="A696" t="s">
        <v>2930</v>
      </c>
      <c r="B696" t="s">
        <v>1480</v>
      </c>
      <c r="C696" t="s">
        <v>2932</v>
      </c>
      <c r="D696" t="s">
        <v>1637</v>
      </c>
      <c r="E696" t="s">
        <v>1638</v>
      </c>
      <c r="F696" t="s">
        <v>1484</v>
      </c>
      <c r="G696" t="s">
        <v>1485</v>
      </c>
    </row>
    <row r="697" spans="1:7" x14ac:dyDescent="0.2">
      <c r="A697" t="s">
        <v>2933</v>
      </c>
      <c r="B697" t="s">
        <v>1480</v>
      </c>
      <c r="C697" t="s">
        <v>2934</v>
      </c>
      <c r="D697" t="s">
        <v>1876</v>
      </c>
      <c r="E697" t="s">
        <v>1877</v>
      </c>
      <c r="F697" t="s">
        <v>1484</v>
      </c>
      <c r="G697" t="s">
        <v>1485</v>
      </c>
    </row>
    <row r="698" spans="1:7" x14ac:dyDescent="0.2">
      <c r="A698" t="s">
        <v>2935</v>
      </c>
      <c r="B698" t="s">
        <v>1480</v>
      </c>
      <c r="C698" t="s">
        <v>2936</v>
      </c>
      <c r="D698" t="s">
        <v>1729</v>
      </c>
      <c r="E698" t="s">
        <v>1730</v>
      </c>
      <c r="F698" t="s">
        <v>1484</v>
      </c>
      <c r="G698" t="s">
        <v>1485</v>
      </c>
    </row>
    <row r="699" spans="1:7" x14ac:dyDescent="0.2">
      <c r="A699" t="s">
        <v>2937</v>
      </c>
      <c r="B699" t="s">
        <v>1480</v>
      </c>
      <c r="C699" t="s">
        <v>2938</v>
      </c>
      <c r="D699" t="s">
        <v>1536</v>
      </c>
      <c r="E699" t="s">
        <v>1537</v>
      </c>
      <c r="F699" t="s">
        <v>1484</v>
      </c>
      <c r="G699" t="s">
        <v>1485</v>
      </c>
    </row>
    <row r="700" spans="1:7" x14ac:dyDescent="0.2">
      <c r="A700" t="s">
        <v>2939</v>
      </c>
      <c r="B700" t="s">
        <v>1480</v>
      </c>
      <c r="C700" t="s">
        <v>2940</v>
      </c>
      <c r="D700" t="s">
        <v>1705</v>
      </c>
      <c r="E700" t="s">
        <v>1706</v>
      </c>
      <c r="F700" t="s">
        <v>1484</v>
      </c>
      <c r="G700" t="s">
        <v>1485</v>
      </c>
    </row>
    <row r="701" spans="1:7" x14ac:dyDescent="0.2">
      <c r="A701" t="s">
        <v>2941</v>
      </c>
      <c r="B701" t="s">
        <v>1480</v>
      </c>
      <c r="C701" t="s">
        <v>2942</v>
      </c>
      <c r="D701" t="s">
        <v>1482</v>
      </c>
      <c r="E701" t="s">
        <v>1483</v>
      </c>
      <c r="F701" t="s">
        <v>1484</v>
      </c>
      <c r="G701" t="s">
        <v>1485</v>
      </c>
    </row>
    <row r="702" spans="1:7" x14ac:dyDescent="0.2">
      <c r="A702" t="s">
        <v>2943</v>
      </c>
      <c r="B702" t="s">
        <v>1480</v>
      </c>
      <c r="C702" t="s">
        <v>2944</v>
      </c>
      <c r="D702" t="s">
        <v>1870</v>
      </c>
      <c r="E702" t="s">
        <v>1871</v>
      </c>
      <c r="F702" t="s">
        <v>1484</v>
      </c>
      <c r="G702" t="s">
        <v>1485</v>
      </c>
    </row>
    <row r="703" spans="1:7" x14ac:dyDescent="0.2">
      <c r="A703" t="s">
        <v>2945</v>
      </c>
      <c r="B703" t="s">
        <v>1480</v>
      </c>
      <c r="C703" t="s">
        <v>2946</v>
      </c>
      <c r="D703" t="s">
        <v>1506</v>
      </c>
      <c r="E703" t="s">
        <v>1507</v>
      </c>
      <c r="F703" t="s">
        <v>1484</v>
      </c>
      <c r="G703" t="s">
        <v>1485</v>
      </c>
    </row>
    <row r="704" spans="1:7" x14ac:dyDescent="0.2">
      <c r="A704" t="s">
        <v>2947</v>
      </c>
      <c r="B704" t="s">
        <v>1480</v>
      </c>
      <c r="C704" t="s">
        <v>2948</v>
      </c>
      <c r="D704" t="s">
        <v>1506</v>
      </c>
      <c r="E704" t="s">
        <v>1507</v>
      </c>
      <c r="F704" t="s">
        <v>1484</v>
      </c>
      <c r="G704" t="s">
        <v>1485</v>
      </c>
    </row>
    <row r="705" spans="1:7" x14ac:dyDescent="0.2">
      <c r="A705" t="s">
        <v>2949</v>
      </c>
      <c r="B705" t="s">
        <v>1480</v>
      </c>
      <c r="C705" t="s">
        <v>2950</v>
      </c>
      <c r="D705" t="s">
        <v>1705</v>
      </c>
      <c r="E705" t="s">
        <v>1706</v>
      </c>
      <c r="F705" t="s">
        <v>1484</v>
      </c>
      <c r="G705" t="s">
        <v>1485</v>
      </c>
    </row>
    <row r="706" spans="1:7" x14ac:dyDescent="0.2">
      <c r="A706" t="s">
        <v>2951</v>
      </c>
      <c r="B706" t="s">
        <v>1480</v>
      </c>
      <c r="C706" t="s">
        <v>2952</v>
      </c>
      <c r="D706" t="s">
        <v>1669</v>
      </c>
      <c r="E706" t="s">
        <v>1670</v>
      </c>
      <c r="F706" t="s">
        <v>1484</v>
      </c>
      <c r="G706" t="s">
        <v>1485</v>
      </c>
    </row>
    <row r="707" spans="1:7" x14ac:dyDescent="0.2">
      <c r="A707" t="s">
        <v>2953</v>
      </c>
      <c r="B707" t="s">
        <v>1480</v>
      </c>
      <c r="C707" t="s">
        <v>2954</v>
      </c>
      <c r="D707" t="s">
        <v>1735</v>
      </c>
      <c r="E707" t="s">
        <v>1736</v>
      </c>
      <c r="F707" t="s">
        <v>1484</v>
      </c>
      <c r="G707" t="s">
        <v>1485</v>
      </c>
    </row>
    <row r="708" spans="1:7" x14ac:dyDescent="0.2">
      <c r="A708" t="s">
        <v>2955</v>
      </c>
      <c r="B708" t="s">
        <v>1480</v>
      </c>
      <c r="C708" t="s">
        <v>2956</v>
      </c>
      <c r="D708" t="s">
        <v>1695</v>
      </c>
      <c r="E708" t="s">
        <v>1696</v>
      </c>
      <c r="F708" t="s">
        <v>1484</v>
      </c>
      <c r="G708" t="s">
        <v>1485</v>
      </c>
    </row>
    <row r="709" spans="1:7" x14ac:dyDescent="0.2">
      <c r="A709" t="s">
        <v>2957</v>
      </c>
      <c r="B709" t="s">
        <v>1480</v>
      </c>
      <c r="C709" t="s">
        <v>2958</v>
      </c>
      <c r="D709" t="s">
        <v>1705</v>
      </c>
      <c r="E709" t="s">
        <v>1706</v>
      </c>
      <c r="F709" t="s">
        <v>1484</v>
      </c>
      <c r="G709" t="s">
        <v>1485</v>
      </c>
    </row>
    <row r="710" spans="1:7" x14ac:dyDescent="0.2">
      <c r="A710" t="s">
        <v>2959</v>
      </c>
      <c r="B710" t="s">
        <v>1480</v>
      </c>
      <c r="C710" t="s">
        <v>2960</v>
      </c>
      <c r="D710" t="s">
        <v>1729</v>
      </c>
      <c r="E710" t="s">
        <v>1730</v>
      </c>
      <c r="F710" t="s">
        <v>1484</v>
      </c>
      <c r="G710" t="s">
        <v>1485</v>
      </c>
    </row>
    <row r="711" spans="1:7" x14ac:dyDescent="0.2">
      <c r="A711" t="s">
        <v>2961</v>
      </c>
      <c r="B711" t="s">
        <v>1480</v>
      </c>
      <c r="C711" t="s">
        <v>2962</v>
      </c>
      <c r="D711" t="s">
        <v>2069</v>
      </c>
      <c r="E711" t="s">
        <v>2070</v>
      </c>
      <c r="F711" t="s">
        <v>1484</v>
      </c>
      <c r="G711" t="s">
        <v>1485</v>
      </c>
    </row>
    <row r="712" spans="1:7" x14ac:dyDescent="0.2">
      <c r="A712" t="s">
        <v>2963</v>
      </c>
      <c r="B712" t="s">
        <v>1480</v>
      </c>
      <c r="C712" t="s">
        <v>2964</v>
      </c>
      <c r="D712" t="s">
        <v>1741</v>
      </c>
      <c r="E712" t="s">
        <v>1742</v>
      </c>
      <c r="F712" t="s">
        <v>1484</v>
      </c>
      <c r="G712" t="s">
        <v>1485</v>
      </c>
    </row>
    <row r="713" spans="1:7" x14ac:dyDescent="0.2">
      <c r="A713" t="s">
        <v>2965</v>
      </c>
      <c r="B713" t="s">
        <v>1480</v>
      </c>
      <c r="C713" t="s">
        <v>2966</v>
      </c>
      <c r="D713" t="s">
        <v>1870</v>
      </c>
      <c r="E713" t="s">
        <v>1871</v>
      </c>
      <c r="F713" t="s">
        <v>1484</v>
      </c>
      <c r="G713" t="s">
        <v>1485</v>
      </c>
    </row>
    <row r="714" spans="1:7" x14ac:dyDescent="0.2">
      <c r="A714" t="s">
        <v>2967</v>
      </c>
      <c r="B714" t="s">
        <v>1480</v>
      </c>
      <c r="C714" t="s">
        <v>2968</v>
      </c>
      <c r="D714" t="s">
        <v>1705</v>
      </c>
      <c r="E714" t="s">
        <v>1706</v>
      </c>
      <c r="F714" t="s">
        <v>1484</v>
      </c>
      <c r="G714" t="s">
        <v>1485</v>
      </c>
    </row>
    <row r="715" spans="1:7" x14ac:dyDescent="0.2">
      <c r="A715" t="s">
        <v>2969</v>
      </c>
      <c r="B715" t="s">
        <v>1480</v>
      </c>
      <c r="C715" t="s">
        <v>2970</v>
      </c>
      <c r="D715" t="s">
        <v>1506</v>
      </c>
      <c r="E715" t="s">
        <v>1507</v>
      </c>
      <c r="F715" t="s">
        <v>1484</v>
      </c>
      <c r="G715" t="s">
        <v>1485</v>
      </c>
    </row>
    <row r="716" spans="1:7" x14ac:dyDescent="0.2">
      <c r="A716" t="s">
        <v>2971</v>
      </c>
      <c r="B716" t="s">
        <v>1480</v>
      </c>
      <c r="C716" t="s">
        <v>2972</v>
      </c>
      <c r="D716" t="s">
        <v>1604</v>
      </c>
      <c r="E716" t="s">
        <v>1605</v>
      </c>
      <c r="F716" t="s">
        <v>1484</v>
      </c>
      <c r="G716" t="s">
        <v>1485</v>
      </c>
    </row>
    <row r="717" spans="1:7" x14ac:dyDescent="0.2">
      <c r="A717" t="s">
        <v>2973</v>
      </c>
      <c r="B717" t="s">
        <v>1480</v>
      </c>
      <c r="C717" t="s">
        <v>2974</v>
      </c>
      <c r="D717" t="s">
        <v>1604</v>
      </c>
      <c r="E717" t="s">
        <v>1605</v>
      </c>
      <c r="F717" t="s">
        <v>1484</v>
      </c>
      <c r="G717" t="s">
        <v>1485</v>
      </c>
    </row>
    <row r="718" spans="1:7" x14ac:dyDescent="0.2">
      <c r="A718" t="s">
        <v>2975</v>
      </c>
      <c r="B718" t="s">
        <v>1480</v>
      </c>
      <c r="C718" t="s">
        <v>2976</v>
      </c>
      <c r="D718" t="s">
        <v>1576</v>
      </c>
      <c r="E718" t="s">
        <v>1577</v>
      </c>
      <c r="F718" t="s">
        <v>1484</v>
      </c>
      <c r="G718" t="s">
        <v>1485</v>
      </c>
    </row>
    <row r="719" spans="1:7" x14ac:dyDescent="0.2">
      <c r="A719" t="s">
        <v>2977</v>
      </c>
      <c r="B719" t="s">
        <v>1480</v>
      </c>
      <c r="C719" t="s">
        <v>2978</v>
      </c>
      <c r="D719" t="s">
        <v>1488</v>
      </c>
      <c r="E719" t="s">
        <v>1489</v>
      </c>
      <c r="F719" t="s">
        <v>1484</v>
      </c>
      <c r="G719" t="s">
        <v>1485</v>
      </c>
    </row>
    <row r="720" spans="1:7" x14ac:dyDescent="0.2">
      <c r="A720" t="s">
        <v>2979</v>
      </c>
      <c r="B720" t="s">
        <v>1480</v>
      </c>
      <c r="C720" t="s">
        <v>2980</v>
      </c>
      <c r="D720" t="s">
        <v>1576</v>
      </c>
      <c r="E720" t="s">
        <v>1577</v>
      </c>
      <c r="F720" t="s">
        <v>1484</v>
      </c>
      <c r="G720" t="s">
        <v>1485</v>
      </c>
    </row>
    <row r="721" spans="1:7" x14ac:dyDescent="0.2">
      <c r="A721" t="s">
        <v>2981</v>
      </c>
      <c r="B721" t="s">
        <v>1480</v>
      </c>
      <c r="C721" t="s">
        <v>2982</v>
      </c>
      <c r="D721" t="s">
        <v>1576</v>
      </c>
      <c r="E721" t="s">
        <v>1577</v>
      </c>
      <c r="F721" t="s">
        <v>1484</v>
      </c>
      <c r="G721" t="s">
        <v>1485</v>
      </c>
    </row>
    <row r="722" spans="1:7" x14ac:dyDescent="0.2">
      <c r="A722" t="s">
        <v>2983</v>
      </c>
      <c r="B722" t="s">
        <v>1480</v>
      </c>
      <c r="C722" t="s">
        <v>2984</v>
      </c>
      <c r="D722" t="s">
        <v>1528</v>
      </c>
      <c r="E722" t="s">
        <v>1529</v>
      </c>
      <c r="F722" t="s">
        <v>1484</v>
      </c>
      <c r="G722" t="s">
        <v>1485</v>
      </c>
    </row>
    <row r="723" spans="1:7" x14ac:dyDescent="0.2">
      <c r="A723" t="s">
        <v>2985</v>
      </c>
      <c r="B723" t="s">
        <v>1480</v>
      </c>
      <c r="C723" t="s">
        <v>2986</v>
      </c>
      <c r="D723" t="s">
        <v>1540</v>
      </c>
      <c r="E723" t="s">
        <v>1541</v>
      </c>
      <c r="F723" t="s">
        <v>1484</v>
      </c>
      <c r="G723" t="s">
        <v>1485</v>
      </c>
    </row>
    <row r="724" spans="1:7" x14ac:dyDescent="0.2">
      <c r="A724" t="s">
        <v>2987</v>
      </c>
      <c r="B724" t="s">
        <v>1480</v>
      </c>
      <c r="C724" t="s">
        <v>2988</v>
      </c>
      <c r="D724" t="s">
        <v>1488</v>
      </c>
      <c r="E724" t="s">
        <v>1489</v>
      </c>
      <c r="F724" t="s">
        <v>1484</v>
      </c>
      <c r="G724" t="s">
        <v>1485</v>
      </c>
    </row>
    <row r="725" spans="1:7" x14ac:dyDescent="0.2">
      <c r="A725" t="s">
        <v>2989</v>
      </c>
      <c r="B725" t="s">
        <v>1480</v>
      </c>
      <c r="C725" t="s">
        <v>2990</v>
      </c>
      <c r="D725" t="s">
        <v>1669</v>
      </c>
      <c r="E725" t="s">
        <v>1670</v>
      </c>
      <c r="F725" t="s">
        <v>1484</v>
      </c>
      <c r="G725" t="s">
        <v>1485</v>
      </c>
    </row>
    <row r="726" spans="1:7" x14ac:dyDescent="0.2">
      <c r="A726" t="s">
        <v>2991</v>
      </c>
      <c r="B726" t="s">
        <v>1480</v>
      </c>
      <c r="C726" t="s">
        <v>2992</v>
      </c>
      <c r="D726" t="s">
        <v>1528</v>
      </c>
      <c r="E726" t="s">
        <v>1529</v>
      </c>
      <c r="F726" t="s">
        <v>1484</v>
      </c>
      <c r="G726" t="s">
        <v>1485</v>
      </c>
    </row>
    <row r="727" spans="1:7" x14ac:dyDescent="0.2">
      <c r="A727" t="s">
        <v>2993</v>
      </c>
      <c r="B727" t="s">
        <v>1480</v>
      </c>
      <c r="C727" t="s">
        <v>2994</v>
      </c>
      <c r="D727" t="s">
        <v>1528</v>
      </c>
      <c r="E727" t="s">
        <v>1529</v>
      </c>
      <c r="F727" t="s">
        <v>1484</v>
      </c>
      <c r="G727" t="s">
        <v>1485</v>
      </c>
    </row>
    <row r="728" spans="1:7" x14ac:dyDescent="0.2">
      <c r="A728" t="s">
        <v>2995</v>
      </c>
      <c r="B728" t="s">
        <v>1480</v>
      </c>
      <c r="C728" t="s">
        <v>2996</v>
      </c>
      <c r="D728" t="s">
        <v>1576</v>
      </c>
      <c r="E728" t="s">
        <v>1577</v>
      </c>
      <c r="F728" t="s">
        <v>1484</v>
      </c>
      <c r="G728" t="s">
        <v>1485</v>
      </c>
    </row>
    <row r="729" spans="1:7" x14ac:dyDescent="0.2">
      <c r="A729" t="s">
        <v>2997</v>
      </c>
      <c r="B729" t="s">
        <v>1480</v>
      </c>
      <c r="C729" t="s">
        <v>2998</v>
      </c>
      <c r="D729" t="s">
        <v>1528</v>
      </c>
      <c r="E729" t="s">
        <v>1529</v>
      </c>
      <c r="F729" t="s">
        <v>1484</v>
      </c>
      <c r="G729" t="s">
        <v>1485</v>
      </c>
    </row>
    <row r="730" spans="1:7" x14ac:dyDescent="0.2">
      <c r="A730" t="s">
        <v>2999</v>
      </c>
      <c r="B730" t="s">
        <v>1480</v>
      </c>
      <c r="C730" t="s">
        <v>3000</v>
      </c>
      <c r="D730" t="s">
        <v>1528</v>
      </c>
      <c r="E730" t="s">
        <v>1529</v>
      </c>
      <c r="F730" t="s">
        <v>1484</v>
      </c>
      <c r="G730" t="s">
        <v>1485</v>
      </c>
    </row>
    <row r="731" spans="1:7" x14ac:dyDescent="0.2">
      <c r="A731" t="s">
        <v>3001</v>
      </c>
      <c r="B731" t="s">
        <v>1480</v>
      </c>
      <c r="C731" t="s">
        <v>3002</v>
      </c>
      <c r="D731" t="s">
        <v>1528</v>
      </c>
      <c r="E731" t="s">
        <v>1529</v>
      </c>
      <c r="F731" t="s">
        <v>1484</v>
      </c>
      <c r="G731" t="s">
        <v>1485</v>
      </c>
    </row>
    <row r="732" spans="1:7" x14ac:dyDescent="0.2">
      <c r="A732" t="s">
        <v>3003</v>
      </c>
      <c r="B732" t="s">
        <v>1480</v>
      </c>
      <c r="C732" t="s">
        <v>3004</v>
      </c>
      <c r="D732" t="s">
        <v>1705</v>
      </c>
      <c r="E732" t="s">
        <v>1706</v>
      </c>
      <c r="F732" t="s">
        <v>1484</v>
      </c>
      <c r="G732" t="s">
        <v>1485</v>
      </c>
    </row>
    <row r="733" spans="1:7" x14ac:dyDescent="0.2">
      <c r="A733" t="s">
        <v>3005</v>
      </c>
      <c r="B733" t="s">
        <v>1480</v>
      </c>
      <c r="C733" t="s">
        <v>3006</v>
      </c>
      <c r="D733" t="s">
        <v>1568</v>
      </c>
      <c r="E733" t="s">
        <v>1569</v>
      </c>
      <c r="F733" t="s">
        <v>1484</v>
      </c>
      <c r="G733" t="s">
        <v>1485</v>
      </c>
    </row>
    <row r="734" spans="1:7" x14ac:dyDescent="0.2">
      <c r="A734" t="s">
        <v>3007</v>
      </c>
      <c r="B734" t="s">
        <v>1480</v>
      </c>
      <c r="C734" t="s">
        <v>3008</v>
      </c>
      <c r="D734" t="s">
        <v>1488</v>
      </c>
      <c r="E734" t="s">
        <v>1489</v>
      </c>
      <c r="F734" t="s">
        <v>1484</v>
      </c>
      <c r="G734" t="s">
        <v>1485</v>
      </c>
    </row>
    <row r="735" spans="1:7" x14ac:dyDescent="0.2">
      <c r="A735" t="s">
        <v>3009</v>
      </c>
      <c r="B735" t="s">
        <v>1480</v>
      </c>
      <c r="C735" t="s">
        <v>3010</v>
      </c>
      <c r="D735" t="s">
        <v>1488</v>
      </c>
      <c r="E735" t="s">
        <v>1489</v>
      </c>
      <c r="F735" t="s">
        <v>1484</v>
      </c>
      <c r="G735" t="s">
        <v>1485</v>
      </c>
    </row>
    <row r="736" spans="1:7" x14ac:dyDescent="0.2">
      <c r="A736" t="s">
        <v>3011</v>
      </c>
      <c r="B736" t="s">
        <v>1480</v>
      </c>
      <c r="C736" t="s">
        <v>3012</v>
      </c>
      <c r="D736" t="s">
        <v>1669</v>
      </c>
      <c r="E736" t="s">
        <v>1670</v>
      </c>
      <c r="F736" t="s">
        <v>1484</v>
      </c>
      <c r="G736" t="s">
        <v>1485</v>
      </c>
    </row>
    <row r="737" spans="1:7" x14ac:dyDescent="0.2">
      <c r="A737" t="s">
        <v>3013</v>
      </c>
      <c r="B737" t="s">
        <v>1480</v>
      </c>
      <c r="C737" t="s">
        <v>3014</v>
      </c>
      <c r="D737" t="s">
        <v>1482</v>
      </c>
      <c r="E737" t="s">
        <v>1483</v>
      </c>
      <c r="F737" t="s">
        <v>1484</v>
      </c>
      <c r="G737" t="s">
        <v>1485</v>
      </c>
    </row>
    <row r="738" spans="1:7" x14ac:dyDescent="0.2">
      <c r="A738" t="s">
        <v>3015</v>
      </c>
      <c r="B738" t="s">
        <v>1480</v>
      </c>
      <c r="C738" t="s">
        <v>3016</v>
      </c>
      <c r="D738" t="s">
        <v>1576</v>
      </c>
      <c r="E738" t="s">
        <v>1577</v>
      </c>
      <c r="F738" t="s">
        <v>1484</v>
      </c>
      <c r="G738" t="s">
        <v>1485</v>
      </c>
    </row>
    <row r="739" spans="1:7" x14ac:dyDescent="0.2">
      <c r="A739" t="s">
        <v>3017</v>
      </c>
      <c r="B739" t="s">
        <v>1480</v>
      </c>
      <c r="C739" t="s">
        <v>3018</v>
      </c>
      <c r="D739" t="s">
        <v>1488</v>
      </c>
      <c r="E739" t="s">
        <v>1489</v>
      </c>
      <c r="F739" t="s">
        <v>1484</v>
      </c>
      <c r="G739" t="s">
        <v>1485</v>
      </c>
    </row>
    <row r="740" spans="1:7" x14ac:dyDescent="0.2">
      <c r="A740" t="s">
        <v>3019</v>
      </c>
      <c r="B740" t="s">
        <v>1480</v>
      </c>
      <c r="C740" t="s">
        <v>3020</v>
      </c>
      <c r="D740" t="s">
        <v>1604</v>
      </c>
      <c r="E740" t="s">
        <v>1605</v>
      </c>
      <c r="F740" t="s">
        <v>1484</v>
      </c>
      <c r="G740" t="s">
        <v>1485</v>
      </c>
    </row>
    <row r="741" spans="1:7" x14ac:dyDescent="0.2">
      <c r="A741" t="s">
        <v>3021</v>
      </c>
      <c r="B741" t="s">
        <v>1480</v>
      </c>
      <c r="C741" t="s">
        <v>3022</v>
      </c>
      <c r="D741" t="s">
        <v>1669</v>
      </c>
      <c r="E741" t="s">
        <v>1670</v>
      </c>
      <c r="F741" t="s">
        <v>1484</v>
      </c>
      <c r="G741" t="s">
        <v>1485</v>
      </c>
    </row>
    <row r="742" spans="1:7" x14ac:dyDescent="0.2">
      <c r="A742" t="s">
        <v>3023</v>
      </c>
      <c r="B742" t="s">
        <v>1480</v>
      </c>
      <c r="C742" t="s">
        <v>3024</v>
      </c>
      <c r="D742" t="s">
        <v>1506</v>
      </c>
      <c r="E742" t="s">
        <v>1507</v>
      </c>
      <c r="F742" t="s">
        <v>1484</v>
      </c>
      <c r="G742" t="s">
        <v>1485</v>
      </c>
    </row>
    <row r="743" spans="1:7" x14ac:dyDescent="0.2">
      <c r="A743" t="s">
        <v>3025</v>
      </c>
      <c r="B743" t="s">
        <v>1480</v>
      </c>
      <c r="C743" t="s">
        <v>3026</v>
      </c>
      <c r="D743" t="s">
        <v>2069</v>
      </c>
      <c r="E743" t="s">
        <v>2070</v>
      </c>
      <c r="F743" t="s">
        <v>1484</v>
      </c>
      <c r="G743" t="s">
        <v>1485</v>
      </c>
    </row>
    <row r="744" spans="1:7" x14ac:dyDescent="0.2">
      <c r="A744" t="s">
        <v>3027</v>
      </c>
      <c r="B744" t="s">
        <v>1480</v>
      </c>
      <c r="C744" t="s">
        <v>3028</v>
      </c>
      <c r="D744" t="s">
        <v>1705</v>
      </c>
      <c r="E744" t="s">
        <v>1706</v>
      </c>
      <c r="F744" t="s">
        <v>1484</v>
      </c>
      <c r="G744" t="s">
        <v>1485</v>
      </c>
    </row>
    <row r="745" spans="1:7" x14ac:dyDescent="0.2">
      <c r="A745" t="s">
        <v>3029</v>
      </c>
      <c r="B745" t="s">
        <v>1480</v>
      </c>
      <c r="C745" t="s">
        <v>3030</v>
      </c>
      <c r="D745" t="s">
        <v>1729</v>
      </c>
      <c r="E745" t="s">
        <v>1730</v>
      </c>
      <c r="F745" t="s">
        <v>1484</v>
      </c>
      <c r="G745" t="s">
        <v>1485</v>
      </c>
    </row>
    <row r="746" spans="1:7" x14ac:dyDescent="0.2">
      <c r="A746" t="s">
        <v>3031</v>
      </c>
      <c r="B746" t="s">
        <v>1480</v>
      </c>
      <c r="C746" t="s">
        <v>3032</v>
      </c>
      <c r="D746" t="s">
        <v>1576</v>
      </c>
      <c r="E746" t="s">
        <v>1577</v>
      </c>
      <c r="F746" t="s">
        <v>1484</v>
      </c>
      <c r="G746" t="s">
        <v>1485</v>
      </c>
    </row>
    <row r="747" spans="1:7" x14ac:dyDescent="0.2">
      <c r="A747" t="s">
        <v>3033</v>
      </c>
      <c r="B747" t="s">
        <v>1480</v>
      </c>
      <c r="C747" t="s">
        <v>3034</v>
      </c>
      <c r="D747" t="s">
        <v>1576</v>
      </c>
      <c r="E747" t="s">
        <v>1577</v>
      </c>
      <c r="F747" t="s">
        <v>1484</v>
      </c>
      <c r="G747" t="s">
        <v>1485</v>
      </c>
    </row>
    <row r="748" spans="1:7" x14ac:dyDescent="0.2">
      <c r="A748" t="s">
        <v>3035</v>
      </c>
      <c r="B748" t="s">
        <v>1480</v>
      </c>
      <c r="C748" t="s">
        <v>3036</v>
      </c>
      <c r="D748" t="s">
        <v>1576</v>
      </c>
      <c r="E748" t="s">
        <v>1577</v>
      </c>
      <c r="F748" t="s">
        <v>1484</v>
      </c>
      <c r="G748" t="s">
        <v>1485</v>
      </c>
    </row>
    <row r="749" spans="1:7" x14ac:dyDescent="0.2">
      <c r="A749" t="s">
        <v>3037</v>
      </c>
      <c r="B749" t="s">
        <v>1480</v>
      </c>
      <c r="C749" t="s">
        <v>3038</v>
      </c>
      <c r="D749" t="s">
        <v>1725</v>
      </c>
      <c r="E749" t="s">
        <v>1726</v>
      </c>
      <c r="F749" t="s">
        <v>1484</v>
      </c>
      <c r="G749" t="s">
        <v>1485</v>
      </c>
    </row>
    <row r="750" spans="1:7" x14ac:dyDescent="0.2">
      <c r="A750" t="s">
        <v>3039</v>
      </c>
      <c r="B750" t="s">
        <v>1480</v>
      </c>
      <c r="C750" t="s">
        <v>3040</v>
      </c>
      <c r="D750" t="s">
        <v>1711</v>
      </c>
      <c r="E750" t="s">
        <v>1712</v>
      </c>
      <c r="F750" t="s">
        <v>1484</v>
      </c>
      <c r="G750" t="s">
        <v>1485</v>
      </c>
    </row>
    <row r="751" spans="1:7" x14ac:dyDescent="0.2">
      <c r="A751" t="s">
        <v>3041</v>
      </c>
      <c r="B751" t="s">
        <v>1480</v>
      </c>
      <c r="C751" t="s">
        <v>3042</v>
      </c>
      <c r="D751" t="s">
        <v>1705</v>
      </c>
      <c r="E751" t="s">
        <v>1706</v>
      </c>
      <c r="F751" t="s">
        <v>1484</v>
      </c>
      <c r="G751" t="s">
        <v>1485</v>
      </c>
    </row>
    <row r="752" spans="1:7" x14ac:dyDescent="0.2">
      <c r="A752" t="s">
        <v>3043</v>
      </c>
      <c r="B752" t="s">
        <v>1480</v>
      </c>
      <c r="C752" t="s">
        <v>3044</v>
      </c>
      <c r="D752" t="s">
        <v>1482</v>
      </c>
      <c r="E752" t="s">
        <v>1483</v>
      </c>
      <c r="F752" t="s">
        <v>1484</v>
      </c>
      <c r="G752" t="s">
        <v>1485</v>
      </c>
    </row>
    <row r="753" spans="1:7" x14ac:dyDescent="0.2">
      <c r="A753" t="s">
        <v>3045</v>
      </c>
      <c r="B753" t="s">
        <v>1480</v>
      </c>
      <c r="C753" t="s">
        <v>3046</v>
      </c>
      <c r="D753" t="s">
        <v>1506</v>
      </c>
      <c r="E753" t="s">
        <v>1507</v>
      </c>
      <c r="F753" t="s">
        <v>1484</v>
      </c>
      <c r="G753" t="s">
        <v>1485</v>
      </c>
    </row>
    <row r="754" spans="1:7" x14ac:dyDescent="0.2">
      <c r="A754" t="s">
        <v>3047</v>
      </c>
      <c r="B754" t="s">
        <v>1480</v>
      </c>
      <c r="C754" t="s">
        <v>3048</v>
      </c>
      <c r="D754" t="s">
        <v>1876</v>
      </c>
      <c r="E754" t="s">
        <v>1877</v>
      </c>
      <c r="F754" t="s">
        <v>1484</v>
      </c>
      <c r="G754" t="s">
        <v>1485</v>
      </c>
    </row>
    <row r="755" spans="1:7" x14ac:dyDescent="0.2">
      <c r="A755" t="s">
        <v>3049</v>
      </c>
      <c r="B755" t="s">
        <v>1480</v>
      </c>
      <c r="C755" t="s">
        <v>3050</v>
      </c>
      <c r="D755" t="s">
        <v>1506</v>
      </c>
      <c r="E755" t="s">
        <v>1507</v>
      </c>
      <c r="F755" t="s">
        <v>1484</v>
      </c>
      <c r="G755" t="s">
        <v>1485</v>
      </c>
    </row>
    <row r="756" spans="1:7" x14ac:dyDescent="0.2">
      <c r="A756" t="s">
        <v>3051</v>
      </c>
      <c r="B756" t="s">
        <v>1480</v>
      </c>
      <c r="C756" t="s">
        <v>3052</v>
      </c>
      <c r="D756" t="s">
        <v>1494</v>
      </c>
      <c r="E756" t="s">
        <v>1495</v>
      </c>
      <c r="F756" t="s">
        <v>1484</v>
      </c>
      <c r="G756" t="s">
        <v>1485</v>
      </c>
    </row>
    <row r="757" spans="1:7" x14ac:dyDescent="0.2">
      <c r="A757" t="s">
        <v>3053</v>
      </c>
      <c r="B757" t="s">
        <v>1480</v>
      </c>
      <c r="C757" t="s">
        <v>3054</v>
      </c>
      <c r="D757" t="s">
        <v>1494</v>
      </c>
      <c r="E757" t="s">
        <v>1495</v>
      </c>
      <c r="F757" t="s">
        <v>1484</v>
      </c>
      <c r="G757" t="s">
        <v>1485</v>
      </c>
    </row>
    <row r="758" spans="1:7" x14ac:dyDescent="0.2">
      <c r="A758" t="s">
        <v>3055</v>
      </c>
      <c r="B758" t="s">
        <v>1480</v>
      </c>
      <c r="C758" t="s">
        <v>3056</v>
      </c>
      <c r="D758" t="s">
        <v>1554</v>
      </c>
      <c r="E758" t="s">
        <v>1555</v>
      </c>
      <c r="F758" t="s">
        <v>1484</v>
      </c>
      <c r="G758" t="s">
        <v>1485</v>
      </c>
    </row>
    <row r="759" spans="1:7" x14ac:dyDescent="0.2">
      <c r="A759" t="s">
        <v>3057</v>
      </c>
      <c r="B759" t="s">
        <v>1480</v>
      </c>
      <c r="C759" t="s">
        <v>3058</v>
      </c>
      <c r="D759" t="s">
        <v>1554</v>
      </c>
      <c r="E759" t="s">
        <v>1555</v>
      </c>
      <c r="F759" t="s">
        <v>1484</v>
      </c>
      <c r="G759" t="s">
        <v>1485</v>
      </c>
    </row>
    <row r="760" spans="1:7" x14ac:dyDescent="0.2">
      <c r="A760" t="s">
        <v>3059</v>
      </c>
      <c r="B760" t="s">
        <v>1480</v>
      </c>
      <c r="C760" t="s">
        <v>3060</v>
      </c>
      <c r="D760" t="s">
        <v>1896</v>
      </c>
      <c r="E760" t="s">
        <v>1898</v>
      </c>
      <c r="F760" t="s">
        <v>1484</v>
      </c>
      <c r="G760" t="s">
        <v>1485</v>
      </c>
    </row>
    <row r="761" spans="1:7" x14ac:dyDescent="0.2">
      <c r="A761" t="s">
        <v>3061</v>
      </c>
      <c r="B761" t="s">
        <v>1480</v>
      </c>
      <c r="C761" t="s">
        <v>3062</v>
      </c>
      <c r="D761" t="s">
        <v>1695</v>
      </c>
      <c r="E761" t="s">
        <v>1696</v>
      </c>
      <c r="F761" t="s">
        <v>1484</v>
      </c>
      <c r="G761" t="s">
        <v>1485</v>
      </c>
    </row>
    <row r="762" spans="1:7" x14ac:dyDescent="0.2">
      <c r="A762" t="s">
        <v>3063</v>
      </c>
      <c r="B762" t="s">
        <v>1480</v>
      </c>
      <c r="C762" t="s">
        <v>3064</v>
      </c>
      <c r="D762" t="s">
        <v>1725</v>
      </c>
      <c r="E762" t="s">
        <v>1726</v>
      </c>
      <c r="F762" t="s">
        <v>1484</v>
      </c>
      <c r="G762" t="s">
        <v>1485</v>
      </c>
    </row>
    <row r="763" spans="1:7" x14ac:dyDescent="0.2">
      <c r="A763" t="s">
        <v>3065</v>
      </c>
      <c r="B763" t="s">
        <v>1480</v>
      </c>
      <c r="C763" t="s">
        <v>3066</v>
      </c>
      <c r="D763" t="s">
        <v>2026</v>
      </c>
      <c r="E763" t="s">
        <v>2027</v>
      </c>
      <c r="F763" t="s">
        <v>1484</v>
      </c>
      <c r="G763" t="s">
        <v>1485</v>
      </c>
    </row>
    <row r="764" spans="1:7" x14ac:dyDescent="0.2">
      <c r="A764" t="s">
        <v>3067</v>
      </c>
      <c r="B764" t="s">
        <v>1480</v>
      </c>
      <c r="C764" t="s">
        <v>3068</v>
      </c>
      <c r="D764" t="s">
        <v>1741</v>
      </c>
      <c r="E764" t="s">
        <v>1742</v>
      </c>
      <c r="F764" t="s">
        <v>1484</v>
      </c>
      <c r="G764" t="s">
        <v>1485</v>
      </c>
    </row>
    <row r="765" spans="1:7" x14ac:dyDescent="0.2">
      <c r="A765" t="s">
        <v>3069</v>
      </c>
      <c r="B765" t="s">
        <v>1480</v>
      </c>
      <c r="C765" t="s">
        <v>3070</v>
      </c>
      <c r="D765" t="s">
        <v>1741</v>
      </c>
      <c r="E765" t="s">
        <v>1742</v>
      </c>
      <c r="F765" t="s">
        <v>1484</v>
      </c>
      <c r="G765" t="s">
        <v>1485</v>
      </c>
    </row>
    <row r="766" spans="1:7" x14ac:dyDescent="0.2">
      <c r="A766" t="s">
        <v>3071</v>
      </c>
      <c r="B766" t="s">
        <v>1480</v>
      </c>
      <c r="C766" t="s">
        <v>3072</v>
      </c>
      <c r="D766" t="s">
        <v>1482</v>
      </c>
      <c r="E766" t="s">
        <v>1483</v>
      </c>
      <c r="F766" t="s">
        <v>1484</v>
      </c>
      <c r="G766" t="s">
        <v>1485</v>
      </c>
    </row>
    <row r="767" spans="1:7" x14ac:dyDescent="0.2">
      <c r="A767" t="s">
        <v>3073</v>
      </c>
      <c r="B767" t="s">
        <v>1480</v>
      </c>
      <c r="C767" t="s">
        <v>3074</v>
      </c>
      <c r="D767" t="s">
        <v>1735</v>
      </c>
      <c r="E767" t="s">
        <v>1736</v>
      </c>
      <c r="F767" t="s">
        <v>1484</v>
      </c>
      <c r="G767" t="s">
        <v>1485</v>
      </c>
    </row>
    <row r="768" spans="1:7" x14ac:dyDescent="0.2">
      <c r="A768" t="s">
        <v>3075</v>
      </c>
      <c r="B768" t="s">
        <v>1480</v>
      </c>
      <c r="C768" t="s">
        <v>3076</v>
      </c>
      <c r="D768" t="s">
        <v>1735</v>
      </c>
      <c r="E768" t="s">
        <v>1736</v>
      </c>
      <c r="F768" t="s">
        <v>1484</v>
      </c>
      <c r="G768" t="s">
        <v>1485</v>
      </c>
    </row>
    <row r="769" spans="1:7" x14ac:dyDescent="0.2">
      <c r="A769" t="s">
        <v>3077</v>
      </c>
      <c r="B769" t="s">
        <v>1480</v>
      </c>
      <c r="C769" t="s">
        <v>3078</v>
      </c>
      <c r="D769" t="s">
        <v>1729</v>
      </c>
      <c r="E769" t="s">
        <v>1730</v>
      </c>
      <c r="F769" t="s">
        <v>1484</v>
      </c>
      <c r="G769" t="s">
        <v>1485</v>
      </c>
    </row>
    <row r="770" spans="1:7" x14ac:dyDescent="0.2">
      <c r="A770" t="s">
        <v>3079</v>
      </c>
      <c r="B770" t="s">
        <v>1480</v>
      </c>
      <c r="C770" t="s">
        <v>3080</v>
      </c>
      <c r="D770" t="s">
        <v>1691</v>
      </c>
      <c r="E770" t="s">
        <v>1692</v>
      </c>
      <c r="F770" t="s">
        <v>1484</v>
      </c>
      <c r="G770" t="s">
        <v>1485</v>
      </c>
    </row>
    <row r="771" spans="1:7" x14ac:dyDescent="0.2">
      <c r="A771" t="s">
        <v>3081</v>
      </c>
      <c r="B771" t="s">
        <v>1480</v>
      </c>
      <c r="C771" t="s">
        <v>3082</v>
      </c>
      <c r="D771" t="s">
        <v>1572</v>
      </c>
      <c r="E771" t="s">
        <v>1573</v>
      </c>
      <c r="F771" t="s">
        <v>1484</v>
      </c>
      <c r="G771" t="s">
        <v>1485</v>
      </c>
    </row>
    <row r="772" spans="1:7" x14ac:dyDescent="0.2">
      <c r="A772" t="s">
        <v>3083</v>
      </c>
      <c r="B772" t="s">
        <v>1480</v>
      </c>
      <c r="C772" t="s">
        <v>3084</v>
      </c>
      <c r="D772" t="s">
        <v>1572</v>
      </c>
      <c r="E772" t="s">
        <v>1573</v>
      </c>
      <c r="F772" t="s">
        <v>1484</v>
      </c>
      <c r="G772" t="s">
        <v>1485</v>
      </c>
    </row>
    <row r="773" spans="1:7" x14ac:dyDescent="0.2">
      <c r="A773" t="s">
        <v>3085</v>
      </c>
      <c r="B773" t="s">
        <v>1480</v>
      </c>
      <c r="C773" t="s">
        <v>3086</v>
      </c>
      <c r="D773" t="s">
        <v>1482</v>
      </c>
      <c r="E773" t="s">
        <v>1483</v>
      </c>
      <c r="F773" t="s">
        <v>1484</v>
      </c>
      <c r="G773" t="s">
        <v>1485</v>
      </c>
    </row>
    <row r="774" spans="1:7" x14ac:dyDescent="0.2">
      <c r="A774" t="s">
        <v>3087</v>
      </c>
      <c r="B774" t="s">
        <v>1480</v>
      </c>
      <c r="C774" t="s">
        <v>3088</v>
      </c>
      <c r="D774" t="s">
        <v>1870</v>
      </c>
      <c r="E774" t="s">
        <v>1871</v>
      </c>
      <c r="F774" t="s">
        <v>1484</v>
      </c>
      <c r="G774" t="s">
        <v>1485</v>
      </c>
    </row>
    <row r="775" spans="1:7" x14ac:dyDescent="0.2">
      <c r="A775" t="s">
        <v>3089</v>
      </c>
      <c r="B775" t="s">
        <v>1480</v>
      </c>
      <c r="C775" t="s">
        <v>3090</v>
      </c>
      <c r="D775" t="s">
        <v>1725</v>
      </c>
      <c r="E775" t="s">
        <v>1726</v>
      </c>
      <c r="F775" t="s">
        <v>1484</v>
      </c>
      <c r="G775" t="s">
        <v>1485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2023-09-05T12:37:34Z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2023-09-05T12:37:19Z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318e4b15-c66c-4b4d-8bff-6b897f50f496</vt:lpwstr>
  </property>
  <property fmtid="{D5CDD505-2E9C-101B-9397-08002B2CF9AE}" pid="8" name="MSIP_Label_46ec50b2-b191-4ad7-ba82-7deb0436e358_ContentBits">
    <vt:lpwstr>0</vt:lpwstr>
  </property>
</Properties>
</file>