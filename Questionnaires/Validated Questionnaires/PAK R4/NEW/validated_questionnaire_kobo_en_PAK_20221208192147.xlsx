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mc:AlternateContent xmlns:mc="http://schemas.openxmlformats.org/markup-compatibility/2006">
    <mc:Choice Requires="x15">
      <x15ac:absPath xmlns:x15ac="http://schemas.microsoft.com/office/spreadsheetml/2010/11/ac" url="/Users/ibrahim.aliahmad/Documents/FAO/Working Files/Questionnaire Validation/Script/questionnaire_validation/NEW Questionnaire/Questionnaires/Validated Questionnaires/PAK R4/NEW/"/>
    </mc:Choice>
  </mc:AlternateContent>
  <xr:revisionPtr revIDLastSave="0" documentId="13_ncr:1_{95C0F8EE-EC8A-8E4B-9F71-BF3A8CE38DF8}" xr6:coauthVersionLast="47" xr6:coauthVersionMax="47" xr10:uidLastSave="{00000000-0000-0000-0000-000000000000}"/>
  <bookViews>
    <workbookView xWindow="0" yWindow="0" windowWidth="38400" windowHeight="21600" activeTab="1" xr2:uid="{00000000-000D-0000-FFFF-FFFF00000000}"/>
  </bookViews>
  <sheets>
    <sheet name="survey" sheetId="1" r:id="rId1"/>
    <sheet name="choices" sheetId="2" r:id="rId2"/>
    <sheet name="settings" sheetId="3" r:id="rId3"/>
    <sheet name="Crop list" sheetId="4" state="hidden" r:id="rId4"/>
    <sheet name="Additional information"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73" i="2" l="1"/>
  <c r="B771" i="2"/>
  <c r="B766" i="2"/>
  <c r="B764" i="2"/>
  <c r="B754" i="2"/>
  <c r="B755" i="2" s="1"/>
  <c r="B756" i="2" s="1"/>
  <c r="B757" i="2" s="1"/>
  <c r="B758" i="2" s="1"/>
  <c r="B759" i="2" s="1"/>
  <c r="B760" i="2" s="1"/>
  <c r="B761" i="2" s="1"/>
  <c r="V396" i="1"/>
  <c r="V393" i="1"/>
  <c r="U393" i="1"/>
  <c r="V392" i="1"/>
  <c r="U392" i="1"/>
  <c r="V391" i="1"/>
  <c r="U391" i="1"/>
  <c r="V390" i="1"/>
  <c r="U390" i="1"/>
  <c r="V389" i="1"/>
  <c r="U389" i="1"/>
  <c r="V388" i="1"/>
  <c r="U388" i="1"/>
  <c r="V387" i="1"/>
  <c r="U387" i="1"/>
  <c r="V386" i="1"/>
  <c r="U386" i="1"/>
  <c r="V385" i="1"/>
  <c r="U385" i="1"/>
  <c r="V384" i="1"/>
  <c r="U384" i="1"/>
  <c r="V383" i="1"/>
  <c r="U383" i="1"/>
  <c r="V382" i="1"/>
  <c r="U382" i="1"/>
  <c r="V381" i="1"/>
  <c r="U381" i="1"/>
  <c r="V380" i="1"/>
  <c r="U380" i="1"/>
  <c r="V379" i="1"/>
  <c r="U379" i="1"/>
  <c r="V376" i="1"/>
  <c r="U376" i="1"/>
  <c r="V375" i="1"/>
  <c r="U375" i="1"/>
  <c r="V374" i="1"/>
  <c r="U374" i="1"/>
  <c r="V373" i="1"/>
  <c r="U373" i="1"/>
  <c r="V372" i="1"/>
  <c r="U372" i="1"/>
  <c r="V371" i="1"/>
  <c r="U371" i="1"/>
  <c r="V370" i="1"/>
  <c r="U370" i="1"/>
  <c r="V369" i="1"/>
  <c r="U369" i="1"/>
  <c r="V368" i="1"/>
  <c r="U368" i="1"/>
  <c r="V367" i="1"/>
  <c r="U367" i="1"/>
  <c r="V352" i="1"/>
  <c r="V351" i="1"/>
  <c r="V350" i="1"/>
  <c r="V339" i="1"/>
  <c r="U339" i="1"/>
  <c r="V338" i="1"/>
  <c r="U338" i="1"/>
  <c r="V335" i="1"/>
  <c r="U335" i="1"/>
  <c r="V334" i="1"/>
  <c r="U334" i="1"/>
  <c r="V333" i="1"/>
  <c r="U333" i="1"/>
  <c r="V332" i="1"/>
  <c r="U332" i="1"/>
  <c r="V331" i="1"/>
  <c r="U331" i="1"/>
  <c r="V330" i="1"/>
  <c r="U330" i="1"/>
  <c r="V329" i="1"/>
  <c r="U329" i="1"/>
  <c r="V327" i="1"/>
  <c r="U327" i="1"/>
  <c r="V326" i="1"/>
  <c r="U326" i="1"/>
  <c r="V325" i="1"/>
  <c r="U325" i="1"/>
  <c r="V324" i="1"/>
  <c r="U324" i="1"/>
  <c r="V323" i="1"/>
  <c r="U323" i="1"/>
  <c r="V321" i="1"/>
  <c r="U321" i="1"/>
  <c r="V319" i="1"/>
  <c r="U319" i="1"/>
  <c r="V317" i="1"/>
  <c r="U317" i="1"/>
  <c r="V315" i="1"/>
  <c r="U315" i="1"/>
  <c r="V313" i="1"/>
  <c r="U313" i="1"/>
  <c r="V311" i="1"/>
  <c r="U311" i="1"/>
  <c r="V309" i="1"/>
  <c r="U309" i="1"/>
  <c r="V307" i="1"/>
  <c r="U307" i="1"/>
  <c r="V305" i="1"/>
  <c r="U305" i="1"/>
  <c r="V303" i="1"/>
  <c r="U303" i="1"/>
  <c r="V302" i="1"/>
  <c r="U302" i="1"/>
  <c r="V301" i="1"/>
  <c r="U301" i="1"/>
  <c r="V300" i="1"/>
  <c r="U300" i="1"/>
  <c r="V299" i="1"/>
  <c r="U299" i="1"/>
  <c r="V298" i="1"/>
  <c r="U298" i="1"/>
  <c r="V297" i="1"/>
  <c r="U297" i="1"/>
  <c r="V296" i="1"/>
  <c r="U296" i="1"/>
  <c r="V295" i="1"/>
  <c r="U295" i="1"/>
  <c r="V294" i="1"/>
  <c r="U294" i="1"/>
  <c r="V293" i="1"/>
  <c r="U293" i="1"/>
  <c r="V292" i="1"/>
  <c r="U292" i="1"/>
  <c r="V291" i="1"/>
  <c r="U291" i="1"/>
  <c r="V290" i="1"/>
  <c r="U290" i="1"/>
  <c r="V289" i="1"/>
  <c r="U289" i="1"/>
  <c r="V288" i="1"/>
  <c r="U288" i="1"/>
  <c r="V287" i="1"/>
  <c r="U287" i="1"/>
  <c r="V286" i="1"/>
  <c r="U286" i="1"/>
  <c r="V285" i="1"/>
  <c r="U285" i="1"/>
  <c r="V284" i="1"/>
  <c r="U284" i="1"/>
  <c r="V283" i="1"/>
  <c r="U283" i="1"/>
  <c r="V282" i="1"/>
  <c r="U282" i="1"/>
  <c r="V271" i="1"/>
  <c r="U271" i="1"/>
  <c r="T271" i="1"/>
  <c r="T244" i="1"/>
  <c r="V244" i="1" s="1"/>
  <c r="V243" i="1"/>
  <c r="U243" i="1"/>
  <c r="T243" i="1"/>
  <c r="V242" i="1"/>
  <c r="U242" i="1"/>
  <c r="T242" i="1"/>
  <c r="T241" i="1"/>
  <c r="V241" i="1" s="1"/>
  <c r="V240" i="1"/>
  <c r="T240" i="1"/>
  <c r="U240" i="1" s="1"/>
  <c r="V239" i="1"/>
  <c r="U239" i="1"/>
  <c r="T239" i="1"/>
  <c r="V238" i="1"/>
  <c r="U238" i="1"/>
  <c r="T238" i="1"/>
  <c r="V237" i="1"/>
  <c r="U237" i="1"/>
  <c r="T237" i="1"/>
  <c r="U236" i="1"/>
  <c r="T236" i="1"/>
  <c r="V236" i="1" s="1"/>
  <c r="V235" i="1"/>
  <c r="U235" i="1"/>
  <c r="T235" i="1"/>
  <c r="V234" i="1"/>
  <c r="U234" i="1"/>
  <c r="V233" i="1"/>
  <c r="U233" i="1"/>
  <c r="V231" i="1"/>
  <c r="U231" i="1"/>
  <c r="T231" i="1"/>
  <c r="V230" i="1"/>
  <c r="T230" i="1"/>
  <c r="U230" i="1" s="1"/>
  <c r="V228" i="1"/>
  <c r="U228" i="1"/>
  <c r="T228" i="1"/>
  <c r="V227" i="1"/>
  <c r="U227" i="1"/>
  <c r="T227" i="1"/>
  <c r="T226" i="1"/>
  <c r="U226" i="1" s="1"/>
  <c r="V225" i="1"/>
  <c r="U225" i="1"/>
  <c r="T225" i="1"/>
  <c r="T224" i="1"/>
  <c r="V224" i="1" s="1"/>
  <c r="V223" i="1"/>
  <c r="U223" i="1"/>
  <c r="T223" i="1"/>
  <c r="T222" i="1"/>
  <c r="V222" i="1" s="1"/>
  <c r="V221" i="1"/>
  <c r="U221" i="1"/>
  <c r="T221" i="1"/>
  <c r="V220" i="1"/>
  <c r="U220" i="1"/>
  <c r="T220" i="1"/>
  <c r="V219" i="1"/>
  <c r="U219" i="1"/>
  <c r="V218" i="1"/>
  <c r="U218" i="1"/>
  <c r="V217" i="1"/>
  <c r="U217" i="1"/>
  <c r="T217" i="1"/>
  <c r="T216" i="1"/>
  <c r="U216" i="1" s="1"/>
  <c r="V215" i="1"/>
  <c r="U215" i="1"/>
  <c r="T215" i="1"/>
  <c r="V214" i="1"/>
  <c r="U214" i="1"/>
  <c r="T214" i="1"/>
  <c r="U213" i="1"/>
  <c r="T213" i="1"/>
  <c r="V213" i="1" s="1"/>
  <c r="V212" i="1"/>
  <c r="U212" i="1"/>
  <c r="T212" i="1"/>
  <c r="V211" i="1"/>
  <c r="U211" i="1"/>
  <c r="T211" i="1"/>
  <c r="V210" i="1"/>
  <c r="T210" i="1"/>
  <c r="U210" i="1" s="1"/>
  <c r="V209" i="1"/>
  <c r="U209" i="1"/>
  <c r="T209" i="1"/>
  <c r="V208" i="1"/>
  <c r="U208" i="1"/>
  <c r="V207" i="1"/>
  <c r="U207" i="1"/>
  <c r="T204" i="1"/>
  <c r="V204" i="1" s="1"/>
  <c r="T203" i="1"/>
  <c r="V203" i="1" s="1"/>
  <c r="V180" i="1"/>
  <c r="U180" i="1"/>
  <c r="T180" i="1"/>
  <c r="V179" i="1"/>
  <c r="U179" i="1"/>
  <c r="T179" i="1"/>
  <c r="V178" i="1"/>
  <c r="U178" i="1"/>
  <c r="T178" i="1"/>
  <c r="V176" i="1"/>
  <c r="T176" i="1"/>
  <c r="U176" i="1" s="1"/>
  <c r="V175" i="1"/>
  <c r="U175" i="1"/>
  <c r="T175" i="1"/>
  <c r="V174" i="1"/>
  <c r="U174" i="1"/>
  <c r="T174" i="1"/>
  <c r="T173" i="1"/>
  <c r="U173" i="1" s="1"/>
  <c r="T172" i="1"/>
  <c r="V172" i="1" s="1"/>
  <c r="V171" i="1"/>
  <c r="U171" i="1"/>
  <c r="T171" i="1"/>
  <c r="V170" i="1"/>
  <c r="U170" i="1"/>
  <c r="T170" i="1"/>
  <c r="T169" i="1"/>
  <c r="V169" i="1" s="1"/>
  <c r="V168" i="1"/>
  <c r="U168" i="1"/>
  <c r="T168" i="1"/>
  <c r="T167" i="1"/>
  <c r="V167" i="1" s="1"/>
  <c r="V166" i="1"/>
  <c r="U166" i="1"/>
  <c r="V165" i="1"/>
  <c r="U165" i="1"/>
  <c r="V164" i="1"/>
  <c r="U164" i="1"/>
  <c r="T164" i="1"/>
  <c r="T163" i="1"/>
  <c r="V163" i="1" s="1"/>
  <c r="V162" i="1"/>
  <c r="U162" i="1"/>
  <c r="T162" i="1"/>
  <c r="T161" i="1"/>
  <c r="V161" i="1" s="1"/>
  <c r="V160" i="1"/>
  <c r="U160" i="1"/>
  <c r="T160" i="1"/>
  <c r="T159" i="1"/>
  <c r="T158" i="1"/>
  <c r="T157" i="1"/>
  <c r="U155" i="1"/>
  <c r="T155" i="1"/>
  <c r="T154" i="1"/>
  <c r="U154" i="1" s="1"/>
  <c r="V153" i="1"/>
  <c r="U153" i="1"/>
  <c r="V152" i="1"/>
  <c r="U152" i="1"/>
  <c r="V151" i="1"/>
  <c r="U151" i="1"/>
  <c r="T151" i="1"/>
  <c r="V149" i="1"/>
  <c r="U149" i="1"/>
  <c r="T149" i="1"/>
  <c r="V148" i="1"/>
  <c r="U148" i="1"/>
  <c r="T148" i="1"/>
  <c r="V133" i="1"/>
  <c r="T133" i="1"/>
  <c r="U133" i="1" s="1"/>
  <c r="T132" i="1"/>
  <c r="V132" i="1" s="1"/>
  <c r="V131" i="1"/>
  <c r="U131" i="1"/>
  <c r="T131" i="1"/>
  <c r="V130" i="1"/>
  <c r="U130" i="1"/>
  <c r="T130" i="1"/>
  <c r="T129" i="1"/>
  <c r="V129" i="1" s="1"/>
  <c r="V121" i="1"/>
  <c r="T121" i="1"/>
  <c r="U121" i="1" s="1"/>
  <c r="V120" i="1"/>
  <c r="U120" i="1"/>
  <c r="T120" i="1"/>
  <c r="V119" i="1"/>
  <c r="U119" i="1"/>
  <c r="T119" i="1"/>
  <c r="V118" i="1"/>
  <c r="U118" i="1"/>
  <c r="T118" i="1"/>
  <c r="V117" i="1"/>
  <c r="U117" i="1"/>
  <c r="T117" i="1"/>
  <c r="V116" i="1"/>
  <c r="U116" i="1"/>
  <c r="T116" i="1"/>
  <c r="V114" i="1"/>
  <c r="U114" i="1"/>
  <c r="T114" i="1"/>
  <c r="T113" i="1"/>
  <c r="U113" i="1" s="1"/>
  <c r="T108" i="1"/>
  <c r="V108" i="1" s="1"/>
  <c r="V107" i="1"/>
  <c r="U107" i="1"/>
  <c r="T107" i="1"/>
  <c r="V106" i="1"/>
  <c r="U106" i="1"/>
  <c r="T106" i="1"/>
  <c r="T105" i="1"/>
  <c r="V105" i="1" s="1"/>
  <c r="V104" i="1"/>
  <c r="U104" i="1"/>
  <c r="V103" i="1"/>
  <c r="U103" i="1"/>
  <c r="V102" i="1"/>
  <c r="U102" i="1"/>
  <c r="T102" i="1"/>
  <c r="V101" i="1"/>
  <c r="U101" i="1"/>
  <c r="T101" i="1"/>
  <c r="V99" i="1"/>
  <c r="U99" i="1"/>
  <c r="T99" i="1"/>
  <c r="V98" i="1"/>
  <c r="U98" i="1"/>
  <c r="T98" i="1"/>
  <c r="T97" i="1"/>
  <c r="V97" i="1" s="1"/>
  <c r="V96" i="1"/>
  <c r="U96" i="1"/>
  <c r="T96" i="1"/>
  <c r="V94" i="1"/>
  <c r="U94" i="1"/>
  <c r="T94" i="1"/>
  <c r="V93" i="1"/>
  <c r="T93" i="1"/>
  <c r="U93" i="1" s="1"/>
  <c r="V92" i="1"/>
  <c r="T92" i="1"/>
  <c r="U92" i="1" s="1"/>
  <c r="V91" i="1"/>
  <c r="U91" i="1"/>
  <c r="T91" i="1"/>
  <c r="U90" i="1"/>
  <c r="T90" i="1"/>
  <c r="V90" i="1" s="1"/>
  <c r="V89" i="1"/>
  <c r="U89" i="1"/>
  <c r="T89" i="1"/>
  <c r="V88" i="1"/>
  <c r="T88" i="1"/>
  <c r="U88" i="1" s="1"/>
  <c r="V87" i="1"/>
  <c r="U87" i="1"/>
  <c r="T87" i="1"/>
  <c r="V86" i="1"/>
  <c r="U86" i="1"/>
  <c r="T86" i="1"/>
  <c r="V85" i="1"/>
  <c r="U85" i="1"/>
  <c r="T85" i="1"/>
  <c r="T84" i="1"/>
  <c r="V84" i="1" s="1"/>
  <c r="V83" i="1"/>
  <c r="U83" i="1"/>
  <c r="T83" i="1"/>
  <c r="V81" i="1"/>
  <c r="U81" i="1"/>
  <c r="T81" i="1"/>
  <c r="V80" i="1"/>
  <c r="T80" i="1"/>
  <c r="U80" i="1" s="1"/>
  <c r="V79" i="1"/>
  <c r="T79" i="1"/>
  <c r="U79" i="1" s="1"/>
  <c r="V78" i="1"/>
  <c r="U78" i="1"/>
  <c r="T78" i="1"/>
  <c r="V77" i="1"/>
  <c r="U77" i="1"/>
  <c r="T77" i="1"/>
  <c r="T76" i="1"/>
  <c r="V76" i="1" s="1"/>
  <c r="T75" i="1"/>
  <c r="V75" i="1" s="1"/>
  <c r="V74" i="1"/>
  <c r="U74" i="1"/>
  <c r="T74" i="1"/>
  <c r="U73" i="1"/>
  <c r="T73" i="1"/>
  <c r="V73" i="1" s="1"/>
  <c r="V72" i="1"/>
  <c r="U72" i="1"/>
  <c r="T72" i="1"/>
  <c r="V71" i="1"/>
  <c r="T71" i="1"/>
  <c r="U71" i="1" s="1"/>
  <c r="V70" i="1"/>
  <c r="U70" i="1"/>
  <c r="T70" i="1"/>
  <c r="V67" i="1"/>
  <c r="U67" i="1"/>
  <c r="T67" i="1"/>
  <c r="V66" i="1"/>
  <c r="T66" i="1"/>
  <c r="U66" i="1" s="1"/>
  <c r="V65" i="1"/>
  <c r="U65" i="1"/>
  <c r="T65" i="1"/>
  <c r="V64" i="1"/>
  <c r="U64" i="1"/>
  <c r="T64" i="1"/>
  <c r="T63" i="1"/>
  <c r="V63" i="1" s="1"/>
  <c r="T62" i="1"/>
  <c r="V62" i="1" s="1"/>
  <c r="V61" i="1"/>
  <c r="U61" i="1"/>
  <c r="T61" i="1"/>
  <c r="T60" i="1"/>
  <c r="V60" i="1" s="1"/>
  <c r="V59" i="1"/>
  <c r="U59" i="1"/>
  <c r="T59" i="1"/>
  <c r="V58" i="1"/>
  <c r="U58" i="1"/>
  <c r="T58" i="1"/>
  <c r="V57" i="1"/>
  <c r="U57" i="1"/>
  <c r="T57" i="1"/>
  <c r="V56" i="1"/>
  <c r="U56" i="1"/>
  <c r="T56" i="1"/>
  <c r="V55" i="1"/>
  <c r="U55" i="1"/>
  <c r="T55" i="1"/>
  <c r="V53" i="1"/>
  <c r="U53" i="1"/>
  <c r="T53" i="1"/>
  <c r="V52" i="1"/>
  <c r="T52" i="1"/>
  <c r="U52" i="1" s="1"/>
  <c r="V50" i="1"/>
  <c r="U50" i="1"/>
  <c r="T50" i="1"/>
  <c r="V47" i="1"/>
  <c r="U47" i="1"/>
  <c r="T47" i="1"/>
  <c r="T42" i="1"/>
  <c r="U42" i="1" s="1"/>
  <c r="V40" i="1"/>
  <c r="U40" i="1"/>
  <c r="T40" i="1"/>
  <c r="V39" i="1"/>
  <c r="U39" i="1"/>
  <c r="V38" i="1"/>
  <c r="U38" i="1"/>
  <c r="V37" i="1"/>
  <c r="U37" i="1"/>
  <c r="T37" i="1"/>
  <c r="V36" i="1"/>
  <c r="U36" i="1"/>
  <c r="T36" i="1"/>
  <c r="V29" i="1"/>
  <c r="U29" i="1"/>
  <c r="T29" i="1"/>
  <c r="T28" i="1"/>
  <c r="V28" i="1" s="1"/>
  <c r="V27" i="1"/>
  <c r="U27" i="1"/>
  <c r="T27" i="1"/>
  <c r="T26" i="1"/>
  <c r="V26" i="1" s="1"/>
  <c r="V25" i="1"/>
  <c r="U25" i="1"/>
  <c r="T25" i="1"/>
  <c r="V24" i="1"/>
  <c r="T24" i="1"/>
  <c r="U24" i="1" s="1"/>
  <c r="V23" i="1"/>
  <c r="U23" i="1"/>
  <c r="T23" i="1"/>
  <c r="V22" i="1"/>
  <c r="U22" i="1"/>
  <c r="T22" i="1"/>
  <c r="V21" i="1"/>
  <c r="U21" i="1"/>
  <c r="T21" i="1"/>
  <c r="T20" i="1"/>
  <c r="V20" i="1" s="1"/>
  <c r="V19" i="1"/>
  <c r="U19" i="1"/>
  <c r="T19" i="1"/>
  <c r="U18" i="1"/>
  <c r="T18" i="1"/>
  <c r="V18" i="1" s="1"/>
  <c r="V17" i="1"/>
  <c r="U17" i="1"/>
  <c r="T17" i="1"/>
  <c r="V16" i="1"/>
  <c r="U16" i="1"/>
  <c r="V15" i="1"/>
  <c r="U15" i="1"/>
  <c r="V14" i="1"/>
  <c r="U14" i="1"/>
  <c r="V13" i="1"/>
  <c r="U13" i="1"/>
  <c r="T12" i="1"/>
  <c r="V12" i="1" s="1"/>
  <c r="V11" i="1"/>
  <c r="U11" i="1"/>
  <c r="V8" i="1"/>
  <c r="U8" i="1"/>
  <c r="V7" i="1"/>
  <c r="U7" i="1"/>
  <c r="V5" i="1"/>
  <c r="U5" i="1"/>
  <c r="V4" i="1"/>
  <c r="U4" i="1"/>
  <c r="V3" i="1"/>
  <c r="U3" i="1"/>
  <c r="V2" i="1"/>
  <c r="U2" i="1"/>
  <c r="U12" i="1" l="1"/>
  <c r="U403" i="1" s="1"/>
  <c r="V42" i="1"/>
  <c r="V403" i="1" s="1"/>
  <c r="U97" i="1"/>
  <c r="V113" i="1"/>
  <c r="U132" i="1"/>
  <c r="V173" i="1"/>
  <c r="V226" i="1"/>
  <c r="U28" i="1"/>
  <c r="U105" i="1"/>
  <c r="U169" i="1"/>
  <c r="U222" i="1"/>
  <c r="U62" i="1"/>
  <c r="U163" i="1"/>
  <c r="U20" i="1"/>
  <c r="U75" i="1"/>
  <c r="U203" i="1"/>
  <c r="V216" i="1"/>
  <c r="U241" i="1"/>
  <c r="U26" i="1"/>
  <c r="U63" i="1"/>
  <c r="U76" i="1"/>
  <c r="U129" i="1"/>
  <c r="U204" i="1"/>
  <c r="U224" i="1"/>
  <c r="U108" i="1"/>
  <c r="U172" i="1"/>
  <c r="U84" i="1"/>
  <c r="U60" i="1"/>
  <c r="U161" i="1"/>
  <c r="U167" i="1"/>
  <c r="U244" i="1"/>
</calcChain>
</file>

<file path=xl/sharedStrings.xml><?xml version="1.0" encoding="utf-8"?>
<sst xmlns="http://schemas.openxmlformats.org/spreadsheetml/2006/main" count="5203" uniqueCount="2216">
  <si>
    <t>type</t>
  </si>
  <si>
    <t>name</t>
  </si>
  <si>
    <t>label::English (en)</t>
  </si>
  <si>
    <t>hint::English (en)</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</si>
  <si>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</si>
  <si>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</si>
  <si>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</si>
  <si>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</si>
  <si>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</si>
  <si>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</si>
  <si>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</si>
  <si>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</si>
  <si>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</si>
  <si>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</si>
  <si>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</si>
  <si>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</si>
  <si>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</si>
  <si>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</si>
  <si>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</si>
  <si>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</si>
  <si>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</si>
  <si>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select_one enumteam</t>
  </si>
  <si>
    <t>enum_team</t>
  </si>
  <si>
    <t>Enumerator team number or code</t>
  </si>
  <si>
    <t>text</t>
  </si>
  <si>
    <t>enumerator</t>
  </si>
  <si>
    <t>Name of enumerator</t>
  </si>
  <si>
    <t>true</t>
  </si>
  <si>
    <t>my_filter_admin=${enum_team}</t>
  </si>
  <si>
    <t>yes</t>
  </si>
  <si>
    <t>calculate</t>
  </si>
  <si>
    <t>enumerator_</t>
  </si>
  <si>
    <t>jr:choice-name(${enumerator},'${enumerator}')</t>
  </si>
  <si>
    <t>select_one gender</t>
  </si>
  <si>
    <t>o_enumerator_gender</t>
  </si>
  <si>
    <t>Enumerator gender</t>
  </si>
  <si>
    <t>note</t>
  </si>
  <si>
    <t>introduction</t>
  </si>
  <si>
    <t>Hello sir/ma'am, my name is ${enumerator_}. On behalf of the Food and Agriculture Organization of the United Nations (FAO), we are conducting a survey on household livelihoods and the ability to access food in your area and the impact of Floods. I would like to ask you some questions about your household.
The survey usually takes 50/60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</si>
  <si>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[INSTRUCTIONS: ADDRESS QUESTIONS FROM RESPONDENT, IF ANY.]</t>
  </si>
  <si>
    <t>false</t>
  </si>
  <si>
    <t>no</t>
  </si>
  <si>
    <t>select_one yesno</t>
  </si>
  <si>
    <t>resp_agree</t>
  </si>
  <si>
    <t>Are you interested in participating in this survey?</t>
  </si>
  <si>
    <t>Refusal</t>
  </si>
  <si>
    <t>Thank you for your time, you will be removed from today's survey.</t>
  </si>
  <si>
    <t>${resp_agree} = '2'</t>
  </si>
  <si>
    <t>begin_group</t>
  </si>
  <si>
    <t>eligibility</t>
  </si>
  <si>
    <t>ELIGIBILITY CRITERIA</t>
  </si>
  <si>
    <t>${resp_agree} = '1'</t>
  </si>
  <si>
    <t>resp_firstname</t>
  </si>
  <si>
    <t>What is your first name?</t>
  </si>
  <si>
    <t>[INSTRUCTIONS: RECORD THE RESPONDENT'S FIRST NAME. ENTER 999 FOR REFUSED]</t>
  </si>
  <si>
    <t>resp_lastname</t>
  </si>
  <si>
    <t>What is your last name?</t>
  </si>
  <si>
    <t>[INSTRUCTIONS: RECORD THE RESPONDENT'S LAST NAME. ENTER 999 FOR REFUSED]</t>
  </si>
  <si>
    <t>integer</t>
  </si>
  <si>
    <t>resp_age</t>
  </si>
  <si>
    <t>How old are you?</t>
  </si>
  <si>
    <t>[INSTRUCTIONS: RECORD AGE IN NUMBER OF YEARS. ROUND UP TO NEAREST WHOLE NUMBER. IF THE RESPONDENT GIVES BIRTH YEAR, REPEAT THE QUESTION.]</t>
  </si>
  <si>
    <t>(. &gt;= 18 and . &lt;= 100) or . = 888</t>
  </si>
  <si>
    <t>resp_gender</t>
  </si>
  <si>
    <t>What is the gender of the respondent?</t>
  </si>
  <si>
    <t>[INSTRUCTIONS: DO NOT ASK THIS QUESTION OUT LOUD. LISTEN TO THE VOICE AND SELECT THE GENDER.]</t>
  </si>
  <si>
    <t>phone_number_personal</t>
  </si>
  <si>
    <t>What is your phone number?</t>
  </si>
  <si>
    <t>numbers</t>
  </si>
  <si>
    <t>regex(.,’^[0-9]{11}$’)</t>
  </si>
  <si>
    <t>Please enter the telephone number in the correct format, e.g. 03336558647</t>
  </si>
  <si>
    <t>yes - panel</t>
  </si>
  <si>
    <t>select_one admin1</t>
  </si>
  <si>
    <t>adm1_pcode</t>
  </si>
  <si>
    <t>Currently, in which Province does your household reside?</t>
  </si>
  <si>
    <t>[HINT: HOUSEHOLD CONSISTS OF ALL MEMBERS LIVING TOGETHER, SHARING RESOURCES &amp; EATING FROM THE SAME POT.]</t>
  </si>
  <si>
    <t>minimal</t>
  </si>
  <si>
    <t>adm1_name</t>
  </si>
  <si>
    <t>jr:choice-name(${adm1_pcode},'${adm1_pcode}')</t>
  </si>
  <si>
    <t>select_one admin2</t>
  </si>
  <si>
    <t xml:space="preserve">adm2_pcode </t>
  </si>
  <si>
    <t>Currently, in which District does your household reside?</t>
  </si>
  <si>
    <t>my_filter_admin=${adm1_pcode}</t>
  </si>
  <si>
    <t>adm2_name</t>
  </si>
  <si>
    <t>jr:choice-name(${adm2_pcode},'${adm2_pcode}')</t>
  </si>
  <si>
    <t>o_admin3</t>
  </si>
  <si>
    <t>Currently, in which tehsil does your household reside?</t>
  </si>
  <si>
    <t>o_admin4</t>
  </si>
  <si>
    <t>Currently, in which union council does your household reside?</t>
  </si>
  <si>
    <t>o_adminDEH_pcode</t>
  </si>
  <si>
    <t>What is the name of revenue village (Deh/Moza)?</t>
  </si>
  <si>
    <t>o_adminGOTH_pcode</t>
  </si>
  <si>
    <t>What is the name of the village/goth/Killi?</t>
  </si>
  <si>
    <t>select_one Vill_milieu</t>
  </si>
  <si>
    <t>o_Vill_milieu</t>
  </si>
  <si>
    <t>Is this village located in:</t>
  </si>
  <si>
    <t>o_flood</t>
  </si>
  <si>
    <t>Was this village affected by 2022 monsoon rains/flooding?</t>
  </si>
  <si>
    <t>select_one agricactivity</t>
  </si>
  <si>
    <t>hh_agricactivity</t>
  </si>
  <si>
    <t>Has anybody in your household produced crops or livestock for household consumption or for sale in the past 12 months, including household members currently away for transhumance?</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</si>
  <si>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</si>
  <si>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end_group</t>
  </si>
  <si>
    <t>generalInfo</t>
  </si>
  <si>
    <t>GENERAL INFORMATION</t>
  </si>
  <si>
    <t>${resp_agree} = '1' and ${hh_agricactivity} != '5' and ${hh_agricactivity} != '6'</t>
  </si>
  <si>
    <t>select_one yes_no</t>
  </si>
  <si>
    <t>resp_id</t>
  </si>
  <si>
    <t>Are you the head of household?</t>
  </si>
  <si>
    <t>hh_gender</t>
  </si>
  <si>
    <t xml:space="preserve">Is the head of your household male or female? </t>
  </si>
  <si>
    <t>${resp_id} != '1'</t>
  </si>
  <si>
    <t>select_one hh_head</t>
  </si>
  <si>
    <t>o_hh_head</t>
  </si>
  <si>
    <t xml:space="preserve">What is relationship of respondent to the head of household? </t>
  </si>
  <si>
    <t>o_hh_name</t>
  </si>
  <si>
    <t>What is the name of head of household</t>
  </si>
  <si>
    <t>o_hh_head_ph</t>
  </si>
  <si>
    <t>What is phone number of head of household?</t>
  </si>
  <si>
    <t>o_cnic_hhh</t>
  </si>
  <si>
    <t>What is CNIC number of head of household?</t>
  </si>
  <si>
    <t>regex(.,’^[0-9]{13}$’)</t>
  </si>
  <si>
    <t>Please enter the valid CNIC in the correct format without dashes, e.g. 6110127706437</t>
  </si>
  <si>
    <t>select_one edu</t>
  </si>
  <si>
    <t>hh_education</t>
  </si>
  <si>
    <t xml:space="preserve">What is the educational level attained by the head of household? </t>
  </si>
  <si>
    <t>select_one higher_educ</t>
  </si>
  <si>
    <t>o_higher_educ</t>
  </si>
  <si>
    <t>What level of higher education did the head of household reach?</t>
  </si>
  <si>
    <t>[OPERATOR: SINGLE RESPONSE.]</t>
  </si>
  <si>
    <t>${hh_education}='4'</t>
  </si>
  <si>
    <t>select_one water</t>
  </si>
  <si>
    <t>hh_wealth_water</t>
  </si>
  <si>
    <t>Where does the water that you drink at home come from?</t>
  </si>
  <si>
    <t>select_one waterdist</t>
  </si>
  <si>
    <t>o_hh_source</t>
  </si>
  <si>
    <t>How far is the main water source from your house?</t>
  </si>
  <si>
    <t>select_one toilet</t>
  </si>
  <si>
    <t>hh_wealth_toilet</t>
  </si>
  <si>
    <t>Where do household members typically go to use the toilet?</t>
  </si>
  <si>
    <t>select_one light</t>
  </si>
  <si>
    <t>hh_wealth_light</t>
  </si>
  <si>
    <t>What is the main source of light in your dwelling?</t>
  </si>
  <si>
    <t>select_one hh_dwell</t>
  </si>
  <si>
    <t>o_hh_dwelltype</t>
  </si>
  <si>
    <t xml:space="preserve">What type of house you live in? </t>
  </si>
  <si>
    <t>[OPERATOR: READ OUT THE OPTIONS. SINGLE RESPONSE.]
[HINT: IF RESPONDENT IS ONLY AWAY FROM THE HOUSEHOLD FOR SHORT SEASONAL WORK (&lt;6 MONTHS) OR TRANSHUMANCE, MAKE SURE TO REFER TO THEIR HOUSEHOLD BACK WHERE THEY TYPICALLY ARE LOCATED.]</t>
  </si>
  <si>
    <t>hh_size</t>
  </si>
  <si>
    <t>How many people are part of the household?</t>
  </si>
  <si>
    <t>[INSTRUCTIONS: RECORD NUMBER OF MEMBERS IN HOUSEHOLD. ENTER 888 FOR DON'T KNOW &amp; 999 FOR REFUSED.]
[HINT: TO BE A PART OF THE SAME HOUSEHOLD, MEMBERS MUST LIVE UNDER THE SAME ROOF, SHARE THE SAME RESOURCES &amp; EAT FROM THE SAME POT.]</t>
  </si>
  <si>
    <t xml:space="preserve">(. &gt;= 1 and . &lt;= 50) or . = 888 or . = 999 </t>
  </si>
  <si>
    <t>Income_Shocks_group</t>
  </si>
  <si>
    <t>INCOME SOURCES, LIVELIHOODS AND SHOCKS</t>
  </si>
  <si>
    <t>select_one incomesource1</t>
  </si>
  <si>
    <t>income_main</t>
  </si>
  <si>
    <t>What was your household's main source of income in the past 3 months?</t>
  </si>
  <si>
    <t>[INSTRUCTIONS: REFUSED OPTIONS SHOULD BE AVOIDED AS MUCH AS POSSIBLE.]</t>
  </si>
  <si>
    <t>incomemain</t>
  </si>
  <si>
    <t>jr:choice-name(${income_main},'${income_main}')</t>
  </si>
  <si>
    <t>income_main_crop_check</t>
  </si>
  <si>
    <t xml:space="preserve">Are the crops that you sell produced by you or anyone in your household? </t>
  </si>
  <si>
    <t xml:space="preserve">${income_main} = '1' or ${income_main} = '2' or ${income_main} = '3' </t>
  </si>
  <si>
    <t>income_main_ls_check</t>
  </si>
  <si>
    <t xml:space="preserve">Are the livestock and livestock products that you sell produced by you or anyone in your household? </t>
  </si>
  <si>
    <t>${income_main} = '4'</t>
  </si>
  <si>
    <t>income_main_fish_check</t>
  </si>
  <si>
    <t xml:space="preserve">Are the fish and/or fish products that you sell also captured or harvested by you or anyone in your household? </t>
  </si>
  <si>
    <t>${income_main} = '6'</t>
  </si>
  <si>
    <t>decimal</t>
  </si>
  <si>
    <t>income_main_amount</t>
  </si>
  <si>
    <t>How much was earned (in Rupee) from your main income source, ${incomemain}, in the past 3 months ?</t>
  </si>
  <si>
    <t>[INSTRUCTIONS: MAKE SURE THE INFORMATION IS RECORDED IN THE CORRECT CURRENCY. ENTER 888 FOR DON'T KNOW AND 999 FOR REFUSED.]</t>
  </si>
  <si>
    <t>. &gt; 500 or . = 888 or . = 999</t>
  </si>
  <si>
    <t>${income_main} != '19' and ${income_main} != '20'</t>
  </si>
  <si>
    <t>select_one continue</t>
  </si>
  <si>
    <t>income_main_amount_conf</t>
  </si>
  <si>
    <t>Can you confirm the amount of income you just stated is correct?</t>
  </si>
  <si>
    <t>[INSTRUCTIONS: IF THE RESPONDENT CONFIRMS THAT THE INCOME AMOUNT EARNED FROM THIS INCOME SOURCE OVER THE PAST 3 MONTH IS INDEED OVER 200000, CLICK ON CONTINUE. OTHERWISE, GO BACK AND CHANGE THE AMOUNT ENTERED.]</t>
  </si>
  <si>
    <t xml:space="preserve">${income_main_amount} &gt; 200000 and (${income_main} != '19' and ${income_main} != '20') </t>
  </si>
  <si>
    <t>select_one gender_inc_1</t>
  </si>
  <si>
    <t>income_main_gender</t>
  </si>
  <si>
    <t xml:space="preserve">What is the gender of the household member(s) generating income from this source? </t>
  </si>
  <si>
    <t>select_one change</t>
  </si>
  <si>
    <t>income_main_comp</t>
  </si>
  <si>
    <t>Has your household's income from ${incomemain} changed in the last 3 months compared to the same period of a normal year?</t>
  </si>
  <si>
    <t>select_one incomesource2</t>
  </si>
  <si>
    <t>income_sec</t>
  </si>
  <si>
    <t>What was your household's second most important source of income in the past 3 months?</t>
  </si>
  <si>
    <t>[INSTRUCTIONS: DON'T KNOW AND REFUSED OPTIONS SHOULD BE AVOIDED AS MUCH AS POSSIBLE.]</t>
  </si>
  <si>
    <t>not(selected(${income_main}, name))</t>
  </si>
  <si>
    <t>incomesec</t>
  </si>
  <si>
    <t>jr:choice-name(${income_sec},'${income_sec}')</t>
  </si>
  <si>
    <t>income_sec_crop_check</t>
  </si>
  <si>
    <t xml:space="preserve">${income_sec} = '1' or ${income_sec} = '2' or ${income_sec} = '3' </t>
  </si>
  <si>
    <t>income_sec_ls_check</t>
  </si>
  <si>
    <t>${income_sec} = '4'</t>
  </si>
  <si>
    <t>income_sec_fish_check</t>
  </si>
  <si>
    <t xml:space="preserve">Are the fish products that you sell produced by you or anyone in your household? </t>
  </si>
  <si>
    <t>${income_sec} = '6'</t>
  </si>
  <si>
    <t>income_sec_amount</t>
  </si>
  <si>
    <t>How much was earned (in Rupee) from your second main income source, ${incomesec}, in the past 3 months ?</t>
  </si>
  <si>
    <t xml:space="preserve">${income_main} != '19' and ${income_main} != '20' and ${income_sec} != '19' and ${income_sec} != '20' and ${income_sec} != '21' </t>
  </si>
  <si>
    <t>income_sec_amount_conf</t>
  </si>
  <si>
    <t>${income_sec_amount} &gt; 200000 and (${income_main} != '19' and ${income_main} != '20' and ${income_sec} != '19' and ${income_sec} != '20' and ${income_sec} != '21')</t>
  </si>
  <si>
    <t>income_sec_gender</t>
  </si>
  <si>
    <t>income_sec_comp</t>
  </si>
  <si>
    <t>Has your household's income from ${incomesec} changed in the last 3 months compared to the same period of a normal year?</t>
  </si>
  <si>
    <t>select_one incomesource3</t>
  </si>
  <si>
    <t>income_third</t>
  </si>
  <si>
    <t>What was your household's third most important source of income in the past 3 months?</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</si>
  <si>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</si>
  <si>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</si>
  <si>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</si>
  <si>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</si>
  <si>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</si>
  <si>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</si>
  <si>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</si>
  <si>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</si>
  <si>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</si>
  <si>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income_third_amount</t>
  </si>
  <si>
    <t>How much was earned (in Rupee) from your third main income source, ${incomethird}, in the past 3 months ?</t>
  </si>
  <si>
    <t xml:space="preserve">${income_main} != '19' and ${income_main} != '20' and ${income_sec} != '19' and ${income_sec} != '20' and ${income_sec} != '21' and ${income_third} != '19' and ${income_third} != '20' and ${income_third} != '21' </t>
  </si>
  <si>
    <t>income_third_amount_conf</t>
  </si>
  <si>
    <t>${income_third_amount} &gt; 200000 and (${income_main} != '19' and ${income_main} != '20' and ${income_sec} != '19' and ${income_sec} != '20' and ${income_sec} != '21' and ${income_third} != '19' and ${income_third} != '20' and ${income_third} != '21' )</t>
  </si>
  <si>
    <t>income_third_gender</t>
  </si>
  <si>
    <t>income_third_comp</t>
  </si>
  <si>
    <t>Has your household's income from ${incomethird} changed in the last 3 months compared to the same period of a normal year?</t>
  </si>
  <si>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</si>
  <si>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</si>
  <si>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</si>
  <si>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[INSTRUCTIONS: SELECT RELEVANT SHOCKS EXPERIENCED BY THE HOUSEHOLD. MULTIPLE RESPONSES POSSIBLE. REFER TO ECONOMIC SHOCKS, CROP AND LIVESTOCK SHOCKS, INTRA-HOUSEHOLD SHOCK, NATURAL HAZARDS AND HUMAN-INDUCED HAZARDS.]</t>
  </si>
  <si>
    <t>if(selected(.,'noshock') or selected(.,'dk') or selected(.,'ref'), count-selected(.) = 1, count-selected(.) &gt;= 1)</t>
  </si>
  <si>
    <t>o_hh_flood</t>
  </si>
  <si>
    <t xml:space="preserve">Has your household’s livelihood/income been affected by 2022 monsoon rains/flooding? </t>
  </si>
  <si>
    <t>select_one flood</t>
  </si>
  <si>
    <t>o_income_flood</t>
  </si>
  <si>
    <t xml:space="preserve">If yes, how has your household livelihood/income been affected by 2022 monsoon rains/flooding? </t>
  </si>
  <si>
    <t xml:space="preserve">${o_hh_flood} = '1' </t>
  </si>
  <si>
    <t>CropProduction_group</t>
  </si>
  <si>
    <t>CROP PRODUCTION</t>
  </si>
  <si>
    <t>${resp_agree} = '1' and (${hh_agricactivity}='1' or ${hh_agricactivity} = '3' or ${income_main_crop_check}='1' or ${income_sec_crop_check}='1' or ${income_third_crop_check}='1')</t>
  </si>
  <si>
    <t>crp_intro</t>
  </si>
  <si>
    <t>We will now ask you some questions about crop production which apply to you and anyone in your household that is involved in crop production or sales. All questions refer to the crops grown during Kharif.</t>
  </si>
  <si>
    <t>crp_landsize_num</t>
  </si>
  <si>
    <t>What is the total size of the land you can cultivate?</t>
  </si>
  <si>
    <t>[INSTRUCTIONS: RECORD THE TOTAL LAND SIZE PROVIDED BY THE RESPONDENT. WRITE 888 FOR DON'T KNOW AND 999 FOR REFUSED. MEASUREMENT UNIT WILL BE SPECIFIED IN THE FOLLOWING QUESTION.]</t>
  </si>
  <si>
    <t>. &gt;= 0</t>
  </si>
  <si>
    <t>select_one landsize_unit</t>
  </si>
  <si>
    <t>crp_landsize_unit</t>
  </si>
  <si>
    <t xml:space="preserve">Unit of measurement for land size: </t>
  </si>
  <si>
    <t>[INSTRUCTIONS: DO NOT READ QUESTION. SELECT UNIT OF MEASUREMENT IN WHICH LAND SIZE WAS PROVIDED.]</t>
  </si>
  <si>
    <t>${crp_landsize_num} != 888 and ${crp_landsize_num} != 999</t>
  </si>
  <si>
    <t>o_landsize_tot</t>
  </si>
  <si>
    <t xml:space="preserve">How many acres of cultivable agricultural land does your household own currently? </t>
  </si>
  <si>
    <t>[OPERATOR: SINGLE RESPONSE.]
[HINT: Write 0 if household does not own cultivable agricultural land]</t>
  </si>
  <si>
    <t>o_landsize_rabi</t>
  </si>
  <si>
    <t xml:space="preserve">How many acres of land does your household usually cultivate in Kharif season?  </t>
  </si>
  <si>
    <t>select_one land_own</t>
  </si>
  <si>
    <t>o_land_own</t>
  </si>
  <si>
    <t xml:space="preserve">What is ownership status of the land your household cultivates? </t>
  </si>
  <si>
    <t>o_land_own_other</t>
  </si>
  <si>
    <t>If 'Other' specify:</t>
  </si>
  <si>
    <t>selected(${o_land_own}, '5')</t>
  </si>
  <si>
    <t>select_one crop</t>
  </si>
  <si>
    <t>crp_main</t>
  </si>
  <si>
    <t>What is the main crop that your household grows for food and income generation in Kharif, if any?</t>
  </si>
  <si>
    <t>[INSTRUCTIONS: "NO CROP PRODUCTION" APPEARS AT THE END OF THE LIST OF OPTIONS.]</t>
  </si>
  <si>
    <t>crpmain</t>
  </si>
  <si>
    <t>jr:choice-name(${crp_main},'${crp_main}')</t>
  </si>
  <si>
    <t>o_crpmain_otherspecify</t>
  </si>
  <si>
    <t>If other, specify</t>
  </si>
  <si>
    <t>${crp_main}=1.99 or ${crp_main}=2.99 or ${crp_main}=3.99 or ${crp_main}=4.99 or ${crp_main}=5.99 or ${crp_main}=6.99 or ${crp_main}=7.99 or ${crp_main}=8.99 or ${crp_main}=9.99 or ${crp_main}=10.99</t>
  </si>
  <si>
    <t>select_one cropcheck</t>
  </si>
  <si>
    <t>crp_main_check</t>
  </si>
  <si>
    <t>Why did you not produce any crops in Kharif?</t>
  </si>
  <si>
    <t>${crp_main}='777'</t>
  </si>
  <si>
    <t>select_one irrigation</t>
  </si>
  <si>
    <t>crp_irrig_source</t>
  </si>
  <si>
    <t xml:space="preserve">Where do you normally and mainly obtain water for the production of ${crp_main}? </t>
  </si>
  <si>
    <t>${crp_main} != '777' and ${crp_main} != '888' and ${crp_main} != '999'</t>
  </si>
  <si>
    <t>crp_irrig_source_otherspecify</t>
  </si>
  <si>
    <t>If other, specify.</t>
  </si>
  <si>
    <t>[INSTRUCTIONS: RECORD THE OPEN RESPONSE GIVEN IN FEW WORDS. ENTER 888 FOR DON'T KNOW AND 999 FOR REFUSED]</t>
  </si>
  <si>
    <t>${crp_irrig_source}='6' and (${crp_main} != '777' and ${crp_main} != '888' and ${crp_main} != '999')</t>
  </si>
  <si>
    <t xml:space="preserve">select_multiple seedsupply </t>
  </si>
  <si>
    <t>crp_seed</t>
  </si>
  <si>
    <t xml:space="preserve">Who do you normally procure your seeds from? </t>
  </si>
  <si>
    <t>[INSTRUCTIONS: MULTIPLE RESPONSES POSSIBLE.]</t>
  </si>
  <si>
    <t>if(selected(., 'ref') or selected(., 'dk'), count-selected(.) = 1, count-selected(.) &gt;= 1)</t>
  </si>
  <si>
    <t>select_one fertsupply</t>
  </si>
  <si>
    <t>o_crp_fert_supply</t>
  </si>
  <si>
    <t xml:space="preserve">Where do you normally procure fertilizer for the main crop? </t>
  </si>
  <si>
    <t>o_fertsupply_other</t>
  </si>
  <si>
    <t>if 'Other', specify:</t>
  </si>
  <si>
    <t>${o_crp_fert_supply} = '7' and (${crp_main} != '777' and ${crp_main} != '888' and ${crp_main} != '999')</t>
  </si>
  <si>
    <t>o_crp_fert_now</t>
  </si>
  <si>
    <t>Were you able to continue so, this season? (Kharif 2022)</t>
  </si>
  <si>
    <t>o_crp_fert_price</t>
  </si>
  <si>
    <t>How has the price of fertilizer changed, since the last year?</t>
  </si>
  <si>
    <t>select_one fertsubst</t>
  </si>
  <si>
    <t>o_fert_subst</t>
  </si>
  <si>
    <t>Did you use a substitutive fertilizer this season?</t>
  </si>
  <si>
    <t>o_crp_main_landsize</t>
  </si>
  <si>
    <t>How many acres of land did your household plant with ${crpmain} in Kharif 2022 season?</t>
  </si>
  <si>
    <t>[OPERATOR: RECORD IN ACRES]</t>
  </si>
  <si>
    <t>crp_area_change</t>
  </si>
  <si>
    <t>How did the ***area planted*** for ${crpmain} from Kharif compare to a normal year?</t>
  </si>
  <si>
    <t>crp_harv_vol</t>
  </si>
  <si>
    <t>How much (threshed) ${crpmain} did you harvest this Kharif?</t>
  </si>
  <si>
    <t>[INSTRUCTIONS: RECORD THE RESPONSE GIVEN. UNIT OF MEASUREMENT TO BE SPECIFIED IN NEXT QUESTION. ENTER 888 FOR DON'T KNOW &amp; 999 FOR REFUSED, TO BE USED RARELY - PROBE!]</t>
  </si>
  <si>
    <t>crp_harv_change</t>
  </si>
  <si>
    <t xml:space="preserve">How does the  ***harvest*** of ${crpmain} in the Kharif compare to a normal year? </t>
  </si>
  <si>
    <t>crp_harv_lastyr</t>
  </si>
  <si>
    <t>How many maunds of (threshed) ${crpmain} did you harvest last year during the same season?</t>
  </si>
  <si>
    <t>[INSTRUCTIONS: RECORD THE RESPONSE GIVEN. ENTER 888 FOR DON'T KNOW &amp; 999 FOR REFUSED, TO BE USED RARELY - PROBE!]</t>
  </si>
  <si>
    <t>${crp_harv_vol} != '888' and ${crp_harv_vol} != '999' and (${crp_main} != '777' and ${crp_main} != '888' and ${crp_main} != '999')</t>
  </si>
  <si>
    <t>select_one crop2</t>
  </si>
  <si>
    <t>o_crp_sec</t>
  </si>
  <si>
    <t>Do you cultivate any other crops aside from ${crpmain}, and if so which ones?</t>
  </si>
  <si>
    <t>[OPERATOR: "No other crops" APPEARS AT THE END OF THE LIST OF OPTIONS. SELECT ALL CROPS LISTED BY THE RESPONDENT.]</t>
  </si>
  <si>
    <t>${crp_main} != '888' and ${crp_main} != '999' and ${crp_main} != '777'</t>
  </si>
  <si>
    <t>not(selected(${crp_main}, name))</t>
  </si>
  <si>
    <t>o_crpsec_otherspecify</t>
  </si>
  <si>
    <t>${o_crp_sec}=1.99 or ${o_crp_sec}=2.99 or ${o_crp_sec}=3.99 or ${o_crp_sec}=4.99 or ${o_crp_sec}=5.99 or ${o_crp_sec}=6.99 or ${o_crp_sec}=7.99 or ${o_crp_sec}=8.99 or ${o_crp_sec}=9.99 or ${o_crp_sec}=10.99</t>
  </si>
  <si>
    <t>o_crp_sec_landsize</t>
  </si>
  <si>
    <t xml:space="preserve">How much the land cultivation for second most important crop in Kharif 2022 season?  </t>
  </si>
  <si>
    <t>${o_crp_sec} != '888' and ${o_crp_sec} != '999' and ${o_crp_sec} != '666' and ${crp_main} != '777' and ${crp_main} != '888' and ${crp_main} != '999'</t>
  </si>
  <si>
    <t>o_crp_secarea_change</t>
  </si>
  <si>
    <t>How much the area planted for second most important crop in Kharif 2022 season change compare to a normal year from the last 5 years?</t>
  </si>
  <si>
    <t>o_crp_sec_prod_kharif</t>
  </si>
  <si>
    <t>How much the harvest (crop production) of second most important crop in Kharif 2022 season? (maunds)</t>
  </si>
  <si>
    <t>o_crp_sec_prod_change</t>
  </si>
  <si>
    <t>How much the harvest (crop production) of second most important crop in Kharif 2022 season change compare to a normal year from the last 5 years?</t>
  </si>
  <si>
    <t>o_crp_third</t>
  </si>
  <si>
    <t>Did you cultivate any other crops, and if so which ones?</t>
  </si>
  <si>
    <t>not(selected(${crp_main}, name) or selected(${o_crp_sec}, name))</t>
  </si>
  <si>
    <t>o_crpthird_otherspecify</t>
  </si>
  <si>
    <t>${o_crp_third}=1.99 or ${o_crp_third}=2.99 or ${o_crp_third}=3.99 or ${o_crp_third}=4.99 or ${o_crp_third}=5.99 or ${o_crp_third}=6.99 or ${o_crp_third}=7.99 or ${o_crp_third}=8.99 or ${o_crp_third}=9.99 or ${o_crp_third}=10.99</t>
  </si>
  <si>
    <t>o_crp_third_landsize</t>
  </si>
  <si>
    <t xml:space="preserve">How much the land cultivation for third most important crop in Kharif 2022 season? </t>
  </si>
  <si>
    <t>${o_crp_third}!= '888' and ${o_crp_third} != '999' and ${o_crp_third} != '666' and ${crp_main} != '777' and ${crp_main} != '888' and ${crp_main} != '999' and ${o_crp_sec} != '888' and ${o_crp_sec} != '999' and ${o_crp_sec} != '666'</t>
  </si>
  <si>
    <t>o_crp_thirdarea_change</t>
  </si>
  <si>
    <t>How much the area (acres) planted of third most important crop in Kharif 2022 season change compared to a normal year during the last 5 years?</t>
  </si>
  <si>
    <t>o_crp_third_prod</t>
  </si>
  <si>
    <t>How much the harvest (crop production) of third most important crop in Kharif 2022 season? (in maunds)</t>
  </si>
  <si>
    <t>o_crp_thirdcharv_change</t>
  </si>
  <si>
    <t>How much the harvest (crop production) of third most important crop in Kharif 2022 season change compare to a normal year from the last 5 years?</t>
  </si>
  <si>
    <t>o_stock_cereal</t>
  </si>
  <si>
    <t>For how many months, own production of cereals (rice, maize, millet and other cereals)  from Kharif season would be sufficient for household consumption?</t>
  </si>
  <si>
    <t>select_one agr_water</t>
  </si>
  <si>
    <t>o_agr_water</t>
  </si>
  <si>
    <t>What was the situation of availability of water for agriculture activities in Kharif 2022 as compared to last year (Kharif 2021)?</t>
  </si>
  <si>
    <t>crp_proddif</t>
  </si>
  <si>
    <t>Has your household faced any significant difficulty ***in terms of crop production*** in Kharif?</t>
  </si>
  <si>
    <t>${crp_main} != '888' and ${crp_main} != '999' and ${crp_main_check} != 1</t>
  </si>
  <si>
    <t>select_multiple cropproddiff</t>
  </si>
  <si>
    <t>crp_proddif_</t>
  </si>
  <si>
    <t>Which difficulties has your household faced with crop production in Kharif?</t>
  </si>
  <si>
    <t>[INSTRUCTIONS: MULTIPLE RESPONSES POSSIBLE. SELECT OPTION(S) THAT BEST FIT THE INFORMATION PROVIDED BY THE RESPONDENTS.]</t>
  </si>
  <si>
    <t>${crp_proddif} = '1' and (${crp_main} != '888' and ${crp_main} != '999' and ${crp_main_check} != 1)</t>
  </si>
  <si>
    <t>o_crp_proddif_flood</t>
  </si>
  <si>
    <t>Was flooding a major constraint to crop production?</t>
  </si>
  <si>
    <t>CropSales_group</t>
  </si>
  <si>
    <t>CROP MARKETING</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</si>
  <si>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</si>
  <si>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</si>
  <si>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</si>
  <si>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select_one crop3</t>
  </si>
  <si>
    <t>crp_sales_main_2</t>
  </si>
  <si>
    <t>What was the main crop that you sold over the *last 3 months*?</t>
  </si>
  <si>
    <t>${crp_sales_main_1}='2'</t>
  </si>
  <si>
    <t>Other_specify_sold_crop</t>
  </si>
  <si>
    <t>${crp_sales_main_2}=1.99 or ${crp_sales_main_2}=2.99 or ${crp_sales_main_2}=3.99 or ${crp_sales_main_2}=4.99 or ${crp_sales_main_2}=5.99 or ${crp_sales_main_2}=6.99 or ${crp_sales_main_2}=7.99 or ${crp_sales_main_2}=8.99 or ${crp_sales_main_2}=9.99 or ${crp_sales_main_2}=10.99</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</si>
  <si>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</si>
  <si>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</si>
  <si>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</si>
  <si>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</si>
  <si>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</si>
  <si>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</si>
  <si>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select_multiple cropsalesdiff</t>
  </si>
  <si>
    <t>crp_saledif</t>
  </si>
  <si>
    <t xml:space="preserve">Which difficulties has your household faced in the last 3 months selling your ${crp_sales_main}? </t>
  </si>
  <si>
    <t>if(selected(., 'dk') or selected(., 'ref'), count-selected(.) = 1, count-selected(.) &gt;= 1)</t>
  </si>
  <si>
    <t xml:space="preserve">${crp_salesdif} = '1' </t>
  </si>
  <si>
    <t>o_crp_saleflood</t>
  </si>
  <si>
    <t>Has flooding affected your typical marketing?</t>
  </si>
  <si>
    <t>crp_salesprice</t>
  </si>
  <si>
    <t>How does the current price of your household's ${crp_sales_main} compare to the average price in the same period of a normal year?</t>
  </si>
  <si>
    <t>[INSTRUCTIONS: INSIST ON THE MAIN PRODUCT MENTIONED.]</t>
  </si>
  <si>
    <t>Livestock_group</t>
  </si>
  <si>
    <t>LIVESTOCK PRODUCTION</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</si>
  <si>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</si>
  <si>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</si>
  <si>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</si>
  <si>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select_one lsmain</t>
  </si>
  <si>
    <t>ls_main</t>
  </si>
  <si>
    <t>What was the main animal raised by your household for food and income generation in the last 12 months?</t>
  </si>
  <si>
    <t>[INSTRUCTIONS: ASK ABOUT THE MOST IMPORTANT ANIMAL ONLY.] [HINT: DON'T FORGET TO PROBE ABOUT TRANSHUMANCE - MOVING LIVESTOCK FROM ONE GRAZING GROUND TO ANOTHER.]</t>
  </si>
  <si>
    <t>lsmain</t>
  </si>
  <si>
    <t>jr:choice-name(${ls_main},'${ls_main}')</t>
  </si>
  <si>
    <t>ls_num_lastyr</t>
  </si>
  <si>
    <t>How many ${lsmain} did you have at the same time last year?</t>
  </si>
  <si>
    <t>[INSTRUCTIONS: RECORD THE NUMBER OF ANIMALS. ENTER 888 FOR DON'T KNOW AND 999 FOR REFUSED.]</t>
  </si>
  <si>
    <t xml:space="preserve">. &gt;= 0 </t>
  </si>
  <si>
    <t>${ls_main} != '10' or ${ls_main} != '11'</t>
  </si>
  <si>
    <t>ls_num_now</t>
  </si>
  <si>
    <t>How many ${lsmain} do you have now?</t>
  </si>
  <si>
    <t>ls_num_diff</t>
  </si>
  <si>
    <t xml:space="preserve">Change in ${lsmain}: </t>
  </si>
  <si>
    <t>(${ls_main} != '10' or ${ls_main} != '11') and (${ls_num_lastyr} != '888' and ${ls_num_lastyr} != '999' and ${ls_num_now} != '888' and ${ls_num_now} != '999')</t>
  </si>
  <si>
    <t>${ls_num_now} - ${ls_num_lastyr}</t>
  </si>
  <si>
    <t>select_multiple lsnum</t>
  </si>
  <si>
    <t>ls_num</t>
  </si>
  <si>
    <t>Why did the number of livestock change?</t>
  </si>
  <si>
    <t>if(selected(., 'inc_dec_dk') or selected(., 'inc_dec_ref'), count-selected(.) = 1, count-selected(.) &gt;= 1)</t>
  </si>
  <si>
    <t>o_ls_washedaway</t>
  </si>
  <si>
    <t>Was it due to the recent flood? (Death of animal/poultry due to disease, parasite, injuiry)</t>
  </si>
  <si>
    <t>selected(${ls_num}, 'dec_death')</t>
  </si>
  <si>
    <t>o_ls_soldflood</t>
  </si>
  <si>
    <t>Was it due to the recent flood? (Distress sale)</t>
  </si>
  <si>
    <t>selected(${ls_num}, 'dec_sales_distress')</t>
  </si>
  <si>
    <t>select_multiple lsfood</t>
  </si>
  <si>
    <t>ls_feed</t>
  </si>
  <si>
    <t xml:space="preserve">Where do you usually access feed for your ${lsmain}? </t>
  </si>
  <si>
    <t>o_mainls_died</t>
  </si>
  <si>
    <t>Number of  ${lsmain} died/lost during the last 6 months</t>
  </si>
  <si>
    <t xml:space="preserve">selected(${ls_num}, 'dec_poor_health') or selected(${ls_num}, 'dec_death') </t>
  </si>
  <si>
    <t>o_mainls_sold</t>
  </si>
  <si>
    <t>Number of ${lsmain} sold during the last 6 months</t>
  </si>
  <si>
    <t xml:space="preserve">selected(${ls_num}, 'dec_sales_good_price') or selected(${ls_num}, 'dec_sales_distress') </t>
  </si>
  <si>
    <t>o_mainls_disease</t>
  </si>
  <si>
    <t>How many ${lsmain} have signs of any disease currently?</t>
  </si>
  <si>
    <t>o_ls_sec1</t>
  </si>
  <si>
    <t>Are you raising other animal/poultry for food and income generation?</t>
  </si>
  <si>
    <t>select_one lsmain2</t>
  </si>
  <si>
    <t>o_ls_sec</t>
  </si>
  <si>
    <t xml:space="preserve">What has been the second most important animal/poultry your household raised for food and income generation in last 12 months? </t>
  </si>
  <si>
    <t>[OPERATOR: SINGLE RESPONSE. ASK ABOUT THE MOST IMPORTANT ANIMAL ONLY.] [HINT: DON'T FORGET TO PROBE ABOUT TRANSHUMANCE.]</t>
  </si>
  <si>
    <t xml:space="preserve">${o_ls_sec1} = '1' </t>
  </si>
  <si>
    <t>not(selected(${ls_main}, name))</t>
  </si>
  <si>
    <t>o_lssec</t>
  </si>
  <si>
    <t>jr:choice-name(${o_ls_sec},'${o_ls_sec}')</t>
  </si>
  <si>
    <t>o_ls2_num_last</t>
  </si>
  <si>
    <t>How many ${o_lssec} owned same time last year (12 months ago)</t>
  </si>
  <si>
    <t>o_ls2_died</t>
  </si>
  <si>
    <t>Number of  ${o_lssec}  died/lost during the last 6 months</t>
  </si>
  <si>
    <t>o_ls2_sold</t>
  </si>
  <si>
    <t>Number of ${o_lssec}  sold during the last 6 months</t>
  </si>
  <si>
    <t>o_ls2_currently</t>
  </si>
  <si>
    <t>Number of ${o_lssec}  do you have now?</t>
  </si>
  <si>
    <t>o_ls2_disease</t>
  </si>
  <si>
    <t>How many ${o_lssec}  have signs of any disease currently?</t>
  </si>
  <si>
    <t>o_ls_third1</t>
  </si>
  <si>
    <t>Are you raising other animals for food and income generation?</t>
  </si>
  <si>
    <t>o_ls_third</t>
  </si>
  <si>
    <t xml:space="preserve">What has been the third most important animal/poultry your household raised for food and income generation in last 12 months? </t>
  </si>
  <si>
    <t xml:space="preserve">${o_ls_third1} = '1' </t>
  </si>
  <si>
    <t>not(selected(${ls_main}, name) or selected(${o_ls_sec}, name))</t>
  </si>
  <si>
    <t>o_lsthird</t>
  </si>
  <si>
    <t>jr:choice-name(${o_ls_third},'${o_ls_third}')</t>
  </si>
  <si>
    <t>o_ls3_num_last</t>
  </si>
  <si>
    <t>How many ${o_lsthird} owned same time last year (12 months ago)?</t>
  </si>
  <si>
    <t>o_ls3_died</t>
  </si>
  <si>
    <t>Number of ${o_lsthird} died/lost during the last 6 months</t>
  </si>
  <si>
    <t>o_ls3_sold</t>
  </si>
  <si>
    <t>Number of ${o_lsthird} sold during the last 6 months</t>
  </si>
  <si>
    <t>o_ls3_currently</t>
  </si>
  <si>
    <t>Number of ${o_lsthird} do you have now?</t>
  </si>
  <si>
    <t>o_ls3_disease</t>
  </si>
  <si>
    <t>How many ${o_lsthird} have signs of any disease currently?</t>
  </si>
  <si>
    <t>select_multiple ls_died_reason</t>
  </si>
  <si>
    <t>o_ls_died_reason</t>
  </si>
  <si>
    <t>If animals/poultry of your household died/lost, What were the main reasons?</t>
  </si>
  <si>
    <t>select_multiple ls_sold_reason</t>
  </si>
  <si>
    <t>o_ls_sold_reason</t>
  </si>
  <si>
    <t>If animals/poultry of your household was sold, What were the main reasons?</t>
  </si>
  <si>
    <t>select_one ls_pastcond</t>
  </si>
  <si>
    <t>o_ls_pastcond</t>
  </si>
  <si>
    <t xml:space="preserve">What is the condition/availability of pastures in the area compared to 3 months ago?  </t>
  </si>
  <si>
    <t>ls_proddif</t>
  </si>
  <si>
    <t>Has your household faced any significant difficulty with livestock production over the last 3 months?</t>
  </si>
  <si>
    <t>select_multiple lsproddiff</t>
  </si>
  <si>
    <t>ls_proddif_</t>
  </si>
  <si>
    <t>Which difficulties has your household faced with livestock production in the last 3 months?</t>
  </si>
  <si>
    <t>${ls_proddif}='1'</t>
  </si>
  <si>
    <t>o_ls_proddif_flood</t>
  </si>
  <si>
    <t>Was flooding a major constraint to livestock production?</t>
  </si>
  <si>
    <t>o_ls_sale</t>
  </si>
  <si>
    <t>Has your household sold any livestock/livestock product in the last 3 months?</t>
  </si>
  <si>
    <t>LivestockSales_group</t>
  </si>
  <si>
    <t xml:space="preserve">LIVESTOCK &amp; LIVESTOCK PRODUCT MARKETING </t>
  </si>
  <si>
    <t>${resp_agree} = '1' and (${income_main}='4' or ${income_sec}='4' or ${income_third}='4')</t>
  </si>
  <si>
    <t>select_one salesmain</t>
  </si>
  <si>
    <t>ls_salesmain</t>
  </si>
  <si>
    <t>What was the main livestock or livestock product sold by the household in the last 3 months?</t>
  </si>
  <si>
    <t>lssalesmain</t>
  </si>
  <si>
    <t>jr:choice-name(${ls_salesmain},'${ls_salesmain}')</t>
  </si>
  <si>
    <t>ls_salesdif</t>
  </si>
  <si>
    <t>Has your household faced any significant difficulty in the last 3 months selling your ${lssalesmain}?</t>
  </si>
  <si>
    <t>select_multiple lssalesdif</t>
  </si>
  <si>
    <t>ls_salesdif_</t>
  </si>
  <si>
    <t>What difficulties has your household faced in the last 3 months selling your ${lssalesmain}?</t>
  </si>
  <si>
    <t xml:space="preserve">${ls_salesdif} = '1' </t>
  </si>
  <si>
    <t>o_ls_saleflood</t>
  </si>
  <si>
    <t>Has flooding affected your typical sale/marketing of ${lssalesmain}?</t>
  </si>
  <si>
    <t>ls_salesprice</t>
  </si>
  <si>
    <t>How does the current price of your household's ${lssalesmain} compare to the average price in the same period of a normal year?</t>
  </si>
  <si>
    <t>Fishing_group</t>
  </si>
  <si>
    <t>FISHING / AQUACULTURE PRODUCTION</t>
  </si>
  <si>
    <t>${resp_agree} = '1' and (${income_main_fish_check}='1' or ${income_sec_fish_check}='1' or ${income_third_fish_check}='1')</t>
  </si>
  <si>
    <t>fish_intro</t>
  </si>
  <si>
    <t>We will now ask you some questions about fishing and aquaculture production which apply to you and anyone in your household that is involved in the capture, culture, processing or sales of fish.</t>
  </si>
  <si>
    <t>select_multiple fishactivity</t>
  </si>
  <si>
    <t>fish_main</t>
  </si>
  <si>
    <t>What type of fishing activity does your household generally practice?</t>
  </si>
  <si>
    <t>[INSTRUCTIONS: MUTIPLE RESPONSES POSSIBLE.]</t>
  </si>
  <si>
    <t>fish_change</t>
  </si>
  <si>
    <t>How does your fish catch [capture fishery] in the last 3 months [or last harvest] compare to the same period [harvest] last year?</t>
  </si>
  <si>
    <t>fish_proddif</t>
  </si>
  <si>
    <t>Has your household faced any significant difficulty with fish catch and/or harvest in the last 3 months?</t>
  </si>
  <si>
    <t>select_multiple fishproddiff</t>
  </si>
  <si>
    <t>fish_proddif_</t>
  </si>
  <si>
    <t>Which difficulties has your household faced with fish catch and/or harvest in the last 3 months?</t>
  </si>
  <si>
    <t>${fish_proddif}='1'</t>
  </si>
  <si>
    <t>fish_proddif_otherspecify</t>
  </si>
  <si>
    <t>${fish_proddif} = '1' and selected(${fish_proddif_}, 'other')</t>
  </si>
  <si>
    <t>o_fish_proddif_flood</t>
  </si>
  <si>
    <t>Was flooding a major constraint to fishing or fish pond production?</t>
  </si>
  <si>
    <t>select_multiple fishinput</t>
  </si>
  <si>
    <t>fish_inputdif</t>
  </si>
  <si>
    <t>Which fishing [culture] input material has your household had difficulties accessing in the last 3 months?</t>
  </si>
  <si>
    <t>${fish_proddif} = '1' and selected(${fish_proddif_}, 'input_access')</t>
  </si>
  <si>
    <t>fish_inputdif_otherspecify</t>
  </si>
  <si>
    <t>${fish_inputdif} = 'other'</t>
  </si>
  <si>
    <t>o_hh_fishsale</t>
  </si>
  <si>
    <t>Have you or household sold fish or fish products in the past three months?</t>
  </si>
  <si>
    <t>FishSales_group</t>
  </si>
  <si>
    <t xml:space="preserve">FISHING / AQUACULTURE MARKETING </t>
  </si>
  <si>
    <t>${resp_agree} = '1' and (${income_main}='6' or ${income_sec}='6' or ${income_third}='6')</t>
  </si>
  <si>
    <t>select_one fishsales</t>
  </si>
  <si>
    <t>fish_salesmain</t>
  </si>
  <si>
    <t>What was the main fish product sold by your household in the last 3 months?</t>
  </si>
  <si>
    <t>fishsalesmain</t>
  </si>
  <si>
    <t>jr:choice-name(${fish_salesmain},'${fish_salesmain}')</t>
  </si>
  <si>
    <t>fish_salesmain_otherspecify</t>
  </si>
  <si>
    <t>selected(${fish_salesmain} , '5')</t>
  </si>
  <si>
    <t>fish_salesdif</t>
  </si>
  <si>
    <t>Has your household faced any significant difficulty marketing / selling your ${fishsalesmain} in the last 3 months?</t>
  </si>
  <si>
    <t>select_multiple fishsalesdif</t>
  </si>
  <si>
    <t>fish_saledif</t>
  </si>
  <si>
    <t>What difficulties has your household faced in the last3 months selling your ${fishsalesmain}?</t>
  </si>
  <si>
    <t xml:space="preserve">${fish_salesdif} = '1' </t>
  </si>
  <si>
    <t>fish_salesdif_otherspecify</t>
  </si>
  <si>
    <t>selected(${fish_saledif}, 'other')</t>
  </si>
  <si>
    <t>o_flood_sale_fish</t>
  </si>
  <si>
    <t>Has flooding affected your typical sale/marketing of ${fishsalesmain}?</t>
  </si>
  <si>
    <t>fish_salesprice</t>
  </si>
  <si>
    <t xml:space="preserve">How does the current price of your household's ${fishsalesmain} compare to the average price in the same period/harvest of a normal year? </t>
  </si>
  <si>
    <t>FLD</t>
  </si>
  <si>
    <t>FLOOD</t>
  </si>
  <si>
    <t xml:space="preserve">${resp_agree} = '1' and ${o_hh_flood} = '1' </t>
  </si>
  <si>
    <t>o_flood_acresTOT</t>
  </si>
  <si>
    <t>Approximately, total number of acres of crops cultivated by your household in the Kharif 2022 season?”</t>
  </si>
  <si>
    <t>${resp_agree} = '1' and (${hh_agricactivity}='3' or ${hh_agricactivity} = '1')</t>
  </si>
  <si>
    <t>Approximately, how much area (acres) of cereals/vegetables/pulses/oil crops was damaged due to 2022 monsoon rains/flooding?</t>
  </si>
  <si>
    <t>o_flood_acresORCH</t>
  </si>
  <si>
    <t>Approximately, how much area (acres) of orchards was cultivated by your household in Kharif 2022 season?</t>
  </si>
  <si>
    <t>o_flood_acresORCH1</t>
  </si>
  <si>
    <t>Approximately, how much area (acres) of orchards was damaged due to 2022 monsoon rains/flooding?</t>
  </si>
  <si>
    <t>select_multiple crop2</t>
  </si>
  <si>
    <t>o_flood_crop</t>
  </si>
  <si>
    <t xml:space="preserve">What were the major crops/orchards damaged by 2022 monsoon rains/flooding? </t>
  </si>
  <si>
    <t>Tick all that apply</t>
  </si>
  <si>
    <t>o_flood_crop_otherspecify</t>
  </si>
  <si>
    <t>selected(${o_flood_crop}, '1.99') or selected(${o_flood_crop}, '2.99') or selected(${o_flood_crop}, '3.99') or selected(${o_flood_crop}, '4.99') or selected(${o_flood_crop}, '5.99') or selected(${o_flood_crop}, '6.99') or selected(${o_flood_crop}, '7.99') or selected(${o_flood_crop}, '8.99') or selected(${o_flood_crop}, '9.99') or selected(${o_flood_crop}, '10.99')</t>
  </si>
  <si>
    <t>o_flood_seeds</t>
  </si>
  <si>
    <t xml:space="preserve">Has your household lost crop seeds stored for next planting season due to 2022 monsoon rains/flooding? </t>
  </si>
  <si>
    <t>o_flood_foodstock</t>
  </si>
  <si>
    <t>Has your household lost cereals stored for household consumption due to 2022 monsoon rains/flooding?</t>
  </si>
  <si>
    <t>select_one infr_dam</t>
  </si>
  <si>
    <t>o_infr_damage</t>
  </si>
  <si>
    <t>Has 2022 monsoon rains/flooding caused any damage to irrigation infrastructure/agricultural assets of your household?</t>
  </si>
  <si>
    <t>select_one infr_dam1</t>
  </si>
  <si>
    <t>o_infr_damage1</t>
  </si>
  <si>
    <t xml:space="preserve">If damaged to irrigation infrastructure/agricultural assets, please specify the major irrigation infrastructures/installations/agricultural assets damaged due to monsoon rains/flooding? </t>
  </si>
  <si>
    <t>${resp_agree} = '1' and (${hh_agricactivity}='3' or ${hh_agricactivity} = '1') and ${o_infr_damage} = '1' or ${o_infr_damage} = '2' or ${o_infr_damage} = '3'</t>
  </si>
  <si>
    <t>o_infr_damage_Other</t>
  </si>
  <si>
    <t>If 'Other@ specify:</t>
  </si>
  <si>
    <t>${resp_agree} = '1' and ${o_infr_damage1} = '6'</t>
  </si>
  <si>
    <t>select_multiple assets</t>
  </si>
  <si>
    <t>o_flood_asset</t>
  </si>
  <si>
    <t xml:space="preserve">Which livelihood assets of your household have been damaged due to 2022 monsoon rains/flooding?  </t>
  </si>
  <si>
    <t>o_flood_asset_other</t>
  </si>
  <si>
    <t>${resp_agree} = '1' and ${o_flood_asset} = '10'</t>
  </si>
  <si>
    <t>o_flood_LS</t>
  </si>
  <si>
    <t xml:space="preserve">How many livestock (animals/poultry) your household kept before 2022 monsoon rains/flooding?  </t>
  </si>
  <si>
    <t>${resp_agree} = '1' and (${hh_agricactivity}='2' or ${hh_agricactivity} = '3')</t>
  </si>
  <si>
    <t>o_flood_diedLS</t>
  </si>
  <si>
    <t>Has any of your livestock (animals/poultry) died/lost due to 2022 monsoon rains/flooding</t>
  </si>
  <si>
    <t>o_flood_diedcattle</t>
  </si>
  <si>
    <t>If yes, how many large ruminants died/lost due to 2022 monsoon rains/flooding?</t>
  </si>
  <si>
    <t>${resp_agree} = '1' and ${o_flood_diedLS}='1'</t>
  </si>
  <si>
    <t>o_flood_diedsmallrum</t>
  </si>
  <si>
    <t>If yes, how many small ruminants died/lost due to 2022 monsoon rains/flooding?</t>
  </si>
  <si>
    <t>. &gt;= 1</t>
  </si>
  <si>
    <t>o_flood_diedpoultry</t>
  </si>
  <si>
    <t>If yes, how many poultry died/lost due to 2022 monsoon rains/flooding?</t>
  </si>
  <si>
    <t>. &gt;= 2</t>
  </si>
  <si>
    <t>o_flood_fodder</t>
  </si>
  <si>
    <t xml:space="preserve">Has your household lost fodder/feed stored for livestock due to 2022 monsoon rains/flooding? </t>
  </si>
  <si>
    <t>o_flood_shelterbefore</t>
  </si>
  <si>
    <t xml:space="preserve">How many animal shelters your household had before 2022 monsoon rains/flooding? </t>
  </si>
  <si>
    <t>o_flood_shelterdamaged</t>
  </si>
  <si>
    <t>How many animal shelters damaged due to 2022 monsoon rains/flooding?</t>
  </si>
  <si>
    <t>select_one fodder</t>
  </si>
  <si>
    <t>o_flood_feedmrk</t>
  </si>
  <si>
    <t xml:space="preserve">Is livestock feed/fodder available in the village/nearby livestock inputs markets? </t>
  </si>
  <si>
    <t>o_flood_Lsres</t>
  </si>
  <si>
    <t>Do you have cash/resources to purchase feed/fodder for animals?</t>
  </si>
  <si>
    <t>EXP</t>
  </si>
  <si>
    <t>HH EXPENDITURES AND DEBTS</t>
  </si>
  <si>
    <t>o_food_exp</t>
  </si>
  <si>
    <t>How much were your monthly household expenditures  last month on food items</t>
  </si>
  <si>
    <t>[OPERATOR: SINGLE RESPONSE.]
[HINT: food items: Cereal (wheat, wheat flour, rice, etc.), Pulses (beans, peas, lentils, etc.), Oil/fat (Cooking oil/Ghee),  Beef/Mutton/Chicken, Fruit/Vegetables   Dairy products , Fuel for cooking , Drinking water]</t>
  </si>
  <si>
    <t>. &lt; 200000 and . &gt;= 1000</t>
  </si>
  <si>
    <t>o_non_food_exp</t>
  </si>
  <si>
    <t>How much were your monthly household expenditures  last month on non food items</t>
  </si>
  <si>
    <t>[OPERATOR: SINGLE RESPONSE.]
[HINT: non food items: Clothing, shoes , Education, Health, Housing (repairs, rent), Transportation,  Utility/communication bills, Reimbursement debts, Ceremonies, funerals, Other non-food]</t>
  </si>
  <si>
    <t>. &lt; 200000 and . &gt;= 5000</t>
  </si>
  <si>
    <t>o_debt</t>
  </si>
  <si>
    <t>Have your household contracted any debt during the past 3 months?</t>
  </si>
  <si>
    <t>select_one debt_reason</t>
  </si>
  <si>
    <t>o_debt_reason</t>
  </si>
  <si>
    <t xml:space="preserve">What was the main reason for contracting debt/taking loan during past 3 months? </t>
  </si>
  <si>
    <t>${o_debt} = '1'</t>
  </si>
  <si>
    <t>o_dbt_reas_other</t>
  </si>
  <si>
    <t>if 'other', specify:</t>
  </si>
  <si>
    <t>${o_debt_reason} = '8'</t>
  </si>
  <si>
    <t>o_debt_amount</t>
  </si>
  <si>
    <t xml:space="preserve">What is the total outstanding amount of debt you have to pay? </t>
  </si>
  <si>
    <t>[OPERATOR: SINGLE RESPONSE.]
[HINT: write amounf in PKR]</t>
  </si>
  <si>
    <t>. &lt; 1000000 and . &gt;= 0</t>
  </si>
  <si>
    <t>FSI</t>
  </si>
  <si>
    <t>FOOD SECURITY INDICATORS</t>
  </si>
  <si>
    <t>intro_foodsec</t>
  </si>
  <si>
    <t>Now I would like to ask you some questions about food consumption, food utilization and coping mechanisms. Make sure to refer to the correct time period for each set of questions.</t>
  </si>
  <si>
    <t>grp_fies</t>
  </si>
  <si>
    <t>FIES</t>
  </si>
  <si>
    <t>fies_intro</t>
  </si>
  <si>
    <t xml:space="preserve">The first set of questions refers to experiences faced by your or any of your household members over the past 30 days. </t>
  </si>
  <si>
    <t>fies_worried</t>
  </si>
  <si>
    <t>During the *last 30 days*, was there a time when you or others in your household were **worried about not having enough food to eat** because of lack of money or other resources?</t>
  </si>
  <si>
    <t>fies_healthy</t>
  </si>
  <si>
    <t>During the *last 30 days*, was there a time when you or others in your household were **unable to eat healthy and nutritious food** because of lack of money or other resources?</t>
  </si>
  <si>
    <t>fies_fewfoods</t>
  </si>
  <si>
    <t>During the *last 30 days*, was there a time when you or others in your household **ate only a few kinds of foods** because of lack of money or other resources?</t>
  </si>
  <si>
    <t>fies_skipped</t>
  </si>
  <si>
    <t>During the *last 30 days*, was there a time when you or others in your household **had to skip a meal** because of lack of money or other resources to get food?</t>
  </si>
  <si>
    <t>fies_ateless</t>
  </si>
  <si>
    <t>During the *last 30 days*, was there a time when you or others in your household **ate less than you thought you should** because of lack of money or other resources?</t>
  </si>
  <si>
    <t>fies_ranout</t>
  </si>
  <si>
    <t>In the *past 30 days*, was there ever **no food to eat of any kind** in your house because of lack of resources to get food?</t>
  </si>
  <si>
    <t>select_one frequency</t>
  </si>
  <si>
    <t>fies_ranout_hhs</t>
  </si>
  <si>
    <t xml:space="preserve">How often did this happen? </t>
  </si>
  <si>
    <t>${fies_ranout} = '1'</t>
  </si>
  <si>
    <t>fies_hungry</t>
  </si>
  <si>
    <t>In the *past 30 days*, did you or any household member ever **go to sleep at night hungry**because there was not enough food?</t>
  </si>
  <si>
    <t>fies_hungry_hhs</t>
  </si>
  <si>
    <t>${fies_hungry} = '1'</t>
  </si>
  <si>
    <t>fies_whlday</t>
  </si>
  <si>
    <t>In the *past 30 days*, did you or any household member ever **go a whole day and night without eating anything at all** because there was not enough food?</t>
  </si>
  <si>
    <t>fies_whlday_hhs</t>
  </si>
  <si>
    <t>${fies_whlday} = '1'</t>
  </si>
  <si>
    <t>grp_fcs</t>
  </si>
  <si>
    <t>FCS</t>
  </si>
  <si>
    <t>fcs_intro</t>
  </si>
  <si>
    <t>Now I would like to ask you about the foods and drinks your household ate or drank in  *the last 7 days* during the day and at night [breakfast, lunch, dinner, snacks].</t>
  </si>
  <si>
    <t>fcs_staple_days</t>
  </si>
  <si>
    <t>How many days over *the last 7 days*, did members of your household eat **starches, roots and tubers** such as rice, maize, pasta, bread, sorghum, millet, potato, yam, cassava, white sweet potato?</t>
  </si>
  <si>
    <t>[INSTRUCTIONS: RECORD NUMBER OF DAYS 0 - 7. IF CONSUMED ONLY IN SMALL QUANTITY, DO NOT INCLUDE.]</t>
  </si>
  <si>
    <t>.&gt;= 0 and .&lt;=7</t>
  </si>
  <si>
    <t>The answer must be between 0 and 7 days</t>
  </si>
  <si>
    <t>select_one foodacquisition_codes</t>
  </si>
  <si>
    <t>o_fcs_staple_mainsource</t>
  </si>
  <si>
    <t>What is the main source of this food group?</t>
  </si>
  <si>
    <t>.&lt;9</t>
  </si>
  <si>
    <t>${fcs_staple_days} &gt;'0'</t>
  </si>
  <si>
    <t>fcs_pulses_days</t>
  </si>
  <si>
    <t>How many days over *the last 7 days*, did members of your household eat** pulses and nuts such as beans, lentils, cowpeas, soybean, pigeon peas and peanuts or other nuts**?</t>
  </si>
  <si>
    <t>o_fcs_pulses_mainsource</t>
  </si>
  <si>
    <t>${fcs_pulses_days}&gt; '0'</t>
  </si>
  <si>
    <t>fcs_vegetables_days</t>
  </si>
  <si>
    <t>How many days over *the last 7 days*, did members of your household eat **vegetables or leaves** such as Okra, Cauliflower,Eggplant,Peas and/or other leaves/vegetables?</t>
  </si>
  <si>
    <t>o_fcs_vegetables_mainsource</t>
  </si>
  <si>
    <t>${fcs_vegetables_days}&gt;'0'</t>
  </si>
  <si>
    <t>fcs_fruit_days</t>
  </si>
  <si>
    <t>How many days over *the last 7 days*, did members of your household eat **fruit** such as Apple, Banana,Oranges,Grapes and/or other fruits?</t>
  </si>
  <si>
    <t>o_fcs_fruit_mainsource</t>
  </si>
  <si>
    <t>${fcs_fruit_days} &gt;'0'</t>
  </si>
  <si>
    <t>fcs_meat_fish_days</t>
  </si>
  <si>
    <t>How many days over *the last 7 days*, did members of your household eat **meat, eggs or fish** [any type of meat or fish including insects, birds, bush meat, seafood, or organs]?</t>
  </si>
  <si>
    <t>o_fcs_meat_fish_mainsource</t>
  </si>
  <si>
    <t>${fcs_meat_fish_days}&gt;'0'</t>
  </si>
  <si>
    <t>fcs_dairy_days</t>
  </si>
  <si>
    <t>How many days over *the last 7 days*, did members of your household consume fresh milk, sour milk, yogurt, cheese or other **dairy products** [excluding margarine/butter or small amounts of milk for tea/ coffee]?</t>
  </si>
  <si>
    <t>o_fcs_dairy_mainsource</t>
  </si>
  <si>
    <t>${fcs_dairy_days} &gt;'0'</t>
  </si>
  <si>
    <t>fcs_sugar_days</t>
  </si>
  <si>
    <t>How many days over *the last 7 days*, did members of your household consume **sugar or sweets** such as sugar, honey, jam, cakes, candy, cookies, pastries, cakes and other sweets and sugary drinks?</t>
  </si>
  <si>
    <t>o_fcs_sugar_mainsource</t>
  </si>
  <si>
    <t>${fcs_sugar_days}&gt; '0'</t>
  </si>
  <si>
    <t>fcs_oil_days</t>
  </si>
  <si>
    <t>How many days over *the last 7 days*, did members of your household eat **oil/fat/butter** such as vegetable oil, palm oil, groundnut oil, margarine, other fats / oil?</t>
  </si>
  <si>
    <t>o_fcs_oil_mainsource</t>
  </si>
  <si>
    <t>${fcs_oil_days} &gt;'0'</t>
  </si>
  <si>
    <t>fcs_condiments_days</t>
  </si>
  <si>
    <t>How many days over *the last 7 days*, did members of your household eat **spices or condiments** such as tea, coffee, cocoa, salt, garlic, spices, yeast, meat fish as a condiment or small amounts of milk for tea or coffee?</t>
  </si>
  <si>
    <t>o_fcs_condiments_mainsource</t>
  </si>
  <si>
    <t>${fcs_condiments_days} &gt; '0'</t>
  </si>
  <si>
    <t>grp_hdds</t>
  </si>
  <si>
    <t>HDDS</t>
  </si>
  <si>
    <t>hdds_intro</t>
  </si>
  <si>
    <t>Now I would like to ask you about a set of questions on food consumption, referring to the *24 hours of yesterday*.</t>
  </si>
  <si>
    <t>select_multiple hdds</t>
  </si>
  <si>
    <t>hdds</t>
  </si>
  <si>
    <t>Please describe the foods (meals and snacks) that you or any household member ate or drank at home yesterday (in the *24 hours of yesterday*: breakfast, lunch, dinner and snacks).</t>
  </si>
  <si>
    <t>[INSTRUCTIONS: SELECT ALL FOOD GROUPS CONSUMED IN THE 24 HOURS OF YESTERDAY AS THE RESPONDENT ANSWERS. MULTIPLE RESPONSES POSSIBLE.]</t>
  </si>
  <si>
    <t>hdds_confirmation</t>
  </si>
  <si>
    <t>[INSTRUCTIONS: Remember to probe for snacks, special foods given to children or pregnant women, ingredients in mixed dishes. At the end, probe for any food groups not specified.]</t>
  </si>
  <si>
    <t>grp_rcsi</t>
  </si>
  <si>
    <t>rCSI</t>
  </si>
  <si>
    <t>rcsi_intro</t>
  </si>
  <si>
    <t>Now I will ask you about the number of days, in *the last 7 days*, during which the household has done some of the actions that I will mention to cope with the lack of food or money to buy food.</t>
  </si>
  <si>
    <t>rcsi_less_preferred_foods</t>
  </si>
  <si>
    <t xml:space="preserve">In *the past 7 days*, how many days did your household **rely on less preferred or less expensive food** due to lack of food/money?  </t>
  </si>
  <si>
    <t>[INSTRUCTIONS: RECORD NUMBER OF DAYS 0 - 7]</t>
  </si>
  <si>
    <t>rcsi_borrowed_food</t>
  </si>
  <si>
    <t xml:space="preserve">In the *past 7 days*, how many days did your household **borrow food, or rely on help from a friend or relative** due to lack of food or money to buy food? </t>
  </si>
  <si>
    <t>rcsi_reduce_number_meals</t>
  </si>
  <si>
    <t>In the past 7 days, how many days did your household **reduce the number of meals eaten in a day** due to lack of food or money to buy food?</t>
  </si>
  <si>
    <t>rcsi_limit_portions</t>
  </si>
  <si>
    <t xml:space="preserve">In the *past 7 days*, how many days did your household **limit portion sizes at mealtime** due to lack of food or money to buy food? </t>
  </si>
  <si>
    <t>rcsi_restrict_adult_consumpt</t>
  </si>
  <si>
    <t>In the *past 7 days*, how many days did your household **restrict consumption by adults so children could eat**, due to lack of food or money to buy food?</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</si>
  <si>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</si>
  <si>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</si>
  <si>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</si>
  <si>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</si>
  <si>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you **did not have enough food or money to feed the household members**. </t>
  </si>
  <si>
    <t>select_one coping</t>
  </si>
  <si>
    <t>cs_stress_hh_assets</t>
  </si>
  <si>
    <t>**Sell household assets/goods** (radio, furniture, television, jewelry etc.)</t>
  </si>
  <si>
    <t>cs_stress_spent_savings</t>
  </si>
  <si>
    <t>**Spend savings**</t>
  </si>
  <si>
    <t>cs_stress_sold_more_animals</t>
  </si>
  <si>
    <t>**Sell more animals (non-reproductive) than usual**</t>
  </si>
  <si>
    <t>cs_stress_borrowed_money</t>
  </si>
  <si>
    <t>**Borrow money**</t>
  </si>
  <si>
    <t>cs_crisis_sold_prod_assets</t>
  </si>
  <si>
    <t>**Sell productive assets or means of transport** (sewing machine, wheelbarrow, bicycle, car, etc.)</t>
  </si>
  <si>
    <t>cs_crisis_reduced_health_exp</t>
  </si>
  <si>
    <t>**Reduce expenses on health** (including drugs) **or education**</t>
  </si>
  <si>
    <t>cs_crisis_consumed_seed_stocks</t>
  </si>
  <si>
    <t>**Consume seed stocks that were to be saved for the next planting season**</t>
  </si>
  <si>
    <t>cs_emergency_sold_house</t>
  </si>
  <si>
    <t>**Sell house or land**</t>
  </si>
  <si>
    <t>cs_emergency_sold_last_female</t>
  </si>
  <si>
    <t>**Sell last female animals**</t>
  </si>
  <si>
    <t>cs_emergency_hh_migration</t>
  </si>
  <si>
    <t>**Migrate with the entire household**</t>
  </si>
  <si>
    <t>intro_mrk</t>
  </si>
  <si>
    <t>ACCESS TO MARKETS</t>
  </si>
  <si>
    <t>select_one acces</t>
  </si>
  <si>
    <t>o_food_market_access</t>
  </si>
  <si>
    <t xml:space="preserve">How much time does it take to reach functional food market, using your usual mode of transport? </t>
  </si>
  <si>
    <t>o_ls_market_access</t>
  </si>
  <si>
    <t xml:space="preserve">How much time does it take to reach functional livestock inputs market, using your usual mode of transport? </t>
  </si>
  <si>
    <t>${hh_agricactivity}='3' or ${hh_agricactivity} = '2'</t>
  </si>
  <si>
    <t>o_agr_market_access</t>
  </si>
  <si>
    <t xml:space="preserve">How much time does it take to reach functional agricultural inputs market, using your usual mode of transport? </t>
  </si>
  <si>
    <t>${hh_agricactivity}='3' or ${hh_agricactivity} = '1'</t>
  </si>
  <si>
    <t>select_one mrk_prb</t>
  </si>
  <si>
    <t>o_food_market_prb</t>
  </si>
  <si>
    <t xml:space="preserve">What is the main problem you are facing while accessing the food market? </t>
  </si>
  <si>
    <t>o_food_other</t>
  </si>
  <si>
    <t>${o_food_market_prb}='6'</t>
  </si>
  <si>
    <t>o_ls_market_prb</t>
  </si>
  <si>
    <t xml:space="preserve">What is the main problem you are facing while accessing the livestock market? </t>
  </si>
  <si>
    <t>(${hh_agricactivity}='3' or ${hh_agricactivity} = '2')</t>
  </si>
  <si>
    <t>o_mrkt_other</t>
  </si>
  <si>
    <t>(${hh_agricactivity}='3' or ${hh_agricactivity} = '2') and ${o_ls_market_prb} = '6'</t>
  </si>
  <si>
    <t>o_agr_market_prb</t>
  </si>
  <si>
    <t xml:space="preserve">What is the main problem you are facing while accessing the agricultural inputs market? </t>
  </si>
  <si>
    <t>(${hh_agricactivity}='3' or ${hh_agricactivity} = '1')</t>
  </si>
  <si>
    <t>o_agr_mrt_other</t>
  </si>
  <si>
    <t>(${hh_agricactivity}='3' or ${hh_agricactivity} = '1') and ${o_agr_market_prb} = '6'</t>
  </si>
  <si>
    <t>select_one mrk_avail</t>
  </si>
  <si>
    <t>o_food_market_avail</t>
  </si>
  <si>
    <t xml:space="preserve">What is the availability of food items in the nearest functional markets accessible to you? </t>
  </si>
  <si>
    <t>o_ls_market_avail</t>
  </si>
  <si>
    <t xml:space="preserve">What is the availability of livestock inputs in the nearest functional markets accessible to you? </t>
  </si>
  <si>
    <t>o_agr_market_avail</t>
  </si>
  <si>
    <t xml:space="preserve">What is the availability of agricultural inputs in the nearest functional markets accessible to you? </t>
  </si>
  <si>
    <t>Assisstance_group</t>
  </si>
  <si>
    <t>NEEDS ASSISTANCE</t>
  </si>
  <si>
    <t>${resp_agree} = 1 and (${hh_agricactivity} &lt; 4 or ${income_main_crop_check} = 1 or ${income_main_ls_check} = 1 or ${income_main_fish_check} = 1 or ${income_sec_crop_check} = 1 or ${income_sec_ls_check} = 1 or ${income_sec_fish_check} = 1 or ${income_third_crop_check} = 1 or ${income_third_ls_check} = 1 or ${income_third_fish_check} = 1 )</t>
  </si>
  <si>
    <t>need</t>
  </si>
  <si>
    <t>Does your household need assistance for agricultural activities [including crop, livestock or fisheries/aquaculture activities] over the next 3 to 6 months?</t>
  </si>
  <si>
    <t>select_multiple needs</t>
  </si>
  <si>
    <t>need_</t>
  </si>
  <si>
    <t>What are your household's greatest needs for assistance for your household's agricultural activities [including crop, livestock or fisheries/aquaculture production activities] over the next 3 to 6 months?</t>
  </si>
  <si>
    <t>[INSTRUCTIONS: MULTIPLE RESPONSE. DO NOT READ THE OPTIONS IF POSSIBLE.]</t>
  </si>
  <si>
    <t>${need} = 1</t>
  </si>
  <si>
    <t>need_otherspecify</t>
  </si>
  <si>
    <t>selected(${need_}, 'other')</t>
  </si>
  <si>
    <t>select_multiple needreceived</t>
  </si>
  <si>
    <t>need_received</t>
  </si>
  <si>
    <t>Has your household received any assistance in the last 3 months, and if so, which kind?</t>
  </si>
  <si>
    <t>[INSTRUCTIONS: READ OUT ANSWER OPTIONS. MULTIPLE RESPONSES POSSIBLE.]</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</si>
  <si>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</si>
  <si>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</si>
  <si>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</si>
  <si>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</si>
  <si>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</si>
  <si>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</si>
  <si>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[INSTRUCTIONS: QUALITY OF ASSISTANCE IN TERMS OF SUFFICIENT ASSISTANCE FOR PRODUCTION OR SALES DIFFICULTY TO BE OVERCOME.]</t>
  </si>
  <si>
    <t>${need_received} != 'dk' and ${need_received} != 'ref' and ${need_received} != 'none'</t>
  </si>
  <si>
    <t>select_multiple infoneeds</t>
  </si>
  <si>
    <t>o_info_needs1</t>
  </si>
  <si>
    <t xml:space="preserve">Do you need access to any particular type of information related to agriculture, food safety or nutrition? 
</t>
  </si>
  <si>
    <t>closing</t>
  </si>
  <si>
    <t>CLOSING</t>
  </si>
  <si>
    <t>callback</t>
  </si>
  <si>
    <t>Your answers will help us to understand and respond to your community needs. May we call you in a few months?</t>
  </si>
  <si>
    <t>[INSTRUCTIONS: SINGLE RESPONSE.]</t>
  </si>
  <si>
    <t>leader_contact</t>
  </si>
  <si>
    <t>Can you provide me with the contact information of a leader in your community?</t>
  </si>
  <si>
    <t>${callback} = '1'</t>
  </si>
  <si>
    <t>no - panel</t>
  </si>
  <si>
    <t>select_one leader</t>
  </si>
  <si>
    <t>leader_type</t>
  </si>
  <si>
    <t>What type of community leader can you provide information for?</t>
  </si>
  <si>
    <t>${callback} = '1' and ${leader_contact}='1'</t>
  </si>
  <si>
    <t>phone_number_leader</t>
  </si>
  <si>
    <t>What is the leader's *phone number*?</t>
  </si>
  <si>
    <t>leader_name</t>
  </si>
  <si>
    <t>What is the leader's name?</t>
  </si>
  <si>
    <t>select_one language</t>
  </si>
  <si>
    <t>language2</t>
  </si>
  <si>
    <t xml:space="preserve">Select the language that was mostly used to complete the interview. </t>
  </si>
  <si>
    <t>closeout</t>
  </si>
  <si>
    <t xml:space="preserve">Thank you for your time. The interview has come to an end. </t>
  </si>
  <si>
    <t>time</t>
  </si>
  <si>
    <t>Interview_End_Time</t>
  </si>
  <si>
    <t>Interview End Time</t>
  </si>
  <si>
    <t>enum_notes</t>
  </si>
  <si>
    <t>Enter any notes or feedback from this survey:</t>
  </si>
  <si>
    <t xml:space="preserve">Leave empty if there are no comments. </t>
  </si>
  <si>
    <t>__version__</t>
  </si>
  <si>
    <t>'vfVbKi5bfYAnEzqoBsXTzQ'</t>
  </si>
  <si>
    <t xml:space="preserve">AVERAGE ESTIMATED DURATION </t>
  </si>
  <si>
    <t>list_name</t>
  </si>
  <si>
    <t>label::</t>
  </si>
  <si>
    <t>my_filter_admin</t>
  </si>
  <si>
    <t>enumerator name 1</t>
  </si>
  <si>
    <t>enumerator name 2</t>
  </si>
  <si>
    <t>enumerator name 3</t>
  </si>
  <si>
    <t>yes_no</t>
  </si>
  <si>
    <t>YES</t>
  </si>
  <si>
    <t>NO</t>
  </si>
  <si>
    <t>DON'T KNOW</t>
  </si>
  <si>
    <t>REFUSED</t>
  </si>
  <si>
    <t>continue</t>
  </si>
  <si>
    <t>yesno</t>
  </si>
  <si>
    <t>Yes</t>
  </si>
  <si>
    <t>No</t>
  </si>
  <si>
    <t>language</t>
  </si>
  <si>
    <t>en</t>
  </si>
  <si>
    <t>English</t>
  </si>
  <si>
    <t>fr</t>
  </si>
  <si>
    <t>French</t>
  </si>
  <si>
    <t>ba</t>
  </si>
  <si>
    <t>Balochi</t>
  </si>
  <si>
    <t>pa</t>
  </si>
  <si>
    <t>Pashto</t>
  </si>
  <si>
    <t>si</t>
  </si>
  <si>
    <t>Sindhi</t>
  </si>
  <si>
    <t>pu</t>
  </si>
  <si>
    <t>Punjabi</t>
  </si>
  <si>
    <t>br</t>
  </si>
  <si>
    <t>Brahvi</t>
  </si>
  <si>
    <t>sr</t>
  </si>
  <si>
    <t>Siraiki</t>
  </si>
  <si>
    <t>ur</t>
  </si>
  <si>
    <t>Urdu</t>
  </si>
  <si>
    <t>other</t>
  </si>
  <si>
    <t>gender</t>
  </si>
  <si>
    <t>Male</t>
  </si>
  <si>
    <t>Female</t>
  </si>
  <si>
    <t>contact_info</t>
  </si>
  <si>
    <t>YES - mine</t>
  </si>
  <si>
    <t>YES - friend or relative</t>
  </si>
  <si>
    <t>agricactivity</t>
  </si>
  <si>
    <t xml:space="preserve">Yes - crop production </t>
  </si>
  <si>
    <t>Yes - livestock production</t>
  </si>
  <si>
    <t xml:space="preserve">Yes - both crop and livestock production </t>
  </si>
  <si>
    <t>edu</t>
  </si>
  <si>
    <t>None or did not complete primary school</t>
  </si>
  <si>
    <t>Completed primary school</t>
  </si>
  <si>
    <t>Completed secondary school</t>
  </si>
  <si>
    <t>Completed higher education [University / College] degree</t>
  </si>
  <si>
    <t>Religious or informal education only</t>
  </si>
  <si>
    <t>water</t>
  </si>
  <si>
    <t>Private tap from piped water</t>
  </si>
  <si>
    <t>Public tap</t>
  </si>
  <si>
    <t>Protected well</t>
  </si>
  <si>
    <t>Bottled water</t>
  </si>
  <si>
    <t>Other safe source</t>
  </si>
  <si>
    <t>River</t>
  </si>
  <si>
    <t>Unprotected well</t>
  </si>
  <si>
    <t>Spring water</t>
  </si>
  <si>
    <t>Surface water [e.g. canal, ponds, dams]</t>
  </si>
  <si>
    <t>Other unsafe source</t>
  </si>
  <si>
    <t>toilet</t>
  </si>
  <si>
    <t>Flush latrine/toilet with water</t>
  </si>
  <si>
    <t>Traditional pit latrine [no water]</t>
  </si>
  <si>
    <t>Open pit [hole in the ground for excrement without water, roof or wall]</t>
  </si>
  <si>
    <t>Communal latrine [with or without water]</t>
  </si>
  <si>
    <t>None – bush</t>
  </si>
  <si>
    <t>light</t>
  </si>
  <si>
    <t>Electricity [from generator or electrical grid]</t>
  </si>
  <si>
    <t>Candle</t>
  </si>
  <si>
    <t>Petrol lamp</t>
  </si>
  <si>
    <t>Lamp with batteries</t>
  </si>
  <si>
    <t>Solar panel</t>
  </si>
  <si>
    <t>Other [no electric supply to the house]</t>
  </si>
  <si>
    <t>residence</t>
  </si>
  <si>
    <t>Permanent Resident - you have been living in your village / town for longer than two years and this is what you consider your habitual residence</t>
  </si>
  <si>
    <t>Recent migrant not forcefully displaced - you have been living in your current place of residence for less than two years and you moved there voluntarily for work /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</si>
  <si>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</si>
  <si>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 xml:space="preserve">Internally displaced person [IDP] - you were forced to flee your village or town because of conflict or natural disaster and you are now an internally displaced person in your current place of residence </t>
  </si>
  <si>
    <t>Refugee - you were forced to flee your country because of conflict or natural disaster and you are now a refugee in your current place of residence</t>
  </si>
  <si>
    <t>asset_prod</t>
  </si>
  <si>
    <t>process</t>
  </si>
  <si>
    <t>Processing assets (e.g. grinding/crushing machine, mill, oil press)</t>
  </si>
  <si>
    <t>farmmach</t>
  </si>
  <si>
    <t>Farm machinery (e.g. tractor, plough, sickle, etc.)</t>
  </si>
  <si>
    <t>sewing</t>
  </si>
  <si>
    <t>Sewing machine or weaving tool</t>
  </si>
  <si>
    <t>taxi</t>
  </si>
  <si>
    <t>Taxi</t>
  </si>
  <si>
    <t>truck</t>
  </si>
  <si>
    <t>Truck</t>
  </si>
  <si>
    <t>Other productive machines or assets</t>
  </si>
  <si>
    <t>none</t>
  </si>
  <si>
    <t>No productive machines or assets</t>
  </si>
  <si>
    <t>dk</t>
  </si>
  <si>
    <t>ref</t>
  </si>
  <si>
    <t>asset_transp</t>
  </si>
  <si>
    <t>bici</t>
  </si>
  <si>
    <t>Bicycle</t>
  </si>
  <si>
    <t>cart</t>
  </si>
  <si>
    <t>Cart (animal drawn)</t>
  </si>
  <si>
    <t>boat</t>
  </si>
  <si>
    <t>Boat / canoe</t>
  </si>
  <si>
    <t>motorbike</t>
  </si>
  <si>
    <t>Motorbike / scooter / auto rickshaw</t>
  </si>
  <si>
    <t>car</t>
  </si>
  <si>
    <t>Car</t>
  </si>
  <si>
    <t>van</t>
  </si>
  <si>
    <t>Van or small truck</t>
  </si>
  <si>
    <t>Other motor vehicle</t>
  </si>
  <si>
    <t>None of the above</t>
  </si>
  <si>
    <t>maritalstat</t>
  </si>
  <si>
    <t xml:space="preserve">Single / never married </t>
  </si>
  <si>
    <t>Married</t>
  </si>
  <si>
    <t>Separated</t>
  </si>
  <si>
    <t>Divorced</t>
  </si>
  <si>
    <t>Widowed</t>
  </si>
  <si>
    <t>DON’T KNOW</t>
  </si>
  <si>
    <t xml:space="preserve">REFUSED </t>
  </si>
  <si>
    <t>agegroup</t>
  </si>
  <si>
    <t>Under 18</t>
  </si>
  <si>
    <t>18 to 40</t>
  </si>
  <si>
    <t>41 to 65</t>
  </si>
  <si>
    <t>Over 65</t>
  </si>
  <si>
    <t>incomesource1</t>
  </si>
  <si>
    <t>Production and sale of staple crops</t>
  </si>
  <si>
    <t>Production and sale of vegetables or fruit</t>
  </si>
  <si>
    <t>Production and sale of cashcrops</t>
  </si>
  <si>
    <t xml:space="preserve">Production and sale of livestock and livestock products </t>
  </si>
  <si>
    <t>Production and sale of honey and bee products</t>
  </si>
  <si>
    <t xml:space="preserve">Production and sale of fish </t>
  </si>
  <si>
    <t>Collection and sale of natural resources (including forestry or bush products)</t>
  </si>
  <si>
    <t>Agricultural trade EXCLUDING producers (formal or informal)</t>
  </si>
  <si>
    <t xml:space="preserve">Daily wage on farms and other casual employment in agricultural sector </t>
  </si>
  <si>
    <t xml:space="preserve">Stable employment in agricultural sector </t>
  </si>
  <si>
    <t>Non-agricultural self-employed or liberal profession, doctor, architect, lawyer, including restaurant</t>
  </si>
  <si>
    <t>Off-farm daily wages and other non-agricultural casual employment</t>
  </si>
  <si>
    <t>Stable employment in non-agricultural sector</t>
  </si>
  <si>
    <t xml:space="preserve">Public employment </t>
  </si>
  <si>
    <t>Income not derived from work / Charity</t>
  </si>
  <si>
    <t>Income not derived from work / Welfare transfer, pension, humanitarian aid</t>
  </si>
  <si>
    <t>Income not derived from work / Remittances</t>
  </si>
  <si>
    <t xml:space="preserve">Income not derived from work / Income from other rents                                                                                                                                              </t>
  </si>
  <si>
    <t>No income source in the last 3 months and used exclusively savings / debts</t>
  </si>
  <si>
    <t>gender_inc_1</t>
  </si>
  <si>
    <t>Joint (both male &amp; female)</t>
  </si>
  <si>
    <t>gender_inc_2</t>
  </si>
  <si>
    <t>Male household member(s)</t>
  </si>
  <si>
    <t>Female household member(s)</t>
  </si>
  <si>
    <t>Joint household members (both female &amp; male)</t>
  </si>
  <si>
    <t>change</t>
  </si>
  <si>
    <t>A lot more [increased by more than 50%]</t>
  </si>
  <si>
    <t>Slightly more</t>
  </si>
  <si>
    <t>Same</t>
  </si>
  <si>
    <t>Slightly less</t>
  </si>
  <si>
    <t xml:space="preserve">A lot less [less than half as much] </t>
  </si>
  <si>
    <t>incomesource2</t>
  </si>
  <si>
    <t xml:space="preserve">Production and sale of cashcrops </t>
  </si>
  <si>
    <t>Income not derived from work / Income from other rents</t>
  </si>
  <si>
    <t>No second most important source of income</t>
  </si>
  <si>
    <t>incomesource3</t>
  </si>
  <si>
    <t xml:space="preserve">Production and sale of vegetables or fruit </t>
  </si>
  <si>
    <t xml:space="preserve">Income not derived from work / Income from other rents                                </t>
  </si>
  <si>
    <t>No third most important source of income</t>
  </si>
  <si>
    <t>noshock</t>
  </si>
  <si>
    <t>No shock</t>
  </si>
  <si>
    <t>sicknessordeathofhh</t>
  </si>
  <si>
    <t>Sickness or accident or death of household member[s] [sickness of breadwinner / unusually high medical expenditure / funeral expenses / death of breadwinner]</t>
  </si>
  <si>
    <t>lostemplorwork</t>
  </si>
  <si>
    <t>Lost employment or working opportunities [not due to illness/accident]</t>
  </si>
  <si>
    <t>otherintrahhshock</t>
  </si>
  <si>
    <t>Other intra-household shock</t>
  </si>
  <si>
    <t>higherfoodprices</t>
  </si>
  <si>
    <t>Unusually high food prices</t>
  </si>
  <si>
    <t>higherfuelprices</t>
  </si>
  <si>
    <t>Unusually high l fuel prices or transport prices</t>
  </si>
  <si>
    <t>mvtrestrict</t>
  </si>
  <si>
    <t>Population movement restrictions [e.g. due to epidemic or infrastructure damage]</t>
  </si>
  <si>
    <t>othereconomicshock</t>
  </si>
  <si>
    <t xml:space="preserve">Other economic shock </t>
  </si>
  <si>
    <t>pestoutbreak</t>
  </si>
  <si>
    <t>Pest outbreak</t>
  </si>
  <si>
    <t>plantdisease</t>
  </si>
  <si>
    <t>Plant disease</t>
  </si>
  <si>
    <t>animaldisease</t>
  </si>
  <si>
    <t>Animal disease [affecting many animals] or death</t>
  </si>
  <si>
    <t>napasture</t>
  </si>
  <si>
    <t>Lack of physical access to pasture</t>
  </si>
  <si>
    <t>othercropandlivests</t>
  </si>
  <si>
    <t>Other crop and livestock shock</t>
  </si>
  <si>
    <t>coldtemporhail</t>
  </si>
  <si>
    <t>Cold temperatures or hail</t>
  </si>
  <si>
    <t>flood</t>
  </si>
  <si>
    <t>Flood / riverbank erosion</t>
  </si>
  <si>
    <t>hurricane</t>
  </si>
  <si>
    <t>Hurricane / cyclone / tornado</t>
  </si>
  <si>
    <t>drought</t>
  </si>
  <si>
    <t>Drought / heat stress</t>
  </si>
  <si>
    <t>earthquake</t>
  </si>
  <si>
    <t>Earthquake</t>
  </si>
  <si>
    <t>landslides</t>
  </si>
  <si>
    <t>Landslides</t>
  </si>
  <si>
    <t>firenatural</t>
  </si>
  <si>
    <t>Fire from natural disaster</t>
  </si>
  <si>
    <t>othernathazard</t>
  </si>
  <si>
    <t>Other natural hazard</t>
  </si>
  <si>
    <t>violenceinsecconf</t>
  </si>
  <si>
    <t>Violence and insecurity / conflict</t>
  </si>
  <si>
    <t>theftofprodassets</t>
  </si>
  <si>
    <t>Theft of production assets [land / livestock / tools / etc]</t>
  </si>
  <si>
    <t>firemanmade</t>
  </si>
  <si>
    <t>Fire from man-made disaster</t>
  </si>
  <si>
    <t>othermanmadehazard</t>
  </si>
  <si>
    <t>Other human-induced hazard</t>
  </si>
  <si>
    <t>covidmeasures</t>
  </si>
  <si>
    <t>goodstransp</t>
  </si>
  <si>
    <t>Movement restrictions [sometimes producing product scarcity or price heights]</t>
  </si>
  <si>
    <t>marketclosed</t>
  </si>
  <si>
    <t>Closure of food markets or other businesses</t>
  </si>
  <si>
    <t>borderclosed</t>
  </si>
  <si>
    <t>Closure of international borders [affecting the purchase of imported inputs or the sale of goods for export or transhumance]</t>
  </si>
  <si>
    <t>stayhome</t>
  </si>
  <si>
    <t>Stay at home order</t>
  </si>
  <si>
    <t>gatherings</t>
  </si>
  <si>
    <t>Ban on gatherings</t>
  </si>
  <si>
    <t>processclosed</t>
  </si>
  <si>
    <t>Closure of food processors [slaughterhouse / dairy cooperatives / etc] or restaurants</t>
  </si>
  <si>
    <t>curfew</t>
  </si>
  <si>
    <t>Curfews</t>
  </si>
  <si>
    <t>school</t>
  </si>
  <si>
    <t>Closure of schools</t>
  </si>
  <si>
    <t>Other [specify]</t>
  </si>
  <si>
    <t>Not affected by restrictions</t>
  </si>
  <si>
    <t>landsize_unit</t>
  </si>
  <si>
    <t>Acres</t>
  </si>
  <si>
    <t>Hectares</t>
  </si>
  <si>
    <t>Square meters</t>
  </si>
  <si>
    <t>Square feet</t>
  </si>
  <si>
    <t>cropcheck</t>
  </si>
  <si>
    <t xml:space="preserve">Don’t usually produce during this season </t>
  </si>
  <si>
    <t>Wasn't able to produce (e.g. due to difficulties)</t>
  </si>
  <si>
    <t>irrigation</t>
  </si>
  <si>
    <t>Rainfed</t>
  </si>
  <si>
    <t>Ground water</t>
  </si>
  <si>
    <t>Natural surface water [river, lake, stream, pond, etc.]</t>
  </si>
  <si>
    <t>Constructed water point [canal, dam, irrigation channels etc.]</t>
  </si>
  <si>
    <t>Public water supply system [e.g. tap water]</t>
  </si>
  <si>
    <t>irrigpump</t>
  </si>
  <si>
    <t>No, everything works on gravity</t>
  </si>
  <si>
    <t>Yes, there is a communal diesel/gas pump</t>
  </si>
  <si>
    <t>Yes, there is a communal manual pump</t>
  </si>
  <si>
    <t>Yes, there is a manual pump in my field</t>
  </si>
  <si>
    <t>Yes, there is a diesel pump in my field</t>
  </si>
  <si>
    <t>seedsupply</t>
  </si>
  <si>
    <t>ownprod</t>
  </si>
  <si>
    <t>Own production</t>
  </si>
  <si>
    <t>market</t>
  </si>
  <si>
    <t>Local market or agro-input shop / dealer</t>
  </si>
  <si>
    <t>company</t>
  </si>
  <si>
    <t>Private seed company</t>
  </si>
  <si>
    <t>ngo</t>
  </si>
  <si>
    <t>NGOs</t>
  </si>
  <si>
    <t>organized_community</t>
  </si>
  <si>
    <t>Community seed banks / farmer networks / farmers' association / etc.</t>
  </si>
  <si>
    <t>gov</t>
  </si>
  <si>
    <t>Government [e.g. MoA]</t>
  </si>
  <si>
    <t>relatives_friends</t>
  </si>
  <si>
    <t>Relatives or friends</t>
  </si>
  <si>
    <t>Other</t>
  </si>
  <si>
    <t>harv_unit</t>
  </si>
  <si>
    <t>Kilograms [kgs]</t>
  </si>
  <si>
    <t>Tonnes</t>
  </si>
  <si>
    <t>Ounces</t>
  </si>
  <si>
    <t>Pounds</t>
  </si>
  <si>
    <t>Bags</t>
  </si>
  <si>
    <t>Boxes</t>
  </si>
  <si>
    <t>Bundles</t>
  </si>
  <si>
    <t>Packets</t>
  </si>
  <si>
    <t>cropproddiff</t>
  </si>
  <si>
    <t>plant_disease</t>
  </si>
  <si>
    <t xml:space="preserve">Plant disease </t>
  </si>
  <si>
    <t>pest_outbreak</t>
  </si>
  <si>
    <t>Pest outbreak [including birds]</t>
  </si>
  <si>
    <t>animal_grazing</t>
  </si>
  <si>
    <t>Uncontrolled animal grazing</t>
  </si>
  <si>
    <t>access_plot</t>
  </si>
  <si>
    <t>Access to plot</t>
  </si>
  <si>
    <t>access_fertiliz</t>
  </si>
  <si>
    <t>Access to fertilizer [not available on markets or prices too high]</t>
  </si>
  <si>
    <t>seed_quality</t>
  </si>
  <si>
    <t>Access to quality seeds</t>
  </si>
  <si>
    <t>seed_quantity</t>
  </si>
  <si>
    <t>Access to enough seeds [not available on markets or prices too high]</t>
  </si>
  <si>
    <t>access_pesticide</t>
  </si>
  <si>
    <t>Access to pesticides</t>
  </si>
  <si>
    <t>access_labour</t>
  </si>
  <si>
    <t>Access to manpower labour</t>
  </si>
  <si>
    <t>access_machinery</t>
  </si>
  <si>
    <t>Access to machinery, tools or animals for ploughing</t>
  </si>
  <si>
    <t>access_fuel</t>
  </si>
  <si>
    <t>Access to fuel or electricity to power agricultural equipment</t>
  </si>
  <si>
    <t>soil_erosion</t>
  </si>
  <si>
    <t>Soil erosion</t>
  </si>
  <si>
    <t>lack_irrigation</t>
  </si>
  <si>
    <t xml:space="preserve">Not enough irrigation or rainfall water </t>
  </si>
  <si>
    <t>excess_water</t>
  </si>
  <si>
    <t>Too much irrigation or water</t>
  </si>
  <si>
    <t>access_credit</t>
  </si>
  <si>
    <t>Access to credit</t>
  </si>
  <si>
    <t>storage</t>
  </si>
  <si>
    <t>None</t>
  </si>
  <si>
    <t>A little</t>
  </si>
  <si>
    <t>An important part of it, but less than half</t>
  </si>
  <si>
    <t>Most of it [half or more]</t>
  </si>
  <si>
    <t>Almost everything</t>
  </si>
  <si>
    <t>Everything</t>
  </si>
  <si>
    <t>cropsalesdiff</t>
  </si>
  <si>
    <t>marketing_cost</t>
  </si>
  <si>
    <t>High transportation or other marketing costs</t>
  </si>
  <si>
    <t>damage_losses</t>
  </si>
  <si>
    <t>Damages and losses due to storage difficulties and/or difficulty accessing the market [e.g. insecurity, poor infrastructure, etc.]</t>
  </si>
  <si>
    <t>low_demand</t>
  </si>
  <si>
    <t xml:space="preserve">Lack of demand from usual traders or buyers </t>
  </si>
  <si>
    <t>pay_delay</t>
  </si>
  <si>
    <t>Payment delays from traders / buyers</t>
  </si>
  <si>
    <t>low_price</t>
  </si>
  <si>
    <t>Low selling prices [e.g. compared to input prices / inflation]</t>
  </si>
  <si>
    <t>processing</t>
  </si>
  <si>
    <t>Difficulty processing product [lack of processing inputs / equipment / etc]</t>
  </si>
  <si>
    <t>competition</t>
  </si>
  <si>
    <t>Market flooded with products</t>
  </si>
  <si>
    <t>Cattle [cow / beef / veal / yak / buffalo]</t>
  </si>
  <si>
    <t>Goat</t>
  </si>
  <si>
    <t>Sheep</t>
  </si>
  <si>
    <t>Swine [swine / boar / hog / etc]</t>
  </si>
  <si>
    <t>Equine [donkey / horse / etc]</t>
  </si>
  <si>
    <t>Small domesticated mammals [rabbits / minks / guinea pigs / etc]</t>
  </si>
  <si>
    <t>Poultry [chicken / guineafowl / duck / quail / turkey / etc]</t>
  </si>
  <si>
    <t>Camelids</t>
  </si>
  <si>
    <t>lsnum</t>
  </si>
  <si>
    <t>no_change</t>
  </si>
  <si>
    <t>No significant change in livestock number</t>
  </si>
  <si>
    <t>inc_less_sales</t>
  </si>
  <si>
    <t>Did not sell as many</t>
  </si>
  <si>
    <t>inc_more_birth</t>
  </si>
  <si>
    <t>Many more were born</t>
  </si>
  <si>
    <t>inc_more_acquired</t>
  </si>
  <si>
    <t>Purchased or bartered more animals this year</t>
  </si>
  <si>
    <t>inc_received_free</t>
  </si>
  <si>
    <t>Received animals for free [restocking, gift]</t>
  </si>
  <si>
    <t>dec_poor_health</t>
  </si>
  <si>
    <t>Animal death due to malnutrition, drought, lack of feed</t>
  </si>
  <si>
    <t>dec_death</t>
  </si>
  <si>
    <t>Animal death due to other factors [e.g. diseases, parasites, injury]</t>
  </si>
  <si>
    <t>dec_sales_good_price</t>
  </si>
  <si>
    <t>Sold more than usual because of good prices</t>
  </si>
  <si>
    <t>dec_sales_distress</t>
  </si>
  <si>
    <t>Sold more than usual because of distress sales [unable to feed animal, need money urgently for household basic needs even if sales were unsustainable]</t>
  </si>
  <si>
    <t>dec_escape_stolen</t>
  </si>
  <si>
    <t>Animal escaped or was lost or stolen</t>
  </si>
  <si>
    <t>dec_consumed</t>
  </si>
  <si>
    <t>Killed or gave away more animals than usual for household consumption or celebrations [marriage, funerals, etc]</t>
  </si>
  <si>
    <t>inc_dec_other</t>
  </si>
  <si>
    <t>inc_dec_dk</t>
  </si>
  <si>
    <t>inc_dec_ref</t>
  </si>
  <si>
    <t>lsfood</t>
  </si>
  <si>
    <t>open_pasture</t>
  </si>
  <si>
    <t>Open pasture</t>
  </si>
  <si>
    <t>common_pasture</t>
  </si>
  <si>
    <t>Community-managed pasture land</t>
  </si>
  <si>
    <t>self_produced</t>
  </si>
  <si>
    <t>Owned or rented field or self-produced fodder</t>
  </si>
  <si>
    <t>purchased</t>
  </si>
  <si>
    <t>Purchase feed or fodder at the market</t>
  </si>
  <si>
    <t>free_dist</t>
  </si>
  <si>
    <t>Free distribution</t>
  </si>
  <si>
    <t xml:space="preserve">Other </t>
  </si>
  <si>
    <t>lsproddiff</t>
  </si>
  <si>
    <t>feed_purchase</t>
  </si>
  <si>
    <t>Difficulty to purchase feed [prices or access to market]</t>
  </si>
  <si>
    <t>access_pasture</t>
  </si>
  <si>
    <t>Access to pasture</t>
  </si>
  <si>
    <t>access_water</t>
  </si>
  <si>
    <t>Access to water</t>
  </si>
  <si>
    <t>vet_serv</t>
  </si>
  <si>
    <t>Access to veterinary services [vaccinations, treatments, spraying, advisory etc]</t>
  </si>
  <si>
    <t>vet_input</t>
  </si>
  <si>
    <t>Access to veterinary inputs [medicine for animals / tools for animal health / etc]</t>
  </si>
  <si>
    <t>diseases</t>
  </si>
  <si>
    <t>Livestock diseases or injury</t>
  </si>
  <si>
    <t>theft</t>
  </si>
  <si>
    <t>Livestock theft</t>
  </si>
  <si>
    <t>access_market</t>
  </si>
  <si>
    <t>Access to livestock market to buy young animals</t>
  </si>
  <si>
    <t>lsmain2</t>
  </si>
  <si>
    <t>No other livestock</t>
  </si>
  <si>
    <t>salesmain</t>
  </si>
  <si>
    <t>Equine [donkey / horse / etc.]</t>
  </si>
  <si>
    <t>Poultry [chicken / guineafowl / duck / quail / turkey / etc.]</t>
  </si>
  <si>
    <t>Eggs</t>
  </si>
  <si>
    <t>Milk or dairy products</t>
  </si>
  <si>
    <t>Skin or leather or wool</t>
  </si>
  <si>
    <t>lssalesdif</t>
  </si>
  <si>
    <t xml:space="preserve">Damage and losses during transportation or difficulty accessing the market </t>
  </si>
  <si>
    <t>Lack of demand from usual traders or buyers</t>
  </si>
  <si>
    <t>slaughterhouse</t>
  </si>
  <si>
    <t>Closure of slaughterhouses or difficulties accessing slaughterhouses</t>
  </si>
  <si>
    <t>Difficulties processing product other than closure of slaughterhouse [lack of access to processing inputs / equipment / etc]</t>
  </si>
  <si>
    <t>fishactivity</t>
  </si>
  <si>
    <t>coastal</t>
  </si>
  <si>
    <t>Near coastal, delta, lagoon fishing</t>
  </si>
  <si>
    <t>offshore_sea</t>
  </si>
  <si>
    <t>Offshore sea fishing</t>
  </si>
  <si>
    <t>freshwater</t>
  </si>
  <si>
    <t>Freshwater fishing [in lakes, reservoirs, ponds, rivers, or wetlands]</t>
  </si>
  <si>
    <t>aquaculture</t>
  </si>
  <si>
    <t>Aquaculture</t>
  </si>
  <si>
    <t>fishproddiff</t>
  </si>
  <si>
    <t>fish</t>
  </si>
  <si>
    <t>Fish is more difficult to find than in previous years in the same season [fishing]</t>
  </si>
  <si>
    <t>pests</t>
  </si>
  <si>
    <t>Fish pests and diseases [aquaculture]</t>
  </si>
  <si>
    <t>access_area</t>
  </si>
  <si>
    <t>Access to fishing or aquaculture area [e.g. due to weather conditions]</t>
  </si>
  <si>
    <t>fuel</t>
  </si>
  <si>
    <t>Access to fuel [prices higher or not available]</t>
  </si>
  <si>
    <t>input_access</t>
  </si>
  <si>
    <t>Access to other fishing or culture inputs [prices higher or not available]</t>
  </si>
  <si>
    <t>labour</t>
  </si>
  <si>
    <t>Access to labour or crew labour [prices higher or not available]</t>
  </si>
  <si>
    <t>infrastructure</t>
  </si>
  <si>
    <t>Damage or destruction of infrastructure [ponds, cages, ports, landing sites]</t>
  </si>
  <si>
    <t>damage_equip</t>
  </si>
  <si>
    <t>Damage or destruction of boats or gears</t>
  </si>
  <si>
    <t>fishinput</t>
  </si>
  <si>
    <t>bait_feed</t>
  </si>
  <si>
    <t>Feed or bait</t>
  </si>
  <si>
    <t>fingerling</t>
  </si>
  <si>
    <t>Fingerling</t>
  </si>
  <si>
    <t>gear</t>
  </si>
  <si>
    <t>Fishing gear [e.g. rods, hooks, nets]</t>
  </si>
  <si>
    <t>ice</t>
  </si>
  <si>
    <t>Ice</t>
  </si>
  <si>
    <t>Fuel</t>
  </si>
  <si>
    <t>boatrepairs</t>
  </si>
  <si>
    <t>Equipment repairs [including boats] or spare parts</t>
  </si>
  <si>
    <t>Labour</t>
  </si>
  <si>
    <t>fishsales</t>
  </si>
  <si>
    <t>Fresh fish [any kind, including invertebrates]</t>
  </si>
  <si>
    <t>Preserved fish [including dry fish, smoked fish, fermented fish, salt fish]</t>
  </si>
  <si>
    <t>Frozen fish</t>
  </si>
  <si>
    <t>Canned fish</t>
  </si>
  <si>
    <t>fishsalesdif</t>
  </si>
  <si>
    <t>damage_loss</t>
  </si>
  <si>
    <t>Deterioration and losses due to storage difficulties or delays or inability to physically access markets</t>
  </si>
  <si>
    <t>Lack of demand from usual buyers/traders</t>
  </si>
  <si>
    <t xml:space="preserve">Payment delays from traders/buyers </t>
  </si>
  <si>
    <t>low_prices</t>
  </si>
  <si>
    <t>Difficulties processing product [lack of access to processing inputs / equipment / etc]</t>
  </si>
  <si>
    <t>frequency</t>
  </si>
  <si>
    <t>Rarely (1-2 times in the past 30 days)</t>
  </si>
  <si>
    <t>Sometimes (3-10 times in the past 30 days)</t>
  </si>
  <si>
    <t>Often (more than 10 times in the last 30 days)</t>
  </si>
  <si>
    <t xml:space="preserve">DON'T KNOW </t>
  </si>
  <si>
    <t>coping</t>
  </si>
  <si>
    <t>No - because it wasn’t necessary</t>
  </si>
  <si>
    <t>No - because you already sold those assets or did this activity within the last 12 months and you cannot continue to do it</t>
  </si>
  <si>
    <t>Not applicable</t>
  </si>
  <si>
    <t>cereals</t>
  </si>
  <si>
    <t>Cereals [sorghum / millet / corn / wheat / rice / spaghetti / bread or insert any other locally available grain]</t>
  </si>
  <si>
    <t>rootstubers</t>
  </si>
  <si>
    <t>Roots and tubers [white sweet potato / potato / yam / cassava or other tubers]</t>
  </si>
  <si>
    <t>vegetables</t>
  </si>
  <si>
    <t>Vegetables [all]</t>
  </si>
  <si>
    <t>fruits</t>
  </si>
  <si>
    <t>Fruit [all]</t>
  </si>
  <si>
    <t>meat</t>
  </si>
  <si>
    <t>Meat, poultry and offal [beef / pork / lamb /goat / rabbit / wild game / chicken / duck or other birds / liver / kidney / heart / or other organ meats]</t>
  </si>
  <si>
    <t>eggs</t>
  </si>
  <si>
    <t>Fish or shellfish [fresh or dried fish / other seafood]</t>
  </si>
  <si>
    <t>legumes</t>
  </si>
  <si>
    <t>Legumes, nuts and seeds [beans / peas / peanut / lentils / almond / and/or other nuts]</t>
  </si>
  <si>
    <t>milkdairy</t>
  </si>
  <si>
    <t>Milk and other dairy products [fresh milk / sour / yogurt / cheese / other dairy products]</t>
  </si>
  <si>
    <t>oils</t>
  </si>
  <si>
    <t>Oil/fat / butter [cooking / butter / margarine / fat/oil / other oil]</t>
  </si>
  <si>
    <t>sugar</t>
  </si>
  <si>
    <t>Sugar or sugary products [honey / jam / donuts / candy / biscuits / pastries / cakes and other sweet products]</t>
  </si>
  <si>
    <t>condiments</t>
  </si>
  <si>
    <t>Condiments [cocoa /salt / garlic / spices / yeast or baking powder / tomato or tomato sauce / meat or fish as a condiment] / coffee / tea</t>
  </si>
  <si>
    <t>needs</t>
  </si>
  <si>
    <t>food</t>
  </si>
  <si>
    <t>Food</t>
  </si>
  <si>
    <t>cash</t>
  </si>
  <si>
    <t>Cash</t>
  </si>
  <si>
    <t>vouchers_fairs</t>
  </si>
  <si>
    <t>Vouchers or input trade fairs</t>
  </si>
  <si>
    <t>crop_inputs</t>
  </si>
  <si>
    <t>Inputs for crop and/or vegetable production [e.g. seeds, fertilizer, tools]</t>
  </si>
  <si>
    <t>crop_infrastructure</t>
  </si>
  <si>
    <t>Infrastructure for crop and/or vegetable production [e.g. irrigation, canal rehabilitation, pumps]</t>
  </si>
  <si>
    <t>crop_knowledge</t>
  </si>
  <si>
    <t>Training &amp; technical knowledge/advice for crop production</t>
  </si>
  <si>
    <t>Livestock feed [fodder or supplementary feed]</t>
  </si>
  <si>
    <t>ls_vet_service</t>
  </si>
  <si>
    <t>Veterinary services [e.g. vaccination, dips, deworming]</t>
  </si>
  <si>
    <t>ls_infrastructure</t>
  </si>
  <si>
    <t>Infrastructure for livestock [e.g. water points, transhumance corridors, shelter, health points]</t>
  </si>
  <si>
    <t>ls_knowledge</t>
  </si>
  <si>
    <t>Training &amp; technical knowledge/advice for livestock production</t>
  </si>
  <si>
    <t>fish_inputs</t>
  </si>
  <si>
    <t>Inputs for fishing or aquaculture production</t>
  </si>
  <si>
    <t>fish_infrastructure</t>
  </si>
  <si>
    <t>Infrastructure for fisheries or aquaculture production [e.g. rehabilitation of port; repair of ponds]</t>
  </si>
  <si>
    <t>fish_knowledge</t>
  </si>
  <si>
    <t>Training &amp; technical knowledge/advice for fisheries or aquaculture production</t>
  </si>
  <si>
    <t>env_infra_rehab</t>
  </si>
  <si>
    <t>Environmental or infrastructure rehabilitation [community-wide]</t>
  </si>
  <si>
    <t>cold_storage</t>
  </si>
  <si>
    <t>Cold storage</t>
  </si>
  <si>
    <t>marketing_supp</t>
  </si>
  <si>
    <t>Marketing or sales support [e.g. public procurement]</t>
  </si>
  <si>
    <t>needreceived</t>
  </si>
  <si>
    <t>cashvouchers</t>
  </si>
  <si>
    <t xml:space="preserve">Cash </t>
  </si>
  <si>
    <t>vouchers_fair</t>
  </si>
  <si>
    <t>Vouchers/input trade fairs</t>
  </si>
  <si>
    <t>crop_assist</t>
  </si>
  <si>
    <t>Crop and/or vegetable production assistance</t>
  </si>
  <si>
    <t>ls_assist</t>
  </si>
  <si>
    <t>Livestock assistance</t>
  </si>
  <si>
    <t>fish_assist</t>
  </si>
  <si>
    <t>Fisheries and/or aquaculture assistance</t>
  </si>
  <si>
    <t>rehabilitation</t>
  </si>
  <si>
    <t>sales_support</t>
  </si>
  <si>
    <t>No assistance received</t>
  </si>
  <si>
    <t>assist_quality</t>
  </si>
  <si>
    <t>No - not received on time</t>
  </si>
  <si>
    <t>No - did not meet my needs</t>
  </si>
  <si>
    <t>No - quantity was not sufficient</t>
  </si>
  <si>
    <t>No - there was a problem with the provider</t>
  </si>
  <si>
    <t>No - there was a malfunction of the in-kind assistance provided [e.g. poor quality tools]</t>
  </si>
  <si>
    <t>provider</t>
  </si>
  <si>
    <t>fao</t>
  </si>
  <si>
    <t>FAO</t>
  </si>
  <si>
    <t>wfp</t>
  </si>
  <si>
    <t>WFP</t>
  </si>
  <si>
    <t>otherun</t>
  </si>
  <si>
    <t>Other UN agencies</t>
  </si>
  <si>
    <t>Government</t>
  </si>
  <si>
    <t>Non-governmental/local organization</t>
  </si>
  <si>
    <t>leader</t>
  </si>
  <si>
    <t>Village/ town administrator</t>
  </si>
  <si>
    <t>Agricultural extension officer</t>
  </si>
  <si>
    <t>Health extension officer</t>
  </si>
  <si>
    <t>Teacher</t>
  </si>
  <si>
    <t>Other (specify)</t>
  </si>
  <si>
    <t>week</t>
  </si>
  <si>
    <t>mon</t>
  </si>
  <si>
    <t>Monday</t>
  </si>
  <si>
    <t>tues</t>
  </si>
  <si>
    <t>Tuesday</t>
  </si>
  <si>
    <t>wed</t>
  </si>
  <si>
    <t>Wednesday</t>
  </si>
  <si>
    <t>thurs</t>
  </si>
  <si>
    <t>Thursday</t>
  </si>
  <si>
    <t>fri</t>
  </si>
  <si>
    <t>Friday</t>
  </si>
  <si>
    <t>sat</t>
  </si>
  <si>
    <t>Saturday</t>
  </si>
  <si>
    <t>sun</t>
  </si>
  <si>
    <t>Sunday</t>
  </si>
  <si>
    <t>morn</t>
  </si>
  <si>
    <t>Mornings</t>
  </si>
  <si>
    <t>aft</t>
  </si>
  <si>
    <t>Afternoons</t>
  </si>
  <si>
    <t>eve</t>
  </si>
  <si>
    <t>Evenings</t>
  </si>
  <si>
    <t>enumteam</t>
  </si>
  <si>
    <t>PK5062022</t>
  </si>
  <si>
    <t>Charsadda</t>
  </si>
  <si>
    <t>PK5082022</t>
  </si>
  <si>
    <t>Chitral</t>
  </si>
  <si>
    <t>PK5092022</t>
  </si>
  <si>
    <t>D. I. Khan</t>
  </si>
  <si>
    <t>PK5152022</t>
  </si>
  <si>
    <t>Kohistan</t>
  </si>
  <si>
    <t>PK5332022</t>
  </si>
  <si>
    <t>Tank</t>
  </si>
  <si>
    <t>PK5352022</t>
  </si>
  <si>
    <t>Upper Dir</t>
  </si>
  <si>
    <t>PK5212022</t>
  </si>
  <si>
    <t>Malakand</t>
  </si>
  <si>
    <t>PK5322022</t>
  </si>
  <si>
    <t>Swat</t>
  </si>
  <si>
    <t>PK5262022</t>
  </si>
  <si>
    <t>Nowshera</t>
  </si>
  <si>
    <t>PK7282022</t>
  </si>
  <si>
    <t>Umer Kot</t>
  </si>
  <si>
    <t>PK7272022</t>
  </si>
  <si>
    <t>Thatta</t>
  </si>
  <si>
    <t>PK7262022</t>
  </si>
  <si>
    <t>Tharparkar</t>
  </si>
  <si>
    <t>PK7232022</t>
  </si>
  <si>
    <t>Sukkur</t>
  </si>
  <si>
    <t>PK7222022</t>
  </si>
  <si>
    <t>Sujawal</t>
  </si>
  <si>
    <t>PK7202022</t>
  </si>
  <si>
    <t>Shikarpur</t>
  </si>
  <si>
    <t>PK7192022</t>
  </si>
  <si>
    <t>Shaheed Benazir Abad</t>
  </si>
  <si>
    <t>PK7182022</t>
  </si>
  <si>
    <t>Sanghar</t>
  </si>
  <si>
    <t>PK7172022</t>
  </si>
  <si>
    <t>Naushahro Feroze</t>
  </si>
  <si>
    <t>PK7162022</t>
  </si>
  <si>
    <t>Mirpur Khas</t>
  </si>
  <si>
    <t>PK7152022</t>
  </si>
  <si>
    <t>Matiari</t>
  </si>
  <si>
    <t>PK7132022</t>
  </si>
  <si>
    <t>Larkana</t>
  </si>
  <si>
    <t>PK7112022</t>
  </si>
  <si>
    <t>Khairpur</t>
  </si>
  <si>
    <t>PK7102022</t>
  </si>
  <si>
    <t>Kashmore</t>
  </si>
  <si>
    <t>PK7092022</t>
  </si>
  <si>
    <t>Kambar Shahdad Kot</t>
  </si>
  <si>
    <t>PK7082022</t>
  </si>
  <si>
    <t>Jamshoro</t>
  </si>
  <si>
    <t>PK7072022</t>
  </si>
  <si>
    <t>Jacobabad</t>
  </si>
  <si>
    <t>PK7052022</t>
  </si>
  <si>
    <t>Ghotki</t>
  </si>
  <si>
    <t>PK7032022</t>
  </si>
  <si>
    <t>Dadu</t>
  </si>
  <si>
    <t>PK7012022</t>
  </si>
  <si>
    <t>Badin</t>
  </si>
  <si>
    <t>PK2322022</t>
  </si>
  <si>
    <t>Ziarat</t>
  </si>
  <si>
    <t>PK2312022</t>
  </si>
  <si>
    <t>Zhob</t>
  </si>
  <si>
    <t>PK2302022</t>
  </si>
  <si>
    <t>Washuk</t>
  </si>
  <si>
    <t>PK2292022</t>
  </si>
  <si>
    <t>Sohbatpur</t>
  </si>
  <si>
    <t>PK2262022</t>
  </si>
  <si>
    <t>Quetta</t>
  </si>
  <si>
    <t>PK2252022</t>
  </si>
  <si>
    <t>Pishin</t>
  </si>
  <si>
    <t>PK2242022</t>
  </si>
  <si>
    <t>Panjgur</t>
  </si>
  <si>
    <t>PK2232022</t>
  </si>
  <si>
    <t>Nushki</t>
  </si>
  <si>
    <t>PK2222022</t>
  </si>
  <si>
    <t>Nasirabad</t>
  </si>
  <si>
    <t>PK2202022</t>
  </si>
  <si>
    <t>Mastung</t>
  </si>
  <si>
    <t>PK2192022</t>
  </si>
  <si>
    <t>Loralai</t>
  </si>
  <si>
    <t>PK2172022</t>
  </si>
  <si>
    <t>Lasbela</t>
  </si>
  <si>
    <t>PK2152022</t>
  </si>
  <si>
    <t>Killa Saifullah</t>
  </si>
  <si>
    <t>PK2142022</t>
  </si>
  <si>
    <t>Killa Abdullah</t>
  </si>
  <si>
    <t>PK2122022</t>
  </si>
  <si>
    <t>Kharan</t>
  </si>
  <si>
    <t>PK2102022</t>
  </si>
  <si>
    <t>Kalat</t>
  </si>
  <si>
    <t>PK2092022</t>
  </si>
  <si>
    <t>Kachhi</t>
  </si>
  <si>
    <t>PK2082022</t>
  </si>
  <si>
    <t>Jhal Magsi</t>
  </si>
  <si>
    <t>PK2072022</t>
  </si>
  <si>
    <t>Jaffarabad</t>
  </si>
  <si>
    <t>PK2032022</t>
  </si>
  <si>
    <t>Chagai</t>
  </si>
  <si>
    <t>PK6292022</t>
  </si>
  <si>
    <t>Rajanpur</t>
  </si>
  <si>
    <t>PK6072022</t>
  </si>
  <si>
    <t>Dera Ghazi Khan</t>
  </si>
  <si>
    <t>needreceived2</t>
  </si>
  <si>
    <t>Cash vouchers</t>
  </si>
  <si>
    <t>seeds</t>
  </si>
  <si>
    <t>Seeds</t>
  </si>
  <si>
    <t>extensionservices</t>
  </si>
  <si>
    <t>Extension services</t>
  </si>
  <si>
    <t>livestockfeed</t>
  </si>
  <si>
    <t>Livestock feed</t>
  </si>
  <si>
    <t>fertilizer</t>
  </si>
  <si>
    <t>Fertilizer</t>
  </si>
  <si>
    <t>livestockvaccination</t>
  </si>
  <si>
    <t>Livestock Vaccination</t>
  </si>
  <si>
    <t xml:space="preserve">cashpayments </t>
  </si>
  <si>
    <t xml:space="preserve">BISP/EHSAS cash payments </t>
  </si>
  <si>
    <t>noassistreceived</t>
  </si>
  <si>
    <t>willingness</t>
  </si>
  <si>
    <t>Very unlikely</t>
  </si>
  <si>
    <t>Unlikely</t>
  </si>
  <si>
    <t>Neutral</t>
  </si>
  <si>
    <t>Likely</t>
  </si>
  <si>
    <t>Very likely</t>
  </si>
  <si>
    <t>Vill_milieu</t>
  </si>
  <si>
    <t>Desert Area</t>
  </si>
  <si>
    <t>Rain-fed Area</t>
  </si>
  <si>
    <t>Irrigated Area</t>
  </si>
  <si>
    <t>hh_head</t>
  </si>
  <si>
    <t>Self</t>
  </si>
  <si>
    <t xml:space="preserve">Spouse (Wife / husband) </t>
  </si>
  <si>
    <t>Daughter / son</t>
  </si>
  <si>
    <t>Father/Mother</t>
  </si>
  <si>
    <t>Other members</t>
  </si>
  <si>
    <t>hh_dwell</t>
  </si>
  <si>
    <t>Pakka house</t>
  </si>
  <si>
    <t>Semi Pakka house</t>
  </si>
  <si>
    <t xml:space="preserve"> Kacha house</t>
  </si>
  <si>
    <t>Chhonra / thatch / wooden house</t>
  </si>
  <si>
    <t>income_border</t>
  </si>
  <si>
    <t>Severely affected</t>
  </si>
  <si>
    <t>Moderately affected</t>
  </si>
  <si>
    <t>Slightly affected</t>
  </si>
  <si>
    <t>land_own</t>
  </si>
  <si>
    <t>Owner</t>
  </si>
  <si>
    <t>Tenant / sharecropper</t>
  </si>
  <si>
    <t>Owner-cum-tenant / sharecropper</t>
  </si>
  <si>
    <t xml:space="preserve">Leased in the land </t>
  </si>
  <si>
    <t>waterdist</t>
  </si>
  <si>
    <t>In the house/compound</t>
  </si>
  <si>
    <t>Less than 10 minutes’ walk</t>
  </si>
  <si>
    <t>10-30 minutes’ walk</t>
  </si>
  <si>
    <t>more than 30 minutes’ walk</t>
  </si>
  <si>
    <t>shockmagn</t>
  </si>
  <si>
    <t>Not affected</t>
  </si>
  <si>
    <t>agr_water</t>
  </si>
  <si>
    <t>Water for irrigation was not available at all</t>
  </si>
  <si>
    <t>Very less available (25% available)</t>
  </si>
  <si>
    <t>Available to some extent (50% available)</t>
  </si>
  <si>
    <t>Less shortage (75% available)</t>
  </si>
  <si>
    <t>No shortage of water</t>
  </si>
  <si>
    <t>No irrigation in this area</t>
  </si>
  <si>
    <t>ls_died_reason</t>
  </si>
  <si>
    <t xml:space="preserve">Died due to diseases </t>
  </si>
  <si>
    <t>Died due to shortage of fodder / feed</t>
  </si>
  <si>
    <t>Died due to limited availability of drinking water for animals</t>
  </si>
  <si>
    <t>Died/washed away due to flooding</t>
  </si>
  <si>
    <t>ls_sold_reason</t>
  </si>
  <si>
    <t>Normal sale for earning livelihood</t>
  </si>
  <si>
    <t>Distress sale (poor health of the animal)</t>
  </si>
  <si>
    <t>Distress sale (to meet food and other needs)</t>
  </si>
  <si>
    <t>Distress sale (limited availability of fodder)</t>
  </si>
  <si>
    <t>Distress sale (limited availability of drinking water for livestock)</t>
  </si>
  <si>
    <t>Distress sale (due to monsoon rains/flooding</t>
  </si>
  <si>
    <t xml:space="preserve">Others </t>
  </si>
  <si>
    <t>Not Applicable</t>
  </si>
  <si>
    <t>debt_reason</t>
  </si>
  <si>
    <t>Food needs</t>
  </si>
  <si>
    <t>Medical expenses</t>
  </si>
  <si>
    <t>Education expenses</t>
  </si>
  <si>
    <t>Agriculture inputs / livestock</t>
  </si>
  <si>
    <t>Business</t>
  </si>
  <si>
    <t>Contribution to ceremonies</t>
  </si>
  <si>
    <t>Other debt payment</t>
  </si>
  <si>
    <t>ls_pastcond</t>
  </si>
  <si>
    <t>nochange</t>
  </si>
  <si>
    <t>No change</t>
  </si>
  <si>
    <t>reducedtosomeextent</t>
  </si>
  <si>
    <t>Reduced to some extent</t>
  </si>
  <si>
    <t>reducedalot</t>
  </si>
  <si>
    <t>Reduced a lot</t>
  </si>
  <si>
    <t>improved</t>
  </si>
  <si>
    <t>Improved</t>
  </si>
  <si>
    <t>improved a lot</t>
  </si>
  <si>
    <t>Improved a lot</t>
  </si>
  <si>
    <t>don'tknow</t>
  </si>
  <si>
    <t>Don't know</t>
  </si>
  <si>
    <t>acces</t>
  </si>
  <si>
    <t>Less than 30 min</t>
  </si>
  <si>
    <t>Between 30 min and one hour</t>
  </si>
  <si>
    <t>Between one and two hours</t>
  </si>
  <si>
    <t>More than two hours</t>
  </si>
  <si>
    <t>mrk_prb</t>
  </si>
  <si>
    <t>Market is far away</t>
  </si>
  <si>
    <t>Access roads are damaged/destroyed</t>
  </si>
  <si>
    <t>Cost of transportation is very high</t>
  </si>
  <si>
    <t>Transport is not often available</t>
  </si>
  <si>
    <t>Security issues</t>
  </si>
  <si>
    <t>Others</t>
  </si>
  <si>
    <t>mrk_avail</t>
  </si>
  <si>
    <t>Plenty (no problem)</t>
  </si>
  <si>
    <t>Inadequate (available but not enough)</t>
  </si>
  <si>
    <t>infoneeds</t>
  </si>
  <si>
    <t>Agronomic extension</t>
  </si>
  <si>
    <t>Livestock/veterinary extension</t>
  </si>
  <si>
    <t>Fishery extension</t>
  </si>
  <si>
    <t>Rainfall forecasts</t>
  </si>
  <si>
    <t>Early alert for climatic events (floods, cyclones, tornados, etc.)</t>
  </si>
  <si>
    <t>Marketing and prices</t>
  </si>
  <si>
    <t>No information required</t>
  </si>
  <si>
    <t>electricity</t>
  </si>
  <si>
    <t>Yes, WAPDA</t>
  </si>
  <si>
    <t>Solar/Generator/Other</t>
  </si>
  <si>
    <t>higher_educ</t>
  </si>
  <si>
    <t>intermediate</t>
  </si>
  <si>
    <t>Intermediate(FA/FSc/I.Com/ICs/Equivalent)</t>
  </si>
  <si>
    <t>university</t>
  </si>
  <si>
    <t>Higher Education(Bachelors/Master/MPhil/PhD/Equivalent)</t>
  </si>
  <si>
    <t>fertsupply</t>
  </si>
  <si>
    <t>I do not normally apply fertilizer</t>
  </si>
  <si>
    <t>Purchased at market or agro-input shop</t>
  </si>
  <si>
    <t>Community/ farmer networks / etc.</t>
  </si>
  <si>
    <t>Government suppliers/subsidy</t>
  </si>
  <si>
    <t>Self-produced / Manure</t>
  </si>
  <si>
    <t>fertsubst</t>
  </si>
  <si>
    <t>No- I used the same</t>
  </si>
  <si>
    <t>No- I only diminished its application or used nothing at all</t>
  </si>
  <si>
    <t>Yes- with other chemical fertilizer</t>
  </si>
  <si>
    <t>Yes- with manure</t>
  </si>
  <si>
    <t>floodsev</t>
  </si>
  <si>
    <t xml:space="preserve">Houses Eroded by flood </t>
  </si>
  <si>
    <t>Evacuated from the house</t>
  </si>
  <si>
    <t>Over plinth/bed</t>
  </si>
  <si>
    <t>Over/ around the yard</t>
  </si>
  <si>
    <t>infr_dam</t>
  </si>
  <si>
    <t>Yes, severe damage</t>
  </si>
  <si>
    <t>Yes, moderate damage</t>
  </si>
  <si>
    <t>Yes, slight damage</t>
  </si>
  <si>
    <t>No damage</t>
  </si>
  <si>
    <t>Household has no irrigation infrastructure/agricultural assets</t>
  </si>
  <si>
    <t>infr_dam1</t>
  </si>
  <si>
    <t>Solar panels for irrigation of crops/orchards</t>
  </si>
  <si>
    <t>Tube wells</t>
  </si>
  <si>
    <t>Irrigation channels</t>
  </si>
  <si>
    <t>Motor pumps for irrigation</t>
  </si>
  <si>
    <t>Tunnels farming</t>
  </si>
  <si>
    <t>assets</t>
  </si>
  <si>
    <t>Transport related (motor bike, rickshaw, bicycle, carts etc)</t>
  </si>
  <si>
    <t>Agriculture related tools (plough, wheel barrow etc)</t>
  </si>
  <si>
    <t>Agriculture related machinery (tractors, cultivators, other agriculture machinery etc)</t>
  </si>
  <si>
    <t>Sewing machine</t>
  </si>
  <si>
    <t>Grain mill</t>
  </si>
  <si>
    <t>Other agriculture related processing units</t>
  </si>
  <si>
    <t>Non-agricultural tools/machinery/assets such as plumbing/electrical/mechanic  tools</t>
  </si>
  <si>
    <t>Shops/business place/stall/mobile business</t>
  </si>
  <si>
    <t xml:space="preserve">Other  </t>
  </si>
  <si>
    <t>fodder</t>
  </si>
  <si>
    <t>Yes, sufficiently available</t>
  </si>
  <si>
    <t>Yes, limited available</t>
  </si>
  <si>
    <t>No, severe shortage</t>
  </si>
  <si>
    <t>crop</t>
  </si>
  <si>
    <t>1.1</t>
  </si>
  <si>
    <t>Rice</t>
  </si>
  <si>
    <t>1.5</t>
  </si>
  <si>
    <t>Maize</t>
  </si>
  <si>
    <t>5.1</t>
  </si>
  <si>
    <t>Tomatoes</t>
  </si>
  <si>
    <t>5.8</t>
  </si>
  <si>
    <t>Onions</t>
  </si>
  <si>
    <t>7.1</t>
  </si>
  <si>
    <t>Sweet Banana</t>
  </si>
  <si>
    <t>7.11</t>
  </si>
  <si>
    <t>Grapes</t>
  </si>
  <si>
    <t>7.4</t>
  </si>
  <si>
    <t>Mango</t>
  </si>
  <si>
    <t>7.5</t>
  </si>
  <si>
    <t>Guava</t>
  </si>
  <si>
    <t>9.4</t>
  </si>
  <si>
    <t>Sugarcane</t>
  </si>
  <si>
    <t>10.1</t>
  </si>
  <si>
    <t>Cotton</t>
  </si>
  <si>
    <t>1.2</t>
  </si>
  <si>
    <t>Wheat</t>
  </si>
  <si>
    <t>1.3</t>
  </si>
  <si>
    <t>Millet</t>
  </si>
  <si>
    <t>1.4</t>
  </si>
  <si>
    <t>Sorghum</t>
  </si>
  <si>
    <t>1.6</t>
  </si>
  <si>
    <t>Barley</t>
  </si>
  <si>
    <t>1.99</t>
  </si>
  <si>
    <t>Other Cereal</t>
  </si>
  <si>
    <t>2.1</t>
  </si>
  <si>
    <t>Cassava</t>
  </si>
  <si>
    <t>2.2</t>
  </si>
  <si>
    <t>Potatoe</t>
  </si>
  <si>
    <t>2.3</t>
  </si>
  <si>
    <t>Sweet Potatoes</t>
  </si>
  <si>
    <t>2.4</t>
  </si>
  <si>
    <t>Yams</t>
  </si>
  <si>
    <t>2.5</t>
  </si>
  <si>
    <t>Carrots</t>
  </si>
  <si>
    <t>2.6</t>
  </si>
  <si>
    <t>Cocoyam</t>
  </si>
  <si>
    <t>2.99</t>
  </si>
  <si>
    <t>Other tubers</t>
  </si>
  <si>
    <t>3.1</t>
  </si>
  <si>
    <t>Beans</t>
  </si>
  <si>
    <t>3.2</t>
  </si>
  <si>
    <t>Lentils</t>
  </si>
  <si>
    <t>3.3</t>
  </si>
  <si>
    <t>Peas</t>
  </si>
  <si>
    <t>3.4</t>
  </si>
  <si>
    <t>Soybeans</t>
  </si>
  <si>
    <t>3.5</t>
  </si>
  <si>
    <t>Chickpeas</t>
  </si>
  <si>
    <t>3.6</t>
  </si>
  <si>
    <t>Fava beans</t>
  </si>
  <si>
    <t>3.7</t>
  </si>
  <si>
    <t>Broad beans</t>
  </si>
  <si>
    <t>3.99</t>
  </si>
  <si>
    <t>Other pulses</t>
  </si>
  <si>
    <t>4.1</t>
  </si>
  <si>
    <t>Cabbage</t>
  </si>
  <si>
    <t>4.101</t>
  </si>
  <si>
    <t>Cauliflower</t>
  </si>
  <si>
    <t>4.2</t>
  </si>
  <si>
    <t>Lettuce</t>
  </si>
  <si>
    <t>4.3</t>
  </si>
  <si>
    <t>Spinach-Amaranth</t>
  </si>
  <si>
    <t>4.4</t>
  </si>
  <si>
    <t>Cassava leaves</t>
  </si>
  <si>
    <t>4.5</t>
  </si>
  <si>
    <t>Potatoe leaves</t>
  </si>
  <si>
    <t>4.6</t>
  </si>
  <si>
    <t>Moringa</t>
  </si>
  <si>
    <t>4.7</t>
  </si>
  <si>
    <t>Sorrel Hibiscus / Rosselle</t>
  </si>
  <si>
    <t>4.9</t>
  </si>
  <si>
    <t>Green salad herbs (thyme, parsley, mint, rocca, other)</t>
  </si>
  <si>
    <t>4.99</t>
  </si>
  <si>
    <t>Other leafy vegetables</t>
  </si>
  <si>
    <t>5.101</t>
  </si>
  <si>
    <t>Green peas</t>
  </si>
  <si>
    <t>5.11</t>
  </si>
  <si>
    <t>Fava beans green</t>
  </si>
  <si>
    <t>5.2</t>
  </si>
  <si>
    <t>Cucumber</t>
  </si>
  <si>
    <t>5.3</t>
  </si>
  <si>
    <t>Pumpkin</t>
  </si>
  <si>
    <t>5.4</t>
  </si>
  <si>
    <t>Eggplant/aubergine</t>
  </si>
  <si>
    <t>5.5</t>
  </si>
  <si>
    <t>Zucchini</t>
  </si>
  <si>
    <t>5.6</t>
  </si>
  <si>
    <t>Okra</t>
  </si>
  <si>
    <t>5.7</t>
  </si>
  <si>
    <t>Bell pepper</t>
  </si>
  <si>
    <t>Chilies</t>
  </si>
  <si>
    <t>5.9</t>
  </si>
  <si>
    <t>Haricot</t>
  </si>
  <si>
    <t>5.99</t>
  </si>
  <si>
    <t>Other non leafy vegs</t>
  </si>
  <si>
    <t>6.1</t>
  </si>
  <si>
    <t>Orange</t>
  </si>
  <si>
    <t>6.2</t>
  </si>
  <si>
    <t>Lemon</t>
  </si>
  <si>
    <t>6.3</t>
  </si>
  <si>
    <t>Grapefruit</t>
  </si>
  <si>
    <t>6.4</t>
  </si>
  <si>
    <t>Mandarins/clementines</t>
  </si>
  <si>
    <t>6.99</t>
  </si>
  <si>
    <t>Other citrus fruit</t>
  </si>
  <si>
    <t>Figs</t>
  </si>
  <si>
    <t>7.12</t>
  </si>
  <si>
    <t>Olives</t>
  </si>
  <si>
    <t>7.13</t>
  </si>
  <si>
    <t>Apple</t>
  </si>
  <si>
    <t>7.14</t>
  </si>
  <si>
    <t>Apricot</t>
  </si>
  <si>
    <t>7.15</t>
  </si>
  <si>
    <t>Cherries</t>
  </si>
  <si>
    <t>7.16</t>
  </si>
  <si>
    <t>Peach/nectarine</t>
  </si>
  <si>
    <t>7.17</t>
  </si>
  <si>
    <t>Strawberries</t>
  </si>
  <si>
    <t>7.18</t>
  </si>
  <si>
    <t>Melon (Cantaloupe)</t>
  </si>
  <si>
    <t>7.2</t>
  </si>
  <si>
    <t>Plantains</t>
  </si>
  <si>
    <t>7.3</t>
  </si>
  <si>
    <t>Papaya</t>
  </si>
  <si>
    <t>7.6</t>
  </si>
  <si>
    <t>Pineapple</t>
  </si>
  <si>
    <t>7.7</t>
  </si>
  <si>
    <t>Avocado</t>
  </si>
  <si>
    <t>7.8</t>
  </si>
  <si>
    <t>Water Melon</t>
  </si>
  <si>
    <t>7.9</t>
  </si>
  <si>
    <t>Dates</t>
  </si>
  <si>
    <t>7.99</t>
  </si>
  <si>
    <t>Other fruit</t>
  </si>
  <si>
    <t>8.1</t>
  </si>
  <si>
    <t>Coconuts</t>
  </si>
  <si>
    <t>8.2</t>
  </si>
  <si>
    <t>Groundnut/peanut</t>
  </si>
  <si>
    <t>8.3</t>
  </si>
  <si>
    <t>Cashew Nut</t>
  </si>
  <si>
    <t>8.4</t>
  </si>
  <si>
    <t>Kola Nut</t>
  </si>
  <si>
    <t>8.5</t>
  </si>
  <si>
    <t>Sesame</t>
  </si>
  <si>
    <t>8.6</t>
  </si>
  <si>
    <t>Bambara nut</t>
  </si>
  <si>
    <t>8.7</t>
  </si>
  <si>
    <t>Almond</t>
  </si>
  <si>
    <t>8.8</t>
  </si>
  <si>
    <t>Walnut</t>
  </si>
  <si>
    <t>8.99</t>
  </si>
  <si>
    <t>Other nuts</t>
  </si>
  <si>
    <t>9.1</t>
  </si>
  <si>
    <t>Cocoa</t>
  </si>
  <si>
    <t>9.2</t>
  </si>
  <si>
    <t>Coffee</t>
  </si>
  <si>
    <t>9.3</t>
  </si>
  <si>
    <t>Tea</t>
  </si>
  <si>
    <t>9.5</t>
  </si>
  <si>
    <t>Sunflower</t>
  </si>
  <si>
    <t>9.99</t>
  </si>
  <si>
    <t>Other food cash crop</t>
  </si>
  <si>
    <t>10.2</t>
  </si>
  <si>
    <t>Rubber</t>
  </si>
  <si>
    <t>10.3</t>
  </si>
  <si>
    <t>Jute</t>
  </si>
  <si>
    <t>10.4</t>
  </si>
  <si>
    <t>Fodder</t>
  </si>
  <si>
    <t>10.5</t>
  </si>
  <si>
    <t>Tobacco</t>
  </si>
  <si>
    <t>10.6</t>
  </si>
  <si>
    <t>Qat</t>
  </si>
  <si>
    <t>10.99</t>
  </si>
  <si>
    <t>Other non-food cash crop</t>
  </si>
  <si>
    <t>777</t>
  </si>
  <si>
    <t>No crop production</t>
  </si>
  <si>
    <t>888</t>
  </si>
  <si>
    <t>999</t>
  </si>
  <si>
    <t>Refused</t>
  </si>
  <si>
    <t>crop2</t>
  </si>
  <si>
    <t>7.101</t>
  </si>
  <si>
    <t>666</t>
  </si>
  <si>
    <t>No other crop</t>
  </si>
  <si>
    <t>crop3</t>
  </si>
  <si>
    <t>admin1</t>
  </si>
  <si>
    <t>PK12022</t>
  </si>
  <si>
    <t>Azad Kashmir</t>
  </si>
  <si>
    <t>PK22022</t>
  </si>
  <si>
    <t>Balochistan</t>
  </si>
  <si>
    <t>PK32022</t>
  </si>
  <si>
    <t>Gilgit Baltistan</t>
  </si>
  <si>
    <t>PK42022</t>
  </si>
  <si>
    <t>Islamabad</t>
  </si>
  <si>
    <t>PK52022</t>
  </si>
  <si>
    <t>Khyber Pakhtunkhwa</t>
  </si>
  <si>
    <t>PK62022</t>
  </si>
  <si>
    <t>Punjab</t>
  </si>
  <si>
    <t>PK72022</t>
  </si>
  <si>
    <t>Sindh</t>
  </si>
  <si>
    <t>admin2</t>
  </si>
  <si>
    <t>PK1012022</t>
  </si>
  <si>
    <t>Bagh</t>
  </si>
  <si>
    <t>PK1022022</t>
  </si>
  <si>
    <t>Bhimber</t>
  </si>
  <si>
    <t>PK1032022</t>
  </si>
  <si>
    <t>Jhelum Valley</t>
  </si>
  <si>
    <t>PK1042022</t>
  </si>
  <si>
    <t>Haveli</t>
  </si>
  <si>
    <t>PK1052022</t>
  </si>
  <si>
    <t>Kotli</t>
  </si>
  <si>
    <t>PK1062022</t>
  </si>
  <si>
    <t>Mirpur</t>
  </si>
  <si>
    <t>PK1072022</t>
  </si>
  <si>
    <t>Muzaffarabad</t>
  </si>
  <si>
    <t>PK1082022</t>
  </si>
  <si>
    <t>Neelum</t>
  </si>
  <si>
    <t>PK1092022</t>
  </si>
  <si>
    <t>Poonch</t>
  </si>
  <si>
    <t>PK1102022</t>
  </si>
  <si>
    <t>Sudhnoti</t>
  </si>
  <si>
    <t>PK2012022</t>
  </si>
  <si>
    <t>Awaran</t>
  </si>
  <si>
    <t>PK2022022</t>
  </si>
  <si>
    <t>Barkhan</t>
  </si>
  <si>
    <t>PK2042022</t>
  </si>
  <si>
    <t>Dera Bugti</t>
  </si>
  <si>
    <t>PK2052022</t>
  </si>
  <si>
    <t>Gwadar</t>
  </si>
  <si>
    <t>PK2062022</t>
  </si>
  <si>
    <t>Harnai</t>
  </si>
  <si>
    <t>PK2112022</t>
  </si>
  <si>
    <t>Kech</t>
  </si>
  <si>
    <t>PK2132022</t>
  </si>
  <si>
    <t>Khuzdar</t>
  </si>
  <si>
    <t>PK2162022</t>
  </si>
  <si>
    <t>Kohlu</t>
  </si>
  <si>
    <t>PK2182022</t>
  </si>
  <si>
    <t>Lehri</t>
  </si>
  <si>
    <t>PK2212022</t>
  </si>
  <si>
    <t>Musakhel</t>
  </si>
  <si>
    <t>PK2272022</t>
  </si>
  <si>
    <t>Sherani</t>
  </si>
  <si>
    <t>PK2282022</t>
  </si>
  <si>
    <t>Sibi</t>
  </si>
  <si>
    <t>PK2332022</t>
  </si>
  <si>
    <t>Shaheed Sikandarabad</t>
  </si>
  <si>
    <t>PK2342022</t>
  </si>
  <si>
    <t>Duki</t>
  </si>
  <si>
    <t>PK2352022</t>
  </si>
  <si>
    <t>Chaman</t>
  </si>
  <si>
    <t>PK3012022</t>
  </si>
  <si>
    <t>Astore</t>
  </si>
  <si>
    <t>PK3022022</t>
  </si>
  <si>
    <t>Diamir</t>
  </si>
  <si>
    <t>PK3032022</t>
  </si>
  <si>
    <t>Ghanche</t>
  </si>
  <si>
    <t>PK3042022</t>
  </si>
  <si>
    <t>Ghizer</t>
  </si>
  <si>
    <t>PK3052022</t>
  </si>
  <si>
    <t>Gilgit</t>
  </si>
  <si>
    <t>PK3062022</t>
  </si>
  <si>
    <t>Hunza</t>
  </si>
  <si>
    <t>PK3072022</t>
  </si>
  <si>
    <t>Skardu</t>
  </si>
  <si>
    <t>PK3082022</t>
  </si>
  <si>
    <t>Nagar</t>
  </si>
  <si>
    <t>PK3092022</t>
  </si>
  <si>
    <t>Kharmang</t>
  </si>
  <si>
    <t>PK3102022</t>
  </si>
  <si>
    <t>Shigar</t>
  </si>
  <si>
    <t>PK3112022</t>
  </si>
  <si>
    <t>Darel</t>
  </si>
  <si>
    <t>PK3122022</t>
  </si>
  <si>
    <t>Tangir</t>
  </si>
  <si>
    <t>PK3132022</t>
  </si>
  <si>
    <t>Gupis-Yasin</t>
  </si>
  <si>
    <t>PK3142022</t>
  </si>
  <si>
    <t>Rondu</t>
  </si>
  <si>
    <t>PK4012022</t>
  </si>
  <si>
    <t>PK5012022</t>
  </si>
  <si>
    <t>Abbottabad</t>
  </si>
  <si>
    <t>PK5022022</t>
  </si>
  <si>
    <t>Bajaur</t>
  </si>
  <si>
    <t>PK5032022</t>
  </si>
  <si>
    <t>Bannu</t>
  </si>
  <si>
    <t>PK5042022</t>
  </si>
  <si>
    <t>Batagram</t>
  </si>
  <si>
    <t>PK5052022</t>
  </si>
  <si>
    <t>Buner</t>
  </si>
  <si>
    <t>PK5072022</t>
  </si>
  <si>
    <t>Chitral Lower</t>
  </si>
  <si>
    <t>Chitral Upper</t>
  </si>
  <si>
    <t>PK5102022</t>
  </si>
  <si>
    <t>Hangu</t>
  </si>
  <si>
    <t>PK5112022</t>
  </si>
  <si>
    <t>Haripur</t>
  </si>
  <si>
    <t>PK5122022</t>
  </si>
  <si>
    <t>Karak</t>
  </si>
  <si>
    <t>PK5132022</t>
  </si>
  <si>
    <t>Khyber</t>
  </si>
  <si>
    <t>PK5142022</t>
  </si>
  <si>
    <t>Kohat</t>
  </si>
  <si>
    <t>Kohistan Lower</t>
  </si>
  <si>
    <t>PK5162022</t>
  </si>
  <si>
    <t>Kohistan Upper</t>
  </si>
  <si>
    <t>PK5172022</t>
  </si>
  <si>
    <t>Kolai Palas Kohistan</t>
  </si>
  <si>
    <t>PK5182022</t>
  </si>
  <si>
    <t>Kurram</t>
  </si>
  <si>
    <t>PK5192022</t>
  </si>
  <si>
    <t>Lakki Marwat</t>
  </si>
  <si>
    <t>PK5202022</t>
  </si>
  <si>
    <t>Lower Dir</t>
  </si>
  <si>
    <t>PK5222022</t>
  </si>
  <si>
    <t>Mansehra</t>
  </si>
  <si>
    <t>PK5232022</t>
  </si>
  <si>
    <t>Mardan</t>
  </si>
  <si>
    <t>PK5242022</t>
  </si>
  <si>
    <t>Mohmand</t>
  </si>
  <si>
    <t>PK5252022</t>
  </si>
  <si>
    <t>North Waziristan</t>
  </si>
  <si>
    <t>PK5272022</t>
  </si>
  <si>
    <t>Orakzai</t>
  </si>
  <si>
    <t>PK5282022</t>
  </si>
  <si>
    <t>Peshawar</t>
  </si>
  <si>
    <t>PK5292022</t>
  </si>
  <si>
    <t>Shangla</t>
  </si>
  <si>
    <t>PK5302022</t>
  </si>
  <si>
    <t>South Waziristan</t>
  </si>
  <si>
    <t>PK5312022</t>
  </si>
  <si>
    <t>Swabi</t>
  </si>
  <si>
    <t>PK5342022</t>
  </si>
  <si>
    <t>Tor Ghar</t>
  </si>
  <si>
    <t>PK6012022</t>
  </si>
  <si>
    <t>Attock</t>
  </si>
  <si>
    <t>PK6022022</t>
  </si>
  <si>
    <t>Bahawalnagar</t>
  </si>
  <si>
    <t>PK6032022</t>
  </si>
  <si>
    <t>Bahawalpur</t>
  </si>
  <si>
    <t>PK6042022</t>
  </si>
  <si>
    <t>Bhakkar</t>
  </si>
  <si>
    <t>PK6052022</t>
  </si>
  <si>
    <t>Chakwal</t>
  </si>
  <si>
    <t>PK6062022</t>
  </si>
  <si>
    <t>Chiniot</t>
  </si>
  <si>
    <t>PK6082022</t>
  </si>
  <si>
    <t>Faisalabad</t>
  </si>
  <si>
    <t>PK6092022</t>
  </si>
  <si>
    <t>Gujranwala</t>
  </si>
  <si>
    <t>PK6102022</t>
  </si>
  <si>
    <t>Gujrat</t>
  </si>
  <si>
    <t>PK6112022</t>
  </si>
  <si>
    <t>Hafizabad</t>
  </si>
  <si>
    <t>PK6122022</t>
  </si>
  <si>
    <t>Jhang</t>
  </si>
  <si>
    <t>PK6132022</t>
  </si>
  <si>
    <t>Jhelum</t>
  </si>
  <si>
    <t>PK6142022</t>
  </si>
  <si>
    <t>Kasur</t>
  </si>
  <si>
    <t>PK6152022</t>
  </si>
  <si>
    <t>Khanewal</t>
  </si>
  <si>
    <t>PK6162022</t>
  </si>
  <si>
    <t>Khushab</t>
  </si>
  <si>
    <t>PK6172022</t>
  </si>
  <si>
    <t>Lahore</t>
  </si>
  <si>
    <t>PK6182022</t>
  </si>
  <si>
    <t>Leiah</t>
  </si>
  <si>
    <t>PK6192022</t>
  </si>
  <si>
    <t>Lodhran</t>
  </si>
  <si>
    <t>PK6202022</t>
  </si>
  <si>
    <t>Mandi Bahauddin</t>
  </si>
  <si>
    <t>PK6212022</t>
  </si>
  <si>
    <t>Mianwali</t>
  </si>
  <si>
    <t>PK6222022</t>
  </si>
  <si>
    <t>Multan</t>
  </si>
  <si>
    <t>PK6232022</t>
  </si>
  <si>
    <t>Muzaffargarh</t>
  </si>
  <si>
    <t>PK6242022</t>
  </si>
  <si>
    <t>Nankana Sahib</t>
  </si>
  <si>
    <t>PK6252022</t>
  </si>
  <si>
    <t>Narowal</t>
  </si>
  <si>
    <t>PK6262022</t>
  </si>
  <si>
    <t>Okara</t>
  </si>
  <si>
    <t>PK6272022</t>
  </si>
  <si>
    <t>Pakpattan</t>
  </si>
  <si>
    <t>PK6282022</t>
  </si>
  <si>
    <t>Rahim Yar Khan</t>
  </si>
  <si>
    <t>PK6302022</t>
  </si>
  <si>
    <t>Rawalpindi</t>
  </si>
  <si>
    <t>PK6312022</t>
  </si>
  <si>
    <t>Sahiwal</t>
  </si>
  <si>
    <t>PK6322022</t>
  </si>
  <si>
    <t>Sargodha</t>
  </si>
  <si>
    <t>PK6332022</t>
  </si>
  <si>
    <t>Sheikhupura</t>
  </si>
  <si>
    <t>PK6342022</t>
  </si>
  <si>
    <t>Sialkot</t>
  </si>
  <si>
    <t>PK6352022</t>
  </si>
  <si>
    <t>Toba Tek Singh</t>
  </si>
  <si>
    <t>PK6362022</t>
  </si>
  <si>
    <t>Vehari</t>
  </si>
  <si>
    <t>PK7022022</t>
  </si>
  <si>
    <t>Central Karachi</t>
  </si>
  <si>
    <t>PK7042022</t>
  </si>
  <si>
    <t>East Karachi</t>
  </si>
  <si>
    <t>PK7062022</t>
  </si>
  <si>
    <t>Hyderabad</t>
  </si>
  <si>
    <t>PK7122022</t>
  </si>
  <si>
    <t>Korangi Karachi</t>
  </si>
  <si>
    <t>PK7142022</t>
  </si>
  <si>
    <t>Malir Karachi</t>
  </si>
  <si>
    <t>PK7212022</t>
  </si>
  <si>
    <t>South Karachi</t>
  </si>
  <si>
    <t>PK7242022</t>
  </si>
  <si>
    <t>Tando Allahyar</t>
  </si>
  <si>
    <t>PK7252022</t>
  </si>
  <si>
    <t>Tando Muhammad Khan</t>
  </si>
  <si>
    <t>PK7292022</t>
  </si>
  <si>
    <t>West Karachi</t>
  </si>
  <si>
    <t>foodacquisition_codes</t>
  </si>
  <si>
    <t>Own production (crops, animals)</t>
  </si>
  <si>
    <t>Fishing/Hunting</t>
  </si>
  <si>
    <t>Gathering</t>
  </si>
  <si>
    <t>Loan</t>
  </si>
  <si>
    <t>Market purchase (cash/credit)</t>
  </si>
  <si>
    <t>Exchange labor or items for food</t>
  </si>
  <si>
    <t>gift (food) from family relatives or friends</t>
  </si>
  <si>
    <t>food aid from civil society, NGOs, government, WFP, etc.</t>
  </si>
  <si>
    <t>Province</t>
  </si>
  <si>
    <t>District</t>
  </si>
  <si>
    <t>version</t>
  </si>
  <si>
    <t>default_language</t>
  </si>
  <si>
    <t>allow_choice_duplicates</t>
  </si>
  <si>
    <t>style</t>
  </si>
  <si>
    <t>vM6cWXyHNhR3djPbARkHWi</t>
  </si>
  <si>
    <t>English (en)</t>
  </si>
  <si>
    <t>theme-grid no-text-transform</t>
  </si>
  <si>
    <t xml:space="preserve">Select top 10 crops </t>
  </si>
  <si>
    <t>Dataset code</t>
  </si>
  <si>
    <t>Label (EN)</t>
  </si>
  <si>
    <t>x</t>
  </si>
  <si>
    <t xml:space="preserve">Original </t>
  </si>
  <si>
    <t>Replacement</t>
  </si>
  <si>
    <t>Comment</t>
  </si>
  <si>
    <t>Example</t>
  </si>
  <si>
    <t>FOR CORE QUESTIONS    .
(Mandatory to fill out)    .</t>
  </si>
  <si>
    <t>phone number</t>
  </si>
  <si>
    <t>03336558647</t>
  </si>
  <si>
    <t>Type a phone number from your country in typical format, e.g. 77******* [please use exactly the number of characters that are found in a phone number].</t>
  </si>
  <si>
    <t>070******</t>
  </si>
  <si>
    <t>age</t>
  </si>
  <si>
    <t>Minimum age of respondent (recommend 18 years old)</t>
  </si>
  <si>
    <t>ADMIN1</t>
  </si>
  <si>
    <t>The first subdivision of the country, after national level; region; province; governorate; etc. Only one word should be inputted - Do not include spaces.</t>
  </si>
  <si>
    <t>region</t>
  </si>
  <si>
    <t>ADMIN2</t>
  </si>
  <si>
    <t>The second subdivision of the country; district; municipality; LGA; etc. Only one word should be inputted - Do not include spaces.</t>
  </si>
  <si>
    <t>district</t>
  </si>
  <si>
    <t>reference year</t>
  </si>
  <si>
    <t>a normal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</si>
  <si>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</si>
  <si>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season</t>
  </si>
  <si>
    <t>Kharif</t>
  </si>
  <si>
    <t>Name the crop season(s) of interest if there are several cropping seasons in the country (e.g. Meher and Belg in Ethiopia, rainy season / flood-recession cropping / irrigated dry season in the Sahel). You can refer to the “last season” or “ongoing season".</t>
  </si>
  <si>
    <t>wet season</t>
  </si>
  <si>
    <t>season phase</t>
  </si>
  <si>
    <t>Recently finished</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</si>
  <si>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</si>
  <si>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Harvesting</t>
  </si>
  <si>
    <t>local measurement unit</t>
  </si>
  <si>
    <t xml:space="preserve">Specify the local measurement unit for land size, other than acres, hectares, square meters and square feet. If no other unit of measurement is needed, keep this cell blank. </t>
  </si>
  <si>
    <t>Jeribs</t>
  </si>
  <si>
    <t>local measurement unit conversion</t>
  </si>
  <si>
    <t xml:space="preserve">Include the conversion of the local measurement unit to hectares. In other words, how many local measurement units are in 1 ha. </t>
  </si>
  <si>
    <t>FOR OPTIONAL QUESTIONS    .
(Fill out if applicable)    .</t>
  </si>
  <si>
    <t>currency</t>
  </si>
  <si>
    <t>Rupee</t>
  </si>
  <si>
    <t xml:space="preserve">The name of the main currency used nationally; USD; Naira; Rial; Pesos; etc. </t>
  </si>
  <si>
    <t>Naira</t>
  </si>
  <si>
    <t>MIN AMOUNT</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</si>
  <si>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</si>
  <si>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THRESHOLD</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</si>
  <si>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</si>
  <si>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</si>
  <si>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Okra, Cauliflower,Eggplant,Peas</t>
  </si>
  <si>
    <t>Input some common local vegetables [to be used as examples in the food consumption score indicator].</t>
  </si>
  <si>
    <t>eggplants, zucchini, cauliflower</t>
  </si>
  <si>
    <t>local fruits</t>
  </si>
  <si>
    <t>Apple, Banana,Oranges,Grapes</t>
  </si>
  <si>
    <t>Input some common local fruits [to be used as examples in the food consumption score indicator].</t>
  </si>
  <si>
    <t>apples, bananas, oranges</t>
  </si>
  <si>
    <t>FILL OUT FOR QUESTIONNAIRE DURATION ESTIMATION    .</t>
  </si>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</sst>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6"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70C0"/>
      <name val="Calibri"/>
      <family val="2"/>
      <scheme val="minor"/>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b/>
      <sz val="11"/>
      <color rgb="FF7030A0"/>
      <name val="Calibri"/>
      <family val="2"/>
      <scheme val="minor"/>
    </font>
    <font>
      <sz val="11"/>
      <color rgb="FF00B05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sz val="11"/>
      <color rgb="FF9C5700"/>
      <name val="Calibri"/>
      <family val="2"/>
      <scheme val="minor"/>
    </font>
    <font>
      <b/>
      <sz val="9"/>
      <color theme="1"/>
      <name val="Calibri"/>
      <family val="2"/>
      <scheme val="minor"/>
    </font>
    <font>
      <sz val="9"/>
      <color theme="1"/>
      <name val="Calibri"/>
      <family val="2"/>
      <scheme val="minor"/>
    </font>
    <font>
      <sz val="11"/>
      <color theme="0"/>
      <name val="Calibri"/>
      <family val="2"/>
      <scheme val="minor"/>
    </font>
    <font>
      <sz val="8"/>
      <name val="Calibri"/>
      <family val="2"/>
      <scheme val="minor"/>
    </font>
  </fonts>
  <fills count="14">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EB9C"/>
      </patternFill>
    </fill>
    <fill>
      <patternFill patternType="solid">
        <fgColor rgb="FFC00000"/>
        <bgColor indexed="64"/>
      </patternFill>
    </fill>
    <fill>
      <patternFill patternType="solid">
        <fgColor rgb="FF92D050"/>
        <bgColor indexed="64"/>
      </patternFill>
    </fill>
    <fill>
      <patternFill patternType="solid">
        <fgColor rgb="FFFF0000"/>
        <bgColor indexed="64"/>
      </patternFill>
    </fill>
    <fill>
      <patternFill patternType="solid">
        <fgColor theme="9" tint="-0.249977111117893"/>
        <bgColor indexed="64"/>
      </patternFill>
    </fill>
    <fill>
      <patternFill patternType="solid">
        <fgColor theme="3" tint="0.79998168889431442"/>
        <bgColor indexed="64"/>
      </patternFill>
    </fill>
  </fills>
  <borders count="45">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s>
  <cellStyleXfs count="18">
    <xf numFmtId="0" fontId="0" fillId="0" borderId="0"/>
    <xf numFmtId="0" fontId="7" fillId="0" borderId="0"/>
    <xf numFmtId="0" fontId="10" fillId="0" borderId="0"/>
    <xf numFmtId="0" fontId="16" fillId="0" borderId="0"/>
    <xf numFmtId="0" fontId="7" fillId="0" borderId="0"/>
    <xf numFmtId="0" fontId="7" fillId="0" borderId="0"/>
    <xf numFmtId="0" fontId="21" fillId="4" borderId="14"/>
    <xf numFmtId="9" fontId="10" fillId="0" borderId="0"/>
    <xf numFmtId="0" fontId="7" fillId="0" borderId="0"/>
    <xf numFmtId="0" fontId="7" fillId="0" borderId="0"/>
    <xf numFmtId="0" fontId="7" fillId="0" borderId="0"/>
    <xf numFmtId="0" fontId="7" fillId="0" borderId="0"/>
    <xf numFmtId="0" fontId="10" fillId="0" borderId="0"/>
    <xf numFmtId="0" fontId="7" fillId="0" borderId="0"/>
    <xf numFmtId="0" fontId="10" fillId="0" borderId="0"/>
    <xf numFmtId="0" fontId="7" fillId="0" borderId="0"/>
    <xf numFmtId="0" fontId="10" fillId="0" borderId="0"/>
    <xf numFmtId="0" fontId="31" fillId="8" borderId="0"/>
  </cellStyleXfs>
  <cellXfs count="332">
    <xf numFmtId="0" fontId="0" fillId="0" borderId="0" xfId="0"/>
    <xf numFmtId="0" fontId="9" fillId="2" borderId="0" xfId="0" applyFont="1" applyFill="1" applyProtection="1">
      <protection locked="0"/>
    </xf>
    <xf numFmtId="0" fontId="9" fillId="0" borderId="0" xfId="0" applyFont="1" applyProtection="1">
      <protection locked="0"/>
    </xf>
    <xf numFmtId="0" fontId="0" fillId="0" borderId="0" xfId="0" applyProtection="1">
      <protection locked="0"/>
    </xf>
    <xf numFmtId="0" fontId="0" fillId="2" borderId="0" xfId="0" applyFill="1" applyProtection="1">
      <protection locked="0"/>
    </xf>
    <xf numFmtId="0" fontId="11" fillId="2" borderId="0" xfId="0" applyFont="1" applyFill="1" applyProtection="1">
      <protection locked="0"/>
    </xf>
    <xf numFmtId="0" fontId="9" fillId="0" borderId="0" xfId="0" applyFont="1"/>
    <xf numFmtId="0" fontId="14" fillId="2" borderId="0" xfId="0" applyFont="1" applyFill="1" applyProtection="1">
      <protection locked="0"/>
    </xf>
    <xf numFmtId="0" fontId="8" fillId="2" borderId="0" xfId="0" applyFont="1" applyFill="1" applyProtection="1">
      <protection locked="0"/>
    </xf>
    <xf numFmtId="0" fontId="22" fillId="2" borderId="7" xfId="6" applyFont="1" applyFill="1" applyBorder="1" applyAlignment="1" applyProtection="1">
      <alignment horizontal="center" vertical="center"/>
      <protection locked="0"/>
    </xf>
    <xf numFmtId="0" fontId="13" fillId="0" borderId="0" xfId="0" applyFont="1" applyProtection="1">
      <protection locked="0"/>
    </xf>
    <xf numFmtId="0" fontId="14" fillId="0" borderId="0" xfId="0" applyFont="1" applyProtection="1">
      <protection locked="0"/>
    </xf>
    <xf numFmtId="0" fontId="8" fillId="0" borderId="0" xfId="0" applyFont="1" applyProtection="1">
      <protection locked="0"/>
    </xf>
    <xf numFmtId="0" fontId="12" fillId="0" borderId="0" xfId="0" applyFont="1"/>
    <xf numFmtId="0" fontId="12" fillId="0" borderId="0" xfId="0" applyFont="1" applyProtection="1">
      <protection locked="0"/>
    </xf>
    <xf numFmtId="0" fontId="11" fillId="0" borderId="0" xfId="0" applyFont="1" applyProtection="1">
      <protection locked="0"/>
    </xf>
    <xf numFmtId="0" fontId="12" fillId="2" borderId="0" xfId="0" applyFont="1" applyFill="1" applyProtection="1">
      <protection locked="0"/>
    </xf>
    <xf numFmtId="0" fontId="11" fillId="0" borderId="0" xfId="0" applyFont="1"/>
    <xf numFmtId="0" fontId="13" fillId="0" borderId="0" xfId="0" applyFont="1"/>
    <xf numFmtId="0" fontId="5" fillId="0" borderId="2" xfId="10" applyFont="1" applyBorder="1"/>
    <xf numFmtId="0" fontId="5" fillId="0" borderId="13" xfId="10" applyFont="1" applyBorder="1"/>
    <xf numFmtId="0" fontId="5" fillId="0" borderId="6" xfId="10" applyFont="1" applyBorder="1"/>
    <xf numFmtId="0" fontId="5" fillId="0" borderId="23" xfId="10" applyFont="1" applyBorder="1"/>
    <xf numFmtId="0" fontId="18" fillId="0" borderId="32" xfId="10" applyFont="1" applyBorder="1" applyAlignment="1">
      <alignment horizontal="center" vertical="center" wrapText="1"/>
    </xf>
    <xf numFmtId="0" fontId="18" fillId="0" borderId="28" xfId="10" applyFont="1" applyBorder="1" applyAlignment="1">
      <alignment horizontal="center" vertical="center" wrapText="1"/>
    </xf>
    <xf numFmtId="0" fontId="19" fillId="0" borderId="28" xfId="10" applyFont="1" applyBorder="1" applyAlignment="1">
      <alignment horizontal="center" vertical="center" wrapText="1"/>
    </xf>
    <xf numFmtId="0" fontId="19" fillId="0" borderId="35" xfId="10" applyFont="1" applyBorder="1" applyAlignment="1">
      <alignment vertical="center" wrapText="1"/>
    </xf>
    <xf numFmtId="0" fontId="19" fillId="0" borderId="19" xfId="10" applyFont="1" applyBorder="1" applyAlignment="1">
      <alignment vertical="center" wrapText="1"/>
    </xf>
    <xf numFmtId="0" fontId="19" fillId="0" borderId="30" xfId="10" applyFont="1" applyBorder="1" applyAlignment="1">
      <alignment vertical="center" wrapText="1"/>
    </xf>
    <xf numFmtId="9" fontId="19" fillId="0" borderId="21" xfId="7" applyFont="1" applyBorder="1" applyAlignment="1">
      <alignment horizontal="center" vertical="center" wrapText="1"/>
    </xf>
    <xf numFmtId="9" fontId="19" fillId="0" borderId="22" xfId="7" applyFont="1" applyBorder="1" applyAlignment="1">
      <alignment horizontal="center" vertical="center" wrapText="1"/>
    </xf>
    <xf numFmtId="0" fontId="5" fillId="0" borderId="3" xfId="10" applyFont="1" applyBorder="1"/>
    <xf numFmtId="0" fontId="18" fillId="0" borderId="10" xfId="5" applyFont="1" applyBorder="1" applyAlignment="1">
      <alignment horizontal="left" vertical="center"/>
    </xf>
    <xf numFmtId="0" fontId="18" fillId="0" borderId="38" xfId="10" applyFont="1" applyBorder="1" applyAlignment="1">
      <alignment horizontal="left" vertical="center"/>
    </xf>
    <xf numFmtId="0" fontId="18" fillId="0" borderId="37" xfId="10" applyFont="1" applyBorder="1" applyAlignment="1">
      <alignment horizontal="left" vertical="center"/>
    </xf>
    <xf numFmtId="0" fontId="18" fillId="0" borderId="10" xfId="10" applyFont="1" applyBorder="1" applyAlignment="1">
      <alignment horizontal="left" vertical="center"/>
    </xf>
    <xf numFmtId="0" fontId="25" fillId="0" borderId="8" xfId="10" applyFont="1" applyBorder="1" applyAlignment="1">
      <alignment horizontal="center" vertical="center" wrapText="1"/>
    </xf>
    <xf numFmtId="0" fontId="25" fillId="0" borderId="5" xfId="10" applyFont="1" applyBorder="1" applyAlignment="1">
      <alignment horizontal="center" vertical="center" wrapText="1"/>
    </xf>
    <xf numFmtId="0" fontId="23" fillId="0" borderId="39" xfId="0" applyFont="1" applyBorder="1" applyAlignment="1" applyProtection="1">
      <alignment horizontal="center" vertical="center" wrapText="1"/>
      <protection locked="0"/>
    </xf>
    <xf numFmtId="0" fontId="5" fillId="0" borderId="40" xfId="10" applyFont="1" applyBorder="1"/>
    <xf numFmtId="0" fontId="5" fillId="0" borderId="13" xfId="10" applyFont="1" applyBorder="1" applyAlignment="1">
      <alignment vertical="center"/>
    </xf>
    <xf numFmtId="0" fontId="20" fillId="0" borderId="26" xfId="10" applyFont="1" applyBorder="1" applyAlignment="1">
      <alignment horizontal="center" vertical="center"/>
    </xf>
    <xf numFmtId="0" fontId="18" fillId="0" borderId="31" xfId="10" applyFont="1" applyBorder="1" applyAlignment="1">
      <alignment vertical="center" wrapText="1"/>
    </xf>
    <xf numFmtId="0" fontId="5" fillId="0" borderId="3" xfId="10" applyFont="1" applyBorder="1" applyAlignment="1">
      <alignment vertical="center"/>
    </xf>
    <xf numFmtId="0" fontId="5" fillId="0" borderId="2" xfId="10" applyFont="1"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11" fillId="0" borderId="0" xfId="0" applyFont="1" applyAlignment="1" applyProtection="1">
      <alignment vertical="top" wrapText="1"/>
      <protection locked="0"/>
    </xf>
    <xf numFmtId="0" fontId="18" fillId="0" borderId="15" xfId="5" applyFont="1" applyBorder="1" applyAlignment="1">
      <alignment horizontal="left" vertical="center" wrapText="1"/>
    </xf>
    <xf numFmtId="0" fontId="25" fillId="0" borderId="15" xfId="10" applyFont="1" applyBorder="1" applyAlignment="1">
      <alignment horizontal="center" vertical="center" wrapText="1"/>
    </xf>
    <xf numFmtId="9" fontId="19" fillId="0" borderId="41" xfId="7" applyFont="1" applyBorder="1" applyAlignment="1">
      <alignment horizontal="center" vertical="center" wrapText="1"/>
    </xf>
    <xf numFmtId="0" fontId="29" fillId="0" borderId="16" xfId="10" applyFont="1" applyBorder="1" applyAlignment="1">
      <alignment vertical="center" wrapText="1"/>
    </xf>
    <xf numFmtId="0" fontId="29" fillId="0" borderId="7" xfId="10" applyFont="1" applyBorder="1" applyAlignment="1">
      <alignment vertical="center" wrapText="1"/>
    </xf>
    <xf numFmtId="0" fontId="29" fillId="0" borderId="4" xfId="10" applyFont="1" applyBorder="1" applyAlignment="1">
      <alignment vertical="center" wrapText="1"/>
    </xf>
    <xf numFmtId="0" fontId="5" fillId="5" borderId="6" xfId="10" applyFont="1" applyFill="1" applyBorder="1"/>
    <xf numFmtId="0" fontId="5" fillId="5" borderId="33" xfId="10" applyFont="1" applyFill="1" applyBorder="1" applyAlignment="1">
      <alignment wrapText="1"/>
    </xf>
    <xf numFmtId="0" fontId="18" fillId="5" borderId="34" xfId="10" applyFont="1" applyFill="1" applyBorder="1" applyAlignment="1">
      <alignment vertical="center"/>
    </xf>
    <xf numFmtId="0" fontId="19" fillId="5" borderId="35" xfId="10" applyFont="1" applyFill="1" applyBorder="1" applyAlignment="1">
      <alignment vertical="center" wrapText="1"/>
    </xf>
    <xf numFmtId="0" fontId="19" fillId="5" borderId="36" xfId="10" applyFont="1" applyFill="1" applyBorder="1" applyAlignment="1">
      <alignment horizontal="center" vertical="center" wrapText="1"/>
    </xf>
    <xf numFmtId="0" fontId="5" fillId="5" borderId="23" xfId="10" applyFont="1" applyFill="1" applyBorder="1"/>
    <xf numFmtId="0" fontId="5" fillId="5" borderId="2" xfId="10" applyFont="1" applyFill="1" applyBorder="1"/>
    <xf numFmtId="0" fontId="18" fillId="0" borderId="8" xfId="10" applyFont="1" applyBorder="1" applyAlignment="1">
      <alignment horizontal="left" vertical="center" wrapText="1"/>
    </xf>
    <xf numFmtId="0" fontId="5" fillId="0" borderId="6" xfId="10" applyFont="1" applyBorder="1" applyAlignment="1">
      <alignment vertical="center"/>
    </xf>
    <xf numFmtId="0" fontId="5" fillId="0" borderId="25" xfId="10" applyFont="1" applyBorder="1" applyAlignment="1">
      <alignment vertical="center"/>
    </xf>
    <xf numFmtId="0" fontId="20" fillId="0" borderId="12" xfId="10" applyFont="1" applyBorder="1" applyAlignment="1">
      <alignment horizontal="center" vertical="center" wrapText="1"/>
    </xf>
    <xf numFmtId="0" fontId="20" fillId="0" borderId="11" xfId="10" applyFont="1" applyBorder="1" applyAlignment="1">
      <alignment horizontal="center" vertical="center"/>
    </xf>
    <xf numFmtId="0" fontId="20" fillId="0" borderId="18" xfId="10" applyFont="1" applyBorder="1" applyAlignment="1">
      <alignment horizontal="center" vertical="center"/>
    </xf>
    <xf numFmtId="0" fontId="5" fillId="0" borderId="23" xfId="10" applyFont="1" applyBorder="1" applyAlignment="1">
      <alignment vertical="center"/>
    </xf>
    <xf numFmtId="0" fontId="10" fillId="0" borderId="42" xfId="5" applyFont="1" applyBorder="1" applyAlignment="1">
      <alignment horizontal="center" vertical="center"/>
    </xf>
    <xf numFmtId="0" fontId="10" fillId="0" borderId="43" xfId="5" applyFont="1" applyBorder="1" applyAlignment="1">
      <alignment horizontal="center" vertical="center"/>
    </xf>
    <xf numFmtId="0" fontId="9" fillId="0" borderId="0" xfId="0" applyFont="1" applyAlignment="1">
      <alignment vertical="top"/>
    </xf>
    <xf numFmtId="0" fontId="9" fillId="0" borderId="0" xfId="0" applyFont="1" applyAlignment="1" applyProtection="1">
      <alignment vertical="top"/>
      <protection locked="0"/>
    </xf>
    <xf numFmtId="0" fontId="23" fillId="0" borderId="0" xfId="0" applyFont="1" applyAlignment="1" applyProtection="1">
      <alignment vertical="top"/>
      <protection locked="0"/>
    </xf>
    <xf numFmtId="0" fontId="0" fillId="0" borderId="0" xfId="0" applyAlignment="1">
      <alignment vertical="top"/>
    </xf>
    <xf numFmtId="0" fontId="11" fillId="0" borderId="0" xfId="0" applyFont="1" applyAlignment="1" applyProtection="1">
      <alignment vertical="top"/>
      <protection locked="0"/>
    </xf>
    <xf numFmtId="0" fontId="12" fillId="0" borderId="0" xfId="0" applyFont="1" applyAlignment="1" applyProtection="1">
      <alignment vertical="top"/>
      <protection locked="0"/>
    </xf>
    <xf numFmtId="0" fontId="12" fillId="0" borderId="0" xfId="0" applyFont="1" applyAlignment="1" applyProtection="1">
      <alignment vertical="top" wrapText="1"/>
      <protection locked="0"/>
    </xf>
    <xf numFmtId="0" fontId="11" fillId="0" borderId="0" xfId="0" applyFont="1" applyAlignment="1">
      <alignment vertical="top"/>
    </xf>
    <xf numFmtId="0" fontId="11" fillId="0" borderId="0" xfId="0" applyFont="1" applyAlignment="1">
      <alignment vertical="top" wrapText="1"/>
    </xf>
    <xf numFmtId="0" fontId="23" fillId="0" borderId="0" xfId="0" applyFont="1" applyAlignment="1">
      <alignment vertical="top"/>
    </xf>
    <xf numFmtId="0" fontId="12" fillId="0" borderId="1" xfId="0" applyFont="1" applyBorder="1" applyAlignment="1" applyProtection="1">
      <alignment vertical="top"/>
      <protection locked="0"/>
    </xf>
    <xf numFmtId="0" fontId="12" fillId="0" borderId="1" xfId="0" applyFont="1" applyBorder="1" applyAlignment="1" applyProtection="1">
      <alignment vertical="top" wrapText="1"/>
      <protection locked="0"/>
    </xf>
    <xf numFmtId="0" fontId="11" fillId="0" borderId="1" xfId="0" applyFont="1" applyBorder="1" applyAlignment="1" applyProtection="1">
      <alignment vertical="top"/>
      <protection locked="0"/>
    </xf>
    <xf numFmtId="0" fontId="11" fillId="0" borderId="1" xfId="0" applyFont="1" applyBorder="1" applyAlignment="1" applyProtection="1">
      <alignment vertical="top" wrapText="1"/>
      <protection locked="0"/>
    </xf>
    <xf numFmtId="0" fontId="9" fillId="0" borderId="0" xfId="0" applyFont="1" applyAlignment="1">
      <alignment vertical="top" wrapText="1"/>
    </xf>
    <xf numFmtId="0" fontId="9" fillId="0" borderId="0" xfId="0" applyFont="1" applyAlignment="1" applyProtection="1">
      <alignment vertical="top" wrapText="1"/>
      <protection locked="0"/>
    </xf>
    <xf numFmtId="0" fontId="27" fillId="0" borderId="0" xfId="0" applyFont="1" applyAlignment="1" applyProtection="1">
      <alignment vertical="top"/>
      <protection locked="0"/>
    </xf>
    <xf numFmtId="0" fontId="11" fillId="0" borderId="1" xfId="0" applyFont="1" applyBorder="1" applyAlignment="1">
      <alignment vertical="top"/>
    </xf>
    <xf numFmtId="0" fontId="11" fillId="0" borderId="1" xfId="0" applyFont="1" applyBorder="1" applyAlignment="1">
      <alignment vertical="top" wrapText="1"/>
    </xf>
    <xf numFmtId="0" fontId="13" fillId="0" borderId="0" xfId="0" applyFont="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3" fillId="0" borderId="0" xfId="0" applyFont="1" applyAlignment="1">
      <alignment vertical="top" wrapText="1"/>
    </xf>
    <xf numFmtId="0" fontId="13" fillId="0" borderId="0" xfId="0" applyFont="1" applyAlignment="1">
      <alignment vertical="top"/>
    </xf>
    <xf numFmtId="9" fontId="11" fillId="0" borderId="0" xfId="0" applyNumberFormat="1" applyFont="1" applyAlignment="1" applyProtection="1">
      <alignment vertical="top"/>
      <protection locked="0"/>
    </xf>
    <xf numFmtId="0" fontId="9" fillId="0" borderId="0" xfId="0" applyFont="1" applyAlignment="1">
      <alignment horizontal="center" vertical="center"/>
    </xf>
    <xf numFmtId="0" fontId="9" fillId="0" borderId="0" xfId="0" applyFont="1" applyAlignment="1">
      <alignment horizontal="center" vertical="center" wrapText="1"/>
    </xf>
    <xf numFmtId="0" fontId="9" fillId="0" borderId="0" xfId="0" applyFont="1" applyAlignment="1" applyProtection="1">
      <alignment horizontal="center" vertical="center"/>
      <protection locked="0"/>
    </xf>
    <xf numFmtId="0" fontId="23" fillId="0" borderId="0" xfId="0" applyFont="1" applyAlignment="1" applyProtection="1">
      <alignment horizontal="center" vertical="center"/>
      <protection locked="0"/>
    </xf>
    <xf numFmtId="0" fontId="0" fillId="0" borderId="0" xfId="0" applyAlignment="1">
      <alignment vertical="center"/>
    </xf>
    <xf numFmtId="0" fontId="12" fillId="0" borderId="0" xfId="0" applyFont="1" applyAlignment="1" applyProtection="1">
      <alignment vertical="center"/>
      <protection locked="0"/>
    </xf>
    <xf numFmtId="0" fontId="11" fillId="0" borderId="0" xfId="0" applyFont="1" applyAlignment="1">
      <alignment vertical="center"/>
    </xf>
    <xf numFmtId="0" fontId="12" fillId="0" borderId="1" xfId="0" applyFont="1" applyBorder="1" applyAlignment="1" applyProtection="1">
      <alignment vertical="center"/>
      <protection locked="0"/>
    </xf>
    <xf numFmtId="0" fontId="11" fillId="0" borderId="1" xfId="0" applyFont="1" applyBorder="1" applyAlignment="1" applyProtection="1">
      <alignment vertical="center"/>
      <protection locked="0"/>
    </xf>
    <xf numFmtId="0" fontId="9" fillId="0" borderId="0" xfId="0" applyFont="1" applyAlignment="1">
      <alignment vertical="center"/>
    </xf>
    <xf numFmtId="0" fontId="9" fillId="0" borderId="0" xfId="0" applyFont="1" applyAlignment="1" applyProtection="1">
      <alignment vertical="center"/>
      <protection locked="0"/>
    </xf>
    <xf numFmtId="0" fontId="0" fillId="0" borderId="0" xfId="0" applyAlignment="1" applyProtection="1">
      <alignment vertical="center"/>
      <protection locked="0"/>
    </xf>
    <xf numFmtId="0" fontId="27" fillId="0" borderId="0" xfId="0" applyFont="1" applyAlignment="1" applyProtection="1">
      <alignment vertical="center"/>
      <protection locked="0"/>
    </xf>
    <xf numFmtId="0" fontId="27" fillId="0" borderId="0" xfId="0" applyFont="1" applyAlignment="1">
      <alignment vertical="center"/>
    </xf>
    <xf numFmtId="0" fontId="12" fillId="0" borderId="0" xfId="0" applyFont="1" applyAlignment="1">
      <alignment vertical="center"/>
    </xf>
    <xf numFmtId="0" fontId="11" fillId="0" borderId="1" xfId="0" applyFont="1" applyBorder="1" applyAlignment="1">
      <alignment vertical="center"/>
    </xf>
    <xf numFmtId="0" fontId="11" fillId="0" borderId="0" xfId="0" applyFont="1" applyAlignment="1" applyProtection="1">
      <alignment vertical="center"/>
      <protection locked="0"/>
    </xf>
    <xf numFmtId="0" fontId="0" fillId="0" borderId="1" xfId="0" applyBorder="1" applyAlignment="1">
      <alignment vertical="center"/>
    </xf>
    <xf numFmtId="0" fontId="23" fillId="0" borderId="0" xfId="0" applyFont="1" applyAlignment="1">
      <alignment vertical="center"/>
    </xf>
    <xf numFmtId="0" fontId="15" fillId="0" borderId="0" xfId="0" applyFont="1" applyAlignment="1" applyProtection="1">
      <alignment vertical="center"/>
      <protection locked="0"/>
    </xf>
    <xf numFmtId="0" fontId="12" fillId="0" borderId="0" xfId="0" applyFont="1" applyAlignment="1" applyProtection="1">
      <alignment vertical="center" wrapText="1"/>
      <protection locked="0"/>
    </xf>
    <xf numFmtId="0" fontId="18" fillId="0" borderId="5" xfId="10" applyFont="1" applyBorder="1" applyAlignment="1">
      <alignment horizontal="left" vertical="center" wrapText="1"/>
    </xf>
    <xf numFmtId="0" fontId="18" fillId="0" borderId="8" xfId="10" applyFont="1" applyBorder="1" applyAlignment="1">
      <alignment horizontal="left" vertical="center"/>
    </xf>
    <xf numFmtId="0" fontId="19" fillId="0" borderId="19" xfId="5" applyFont="1" applyBorder="1" applyAlignment="1">
      <alignment vertical="center" wrapText="1"/>
    </xf>
    <xf numFmtId="0" fontId="5" fillId="5" borderId="24" xfId="10" applyFont="1" applyFill="1" applyBorder="1" applyAlignment="1">
      <alignment horizontal="center" vertical="center"/>
    </xf>
    <xf numFmtId="0" fontId="19" fillId="0" borderId="22" xfId="10" applyFont="1" applyBorder="1" applyAlignment="1">
      <alignment horizontal="center" vertical="center" wrapText="1"/>
    </xf>
    <xf numFmtId="0" fontId="0" fillId="0" borderId="2" xfId="0" applyBorder="1"/>
    <xf numFmtId="0" fontId="11"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9" fillId="0" borderId="7" xfId="0" applyFont="1" applyBorder="1" applyAlignment="1">
      <alignment horizontal="center" vertical="center" wrapText="1"/>
    </xf>
    <xf numFmtId="0" fontId="23" fillId="0" borderId="7" xfId="0" applyFont="1" applyBorder="1" applyAlignment="1">
      <alignment horizontal="center" vertical="center"/>
    </xf>
    <xf numFmtId="0" fontId="23" fillId="0" borderId="7" xfId="0" applyFont="1" applyBorder="1" applyAlignment="1">
      <alignment horizontal="center" vertical="center" wrapText="1"/>
    </xf>
    <xf numFmtId="0" fontId="11" fillId="0" borderId="7" xfId="0" applyFont="1" applyBorder="1" applyAlignment="1">
      <alignment horizontal="center" vertical="center"/>
    </xf>
    <xf numFmtId="0" fontId="11" fillId="0" borderId="7" xfId="0" applyFont="1" applyBorder="1" applyAlignment="1">
      <alignment wrapText="1"/>
    </xf>
    <xf numFmtId="0" fontId="23" fillId="0" borderId="7" xfId="0" applyFont="1" applyBorder="1" applyAlignment="1">
      <alignment wrapText="1"/>
    </xf>
    <xf numFmtId="0" fontId="11"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11"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30" fillId="0" borderId="0" xfId="0" applyFont="1" applyAlignment="1">
      <alignment vertical="center"/>
    </xf>
    <xf numFmtId="0" fontId="30" fillId="0" borderId="0" xfId="0" applyFont="1" applyAlignment="1">
      <alignment vertical="top"/>
    </xf>
    <xf numFmtId="0" fontId="30" fillId="0" borderId="0" xfId="0" applyFont="1" applyAlignment="1">
      <alignment vertical="top" wrapText="1"/>
    </xf>
    <xf numFmtId="0" fontId="30" fillId="0" borderId="0" xfId="0" applyFont="1" applyAlignment="1" applyProtection="1">
      <alignment vertical="top"/>
      <protection locked="0"/>
    </xf>
    <xf numFmtId="0" fontId="24" fillId="0" borderId="0" xfId="0" applyFont="1" applyAlignment="1" applyProtection="1">
      <alignment vertical="top" wrapText="1"/>
      <protection locked="0"/>
    </xf>
    <xf numFmtId="9" fontId="12" fillId="0" borderId="0" xfId="0" applyNumberFormat="1" applyFont="1" applyAlignment="1" applyProtection="1">
      <alignment vertical="top"/>
      <protection locked="0"/>
    </xf>
    <xf numFmtId="0" fontId="17" fillId="0" borderId="0" xfId="0" applyFont="1" applyAlignment="1" applyProtection="1">
      <alignment vertical="top"/>
      <protection locked="0"/>
    </xf>
    <xf numFmtId="0" fontId="17" fillId="0" borderId="0" xfId="0" applyFont="1" applyAlignment="1" applyProtection="1">
      <alignment vertical="center"/>
      <protection locked="0"/>
    </xf>
    <xf numFmtId="9" fontId="11" fillId="0" borderId="0" xfId="7" applyFont="1" applyAlignment="1" applyProtection="1">
      <alignment vertical="top" wrapText="1"/>
      <protection locked="0"/>
    </xf>
    <xf numFmtId="9" fontId="11" fillId="0" borderId="0" xfId="7" applyFont="1" applyAlignment="1" applyProtection="1">
      <alignment vertical="top"/>
      <protection locked="0"/>
    </xf>
    <xf numFmtId="9" fontId="23" fillId="0" borderId="17" xfId="7" applyFont="1" applyBorder="1" applyAlignment="1" applyProtection="1">
      <alignment vertical="top"/>
      <protection locked="0"/>
    </xf>
    <xf numFmtId="0" fontId="23" fillId="0" borderId="18" xfId="0" applyFont="1" applyBorder="1" applyAlignment="1" applyProtection="1">
      <alignment vertical="top"/>
      <protection locked="0"/>
    </xf>
    <xf numFmtId="0" fontId="0" fillId="0" borderId="0" xfId="0" applyAlignment="1" applyProtection="1">
      <alignment horizontal="left" vertical="center" wrapText="1"/>
      <protection locked="0"/>
    </xf>
    <xf numFmtId="1" fontId="28" fillId="2" borderId="7" xfId="5" applyNumberFormat="1" applyFont="1" applyFill="1" applyBorder="1" applyAlignment="1" applyProtection="1">
      <alignment horizontal="center" vertical="center"/>
      <protection locked="0"/>
    </xf>
    <xf numFmtId="49" fontId="30" fillId="0" borderId="0" xfId="0" applyNumberFormat="1" applyFont="1" applyAlignment="1" applyProtection="1">
      <alignment horizontal="left" vertical="top" wrapText="1"/>
      <protection locked="0"/>
    </xf>
    <xf numFmtId="0" fontId="30" fillId="0" borderId="0" xfId="0" applyFont="1" applyAlignment="1" applyProtection="1">
      <alignment vertical="center"/>
      <protection locked="0"/>
    </xf>
    <xf numFmtId="0" fontId="19" fillId="0" borderId="16" xfId="5" applyFont="1" applyBorder="1" applyAlignment="1">
      <alignment vertical="center" wrapText="1"/>
    </xf>
    <xf numFmtId="0" fontId="18" fillId="0" borderId="9" xfId="5" applyFont="1" applyBorder="1" applyAlignment="1">
      <alignment vertical="center" wrapText="1"/>
    </xf>
    <xf numFmtId="0" fontId="18" fillId="0" borderId="7" xfId="5" applyFont="1" applyBorder="1" applyAlignment="1">
      <alignment vertical="center" wrapText="1"/>
    </xf>
    <xf numFmtId="0" fontId="19" fillId="0" borderId="7" xfId="10" applyFont="1" applyBorder="1" applyAlignment="1">
      <alignment vertical="center" wrapText="1"/>
    </xf>
    <xf numFmtId="0" fontId="22" fillId="0" borderId="7" xfId="6" applyFont="1" applyFill="1" applyBorder="1" applyAlignment="1">
      <alignment horizontal="center" vertical="center"/>
    </xf>
    <xf numFmtId="0" fontId="4" fillId="0" borderId="2" xfId="10" applyFont="1" applyBorder="1"/>
    <xf numFmtId="0" fontId="4" fillId="3" borderId="7" xfId="10" applyFont="1" applyFill="1" applyBorder="1" applyAlignment="1" applyProtection="1">
      <alignment horizontal="center" vertical="center"/>
      <protection locked="0"/>
    </xf>
    <xf numFmtId="2" fontId="4" fillId="3" borderId="7" xfId="10" applyNumberFormat="1" applyFont="1" applyFill="1" applyBorder="1" applyAlignment="1" applyProtection="1">
      <alignment horizontal="center" vertical="center"/>
      <protection locked="0"/>
    </xf>
    <xf numFmtId="0" fontId="11" fillId="0" borderId="0" xfId="0" applyFont="1" applyAlignment="1" applyProtection="1">
      <alignment horizontal="right" vertical="top"/>
      <protection locked="0"/>
    </xf>
    <xf numFmtId="0" fontId="23" fillId="0" borderId="17" xfId="0" applyFont="1" applyBorder="1" applyAlignment="1" applyProtection="1">
      <alignment horizontal="right" vertical="top"/>
      <protection locked="0"/>
    </xf>
    <xf numFmtId="0" fontId="9" fillId="0" borderId="33" xfId="0" applyFont="1" applyBorder="1" applyAlignment="1" applyProtection="1">
      <alignment horizontal="center" vertical="center" wrapText="1"/>
      <protection locked="0"/>
    </xf>
    <xf numFmtId="0" fontId="23" fillId="6" borderId="12" xfId="0" applyFont="1" applyFill="1" applyBorder="1" applyAlignment="1" applyProtection="1">
      <alignment horizontal="center" vertical="center" wrapText="1"/>
      <protection locked="0"/>
    </xf>
    <xf numFmtId="9" fontId="23" fillId="6" borderId="11" xfId="7" applyFont="1" applyFill="1" applyBorder="1" applyAlignment="1" applyProtection="1">
      <alignment horizontal="center" vertical="center" wrapText="1"/>
      <protection locked="0"/>
    </xf>
    <xf numFmtId="0" fontId="23" fillId="6" borderId="11" xfId="0" applyFont="1" applyFill="1" applyBorder="1" applyAlignment="1" applyProtection="1">
      <alignment horizontal="center" vertical="center" wrapText="1"/>
      <protection locked="0"/>
    </xf>
    <xf numFmtId="0" fontId="22" fillId="0" borderId="20" xfId="0" applyFont="1" applyBorder="1" applyProtection="1">
      <protection locked="0"/>
    </xf>
    <xf numFmtId="0" fontId="0" fillId="0" borderId="17" xfId="0" applyBorder="1" applyAlignment="1" applyProtection="1">
      <alignment vertical="top"/>
      <protection locked="0"/>
    </xf>
    <xf numFmtId="0" fontId="6" fillId="0" borderId="6" xfId="5" applyFont="1" applyBorder="1"/>
    <xf numFmtId="0" fontId="18" fillId="0" borderId="8" xfId="5" applyFont="1" applyBorder="1" applyAlignment="1">
      <alignment vertical="center"/>
    </xf>
    <xf numFmtId="0" fontId="3" fillId="3" borderId="7" xfId="5" applyFont="1" applyFill="1" applyBorder="1" applyAlignment="1" applyProtection="1">
      <alignment horizontal="center" vertical="center"/>
      <protection locked="0"/>
    </xf>
    <xf numFmtId="0" fontId="18" fillId="0" borderId="19" xfId="5" applyFont="1" applyBorder="1" applyAlignment="1">
      <alignment horizontal="left" vertical="center" wrapText="1"/>
    </xf>
    <xf numFmtId="0" fontId="18" fillId="0" borderId="28" xfId="5" applyFont="1" applyBorder="1" applyAlignment="1">
      <alignment horizontal="center" vertical="center" wrapText="1"/>
    </xf>
    <xf numFmtId="0" fontId="6" fillId="0" borderId="23" xfId="5" applyFont="1" applyBorder="1"/>
    <xf numFmtId="0" fontId="6" fillId="0" borderId="2" xfId="5" applyFont="1" applyBorder="1"/>
    <xf numFmtId="9" fontId="12" fillId="0" borderId="0" xfId="7" applyFont="1" applyAlignment="1" applyProtection="1">
      <alignment vertical="top"/>
      <protection locked="0"/>
    </xf>
    <xf numFmtId="0" fontId="24" fillId="2" borderId="0" xfId="0" applyFont="1" applyFill="1" applyProtection="1">
      <protection locked="0"/>
    </xf>
    <xf numFmtId="0" fontId="24" fillId="0" borderId="0" xfId="0" applyFont="1" applyProtection="1">
      <protection locked="0"/>
    </xf>
    <xf numFmtId="0" fontId="2" fillId="3" borderId="7" xfId="5" applyFont="1" applyFill="1" applyBorder="1" applyAlignment="1" applyProtection="1">
      <alignment horizontal="center" vertical="center"/>
      <protection locked="0"/>
    </xf>
    <xf numFmtId="0" fontId="19" fillId="0" borderId="28" xfId="5" applyFont="1" applyBorder="1" applyAlignment="1">
      <alignment horizontal="center" vertical="center" wrapText="1"/>
    </xf>
    <xf numFmtId="0" fontId="19" fillId="0" borderId="36" xfId="5" applyFont="1" applyBorder="1" applyAlignment="1">
      <alignment horizontal="center" vertical="center" wrapText="1"/>
    </xf>
    <xf numFmtId="2" fontId="2" fillId="3" borderId="24" xfId="5" applyNumberFormat="1" applyFont="1" applyFill="1" applyBorder="1" applyAlignment="1" applyProtection="1">
      <alignment horizontal="center" vertical="center"/>
      <protection locked="0"/>
    </xf>
    <xf numFmtId="0" fontId="18" fillId="0" borderId="44" xfId="5" applyFont="1" applyBorder="1" applyAlignment="1">
      <alignment vertical="center"/>
    </xf>
    <xf numFmtId="0" fontId="18" fillId="0" borderId="34" xfId="5" applyFont="1" applyBorder="1" applyAlignment="1">
      <alignment vertical="center"/>
    </xf>
    <xf numFmtId="0" fontId="11" fillId="7" borderId="0" xfId="17" applyFont="1" applyFill="1" applyProtection="1">
      <protection locked="0"/>
    </xf>
    <xf numFmtId="0" fontId="11" fillId="7" borderId="0" xfId="0" applyFont="1" applyFill="1" applyAlignment="1" applyProtection="1">
      <alignment wrapText="1"/>
      <protection locked="0"/>
    </xf>
    <xf numFmtId="0" fontId="0" fillId="7" borderId="0" xfId="0" applyFill="1" applyAlignment="1" applyProtection="1">
      <alignment vertical="top" wrapText="1"/>
      <protection locked="0"/>
    </xf>
    <xf numFmtId="0" fontId="0" fillId="7" borderId="0" xfId="0" applyFill="1" applyAlignment="1" applyProtection="1">
      <alignment vertical="top"/>
      <protection locked="0"/>
    </xf>
    <xf numFmtId="0" fontId="0" fillId="7" borderId="0" xfId="0" applyFill="1" applyAlignment="1" applyProtection="1">
      <alignment vertical="center"/>
      <protection locked="0"/>
    </xf>
    <xf numFmtId="0" fontId="11" fillId="7" borderId="0" xfId="0" applyFont="1" applyFill="1" applyAlignment="1" applyProtection="1">
      <alignment vertical="top"/>
      <protection locked="0"/>
    </xf>
    <xf numFmtId="0" fontId="0" fillId="7" borderId="0" xfId="0" applyFill="1" applyProtection="1">
      <protection locked="0"/>
    </xf>
    <xf numFmtId="0" fontId="11" fillId="7" borderId="0" xfId="0" applyFont="1" applyFill="1" applyProtection="1">
      <protection locked="0"/>
    </xf>
    <xf numFmtId="0" fontId="11" fillId="7" borderId="0" xfId="0" applyFont="1" applyFill="1" applyAlignment="1" applyProtection="1">
      <alignment vertical="top" wrapText="1"/>
      <protection locked="0"/>
    </xf>
    <xf numFmtId="0" fontId="11" fillId="7" borderId="0" xfId="0" applyFont="1" applyFill="1" applyAlignment="1" applyProtection="1">
      <alignment vertical="center"/>
      <protection locked="0"/>
    </xf>
    <xf numFmtId="0" fontId="13" fillId="7" borderId="0" xfId="0" applyFont="1" applyFill="1" applyAlignment="1" applyProtection="1">
      <alignment vertical="top"/>
      <protection locked="0"/>
    </xf>
    <xf numFmtId="0" fontId="12" fillId="7" borderId="0" xfId="0" applyFont="1" applyFill="1" applyAlignment="1" applyProtection="1">
      <alignment vertical="top"/>
      <protection locked="0"/>
    </xf>
    <xf numFmtId="0" fontId="12" fillId="7" borderId="0" xfId="0" applyFont="1" applyFill="1" applyAlignment="1" applyProtection="1">
      <alignment vertical="center"/>
      <protection locked="0"/>
    </xf>
    <xf numFmtId="0" fontId="9" fillId="7" borderId="0" xfId="0" applyFont="1" applyFill="1" applyAlignment="1" applyProtection="1">
      <alignment vertical="top"/>
      <protection locked="0"/>
    </xf>
    <xf numFmtId="0" fontId="9" fillId="7" borderId="0" xfId="0" applyFont="1" applyFill="1" applyAlignment="1" applyProtection="1">
      <alignment vertical="center"/>
      <protection locked="0"/>
    </xf>
    <xf numFmtId="0" fontId="23" fillId="7" borderId="0" xfId="0" applyFont="1" applyFill="1" applyAlignment="1" applyProtection="1">
      <alignment vertical="top"/>
      <protection locked="0"/>
    </xf>
    <xf numFmtId="0" fontId="0" fillId="10" borderId="0" xfId="0" applyFill="1" applyAlignment="1">
      <alignment vertical="top"/>
    </xf>
    <xf numFmtId="0" fontId="8" fillId="11" borderId="0" xfId="0" applyFont="1" applyFill="1" applyAlignment="1">
      <alignment vertical="top"/>
    </xf>
    <xf numFmtId="0" fontId="11" fillId="7" borderId="0" xfId="0" applyFont="1" applyFill="1"/>
    <xf numFmtId="0" fontId="0" fillId="7" borderId="0" xfId="0" applyFill="1" applyAlignment="1" applyProtection="1">
      <alignment wrapText="1"/>
      <protection locked="0"/>
    </xf>
    <xf numFmtId="0" fontId="26" fillId="7" borderId="0" xfId="0" applyFont="1" applyFill="1" applyProtection="1">
      <protection locked="0"/>
    </xf>
    <xf numFmtId="0" fontId="0" fillId="7" borderId="0" xfId="0" applyFill="1" applyAlignment="1">
      <alignment vertical="top"/>
    </xf>
    <xf numFmtId="0" fontId="0" fillId="7" borderId="0" xfId="0" applyFill="1" applyAlignment="1">
      <alignment vertical="top" wrapText="1"/>
    </xf>
    <xf numFmtId="0" fontId="0" fillId="7" borderId="0" xfId="0" applyFill="1" applyAlignment="1">
      <alignment vertical="center"/>
    </xf>
    <xf numFmtId="0" fontId="11" fillId="7" borderId="0" xfId="0" applyFont="1" applyFill="1" applyAlignment="1">
      <alignment vertical="center"/>
    </xf>
    <xf numFmtId="0" fontId="9" fillId="7" borderId="0" xfId="0" applyFont="1" applyFill="1" applyProtection="1">
      <protection locked="0"/>
    </xf>
    <xf numFmtId="0" fontId="23" fillId="7" borderId="0" xfId="0" applyFont="1" applyFill="1" applyProtection="1">
      <protection locked="0"/>
    </xf>
    <xf numFmtId="0" fontId="23" fillId="0" borderId="0" xfId="0" applyFont="1" applyAlignment="1" applyProtection="1">
      <alignment vertical="top" wrapText="1"/>
      <protection locked="0"/>
    </xf>
    <xf numFmtId="0" fontId="0" fillId="11" borderId="0" xfId="0" applyFill="1" applyAlignment="1" applyProtection="1">
      <alignment vertical="center"/>
      <protection locked="0"/>
    </xf>
    <xf numFmtId="0" fontId="32" fillId="0" borderId="0" xfId="0" applyFont="1"/>
    <xf numFmtId="0" fontId="23" fillId="7" borderId="0" xfId="0" applyFont="1" applyFill="1" applyAlignment="1" applyProtection="1">
      <alignment wrapText="1"/>
      <protection locked="0"/>
    </xf>
    <xf numFmtId="0" fontId="9" fillId="7" borderId="0" xfId="0" applyFont="1" applyFill="1" applyAlignment="1">
      <alignment vertical="center"/>
    </xf>
    <xf numFmtId="0" fontId="0" fillId="6" borderId="0" xfId="0" applyFill="1"/>
    <xf numFmtId="0" fontId="0" fillId="6" borderId="0" xfId="0" applyFill="1" applyProtection="1">
      <protection locked="0"/>
    </xf>
    <xf numFmtId="0" fontId="0" fillId="11" borderId="0" xfId="0" applyFill="1" applyProtection="1">
      <protection locked="0"/>
    </xf>
    <xf numFmtId="0" fontId="12" fillId="7" borderId="0" xfId="0" applyFont="1" applyFill="1" applyProtection="1">
      <protection locked="0"/>
    </xf>
    <xf numFmtId="0" fontId="33" fillId="0" borderId="0" xfId="0" applyFont="1"/>
    <xf numFmtId="0" fontId="33" fillId="0" borderId="0" xfId="0" applyFont="1" applyAlignment="1">
      <alignment vertical="center"/>
    </xf>
    <xf numFmtId="0" fontId="0" fillId="12" borderId="0" xfId="0" applyFill="1" applyAlignment="1">
      <alignment vertical="top"/>
    </xf>
    <xf numFmtId="0" fontId="0" fillId="12" borderId="0" xfId="0" applyFill="1" applyAlignment="1">
      <alignment vertical="top" wrapText="1"/>
    </xf>
    <xf numFmtId="0" fontId="0" fillId="12" borderId="0" xfId="0" applyFill="1" applyAlignment="1">
      <alignment vertical="center"/>
    </xf>
    <xf numFmtId="0" fontId="0" fillId="12" borderId="0" xfId="0" applyFill="1" applyAlignment="1" applyProtection="1">
      <alignment vertical="top"/>
      <protection locked="0"/>
    </xf>
    <xf numFmtId="0" fontId="11" fillId="12" borderId="0" xfId="0" applyFont="1" applyFill="1" applyAlignment="1" applyProtection="1">
      <alignment vertical="top"/>
      <protection locked="0"/>
    </xf>
    <xf numFmtId="0" fontId="11" fillId="12" borderId="0" xfId="0" applyFont="1" applyFill="1" applyAlignment="1" applyProtection="1">
      <alignment vertical="top" wrapText="1"/>
      <protection locked="0"/>
    </xf>
    <xf numFmtId="0" fontId="0" fillId="12" borderId="0" xfId="0" applyFill="1" applyAlignment="1" applyProtection="1">
      <alignment vertical="top" wrapText="1"/>
      <protection locked="0"/>
    </xf>
    <xf numFmtId="0" fontId="11" fillId="12" borderId="0" xfId="0" applyFont="1" applyFill="1" applyAlignment="1">
      <alignment vertical="center"/>
    </xf>
    <xf numFmtId="0" fontId="11" fillId="12" borderId="0" xfId="0" applyFont="1" applyFill="1" applyAlignment="1" applyProtection="1">
      <alignment vertical="center"/>
      <protection locked="0"/>
    </xf>
    <xf numFmtId="0" fontId="0" fillId="12" borderId="0" xfId="0" applyFill="1" applyProtection="1">
      <protection locked="0"/>
    </xf>
    <xf numFmtId="0" fontId="12" fillId="12" borderId="0" xfId="0" applyFont="1" applyFill="1" applyAlignment="1" applyProtection="1">
      <alignment vertical="top"/>
      <protection locked="0"/>
    </xf>
    <xf numFmtId="0" fontId="12" fillId="12" borderId="0" xfId="0" applyFont="1" applyFill="1" applyAlignment="1" applyProtection="1">
      <alignment vertical="center"/>
      <protection locked="0"/>
    </xf>
    <xf numFmtId="0" fontId="8" fillId="12" borderId="0" xfId="0" applyFont="1" applyFill="1" applyAlignment="1">
      <alignment vertical="top"/>
    </xf>
    <xf numFmtId="0" fontId="11" fillId="10" borderId="0" xfId="0" applyFont="1" applyFill="1" applyAlignment="1">
      <alignment vertical="top"/>
    </xf>
    <xf numFmtId="0" fontId="11" fillId="10" borderId="0" xfId="0" applyFont="1" applyFill="1" applyAlignment="1">
      <alignment vertical="center"/>
    </xf>
    <xf numFmtId="9" fontId="11" fillId="10" borderId="0" xfId="7" applyFont="1" applyFill="1" applyAlignment="1">
      <alignment vertical="top"/>
    </xf>
    <xf numFmtId="9" fontId="11" fillId="10" borderId="0" xfId="7" applyFont="1" applyFill="1" applyAlignment="1" applyProtection="1">
      <alignment vertical="top"/>
      <protection locked="0"/>
    </xf>
    <xf numFmtId="0" fontId="11" fillId="10" borderId="0" xfId="0" applyFont="1" applyFill="1" applyAlignment="1" applyProtection="1">
      <alignment vertical="top"/>
      <protection locked="0"/>
    </xf>
    <xf numFmtId="0" fontId="0" fillId="10" borderId="0" xfId="0" applyFill="1" applyAlignment="1" applyProtection="1">
      <alignment vertical="top"/>
      <protection locked="0"/>
    </xf>
    <xf numFmtId="0" fontId="0" fillId="10" borderId="0" xfId="0" applyFill="1" applyAlignment="1" applyProtection="1">
      <alignment vertical="top" wrapText="1"/>
      <protection locked="0"/>
    </xf>
    <xf numFmtId="0" fontId="0" fillId="10" borderId="0" xfId="0" applyFill="1" applyAlignment="1" applyProtection="1">
      <alignment vertical="center"/>
      <protection locked="0"/>
    </xf>
    <xf numFmtId="0" fontId="11" fillId="10" borderId="0" xfId="0" applyFont="1" applyFill="1" applyAlignment="1" applyProtection="1">
      <alignment vertical="center"/>
      <protection locked="0"/>
    </xf>
    <xf numFmtId="0" fontId="0" fillId="10" borderId="0" xfId="0" applyFill="1"/>
    <xf numFmtId="0" fontId="11" fillId="5" borderId="0" xfId="0" applyFont="1" applyFill="1" applyAlignment="1" applyProtection="1">
      <alignment vertical="top" wrapText="1"/>
      <protection locked="0"/>
    </xf>
    <xf numFmtId="0" fontId="23" fillId="5" borderId="0" xfId="0" applyFont="1" applyFill="1" applyProtection="1">
      <protection locked="0"/>
    </xf>
    <xf numFmtId="0" fontId="23" fillId="5" borderId="0" xfId="0" applyFont="1" applyFill="1" applyAlignment="1" applyProtection="1">
      <alignment wrapText="1"/>
      <protection locked="0"/>
    </xf>
    <xf numFmtId="0" fontId="0" fillId="5" borderId="0" xfId="0" applyFill="1" applyAlignment="1" applyProtection="1">
      <alignment vertical="center"/>
      <protection locked="0"/>
    </xf>
    <xf numFmtId="0" fontId="11" fillId="5" borderId="0" xfId="0" applyFont="1" applyFill="1" applyProtection="1">
      <protection locked="0"/>
    </xf>
    <xf numFmtId="0" fontId="11" fillId="5" borderId="0" xfId="0" applyFont="1" applyFill="1" applyAlignment="1" applyProtection="1">
      <alignment wrapText="1"/>
      <protection locked="0"/>
    </xf>
    <xf numFmtId="0" fontId="34" fillId="9" borderId="0" xfId="0" applyFont="1" applyFill="1" applyAlignment="1" applyProtection="1">
      <alignment vertical="top"/>
      <protection locked="0"/>
    </xf>
    <xf numFmtId="9" fontId="34" fillId="9" borderId="0" xfId="7" applyFont="1" applyFill="1" applyAlignment="1" applyProtection="1">
      <alignment vertical="top"/>
      <protection locked="0"/>
    </xf>
    <xf numFmtId="0" fontId="34" fillId="9" borderId="0" xfId="0" applyFont="1" applyFill="1" applyAlignment="1">
      <alignment vertical="top"/>
    </xf>
    <xf numFmtId="0" fontId="34" fillId="9" borderId="0" xfId="0" applyFont="1" applyFill="1" applyAlignment="1">
      <alignment vertical="top" wrapText="1"/>
    </xf>
    <xf numFmtId="0" fontId="34" fillId="9" borderId="0" xfId="0" applyFont="1" applyFill="1" applyAlignment="1">
      <alignment vertical="center"/>
    </xf>
    <xf numFmtId="0" fontId="11" fillId="10" borderId="0" xfId="0" applyFont="1" applyFill="1" applyProtection="1">
      <protection locked="0"/>
    </xf>
    <xf numFmtId="0" fontId="11" fillId="10" borderId="0" xfId="0" applyFont="1" applyFill="1" applyAlignment="1" applyProtection="1">
      <alignment wrapText="1"/>
      <protection locked="0"/>
    </xf>
    <xf numFmtId="0" fontId="0" fillId="11" borderId="0" xfId="0" applyFill="1" applyAlignment="1">
      <alignment vertical="top"/>
    </xf>
    <xf numFmtId="49" fontId="1" fillId="3" borderId="16" xfId="5" applyNumberFormat="1" applyFont="1" applyFill="1" applyBorder="1" applyAlignment="1" applyProtection="1">
      <alignment horizontal="center" vertical="center"/>
      <protection locked="0"/>
    </xf>
    <xf numFmtId="0" fontId="1" fillId="3" borderId="7" xfId="10" applyFont="1" applyFill="1" applyBorder="1" applyAlignment="1" applyProtection="1">
      <alignment horizontal="center" vertical="center"/>
      <protection locked="0"/>
    </xf>
    <xf numFmtId="0" fontId="1" fillId="3" borderId="9" xfId="10" applyFont="1" applyFill="1" applyBorder="1" applyAlignment="1" applyProtection="1">
      <alignment horizontal="center" vertical="center"/>
      <protection locked="0"/>
    </xf>
    <xf numFmtId="0" fontId="1" fillId="3" borderId="4" xfId="10" applyFont="1" applyFill="1" applyBorder="1" applyAlignment="1" applyProtection="1">
      <alignment horizontal="center" vertical="center"/>
      <protection locked="0"/>
    </xf>
    <xf numFmtId="0" fontId="0" fillId="0" borderId="0" xfId="0" applyAlignment="1">
      <alignment horizontal="left"/>
    </xf>
    <xf numFmtId="9" fontId="11" fillId="7" borderId="0" xfId="7" applyFont="1" applyFill="1" applyAlignment="1" applyProtection="1">
      <alignment vertical="top"/>
      <protection locked="0"/>
    </xf>
    <xf numFmtId="0" fontId="12" fillId="7" borderId="0" xfId="0" applyFont="1" applyFill="1" applyAlignment="1" applyProtection="1">
      <alignment vertical="top" wrapText="1"/>
      <protection locked="0"/>
    </xf>
    <xf numFmtId="0" fontId="12" fillId="7" borderId="0" xfId="0" applyFont="1" applyFill="1" applyAlignment="1" applyProtection="1">
      <alignment vertical="center" wrapText="1"/>
      <protection locked="0"/>
    </xf>
    <xf numFmtId="9" fontId="11" fillId="7" borderId="0" xfId="0" applyNumberFormat="1" applyFont="1" applyFill="1" applyAlignment="1" applyProtection="1">
      <alignment vertical="top"/>
      <protection locked="0"/>
    </xf>
    <xf numFmtId="0" fontId="0" fillId="7" borderId="0" xfId="0" applyFill="1"/>
    <xf numFmtId="0" fontId="0" fillId="7" borderId="0" xfId="0" applyFill="1" applyAlignment="1">
      <alignment horizontal="left"/>
    </xf>
    <xf numFmtId="0" fontId="0" fillId="13" borderId="0" xfId="0" applyFill="1" applyAlignment="1">
      <alignment vertical="top"/>
    </xf>
    <xf numFmtId="0" fontId="0" fillId="13" borderId="0" xfId="0" applyFill="1" applyAlignment="1">
      <alignment vertical="top" wrapText="1"/>
    </xf>
    <xf numFmtId="0" fontId="0" fillId="13" borderId="0" xfId="0" applyFill="1" applyAlignment="1" applyProtection="1">
      <alignment vertical="top"/>
      <protection locked="0"/>
    </xf>
    <xf numFmtId="0" fontId="0" fillId="13" borderId="0" xfId="0" applyFill="1" applyAlignment="1">
      <alignment vertical="center"/>
    </xf>
    <xf numFmtId="0" fontId="12" fillId="13" borderId="0" xfId="0" applyFont="1" applyFill="1" applyAlignment="1" applyProtection="1">
      <alignment vertical="center"/>
      <protection locked="0"/>
    </xf>
    <xf numFmtId="9" fontId="11" fillId="13" borderId="0" xfId="7" applyFont="1" applyFill="1" applyAlignment="1" applyProtection="1">
      <alignment vertical="top"/>
      <protection locked="0"/>
    </xf>
    <xf numFmtId="0" fontId="11" fillId="13" borderId="0" xfId="0" applyFont="1" applyFill="1" applyAlignment="1" applyProtection="1">
      <alignment vertical="top"/>
      <protection locked="0"/>
    </xf>
    <xf numFmtId="0" fontId="0" fillId="13" borderId="0" xfId="0" applyFill="1" applyProtection="1">
      <protection locked="0"/>
    </xf>
    <xf numFmtId="0" fontId="0" fillId="13" borderId="0" xfId="0" applyFill="1"/>
    <xf numFmtId="0" fontId="11" fillId="13" borderId="0" xfId="0" applyFont="1" applyFill="1" applyProtection="1">
      <protection locked="0"/>
    </xf>
    <xf numFmtId="0" fontId="0" fillId="13" borderId="0" xfId="0" quotePrefix="1" applyFill="1" applyAlignment="1">
      <alignment vertical="top" wrapText="1"/>
    </xf>
    <xf numFmtId="0" fontId="11" fillId="13" borderId="0" xfId="0" applyFont="1" applyFill="1" applyAlignment="1" applyProtection="1">
      <alignment vertical="center"/>
      <protection locked="0"/>
    </xf>
    <xf numFmtId="0" fontId="0" fillId="13" borderId="0" xfId="0" applyFill="1" applyAlignment="1" applyProtection="1">
      <alignment vertical="center"/>
      <protection locked="0"/>
    </xf>
    <xf numFmtId="0" fontId="11" fillId="13" borderId="0" xfId="0" applyFont="1" applyFill="1" applyAlignment="1" applyProtection="1">
      <alignment wrapText="1"/>
      <protection locked="0"/>
    </xf>
    <xf numFmtId="0" fontId="26" fillId="13" borderId="0" xfId="0" applyFont="1" applyFill="1" applyProtection="1">
      <protection locked="0"/>
    </xf>
    <xf numFmtId="0" fontId="13" fillId="13" borderId="0" xfId="0" applyFont="1" applyFill="1"/>
    <xf numFmtId="0" fontId="11" fillId="13" borderId="0" xfId="0" applyFont="1" applyFill="1" applyAlignment="1" applyProtection="1">
      <alignment vertical="top" wrapText="1"/>
      <protection locked="0"/>
    </xf>
    <xf numFmtId="0" fontId="9" fillId="13" borderId="0" xfId="0" applyFont="1" applyFill="1" applyAlignment="1">
      <alignment vertical="center"/>
    </xf>
    <xf numFmtId="0" fontId="32" fillId="13" borderId="0" xfId="0" applyFont="1" applyFill="1"/>
    <xf numFmtId="0" fontId="30" fillId="7" borderId="0" xfId="0" applyFont="1" applyFill="1" applyAlignment="1">
      <alignment vertical="top"/>
    </xf>
    <xf numFmtId="0" fontId="0" fillId="11" borderId="0" xfId="0" applyFill="1" applyAlignment="1" applyProtection="1">
      <alignment vertical="top"/>
      <protection locked="0"/>
    </xf>
    <xf numFmtId="0" fontId="11" fillId="11" borderId="0" xfId="0" applyFont="1" applyFill="1" applyAlignment="1" applyProtection="1">
      <alignment wrapText="1"/>
      <protection locked="0"/>
    </xf>
    <xf numFmtId="0" fontId="11" fillId="11" borderId="0" xfId="0" applyFont="1" applyFill="1" applyAlignment="1" applyProtection="1">
      <alignment vertical="top"/>
      <protection locked="0"/>
    </xf>
    <xf numFmtId="0" fontId="0" fillId="11" borderId="0" xfId="0" applyFill="1"/>
    <xf numFmtId="0" fontId="0" fillId="5" borderId="0" xfId="0" applyFill="1"/>
    <xf numFmtId="0" fontId="11" fillId="11" borderId="0" xfId="0" applyFont="1" applyFill="1" applyAlignment="1">
      <alignment vertical="top"/>
    </xf>
    <xf numFmtId="0" fontId="0" fillId="11" borderId="0" xfId="0" applyFill="1" applyAlignment="1" applyProtection="1">
      <alignment vertical="top" wrapText="1"/>
      <protection locked="0"/>
    </xf>
    <xf numFmtId="164" fontId="11" fillId="0" borderId="0" xfId="0" applyNumberFormat="1" applyFont="1" applyAlignment="1" applyProtection="1">
      <alignment horizontal="right" vertical="top"/>
      <protection locked="0"/>
    </xf>
    <xf numFmtId="164" fontId="11" fillId="0" borderId="0" xfId="0" applyNumberFormat="1" applyFont="1" applyAlignment="1" applyProtection="1">
      <alignment vertical="top"/>
      <protection locked="0"/>
    </xf>
    <xf numFmtId="164" fontId="12" fillId="0" borderId="0" xfId="0" applyNumberFormat="1" applyFont="1" applyAlignment="1" applyProtection="1">
      <alignment horizontal="right" vertical="top"/>
      <protection locked="0"/>
    </xf>
    <xf numFmtId="164" fontId="12" fillId="0" borderId="0" xfId="0" applyNumberFormat="1" applyFont="1" applyAlignment="1" applyProtection="1">
      <alignment vertical="top"/>
      <protection locked="0"/>
    </xf>
    <xf numFmtId="164" fontId="11" fillId="13" borderId="0" xfId="0" applyNumberFormat="1" applyFont="1" applyFill="1" applyAlignment="1" applyProtection="1">
      <alignment horizontal="right" vertical="top"/>
      <protection locked="0"/>
    </xf>
    <xf numFmtId="164" fontId="11" fillId="13" borderId="0" xfId="0" applyNumberFormat="1" applyFont="1" applyFill="1" applyAlignment="1" applyProtection="1">
      <alignment vertical="top"/>
      <protection locked="0"/>
    </xf>
    <xf numFmtId="164" fontId="11" fillId="7" borderId="0" xfId="0" applyNumberFormat="1" applyFont="1" applyFill="1" applyAlignment="1" applyProtection="1">
      <alignment horizontal="right" vertical="top"/>
      <protection locked="0"/>
    </xf>
    <xf numFmtId="164" fontId="11" fillId="7" borderId="0" xfId="0" applyNumberFormat="1" applyFont="1" applyFill="1" applyAlignment="1" applyProtection="1">
      <alignment vertical="top"/>
      <protection locked="0"/>
    </xf>
    <xf numFmtId="164" fontId="11" fillId="0" borderId="0" xfId="0" applyNumberFormat="1" applyFont="1" applyAlignment="1" applyProtection="1">
      <alignment horizontal="right" vertical="top" wrapText="1"/>
      <protection locked="0"/>
    </xf>
    <xf numFmtId="164" fontId="11" fillId="0" borderId="0" xfId="0" applyNumberFormat="1" applyFont="1" applyAlignment="1" applyProtection="1">
      <alignment vertical="top" wrapText="1"/>
      <protection locked="0"/>
    </xf>
    <xf numFmtId="164" fontId="34" fillId="9" borderId="0" xfId="0" applyNumberFormat="1" applyFont="1" applyFill="1" applyAlignment="1" applyProtection="1">
      <alignment horizontal="right" vertical="top"/>
      <protection locked="0"/>
    </xf>
    <xf numFmtId="164" fontId="34" fillId="9" borderId="0" xfId="0" applyNumberFormat="1" applyFont="1" applyFill="1" applyAlignment="1" applyProtection="1">
      <alignment vertical="top"/>
      <protection locked="0"/>
    </xf>
    <xf numFmtId="164" fontId="11" fillId="10" borderId="0" xfId="0" applyNumberFormat="1" applyFont="1" applyFill="1" applyAlignment="1">
      <alignment horizontal="right" vertical="top"/>
    </xf>
    <xf numFmtId="164" fontId="11" fillId="10" borderId="0" xfId="0" applyNumberFormat="1" applyFont="1" applyFill="1" applyAlignment="1">
      <alignment vertical="top"/>
    </xf>
    <xf numFmtId="164" fontId="11" fillId="10" borderId="0" xfId="0" applyNumberFormat="1" applyFont="1" applyFill="1" applyAlignment="1" applyProtection="1">
      <alignment horizontal="right" vertical="top"/>
      <protection locked="0"/>
    </xf>
    <xf numFmtId="164" fontId="11" fillId="10" borderId="0" xfId="0" applyNumberFormat="1" applyFont="1" applyFill="1" applyAlignment="1" applyProtection="1">
      <alignment vertical="top"/>
      <protection locked="0"/>
    </xf>
    <xf numFmtId="165" fontId="11" fillId="0" borderId="0" xfId="0" applyNumberFormat="1" applyFont="1" applyAlignment="1" applyProtection="1">
      <alignment vertical="top"/>
      <protection locked="0"/>
    </xf>
    <xf numFmtId="165" fontId="11" fillId="13" borderId="0" xfId="0" applyNumberFormat="1" applyFont="1" applyFill="1" applyAlignment="1" applyProtection="1">
      <alignment vertical="top"/>
      <protection locked="0"/>
    </xf>
    <xf numFmtId="164" fontId="11" fillId="0" borderId="0" xfId="0" applyNumberFormat="1" applyFont="1" applyAlignment="1">
      <alignment horizontal="right" vertical="top"/>
    </xf>
    <xf numFmtId="164" fontId="11" fillId="12" borderId="0" xfId="0" applyNumberFormat="1" applyFont="1" applyFill="1" applyAlignment="1" applyProtection="1">
      <alignment horizontal="right" vertical="top"/>
      <protection locked="0"/>
    </xf>
    <xf numFmtId="165" fontId="11" fillId="12" borderId="0" xfId="0" applyNumberFormat="1" applyFont="1" applyFill="1" applyAlignment="1" applyProtection="1">
      <alignment vertical="top"/>
      <protection locked="0"/>
    </xf>
    <xf numFmtId="164" fontId="11" fillId="12" borderId="0" xfId="0" applyNumberFormat="1" applyFont="1" applyFill="1" applyAlignment="1" applyProtection="1">
      <alignment vertical="top"/>
      <protection locked="0"/>
    </xf>
    <xf numFmtId="165" fontId="11" fillId="7" borderId="0" xfId="0" applyNumberFormat="1" applyFont="1" applyFill="1" applyAlignment="1" applyProtection="1">
      <alignment vertical="top"/>
      <protection locked="0"/>
    </xf>
    <xf numFmtId="165" fontId="5" fillId="2" borderId="16" xfId="10" applyNumberFormat="1" applyFont="1" applyFill="1" applyBorder="1" applyAlignment="1">
      <alignment horizontal="center" vertical="center"/>
    </xf>
    <xf numFmtId="165" fontId="5" fillId="2" borderId="7" xfId="10" applyNumberFormat="1" applyFont="1" applyFill="1" applyBorder="1" applyAlignment="1">
      <alignment horizontal="center" vertical="center"/>
    </xf>
    <xf numFmtId="165" fontId="5" fillId="2" borderId="4" xfId="10" applyNumberFormat="1" applyFont="1" applyFill="1" applyBorder="1" applyAlignment="1">
      <alignment horizontal="center" vertical="center"/>
    </xf>
    <xf numFmtId="0" fontId="5" fillId="0" borderId="29" xfId="10" applyFont="1" applyBorder="1" applyAlignment="1">
      <alignment horizontal="center" vertical="top" textRotation="90" wrapText="1"/>
    </xf>
    <xf numFmtId="0" fontId="0" fillId="0" borderId="27" xfId="0" applyBorder="1"/>
    <xf numFmtId="0" fontId="0" fillId="0" borderId="29" xfId="0" applyBorder="1"/>
    <xf numFmtId="0" fontId="5" fillId="0" borderId="33" xfId="10" applyFont="1" applyBorder="1" applyAlignment="1">
      <alignment horizontal="center" vertical="top" textRotation="90"/>
    </xf>
    <xf numFmtId="0" fontId="5" fillId="0" borderId="33" xfId="10" applyFont="1" applyBorder="1" applyAlignment="1">
      <alignment horizontal="center" vertical="top" textRotation="90" wrapText="1"/>
    </xf>
  </cellXfs>
  <cellStyles count="18">
    <cellStyle name="Check Cell" xfId="6" builtinId="23"/>
    <cellStyle name="Neutral" xfId="17" builtinId="28"/>
    <cellStyle name="Normal" xfId="0" builtinId="0"/>
    <cellStyle name="Normal 2" xfId="1" xr:uid="{00000000-0005-0000-0000-000001000000}"/>
    <cellStyle name="Normal 2 2" xfId="8" xr:uid="{00000000-0005-0000-0000-000008000000}"/>
    <cellStyle name="Normal 2 2 2" xfId="13" xr:uid="{00000000-0005-0000-0000-00000D000000}"/>
    <cellStyle name="Normal 2 2 3" xfId="15" xr:uid="{00000000-0005-0000-0000-00000F000000}"/>
    <cellStyle name="Normal 2 3" xfId="11" xr:uid="{00000000-0005-0000-0000-00000B000000}"/>
    <cellStyle name="Normal 3" xfId="2" xr:uid="{00000000-0005-0000-0000-000002000000}"/>
    <cellStyle name="Normal 3 2" xfId="12" xr:uid="{00000000-0005-0000-0000-00000C000000}"/>
    <cellStyle name="Normal 3 2 2" xfId="16" xr:uid="{00000000-0005-0000-0000-000010000000}"/>
    <cellStyle name="Normal 4" xfId="4" xr:uid="{00000000-0005-0000-0000-000004000000}"/>
    <cellStyle name="Normal 4 2" xfId="5" xr:uid="{00000000-0005-0000-0000-000005000000}"/>
    <cellStyle name="Normal 4 2 2" xfId="10" xr:uid="{00000000-0005-0000-0000-00000A000000}"/>
    <cellStyle name="Normal 4 3" xfId="9" xr:uid="{00000000-0005-0000-0000-000009000000}"/>
    <cellStyle name="Normal 4 4" xfId="14" xr:uid="{00000000-0005-0000-0000-00000E000000}"/>
    <cellStyle name="Normal 5" xfId="3" xr:uid="{00000000-0005-0000-0000-000003000000}"/>
    <cellStyle name="Per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03"/>
  <sheetViews>
    <sheetView zoomScale="125" zoomScaleNormal="85" workbookViewId="0">
      <pane ySplit="1" topLeftCell="A2" activePane="bottomLeft" state="frozen"/>
      <selection pane="bottomLeft" activeCell="B62" sqref="B62"/>
    </sheetView>
  </sheetViews>
  <sheetFormatPr baseColWidth="10" defaultColWidth="8.83203125" defaultRowHeight="15" x14ac:dyDescent="0.2"/>
  <cols>
    <col min="1" max="1" width="21.1640625" style="47" customWidth="1"/>
    <col min="2" max="2" width="25.83203125" style="47" customWidth="1"/>
    <col min="3" max="3" width="66" style="48" customWidth="1"/>
    <col min="4" max="4" width="28" style="47" customWidth="1"/>
    <col min="5" max="6" width="8.83203125" style="108" customWidth="1"/>
    <col min="7" max="7" width="29.1640625" style="108" customWidth="1"/>
    <col min="8" max="12" width="8.83203125" style="108" customWidth="1"/>
    <col min="13" max="16" width="8.83203125" style="47" customWidth="1"/>
    <col min="17" max="17" width="9.5" style="47" hidden="1" customWidth="1"/>
    <col min="18" max="18" width="8.83203125" style="47" customWidth="1"/>
    <col min="19" max="19" width="18.1640625" style="164" customWidth="1"/>
    <col min="20" max="20" width="18.33203125" style="149" customWidth="1"/>
    <col min="21" max="21" width="14.1640625" style="76" customWidth="1"/>
    <col min="22" max="22" width="19.6640625" style="76" hidden="1" customWidth="1"/>
    <col min="23" max="23" width="8.83203125" style="76" customWidth="1"/>
    <col min="24" max="25" width="8.83203125" style="47" customWidth="1"/>
    <col min="26" max="16384" width="8.83203125" style="47"/>
  </cols>
  <sheetData>
    <row r="1" spans="1:23" s="99" customFormat="1" ht="45.75" customHeight="1" thickBot="1" x14ac:dyDescent="0.25">
      <c r="A1" s="97" t="s">
        <v>0</v>
      </c>
      <c r="B1" s="97" t="s">
        <v>1</v>
      </c>
      <c r="C1" s="98" t="s">
        <v>2</v>
      </c>
      <c r="D1" s="97" t="s">
        <v>3</v>
      </c>
      <c r="E1" s="97" t="s">
        <v>4</v>
      </c>
      <c r="F1" s="97" t="s">
        <v>5</v>
      </c>
      <c r="G1" s="97" t="s">
        <v>6</v>
      </c>
      <c r="H1" s="97" t="s">
        <v>7</v>
      </c>
      <c r="I1" s="97" t="s">
        <v>8</v>
      </c>
      <c r="J1" s="97" t="s">
        <v>9</v>
      </c>
      <c r="K1" s="97" t="s">
        <v>10</v>
      </c>
      <c r="L1" s="97" t="s">
        <v>11</v>
      </c>
      <c r="Q1" s="166" t="s">
        <v>12</v>
      </c>
      <c r="S1" s="167" t="s">
        <v>13</v>
      </c>
      <c r="T1" s="168" t="s">
        <v>14</v>
      </c>
      <c r="U1" s="169" t="s">
        <v>15</v>
      </c>
      <c r="V1" s="38" t="s">
        <v>16</v>
      </c>
      <c r="W1" s="100"/>
    </row>
    <row r="2" spans="1:23" x14ac:dyDescent="0.2">
      <c r="A2" s="75" t="s">
        <v>17</v>
      </c>
      <c r="B2" s="75" t="s">
        <v>17</v>
      </c>
      <c r="C2" s="46"/>
      <c r="D2" s="75"/>
      <c r="E2" s="101"/>
      <c r="F2" s="101"/>
      <c r="G2" s="101"/>
      <c r="H2" s="101"/>
      <c r="I2" s="101"/>
      <c r="J2" s="101"/>
      <c r="K2" s="101"/>
      <c r="L2" s="101"/>
      <c r="S2" s="301"/>
      <c r="U2" s="302" t="str">
        <f>IF(S2&lt;&gt;"",S2*T2,"")</f>
        <v/>
      </c>
      <c r="V2" s="302" t="str">
        <f>IF(AND(S2&lt;&gt;"",Q2="yes"),S2*T2,"")</f>
        <v/>
      </c>
    </row>
    <row r="3" spans="1:23" x14ac:dyDescent="0.2">
      <c r="A3" s="75" t="s">
        <v>18</v>
      </c>
      <c r="B3" s="75" t="s">
        <v>18</v>
      </c>
      <c r="C3" s="46"/>
      <c r="D3" s="75"/>
      <c r="E3" s="101"/>
      <c r="F3" s="101"/>
      <c r="G3" s="101"/>
      <c r="H3" s="101"/>
      <c r="I3" s="101"/>
      <c r="J3" s="101"/>
      <c r="K3" s="101"/>
      <c r="L3" s="101"/>
      <c r="S3" s="301"/>
      <c r="U3" s="302" t="str">
        <f>IF(S3&lt;&gt;"",S3*T3,"")</f>
        <v/>
      </c>
      <c r="V3" s="302" t="str">
        <f>IF(AND(S3&lt;&gt;"",Q3="yes"),S3*T3,"")</f>
        <v/>
      </c>
    </row>
    <row r="4" spans="1:23" x14ac:dyDescent="0.2">
      <c r="A4" s="75" t="s">
        <v>19</v>
      </c>
      <c r="B4" s="75" t="s">
        <v>19</v>
      </c>
      <c r="C4" s="46"/>
      <c r="D4" s="75"/>
      <c r="E4" s="101"/>
      <c r="F4" s="101"/>
      <c r="G4" s="101"/>
      <c r="H4" s="101"/>
      <c r="I4" s="101"/>
      <c r="J4" s="101"/>
      <c r="K4" s="101"/>
      <c r="L4" s="101"/>
      <c r="S4" s="301"/>
      <c r="U4" s="302" t="str">
        <f>IF(S4&lt;&gt;"",S4*T4,"")</f>
        <v/>
      </c>
      <c r="V4" s="302" t="str">
        <f>IF(AND(S4&lt;&gt;"",Q4="yes"),S4*T4,"")</f>
        <v/>
      </c>
    </row>
    <row r="5" spans="1:23" x14ac:dyDescent="0.2">
      <c r="A5" s="75" t="s">
        <v>20</v>
      </c>
      <c r="B5" s="75" t="s">
        <v>20</v>
      </c>
      <c r="C5" s="46"/>
      <c r="D5" s="75"/>
      <c r="E5" s="101"/>
      <c r="F5" s="101"/>
      <c r="G5" s="101"/>
      <c r="H5" s="101"/>
      <c r="I5" s="101"/>
      <c r="J5" s="101"/>
      <c r="K5" s="101"/>
      <c r="L5" s="101"/>
      <c r="S5" s="301"/>
      <c r="U5" s="302" t="str">
        <f>IF(S5&lt;&gt;"",S5*T5,"")</f>
        <v/>
      </c>
      <c r="V5" s="302" t="str">
        <f>IF(AND(S5&lt;&gt;"",Q5="yes"),S5*T5,"")</f>
        <v/>
      </c>
    </row>
    <row r="6" spans="1:23" s="77" customFormat="1" ht="16" x14ac:dyDescent="0.2">
      <c r="A6" s="77" t="s">
        <v>21</v>
      </c>
      <c r="B6" s="77" t="s">
        <v>22</v>
      </c>
      <c r="C6" s="78" t="s">
        <v>23</v>
      </c>
      <c r="E6" s="102"/>
      <c r="F6" s="102"/>
      <c r="H6" s="102"/>
      <c r="I6" s="102"/>
      <c r="J6" s="102"/>
      <c r="K6" s="102"/>
      <c r="L6" s="102"/>
      <c r="S6" s="303"/>
      <c r="T6" s="179"/>
      <c r="U6" s="304"/>
      <c r="V6" s="304"/>
    </row>
    <row r="7" spans="1:23" s="276" customFormat="1" ht="16" x14ac:dyDescent="0.2">
      <c r="A7" s="274" t="s">
        <v>24</v>
      </c>
      <c r="B7" s="274" t="s">
        <v>25</v>
      </c>
      <c r="C7" s="275" t="s">
        <v>26</v>
      </c>
      <c r="D7" s="274"/>
      <c r="E7" s="277" t="s">
        <v>27</v>
      </c>
      <c r="F7" s="277"/>
      <c r="G7" s="277"/>
      <c r="H7" s="277"/>
      <c r="I7" s="277"/>
      <c r="J7" s="278" t="s">
        <v>28</v>
      </c>
      <c r="K7" s="277"/>
      <c r="L7" s="277"/>
      <c r="Q7" s="276" t="s">
        <v>29</v>
      </c>
      <c r="S7" s="305"/>
      <c r="T7" s="279"/>
      <c r="U7" s="306" t="str">
        <f>IF(S7&lt;&gt;"",S7*T7,"")</f>
        <v/>
      </c>
      <c r="V7" s="306" t="str">
        <f>IF(AND(S7&lt;&gt;"",Q7="yes"),S7*T7,"")</f>
        <v/>
      </c>
      <c r="W7" s="280"/>
    </row>
    <row r="8" spans="1:23" x14ac:dyDescent="0.2">
      <c r="A8" s="75" t="s">
        <v>30</v>
      </c>
      <c r="B8" s="75" t="s">
        <v>31</v>
      </c>
      <c r="C8" s="46"/>
      <c r="D8" s="75"/>
      <c r="E8" s="101"/>
      <c r="F8" s="101"/>
      <c r="G8" s="101"/>
      <c r="H8" s="101"/>
      <c r="I8" s="101"/>
      <c r="J8" s="101"/>
      <c r="K8" s="101"/>
      <c r="L8" s="101" t="s">
        <v>32</v>
      </c>
      <c r="Q8" s="47" t="s">
        <v>29</v>
      </c>
      <c r="S8" s="301"/>
      <c r="U8" s="302" t="str">
        <f>IF(S8&lt;&gt;"",S8*T8,"")</f>
        <v/>
      </c>
      <c r="V8" s="302" t="str">
        <f>IF(AND(S8&lt;&gt;"",Q8="yes"),S8*T8,"")</f>
        <v/>
      </c>
    </row>
    <row r="9" spans="1:23" s="191" customFormat="1" ht="16" x14ac:dyDescent="0.2">
      <c r="A9" s="209" t="s">
        <v>33</v>
      </c>
      <c r="B9" s="209" t="s">
        <v>34</v>
      </c>
      <c r="C9" s="210" t="s">
        <v>35</v>
      </c>
      <c r="D9" s="209"/>
      <c r="E9" s="211"/>
      <c r="F9" s="211"/>
      <c r="G9" s="211"/>
      <c r="H9" s="211"/>
      <c r="I9" s="211"/>
      <c r="J9" s="211"/>
      <c r="K9" s="211"/>
      <c r="L9" s="211"/>
      <c r="S9" s="307"/>
      <c r="T9" s="268"/>
      <c r="U9" s="308"/>
      <c r="V9" s="308"/>
      <c r="W9" s="193"/>
    </row>
    <row r="10" spans="1:23" s="77" customFormat="1" ht="15.75" customHeight="1" thickBot="1" x14ac:dyDescent="0.25">
      <c r="A10" s="82"/>
      <c r="B10" s="82"/>
      <c r="C10" s="83"/>
      <c r="D10" s="82"/>
      <c r="E10" s="104"/>
      <c r="F10" s="104"/>
      <c r="G10" s="104"/>
      <c r="H10" s="104"/>
      <c r="I10" s="104"/>
      <c r="J10" s="104"/>
      <c r="K10" s="104"/>
      <c r="L10" s="104"/>
      <c r="S10" s="301"/>
      <c r="T10" s="149"/>
      <c r="U10" s="302"/>
      <c r="V10" s="302"/>
      <c r="W10" s="76"/>
    </row>
    <row r="11" spans="1:23" ht="255.75" customHeight="1" thickTop="1" x14ac:dyDescent="0.2">
      <c r="A11" s="75" t="s">
        <v>36</v>
      </c>
      <c r="B11" s="75" t="s">
        <v>37</v>
      </c>
      <c r="C11" s="152" t="s">
        <v>38</v>
      </c>
      <c r="D11" s="75" t="s">
        <v>39</v>
      </c>
      <c r="E11" s="101" t="s">
        <v>40</v>
      </c>
      <c r="F11" s="101"/>
      <c r="G11" s="101"/>
      <c r="H11" s="101"/>
      <c r="I11" s="101"/>
      <c r="J11" s="101"/>
      <c r="K11" s="101"/>
      <c r="L11" s="101"/>
      <c r="Q11" s="47" t="s">
        <v>41</v>
      </c>
      <c r="S11" s="301">
        <v>50.822540283203118</v>
      </c>
      <c r="U11" s="302">
        <f t="shared" ref="U11:U29" si="0">IF(S11&lt;&gt;"",S11*T11,"")</f>
        <v>0</v>
      </c>
      <c r="V11" s="302" t="str">
        <f t="shared" ref="V11:V29" si="1">IF(AND(S11&lt;&gt;"",Q11="yes"),S11*T11,"")</f>
        <v/>
      </c>
    </row>
    <row r="12" spans="1:23" ht="16" x14ac:dyDescent="0.2">
      <c r="A12" s="75" t="s">
        <v>42</v>
      </c>
      <c r="B12" s="75" t="s">
        <v>43</v>
      </c>
      <c r="C12" s="46" t="s">
        <v>44</v>
      </c>
      <c r="D12" s="75"/>
      <c r="E12" s="101" t="s">
        <v>40</v>
      </c>
      <c r="F12" s="101"/>
      <c r="G12" s="101"/>
      <c r="H12" s="101"/>
      <c r="I12" s="101"/>
      <c r="J12" s="101"/>
      <c r="K12" s="101"/>
      <c r="L12" s="101"/>
      <c r="Q12" s="47" t="s">
        <v>29</v>
      </c>
      <c r="S12" s="301">
        <v>3.5</v>
      </c>
      <c r="T12" s="149">
        <f>1</f>
        <v>1</v>
      </c>
      <c r="U12" s="302">
        <f t="shared" si="0"/>
        <v>3.5</v>
      </c>
      <c r="V12" s="302">
        <f t="shared" si="1"/>
        <v>3.5</v>
      </c>
    </row>
    <row r="13" spans="1:23" s="76" customFormat="1" ht="16" x14ac:dyDescent="0.2">
      <c r="A13" s="79" t="s">
        <v>36</v>
      </c>
      <c r="B13" s="79" t="s">
        <v>45</v>
      </c>
      <c r="C13" s="80" t="s">
        <v>46</v>
      </c>
      <c r="D13" s="79"/>
      <c r="E13" s="103" t="s">
        <v>40</v>
      </c>
      <c r="F13" s="103"/>
      <c r="G13" s="103"/>
      <c r="H13" s="103"/>
      <c r="I13" s="103" t="s">
        <v>47</v>
      </c>
      <c r="J13" s="103"/>
      <c r="K13" s="103"/>
      <c r="L13" s="103"/>
      <c r="Q13" s="76" t="s">
        <v>41</v>
      </c>
      <c r="S13" s="301">
        <v>0</v>
      </c>
      <c r="T13" s="149">
        <v>1</v>
      </c>
      <c r="U13" s="302">
        <f t="shared" si="0"/>
        <v>0</v>
      </c>
      <c r="V13" s="302" t="str">
        <f t="shared" si="1"/>
        <v/>
      </c>
    </row>
    <row r="14" spans="1:23" s="76" customFormat="1" ht="15.75" customHeight="1" thickBot="1" x14ac:dyDescent="0.25">
      <c r="A14" s="84"/>
      <c r="B14" s="84"/>
      <c r="C14" s="85"/>
      <c r="D14" s="84"/>
      <c r="E14" s="105"/>
      <c r="F14" s="105"/>
      <c r="G14" s="105"/>
      <c r="H14" s="105"/>
      <c r="I14" s="105"/>
      <c r="J14" s="105"/>
      <c r="K14" s="105"/>
      <c r="L14" s="105"/>
      <c r="S14" s="301"/>
      <c r="T14" s="149"/>
      <c r="U14" s="302" t="str">
        <f t="shared" si="0"/>
        <v/>
      </c>
      <c r="V14" s="302" t="str">
        <f t="shared" si="1"/>
        <v/>
      </c>
    </row>
    <row r="15" spans="1:23" s="73" customFormat="1" ht="15.75" customHeight="1" thickTop="1" x14ac:dyDescent="0.2">
      <c r="A15" s="72" t="s">
        <v>48</v>
      </c>
      <c r="B15" s="72" t="s">
        <v>49</v>
      </c>
      <c r="C15" s="86" t="s">
        <v>50</v>
      </c>
      <c r="D15" s="72"/>
      <c r="E15" s="106" t="s">
        <v>40</v>
      </c>
      <c r="F15" s="106"/>
      <c r="G15" s="106"/>
      <c r="H15" s="106"/>
      <c r="I15" s="106" t="s">
        <v>51</v>
      </c>
      <c r="J15" s="106"/>
      <c r="K15" s="106"/>
      <c r="L15" s="106"/>
      <c r="Q15" s="47" t="s">
        <v>29</v>
      </c>
      <c r="S15" s="301"/>
      <c r="T15" s="149"/>
      <c r="U15" s="302" t="str">
        <f t="shared" si="0"/>
        <v/>
      </c>
      <c r="V15" s="302" t="str">
        <f t="shared" si="1"/>
        <v/>
      </c>
      <c r="W15" s="74"/>
    </row>
    <row r="16" spans="1:23" s="77" customFormat="1" x14ac:dyDescent="0.2">
      <c r="C16" s="78"/>
      <c r="E16" s="102"/>
      <c r="F16" s="102"/>
      <c r="G16" s="102"/>
      <c r="H16" s="102"/>
      <c r="I16" s="102"/>
      <c r="J16" s="102"/>
      <c r="K16" s="102"/>
      <c r="L16" s="102"/>
      <c r="S16" s="301"/>
      <c r="T16" s="76"/>
      <c r="U16" s="302" t="str">
        <f t="shared" si="0"/>
        <v/>
      </c>
      <c r="V16" s="302" t="str">
        <f t="shared" si="1"/>
        <v/>
      </c>
      <c r="W16" s="76"/>
    </row>
    <row r="17" spans="1:23" s="77" customFormat="1" ht="16" x14ac:dyDescent="0.2">
      <c r="A17" s="79" t="s">
        <v>24</v>
      </c>
      <c r="B17" s="79" t="s">
        <v>52</v>
      </c>
      <c r="C17" s="80" t="s">
        <v>53</v>
      </c>
      <c r="D17" s="76" t="s">
        <v>54</v>
      </c>
      <c r="E17" s="103" t="s">
        <v>27</v>
      </c>
      <c r="F17" s="103"/>
      <c r="G17" s="103"/>
      <c r="H17" s="103"/>
      <c r="I17" s="103"/>
      <c r="J17" s="103"/>
      <c r="K17" s="103"/>
      <c r="L17" s="103"/>
      <c r="Q17" s="76" t="s">
        <v>29</v>
      </c>
      <c r="S17" s="301">
        <v>10</v>
      </c>
      <c r="T17" s="149">
        <f>1</f>
        <v>1</v>
      </c>
      <c r="U17" s="302">
        <f t="shared" si="0"/>
        <v>10</v>
      </c>
      <c r="V17" s="302">
        <f t="shared" si="1"/>
        <v>10</v>
      </c>
      <c r="W17" s="76"/>
    </row>
    <row r="18" spans="1:23" s="77" customFormat="1" ht="16" x14ac:dyDescent="0.2">
      <c r="A18" s="79" t="s">
        <v>24</v>
      </c>
      <c r="B18" s="79" t="s">
        <v>55</v>
      </c>
      <c r="C18" s="80" t="s">
        <v>56</v>
      </c>
      <c r="D18" s="76" t="s">
        <v>57</v>
      </c>
      <c r="E18" s="103" t="s">
        <v>27</v>
      </c>
      <c r="F18" s="103"/>
      <c r="G18" s="103"/>
      <c r="H18" s="103"/>
      <c r="I18" s="103"/>
      <c r="J18" s="103"/>
      <c r="K18" s="103"/>
      <c r="L18" s="103"/>
      <c r="Q18" s="76" t="s">
        <v>29</v>
      </c>
      <c r="S18" s="301">
        <v>10</v>
      </c>
      <c r="T18" s="149">
        <f>1</f>
        <v>1</v>
      </c>
      <c r="U18" s="302">
        <f t="shared" si="0"/>
        <v>10</v>
      </c>
      <c r="V18" s="302">
        <f t="shared" si="1"/>
        <v>10</v>
      </c>
      <c r="W18" s="76"/>
    </row>
    <row r="19" spans="1:23" s="77" customFormat="1" x14ac:dyDescent="0.2">
      <c r="C19" s="78"/>
      <c r="E19" s="102"/>
      <c r="F19" s="102"/>
      <c r="G19" s="102"/>
      <c r="H19" s="102"/>
      <c r="I19" s="102"/>
      <c r="J19" s="102"/>
      <c r="K19" s="102"/>
      <c r="L19" s="102"/>
      <c r="S19" s="301"/>
      <c r="T19" s="149">
        <f>1</f>
        <v>1</v>
      </c>
      <c r="U19" s="302" t="str">
        <f t="shared" si="0"/>
        <v/>
      </c>
      <c r="V19" s="302" t="str">
        <f t="shared" si="1"/>
        <v/>
      </c>
      <c r="W19" s="76"/>
    </row>
    <row r="20" spans="1:23" ht="16" x14ac:dyDescent="0.2">
      <c r="A20" s="75" t="s">
        <v>58</v>
      </c>
      <c r="B20" s="75" t="s">
        <v>59</v>
      </c>
      <c r="C20" s="46" t="s">
        <v>60</v>
      </c>
      <c r="D20" s="75" t="s">
        <v>61</v>
      </c>
      <c r="E20" s="101" t="s">
        <v>27</v>
      </c>
      <c r="F20" s="101"/>
      <c r="G20" s="101" t="s">
        <v>62</v>
      </c>
      <c r="H20" s="101"/>
      <c r="I20" s="101"/>
      <c r="J20" s="101"/>
      <c r="K20" s="101"/>
      <c r="L20" s="101"/>
      <c r="Q20" s="47" t="s">
        <v>29</v>
      </c>
      <c r="S20" s="301">
        <v>13.753072738647459</v>
      </c>
      <c r="T20" s="149">
        <f>1</f>
        <v>1</v>
      </c>
      <c r="U20" s="302">
        <f t="shared" si="0"/>
        <v>13.753072738647459</v>
      </c>
      <c r="V20" s="302">
        <f t="shared" si="1"/>
        <v>13.753072738647459</v>
      </c>
    </row>
    <row r="21" spans="1:23" x14ac:dyDescent="0.2">
      <c r="S21" s="301"/>
      <c r="T21" s="149">
        <f>1</f>
        <v>1</v>
      </c>
      <c r="U21" s="302" t="str">
        <f t="shared" si="0"/>
        <v/>
      </c>
      <c r="V21" s="302" t="str">
        <f t="shared" si="1"/>
        <v/>
      </c>
    </row>
    <row r="22" spans="1:23" s="77" customFormat="1" ht="16" x14ac:dyDescent="0.2">
      <c r="A22" s="77" t="s">
        <v>33</v>
      </c>
      <c r="B22" s="77" t="s">
        <v>63</v>
      </c>
      <c r="C22" s="78" t="s">
        <v>64</v>
      </c>
      <c r="D22" s="77" t="s">
        <v>65</v>
      </c>
      <c r="E22" s="102" t="s">
        <v>27</v>
      </c>
      <c r="F22" s="102"/>
      <c r="G22" s="102"/>
      <c r="H22" s="102"/>
      <c r="I22" s="102"/>
      <c r="J22" s="102"/>
      <c r="K22" s="102"/>
      <c r="L22" s="102"/>
      <c r="Q22" s="77" t="s">
        <v>41</v>
      </c>
      <c r="S22" s="301">
        <v>2.1173560619354248</v>
      </c>
      <c r="T22" s="149">
        <f>1</f>
        <v>1</v>
      </c>
      <c r="U22" s="302">
        <f t="shared" si="0"/>
        <v>2.1173560619354248</v>
      </c>
      <c r="V22" s="302" t="str">
        <f t="shared" si="1"/>
        <v/>
      </c>
      <c r="W22" s="76"/>
    </row>
    <row r="23" spans="1:23" s="77" customFormat="1" x14ac:dyDescent="0.2">
      <c r="C23" s="78"/>
      <c r="E23" s="111"/>
      <c r="F23" s="111"/>
      <c r="G23" s="111"/>
      <c r="H23" s="110"/>
      <c r="I23" s="111"/>
      <c r="J23" s="111"/>
      <c r="K23" s="102"/>
      <c r="L23" s="102"/>
      <c r="S23" s="301"/>
      <c r="T23" s="149">
        <f>1</f>
        <v>1</v>
      </c>
      <c r="U23" s="302" t="str">
        <f t="shared" si="0"/>
        <v/>
      </c>
      <c r="V23" s="302" t="str">
        <f t="shared" si="1"/>
        <v/>
      </c>
      <c r="W23" s="76"/>
    </row>
    <row r="24" spans="1:23" s="88" customFormat="1" ht="16" x14ac:dyDescent="0.2">
      <c r="A24" s="141" t="s">
        <v>24</v>
      </c>
      <c r="B24" s="141" t="s">
        <v>66</v>
      </c>
      <c r="C24" s="142" t="s">
        <v>67</v>
      </c>
      <c r="D24" s="143"/>
      <c r="E24" s="140" t="s">
        <v>27</v>
      </c>
      <c r="F24" s="140" t="s">
        <v>68</v>
      </c>
      <c r="G24" s="111" t="s">
        <v>69</v>
      </c>
      <c r="H24" s="140" t="s">
        <v>70</v>
      </c>
      <c r="I24" s="140"/>
      <c r="J24" s="140"/>
      <c r="K24" s="140"/>
      <c r="L24" s="110"/>
      <c r="Q24" s="143" t="s">
        <v>71</v>
      </c>
      <c r="S24" s="301">
        <v>10</v>
      </c>
      <c r="T24" s="149">
        <f>1</f>
        <v>1</v>
      </c>
      <c r="U24" s="302">
        <f t="shared" si="0"/>
        <v>10</v>
      </c>
      <c r="V24" s="302" t="str">
        <f t="shared" si="1"/>
        <v/>
      </c>
    </row>
    <row r="25" spans="1:23" s="77" customFormat="1" x14ac:dyDescent="0.2">
      <c r="C25" s="78"/>
      <c r="E25" s="102"/>
      <c r="F25" s="102"/>
      <c r="G25" s="102"/>
      <c r="H25" s="109"/>
      <c r="I25" s="102"/>
      <c r="J25" s="102"/>
      <c r="K25" s="102"/>
      <c r="L25" s="102"/>
      <c r="S25" s="301"/>
      <c r="T25" s="149">
        <f>1</f>
        <v>1</v>
      </c>
      <c r="U25" s="302" t="str">
        <f t="shared" si="0"/>
        <v/>
      </c>
      <c r="V25" s="302" t="str">
        <f t="shared" si="1"/>
        <v/>
      </c>
      <c r="W25" s="76"/>
    </row>
    <row r="26" spans="1:23" ht="16" x14ac:dyDescent="0.2">
      <c r="A26" s="75" t="s">
        <v>72</v>
      </c>
      <c r="B26" s="75" t="s">
        <v>73</v>
      </c>
      <c r="C26" s="46" t="s">
        <v>74</v>
      </c>
      <c r="D26" s="75" t="s">
        <v>75</v>
      </c>
      <c r="E26" s="101" t="s">
        <v>27</v>
      </c>
      <c r="F26" s="101" t="s">
        <v>76</v>
      </c>
      <c r="G26" s="101"/>
      <c r="H26" s="110"/>
      <c r="I26" s="101"/>
      <c r="J26" s="101"/>
      <c r="K26" s="101"/>
      <c r="L26" s="101"/>
      <c r="Q26" s="47" t="s">
        <v>29</v>
      </c>
      <c r="S26" s="301">
        <v>8.8000000000000007</v>
      </c>
      <c r="T26" s="149">
        <f>1</f>
        <v>1</v>
      </c>
      <c r="U26" s="302">
        <f t="shared" si="0"/>
        <v>8.8000000000000007</v>
      </c>
      <c r="V26" s="302">
        <f t="shared" si="1"/>
        <v>8.8000000000000007</v>
      </c>
    </row>
    <row r="27" spans="1:23" x14ac:dyDescent="0.2">
      <c r="A27" s="75" t="s">
        <v>30</v>
      </c>
      <c r="B27" s="75" t="s">
        <v>77</v>
      </c>
      <c r="C27" s="46"/>
      <c r="D27" s="75"/>
      <c r="E27" s="101"/>
      <c r="F27" s="101"/>
      <c r="G27" s="101"/>
      <c r="H27" s="101"/>
      <c r="I27" s="101"/>
      <c r="J27" s="101"/>
      <c r="K27" s="101"/>
      <c r="L27" s="101" t="s">
        <v>78</v>
      </c>
      <c r="Q27" s="47" t="s">
        <v>29</v>
      </c>
      <c r="S27" s="301"/>
      <c r="T27" s="149">
        <f>1</f>
        <v>1</v>
      </c>
      <c r="U27" s="302" t="str">
        <f t="shared" si="0"/>
        <v/>
      </c>
      <c r="V27" s="302" t="str">
        <f t="shared" si="1"/>
        <v/>
      </c>
    </row>
    <row r="28" spans="1:23" ht="16" x14ac:dyDescent="0.2">
      <c r="A28" s="75" t="s">
        <v>79</v>
      </c>
      <c r="B28" s="75" t="s">
        <v>80</v>
      </c>
      <c r="C28" s="46" t="s">
        <v>81</v>
      </c>
      <c r="D28" s="75"/>
      <c r="E28" s="101" t="s">
        <v>27</v>
      </c>
      <c r="F28" s="101" t="s">
        <v>76</v>
      </c>
      <c r="G28" s="101"/>
      <c r="H28" s="101"/>
      <c r="I28" s="101"/>
      <c r="J28" s="101" t="s">
        <v>82</v>
      </c>
      <c r="K28" s="101"/>
      <c r="L28" s="101"/>
      <c r="Q28" s="47" t="s">
        <v>29</v>
      </c>
      <c r="S28" s="301">
        <v>10.4</v>
      </c>
      <c r="T28" s="149">
        <f>1</f>
        <v>1</v>
      </c>
      <c r="U28" s="302">
        <f t="shared" si="0"/>
        <v>10.4</v>
      </c>
      <c r="V28" s="302">
        <f t="shared" si="1"/>
        <v>10.4</v>
      </c>
    </row>
    <row r="29" spans="1:23" x14ac:dyDescent="0.2">
      <c r="A29" s="75" t="s">
        <v>30</v>
      </c>
      <c r="B29" s="75" t="s">
        <v>83</v>
      </c>
      <c r="C29" s="46"/>
      <c r="D29" s="75"/>
      <c r="E29" s="101"/>
      <c r="F29" s="101"/>
      <c r="G29" s="101"/>
      <c r="H29" s="101"/>
      <c r="I29" s="101"/>
      <c r="J29" s="101"/>
      <c r="K29" s="101"/>
      <c r="L29" s="101" t="s">
        <v>84</v>
      </c>
      <c r="Q29" s="47" t="s">
        <v>29</v>
      </c>
      <c r="S29" s="301"/>
      <c r="T29" s="149">
        <f>1</f>
        <v>1</v>
      </c>
      <c r="U29" s="302" t="str">
        <f t="shared" si="0"/>
        <v/>
      </c>
      <c r="V29" s="302" t="str">
        <f t="shared" si="1"/>
        <v/>
      </c>
    </row>
    <row r="30" spans="1:23" s="191" customFormat="1" ht="16" x14ac:dyDescent="0.2">
      <c r="A30" s="188" t="s">
        <v>24</v>
      </c>
      <c r="B30" s="188" t="s">
        <v>85</v>
      </c>
      <c r="C30" s="189" t="s">
        <v>86</v>
      </c>
      <c r="E30" s="192" t="s">
        <v>27</v>
      </c>
      <c r="F30" s="192"/>
      <c r="G30" s="192"/>
      <c r="H30" s="192"/>
      <c r="I30" s="192"/>
      <c r="J30" s="192"/>
      <c r="K30" s="192"/>
      <c r="L30" s="192"/>
      <c r="Q30" s="193"/>
    </row>
    <row r="31" spans="1:23" s="191" customFormat="1" ht="16" x14ac:dyDescent="0.2">
      <c r="A31" s="188" t="s">
        <v>24</v>
      </c>
      <c r="B31" s="188" t="s">
        <v>87</v>
      </c>
      <c r="C31" s="189" t="s">
        <v>88</v>
      </c>
      <c r="E31" s="192" t="s">
        <v>27</v>
      </c>
      <c r="F31" s="192"/>
      <c r="G31" s="192"/>
      <c r="H31" s="192"/>
      <c r="I31" s="192"/>
      <c r="J31" s="192"/>
      <c r="K31" s="192"/>
      <c r="L31" s="192"/>
      <c r="Q31" s="193"/>
    </row>
    <row r="32" spans="1:23" s="191" customFormat="1" ht="16" x14ac:dyDescent="0.2">
      <c r="A32" s="188" t="s">
        <v>24</v>
      </c>
      <c r="B32" s="188" t="s">
        <v>89</v>
      </c>
      <c r="C32" s="189" t="s">
        <v>90</v>
      </c>
      <c r="E32" s="192" t="s">
        <v>27</v>
      </c>
      <c r="F32" s="192"/>
      <c r="G32" s="192"/>
      <c r="H32" s="192"/>
      <c r="I32" s="192"/>
      <c r="J32" s="192"/>
      <c r="K32" s="192"/>
      <c r="L32" s="192"/>
      <c r="Q32" s="193"/>
    </row>
    <row r="33" spans="1:23" s="191" customFormat="1" ht="16" x14ac:dyDescent="0.2">
      <c r="A33" s="188" t="s">
        <v>24</v>
      </c>
      <c r="B33" s="188" t="s">
        <v>91</v>
      </c>
      <c r="C33" s="189" t="s">
        <v>92</v>
      </c>
      <c r="E33" s="192" t="s">
        <v>27</v>
      </c>
      <c r="F33" s="192"/>
      <c r="G33" s="192"/>
      <c r="H33" s="192"/>
      <c r="I33" s="192"/>
      <c r="J33" s="192"/>
      <c r="K33" s="192"/>
      <c r="L33" s="192"/>
      <c r="Q33" s="193"/>
    </row>
    <row r="34" spans="1:23" s="191" customFormat="1" ht="16" x14ac:dyDescent="0.2">
      <c r="A34" s="194" t="s">
        <v>93</v>
      </c>
      <c r="B34" s="194" t="s">
        <v>94</v>
      </c>
      <c r="C34" s="189" t="s">
        <v>95</v>
      </c>
      <c r="E34" s="192" t="s">
        <v>27</v>
      </c>
      <c r="F34" s="192"/>
      <c r="G34" s="192"/>
      <c r="H34" s="192"/>
      <c r="I34" s="192"/>
      <c r="J34" s="192"/>
      <c r="K34" s="192"/>
      <c r="L34" s="192"/>
      <c r="Q34" s="193"/>
    </row>
    <row r="35" spans="1:23" s="191" customFormat="1" ht="16" x14ac:dyDescent="0.2">
      <c r="A35" s="3" t="s">
        <v>42</v>
      </c>
      <c r="B35" s="3" t="s">
        <v>96</v>
      </c>
      <c r="C35" s="48" t="s">
        <v>97</v>
      </c>
      <c r="E35" s="192"/>
      <c r="F35" s="192"/>
      <c r="G35" s="192"/>
      <c r="H35" s="192"/>
      <c r="I35" s="192"/>
      <c r="J35" s="192"/>
      <c r="K35" s="192"/>
      <c r="L35" s="192"/>
      <c r="Q35" s="193"/>
    </row>
    <row r="36" spans="1:23" s="48" customFormat="1" ht="45" customHeight="1" x14ac:dyDescent="0.2">
      <c r="A36" s="46" t="s">
        <v>98</v>
      </c>
      <c r="B36" s="46" t="s">
        <v>99</v>
      </c>
      <c r="C36" s="46" t="s">
        <v>100</v>
      </c>
      <c r="D36" s="75" t="s">
        <v>101</v>
      </c>
      <c r="E36" s="45" t="s">
        <v>27</v>
      </c>
      <c r="F36" s="45"/>
      <c r="G36" s="45"/>
      <c r="H36" s="45"/>
      <c r="I36" s="45"/>
      <c r="J36" s="45"/>
      <c r="K36" s="45"/>
      <c r="L36" s="45"/>
      <c r="Q36" s="48" t="s">
        <v>29</v>
      </c>
      <c r="S36" s="309">
        <v>31.372377395629879</v>
      </c>
      <c r="T36" s="149">
        <f>1</f>
        <v>1</v>
      </c>
      <c r="U36" s="310">
        <f>IF(S36&lt;&gt;"",S36*T36,"")</f>
        <v>31.372377395629879</v>
      </c>
      <c r="V36" s="310">
        <f>IF(AND(S36&lt;&gt;"",Q36="yes"),S36*T36,"")</f>
        <v>31.372377395629879</v>
      </c>
      <c r="W36" s="49"/>
    </row>
    <row r="37" spans="1:23" x14ac:dyDescent="0.2">
      <c r="S37" s="301"/>
      <c r="T37" s="149">
        <f>1</f>
        <v>1</v>
      </c>
      <c r="U37" s="302" t="str">
        <f>IF(S37&lt;&gt;"",S37*T37,"")</f>
        <v/>
      </c>
      <c r="V37" s="302" t="str">
        <f>IF(AND(S37&lt;&gt;"",Q37="yes"),S37*T37,"")</f>
        <v/>
      </c>
    </row>
    <row r="38" spans="1:23" s="76" customFormat="1" ht="15.75" customHeight="1" thickBot="1" x14ac:dyDescent="0.25">
      <c r="A38" s="89" t="s">
        <v>102</v>
      </c>
      <c r="B38" s="89"/>
      <c r="C38" s="90"/>
      <c r="D38" s="89"/>
      <c r="E38" s="112"/>
      <c r="F38" s="112"/>
      <c r="G38" s="112"/>
      <c r="H38" s="112"/>
      <c r="I38" s="112"/>
      <c r="J38" s="112"/>
      <c r="K38" s="112"/>
      <c r="L38" s="112"/>
      <c r="S38" s="301"/>
      <c r="T38" s="149"/>
      <c r="U38" s="302" t="str">
        <f>IF(S38&lt;&gt;"",S38*T38,"")</f>
        <v/>
      </c>
      <c r="V38" s="302" t="str">
        <f>IF(AND(S38&lt;&gt;"",Q38="yes"),S38*T38,"")</f>
        <v/>
      </c>
    </row>
    <row r="39" spans="1:23" s="73" customFormat="1" ht="15.75" customHeight="1" thickTop="1" x14ac:dyDescent="0.2">
      <c r="A39" s="72" t="s">
        <v>48</v>
      </c>
      <c r="B39" s="72" t="s">
        <v>103</v>
      </c>
      <c r="C39" s="86" t="s">
        <v>104</v>
      </c>
      <c r="D39" s="72"/>
      <c r="E39" s="106" t="s">
        <v>40</v>
      </c>
      <c r="F39" s="106"/>
      <c r="G39" s="106"/>
      <c r="H39" s="106"/>
      <c r="I39" s="106" t="s">
        <v>105</v>
      </c>
      <c r="J39" s="106"/>
      <c r="K39" s="106"/>
      <c r="L39" s="106"/>
      <c r="Q39" s="47" t="s">
        <v>29</v>
      </c>
      <c r="S39" s="301"/>
      <c r="T39" s="149"/>
      <c r="U39" s="302" t="str">
        <f>IF(S39&lt;&gt;"",S39*T39,"")</f>
        <v/>
      </c>
      <c r="V39" s="302" t="str">
        <f>IF(AND(S39&lt;&gt;"",Q39="yes"),S39*T39,"")</f>
        <v/>
      </c>
      <c r="W39" s="74"/>
    </row>
    <row r="40" spans="1:23" x14ac:dyDescent="0.2">
      <c r="S40" s="301"/>
      <c r="T40" s="149">
        <f>1</f>
        <v>1</v>
      </c>
      <c r="U40" s="302" t="str">
        <f>IF(S40&lt;&gt;"",S40*T40,"")</f>
        <v/>
      </c>
      <c r="V40" s="302" t="str">
        <f>IF(AND(S40&lt;&gt;"",Q40="yes"),S40*T40,"")</f>
        <v/>
      </c>
    </row>
    <row r="41" spans="1:23" s="255" customFormat="1" ht="16" x14ac:dyDescent="0.2">
      <c r="A41" s="257" t="s">
        <v>106</v>
      </c>
      <c r="B41" s="257" t="s">
        <v>107</v>
      </c>
      <c r="C41" s="258" t="s">
        <v>108</v>
      </c>
      <c r="D41" s="257"/>
      <c r="E41" s="259" t="s">
        <v>27</v>
      </c>
      <c r="F41" s="259"/>
      <c r="G41" s="259"/>
      <c r="H41" s="259"/>
      <c r="I41" s="259"/>
      <c r="J41" s="259"/>
      <c r="K41" s="259"/>
      <c r="L41" s="259"/>
      <c r="S41" s="311"/>
      <c r="T41" s="256"/>
      <c r="U41" s="312"/>
      <c r="V41" s="312"/>
    </row>
    <row r="42" spans="1:23" ht="16" x14ac:dyDescent="0.2">
      <c r="A42" s="75" t="s">
        <v>33</v>
      </c>
      <c r="B42" s="75" t="s">
        <v>109</v>
      </c>
      <c r="C42" s="46" t="s">
        <v>110</v>
      </c>
      <c r="D42" s="75"/>
      <c r="E42" s="101" t="s">
        <v>27</v>
      </c>
      <c r="F42" s="101"/>
      <c r="G42" s="101"/>
      <c r="H42" s="101"/>
      <c r="I42" s="101" t="s">
        <v>111</v>
      </c>
      <c r="J42" s="101"/>
      <c r="K42" s="101"/>
      <c r="L42" s="101"/>
      <c r="Q42" s="47" t="s">
        <v>29</v>
      </c>
      <c r="S42" s="301">
        <v>10.08573150634766</v>
      </c>
      <c r="T42" s="149">
        <f>1</f>
        <v>1</v>
      </c>
      <c r="U42" s="302">
        <f>IF(S42&lt;&gt;"",S42*T42,"")</f>
        <v>10.08573150634766</v>
      </c>
      <c r="V42" s="302">
        <f>IF(AND(S42&lt;&gt;"",Q42="yes"),S42*T42,"")</f>
        <v>10.08573150634766</v>
      </c>
    </row>
    <row r="43" spans="1:23" s="193" customFormat="1" ht="16" x14ac:dyDescent="0.2">
      <c r="A43" s="195" t="s">
        <v>112</v>
      </c>
      <c r="B43" s="189" t="s">
        <v>113</v>
      </c>
      <c r="C43" s="189" t="s">
        <v>114</v>
      </c>
      <c r="E43" s="197" t="s">
        <v>27</v>
      </c>
      <c r="F43" s="197"/>
      <c r="G43" s="197"/>
      <c r="H43" s="197"/>
      <c r="I43" s="101" t="s">
        <v>111</v>
      </c>
      <c r="J43" s="197"/>
      <c r="K43" s="197"/>
      <c r="L43" s="197"/>
    </row>
    <row r="44" spans="1:23" s="193" customFormat="1" ht="16" x14ac:dyDescent="0.2">
      <c r="A44" s="195" t="s">
        <v>24</v>
      </c>
      <c r="B44" s="195" t="s">
        <v>115</v>
      </c>
      <c r="C44" s="189" t="s">
        <v>116</v>
      </c>
      <c r="E44" s="197" t="s">
        <v>27</v>
      </c>
      <c r="F44" s="197"/>
      <c r="G44" s="197"/>
      <c r="H44" s="197"/>
      <c r="I44" s="101" t="s">
        <v>111</v>
      </c>
      <c r="J44" s="197"/>
      <c r="K44" s="197"/>
      <c r="L44" s="197"/>
    </row>
    <row r="45" spans="1:23" s="193" customFormat="1" ht="16" x14ac:dyDescent="0.2">
      <c r="A45" s="293" t="s">
        <v>24</v>
      </c>
      <c r="B45" s="195" t="s">
        <v>117</v>
      </c>
      <c r="C45" s="189" t="s">
        <v>118</v>
      </c>
      <c r="E45" s="197"/>
      <c r="F45" s="197"/>
      <c r="G45" s="111" t="s">
        <v>69</v>
      </c>
      <c r="H45" s="140" t="s">
        <v>70</v>
      </c>
      <c r="I45" s="101" t="s">
        <v>111</v>
      </c>
      <c r="J45" s="197"/>
      <c r="K45" s="197"/>
      <c r="L45" s="197"/>
    </row>
    <row r="46" spans="1:23" s="193" customFormat="1" ht="16" x14ac:dyDescent="0.2">
      <c r="A46" s="293" t="s">
        <v>24</v>
      </c>
      <c r="B46" s="195" t="s">
        <v>119</v>
      </c>
      <c r="C46" s="189" t="s">
        <v>120</v>
      </c>
      <c r="E46" s="197"/>
      <c r="F46" s="197"/>
      <c r="G46" s="111" t="s">
        <v>121</v>
      </c>
      <c r="H46" s="140" t="s">
        <v>122</v>
      </c>
      <c r="I46" s="101"/>
      <c r="J46" s="197"/>
      <c r="K46" s="197"/>
      <c r="L46" s="197"/>
    </row>
    <row r="47" spans="1:23" ht="16" x14ac:dyDescent="0.2">
      <c r="A47" s="75" t="s">
        <v>123</v>
      </c>
      <c r="B47" s="75" t="s">
        <v>124</v>
      </c>
      <c r="C47" s="46" t="s">
        <v>125</v>
      </c>
      <c r="D47" s="75"/>
      <c r="E47" s="101" t="s">
        <v>27</v>
      </c>
      <c r="F47" s="101"/>
      <c r="G47" s="101"/>
      <c r="H47" s="101"/>
      <c r="I47" s="101"/>
      <c r="J47" s="101"/>
      <c r="K47" s="101"/>
      <c r="L47" s="101"/>
      <c r="Q47" s="47" t="s">
        <v>29</v>
      </c>
      <c r="S47" s="301">
        <v>12.894034385681151</v>
      </c>
      <c r="T47" s="149">
        <f>1</f>
        <v>1</v>
      </c>
      <c r="U47" s="302">
        <f>IF(S47&lt;&gt;"",S47*T47,"")</f>
        <v>12.894034385681151</v>
      </c>
      <c r="V47" s="302">
        <f>IF(AND(S47&lt;&gt;"",Q47="yes"),S47*T47,"")</f>
        <v>12.894034385681151</v>
      </c>
    </row>
    <row r="48" spans="1:23" s="193" customFormat="1" ht="16" x14ac:dyDescent="0.2">
      <c r="A48" s="193" t="s">
        <v>126</v>
      </c>
      <c r="B48" s="193" t="s">
        <v>127</v>
      </c>
      <c r="C48" s="196" t="s">
        <v>128</v>
      </c>
      <c r="D48" s="198" t="s">
        <v>129</v>
      </c>
      <c r="E48" s="192"/>
      <c r="F48" s="197"/>
      <c r="G48" s="197"/>
      <c r="H48" s="197"/>
      <c r="I48" s="197" t="s">
        <v>130</v>
      </c>
      <c r="J48" s="197"/>
      <c r="K48" s="197"/>
      <c r="L48" s="197"/>
    </row>
    <row r="49" spans="1:23" x14ac:dyDescent="0.2">
      <c r="S49" s="301"/>
      <c r="U49" s="302"/>
      <c r="V49" s="302"/>
    </row>
    <row r="50" spans="1:23" s="76" customFormat="1" ht="16" x14ac:dyDescent="0.2">
      <c r="A50" s="76" t="s">
        <v>131</v>
      </c>
      <c r="B50" s="76" t="s">
        <v>132</v>
      </c>
      <c r="C50" s="49" t="s">
        <v>133</v>
      </c>
      <c r="D50" s="91"/>
      <c r="E50" s="108" t="s">
        <v>27</v>
      </c>
      <c r="F50" s="113"/>
      <c r="G50" s="113"/>
      <c r="H50" s="113"/>
      <c r="I50" s="113"/>
      <c r="J50" s="113"/>
      <c r="K50" s="113"/>
      <c r="L50" s="113"/>
      <c r="Q50" s="76" t="s">
        <v>29</v>
      </c>
      <c r="S50" s="301">
        <v>15.265829086303709</v>
      </c>
      <c r="T50" s="149">
        <f>1</f>
        <v>1</v>
      </c>
      <c r="U50" s="302">
        <f>IF(S50&lt;&gt;"",S50*T50,"")</f>
        <v>15.265829086303709</v>
      </c>
      <c r="V50" s="302">
        <f>IF(AND(S50&lt;&gt;"",Q50="yes"),S50*T50,"")</f>
        <v>15.265829086303709</v>
      </c>
    </row>
    <row r="51" spans="1:23" s="193" customFormat="1" ht="16" x14ac:dyDescent="0.2">
      <c r="A51" s="194" t="s">
        <v>134</v>
      </c>
      <c r="B51" s="194" t="s">
        <v>135</v>
      </c>
      <c r="C51" s="189" t="s">
        <v>136</v>
      </c>
      <c r="D51" s="198"/>
      <c r="E51" s="192" t="s">
        <v>27</v>
      </c>
      <c r="F51" s="197"/>
      <c r="G51" s="197"/>
      <c r="H51" s="197"/>
      <c r="I51" s="197"/>
      <c r="J51" s="197"/>
      <c r="K51" s="197"/>
      <c r="L51" s="197"/>
    </row>
    <row r="52" spans="1:23" s="76" customFormat="1" ht="16" x14ac:dyDescent="0.2">
      <c r="A52" s="76" t="s">
        <v>137</v>
      </c>
      <c r="B52" s="76" t="s">
        <v>138</v>
      </c>
      <c r="C52" s="49" t="s">
        <v>139</v>
      </c>
      <c r="D52" s="91"/>
      <c r="E52" s="108" t="s">
        <v>27</v>
      </c>
      <c r="F52" s="113"/>
      <c r="G52" s="113"/>
      <c r="H52" s="113"/>
      <c r="I52" s="113"/>
      <c r="J52" s="113"/>
      <c r="K52" s="113"/>
      <c r="L52" s="113"/>
      <c r="Q52" s="76" t="s">
        <v>29</v>
      </c>
      <c r="S52" s="301">
        <v>15.12371826171875</v>
      </c>
      <c r="T52" s="149">
        <f>1</f>
        <v>1</v>
      </c>
      <c r="U52" s="302">
        <f>IF(S52&lt;&gt;"",S52*T52,"")</f>
        <v>15.12371826171875</v>
      </c>
      <c r="V52" s="302">
        <f>IF(AND(S52&lt;&gt;"",Q52="yes"),S52*T52,"")</f>
        <v>15.12371826171875</v>
      </c>
    </row>
    <row r="53" spans="1:23" s="76" customFormat="1" ht="16" x14ac:dyDescent="0.2">
      <c r="A53" s="76" t="s">
        <v>140</v>
      </c>
      <c r="B53" s="76" t="s">
        <v>141</v>
      </c>
      <c r="C53" s="49" t="s">
        <v>142</v>
      </c>
      <c r="D53" s="91"/>
      <c r="E53" s="108" t="s">
        <v>27</v>
      </c>
      <c r="F53" s="113"/>
      <c r="G53" s="113"/>
      <c r="H53" s="113"/>
      <c r="I53" s="113"/>
      <c r="J53" s="113"/>
      <c r="K53" s="113"/>
      <c r="L53" s="113"/>
      <c r="Q53" s="76" t="s">
        <v>29</v>
      </c>
      <c r="S53" s="301">
        <v>13.76013851165771</v>
      </c>
      <c r="T53" s="149">
        <f>1</f>
        <v>1</v>
      </c>
      <c r="U53" s="302">
        <f>IF(S53&lt;&gt;"",S53*T53,"")</f>
        <v>13.76013851165771</v>
      </c>
      <c r="V53" s="302">
        <f>IF(AND(S53&lt;&gt;"",Q53="yes"),S53*T53,"")</f>
        <v>13.76013851165771</v>
      </c>
    </row>
    <row r="54" spans="1:23" s="199" customFormat="1" ht="16" x14ac:dyDescent="0.2">
      <c r="A54" s="193" t="s">
        <v>143</v>
      </c>
      <c r="B54" s="193" t="s">
        <v>144</v>
      </c>
      <c r="C54" s="196" t="s">
        <v>145</v>
      </c>
      <c r="D54" s="193" t="s">
        <v>146</v>
      </c>
      <c r="E54" s="192" t="s">
        <v>27</v>
      </c>
      <c r="F54" s="200"/>
      <c r="G54" s="200"/>
      <c r="H54" s="200"/>
      <c r="I54" s="200"/>
      <c r="J54" s="200"/>
      <c r="K54" s="200"/>
      <c r="L54" s="200"/>
      <c r="Q54" s="193"/>
    </row>
    <row r="55" spans="1:23" s="77" customFormat="1" ht="16" x14ac:dyDescent="0.2">
      <c r="A55" s="77" t="s">
        <v>58</v>
      </c>
      <c r="B55" s="77" t="s">
        <v>147</v>
      </c>
      <c r="C55" s="78" t="s">
        <v>148</v>
      </c>
      <c r="D55" s="77" t="s">
        <v>149</v>
      </c>
      <c r="E55" s="102" t="s">
        <v>27</v>
      </c>
      <c r="F55" s="102"/>
      <c r="G55" s="102" t="s">
        <v>150</v>
      </c>
      <c r="H55" s="102"/>
      <c r="I55" s="102"/>
      <c r="J55" s="102"/>
      <c r="K55" s="102"/>
      <c r="L55" s="102"/>
      <c r="Q55" s="77" t="s">
        <v>41</v>
      </c>
      <c r="S55" s="301">
        <v>15.21184825897217</v>
      </c>
      <c r="T55" s="149">
        <f>1</f>
        <v>1</v>
      </c>
      <c r="U55" s="302">
        <f t="shared" ref="U55:U67" si="2">IF(S55&lt;&gt;"",S55*T55,"")</f>
        <v>15.21184825897217</v>
      </c>
      <c r="V55" s="302" t="str">
        <f t="shared" ref="V55:V67" si="3">IF(AND(S55&lt;&gt;"",Q55="yes"),S55*T55,"")</f>
        <v/>
      </c>
      <c r="W55" s="76"/>
    </row>
    <row r="56" spans="1:23" s="77" customFormat="1" x14ac:dyDescent="0.2">
      <c r="C56" s="78"/>
      <c r="E56" s="102"/>
      <c r="F56" s="102"/>
      <c r="G56" s="102"/>
      <c r="H56" s="102"/>
      <c r="I56" s="102"/>
      <c r="J56" s="102"/>
      <c r="K56" s="102"/>
      <c r="L56" s="102"/>
      <c r="S56" s="301"/>
      <c r="T56" s="149">
        <f>1</f>
        <v>1</v>
      </c>
      <c r="U56" s="302" t="str">
        <f t="shared" si="2"/>
        <v/>
      </c>
      <c r="V56" s="302" t="str">
        <f t="shared" si="3"/>
        <v/>
      </c>
      <c r="W56" s="76"/>
    </row>
    <row r="57" spans="1:23" ht="15.75" customHeight="1" thickBot="1" x14ac:dyDescent="0.25">
      <c r="A57" s="92" t="s">
        <v>102</v>
      </c>
      <c r="B57" s="92"/>
      <c r="C57" s="93"/>
      <c r="D57" s="92"/>
      <c r="E57" s="114"/>
      <c r="F57" s="114"/>
      <c r="G57" s="114"/>
      <c r="H57" s="114"/>
      <c r="I57" s="114"/>
      <c r="J57" s="114"/>
      <c r="K57" s="114"/>
      <c r="L57" s="114"/>
      <c r="S57" s="301"/>
      <c r="T57" s="149">
        <f>1</f>
        <v>1</v>
      </c>
      <c r="U57" s="302" t="str">
        <f t="shared" si="2"/>
        <v/>
      </c>
      <c r="V57" s="302" t="str">
        <f t="shared" si="3"/>
        <v/>
      </c>
    </row>
    <row r="58" spans="1:23" s="73" customFormat="1" ht="15.75" customHeight="1" thickTop="1" x14ac:dyDescent="0.2">
      <c r="A58" s="81" t="s">
        <v>48</v>
      </c>
      <c r="B58" s="81" t="s">
        <v>151</v>
      </c>
      <c r="C58" s="94" t="s">
        <v>152</v>
      </c>
      <c r="D58" s="81"/>
      <c r="E58" s="115" t="s">
        <v>40</v>
      </c>
      <c r="F58" s="115"/>
      <c r="G58" s="115"/>
      <c r="H58" s="115"/>
      <c r="I58" s="115" t="s">
        <v>105</v>
      </c>
      <c r="J58" s="115"/>
      <c r="K58" s="115"/>
      <c r="L58" s="115"/>
      <c r="Q58" s="47" t="s">
        <v>29</v>
      </c>
      <c r="S58" s="301"/>
      <c r="T58" s="149">
        <f>1</f>
        <v>1</v>
      </c>
      <c r="U58" s="302" t="str">
        <f t="shared" si="2"/>
        <v/>
      </c>
      <c r="V58" s="302" t="str">
        <f t="shared" si="3"/>
        <v/>
      </c>
      <c r="W58" s="74"/>
    </row>
    <row r="59" spans="1:23" x14ac:dyDescent="0.2">
      <c r="S59" s="301"/>
      <c r="T59" s="149">
        <f>1</f>
        <v>1</v>
      </c>
      <c r="U59" s="302" t="str">
        <f t="shared" si="2"/>
        <v/>
      </c>
      <c r="V59" s="302" t="str">
        <f t="shared" si="3"/>
        <v/>
      </c>
    </row>
    <row r="60" spans="1:23" ht="30" customHeight="1" x14ac:dyDescent="0.2">
      <c r="A60" s="79" t="s">
        <v>153</v>
      </c>
      <c r="B60" s="79" t="s">
        <v>154</v>
      </c>
      <c r="C60" s="80" t="s">
        <v>155</v>
      </c>
      <c r="D60" s="76" t="s">
        <v>156</v>
      </c>
      <c r="E60" s="103" t="s">
        <v>27</v>
      </c>
      <c r="F60" s="103" t="s">
        <v>76</v>
      </c>
      <c r="G60" s="103"/>
      <c r="H60" s="103"/>
      <c r="I60" s="103"/>
      <c r="J60" s="103"/>
      <c r="K60" s="103"/>
      <c r="L60" s="103"/>
      <c r="Q60" s="47" t="s">
        <v>29</v>
      </c>
      <c r="S60" s="301">
        <v>36.928733825683587</v>
      </c>
      <c r="T60" s="149">
        <f>1</f>
        <v>1</v>
      </c>
      <c r="U60" s="302">
        <f t="shared" si="2"/>
        <v>36.928733825683587</v>
      </c>
      <c r="V60" s="302">
        <f t="shared" si="3"/>
        <v>36.928733825683587</v>
      </c>
    </row>
    <row r="61" spans="1:23" x14ac:dyDescent="0.2">
      <c r="A61" s="79" t="s">
        <v>30</v>
      </c>
      <c r="B61" s="79" t="s">
        <v>157</v>
      </c>
      <c r="C61" s="80"/>
      <c r="D61" s="76"/>
      <c r="E61" s="103"/>
      <c r="F61" s="103"/>
      <c r="G61" s="103"/>
      <c r="H61" s="103"/>
      <c r="I61" s="103"/>
      <c r="J61" s="103"/>
      <c r="K61" s="103"/>
      <c r="L61" s="103" t="s">
        <v>158</v>
      </c>
      <c r="Q61" s="47" t="s">
        <v>29</v>
      </c>
      <c r="S61" s="301"/>
      <c r="T61" s="149">
        <f>1</f>
        <v>1</v>
      </c>
      <c r="U61" s="302" t="str">
        <f t="shared" si="2"/>
        <v/>
      </c>
      <c r="V61" s="302" t="str">
        <f t="shared" si="3"/>
        <v/>
      </c>
    </row>
    <row r="62" spans="1:23" ht="30" customHeight="1" x14ac:dyDescent="0.2">
      <c r="A62" s="79" t="s">
        <v>106</v>
      </c>
      <c r="B62" s="79" t="s">
        <v>159</v>
      </c>
      <c r="C62" s="80" t="s">
        <v>160</v>
      </c>
      <c r="D62" s="76"/>
      <c r="E62" s="103" t="s">
        <v>27</v>
      </c>
      <c r="F62" s="103"/>
      <c r="G62" s="103"/>
      <c r="H62" s="103"/>
      <c r="I62" s="103" t="s">
        <v>161</v>
      </c>
      <c r="J62" s="103"/>
      <c r="K62" s="103"/>
      <c r="L62" s="103"/>
      <c r="Q62" s="47" t="s">
        <v>29</v>
      </c>
      <c r="S62" s="301">
        <v>0</v>
      </c>
      <c r="T62" s="149">
        <f>1</f>
        <v>1</v>
      </c>
      <c r="U62" s="302">
        <f t="shared" si="2"/>
        <v>0</v>
      </c>
      <c r="V62" s="302">
        <f t="shared" si="3"/>
        <v>0</v>
      </c>
    </row>
    <row r="63" spans="1:23" ht="30" customHeight="1" x14ac:dyDescent="0.2">
      <c r="A63" s="79" t="s">
        <v>106</v>
      </c>
      <c r="B63" s="79" t="s">
        <v>162</v>
      </c>
      <c r="C63" s="80" t="s">
        <v>163</v>
      </c>
      <c r="D63" s="76"/>
      <c r="E63" s="103" t="s">
        <v>27</v>
      </c>
      <c r="F63" s="103"/>
      <c r="G63" s="103"/>
      <c r="H63" s="103"/>
      <c r="I63" s="103" t="s">
        <v>164</v>
      </c>
      <c r="J63" s="103"/>
      <c r="K63" s="103"/>
      <c r="L63" s="103"/>
      <c r="Q63" s="47" t="s">
        <v>29</v>
      </c>
      <c r="S63" s="301">
        <v>0</v>
      </c>
      <c r="T63" s="149">
        <f>1</f>
        <v>1</v>
      </c>
      <c r="U63" s="302">
        <f t="shared" si="2"/>
        <v>0</v>
      </c>
      <c r="V63" s="302">
        <f t="shared" si="3"/>
        <v>0</v>
      </c>
    </row>
    <row r="64" spans="1:23" ht="30" customHeight="1" x14ac:dyDescent="0.2">
      <c r="A64" s="79" t="s">
        <v>106</v>
      </c>
      <c r="B64" s="79" t="s">
        <v>165</v>
      </c>
      <c r="C64" s="80" t="s">
        <v>166</v>
      </c>
      <c r="D64" s="76"/>
      <c r="E64" s="103" t="s">
        <v>27</v>
      </c>
      <c r="F64" s="103"/>
      <c r="G64" s="103"/>
      <c r="H64" s="103"/>
      <c r="I64" s="103" t="s">
        <v>167</v>
      </c>
      <c r="J64" s="103"/>
      <c r="K64" s="103"/>
      <c r="L64" s="103"/>
      <c r="Q64" s="47" t="s">
        <v>29</v>
      </c>
      <c r="S64" s="301">
        <v>0</v>
      </c>
      <c r="T64" s="149">
        <f>1</f>
        <v>1</v>
      </c>
      <c r="U64" s="302">
        <f t="shared" si="2"/>
        <v>0</v>
      </c>
      <c r="V64" s="302">
        <f t="shared" si="3"/>
        <v>0</v>
      </c>
    </row>
    <row r="65" spans="1:23" x14ac:dyDescent="0.2">
      <c r="S65" s="301"/>
      <c r="T65" s="149">
        <f>1</f>
        <v>1</v>
      </c>
      <c r="U65" s="302" t="str">
        <f t="shared" si="2"/>
        <v/>
      </c>
      <c r="V65" s="302" t="str">
        <f t="shared" si="3"/>
        <v/>
      </c>
    </row>
    <row r="66" spans="1:23" s="77" customFormat="1" ht="30" customHeight="1" x14ac:dyDescent="0.2">
      <c r="A66" s="77" t="s">
        <v>168</v>
      </c>
      <c r="B66" s="77" t="s">
        <v>169</v>
      </c>
      <c r="C66" s="78" t="s">
        <v>170</v>
      </c>
      <c r="D66" s="77" t="s">
        <v>171</v>
      </c>
      <c r="E66" s="102" t="s">
        <v>27</v>
      </c>
      <c r="F66" s="102"/>
      <c r="G66" s="102" t="s">
        <v>172</v>
      </c>
      <c r="H66" s="102"/>
      <c r="I66" s="102" t="s">
        <v>173</v>
      </c>
      <c r="J66" s="102"/>
      <c r="K66" s="102"/>
      <c r="L66" s="102"/>
      <c r="Q66" s="77" t="s">
        <v>41</v>
      </c>
      <c r="S66" s="301">
        <v>40.047317504882812</v>
      </c>
      <c r="T66" s="149">
        <f>1</f>
        <v>1</v>
      </c>
      <c r="U66" s="302">
        <f t="shared" si="2"/>
        <v>40.047317504882812</v>
      </c>
      <c r="V66" s="302" t="str">
        <f t="shared" si="3"/>
        <v/>
      </c>
      <c r="W66" s="76"/>
    </row>
    <row r="67" spans="1:23" s="77" customFormat="1" x14ac:dyDescent="0.2">
      <c r="A67" s="77" t="s">
        <v>174</v>
      </c>
      <c r="B67" s="77" t="s">
        <v>175</v>
      </c>
      <c r="C67" s="77" t="s">
        <v>176</v>
      </c>
      <c r="D67" s="77" t="s">
        <v>177</v>
      </c>
      <c r="E67" s="102" t="s">
        <v>40</v>
      </c>
      <c r="F67" s="102"/>
      <c r="G67" s="102"/>
      <c r="H67" s="102"/>
      <c r="I67" s="102" t="s">
        <v>178</v>
      </c>
      <c r="J67" s="102"/>
      <c r="K67" s="102"/>
      <c r="L67" s="102"/>
      <c r="Q67" s="77" t="s">
        <v>41</v>
      </c>
      <c r="S67" s="301">
        <v>3.6870110034942631</v>
      </c>
      <c r="T67" s="149">
        <f>1</f>
        <v>1</v>
      </c>
      <c r="U67" s="302">
        <f t="shared" si="2"/>
        <v>3.6870110034942631</v>
      </c>
      <c r="V67" s="302" t="str">
        <f t="shared" si="3"/>
        <v/>
      </c>
      <c r="W67" s="76"/>
    </row>
    <row r="69" spans="1:23" s="239" customFormat="1" x14ac:dyDescent="0.2">
      <c r="A69" s="239" t="s">
        <v>179</v>
      </c>
      <c r="B69" s="239" t="s">
        <v>180</v>
      </c>
      <c r="C69" s="239" t="s">
        <v>181</v>
      </c>
      <c r="E69" s="240" t="s">
        <v>27</v>
      </c>
      <c r="F69" s="240"/>
      <c r="G69" s="240"/>
      <c r="H69" s="240"/>
      <c r="I69" s="240" t="s">
        <v>173</v>
      </c>
      <c r="J69" s="240"/>
      <c r="K69" s="240"/>
      <c r="L69" s="240"/>
      <c r="S69" s="313"/>
      <c r="T69" s="241"/>
      <c r="U69" s="314"/>
      <c r="V69" s="314"/>
    </row>
    <row r="70" spans="1:23" x14ac:dyDescent="0.2">
      <c r="S70" s="301"/>
      <c r="T70" s="149">
        <f>1</f>
        <v>1</v>
      </c>
      <c r="U70" s="302" t="str">
        <f t="shared" ref="U70:U81" si="4">IF(S70&lt;&gt;"",S70*T70,"")</f>
        <v/>
      </c>
      <c r="V70" s="302" t="str">
        <f t="shared" ref="V70:V81" si="5">IF(AND(S70&lt;&gt;"",Q70="yes"),S70*T70,"")</f>
        <v/>
      </c>
    </row>
    <row r="71" spans="1:23" ht="30" customHeight="1" x14ac:dyDescent="0.2">
      <c r="A71" s="79" t="s">
        <v>182</v>
      </c>
      <c r="B71" s="79" t="s">
        <v>183</v>
      </c>
      <c r="C71" s="80" t="s">
        <v>184</v>
      </c>
      <c r="D71" s="79"/>
      <c r="E71" s="103" t="s">
        <v>27</v>
      </c>
      <c r="F71" s="103"/>
      <c r="G71" s="103"/>
      <c r="H71" s="103"/>
      <c r="I71" s="103" t="s">
        <v>173</v>
      </c>
      <c r="J71" s="103"/>
      <c r="K71" s="103"/>
      <c r="L71" s="103"/>
      <c r="Q71" s="47" t="s">
        <v>29</v>
      </c>
      <c r="S71" s="301">
        <v>27.242166519165039</v>
      </c>
      <c r="T71" s="149">
        <f>1</f>
        <v>1</v>
      </c>
      <c r="U71" s="302">
        <f t="shared" si="4"/>
        <v>27.242166519165039</v>
      </c>
      <c r="V71" s="302">
        <f t="shared" si="5"/>
        <v>27.242166519165039</v>
      </c>
    </row>
    <row r="72" spans="1:23" x14ac:dyDescent="0.2">
      <c r="S72" s="301"/>
      <c r="T72" s="149">
        <f>1</f>
        <v>1</v>
      </c>
      <c r="U72" s="302" t="str">
        <f t="shared" si="4"/>
        <v/>
      </c>
      <c r="V72" s="302" t="str">
        <f t="shared" si="5"/>
        <v/>
      </c>
    </row>
    <row r="73" spans="1:23" ht="30" customHeight="1" x14ac:dyDescent="0.2">
      <c r="A73" s="79" t="s">
        <v>185</v>
      </c>
      <c r="B73" s="79" t="s">
        <v>186</v>
      </c>
      <c r="C73" s="80" t="s">
        <v>187</v>
      </c>
      <c r="D73" s="76" t="s">
        <v>188</v>
      </c>
      <c r="E73" s="103" t="s">
        <v>27</v>
      </c>
      <c r="F73" s="103" t="s">
        <v>76</v>
      </c>
      <c r="G73" s="103"/>
      <c r="H73" s="103"/>
      <c r="I73" s="103" t="s">
        <v>173</v>
      </c>
      <c r="J73" s="103" t="s">
        <v>189</v>
      </c>
      <c r="K73" s="103"/>
      <c r="L73" s="103"/>
      <c r="Q73" s="47" t="s">
        <v>29</v>
      </c>
      <c r="S73" s="301">
        <v>25.308004379272461</v>
      </c>
      <c r="T73" s="149">
        <f>1</f>
        <v>1</v>
      </c>
      <c r="U73" s="302">
        <f t="shared" si="4"/>
        <v>25.308004379272461</v>
      </c>
      <c r="V73" s="302">
        <f t="shared" si="5"/>
        <v>25.308004379272461</v>
      </c>
    </row>
    <row r="74" spans="1:23" x14ac:dyDescent="0.2">
      <c r="A74" s="79" t="s">
        <v>30</v>
      </c>
      <c r="B74" s="79" t="s">
        <v>190</v>
      </c>
      <c r="C74" s="80"/>
      <c r="D74" s="76"/>
      <c r="E74" s="103"/>
      <c r="F74" s="103"/>
      <c r="G74" s="103"/>
      <c r="H74" s="103"/>
      <c r="I74" s="103"/>
      <c r="J74" s="103"/>
      <c r="K74" s="103"/>
      <c r="L74" s="103" t="s">
        <v>191</v>
      </c>
      <c r="Q74" s="47" t="s">
        <v>29</v>
      </c>
      <c r="S74" s="301"/>
      <c r="T74" s="149">
        <f>1</f>
        <v>1</v>
      </c>
      <c r="U74" s="302" t="str">
        <f t="shared" si="4"/>
        <v/>
      </c>
      <c r="V74" s="302" t="str">
        <f t="shared" si="5"/>
        <v/>
      </c>
    </row>
    <row r="75" spans="1:23" ht="30" customHeight="1" x14ac:dyDescent="0.2">
      <c r="A75" s="79" t="s">
        <v>106</v>
      </c>
      <c r="B75" s="79" t="s">
        <v>192</v>
      </c>
      <c r="C75" s="80" t="s">
        <v>160</v>
      </c>
      <c r="D75" s="76"/>
      <c r="E75" s="103" t="s">
        <v>27</v>
      </c>
      <c r="F75" s="103"/>
      <c r="G75" s="103"/>
      <c r="H75" s="103"/>
      <c r="I75" s="103" t="s">
        <v>193</v>
      </c>
      <c r="J75" s="103"/>
      <c r="K75" s="103"/>
      <c r="L75" s="103"/>
      <c r="Q75" s="47" t="s">
        <v>29</v>
      </c>
      <c r="S75" s="301">
        <v>0</v>
      </c>
      <c r="T75" s="149">
        <f>1</f>
        <v>1</v>
      </c>
      <c r="U75" s="302">
        <f t="shared" si="4"/>
        <v>0</v>
      </c>
      <c r="V75" s="302">
        <f t="shared" si="5"/>
        <v>0</v>
      </c>
    </row>
    <row r="76" spans="1:23" ht="30" customHeight="1" x14ac:dyDescent="0.2">
      <c r="A76" s="79" t="s">
        <v>106</v>
      </c>
      <c r="B76" s="79" t="s">
        <v>194</v>
      </c>
      <c r="C76" s="80" t="s">
        <v>163</v>
      </c>
      <c r="D76" s="76"/>
      <c r="E76" s="103" t="s">
        <v>27</v>
      </c>
      <c r="F76" s="103"/>
      <c r="G76" s="103"/>
      <c r="H76" s="103"/>
      <c r="I76" s="103" t="s">
        <v>195</v>
      </c>
      <c r="J76" s="103"/>
      <c r="K76" s="103"/>
      <c r="L76" s="103"/>
      <c r="Q76" s="47" t="s">
        <v>29</v>
      </c>
      <c r="S76" s="301">
        <v>0</v>
      </c>
      <c r="T76" s="149">
        <f>1</f>
        <v>1</v>
      </c>
      <c r="U76" s="302">
        <f t="shared" si="4"/>
        <v>0</v>
      </c>
      <c r="V76" s="302">
        <f t="shared" si="5"/>
        <v>0</v>
      </c>
    </row>
    <row r="77" spans="1:23" ht="30" customHeight="1" x14ac:dyDescent="0.2">
      <c r="A77" s="79" t="s">
        <v>106</v>
      </c>
      <c r="B77" s="79" t="s">
        <v>196</v>
      </c>
      <c r="C77" s="80" t="s">
        <v>197</v>
      </c>
      <c r="D77" s="76"/>
      <c r="E77" s="103" t="s">
        <v>27</v>
      </c>
      <c r="F77" s="103"/>
      <c r="G77" s="103"/>
      <c r="H77" s="103"/>
      <c r="I77" s="103" t="s">
        <v>198</v>
      </c>
      <c r="J77" s="103"/>
      <c r="K77" s="103"/>
      <c r="L77" s="103"/>
      <c r="Q77" s="47" t="s">
        <v>29</v>
      </c>
      <c r="S77" s="301">
        <v>0</v>
      </c>
      <c r="T77" s="149">
        <f>1</f>
        <v>1</v>
      </c>
      <c r="U77" s="302">
        <f t="shared" si="4"/>
        <v>0</v>
      </c>
      <c r="V77" s="302">
        <f t="shared" si="5"/>
        <v>0</v>
      </c>
    </row>
    <row r="78" spans="1:23" x14ac:dyDescent="0.2">
      <c r="S78" s="301"/>
      <c r="T78" s="149">
        <f>1</f>
        <v>1</v>
      </c>
      <c r="U78" s="302" t="str">
        <f t="shared" si="4"/>
        <v/>
      </c>
      <c r="V78" s="302" t="str">
        <f t="shared" si="5"/>
        <v/>
      </c>
    </row>
    <row r="79" spans="1:23" s="77" customFormat="1" ht="30" customHeight="1" x14ac:dyDescent="0.2">
      <c r="A79" s="77" t="s">
        <v>168</v>
      </c>
      <c r="B79" s="77" t="s">
        <v>199</v>
      </c>
      <c r="C79" s="78" t="s">
        <v>200</v>
      </c>
      <c r="D79" s="77" t="s">
        <v>171</v>
      </c>
      <c r="E79" s="102" t="s">
        <v>27</v>
      </c>
      <c r="F79" s="102"/>
      <c r="G79" s="102" t="s">
        <v>172</v>
      </c>
      <c r="H79" s="102"/>
      <c r="I79" s="102" t="s">
        <v>201</v>
      </c>
      <c r="J79" s="102"/>
      <c r="K79" s="102"/>
      <c r="L79" s="102"/>
      <c r="Q79" s="77" t="s">
        <v>41</v>
      </c>
      <c r="S79" s="301">
        <v>30.828470230102539</v>
      </c>
      <c r="T79" s="149">
        <f>1</f>
        <v>1</v>
      </c>
      <c r="U79" s="302">
        <f t="shared" si="4"/>
        <v>30.828470230102539</v>
      </c>
      <c r="V79" s="302" t="str">
        <f t="shared" si="5"/>
        <v/>
      </c>
      <c r="W79" s="76"/>
    </row>
    <row r="80" spans="1:23" s="77" customFormat="1" x14ac:dyDescent="0.2">
      <c r="A80" s="77" t="s">
        <v>174</v>
      </c>
      <c r="B80" s="77" t="s">
        <v>202</v>
      </c>
      <c r="C80" s="77" t="s">
        <v>176</v>
      </c>
      <c r="D80" s="77" t="s">
        <v>177</v>
      </c>
      <c r="E80" s="102" t="s">
        <v>40</v>
      </c>
      <c r="F80" s="102"/>
      <c r="G80" s="102"/>
      <c r="H80" s="102"/>
      <c r="I80" s="102" t="s">
        <v>203</v>
      </c>
      <c r="J80" s="102"/>
      <c r="K80" s="102"/>
      <c r="L80" s="102"/>
      <c r="Q80" s="77" t="s">
        <v>41</v>
      </c>
      <c r="S80" s="301">
        <v>2.29411768913269</v>
      </c>
      <c r="T80" s="149">
        <f>1</f>
        <v>1</v>
      </c>
      <c r="U80" s="302">
        <f t="shared" si="4"/>
        <v>2.29411768913269</v>
      </c>
      <c r="V80" s="302" t="str">
        <f t="shared" si="5"/>
        <v/>
      </c>
      <c r="W80" s="76"/>
    </row>
    <row r="81" spans="1:23" s="77" customFormat="1" x14ac:dyDescent="0.2">
      <c r="C81" s="78"/>
      <c r="E81" s="102"/>
      <c r="F81" s="102"/>
      <c r="G81" s="102"/>
      <c r="H81" s="102"/>
      <c r="I81" s="102"/>
      <c r="J81" s="102"/>
      <c r="K81" s="102"/>
      <c r="L81" s="102"/>
      <c r="S81" s="301"/>
      <c r="T81" s="149">
        <f>1</f>
        <v>1</v>
      </c>
      <c r="U81" s="302" t="str">
        <f t="shared" si="4"/>
        <v/>
      </c>
      <c r="V81" s="302" t="str">
        <f t="shared" si="5"/>
        <v/>
      </c>
      <c r="W81" s="76"/>
    </row>
    <row r="82" spans="1:23" s="243" customFormat="1" x14ac:dyDescent="0.2">
      <c r="A82" s="243" t="s">
        <v>179</v>
      </c>
      <c r="B82" s="243" t="s">
        <v>204</v>
      </c>
      <c r="C82" s="243" t="s">
        <v>181</v>
      </c>
      <c r="E82" s="247" t="s">
        <v>27</v>
      </c>
      <c r="F82" s="247"/>
      <c r="G82" s="247"/>
      <c r="H82" s="247"/>
      <c r="I82" s="247" t="s">
        <v>201</v>
      </c>
      <c r="J82" s="247"/>
      <c r="K82" s="247"/>
      <c r="L82" s="247"/>
      <c r="S82" s="315"/>
      <c r="T82" s="242"/>
      <c r="U82" s="316"/>
      <c r="V82" s="316"/>
    </row>
    <row r="83" spans="1:23" s="77" customFormat="1" x14ac:dyDescent="0.2">
      <c r="C83" s="78"/>
      <c r="E83" s="102"/>
      <c r="F83" s="102"/>
      <c r="G83" s="102"/>
      <c r="H83" s="102"/>
      <c r="I83" s="102"/>
      <c r="J83" s="102"/>
      <c r="K83" s="102"/>
      <c r="L83" s="102"/>
      <c r="S83" s="301"/>
      <c r="T83" s="149">
        <f>1</f>
        <v>1</v>
      </c>
      <c r="U83" s="302" t="str">
        <f t="shared" ref="U83:U94" si="6">IF(S83&lt;&gt;"",S83*T83,"")</f>
        <v/>
      </c>
      <c r="V83" s="302" t="str">
        <f t="shared" ref="V83:V94" si="7">IF(AND(S83&lt;&gt;"",Q83="yes"),S83*T83,"")</f>
        <v/>
      </c>
      <c r="W83" s="76"/>
    </row>
    <row r="84" spans="1:23" ht="30" customHeight="1" x14ac:dyDescent="0.2">
      <c r="A84" s="79" t="s">
        <v>182</v>
      </c>
      <c r="B84" s="79" t="s">
        <v>205</v>
      </c>
      <c r="C84" s="80" t="s">
        <v>206</v>
      </c>
      <c r="D84" s="79"/>
      <c r="E84" s="103" t="s">
        <v>27</v>
      </c>
      <c r="F84" s="103"/>
      <c r="G84" s="103"/>
      <c r="H84" s="103"/>
      <c r="I84" s="103" t="s">
        <v>201</v>
      </c>
      <c r="J84" s="103"/>
      <c r="K84" s="103"/>
      <c r="L84" s="103"/>
      <c r="Q84" s="47" t="s">
        <v>29</v>
      </c>
      <c r="S84" s="301">
        <v>21.193256378173832</v>
      </c>
      <c r="T84" s="149">
        <f>1</f>
        <v>1</v>
      </c>
      <c r="U84" s="302">
        <f t="shared" si="6"/>
        <v>21.193256378173832</v>
      </c>
      <c r="V84" s="302">
        <f t="shared" si="7"/>
        <v>21.193256378173832</v>
      </c>
    </row>
    <row r="85" spans="1:23" x14ac:dyDescent="0.2">
      <c r="I85" s="113"/>
      <c r="S85" s="301"/>
      <c r="T85" s="149">
        <f>1</f>
        <v>1</v>
      </c>
      <c r="U85" s="302" t="str">
        <f t="shared" si="6"/>
        <v/>
      </c>
      <c r="V85" s="302" t="str">
        <f t="shared" si="7"/>
        <v/>
      </c>
    </row>
    <row r="86" spans="1:23" x14ac:dyDescent="0.2">
      <c r="A86" s="79" t="s">
        <v>207</v>
      </c>
      <c r="B86" s="79" t="s">
        <v>208</v>
      </c>
      <c r="C86" s="79" t="s">
        <v>209</v>
      </c>
      <c r="D86" s="76" t="s">
        <v>188</v>
      </c>
      <c r="E86" s="103" t="s">
        <v>27</v>
      </c>
      <c r="F86" s="103" t="s">
        <v>76</v>
      </c>
      <c r="G86" s="103"/>
      <c r="H86" s="103"/>
      <c r="I86" s="103" t="s">
        <v>201</v>
      </c>
      <c r="J86" s="103" t="s">
        <v>210</v>
      </c>
      <c r="K86" s="103"/>
      <c r="L86" s="103"/>
      <c r="Q86" s="47" t="s">
        <v>29</v>
      </c>
      <c r="S86" s="301">
        <v>20.229927062988281</v>
      </c>
      <c r="T86" s="149">
        <f>1</f>
        <v>1</v>
      </c>
      <c r="U86" s="302">
        <f t="shared" si="6"/>
        <v>20.229927062988281</v>
      </c>
      <c r="V86" s="302">
        <f t="shared" si="7"/>
        <v>20.229927062988281</v>
      </c>
    </row>
    <row r="87" spans="1:23" x14ac:dyDescent="0.2">
      <c r="A87" s="79" t="s">
        <v>30</v>
      </c>
      <c r="B87" s="79" t="s">
        <v>211</v>
      </c>
      <c r="C87" s="80"/>
      <c r="D87" s="76"/>
      <c r="E87" s="103"/>
      <c r="F87" s="103"/>
      <c r="G87" s="103"/>
      <c r="H87" s="103"/>
      <c r="I87" s="103"/>
      <c r="J87" s="103"/>
      <c r="K87" s="103"/>
      <c r="L87" s="103" t="s">
        <v>212</v>
      </c>
      <c r="Q87" s="47" t="s">
        <v>29</v>
      </c>
      <c r="S87" s="301"/>
      <c r="T87" s="149">
        <f>1</f>
        <v>1</v>
      </c>
      <c r="U87" s="302" t="str">
        <f t="shared" si="6"/>
        <v/>
      </c>
      <c r="V87" s="302" t="str">
        <f t="shared" si="7"/>
        <v/>
      </c>
    </row>
    <row r="88" spans="1:23" ht="30" customHeight="1" x14ac:dyDescent="0.2">
      <c r="A88" s="79" t="s">
        <v>106</v>
      </c>
      <c r="B88" s="79" t="s">
        <v>213</v>
      </c>
      <c r="C88" s="80" t="s">
        <v>160</v>
      </c>
      <c r="D88" s="76"/>
      <c r="E88" s="103" t="s">
        <v>27</v>
      </c>
      <c r="F88" s="103"/>
      <c r="G88" s="103"/>
      <c r="H88" s="103"/>
      <c r="I88" s="103" t="s">
        <v>214</v>
      </c>
      <c r="J88" s="103"/>
      <c r="K88" s="103"/>
      <c r="L88" s="103"/>
      <c r="Q88" s="47" t="s">
        <v>29</v>
      </c>
      <c r="S88" s="301">
        <v>0</v>
      </c>
      <c r="T88" s="149">
        <f>1</f>
        <v>1</v>
      </c>
      <c r="U88" s="302">
        <f t="shared" si="6"/>
        <v>0</v>
      </c>
      <c r="V88" s="302">
        <f t="shared" si="7"/>
        <v>0</v>
      </c>
    </row>
    <row r="89" spans="1:23" ht="30" customHeight="1" x14ac:dyDescent="0.2">
      <c r="A89" s="79" t="s">
        <v>106</v>
      </c>
      <c r="B89" s="79" t="s">
        <v>215</v>
      </c>
      <c r="C89" s="80" t="s">
        <v>163</v>
      </c>
      <c r="D89" s="76"/>
      <c r="E89" s="103" t="s">
        <v>27</v>
      </c>
      <c r="F89" s="103"/>
      <c r="G89" s="103"/>
      <c r="H89" s="103"/>
      <c r="I89" s="103" t="s">
        <v>216</v>
      </c>
      <c r="J89" s="103"/>
      <c r="K89" s="103"/>
      <c r="L89" s="103"/>
      <c r="Q89" s="47" t="s">
        <v>29</v>
      </c>
      <c r="S89" s="301">
        <v>0</v>
      </c>
      <c r="T89" s="149">
        <f>1</f>
        <v>1</v>
      </c>
      <c r="U89" s="302">
        <f t="shared" si="6"/>
        <v>0</v>
      </c>
      <c r="V89" s="302">
        <f t="shared" si="7"/>
        <v>0</v>
      </c>
    </row>
    <row r="90" spans="1:23" ht="30" customHeight="1" x14ac:dyDescent="0.2">
      <c r="A90" s="79" t="s">
        <v>106</v>
      </c>
      <c r="B90" s="79" t="s">
        <v>217</v>
      </c>
      <c r="C90" s="80" t="s">
        <v>197</v>
      </c>
      <c r="D90" s="76"/>
      <c r="E90" s="103" t="s">
        <v>27</v>
      </c>
      <c r="F90" s="103"/>
      <c r="G90" s="103"/>
      <c r="H90" s="103"/>
      <c r="I90" s="103" t="s">
        <v>218</v>
      </c>
      <c r="J90" s="103"/>
      <c r="K90" s="103"/>
      <c r="L90" s="103"/>
      <c r="Q90" s="47" t="s">
        <v>29</v>
      </c>
      <c r="S90" s="301">
        <v>0</v>
      </c>
      <c r="T90" s="149">
        <f>1</f>
        <v>1</v>
      </c>
      <c r="U90" s="302">
        <f t="shared" si="6"/>
        <v>0</v>
      </c>
      <c r="V90" s="302">
        <f t="shared" si="7"/>
        <v>0</v>
      </c>
    </row>
    <row r="91" spans="1:23" x14ac:dyDescent="0.2">
      <c r="S91" s="301"/>
      <c r="T91" s="149">
        <f>1</f>
        <v>1</v>
      </c>
      <c r="U91" s="302" t="str">
        <f t="shared" si="6"/>
        <v/>
      </c>
      <c r="V91" s="302" t="str">
        <f t="shared" si="7"/>
        <v/>
      </c>
    </row>
    <row r="92" spans="1:23" s="77" customFormat="1" ht="30" customHeight="1" x14ac:dyDescent="0.2">
      <c r="A92" s="77" t="s">
        <v>168</v>
      </c>
      <c r="B92" s="77" t="s">
        <v>219</v>
      </c>
      <c r="C92" s="78" t="s">
        <v>220</v>
      </c>
      <c r="D92" s="77" t="s">
        <v>171</v>
      </c>
      <c r="E92" s="102" t="s">
        <v>27</v>
      </c>
      <c r="F92" s="102"/>
      <c r="G92" s="102" t="s">
        <v>172</v>
      </c>
      <c r="H92" s="102"/>
      <c r="I92" s="102" t="s">
        <v>221</v>
      </c>
      <c r="J92" s="102"/>
      <c r="K92" s="102"/>
      <c r="L92" s="102"/>
      <c r="Q92" s="77" t="s">
        <v>41</v>
      </c>
      <c r="S92" s="301">
        <v>29.42983245849609</v>
      </c>
      <c r="T92" s="149">
        <f>1</f>
        <v>1</v>
      </c>
      <c r="U92" s="302">
        <f t="shared" si="6"/>
        <v>29.42983245849609</v>
      </c>
      <c r="V92" s="302" t="str">
        <f t="shared" si="7"/>
        <v/>
      </c>
      <c r="W92" s="76"/>
    </row>
    <row r="93" spans="1:23" s="77" customFormat="1" x14ac:dyDescent="0.2">
      <c r="A93" s="77" t="s">
        <v>174</v>
      </c>
      <c r="B93" s="77" t="s">
        <v>222</v>
      </c>
      <c r="C93" s="77" t="s">
        <v>176</v>
      </c>
      <c r="D93" s="77" t="s">
        <v>177</v>
      </c>
      <c r="E93" s="102" t="s">
        <v>40</v>
      </c>
      <c r="F93" s="102"/>
      <c r="G93" s="102"/>
      <c r="H93" s="102"/>
      <c r="I93" s="116" t="s">
        <v>223</v>
      </c>
      <c r="J93" s="102"/>
      <c r="K93" s="102"/>
      <c r="L93" s="102"/>
      <c r="Q93" s="77" t="s">
        <v>41</v>
      </c>
      <c r="S93" s="301">
        <v>1.555555582046509</v>
      </c>
      <c r="T93" s="149">
        <f>1</f>
        <v>1</v>
      </c>
      <c r="U93" s="302">
        <f t="shared" si="6"/>
        <v>1.555555582046509</v>
      </c>
      <c r="V93" s="302" t="str">
        <f t="shared" si="7"/>
        <v/>
      </c>
      <c r="W93" s="76"/>
    </row>
    <row r="94" spans="1:23" s="77" customFormat="1" x14ac:dyDescent="0.2">
      <c r="C94" s="78"/>
      <c r="E94" s="102"/>
      <c r="F94" s="102"/>
      <c r="G94" s="102"/>
      <c r="H94" s="102"/>
      <c r="I94" s="102"/>
      <c r="J94" s="102"/>
      <c r="K94" s="102"/>
      <c r="L94" s="102"/>
      <c r="S94" s="301"/>
      <c r="T94" s="149">
        <f>1</f>
        <v>1</v>
      </c>
      <c r="U94" s="302" t="str">
        <f t="shared" si="6"/>
        <v/>
      </c>
      <c r="V94" s="302" t="str">
        <f t="shared" si="7"/>
        <v/>
      </c>
      <c r="W94" s="76"/>
    </row>
    <row r="95" spans="1:23" s="243" customFormat="1" x14ac:dyDescent="0.2">
      <c r="A95" s="243" t="s">
        <v>179</v>
      </c>
      <c r="B95" s="243" t="s">
        <v>224</v>
      </c>
      <c r="C95" s="243" t="s">
        <v>181</v>
      </c>
      <c r="E95" s="247" t="s">
        <v>27</v>
      </c>
      <c r="F95" s="247"/>
      <c r="G95" s="247"/>
      <c r="H95" s="247"/>
      <c r="I95" s="247" t="s">
        <v>221</v>
      </c>
      <c r="J95" s="247"/>
      <c r="K95" s="247"/>
      <c r="L95" s="247"/>
      <c r="S95" s="315"/>
      <c r="T95" s="242"/>
      <c r="U95" s="316"/>
      <c r="V95" s="316"/>
    </row>
    <row r="96" spans="1:23" s="77" customFormat="1" x14ac:dyDescent="0.2">
      <c r="C96" s="78"/>
      <c r="E96" s="102"/>
      <c r="F96" s="102"/>
      <c r="G96" s="102"/>
      <c r="H96" s="102"/>
      <c r="I96" s="116"/>
      <c r="J96" s="102"/>
      <c r="K96" s="102"/>
      <c r="L96" s="102"/>
      <c r="S96" s="301"/>
      <c r="T96" s="149">
        <f>1</f>
        <v>1</v>
      </c>
      <c r="U96" s="302" t="str">
        <f>IF(S96&lt;&gt;"",S96*T96,"")</f>
        <v/>
      </c>
      <c r="V96" s="302" t="str">
        <f>IF(AND(S96&lt;&gt;"",Q96="yes"),S96*T96,"")</f>
        <v/>
      </c>
      <c r="W96" s="76"/>
    </row>
    <row r="97" spans="1:23" ht="30" customHeight="1" x14ac:dyDescent="0.2">
      <c r="A97" s="79" t="s">
        <v>182</v>
      </c>
      <c r="B97" s="79" t="s">
        <v>225</v>
      </c>
      <c r="C97" s="80" t="s">
        <v>226</v>
      </c>
      <c r="D97" s="79"/>
      <c r="E97" s="103" t="s">
        <v>27</v>
      </c>
      <c r="F97" s="103"/>
      <c r="G97" s="103"/>
      <c r="H97" s="103"/>
      <c r="I97" s="103" t="s">
        <v>221</v>
      </c>
      <c r="J97" s="103"/>
      <c r="K97" s="103"/>
      <c r="L97" s="103"/>
      <c r="Q97" s="47" t="s">
        <v>29</v>
      </c>
      <c r="S97" s="301">
        <v>16.348396301269531</v>
      </c>
      <c r="T97" s="149">
        <f>1</f>
        <v>1</v>
      </c>
      <c r="U97" s="302">
        <f>IF(S97&lt;&gt;"",S97*T97,"")</f>
        <v>16.348396301269531</v>
      </c>
      <c r="V97" s="302">
        <f>IF(AND(S97&lt;&gt;"",Q97="yes"),S97*T97,"")</f>
        <v>16.348396301269531</v>
      </c>
    </row>
    <row r="98" spans="1:23" s="77" customFormat="1" x14ac:dyDescent="0.2">
      <c r="C98" s="78"/>
      <c r="E98" s="102"/>
      <c r="F98" s="102"/>
      <c r="G98" s="102"/>
      <c r="H98" s="102"/>
      <c r="I98" s="102"/>
      <c r="J98" s="102"/>
      <c r="K98" s="102"/>
      <c r="L98" s="102"/>
      <c r="S98" s="301"/>
      <c r="T98" s="149">
        <f>1</f>
        <v>1</v>
      </c>
      <c r="U98" s="302" t="str">
        <f>IF(S98&lt;&gt;"",S98*T98,"")</f>
        <v/>
      </c>
      <c r="V98" s="302" t="str">
        <f>IF(AND(S98&lt;&gt;"",Q98="yes"),S98*T98,"")</f>
        <v/>
      </c>
      <c r="W98" s="76"/>
    </row>
    <row r="99" spans="1:23" ht="45" customHeight="1" x14ac:dyDescent="0.2">
      <c r="A99" s="79" t="s">
        <v>227</v>
      </c>
      <c r="B99" s="79" t="s">
        <v>228</v>
      </c>
      <c r="C99" s="80" t="s">
        <v>229</v>
      </c>
      <c r="D99" s="79" t="s">
        <v>230</v>
      </c>
      <c r="E99" s="103" t="s">
        <v>27</v>
      </c>
      <c r="F99" s="103"/>
      <c r="G99" s="103" t="s">
        <v>231</v>
      </c>
      <c r="H99" s="103"/>
      <c r="I99" s="103"/>
      <c r="J99" s="103"/>
      <c r="K99" s="103"/>
      <c r="L99" s="103"/>
      <c r="Q99" s="47" t="s">
        <v>29</v>
      </c>
      <c r="S99" s="301">
        <v>46.247528076171882</v>
      </c>
      <c r="T99" s="149">
        <f>1</f>
        <v>1</v>
      </c>
      <c r="U99" s="302">
        <f>IF(S99&lt;&gt;"",S99*T99,"")</f>
        <v>46.247528076171882</v>
      </c>
      <c r="V99" s="302">
        <f>IF(AND(S99&lt;&gt;"",Q99="yes"),S99*T99,"")</f>
        <v>46.247528076171882</v>
      </c>
    </row>
    <row r="100" spans="1:23" s="244" customFormat="1" ht="30" customHeight="1" x14ac:dyDescent="0.2">
      <c r="A100" s="244" t="s">
        <v>42</v>
      </c>
      <c r="B100" s="244" t="s">
        <v>232</v>
      </c>
      <c r="C100" s="245" t="s">
        <v>233</v>
      </c>
      <c r="E100" s="240" t="s">
        <v>27</v>
      </c>
      <c r="F100" s="246"/>
      <c r="G100" s="246"/>
      <c r="H100" s="246"/>
      <c r="I100" s="247"/>
      <c r="J100" s="246"/>
      <c r="K100" s="246"/>
      <c r="L100" s="246"/>
      <c r="Q100" s="243"/>
    </row>
    <row r="101" spans="1:23" s="244" customFormat="1" x14ac:dyDescent="0.2">
      <c r="A101" s="244" t="s">
        <v>234</v>
      </c>
      <c r="B101" s="294" t="s">
        <v>235</v>
      </c>
      <c r="C101" s="248" t="s">
        <v>236</v>
      </c>
      <c r="E101" s="246"/>
      <c r="F101" s="246"/>
      <c r="G101" s="246"/>
      <c r="H101" s="246"/>
      <c r="I101" s="247" t="s">
        <v>237</v>
      </c>
      <c r="J101" s="246"/>
      <c r="K101" s="246"/>
      <c r="L101" s="246"/>
      <c r="S101" s="315"/>
      <c r="T101" s="242">
        <f>1</f>
        <v>1</v>
      </c>
      <c r="U101" s="316" t="str">
        <f t="shared" ref="U101:U108" si="8">IF(S101&lt;&gt;"",S101*T101,"")</f>
        <v/>
      </c>
      <c r="V101" s="316" t="str">
        <f t="shared" ref="V101:V108" si="9">IF(AND(S101&lt;&gt;"",Q101="yes"),S101*T101,"")</f>
        <v/>
      </c>
      <c r="W101" s="243"/>
    </row>
    <row r="102" spans="1:23" s="77" customFormat="1" x14ac:dyDescent="0.2">
      <c r="C102" s="78"/>
      <c r="E102" s="102"/>
      <c r="F102" s="102"/>
      <c r="G102" s="108"/>
      <c r="H102" s="102"/>
      <c r="I102" s="102"/>
      <c r="J102" s="102"/>
      <c r="K102" s="102"/>
      <c r="L102" s="102"/>
      <c r="S102" s="301"/>
      <c r="T102" s="149">
        <f>1</f>
        <v>1</v>
      </c>
      <c r="U102" s="302" t="str">
        <f t="shared" si="8"/>
        <v/>
      </c>
      <c r="V102" s="302" t="str">
        <f t="shared" si="9"/>
        <v/>
      </c>
      <c r="W102" s="76"/>
    </row>
    <row r="103" spans="1:23" ht="15.75" customHeight="1" thickBot="1" x14ac:dyDescent="0.25">
      <c r="A103" s="89" t="s">
        <v>102</v>
      </c>
      <c r="B103" s="89"/>
      <c r="C103" s="90"/>
      <c r="D103" s="89"/>
      <c r="E103" s="112"/>
      <c r="F103" s="112"/>
      <c r="G103" s="112"/>
      <c r="H103" s="112"/>
      <c r="I103" s="112"/>
      <c r="J103" s="112"/>
      <c r="K103" s="112"/>
      <c r="L103" s="112"/>
      <c r="S103" s="301"/>
      <c r="T103" s="76"/>
      <c r="U103" s="302" t="str">
        <f t="shared" si="8"/>
        <v/>
      </c>
      <c r="V103" s="302" t="str">
        <f t="shared" si="9"/>
        <v/>
      </c>
    </row>
    <row r="104" spans="1:23" s="73" customFormat="1" ht="15.75" customHeight="1" thickTop="1" x14ac:dyDescent="0.2">
      <c r="A104" s="72" t="s">
        <v>48</v>
      </c>
      <c r="B104" s="72" t="s">
        <v>238</v>
      </c>
      <c r="C104" s="86" t="s">
        <v>239</v>
      </c>
      <c r="D104" s="72"/>
      <c r="E104" s="106" t="s">
        <v>40</v>
      </c>
      <c r="F104" s="106"/>
      <c r="G104" s="106"/>
      <c r="H104" s="106"/>
      <c r="I104" s="106" t="s">
        <v>240</v>
      </c>
      <c r="J104" s="106"/>
      <c r="K104" s="106"/>
      <c r="L104" s="106"/>
      <c r="Q104" s="47" t="s">
        <v>29</v>
      </c>
      <c r="S104" s="301"/>
      <c r="T104" s="74"/>
      <c r="U104" s="302" t="str">
        <f t="shared" si="8"/>
        <v/>
      </c>
      <c r="V104" s="302" t="str">
        <f t="shared" si="9"/>
        <v/>
      </c>
      <c r="W104" s="74"/>
    </row>
    <row r="105" spans="1:23" s="48" customFormat="1" ht="49" customHeight="1" x14ac:dyDescent="0.2">
      <c r="A105" s="46" t="s">
        <v>36</v>
      </c>
      <c r="B105" s="46" t="s">
        <v>241</v>
      </c>
      <c r="C105" s="46" t="s">
        <v>242</v>
      </c>
      <c r="D105" s="46"/>
      <c r="E105" s="45"/>
      <c r="F105" s="45"/>
      <c r="G105" s="45"/>
      <c r="H105" s="45"/>
      <c r="I105" s="45"/>
      <c r="J105" s="45"/>
      <c r="K105" s="45"/>
      <c r="L105" s="45"/>
      <c r="Q105" s="48" t="s">
        <v>29</v>
      </c>
      <c r="S105" s="309">
        <v>7.5</v>
      </c>
      <c r="T105" s="148">
        <f>'Additional information'!$D$18</f>
        <v>0.91</v>
      </c>
      <c r="U105" s="310">
        <f t="shared" si="8"/>
        <v>6.8250000000000002</v>
      </c>
      <c r="V105" s="310">
        <f t="shared" si="9"/>
        <v>6.8250000000000002</v>
      </c>
      <c r="W105" s="49"/>
    </row>
    <row r="106" spans="1:23" x14ac:dyDescent="0.2">
      <c r="S106" s="301"/>
      <c r="T106" s="149">
        <f>'Additional information'!$D$18</f>
        <v>0.91</v>
      </c>
      <c r="U106" s="302" t="str">
        <f t="shared" si="8"/>
        <v/>
      </c>
      <c r="V106" s="302" t="str">
        <f t="shared" si="9"/>
        <v/>
      </c>
    </row>
    <row r="107" spans="1:23" s="76" customFormat="1" ht="16" x14ac:dyDescent="0.2">
      <c r="A107" s="79" t="s">
        <v>168</v>
      </c>
      <c r="B107" s="79" t="s">
        <v>243</v>
      </c>
      <c r="C107" s="80" t="s">
        <v>244</v>
      </c>
      <c r="D107" s="79" t="s">
        <v>245</v>
      </c>
      <c r="E107" s="103" t="s">
        <v>27</v>
      </c>
      <c r="F107" s="103"/>
      <c r="G107" s="103" t="s">
        <v>246</v>
      </c>
      <c r="H107" s="103"/>
      <c r="I107" s="103"/>
      <c r="J107" s="103"/>
      <c r="K107" s="103"/>
      <c r="L107" s="103"/>
      <c r="Q107" s="76" t="s">
        <v>29</v>
      </c>
      <c r="S107" s="301">
        <v>17</v>
      </c>
      <c r="T107" s="149">
        <f>'Additional information'!$D$18</f>
        <v>0.91</v>
      </c>
      <c r="U107" s="302">
        <f t="shared" si="8"/>
        <v>15.47</v>
      </c>
      <c r="V107" s="302">
        <f t="shared" si="9"/>
        <v>15.47</v>
      </c>
    </row>
    <row r="108" spans="1:23" s="76" customFormat="1" ht="16" x14ac:dyDescent="0.2">
      <c r="A108" s="79" t="s">
        <v>247</v>
      </c>
      <c r="B108" s="79" t="s">
        <v>248</v>
      </c>
      <c r="C108" s="80" t="s">
        <v>249</v>
      </c>
      <c r="D108" s="79" t="s">
        <v>250</v>
      </c>
      <c r="E108" s="103" t="s">
        <v>27</v>
      </c>
      <c r="F108" s="103"/>
      <c r="G108" s="103"/>
      <c r="H108" s="103"/>
      <c r="I108" s="103" t="s">
        <v>251</v>
      </c>
      <c r="J108" s="103"/>
      <c r="K108" s="103"/>
      <c r="L108" s="103"/>
      <c r="Q108" s="76" t="s">
        <v>29</v>
      </c>
      <c r="S108" s="301">
        <v>0</v>
      </c>
      <c r="T108" s="149">
        <f>'Additional information'!$D$18</f>
        <v>0.91</v>
      </c>
      <c r="U108" s="302">
        <f t="shared" si="8"/>
        <v>0</v>
      </c>
      <c r="V108" s="302">
        <f t="shared" si="9"/>
        <v>0</v>
      </c>
    </row>
    <row r="109" spans="1:23" s="201" customFormat="1" ht="30" customHeight="1" x14ac:dyDescent="0.2">
      <c r="A109" s="195" t="s">
        <v>168</v>
      </c>
      <c r="B109" s="195" t="s">
        <v>252</v>
      </c>
      <c r="C109" s="189" t="s">
        <v>253</v>
      </c>
      <c r="D109" s="195" t="s">
        <v>254</v>
      </c>
      <c r="E109" s="202"/>
      <c r="F109" s="202"/>
      <c r="G109" s="202"/>
      <c r="H109" s="202"/>
      <c r="I109" s="202"/>
      <c r="J109" s="202"/>
      <c r="K109" s="202"/>
      <c r="L109" s="202"/>
      <c r="Q109" s="203"/>
    </row>
    <row r="110" spans="1:23" s="201" customFormat="1" ht="29" customHeight="1" x14ac:dyDescent="0.2">
      <c r="A110" s="195" t="s">
        <v>168</v>
      </c>
      <c r="B110" s="195" t="s">
        <v>255</v>
      </c>
      <c r="C110" s="189" t="s">
        <v>256</v>
      </c>
      <c r="D110" s="195"/>
      <c r="E110" s="202"/>
      <c r="F110" s="202"/>
      <c r="G110" s="202"/>
      <c r="H110" s="202"/>
      <c r="I110" s="202"/>
      <c r="J110" s="202"/>
      <c r="K110" s="202"/>
      <c r="L110" s="202"/>
      <c r="Q110" s="203"/>
    </row>
    <row r="111" spans="1:23" s="201" customFormat="1" ht="16" x14ac:dyDescent="0.2">
      <c r="A111" s="195" t="s">
        <v>257</v>
      </c>
      <c r="B111" s="195" t="s">
        <v>258</v>
      </c>
      <c r="C111" s="189" t="s">
        <v>259</v>
      </c>
      <c r="D111" s="195"/>
      <c r="E111" s="202"/>
      <c r="F111" s="202"/>
      <c r="G111" s="202"/>
      <c r="H111" s="202"/>
      <c r="I111" s="202"/>
      <c r="J111" s="202"/>
      <c r="K111" s="202"/>
      <c r="L111" s="202"/>
      <c r="Q111" s="203"/>
    </row>
    <row r="112" spans="1:23" s="201" customFormat="1" ht="16" x14ac:dyDescent="0.2">
      <c r="A112" s="195" t="s">
        <v>24</v>
      </c>
      <c r="B112" s="195" t="s">
        <v>260</v>
      </c>
      <c r="C112" s="189" t="s">
        <v>261</v>
      </c>
      <c r="D112" s="195"/>
      <c r="E112" s="202"/>
      <c r="F112" s="202"/>
      <c r="G112" s="202"/>
      <c r="H112" s="202"/>
      <c r="I112" s="192" t="s">
        <v>262</v>
      </c>
      <c r="J112" s="202"/>
      <c r="K112" s="202"/>
      <c r="L112" s="202"/>
      <c r="Q112" s="203"/>
    </row>
    <row r="113" spans="1:23" ht="30" customHeight="1" x14ac:dyDescent="0.2">
      <c r="A113" s="75" t="s">
        <v>263</v>
      </c>
      <c r="B113" s="75" t="s">
        <v>264</v>
      </c>
      <c r="C113" s="46" t="s">
        <v>265</v>
      </c>
      <c r="D113" s="75" t="s">
        <v>266</v>
      </c>
      <c r="E113" s="101" t="s">
        <v>27</v>
      </c>
      <c r="F113" s="101" t="s">
        <v>76</v>
      </c>
      <c r="G113" s="101"/>
      <c r="H113" s="101"/>
      <c r="I113" s="101"/>
      <c r="J113" s="101"/>
      <c r="K113" s="101"/>
      <c r="L113" s="101"/>
      <c r="Q113" s="47" t="s">
        <v>29</v>
      </c>
      <c r="S113" s="301">
        <v>27.057552337646481</v>
      </c>
      <c r="T113" s="149">
        <f>'Additional information'!$D$18</f>
        <v>0.91</v>
      </c>
      <c r="U113" s="302">
        <f>IF(S113&lt;&gt;"",S113*T113,"")</f>
        <v>24.622372627258297</v>
      </c>
      <c r="V113" s="302">
        <f>IF(AND(S113&lt;&gt;"",Q113="yes"),S113*T113,"")</f>
        <v>24.622372627258297</v>
      </c>
    </row>
    <row r="114" spans="1:23" x14ac:dyDescent="0.2">
      <c r="A114" s="75" t="s">
        <v>30</v>
      </c>
      <c r="B114" s="75" t="s">
        <v>267</v>
      </c>
      <c r="C114" s="46"/>
      <c r="E114" s="101"/>
      <c r="F114" s="101"/>
      <c r="G114" s="101"/>
      <c r="H114" s="101"/>
      <c r="I114" s="101"/>
      <c r="J114" s="101"/>
      <c r="K114" s="101"/>
      <c r="L114" s="101" t="s">
        <v>268</v>
      </c>
      <c r="Q114" s="47" t="s">
        <v>29</v>
      </c>
      <c r="S114" s="301"/>
      <c r="T114" s="149">
        <f>'Additional information'!$D$18</f>
        <v>0.91</v>
      </c>
      <c r="U114" s="302" t="str">
        <f>IF(S114&lt;&gt;"",S114*T114,"")</f>
        <v/>
      </c>
      <c r="V114" s="302" t="str">
        <f>IF(AND(S114&lt;&gt;"",Q114="yes"),S114*T114,"")</f>
        <v/>
      </c>
    </row>
    <row r="115" spans="1:23" s="191" customFormat="1" ht="16" x14ac:dyDescent="0.2">
      <c r="A115" s="209" t="s">
        <v>24</v>
      </c>
      <c r="B115" s="209" t="s">
        <v>269</v>
      </c>
      <c r="C115" s="210" t="s">
        <v>270</v>
      </c>
      <c r="E115" s="211"/>
      <c r="F115" s="211"/>
      <c r="G115" s="211"/>
      <c r="H115" s="211"/>
      <c r="I115" s="211" t="s">
        <v>271</v>
      </c>
      <c r="J115" s="211"/>
      <c r="K115" s="211"/>
      <c r="L115" s="211"/>
      <c r="S115" s="307"/>
      <c r="T115" s="268"/>
      <c r="U115" s="308"/>
      <c r="V115" s="308"/>
      <c r="W115" s="193"/>
    </row>
    <row r="116" spans="1:23" ht="16" x14ac:dyDescent="0.2">
      <c r="A116" s="75" t="s">
        <v>272</v>
      </c>
      <c r="B116" s="75" t="s">
        <v>273</v>
      </c>
      <c r="C116" s="46" t="s">
        <v>274</v>
      </c>
      <c r="E116" s="101" t="s">
        <v>27</v>
      </c>
      <c r="F116" s="101"/>
      <c r="G116" s="101"/>
      <c r="H116" s="101"/>
      <c r="I116" s="101" t="s">
        <v>275</v>
      </c>
      <c r="J116" s="101"/>
      <c r="K116" s="101"/>
      <c r="L116" s="101"/>
      <c r="Q116" s="47" t="s">
        <v>29</v>
      </c>
      <c r="S116" s="301">
        <v>0</v>
      </c>
      <c r="T116" s="149">
        <f>'Additional information'!$D$18</f>
        <v>0.91</v>
      </c>
      <c r="U116" s="302">
        <f t="shared" ref="U116:U121" si="10">IF(S116&lt;&gt;"",S116*T116,"")</f>
        <v>0</v>
      </c>
      <c r="V116" s="302">
        <f t="shared" ref="V116:V121" si="11">IF(AND(S116&lt;&gt;"",Q116="yes"),S116*T116,"")</f>
        <v>0</v>
      </c>
    </row>
    <row r="117" spans="1:23" s="76" customFormat="1" x14ac:dyDescent="0.2">
      <c r="C117" s="49"/>
      <c r="E117" s="113"/>
      <c r="F117" s="113"/>
      <c r="G117" s="113"/>
      <c r="H117" s="113"/>
      <c r="I117" s="113"/>
      <c r="J117" s="113"/>
      <c r="K117" s="113"/>
      <c r="L117" s="113"/>
      <c r="S117" s="301"/>
      <c r="T117" s="149">
        <f>'Additional information'!$D$18</f>
        <v>0.91</v>
      </c>
      <c r="U117" s="302" t="str">
        <f t="shared" si="10"/>
        <v/>
      </c>
      <c r="V117" s="302" t="str">
        <f t="shared" si="11"/>
        <v/>
      </c>
    </row>
    <row r="118" spans="1:23" ht="31.75" customHeight="1" x14ac:dyDescent="0.2">
      <c r="A118" s="75" t="s">
        <v>276</v>
      </c>
      <c r="B118" s="75" t="s">
        <v>277</v>
      </c>
      <c r="C118" s="75" t="s">
        <v>278</v>
      </c>
      <c r="E118" s="101" t="s">
        <v>27</v>
      </c>
      <c r="F118" s="101"/>
      <c r="G118" s="101"/>
      <c r="H118" s="101"/>
      <c r="I118" s="101" t="s">
        <v>279</v>
      </c>
      <c r="J118" s="101"/>
      <c r="K118" s="101"/>
      <c r="L118" s="101"/>
      <c r="Q118" s="47" t="s">
        <v>29</v>
      </c>
      <c r="S118" s="301">
        <v>15.95429515838623</v>
      </c>
      <c r="T118" s="149">
        <f>'Additional information'!$D$18</f>
        <v>0.91</v>
      </c>
      <c r="U118" s="302">
        <f t="shared" si="10"/>
        <v>14.51840859413147</v>
      </c>
      <c r="V118" s="302">
        <f t="shared" si="11"/>
        <v>14.51840859413147</v>
      </c>
    </row>
    <row r="119" spans="1:23" ht="15.75" customHeight="1" x14ac:dyDescent="0.2">
      <c r="A119" s="75" t="s">
        <v>24</v>
      </c>
      <c r="B119" s="75" t="s">
        <v>280</v>
      </c>
      <c r="C119" s="80" t="s">
        <v>281</v>
      </c>
      <c r="D119" s="76" t="s">
        <v>282</v>
      </c>
      <c r="E119" s="101" t="s">
        <v>27</v>
      </c>
      <c r="F119" s="101"/>
      <c r="G119" s="101"/>
      <c r="H119" s="101"/>
      <c r="I119" s="101" t="s">
        <v>283</v>
      </c>
      <c r="J119" s="101"/>
      <c r="K119" s="101"/>
      <c r="L119" s="101"/>
      <c r="Q119" s="47" t="s">
        <v>29</v>
      </c>
      <c r="S119" s="301"/>
      <c r="T119" s="149">
        <f>'Additional information'!$D$18</f>
        <v>0.91</v>
      </c>
      <c r="U119" s="302" t="str">
        <f t="shared" si="10"/>
        <v/>
      </c>
      <c r="V119" s="302" t="str">
        <f t="shared" si="11"/>
        <v/>
      </c>
    </row>
    <row r="120" spans="1:23" s="77" customFormat="1" ht="15.75" customHeight="1" x14ac:dyDescent="0.2">
      <c r="C120" s="78"/>
      <c r="E120" s="102"/>
      <c r="F120" s="102"/>
      <c r="G120" s="102"/>
      <c r="H120" s="102"/>
      <c r="I120" s="102"/>
      <c r="J120" s="102"/>
      <c r="K120" s="102"/>
      <c r="L120" s="102"/>
      <c r="S120" s="301"/>
      <c r="T120" s="149">
        <f>'Additional information'!$D$18</f>
        <v>0.91</v>
      </c>
      <c r="U120" s="302" t="str">
        <f t="shared" si="10"/>
        <v/>
      </c>
      <c r="V120" s="302" t="str">
        <f t="shared" si="11"/>
        <v/>
      </c>
      <c r="W120" s="76"/>
    </row>
    <row r="121" spans="1:23" s="77" customFormat="1" ht="16" x14ac:dyDescent="0.2">
      <c r="A121" s="77" t="s">
        <v>284</v>
      </c>
      <c r="B121" s="77" t="s">
        <v>285</v>
      </c>
      <c r="C121" s="78" t="s">
        <v>286</v>
      </c>
      <c r="D121" s="77" t="s">
        <v>287</v>
      </c>
      <c r="E121" s="102" t="s">
        <v>27</v>
      </c>
      <c r="F121" s="102"/>
      <c r="G121" s="102" t="s">
        <v>288</v>
      </c>
      <c r="H121" s="102"/>
      <c r="I121" s="102" t="s">
        <v>279</v>
      </c>
      <c r="J121" s="102"/>
      <c r="K121" s="102"/>
      <c r="L121" s="102"/>
      <c r="Q121" s="77" t="s">
        <v>41</v>
      </c>
      <c r="S121" s="301">
        <v>17.928909301757809</v>
      </c>
      <c r="T121" s="149">
        <f>'Additional information'!$D$18</f>
        <v>0.91</v>
      </c>
      <c r="U121" s="302">
        <f t="shared" si="10"/>
        <v>16.315307464599606</v>
      </c>
      <c r="V121" s="302" t="str">
        <f t="shared" si="11"/>
        <v/>
      </c>
      <c r="W121" s="76"/>
    </row>
    <row r="122" spans="1:23" s="199" customFormat="1" x14ac:dyDescent="0.2">
      <c r="A122" s="204" t="s">
        <v>289</v>
      </c>
      <c r="B122" s="204" t="s">
        <v>290</v>
      </c>
      <c r="C122" s="204" t="s">
        <v>291</v>
      </c>
      <c r="D122" s="75"/>
      <c r="E122" s="75"/>
      <c r="F122" s="75"/>
      <c r="G122" s="75"/>
      <c r="H122" s="75"/>
      <c r="I122" s="102" t="s">
        <v>279</v>
      </c>
      <c r="J122" s="205"/>
      <c r="K122" s="75"/>
      <c r="L122" s="75"/>
      <c r="M122" s="75"/>
      <c r="N122" s="75"/>
      <c r="O122" s="75"/>
      <c r="P122" s="75"/>
      <c r="Q122" s="75"/>
      <c r="R122" s="75"/>
    </row>
    <row r="123" spans="1:23" s="199" customFormat="1" ht="16" x14ac:dyDescent="0.2">
      <c r="A123" s="260" t="s">
        <v>24</v>
      </c>
      <c r="B123" s="260" t="s">
        <v>292</v>
      </c>
      <c r="C123" s="261" t="s">
        <v>293</v>
      </c>
      <c r="D123" s="75"/>
      <c r="E123" s="75"/>
      <c r="F123" s="75"/>
      <c r="G123" s="75"/>
      <c r="H123" s="75"/>
      <c r="I123" s="262" t="s">
        <v>294</v>
      </c>
      <c r="J123" s="205"/>
      <c r="K123" s="75"/>
      <c r="L123" s="75"/>
      <c r="M123" s="75"/>
      <c r="N123" s="75"/>
      <c r="O123" s="75"/>
      <c r="P123" s="75"/>
      <c r="Q123" s="75"/>
      <c r="R123" s="75"/>
    </row>
    <row r="124" spans="1:23" s="199" customFormat="1" x14ac:dyDescent="0.2">
      <c r="A124" s="204" t="s">
        <v>106</v>
      </c>
      <c r="B124" s="204" t="s">
        <v>295</v>
      </c>
      <c r="C124" s="204" t="s">
        <v>296</v>
      </c>
      <c r="D124" s="75"/>
      <c r="E124" s="75"/>
      <c r="F124" s="75"/>
      <c r="G124" s="75"/>
      <c r="H124" s="75"/>
      <c r="I124" s="101" t="s">
        <v>279</v>
      </c>
      <c r="J124" s="205"/>
      <c r="K124" s="75"/>
      <c r="L124" s="75"/>
      <c r="M124" s="75"/>
      <c r="N124" s="75"/>
      <c r="O124" s="75"/>
      <c r="P124" s="75"/>
      <c r="Q124" s="75"/>
      <c r="R124" s="75"/>
    </row>
    <row r="125" spans="1:23" s="199" customFormat="1" x14ac:dyDescent="0.2">
      <c r="A125" s="204" t="s">
        <v>182</v>
      </c>
      <c r="B125" s="204" t="s">
        <v>297</v>
      </c>
      <c r="C125" s="204" t="s">
        <v>298</v>
      </c>
      <c r="D125" s="75"/>
      <c r="E125" s="75"/>
      <c r="F125" s="75"/>
      <c r="G125" s="75"/>
      <c r="H125" s="75"/>
      <c r="I125" s="101" t="s">
        <v>279</v>
      </c>
      <c r="J125" s="205"/>
      <c r="K125" s="75"/>
      <c r="L125" s="75"/>
      <c r="M125" s="75"/>
      <c r="N125" s="75"/>
      <c r="O125" s="75"/>
      <c r="P125" s="75"/>
      <c r="Q125" s="75"/>
      <c r="R125" s="75"/>
    </row>
    <row r="126" spans="1:23" s="236" customFormat="1" x14ac:dyDescent="0.2">
      <c r="A126" s="226" t="s">
        <v>299</v>
      </c>
      <c r="B126" s="226" t="s">
        <v>300</v>
      </c>
      <c r="C126" s="226" t="s">
        <v>301</v>
      </c>
      <c r="D126" s="226"/>
      <c r="E126" s="226"/>
      <c r="F126" s="226"/>
      <c r="G126" s="226"/>
      <c r="H126" s="226"/>
      <c r="I126" s="101" t="s">
        <v>279</v>
      </c>
      <c r="J126" s="238"/>
      <c r="K126" s="226"/>
      <c r="L126" s="226"/>
      <c r="M126" s="226"/>
      <c r="N126" s="226"/>
      <c r="O126" s="226"/>
      <c r="P126" s="226"/>
      <c r="Q126" s="226"/>
      <c r="R126" s="226"/>
    </row>
    <row r="127" spans="1:23" s="77" customFormat="1" x14ac:dyDescent="0.2">
      <c r="C127" s="78"/>
      <c r="E127" s="102"/>
      <c r="F127" s="102"/>
      <c r="G127" s="102"/>
      <c r="H127" s="102"/>
      <c r="I127" s="102"/>
      <c r="J127" s="102"/>
      <c r="K127" s="102"/>
      <c r="L127" s="102"/>
      <c r="S127" s="301"/>
      <c r="T127" s="149"/>
      <c r="U127" s="302"/>
      <c r="V127" s="302"/>
      <c r="W127" s="76"/>
    </row>
    <row r="128" spans="1:23" s="193" customFormat="1" ht="28.75" customHeight="1" x14ac:dyDescent="0.2">
      <c r="A128" s="193" t="s">
        <v>168</v>
      </c>
      <c r="B128" s="296" t="s">
        <v>302</v>
      </c>
      <c r="C128" s="295" t="s">
        <v>303</v>
      </c>
      <c r="D128" s="193" t="s">
        <v>304</v>
      </c>
      <c r="E128" s="197"/>
      <c r="F128" s="197"/>
      <c r="G128" s="197"/>
      <c r="H128" s="197"/>
      <c r="I128" s="197" t="s">
        <v>279</v>
      </c>
      <c r="J128" s="197"/>
      <c r="K128" s="197"/>
      <c r="L128" s="197"/>
    </row>
    <row r="129" spans="1:23" ht="30" customHeight="1" x14ac:dyDescent="0.2">
      <c r="A129" s="75" t="s">
        <v>182</v>
      </c>
      <c r="B129" s="75" t="s">
        <v>305</v>
      </c>
      <c r="C129" s="46" t="s">
        <v>306</v>
      </c>
      <c r="D129" s="75"/>
      <c r="E129" s="101" t="s">
        <v>27</v>
      </c>
      <c r="F129" s="101"/>
      <c r="G129" s="101"/>
      <c r="H129" s="101"/>
      <c r="I129" s="103" t="s">
        <v>279</v>
      </c>
      <c r="J129" s="101"/>
      <c r="K129" s="101"/>
      <c r="L129" s="101"/>
      <c r="Q129" s="47" t="s">
        <v>29</v>
      </c>
      <c r="S129" s="301">
        <v>25.436874389648441</v>
      </c>
      <c r="T129" s="149">
        <f>'Additional information'!$D$18</f>
        <v>0.91</v>
      </c>
      <c r="U129" s="302">
        <f>IF(S129&lt;&gt;"",S129*T129,"")</f>
        <v>23.147555694580081</v>
      </c>
      <c r="V129" s="302">
        <f>IF(AND(S129&lt;&gt;"",Q129="yes"),S129*T129,"")</f>
        <v>23.147555694580081</v>
      </c>
    </row>
    <row r="130" spans="1:23" s="77" customFormat="1" ht="16" x14ac:dyDescent="0.2">
      <c r="A130" s="77" t="s">
        <v>168</v>
      </c>
      <c r="B130" s="77" t="s">
        <v>307</v>
      </c>
      <c r="C130" s="78" t="s">
        <v>308</v>
      </c>
      <c r="D130" s="77" t="s">
        <v>309</v>
      </c>
      <c r="E130" s="102" t="s">
        <v>27</v>
      </c>
      <c r="F130" s="113"/>
      <c r="G130" s="116" t="s">
        <v>246</v>
      </c>
      <c r="H130" s="102"/>
      <c r="I130" s="102" t="s">
        <v>279</v>
      </c>
      <c r="J130" s="102"/>
      <c r="K130" s="102"/>
      <c r="L130" s="102"/>
      <c r="Q130" s="77" t="s">
        <v>41</v>
      </c>
      <c r="S130" s="301">
        <v>17</v>
      </c>
      <c r="T130" s="149">
        <f>'Additional information'!$D$18</f>
        <v>0.91</v>
      </c>
      <c r="U130" s="302">
        <f>IF(S130&lt;&gt;"",S130*T130,"")</f>
        <v>15.47</v>
      </c>
      <c r="V130" s="302" t="str">
        <f>IF(AND(S130&lt;&gt;"",Q130="yes"),S130*T130,"")</f>
        <v/>
      </c>
      <c r="W130" s="76"/>
    </row>
    <row r="131" spans="1:23" x14ac:dyDescent="0.2">
      <c r="I131" s="113"/>
      <c r="S131" s="301"/>
      <c r="T131" s="149">
        <f>'Additional information'!$D$18</f>
        <v>0.91</v>
      </c>
      <c r="U131" s="302" t="str">
        <f>IF(S131&lt;&gt;"",S131*T131,"")</f>
        <v/>
      </c>
      <c r="V131" s="302" t="str">
        <f>IF(AND(S131&lt;&gt;"",Q131="yes"),S131*T131,"")</f>
        <v/>
      </c>
    </row>
    <row r="132" spans="1:23" ht="30" customHeight="1" x14ac:dyDescent="0.2">
      <c r="A132" s="75" t="s">
        <v>182</v>
      </c>
      <c r="B132" s="75" t="s">
        <v>310</v>
      </c>
      <c r="C132" s="46" t="s">
        <v>311</v>
      </c>
      <c r="E132" s="101" t="s">
        <v>27</v>
      </c>
      <c r="F132" s="101"/>
      <c r="G132" s="101"/>
      <c r="H132" s="101"/>
      <c r="I132" s="103" t="s">
        <v>279</v>
      </c>
      <c r="J132" s="101"/>
      <c r="K132" s="101"/>
      <c r="L132" s="101"/>
      <c r="Q132" s="47" t="s">
        <v>29</v>
      </c>
      <c r="S132" s="301">
        <v>19.364946365356449</v>
      </c>
      <c r="T132" s="149">
        <f>'Additional information'!$D$18</f>
        <v>0.91</v>
      </c>
      <c r="U132" s="302">
        <f>IF(S132&lt;&gt;"",S132*T132,"")</f>
        <v>17.622101192474368</v>
      </c>
      <c r="V132" s="302">
        <f>IF(AND(S132&lt;&gt;"",Q132="yes"),S132*T132,"")</f>
        <v>17.622101192474368</v>
      </c>
    </row>
    <row r="133" spans="1:23" s="77" customFormat="1" ht="30" customHeight="1" x14ac:dyDescent="0.2">
      <c r="A133" s="77" t="s">
        <v>58</v>
      </c>
      <c r="B133" s="77" t="s">
        <v>312</v>
      </c>
      <c r="C133" s="78" t="s">
        <v>313</v>
      </c>
      <c r="D133" s="77" t="s">
        <v>314</v>
      </c>
      <c r="E133" s="102" t="s">
        <v>27</v>
      </c>
      <c r="F133" s="113"/>
      <c r="G133" s="116" t="s">
        <v>246</v>
      </c>
      <c r="H133" s="102"/>
      <c r="I133" s="102" t="s">
        <v>315</v>
      </c>
      <c r="J133" s="102"/>
      <c r="K133" s="102"/>
      <c r="L133" s="102"/>
      <c r="Q133" s="77" t="s">
        <v>41</v>
      </c>
      <c r="S133" s="301">
        <v>17</v>
      </c>
      <c r="T133" s="149">
        <f>'Additional information'!$D$18</f>
        <v>0.91</v>
      </c>
      <c r="U133" s="302">
        <f>IF(S133&lt;&gt;"",S133*T133,"")</f>
        <v>15.47</v>
      </c>
      <c r="V133" s="302" t="str">
        <f>IF(AND(S133&lt;&gt;"",Q133="yes"),S133*T133,"")</f>
        <v/>
      </c>
      <c r="W133" s="76"/>
    </row>
    <row r="134" spans="1:23" s="193" customFormat="1" ht="29" customHeight="1" x14ac:dyDescent="0.2">
      <c r="A134" s="193" t="s">
        <v>316</v>
      </c>
      <c r="B134" s="193" t="s">
        <v>317</v>
      </c>
      <c r="C134" s="196" t="s">
        <v>318</v>
      </c>
      <c r="D134" s="193" t="s">
        <v>319</v>
      </c>
      <c r="E134" s="197" t="s">
        <v>27</v>
      </c>
      <c r="F134" s="197" t="s">
        <v>76</v>
      </c>
      <c r="G134" s="197"/>
      <c r="H134" s="197"/>
      <c r="I134" s="197" t="s">
        <v>320</v>
      </c>
      <c r="J134" s="197" t="s">
        <v>321</v>
      </c>
      <c r="K134" s="197"/>
      <c r="L134" s="197"/>
    </row>
    <row r="135" spans="1:23" s="191" customFormat="1" ht="16" x14ac:dyDescent="0.2">
      <c r="A135" s="209" t="s">
        <v>24</v>
      </c>
      <c r="B135" s="209" t="s">
        <v>322</v>
      </c>
      <c r="C135" s="210" t="s">
        <v>270</v>
      </c>
      <c r="E135" s="211"/>
      <c r="F135" s="211"/>
      <c r="G135" s="211"/>
      <c r="H135" s="211"/>
      <c r="I135" s="211" t="s">
        <v>323</v>
      </c>
      <c r="J135" s="211"/>
      <c r="K135" s="211"/>
      <c r="L135" s="211"/>
      <c r="S135" s="307"/>
      <c r="T135" s="268"/>
      <c r="U135" s="308"/>
      <c r="V135" s="308"/>
      <c r="W135" s="193"/>
    </row>
    <row r="136" spans="1:23" s="193" customFormat="1" ht="30" customHeight="1" x14ac:dyDescent="0.2">
      <c r="A136" s="195" t="s">
        <v>168</v>
      </c>
      <c r="B136" s="195" t="s">
        <v>324</v>
      </c>
      <c r="C136" s="189" t="s">
        <v>325</v>
      </c>
      <c r="E136" s="197" t="s">
        <v>27</v>
      </c>
      <c r="F136" s="197"/>
      <c r="G136" s="197"/>
      <c r="H136" s="197"/>
      <c r="I136" s="197" t="s">
        <v>326</v>
      </c>
      <c r="J136" s="197"/>
      <c r="K136" s="197"/>
      <c r="L136" s="197"/>
    </row>
    <row r="137" spans="1:23" s="193" customFormat="1" ht="29" customHeight="1" x14ac:dyDescent="0.2">
      <c r="A137" s="206" t="s">
        <v>182</v>
      </c>
      <c r="B137" s="195" t="s">
        <v>327</v>
      </c>
      <c r="C137" s="189" t="s">
        <v>328</v>
      </c>
      <c r="E137" s="197" t="s">
        <v>27</v>
      </c>
      <c r="F137" s="197"/>
      <c r="G137" s="197"/>
      <c r="H137" s="197"/>
      <c r="I137" s="197" t="s">
        <v>326</v>
      </c>
      <c r="J137" s="197"/>
      <c r="K137" s="197"/>
      <c r="L137" s="197"/>
    </row>
    <row r="138" spans="1:23" s="193" customFormat="1" ht="31" customHeight="1" x14ac:dyDescent="0.2">
      <c r="A138" s="195" t="s">
        <v>168</v>
      </c>
      <c r="B138" s="195" t="s">
        <v>329</v>
      </c>
      <c r="C138" s="189" t="s">
        <v>330</v>
      </c>
      <c r="E138" s="197"/>
      <c r="F138" s="197"/>
      <c r="G138" s="197"/>
      <c r="H138" s="197"/>
      <c r="I138" s="197" t="s">
        <v>326</v>
      </c>
      <c r="J138" s="197"/>
      <c r="K138" s="197"/>
      <c r="L138" s="197"/>
    </row>
    <row r="139" spans="1:23" s="193" customFormat="1" ht="44.5" customHeight="1" x14ac:dyDescent="0.2">
      <c r="A139" s="206" t="s">
        <v>182</v>
      </c>
      <c r="B139" s="195" t="s">
        <v>331</v>
      </c>
      <c r="C139" s="189" t="s">
        <v>332</v>
      </c>
      <c r="E139" s="197" t="s">
        <v>27</v>
      </c>
      <c r="F139" s="197"/>
      <c r="G139" s="197"/>
      <c r="H139" s="197"/>
      <c r="I139" s="197" t="s">
        <v>326</v>
      </c>
      <c r="J139" s="197"/>
      <c r="K139" s="197"/>
      <c r="L139" s="197"/>
    </row>
    <row r="140" spans="1:23" s="193" customFormat="1" ht="25" customHeight="1" x14ac:dyDescent="0.2">
      <c r="A140" s="193" t="s">
        <v>316</v>
      </c>
      <c r="B140" s="193" t="s">
        <v>333</v>
      </c>
      <c r="C140" s="196" t="s">
        <v>334</v>
      </c>
      <c r="D140" s="193" t="s">
        <v>319</v>
      </c>
      <c r="E140" s="197" t="s">
        <v>27</v>
      </c>
      <c r="F140" s="197" t="s">
        <v>76</v>
      </c>
      <c r="G140" s="197"/>
      <c r="H140" s="197"/>
      <c r="I140" s="197" t="s">
        <v>326</v>
      </c>
      <c r="J140" s="197" t="s">
        <v>335</v>
      </c>
      <c r="K140" s="197"/>
      <c r="L140" s="197"/>
    </row>
    <row r="141" spans="1:23" s="191" customFormat="1" ht="16" x14ac:dyDescent="0.2">
      <c r="A141" s="209" t="s">
        <v>24</v>
      </c>
      <c r="B141" s="209" t="s">
        <v>336</v>
      </c>
      <c r="C141" s="210" t="s">
        <v>270</v>
      </c>
      <c r="E141" s="211"/>
      <c r="F141" s="211"/>
      <c r="G141" s="211"/>
      <c r="H141" s="211"/>
      <c r="I141" s="211" t="s">
        <v>337</v>
      </c>
      <c r="J141" s="211"/>
      <c r="K141" s="211"/>
      <c r="L141" s="211"/>
      <c r="S141" s="307"/>
      <c r="T141" s="268"/>
      <c r="U141" s="308"/>
      <c r="V141" s="308"/>
      <c r="W141" s="193"/>
    </row>
    <row r="142" spans="1:23" s="193" customFormat="1" ht="16.5" customHeight="1" x14ac:dyDescent="0.2">
      <c r="A142" s="195" t="s">
        <v>168</v>
      </c>
      <c r="B142" s="195" t="s">
        <v>338</v>
      </c>
      <c r="C142" s="195" t="s">
        <v>339</v>
      </c>
      <c r="E142" s="197" t="s">
        <v>27</v>
      </c>
      <c r="F142" s="197"/>
      <c r="G142" s="197"/>
      <c r="H142" s="197"/>
      <c r="I142" s="197" t="s">
        <v>340</v>
      </c>
      <c r="J142" s="197"/>
      <c r="K142" s="197"/>
      <c r="L142" s="197"/>
    </row>
    <row r="143" spans="1:23" s="193" customFormat="1" ht="28.5" customHeight="1" x14ac:dyDescent="0.2">
      <c r="A143" s="195" t="s">
        <v>182</v>
      </c>
      <c r="B143" s="195" t="s">
        <v>341</v>
      </c>
      <c r="C143" s="189" t="s">
        <v>342</v>
      </c>
      <c r="E143" s="197" t="s">
        <v>27</v>
      </c>
      <c r="F143" s="197"/>
      <c r="G143" s="197"/>
      <c r="H143" s="197"/>
      <c r="I143" s="197" t="s">
        <v>340</v>
      </c>
      <c r="J143" s="197"/>
      <c r="K143" s="197"/>
      <c r="L143" s="197"/>
    </row>
    <row r="144" spans="1:23" s="193" customFormat="1" ht="30.5" customHeight="1" x14ac:dyDescent="0.2">
      <c r="A144" s="195" t="s">
        <v>168</v>
      </c>
      <c r="B144" s="195" t="s">
        <v>343</v>
      </c>
      <c r="C144" s="189" t="s">
        <v>344</v>
      </c>
      <c r="E144" s="197" t="s">
        <v>27</v>
      </c>
      <c r="F144" s="197"/>
      <c r="G144" s="197"/>
      <c r="H144" s="197"/>
      <c r="I144" s="197" t="s">
        <v>340</v>
      </c>
      <c r="J144" s="197"/>
      <c r="K144" s="197"/>
      <c r="L144" s="197"/>
    </row>
    <row r="145" spans="1:23" s="193" customFormat="1" ht="29" customHeight="1" x14ac:dyDescent="0.2">
      <c r="A145" s="195" t="s">
        <v>182</v>
      </c>
      <c r="B145" s="195" t="s">
        <v>345</v>
      </c>
      <c r="C145" s="189" t="s">
        <v>346</v>
      </c>
      <c r="E145" s="197" t="s">
        <v>27</v>
      </c>
      <c r="F145" s="197"/>
      <c r="G145" s="197"/>
      <c r="H145" s="197"/>
      <c r="I145" s="197" t="s">
        <v>340</v>
      </c>
      <c r="J145" s="197"/>
      <c r="K145" s="197"/>
      <c r="L145" s="197"/>
    </row>
    <row r="146" spans="1:23" s="193" customFormat="1" ht="29" customHeight="1" x14ac:dyDescent="0.2">
      <c r="A146" s="195" t="s">
        <v>58</v>
      </c>
      <c r="B146" s="195" t="s">
        <v>347</v>
      </c>
      <c r="C146" s="189" t="s">
        <v>348</v>
      </c>
      <c r="E146" s="197" t="s">
        <v>27</v>
      </c>
      <c r="F146" s="197"/>
      <c r="G146" s="197"/>
      <c r="H146" s="197"/>
      <c r="I146" s="197" t="s">
        <v>320</v>
      </c>
      <c r="J146" s="197"/>
      <c r="K146" s="197"/>
      <c r="L146" s="197"/>
    </row>
    <row r="147" spans="1:23" s="193" customFormat="1" ht="29" customHeight="1" x14ac:dyDescent="0.2">
      <c r="A147" s="195" t="s">
        <v>349</v>
      </c>
      <c r="B147" s="195" t="s">
        <v>350</v>
      </c>
      <c r="C147" s="189" t="s">
        <v>351</v>
      </c>
      <c r="E147" s="197" t="s">
        <v>27</v>
      </c>
      <c r="F147" s="197"/>
      <c r="G147" s="197"/>
      <c r="H147" s="197"/>
      <c r="I147" s="197" t="s">
        <v>320</v>
      </c>
      <c r="J147" s="197"/>
      <c r="K147" s="197"/>
      <c r="L147" s="197"/>
    </row>
    <row r="148" spans="1:23" ht="30" customHeight="1" x14ac:dyDescent="0.2">
      <c r="A148" s="75" t="s">
        <v>106</v>
      </c>
      <c r="B148" s="75" t="s">
        <v>352</v>
      </c>
      <c r="C148" s="46" t="s">
        <v>353</v>
      </c>
      <c r="E148" s="101" t="s">
        <v>27</v>
      </c>
      <c r="F148" s="101"/>
      <c r="G148" s="101"/>
      <c r="H148" s="101"/>
      <c r="I148" s="103" t="s">
        <v>354</v>
      </c>
      <c r="J148" s="101"/>
      <c r="K148" s="101"/>
      <c r="L148" s="101"/>
      <c r="Q148" s="47" t="s">
        <v>29</v>
      </c>
      <c r="S148" s="301">
        <v>13.458864212036129</v>
      </c>
      <c r="T148" s="149">
        <f>'Additional information'!$D$18</f>
        <v>0.91</v>
      </c>
      <c r="U148" s="302">
        <f>IF(S148&lt;&gt;"",S148*T148,"")</f>
        <v>12.247566432952878</v>
      </c>
      <c r="V148" s="302">
        <f>IF(AND(S148&lt;&gt;"",Q148="yes"),S148*T148,"")</f>
        <v>12.247566432952878</v>
      </c>
    </row>
    <row r="149" spans="1:23" ht="30" customHeight="1" x14ac:dyDescent="0.2">
      <c r="A149" s="75" t="s">
        <v>355</v>
      </c>
      <c r="B149" s="75" t="s">
        <v>356</v>
      </c>
      <c r="C149" s="46" t="s">
        <v>357</v>
      </c>
      <c r="D149" s="47" t="s">
        <v>358</v>
      </c>
      <c r="E149" s="101" t="s">
        <v>27</v>
      </c>
      <c r="F149" s="101"/>
      <c r="G149" s="103" t="s">
        <v>288</v>
      </c>
      <c r="H149" s="101"/>
      <c r="I149" s="103" t="s">
        <v>359</v>
      </c>
      <c r="J149" s="101"/>
      <c r="K149" s="101"/>
      <c r="L149" s="101"/>
      <c r="Q149" s="47" t="s">
        <v>29</v>
      </c>
      <c r="S149" s="301">
        <v>37.523288726806641</v>
      </c>
      <c r="T149" s="149">
        <f>'Additional information'!$D$18</f>
        <v>0.91</v>
      </c>
      <c r="U149" s="302">
        <f>IF(S149&lt;&gt;"",S149*T149,"")</f>
        <v>34.146192741394046</v>
      </c>
      <c r="V149" s="302">
        <f>IF(AND(S149&lt;&gt;"",Q149="yes"),S149*T149,"")</f>
        <v>34.146192741394046</v>
      </c>
    </row>
    <row r="150" spans="1:23" s="191" customFormat="1" ht="29" customHeight="1" x14ac:dyDescent="0.2">
      <c r="A150" s="193" t="s">
        <v>106</v>
      </c>
      <c r="B150" s="209" t="s">
        <v>360</v>
      </c>
      <c r="C150" s="210" t="s">
        <v>361</v>
      </c>
      <c r="E150" s="211"/>
      <c r="F150" s="211"/>
      <c r="G150" s="212"/>
      <c r="H150" s="211"/>
      <c r="I150" s="103" t="s">
        <v>359</v>
      </c>
      <c r="J150" s="211"/>
      <c r="K150" s="211"/>
      <c r="L150" s="211"/>
      <c r="Q150" s="193"/>
    </row>
    <row r="151" spans="1:23" x14ac:dyDescent="0.2">
      <c r="I151" s="113"/>
      <c r="S151" s="301"/>
      <c r="T151" s="149">
        <f>'Additional information'!$D$18</f>
        <v>0.91</v>
      </c>
      <c r="U151" s="302" t="str">
        <f>IF(S151&lt;&gt;"",S151*T151,"")</f>
        <v/>
      </c>
      <c r="V151" s="302" t="str">
        <f>IF(AND(S151&lt;&gt;"",Q151="yes"),S151*T151,"")</f>
        <v/>
      </c>
    </row>
    <row r="152" spans="1:23" ht="15.75" customHeight="1" thickBot="1" x14ac:dyDescent="0.25">
      <c r="A152" s="92" t="s">
        <v>102</v>
      </c>
      <c r="B152" s="92"/>
      <c r="C152" s="93"/>
      <c r="D152" s="92"/>
      <c r="E152" s="114"/>
      <c r="F152" s="114"/>
      <c r="G152" s="114"/>
      <c r="H152" s="114"/>
      <c r="I152" s="114"/>
      <c r="J152" s="114"/>
      <c r="K152" s="114"/>
      <c r="L152" s="114"/>
      <c r="S152" s="301"/>
      <c r="U152" s="302" t="str">
        <f>IF(S152&lt;&gt;"",S152*T152,"")</f>
        <v/>
      </c>
      <c r="V152" s="302" t="str">
        <f>IF(AND(S152&lt;&gt;"",Q152="yes"),S152*T152,"")</f>
        <v/>
      </c>
    </row>
    <row r="153" spans="1:23" s="73" customFormat="1" ht="15.75" customHeight="1" thickTop="1" x14ac:dyDescent="0.2">
      <c r="A153" s="72" t="s">
        <v>48</v>
      </c>
      <c r="B153" s="72" t="s">
        <v>362</v>
      </c>
      <c r="C153" s="86" t="s">
        <v>363</v>
      </c>
      <c r="D153" s="72"/>
      <c r="E153" s="106" t="s">
        <v>40</v>
      </c>
      <c r="F153" s="106"/>
      <c r="G153" s="106"/>
      <c r="H153" s="106"/>
      <c r="I153" s="106" t="s">
        <v>364</v>
      </c>
      <c r="J153" s="106"/>
      <c r="K153" s="106"/>
      <c r="L153" s="106"/>
      <c r="Q153" s="47" t="s">
        <v>29</v>
      </c>
      <c r="S153" s="301"/>
      <c r="T153" s="149"/>
      <c r="U153" s="302" t="str">
        <f>IF(S153&lt;&gt;"",S153*T153,"")</f>
        <v/>
      </c>
      <c r="V153" s="302" t="str">
        <f>IF(AND(S153&lt;&gt;"",Q153="yes"),S153*T153,"")</f>
        <v/>
      </c>
      <c r="W153" s="74"/>
    </row>
    <row r="154" spans="1:23" ht="16" x14ac:dyDescent="0.2">
      <c r="A154" s="75" t="s">
        <v>106</v>
      </c>
      <c r="B154" s="75" t="s">
        <v>365</v>
      </c>
      <c r="C154" s="80" t="s">
        <v>366</v>
      </c>
      <c r="E154" s="103" t="s">
        <v>27</v>
      </c>
      <c r="F154" s="103"/>
      <c r="G154" s="103"/>
      <c r="H154" s="103"/>
      <c r="I154" s="103"/>
      <c r="J154" s="79"/>
      <c r="K154" s="103"/>
      <c r="L154" s="103"/>
      <c r="Q154" s="47" t="s">
        <v>29</v>
      </c>
      <c r="S154" s="301">
        <v>13.55</v>
      </c>
      <c r="T154" s="149">
        <f>'Additional information'!$D$18</f>
        <v>0.91</v>
      </c>
      <c r="U154" s="302">
        <f>IF(S154&lt;&gt;"",S154*T154,"")</f>
        <v>12.330500000000001</v>
      </c>
      <c r="V154" s="302"/>
    </row>
    <row r="155" spans="1:23" ht="16" x14ac:dyDescent="0.2">
      <c r="A155" s="75" t="s">
        <v>367</v>
      </c>
      <c r="B155" s="75" t="s">
        <v>368</v>
      </c>
      <c r="C155" s="46" t="s">
        <v>369</v>
      </c>
      <c r="E155" s="103" t="s">
        <v>27</v>
      </c>
      <c r="F155" s="103"/>
      <c r="G155" s="103"/>
      <c r="H155" s="103"/>
      <c r="I155" s="103" t="s">
        <v>370</v>
      </c>
      <c r="J155" s="103" t="s">
        <v>321</v>
      </c>
      <c r="K155" s="103"/>
      <c r="L155" s="103"/>
      <c r="Q155" s="47" t="s">
        <v>29</v>
      </c>
      <c r="S155" s="301">
        <v>13.55</v>
      </c>
      <c r="T155" s="149">
        <f>'Additional information'!$D$18</f>
        <v>0.91</v>
      </c>
      <c r="U155" s="302">
        <f>IF(S155&lt;&gt;"",S155*T155,"")</f>
        <v>12.330500000000001</v>
      </c>
      <c r="V155" s="302"/>
    </row>
    <row r="156" spans="1:23" ht="16" x14ac:dyDescent="0.2">
      <c r="A156" s="75" t="s">
        <v>24</v>
      </c>
      <c r="B156" s="75" t="s">
        <v>371</v>
      </c>
      <c r="C156" s="46" t="s">
        <v>270</v>
      </c>
      <c r="E156" s="103"/>
      <c r="F156" s="103"/>
      <c r="G156" s="103"/>
      <c r="H156" s="103"/>
      <c r="I156" s="103" t="s">
        <v>372</v>
      </c>
      <c r="J156" s="103"/>
      <c r="K156" s="103"/>
      <c r="L156" s="103"/>
      <c r="S156" s="301"/>
      <c r="U156" s="302"/>
      <c r="V156" s="302"/>
    </row>
    <row r="157" spans="1:23" x14ac:dyDescent="0.2">
      <c r="A157" s="75" t="s">
        <v>30</v>
      </c>
      <c r="B157" s="75" t="s">
        <v>373</v>
      </c>
      <c r="C157" s="46"/>
      <c r="E157" s="103"/>
      <c r="F157" s="103"/>
      <c r="G157" s="103"/>
      <c r="H157" s="103"/>
      <c r="I157" s="103"/>
      <c r="J157" s="103"/>
      <c r="K157" s="103"/>
      <c r="L157" s="103" t="s">
        <v>374</v>
      </c>
      <c r="Q157" s="47" t="s">
        <v>29</v>
      </c>
      <c r="S157" s="301"/>
      <c r="T157" s="149">
        <f>'Additional information'!$D$18</f>
        <v>0.91</v>
      </c>
      <c r="U157" s="302"/>
      <c r="V157" s="302"/>
    </row>
    <row r="158" spans="1:23" x14ac:dyDescent="0.2">
      <c r="A158" s="75" t="s">
        <v>30</v>
      </c>
      <c r="B158" s="75" t="s">
        <v>375</v>
      </c>
      <c r="C158" s="46"/>
      <c r="E158" s="103"/>
      <c r="F158" s="103"/>
      <c r="G158" s="103"/>
      <c r="H158" s="103"/>
      <c r="I158" s="103"/>
      <c r="J158" s="103"/>
      <c r="K158" s="103"/>
      <c r="L158" s="103" t="s">
        <v>376</v>
      </c>
      <c r="Q158" s="47" t="s">
        <v>29</v>
      </c>
      <c r="S158" s="301"/>
      <c r="T158" s="149">
        <f>'Additional information'!$D$18</f>
        <v>0.91</v>
      </c>
      <c r="U158" s="302"/>
      <c r="V158" s="302"/>
    </row>
    <row r="159" spans="1:23" x14ac:dyDescent="0.2">
      <c r="S159" s="301"/>
      <c r="T159" s="149">
        <f>'Additional information'!$D$18</f>
        <v>0.91</v>
      </c>
      <c r="U159" s="302"/>
      <c r="V159" s="302"/>
    </row>
    <row r="160" spans="1:23" ht="30" customHeight="1" x14ac:dyDescent="0.2">
      <c r="A160" s="75" t="s">
        <v>106</v>
      </c>
      <c r="B160" s="75" t="s">
        <v>377</v>
      </c>
      <c r="C160" s="46" t="s">
        <v>378</v>
      </c>
      <c r="D160" s="91"/>
      <c r="E160" s="101" t="s">
        <v>27</v>
      </c>
      <c r="F160" s="101"/>
      <c r="G160" s="101"/>
      <c r="H160" s="101"/>
      <c r="I160" s="101"/>
      <c r="J160" s="101"/>
      <c r="K160" s="101"/>
      <c r="L160" s="101"/>
      <c r="Q160" s="47" t="s">
        <v>29</v>
      </c>
      <c r="S160" s="301">
        <v>12.68148708343506</v>
      </c>
      <c r="T160" s="149">
        <f>'Additional information'!$D$18</f>
        <v>0.91</v>
      </c>
      <c r="U160" s="302">
        <f t="shared" ref="U160:U176" si="12">IF(S160&lt;&gt;"",S160*T160,"")</f>
        <v>11.540153245925906</v>
      </c>
      <c r="V160" s="302">
        <f t="shared" ref="V160:V176" si="13">IF(AND(S160&lt;&gt;"",Q160="yes"),S160*T160,"")</f>
        <v>11.540153245925906</v>
      </c>
    </row>
    <row r="161" spans="1:23" ht="30" customHeight="1" x14ac:dyDescent="0.2">
      <c r="A161" s="75" t="s">
        <v>379</v>
      </c>
      <c r="B161" s="75" t="s">
        <v>380</v>
      </c>
      <c r="C161" s="80" t="s">
        <v>381</v>
      </c>
      <c r="D161" s="47" t="s">
        <v>358</v>
      </c>
      <c r="E161" s="101" t="s">
        <v>27</v>
      </c>
      <c r="F161" s="101"/>
      <c r="G161" s="103" t="s">
        <v>382</v>
      </c>
      <c r="H161" s="101"/>
      <c r="I161" s="103" t="s">
        <v>383</v>
      </c>
      <c r="J161" s="101"/>
      <c r="K161" s="101"/>
      <c r="L161" s="101"/>
      <c r="Q161" s="47" t="s">
        <v>29</v>
      </c>
      <c r="S161" s="301">
        <v>22.61360931396484</v>
      </c>
      <c r="T161" s="149">
        <f>'Additional information'!$D$18</f>
        <v>0.91</v>
      </c>
      <c r="U161" s="302">
        <f t="shared" si="12"/>
        <v>20.578384475708006</v>
      </c>
      <c r="V161" s="302">
        <f t="shared" si="13"/>
        <v>20.578384475708006</v>
      </c>
    </row>
    <row r="162" spans="1:23" ht="16" x14ac:dyDescent="0.2">
      <c r="A162" s="75" t="s">
        <v>106</v>
      </c>
      <c r="B162" s="294" t="s">
        <v>384</v>
      </c>
      <c r="C162" s="48" t="s">
        <v>385</v>
      </c>
      <c r="I162" s="113"/>
      <c r="S162" s="301"/>
      <c r="T162" s="149">
        <f>'Additional information'!$D$18</f>
        <v>0.91</v>
      </c>
      <c r="U162" s="302" t="str">
        <f t="shared" si="12"/>
        <v/>
      </c>
      <c r="V162" s="302" t="str">
        <f t="shared" si="13"/>
        <v/>
      </c>
    </row>
    <row r="163" spans="1:23" ht="45" customHeight="1" x14ac:dyDescent="0.2">
      <c r="A163" s="75" t="s">
        <v>182</v>
      </c>
      <c r="B163" s="75" t="s">
        <v>386</v>
      </c>
      <c r="C163" s="80" t="s">
        <v>387</v>
      </c>
      <c r="D163" s="95" t="s">
        <v>388</v>
      </c>
      <c r="E163" s="101" t="s">
        <v>27</v>
      </c>
      <c r="F163" s="101"/>
      <c r="G163" s="101"/>
      <c r="H163" s="101"/>
      <c r="I163" s="103"/>
      <c r="J163" s="101"/>
      <c r="K163" s="101"/>
      <c r="L163" s="101"/>
      <c r="Q163" s="47" t="s">
        <v>29</v>
      </c>
      <c r="S163" s="301">
        <v>21.701908111572269</v>
      </c>
      <c r="T163" s="149">
        <f>'Additional information'!$D$18</f>
        <v>0.91</v>
      </c>
      <c r="U163" s="302">
        <f t="shared" si="12"/>
        <v>19.748736381530765</v>
      </c>
      <c r="V163" s="302">
        <f t="shared" si="13"/>
        <v>19.748736381530765</v>
      </c>
    </row>
    <row r="164" spans="1:23" x14ac:dyDescent="0.2">
      <c r="C164" s="49"/>
      <c r="D164" s="91"/>
      <c r="I164" s="113"/>
      <c r="S164" s="301"/>
      <c r="T164" s="149">
        <f>'Additional information'!$D$18</f>
        <v>0.91</v>
      </c>
      <c r="U164" s="302" t="str">
        <f t="shared" si="12"/>
        <v/>
      </c>
      <c r="V164" s="302" t="str">
        <f t="shared" si="13"/>
        <v/>
      </c>
    </row>
    <row r="165" spans="1:23" ht="15.75" customHeight="1" thickBot="1" x14ac:dyDescent="0.25">
      <c r="A165" s="92" t="s">
        <v>102</v>
      </c>
      <c r="B165" s="92"/>
      <c r="C165" s="93"/>
      <c r="D165" s="92"/>
      <c r="E165" s="114"/>
      <c r="F165" s="114"/>
      <c r="G165" s="114"/>
      <c r="H165" s="114"/>
      <c r="I165" s="114"/>
      <c r="J165" s="114"/>
      <c r="K165" s="114"/>
      <c r="L165" s="114"/>
      <c r="S165" s="301"/>
      <c r="U165" s="302" t="str">
        <f t="shared" si="12"/>
        <v/>
      </c>
      <c r="V165" s="302" t="str">
        <f t="shared" si="13"/>
        <v/>
      </c>
    </row>
    <row r="166" spans="1:23" s="73" customFormat="1" ht="15.75" customHeight="1" thickTop="1" x14ac:dyDescent="0.2">
      <c r="A166" s="72" t="s">
        <v>48</v>
      </c>
      <c r="B166" s="72" t="s">
        <v>389</v>
      </c>
      <c r="C166" s="86" t="s">
        <v>390</v>
      </c>
      <c r="D166" s="72"/>
      <c r="E166" s="106" t="s">
        <v>40</v>
      </c>
      <c r="F166" s="106"/>
      <c r="G166" s="106"/>
      <c r="H166" s="106"/>
      <c r="I166" s="106" t="s">
        <v>391</v>
      </c>
      <c r="J166" s="106"/>
      <c r="K166" s="106"/>
      <c r="L166" s="106"/>
      <c r="Q166" s="47" t="s">
        <v>29</v>
      </c>
      <c r="S166" s="301"/>
      <c r="T166" s="74"/>
      <c r="U166" s="302" t="str">
        <f t="shared" si="12"/>
        <v/>
      </c>
      <c r="V166" s="302" t="str">
        <f t="shared" si="13"/>
        <v/>
      </c>
      <c r="W166" s="74"/>
    </row>
    <row r="167" spans="1:23" ht="45" customHeight="1" x14ac:dyDescent="0.2">
      <c r="A167" s="75" t="s">
        <v>36</v>
      </c>
      <c r="B167" s="75" t="s">
        <v>392</v>
      </c>
      <c r="C167" s="46" t="s">
        <v>393</v>
      </c>
      <c r="D167" s="75"/>
      <c r="E167" s="101"/>
      <c r="F167" s="101"/>
      <c r="G167" s="101"/>
      <c r="H167" s="101"/>
      <c r="I167" s="101"/>
      <c r="J167" s="101"/>
      <c r="K167" s="101"/>
      <c r="L167" s="101"/>
      <c r="Q167" s="47" t="s">
        <v>29</v>
      </c>
      <c r="S167" s="301">
        <v>7.5</v>
      </c>
      <c r="T167" s="317">
        <f>'Additional information'!$D$19</f>
        <v>0.91</v>
      </c>
      <c r="U167" s="302">
        <f t="shared" si="12"/>
        <v>6.8250000000000002</v>
      </c>
      <c r="V167" s="302">
        <f t="shared" si="13"/>
        <v>6.8250000000000002</v>
      </c>
    </row>
    <row r="168" spans="1:23" s="73" customFormat="1" x14ac:dyDescent="0.2">
      <c r="C168" s="87"/>
      <c r="E168" s="107"/>
      <c r="F168" s="107"/>
      <c r="G168" s="107"/>
      <c r="H168" s="107"/>
      <c r="I168" s="107"/>
      <c r="J168" s="107"/>
      <c r="K168" s="107"/>
      <c r="L168" s="107"/>
      <c r="Q168" s="47"/>
      <c r="S168" s="301"/>
      <c r="T168" s="317">
        <f>'Additional information'!$D$19</f>
        <v>0.91</v>
      </c>
      <c r="U168" s="302" t="str">
        <f t="shared" si="12"/>
        <v/>
      </c>
      <c r="V168" s="302" t="str">
        <f t="shared" si="13"/>
        <v/>
      </c>
      <c r="W168" s="74"/>
    </row>
    <row r="169" spans="1:23" ht="30" customHeight="1" x14ac:dyDescent="0.2">
      <c r="A169" s="75" t="s">
        <v>394</v>
      </c>
      <c r="B169" s="75" t="s">
        <v>395</v>
      </c>
      <c r="C169" s="46" t="s">
        <v>396</v>
      </c>
      <c r="D169" s="47" t="s">
        <v>397</v>
      </c>
      <c r="E169" s="101" t="s">
        <v>27</v>
      </c>
      <c r="F169" s="101" t="s">
        <v>76</v>
      </c>
      <c r="G169" s="101"/>
      <c r="H169" s="101"/>
      <c r="I169" s="101"/>
      <c r="J169" s="101"/>
      <c r="K169" s="101"/>
      <c r="L169" s="101"/>
      <c r="Q169" s="47" t="s">
        <v>29</v>
      </c>
      <c r="S169" s="301">
        <v>20.2944221496582</v>
      </c>
      <c r="T169" s="317">
        <f>'Additional information'!$D$19</f>
        <v>0.91</v>
      </c>
      <c r="U169" s="302">
        <f t="shared" si="12"/>
        <v>18.467924156188964</v>
      </c>
      <c r="V169" s="302">
        <f t="shared" si="13"/>
        <v>18.467924156188964</v>
      </c>
    </row>
    <row r="170" spans="1:23" x14ac:dyDescent="0.2">
      <c r="A170" s="75" t="s">
        <v>30</v>
      </c>
      <c r="B170" s="75" t="s">
        <v>398</v>
      </c>
      <c r="C170" s="46"/>
      <c r="E170" s="101"/>
      <c r="F170" s="101"/>
      <c r="G170" s="101"/>
      <c r="H170" s="101"/>
      <c r="I170" s="101"/>
      <c r="J170" s="101"/>
      <c r="K170" s="101"/>
      <c r="L170" s="101" t="s">
        <v>399</v>
      </c>
      <c r="Q170" s="47" t="s">
        <v>29</v>
      </c>
      <c r="S170" s="301"/>
      <c r="T170" s="317">
        <f>'Additional information'!$D$19</f>
        <v>0.91</v>
      </c>
      <c r="U170" s="302" t="str">
        <f t="shared" si="12"/>
        <v/>
      </c>
      <c r="V170" s="302" t="str">
        <f t="shared" si="13"/>
        <v/>
      </c>
    </row>
    <row r="171" spans="1:23" x14ac:dyDescent="0.2">
      <c r="I171" s="113"/>
      <c r="S171" s="301"/>
      <c r="T171" s="317">
        <f>'Additional information'!$D$19</f>
        <v>0.91</v>
      </c>
      <c r="U171" s="302" t="str">
        <f t="shared" si="12"/>
        <v/>
      </c>
      <c r="V171" s="302" t="str">
        <f t="shared" si="13"/>
        <v/>
      </c>
    </row>
    <row r="172" spans="1:23" ht="16" x14ac:dyDescent="0.2">
      <c r="A172" s="75" t="s">
        <v>58</v>
      </c>
      <c r="B172" s="75" t="s">
        <v>400</v>
      </c>
      <c r="C172" s="46" t="s">
        <v>401</v>
      </c>
      <c r="D172" s="75" t="s">
        <v>402</v>
      </c>
      <c r="E172" s="101" t="s">
        <v>27</v>
      </c>
      <c r="F172" s="101"/>
      <c r="G172" s="101" t="s">
        <v>403</v>
      </c>
      <c r="H172" s="101"/>
      <c r="I172" s="101" t="s">
        <v>404</v>
      </c>
      <c r="J172" s="101"/>
      <c r="K172" s="101"/>
      <c r="L172" s="101"/>
      <c r="Q172" s="47" t="s">
        <v>29</v>
      </c>
      <c r="S172" s="301">
        <v>18.539077758789059</v>
      </c>
      <c r="T172" s="317">
        <f>'Additional information'!$D$19</f>
        <v>0.91</v>
      </c>
      <c r="U172" s="302">
        <f t="shared" si="12"/>
        <v>16.870560760498044</v>
      </c>
      <c r="V172" s="302">
        <f t="shared" si="13"/>
        <v>16.870560760498044</v>
      </c>
    </row>
    <row r="173" spans="1:23" ht="16" x14ac:dyDescent="0.2">
      <c r="A173" s="75" t="s">
        <v>58</v>
      </c>
      <c r="B173" s="75" t="s">
        <v>405</v>
      </c>
      <c r="C173" s="46" t="s">
        <v>406</v>
      </c>
      <c r="D173" s="75" t="s">
        <v>402</v>
      </c>
      <c r="E173" s="101" t="s">
        <v>27</v>
      </c>
      <c r="F173" s="101"/>
      <c r="G173" s="101" t="s">
        <v>403</v>
      </c>
      <c r="H173" s="101"/>
      <c r="I173" s="101" t="s">
        <v>404</v>
      </c>
      <c r="J173" s="101"/>
      <c r="K173" s="101"/>
      <c r="L173" s="101"/>
      <c r="Q173" s="47" t="s">
        <v>29</v>
      </c>
      <c r="S173" s="301">
        <v>8.9158916473388672</v>
      </c>
      <c r="T173" s="317">
        <f>'Additional information'!$D$19</f>
        <v>0.91</v>
      </c>
      <c r="U173" s="302">
        <f t="shared" si="12"/>
        <v>8.1134613990783695</v>
      </c>
      <c r="V173" s="302">
        <f t="shared" si="13"/>
        <v>8.1134613990783695</v>
      </c>
    </row>
    <row r="174" spans="1:23" ht="16" x14ac:dyDescent="0.2">
      <c r="A174" s="75" t="s">
        <v>30</v>
      </c>
      <c r="B174" s="75" t="s">
        <v>407</v>
      </c>
      <c r="C174" s="46" t="s">
        <v>408</v>
      </c>
      <c r="D174" s="75"/>
      <c r="E174" s="101" t="s">
        <v>27</v>
      </c>
      <c r="F174" s="101"/>
      <c r="G174" s="101"/>
      <c r="H174" s="101"/>
      <c r="I174" s="101" t="s">
        <v>409</v>
      </c>
      <c r="J174" s="101"/>
      <c r="K174" s="101"/>
      <c r="L174" s="101" t="s">
        <v>410</v>
      </c>
      <c r="Q174" s="47" t="s">
        <v>29</v>
      </c>
      <c r="S174" s="301"/>
      <c r="T174" s="317">
        <f>'Additional information'!$D$19</f>
        <v>0.91</v>
      </c>
      <c r="U174" s="302" t="str">
        <f t="shared" si="12"/>
        <v/>
      </c>
      <c r="V174" s="302" t="str">
        <f t="shared" si="13"/>
        <v/>
      </c>
    </row>
    <row r="175" spans="1:23" x14ac:dyDescent="0.2">
      <c r="S175" s="301"/>
      <c r="T175" s="317">
        <f>'Additional information'!$D$19</f>
        <v>0.91</v>
      </c>
      <c r="U175" s="302" t="str">
        <f t="shared" si="12"/>
        <v/>
      </c>
      <c r="V175" s="302" t="str">
        <f t="shared" si="13"/>
        <v/>
      </c>
    </row>
    <row r="176" spans="1:23" ht="16" x14ac:dyDescent="0.2">
      <c r="A176" s="75" t="s">
        <v>411</v>
      </c>
      <c r="B176" s="75" t="s">
        <v>412</v>
      </c>
      <c r="C176" s="46" t="s">
        <v>413</v>
      </c>
      <c r="D176" s="47" t="s">
        <v>287</v>
      </c>
      <c r="E176" s="101" t="s">
        <v>27</v>
      </c>
      <c r="F176" s="101"/>
      <c r="G176" s="101" t="s">
        <v>414</v>
      </c>
      <c r="H176" s="101"/>
      <c r="I176" s="101" t="s">
        <v>404</v>
      </c>
      <c r="J176" s="101"/>
      <c r="K176" s="101"/>
      <c r="L176" s="101"/>
      <c r="Q176" s="47" t="s">
        <v>29</v>
      </c>
      <c r="S176" s="301">
        <v>25.81001091003418</v>
      </c>
      <c r="T176" s="317">
        <f>'Additional information'!$D$19</f>
        <v>0.91</v>
      </c>
      <c r="U176" s="302">
        <f t="shared" si="12"/>
        <v>23.487109928131105</v>
      </c>
      <c r="V176" s="302">
        <f t="shared" si="13"/>
        <v>23.487109928131105</v>
      </c>
    </row>
    <row r="177" spans="1:23" s="276" customFormat="1" ht="28.75" customHeight="1" x14ac:dyDescent="0.2">
      <c r="A177" s="274" t="s">
        <v>106</v>
      </c>
      <c r="B177" s="262" t="s">
        <v>415</v>
      </c>
      <c r="C177" s="284" t="s">
        <v>416</v>
      </c>
      <c r="E177" s="277"/>
      <c r="F177" s="277"/>
      <c r="G177" s="277"/>
      <c r="H177" s="277"/>
      <c r="I177" s="285" t="s">
        <v>417</v>
      </c>
      <c r="J177" s="277"/>
      <c r="K177" s="277"/>
      <c r="L177" s="277"/>
      <c r="S177" s="305"/>
      <c r="T177" s="318"/>
      <c r="U177" s="306"/>
      <c r="V177" s="306"/>
      <c r="W177" s="280"/>
    </row>
    <row r="178" spans="1:23" s="276" customFormat="1" ht="16" x14ac:dyDescent="0.2">
      <c r="A178" s="274" t="s">
        <v>106</v>
      </c>
      <c r="B178" s="294" t="s">
        <v>418</v>
      </c>
      <c r="C178" s="284" t="s">
        <v>419</v>
      </c>
      <c r="E178" s="277"/>
      <c r="F178" s="286"/>
      <c r="G178" s="286"/>
      <c r="H178" s="286"/>
      <c r="I178" s="285" t="s">
        <v>420</v>
      </c>
      <c r="J178" s="286"/>
      <c r="K178" s="286"/>
      <c r="L178" s="286"/>
      <c r="S178" s="305"/>
      <c r="T178" s="318">
        <f>'Additional information'!$D$19</f>
        <v>0.91</v>
      </c>
      <c r="U178" s="306" t="str">
        <f>IF(S178&lt;&gt;"",S178*T178,"")</f>
        <v/>
      </c>
      <c r="V178" s="306" t="str">
        <f>IF(AND(S178&lt;&gt;"",Q178="yes"),S178*T178,"")</f>
        <v/>
      </c>
      <c r="W178" s="280"/>
    </row>
    <row r="179" spans="1:23" s="77" customFormat="1" ht="16" x14ac:dyDescent="0.2">
      <c r="A179" s="77" t="s">
        <v>421</v>
      </c>
      <c r="B179" s="77" t="s">
        <v>422</v>
      </c>
      <c r="C179" s="78" t="s">
        <v>423</v>
      </c>
      <c r="D179" s="77" t="s">
        <v>287</v>
      </c>
      <c r="E179" s="102" t="s">
        <v>27</v>
      </c>
      <c r="F179" s="102"/>
      <c r="G179" s="102" t="s">
        <v>382</v>
      </c>
      <c r="H179" s="102"/>
      <c r="I179" s="102"/>
      <c r="J179" s="102"/>
      <c r="K179" s="102"/>
      <c r="L179" s="102"/>
      <c r="Q179" s="77" t="s">
        <v>41</v>
      </c>
      <c r="S179" s="301">
        <v>19.55319786071777</v>
      </c>
      <c r="T179" s="317">
        <f>'Additional information'!$D$19</f>
        <v>0.91</v>
      </c>
      <c r="U179" s="302">
        <f>IF(S179&lt;&gt;"",S179*T179,"")</f>
        <v>17.793410053253172</v>
      </c>
      <c r="V179" s="302" t="str">
        <f>IF(AND(S179&lt;&gt;"",Q179="yes"),S179*T179,"")</f>
        <v/>
      </c>
      <c r="W179" s="76"/>
    </row>
    <row r="180" spans="1:23" s="77" customFormat="1" x14ac:dyDescent="0.2">
      <c r="C180" s="78"/>
      <c r="E180" s="102"/>
      <c r="F180" s="102"/>
      <c r="G180" s="102"/>
      <c r="H180" s="102"/>
      <c r="I180" s="102"/>
      <c r="J180" s="102"/>
      <c r="K180" s="102"/>
      <c r="L180" s="102"/>
      <c r="S180" s="301"/>
      <c r="T180" s="317">
        <f>'Additional information'!$D$19</f>
        <v>0.91</v>
      </c>
      <c r="U180" s="302" t="str">
        <f>IF(S180&lt;&gt;"",S180*T180,"")</f>
        <v/>
      </c>
      <c r="V180" s="302" t="str">
        <f>IF(AND(S180&lt;&gt;"",Q180="yes"),S180*T180,"")</f>
        <v/>
      </c>
      <c r="W180" s="76"/>
    </row>
    <row r="181" spans="1:23" s="281" customFormat="1" ht="16" x14ac:dyDescent="0.2">
      <c r="A181" s="281" t="s">
        <v>58</v>
      </c>
      <c r="B181" s="281" t="s">
        <v>424</v>
      </c>
      <c r="C181" s="287" t="s">
        <v>425</v>
      </c>
      <c r="E181" s="281" t="s">
        <v>27</v>
      </c>
      <c r="G181" s="288" t="s">
        <v>403</v>
      </c>
      <c r="I181" s="285" t="s">
        <v>426</v>
      </c>
    </row>
    <row r="182" spans="1:23" s="281" customFormat="1" ht="16" x14ac:dyDescent="0.2">
      <c r="A182" s="281" t="s">
        <v>58</v>
      </c>
      <c r="B182" s="281" t="s">
        <v>427</v>
      </c>
      <c r="C182" s="287" t="s">
        <v>428</v>
      </c>
      <c r="E182" s="281" t="s">
        <v>27</v>
      </c>
      <c r="G182" s="288" t="s">
        <v>403</v>
      </c>
      <c r="I182" s="285" t="s">
        <v>429</v>
      </c>
    </row>
    <row r="183" spans="1:23" s="194" customFormat="1" ht="16" x14ac:dyDescent="0.2">
      <c r="A183" s="194" t="s">
        <v>58</v>
      </c>
      <c r="B183" s="194" t="s">
        <v>430</v>
      </c>
      <c r="C183" s="189" t="s">
        <v>431</v>
      </c>
      <c r="E183" s="194" t="s">
        <v>27</v>
      </c>
      <c r="G183" s="208" t="s">
        <v>403</v>
      </c>
    </row>
    <row r="184" spans="1:23" s="193" customFormat="1" ht="16" x14ac:dyDescent="0.2">
      <c r="A184" s="193" t="s">
        <v>106</v>
      </c>
      <c r="B184" s="193" t="s">
        <v>432</v>
      </c>
      <c r="C184" s="196" t="s">
        <v>433</v>
      </c>
      <c r="E184" s="197"/>
      <c r="F184" s="197"/>
      <c r="G184" s="197"/>
      <c r="H184" s="197"/>
      <c r="I184" s="197"/>
      <c r="J184" s="197"/>
      <c r="K184" s="197"/>
      <c r="L184" s="197"/>
    </row>
    <row r="185" spans="1:23" s="193" customFormat="1" ht="30" customHeight="1" x14ac:dyDescent="0.2">
      <c r="A185" s="193" t="s">
        <v>434</v>
      </c>
      <c r="B185" s="193" t="s">
        <v>435</v>
      </c>
      <c r="C185" s="196" t="s">
        <v>436</v>
      </c>
      <c r="D185" s="193" t="s">
        <v>437</v>
      </c>
      <c r="E185" s="197" t="b">
        <v>0</v>
      </c>
      <c r="F185" s="197" t="s">
        <v>76</v>
      </c>
      <c r="G185" s="197"/>
      <c r="H185" s="197"/>
      <c r="I185" s="197" t="s">
        <v>438</v>
      </c>
      <c r="J185" s="197" t="s">
        <v>439</v>
      </c>
      <c r="K185" s="197"/>
      <c r="L185" s="197"/>
    </row>
    <row r="186" spans="1:23" s="193" customFormat="1" x14ac:dyDescent="0.2">
      <c r="A186" s="193" t="s">
        <v>30</v>
      </c>
      <c r="B186" s="193" t="s">
        <v>440</v>
      </c>
      <c r="C186" s="196"/>
      <c r="E186" s="197" t="b">
        <v>0</v>
      </c>
      <c r="F186" s="197"/>
      <c r="G186" s="197"/>
      <c r="H186" s="197"/>
      <c r="I186" s="197"/>
      <c r="J186" s="197"/>
      <c r="K186" s="197"/>
      <c r="L186" s="197" t="s">
        <v>441</v>
      </c>
    </row>
    <row r="187" spans="1:23" s="193" customFormat="1" ht="16" x14ac:dyDescent="0.2">
      <c r="A187" s="193" t="s">
        <v>58</v>
      </c>
      <c r="B187" s="193" t="s">
        <v>442</v>
      </c>
      <c r="C187" s="196" t="s">
        <v>443</v>
      </c>
      <c r="E187" s="197" t="b">
        <v>0</v>
      </c>
      <c r="F187" s="197"/>
      <c r="G187" s="197" t="s">
        <v>403</v>
      </c>
      <c r="H187" s="197"/>
      <c r="I187" s="197" t="s">
        <v>438</v>
      </c>
      <c r="J187" s="197"/>
      <c r="K187" s="197"/>
      <c r="L187" s="197"/>
    </row>
    <row r="188" spans="1:23" s="193" customFormat="1" ht="16" x14ac:dyDescent="0.2">
      <c r="A188" s="193" t="s">
        <v>58</v>
      </c>
      <c r="B188" s="193" t="s">
        <v>444</v>
      </c>
      <c r="C188" s="196" t="s">
        <v>445</v>
      </c>
      <c r="E188" s="197" t="b">
        <v>0</v>
      </c>
      <c r="F188" s="197"/>
      <c r="G188" s="197" t="s">
        <v>403</v>
      </c>
      <c r="H188" s="197"/>
      <c r="I188" s="197" t="s">
        <v>438</v>
      </c>
      <c r="J188" s="197"/>
      <c r="K188" s="197"/>
      <c r="L188" s="197"/>
    </row>
    <row r="189" spans="1:23" s="193" customFormat="1" ht="16" x14ac:dyDescent="0.2">
      <c r="A189" s="193" t="s">
        <v>58</v>
      </c>
      <c r="B189" s="193" t="s">
        <v>446</v>
      </c>
      <c r="C189" s="196" t="s">
        <v>447</v>
      </c>
      <c r="E189" s="197" t="b">
        <v>0</v>
      </c>
      <c r="F189" s="197"/>
      <c r="G189" s="197" t="s">
        <v>403</v>
      </c>
      <c r="H189" s="197"/>
      <c r="I189" s="197" t="s">
        <v>438</v>
      </c>
      <c r="J189" s="197"/>
      <c r="K189" s="197"/>
      <c r="L189" s="197"/>
    </row>
    <row r="190" spans="1:23" s="193" customFormat="1" ht="16" x14ac:dyDescent="0.2">
      <c r="A190" s="193" t="s">
        <v>58</v>
      </c>
      <c r="B190" s="193" t="s">
        <v>448</v>
      </c>
      <c r="C190" s="196" t="s">
        <v>449</v>
      </c>
      <c r="E190" s="197" t="b">
        <v>0</v>
      </c>
      <c r="F190" s="197"/>
      <c r="G190" s="197" t="s">
        <v>403</v>
      </c>
      <c r="H190" s="197"/>
      <c r="I190" s="197" t="s">
        <v>438</v>
      </c>
      <c r="J190" s="197"/>
      <c r="K190" s="197"/>
      <c r="L190" s="197"/>
    </row>
    <row r="191" spans="1:23" s="193" customFormat="1" ht="16" x14ac:dyDescent="0.2">
      <c r="A191" s="193" t="s">
        <v>58</v>
      </c>
      <c r="B191" s="193" t="s">
        <v>450</v>
      </c>
      <c r="C191" s="196" t="s">
        <v>451</v>
      </c>
      <c r="E191" s="197" t="b">
        <v>0</v>
      </c>
      <c r="F191" s="197"/>
      <c r="G191" s="197" t="s">
        <v>403</v>
      </c>
      <c r="H191" s="197"/>
      <c r="I191" s="197" t="s">
        <v>438</v>
      </c>
      <c r="J191" s="197"/>
      <c r="K191" s="197"/>
      <c r="L191" s="197"/>
    </row>
    <row r="192" spans="1:23" s="193" customFormat="1" ht="16" x14ac:dyDescent="0.2">
      <c r="A192" s="193" t="s">
        <v>106</v>
      </c>
      <c r="B192" s="193" t="s">
        <v>452</v>
      </c>
      <c r="C192" s="196" t="s">
        <v>453</v>
      </c>
      <c r="E192" s="197"/>
      <c r="F192" s="197"/>
      <c r="G192" s="197"/>
      <c r="H192" s="197"/>
      <c r="I192" s="197" t="s">
        <v>438</v>
      </c>
      <c r="J192" s="197"/>
      <c r="K192" s="197"/>
      <c r="L192" s="197"/>
    </row>
    <row r="193" spans="1:23" s="193" customFormat="1" ht="30" customHeight="1" x14ac:dyDescent="0.2">
      <c r="A193" s="193" t="s">
        <v>434</v>
      </c>
      <c r="B193" s="193" t="s">
        <v>454</v>
      </c>
      <c r="C193" s="196" t="s">
        <v>455</v>
      </c>
      <c r="D193" s="193" t="s">
        <v>437</v>
      </c>
      <c r="E193" s="197" t="b">
        <v>0</v>
      </c>
      <c r="F193" s="197" t="s">
        <v>76</v>
      </c>
      <c r="G193" s="197"/>
      <c r="H193" s="197"/>
      <c r="I193" s="197" t="s">
        <v>456</v>
      </c>
      <c r="J193" s="197" t="s">
        <v>457</v>
      </c>
      <c r="K193" s="197"/>
      <c r="L193" s="197"/>
    </row>
    <row r="194" spans="1:23" s="193" customFormat="1" x14ac:dyDescent="0.2">
      <c r="A194" s="193" t="s">
        <v>30</v>
      </c>
      <c r="B194" s="193" t="s">
        <v>458</v>
      </c>
      <c r="C194" s="196"/>
      <c r="E194" s="197" t="b">
        <v>0</v>
      </c>
      <c r="F194" s="197"/>
      <c r="G194" s="197" t="s">
        <v>403</v>
      </c>
      <c r="H194" s="197"/>
      <c r="I194" s="197"/>
      <c r="J194" s="197"/>
      <c r="K194" s="197"/>
      <c r="L194" s="197" t="s">
        <v>459</v>
      </c>
    </row>
    <row r="195" spans="1:23" s="193" customFormat="1" ht="16" x14ac:dyDescent="0.2">
      <c r="A195" s="193" t="s">
        <v>58</v>
      </c>
      <c r="B195" s="193" t="s">
        <v>460</v>
      </c>
      <c r="C195" s="196" t="s">
        <v>461</v>
      </c>
      <c r="E195" s="197" t="b">
        <v>0</v>
      </c>
      <c r="F195" s="197"/>
      <c r="G195" s="197" t="s">
        <v>403</v>
      </c>
      <c r="H195" s="197"/>
      <c r="I195" s="197" t="s">
        <v>456</v>
      </c>
      <c r="J195" s="197"/>
      <c r="K195" s="197"/>
      <c r="L195" s="197"/>
    </row>
    <row r="196" spans="1:23" s="193" customFormat="1" ht="16" x14ac:dyDescent="0.2">
      <c r="A196" s="193" t="s">
        <v>58</v>
      </c>
      <c r="B196" s="193" t="s">
        <v>462</v>
      </c>
      <c r="C196" s="196" t="s">
        <v>463</v>
      </c>
      <c r="E196" s="197" t="b">
        <v>0</v>
      </c>
      <c r="F196" s="197"/>
      <c r="G196" s="197" t="s">
        <v>403</v>
      </c>
      <c r="H196" s="197"/>
      <c r="I196" s="197" t="s">
        <v>456</v>
      </c>
      <c r="J196" s="197"/>
      <c r="K196" s="197"/>
      <c r="L196" s="197"/>
    </row>
    <row r="197" spans="1:23" s="193" customFormat="1" ht="16" x14ac:dyDescent="0.2">
      <c r="A197" s="193" t="s">
        <v>58</v>
      </c>
      <c r="B197" s="193" t="s">
        <v>464</v>
      </c>
      <c r="C197" s="196" t="s">
        <v>465</v>
      </c>
      <c r="E197" s="197" t="b">
        <v>0</v>
      </c>
      <c r="F197" s="197"/>
      <c r="G197" s="197" t="s">
        <v>403</v>
      </c>
      <c r="H197" s="197"/>
      <c r="I197" s="197" t="s">
        <v>456</v>
      </c>
      <c r="J197" s="197"/>
      <c r="K197" s="197"/>
      <c r="L197" s="197"/>
    </row>
    <row r="198" spans="1:23" s="193" customFormat="1" ht="16" x14ac:dyDescent="0.2">
      <c r="A198" s="193" t="s">
        <v>58</v>
      </c>
      <c r="B198" s="193" t="s">
        <v>466</v>
      </c>
      <c r="C198" s="196" t="s">
        <v>467</v>
      </c>
      <c r="E198" s="197" t="b">
        <v>0</v>
      </c>
      <c r="F198" s="197"/>
      <c r="G198" s="197" t="s">
        <v>403</v>
      </c>
      <c r="H198" s="197"/>
      <c r="I198" s="197" t="s">
        <v>456</v>
      </c>
      <c r="J198" s="197"/>
      <c r="K198" s="197"/>
      <c r="L198" s="197"/>
    </row>
    <row r="199" spans="1:23" s="193" customFormat="1" ht="16" x14ac:dyDescent="0.2">
      <c r="A199" s="193" t="s">
        <v>58</v>
      </c>
      <c r="B199" s="193" t="s">
        <v>468</v>
      </c>
      <c r="C199" s="196" t="s">
        <v>469</v>
      </c>
      <c r="E199" s="197" t="b">
        <v>0</v>
      </c>
      <c r="F199" s="197"/>
      <c r="G199" s="197" t="s">
        <v>403</v>
      </c>
      <c r="H199" s="197"/>
      <c r="I199" s="197" t="s">
        <v>456</v>
      </c>
      <c r="J199" s="197"/>
      <c r="K199" s="197"/>
      <c r="L199" s="197"/>
    </row>
    <row r="200" spans="1:23" s="193" customFormat="1" ht="30" customHeight="1" x14ac:dyDescent="0.2">
      <c r="A200" s="193" t="s">
        <v>470</v>
      </c>
      <c r="B200" s="193" t="s">
        <v>471</v>
      </c>
      <c r="C200" s="196" t="s">
        <v>472</v>
      </c>
      <c r="E200" s="197" t="b">
        <v>0</v>
      </c>
      <c r="F200" s="197"/>
      <c r="G200" s="197"/>
      <c r="H200" s="197"/>
      <c r="I200" s="197"/>
      <c r="J200" s="197"/>
      <c r="K200" s="197"/>
      <c r="L200" s="197"/>
    </row>
    <row r="201" spans="1:23" s="193" customFormat="1" ht="30" customHeight="1" x14ac:dyDescent="0.2">
      <c r="A201" s="193" t="s">
        <v>473</v>
      </c>
      <c r="B201" s="193" t="s">
        <v>474</v>
      </c>
      <c r="C201" s="196" t="s">
        <v>475</v>
      </c>
      <c r="E201" s="197" t="b">
        <v>0</v>
      </c>
      <c r="F201" s="197"/>
      <c r="G201" s="197"/>
      <c r="H201" s="197"/>
      <c r="I201" s="197"/>
      <c r="J201" s="197"/>
      <c r="K201" s="197"/>
      <c r="L201" s="197"/>
    </row>
    <row r="202" spans="1:23" s="230" customFormat="1" ht="30" customHeight="1" x14ac:dyDescent="0.2">
      <c r="A202" s="230" t="s">
        <v>476</v>
      </c>
      <c r="B202" s="230" t="s">
        <v>477</v>
      </c>
      <c r="C202" s="231" t="s">
        <v>478</v>
      </c>
      <c r="E202" s="234" t="b">
        <v>0</v>
      </c>
      <c r="F202" s="234"/>
      <c r="G202" s="234"/>
      <c r="H202" s="234"/>
      <c r="I202" s="234"/>
      <c r="J202" s="234"/>
      <c r="K202" s="234"/>
      <c r="L202" s="234"/>
    </row>
    <row r="203" spans="1:23" ht="30" customHeight="1" x14ac:dyDescent="0.2">
      <c r="A203" s="75" t="s">
        <v>106</v>
      </c>
      <c r="B203" s="75" t="s">
        <v>479</v>
      </c>
      <c r="C203" s="46" t="s">
        <v>480</v>
      </c>
      <c r="E203" s="101" t="s">
        <v>27</v>
      </c>
      <c r="F203" s="101"/>
      <c r="G203" s="101"/>
      <c r="H203" s="101"/>
      <c r="I203" s="103"/>
      <c r="J203" s="101"/>
      <c r="K203" s="101"/>
      <c r="L203" s="101"/>
      <c r="Q203" s="47" t="s">
        <v>29</v>
      </c>
      <c r="S203" s="301">
        <v>13.613316535949711</v>
      </c>
      <c r="T203" s="317">
        <f>'Additional information'!$D$19</f>
        <v>0.91</v>
      </c>
      <c r="U203" s="302">
        <f>IF(S203&lt;&gt;"",S203*T203,"")</f>
        <v>12.388118047714237</v>
      </c>
      <c r="V203" s="302">
        <f>IF(AND(S203&lt;&gt;"",Q203="yes"),S203*T203,"")</f>
        <v>12.388118047714237</v>
      </c>
    </row>
    <row r="204" spans="1:23" ht="30" customHeight="1" x14ac:dyDescent="0.2">
      <c r="A204" s="75" t="s">
        <v>481</v>
      </c>
      <c r="B204" s="75" t="s">
        <v>482</v>
      </c>
      <c r="C204" s="46" t="s">
        <v>483</v>
      </c>
      <c r="D204" s="47" t="s">
        <v>358</v>
      </c>
      <c r="E204" s="101" t="s">
        <v>27</v>
      </c>
      <c r="F204" s="101"/>
      <c r="G204" s="103" t="s">
        <v>382</v>
      </c>
      <c r="H204" s="101"/>
      <c r="I204" s="103" t="s">
        <v>484</v>
      </c>
      <c r="J204" s="101"/>
      <c r="K204" s="101"/>
      <c r="L204" s="101"/>
      <c r="Q204" s="47" t="s">
        <v>29</v>
      </c>
      <c r="S204" s="301">
        <v>27.754648208618161</v>
      </c>
      <c r="T204" s="317">
        <f>'Additional information'!$D$19</f>
        <v>0.91</v>
      </c>
      <c r="U204" s="302">
        <f>IF(S204&lt;&gt;"",S204*T204,"")</f>
        <v>25.256729869842527</v>
      </c>
      <c r="V204" s="302">
        <f>IF(AND(S204&lt;&gt;"",Q204="yes"),S204*T204,"")</f>
        <v>25.256729869842527</v>
      </c>
    </row>
    <row r="205" spans="1:23" s="191" customFormat="1" ht="29" customHeight="1" x14ac:dyDescent="0.2">
      <c r="A205" s="193" t="s">
        <v>106</v>
      </c>
      <c r="B205" s="209" t="s">
        <v>485</v>
      </c>
      <c r="C205" s="210" t="s">
        <v>486</v>
      </c>
      <c r="E205" s="211"/>
      <c r="F205" s="211"/>
      <c r="G205" s="212"/>
      <c r="H205" s="211"/>
      <c r="I205" s="212"/>
      <c r="J205" s="211"/>
      <c r="K205" s="211"/>
      <c r="L205" s="211"/>
      <c r="Q205" s="193"/>
    </row>
    <row r="206" spans="1:23" s="213" customFormat="1" ht="30" customHeight="1" x14ac:dyDescent="0.2">
      <c r="A206" s="194" t="s">
        <v>106</v>
      </c>
      <c r="B206" s="207" t="s">
        <v>487</v>
      </c>
      <c r="C206" s="207" t="s">
        <v>488</v>
      </c>
      <c r="E206" s="194" t="s">
        <v>27</v>
      </c>
    </row>
    <row r="207" spans="1:23" ht="15.75" customHeight="1" thickBot="1" x14ac:dyDescent="0.25">
      <c r="A207" s="92" t="s">
        <v>102</v>
      </c>
      <c r="B207" s="92"/>
      <c r="C207" s="93"/>
      <c r="D207" s="92"/>
      <c r="E207" s="114"/>
      <c r="F207" s="114"/>
      <c r="G207" s="114"/>
      <c r="H207" s="114"/>
      <c r="I207" s="114"/>
      <c r="J207" s="114"/>
      <c r="K207" s="114"/>
      <c r="L207" s="114"/>
      <c r="S207" s="301"/>
      <c r="U207" s="302" t="str">
        <f t="shared" ref="U207:U228" si="14">IF(S207&lt;&gt;"",S207*T207,"")</f>
        <v/>
      </c>
      <c r="V207" s="302" t="str">
        <f t="shared" ref="V207:V228" si="15">IF(AND(S207&lt;&gt;"",Q207="yes"),S207*T207,"")</f>
        <v/>
      </c>
    </row>
    <row r="208" spans="1:23" s="73" customFormat="1" ht="15.75" customHeight="1" thickTop="1" x14ac:dyDescent="0.2">
      <c r="A208" s="72" t="s">
        <v>48</v>
      </c>
      <c r="B208" s="72" t="s">
        <v>489</v>
      </c>
      <c r="C208" s="86" t="s">
        <v>490</v>
      </c>
      <c r="D208" s="72"/>
      <c r="E208" s="106" t="s">
        <v>40</v>
      </c>
      <c r="F208" s="106"/>
      <c r="G208" s="106"/>
      <c r="H208" s="106"/>
      <c r="I208" s="106" t="s">
        <v>491</v>
      </c>
      <c r="J208" s="106"/>
      <c r="K208" s="106"/>
      <c r="L208" s="106"/>
      <c r="Q208" s="47" t="s">
        <v>29</v>
      </c>
      <c r="S208" s="301"/>
      <c r="T208" s="149"/>
      <c r="U208" s="302" t="str">
        <f t="shared" si="14"/>
        <v/>
      </c>
      <c r="V208" s="302" t="str">
        <f t="shared" si="15"/>
        <v/>
      </c>
      <c r="W208" s="74"/>
    </row>
    <row r="209" spans="1:23" s="73" customFormat="1" x14ac:dyDescent="0.2">
      <c r="C209" s="87"/>
      <c r="E209" s="107"/>
      <c r="F209" s="107"/>
      <c r="G209" s="107"/>
      <c r="H209" s="107"/>
      <c r="I209" s="107"/>
      <c r="J209" s="107"/>
      <c r="K209" s="107"/>
      <c r="L209" s="107"/>
      <c r="Q209" s="47"/>
      <c r="S209" s="301"/>
      <c r="T209" s="317">
        <f>'Additional information'!$D$19</f>
        <v>0.91</v>
      </c>
      <c r="U209" s="302" t="str">
        <f t="shared" si="14"/>
        <v/>
      </c>
      <c r="V209" s="302" t="str">
        <f t="shared" si="15"/>
        <v/>
      </c>
      <c r="W209" s="74"/>
    </row>
    <row r="210" spans="1:23" s="73" customFormat="1" ht="30" customHeight="1" x14ac:dyDescent="0.2">
      <c r="A210" s="75" t="s">
        <v>492</v>
      </c>
      <c r="B210" s="75" t="s">
        <v>493</v>
      </c>
      <c r="C210" s="46" t="s">
        <v>494</v>
      </c>
      <c r="D210" s="47"/>
      <c r="E210" s="101" t="s">
        <v>27</v>
      </c>
      <c r="F210" s="101" t="s">
        <v>76</v>
      </c>
      <c r="G210" s="106"/>
      <c r="H210" s="106"/>
      <c r="I210" s="106"/>
      <c r="J210" s="106"/>
      <c r="K210" s="106"/>
      <c r="L210" s="106"/>
      <c r="Q210" s="47" t="s">
        <v>29</v>
      </c>
      <c r="S210" s="301">
        <v>13.99939060211182</v>
      </c>
      <c r="T210" s="317">
        <f>'Additional information'!$D$19</f>
        <v>0.91</v>
      </c>
      <c r="U210" s="302">
        <f t="shared" si="14"/>
        <v>12.739445447921756</v>
      </c>
      <c r="V210" s="302">
        <f t="shared" si="15"/>
        <v>12.739445447921756</v>
      </c>
      <c r="W210" s="74"/>
    </row>
    <row r="211" spans="1:23" x14ac:dyDescent="0.2">
      <c r="A211" s="75" t="s">
        <v>30</v>
      </c>
      <c r="B211" s="75" t="s">
        <v>495</v>
      </c>
      <c r="C211" s="46"/>
      <c r="E211" s="101"/>
      <c r="F211" s="101"/>
      <c r="G211" s="101"/>
      <c r="H211" s="101"/>
      <c r="I211" s="101"/>
      <c r="J211" s="101"/>
      <c r="K211" s="101"/>
      <c r="L211" s="101" t="s">
        <v>496</v>
      </c>
      <c r="Q211" s="47" t="s">
        <v>29</v>
      </c>
      <c r="S211" s="301"/>
      <c r="T211" s="317">
        <f>'Additional information'!$D$19</f>
        <v>0.91</v>
      </c>
      <c r="U211" s="302" t="str">
        <f t="shared" si="14"/>
        <v/>
      </c>
      <c r="V211" s="302" t="str">
        <f t="shared" si="15"/>
        <v/>
      </c>
    </row>
    <row r="212" spans="1:23" x14ac:dyDescent="0.2">
      <c r="S212" s="301"/>
      <c r="T212" s="317">
        <f>'Additional information'!$D$19</f>
        <v>0.91</v>
      </c>
      <c r="U212" s="302" t="str">
        <f t="shared" si="14"/>
        <v/>
      </c>
      <c r="V212" s="302" t="str">
        <f t="shared" si="15"/>
        <v/>
      </c>
    </row>
    <row r="213" spans="1:23" ht="30" customHeight="1" x14ac:dyDescent="0.2">
      <c r="A213" s="75" t="s">
        <v>106</v>
      </c>
      <c r="B213" s="75" t="s">
        <v>497</v>
      </c>
      <c r="C213" s="46" t="s">
        <v>498</v>
      </c>
      <c r="E213" s="101" t="s">
        <v>27</v>
      </c>
      <c r="F213" s="101"/>
      <c r="G213" s="101"/>
      <c r="H213" s="101"/>
      <c r="I213" s="101"/>
      <c r="J213" s="101"/>
      <c r="K213" s="101"/>
      <c r="L213" s="101"/>
      <c r="Q213" s="47" t="s">
        <v>29</v>
      </c>
      <c r="S213" s="301">
        <v>10.25279426574707</v>
      </c>
      <c r="T213" s="317">
        <f>'Additional information'!$D$19</f>
        <v>0.91</v>
      </c>
      <c r="U213" s="302">
        <f t="shared" si="14"/>
        <v>9.3300427818298335</v>
      </c>
      <c r="V213" s="302">
        <f t="shared" si="15"/>
        <v>9.3300427818298335</v>
      </c>
    </row>
    <row r="214" spans="1:23" ht="30" customHeight="1" x14ac:dyDescent="0.2">
      <c r="A214" s="75" t="s">
        <v>499</v>
      </c>
      <c r="B214" s="75" t="s">
        <v>500</v>
      </c>
      <c r="C214" s="46" t="s">
        <v>501</v>
      </c>
      <c r="D214" s="47" t="s">
        <v>358</v>
      </c>
      <c r="E214" s="101" t="s">
        <v>27</v>
      </c>
      <c r="F214" s="101"/>
      <c r="G214" s="103" t="s">
        <v>382</v>
      </c>
      <c r="H214" s="103"/>
      <c r="I214" s="103" t="s">
        <v>502</v>
      </c>
      <c r="J214" s="101"/>
      <c r="K214" s="101"/>
      <c r="L214" s="101"/>
      <c r="Q214" s="47" t="s">
        <v>29</v>
      </c>
      <c r="S214" s="301">
        <v>24.194343566894531</v>
      </c>
      <c r="T214" s="317">
        <f>'Additional information'!$D$19</f>
        <v>0.91</v>
      </c>
      <c r="U214" s="302">
        <f t="shared" si="14"/>
        <v>22.016852645874025</v>
      </c>
      <c r="V214" s="302">
        <f t="shared" si="15"/>
        <v>22.016852645874025</v>
      </c>
    </row>
    <row r="215" spans="1:23" ht="16" x14ac:dyDescent="0.2">
      <c r="A215" s="75" t="s">
        <v>106</v>
      </c>
      <c r="B215" s="294" t="s">
        <v>503</v>
      </c>
      <c r="C215" s="300" t="s">
        <v>504</v>
      </c>
      <c r="I215" s="113"/>
      <c r="S215" s="301"/>
      <c r="T215" s="149">
        <f>'Additional information'!$D$18</f>
        <v>0.91</v>
      </c>
      <c r="U215" s="302" t="str">
        <f t="shared" si="14"/>
        <v/>
      </c>
      <c r="V215" s="302" t="str">
        <f t="shared" si="15"/>
        <v/>
      </c>
    </row>
    <row r="216" spans="1:23" ht="30" customHeight="1" x14ac:dyDescent="0.2">
      <c r="A216" s="75" t="s">
        <v>182</v>
      </c>
      <c r="B216" s="75" t="s">
        <v>505</v>
      </c>
      <c r="C216" s="80" t="s">
        <v>506</v>
      </c>
      <c r="D216" s="75" t="s">
        <v>388</v>
      </c>
      <c r="E216" s="101" t="s">
        <v>27</v>
      </c>
      <c r="F216" s="101"/>
      <c r="G216" s="101"/>
      <c r="H216" s="101"/>
      <c r="I216" s="103"/>
      <c r="J216" s="101"/>
      <c r="K216" s="101"/>
      <c r="L216" s="101"/>
      <c r="Q216" s="47" t="s">
        <v>29</v>
      </c>
      <c r="S216" s="301">
        <v>19.321737289428711</v>
      </c>
      <c r="T216" s="317">
        <f>'Additional information'!$D$19</f>
        <v>0.91</v>
      </c>
      <c r="U216" s="302">
        <f t="shared" si="14"/>
        <v>17.582780933380128</v>
      </c>
      <c r="V216" s="302">
        <f t="shared" si="15"/>
        <v>17.582780933380128</v>
      </c>
    </row>
    <row r="217" spans="1:23" ht="29" customHeight="1" x14ac:dyDescent="0.2">
      <c r="C217" s="49"/>
      <c r="I217" s="113"/>
      <c r="S217" s="301"/>
      <c r="T217" s="317">
        <f>'Additional information'!$D$19</f>
        <v>0.91</v>
      </c>
      <c r="U217" s="302" t="str">
        <f t="shared" si="14"/>
        <v/>
      </c>
      <c r="V217" s="302" t="str">
        <f t="shared" si="15"/>
        <v/>
      </c>
    </row>
    <row r="218" spans="1:23" ht="15.75" customHeight="1" thickBot="1" x14ac:dyDescent="0.25">
      <c r="A218" s="92" t="s">
        <v>102</v>
      </c>
      <c r="B218" s="92"/>
      <c r="C218" s="93"/>
      <c r="D218" s="92"/>
      <c r="E218" s="114"/>
      <c r="F218" s="114"/>
      <c r="G218" s="114"/>
      <c r="H218" s="114"/>
      <c r="I218" s="114"/>
      <c r="J218" s="114"/>
      <c r="K218" s="114"/>
      <c r="L218" s="114"/>
      <c r="S218" s="301"/>
      <c r="U218" s="302" t="str">
        <f t="shared" si="14"/>
        <v/>
      </c>
      <c r="V218" s="302" t="str">
        <f t="shared" si="15"/>
        <v/>
      </c>
    </row>
    <row r="219" spans="1:23" s="73" customFormat="1" ht="15.75" customHeight="1" thickTop="1" x14ac:dyDescent="0.2">
      <c r="A219" s="72" t="s">
        <v>48</v>
      </c>
      <c r="B219" s="72" t="s">
        <v>507</v>
      </c>
      <c r="C219" s="86" t="s">
        <v>508</v>
      </c>
      <c r="D219" s="72"/>
      <c r="E219" s="106" t="s">
        <v>40</v>
      </c>
      <c r="F219" s="106"/>
      <c r="G219" s="106"/>
      <c r="H219" s="106"/>
      <c r="I219" s="106" t="s">
        <v>509</v>
      </c>
      <c r="J219" s="106"/>
      <c r="K219" s="106"/>
      <c r="L219" s="106"/>
      <c r="Q219" s="47" t="s">
        <v>29</v>
      </c>
      <c r="S219" s="301"/>
      <c r="T219" s="74"/>
      <c r="U219" s="302" t="str">
        <f t="shared" si="14"/>
        <v/>
      </c>
      <c r="V219" s="302" t="str">
        <f t="shared" si="15"/>
        <v/>
      </c>
      <c r="W219" s="74"/>
    </row>
    <row r="220" spans="1:23" s="76" customFormat="1" ht="45" customHeight="1" x14ac:dyDescent="0.2">
      <c r="A220" s="79" t="s">
        <v>36</v>
      </c>
      <c r="B220" s="79" t="s">
        <v>510</v>
      </c>
      <c r="C220" s="80" t="s">
        <v>511</v>
      </c>
      <c r="E220" s="103"/>
      <c r="F220" s="103"/>
      <c r="G220" s="103"/>
      <c r="H220" s="103"/>
      <c r="I220" s="103"/>
      <c r="J220" s="103"/>
      <c r="K220" s="103"/>
      <c r="L220" s="103"/>
      <c r="Q220" s="76" t="s">
        <v>29</v>
      </c>
      <c r="S220" s="301">
        <v>7.5</v>
      </c>
      <c r="T220" s="317">
        <f>'Additional information'!$D$20</f>
        <v>0.05</v>
      </c>
      <c r="U220" s="302">
        <f t="shared" si="14"/>
        <v>0.375</v>
      </c>
      <c r="V220" s="302">
        <f t="shared" si="15"/>
        <v>0.375</v>
      </c>
    </row>
    <row r="221" spans="1:23" s="73" customFormat="1" x14ac:dyDescent="0.2">
      <c r="C221" s="87"/>
      <c r="E221" s="107"/>
      <c r="F221" s="107"/>
      <c r="G221" s="107"/>
      <c r="H221" s="107"/>
      <c r="I221" s="107"/>
      <c r="J221" s="107"/>
      <c r="K221" s="107"/>
      <c r="L221" s="107"/>
      <c r="Q221" s="47"/>
      <c r="S221" s="301"/>
      <c r="T221" s="317">
        <f>'Additional information'!$D$20</f>
        <v>0.05</v>
      </c>
      <c r="U221" s="302" t="str">
        <f t="shared" si="14"/>
        <v/>
      </c>
      <c r="V221" s="302" t="str">
        <f t="shared" si="15"/>
        <v/>
      </c>
      <c r="W221" s="74"/>
    </row>
    <row r="222" spans="1:23" ht="16" x14ac:dyDescent="0.2">
      <c r="A222" s="75" t="s">
        <v>512</v>
      </c>
      <c r="B222" s="75" t="s">
        <v>513</v>
      </c>
      <c r="C222" s="46" t="s">
        <v>514</v>
      </c>
      <c r="D222" s="47" t="s">
        <v>515</v>
      </c>
      <c r="E222" s="101" t="s">
        <v>27</v>
      </c>
      <c r="F222" s="101"/>
      <c r="G222" s="101" t="s">
        <v>382</v>
      </c>
      <c r="H222" s="101"/>
      <c r="I222" s="101"/>
      <c r="J222" s="101"/>
      <c r="K222" s="101"/>
      <c r="L222" s="101"/>
      <c r="Q222" s="47" t="s">
        <v>29</v>
      </c>
      <c r="S222" s="301">
        <v>19.090116500854489</v>
      </c>
      <c r="T222" s="317">
        <f>'Additional information'!$D$20</f>
        <v>0.05</v>
      </c>
      <c r="U222" s="302">
        <f t="shared" si="14"/>
        <v>0.95450582504272452</v>
      </c>
      <c r="V222" s="302">
        <f t="shared" si="15"/>
        <v>0.95450582504272452</v>
      </c>
    </row>
    <row r="223" spans="1:23" x14ac:dyDescent="0.2">
      <c r="S223" s="301"/>
      <c r="T223" s="317">
        <f>'Additional information'!$D$20</f>
        <v>0.05</v>
      </c>
      <c r="U223" s="302" t="str">
        <f t="shared" si="14"/>
        <v/>
      </c>
      <c r="V223" s="302" t="str">
        <f t="shared" si="15"/>
        <v/>
      </c>
    </row>
    <row r="224" spans="1:23" ht="30" customHeight="1" x14ac:dyDescent="0.2">
      <c r="A224" s="75" t="s">
        <v>182</v>
      </c>
      <c r="B224" s="75" t="s">
        <v>516</v>
      </c>
      <c r="C224" s="46" t="s">
        <v>517</v>
      </c>
      <c r="E224" s="101" t="s">
        <v>27</v>
      </c>
      <c r="F224" s="101"/>
      <c r="G224" s="101"/>
      <c r="H224" s="101"/>
      <c r="I224" s="101"/>
      <c r="J224" s="101"/>
      <c r="K224" s="101"/>
      <c r="L224" s="101"/>
      <c r="Q224" s="47" t="s">
        <v>29</v>
      </c>
      <c r="S224" s="301">
        <v>17.656976699829102</v>
      </c>
      <c r="T224" s="317">
        <f>'Additional information'!$D$20</f>
        <v>0.05</v>
      </c>
      <c r="U224" s="302">
        <f t="shared" si="14"/>
        <v>0.88284883499145517</v>
      </c>
      <c r="V224" s="302">
        <f t="shared" si="15"/>
        <v>0.88284883499145517</v>
      </c>
    </row>
    <row r="225" spans="1:23" x14ac:dyDescent="0.2">
      <c r="S225" s="301"/>
      <c r="T225" s="317">
        <f>'Additional information'!$D$20</f>
        <v>0.05</v>
      </c>
      <c r="U225" s="302" t="str">
        <f t="shared" si="14"/>
        <v/>
      </c>
      <c r="V225" s="302" t="str">
        <f t="shared" si="15"/>
        <v/>
      </c>
    </row>
    <row r="226" spans="1:23" ht="30" customHeight="1" x14ac:dyDescent="0.2">
      <c r="A226" s="75" t="s">
        <v>106</v>
      </c>
      <c r="B226" s="75" t="s">
        <v>518</v>
      </c>
      <c r="C226" s="46" t="s">
        <v>519</v>
      </c>
      <c r="E226" s="101" t="s">
        <v>27</v>
      </c>
      <c r="F226" s="101"/>
      <c r="G226" s="101"/>
      <c r="H226" s="101"/>
      <c r="I226" s="101"/>
      <c r="J226" s="101"/>
      <c r="K226" s="101"/>
      <c r="L226" s="101"/>
      <c r="Q226" s="47" t="s">
        <v>29</v>
      </c>
      <c r="S226" s="319">
        <v>8.7647056579589844</v>
      </c>
      <c r="T226" s="317">
        <f>'Additional information'!$D$20</f>
        <v>0.05</v>
      </c>
      <c r="U226" s="302">
        <f t="shared" si="14"/>
        <v>0.43823528289794922</v>
      </c>
      <c r="V226" s="302">
        <f t="shared" si="15"/>
        <v>0.43823528289794922</v>
      </c>
    </row>
    <row r="227" spans="1:23" ht="30" customHeight="1" x14ac:dyDescent="0.2">
      <c r="A227" s="75" t="s">
        <v>520</v>
      </c>
      <c r="B227" s="75" t="s">
        <v>521</v>
      </c>
      <c r="C227" s="46" t="s">
        <v>522</v>
      </c>
      <c r="D227" s="47" t="s">
        <v>358</v>
      </c>
      <c r="E227" s="101"/>
      <c r="F227" s="101"/>
      <c r="G227" s="103" t="s">
        <v>382</v>
      </c>
      <c r="H227" s="101"/>
      <c r="I227" s="103" t="s">
        <v>523</v>
      </c>
      <c r="J227" s="101"/>
      <c r="K227" s="101"/>
      <c r="L227" s="101"/>
      <c r="Q227" s="47" t="s">
        <v>29</v>
      </c>
      <c r="S227" s="319">
        <v>27.9538459777832</v>
      </c>
      <c r="T227" s="317">
        <f>'Additional information'!$D$20</f>
        <v>0.05</v>
      </c>
      <c r="U227" s="302">
        <f t="shared" si="14"/>
        <v>1.39769229888916</v>
      </c>
      <c r="V227" s="302">
        <f t="shared" si="15"/>
        <v>1.39769229888916</v>
      </c>
    </row>
    <row r="228" spans="1:23" ht="16" x14ac:dyDescent="0.2">
      <c r="A228" s="75" t="s">
        <v>24</v>
      </c>
      <c r="B228" s="75" t="s">
        <v>524</v>
      </c>
      <c r="C228" s="80" t="s">
        <v>281</v>
      </c>
      <c r="D228" s="76" t="s">
        <v>282</v>
      </c>
      <c r="E228" s="101" t="s">
        <v>27</v>
      </c>
      <c r="F228" s="101"/>
      <c r="G228" s="101"/>
      <c r="H228" s="101"/>
      <c r="I228" s="101" t="s">
        <v>525</v>
      </c>
      <c r="J228" s="101"/>
      <c r="K228" s="101"/>
      <c r="L228" s="101"/>
      <c r="Q228" s="47" t="s">
        <v>29</v>
      </c>
      <c r="S228" s="301"/>
      <c r="T228" s="317">
        <f>'Additional information'!$D$20</f>
        <v>0.05</v>
      </c>
      <c r="U228" s="302" t="str">
        <f t="shared" si="14"/>
        <v/>
      </c>
      <c r="V228" s="302" t="str">
        <f t="shared" si="15"/>
        <v/>
      </c>
    </row>
    <row r="229" spans="1:23" s="191" customFormat="1" ht="16" x14ac:dyDescent="0.2">
      <c r="A229" s="209" t="s">
        <v>106</v>
      </c>
      <c r="B229" s="209" t="s">
        <v>526</v>
      </c>
      <c r="C229" s="210" t="s">
        <v>527</v>
      </c>
      <c r="D229" s="193"/>
      <c r="E229" s="211"/>
      <c r="F229" s="211"/>
      <c r="G229" s="211"/>
      <c r="H229" s="211"/>
      <c r="I229" s="211"/>
      <c r="J229" s="211"/>
      <c r="K229" s="211"/>
      <c r="L229" s="211"/>
      <c r="Q229" s="193"/>
    </row>
    <row r="230" spans="1:23" s="77" customFormat="1" ht="30" customHeight="1" x14ac:dyDescent="0.2">
      <c r="A230" s="77" t="s">
        <v>528</v>
      </c>
      <c r="B230" s="77" t="s">
        <v>529</v>
      </c>
      <c r="C230" s="78" t="s">
        <v>530</v>
      </c>
      <c r="D230" s="77" t="s">
        <v>515</v>
      </c>
      <c r="E230" s="102" t="s">
        <v>27</v>
      </c>
      <c r="F230" s="102"/>
      <c r="G230" s="102" t="s">
        <v>382</v>
      </c>
      <c r="H230" s="102"/>
      <c r="I230" s="102" t="s">
        <v>531</v>
      </c>
      <c r="J230" s="102"/>
      <c r="K230" s="102"/>
      <c r="L230" s="102"/>
      <c r="Q230" s="77" t="s">
        <v>41</v>
      </c>
      <c r="S230" s="301">
        <v>21.25</v>
      </c>
      <c r="T230" s="317">
        <f>'Additional information'!$D$20</f>
        <v>0.05</v>
      </c>
      <c r="U230" s="302">
        <f>IF(S230&lt;&gt;"",S230*T230,"")</f>
        <v>1.0625</v>
      </c>
      <c r="V230" s="302" t="str">
        <f>IF(AND(S230&lt;&gt;"",Q230="yes"),S230*T230,"")</f>
        <v/>
      </c>
      <c r="W230" s="76"/>
    </row>
    <row r="231" spans="1:23" s="77" customFormat="1" ht="16" x14ac:dyDescent="0.2">
      <c r="A231" s="77" t="s">
        <v>24</v>
      </c>
      <c r="B231" s="77" t="s">
        <v>532</v>
      </c>
      <c r="C231" s="78" t="s">
        <v>281</v>
      </c>
      <c r="D231" s="77" t="s">
        <v>282</v>
      </c>
      <c r="E231" s="102" t="s">
        <v>27</v>
      </c>
      <c r="F231" s="102"/>
      <c r="G231" s="102"/>
      <c r="H231" s="102"/>
      <c r="I231" s="102" t="s">
        <v>533</v>
      </c>
      <c r="J231" s="102"/>
      <c r="K231" s="102"/>
      <c r="L231" s="102"/>
      <c r="Q231" s="77" t="s">
        <v>41</v>
      </c>
      <c r="S231" s="301"/>
      <c r="T231" s="317">
        <f>'Additional information'!$D$20</f>
        <v>0.05</v>
      </c>
      <c r="U231" s="302" t="str">
        <f>IF(S231&lt;&gt;"",S231*T231,"")</f>
        <v/>
      </c>
      <c r="V231" s="302" t="str">
        <f>IF(AND(S231&lt;&gt;"",Q231="yes"),S231*T231,"")</f>
        <v/>
      </c>
      <c r="W231" s="76"/>
    </row>
    <row r="232" spans="1:23" s="191" customFormat="1" ht="30" customHeight="1" x14ac:dyDescent="0.2">
      <c r="A232" s="191" t="s">
        <v>106</v>
      </c>
      <c r="B232" s="191" t="s">
        <v>534</v>
      </c>
      <c r="C232" s="190" t="s">
        <v>535</v>
      </c>
      <c r="E232" s="192"/>
      <c r="F232" s="192"/>
      <c r="G232" s="192"/>
      <c r="H232" s="192"/>
      <c r="I232" s="192"/>
      <c r="J232" s="192"/>
      <c r="K232" s="192"/>
      <c r="L232" s="192"/>
    </row>
    <row r="233" spans="1:23" ht="15.75" customHeight="1" thickBot="1" x14ac:dyDescent="0.25">
      <c r="A233" s="89" t="s">
        <v>102</v>
      </c>
      <c r="B233" s="89"/>
      <c r="C233" s="90"/>
      <c r="D233" s="89"/>
      <c r="E233" s="112"/>
      <c r="F233" s="112"/>
      <c r="G233" s="112"/>
      <c r="H233" s="112"/>
      <c r="I233" s="112"/>
      <c r="J233" s="112"/>
      <c r="K233" s="112"/>
      <c r="L233" s="112"/>
      <c r="S233" s="301"/>
      <c r="U233" s="302" t="str">
        <f t="shared" ref="U233:U244" si="16">IF(S233&lt;&gt;"",S233*T233,"")</f>
        <v/>
      </c>
      <c r="V233" s="302" t="str">
        <f t="shared" ref="V233:V244" si="17">IF(AND(S233&lt;&gt;"",Q233="yes"),S233*T233,"")</f>
        <v/>
      </c>
    </row>
    <row r="234" spans="1:23" s="73" customFormat="1" ht="15.75" customHeight="1" thickTop="1" x14ac:dyDescent="0.2">
      <c r="A234" s="72" t="s">
        <v>48</v>
      </c>
      <c r="B234" s="72" t="s">
        <v>536</v>
      </c>
      <c r="C234" s="86" t="s">
        <v>537</v>
      </c>
      <c r="D234" s="72"/>
      <c r="E234" s="106" t="s">
        <v>40</v>
      </c>
      <c r="F234" s="106"/>
      <c r="G234" s="106"/>
      <c r="H234" s="106"/>
      <c r="I234" s="106" t="s">
        <v>538</v>
      </c>
      <c r="J234" s="106"/>
      <c r="K234" s="106"/>
      <c r="L234" s="106"/>
      <c r="Q234" s="47" t="s">
        <v>29</v>
      </c>
      <c r="S234" s="301"/>
      <c r="T234" s="74"/>
      <c r="U234" s="302" t="str">
        <f t="shared" si="16"/>
        <v/>
      </c>
      <c r="V234" s="302" t="str">
        <f t="shared" si="17"/>
        <v/>
      </c>
      <c r="W234" s="74"/>
    </row>
    <row r="235" spans="1:23" s="73" customFormat="1" x14ac:dyDescent="0.2">
      <c r="C235" s="87"/>
      <c r="E235" s="107"/>
      <c r="F235" s="107"/>
      <c r="G235" s="107"/>
      <c r="H235" s="107"/>
      <c r="I235" s="107"/>
      <c r="J235" s="107"/>
      <c r="K235" s="107"/>
      <c r="L235" s="107"/>
      <c r="Q235" s="47"/>
      <c r="S235" s="301"/>
      <c r="T235" s="317">
        <f>'Additional information'!$D$20</f>
        <v>0.05</v>
      </c>
      <c r="U235" s="302" t="str">
        <f t="shared" si="16"/>
        <v/>
      </c>
      <c r="V235" s="302" t="str">
        <f t="shared" si="17"/>
        <v/>
      </c>
      <c r="W235" s="74"/>
    </row>
    <row r="236" spans="1:23" s="73" customFormat="1" ht="30" customHeight="1" x14ac:dyDescent="0.2">
      <c r="A236" s="75" t="s">
        <v>539</v>
      </c>
      <c r="B236" s="75" t="s">
        <v>540</v>
      </c>
      <c r="C236" s="46" t="s">
        <v>541</v>
      </c>
      <c r="D236" s="75"/>
      <c r="E236" s="101" t="s">
        <v>27</v>
      </c>
      <c r="F236" s="106"/>
      <c r="G236" s="106"/>
      <c r="H236" s="106"/>
      <c r="I236" s="106"/>
      <c r="J236" s="106"/>
      <c r="K236" s="106"/>
      <c r="L236" s="106"/>
      <c r="Q236" s="47" t="s">
        <v>29</v>
      </c>
      <c r="S236" s="301">
        <v>14.38495540618896</v>
      </c>
      <c r="T236" s="317">
        <f>'Additional information'!$D$20</f>
        <v>0.05</v>
      </c>
      <c r="U236" s="302">
        <f t="shared" si="16"/>
        <v>0.71924777030944798</v>
      </c>
      <c r="V236" s="302">
        <f t="shared" si="17"/>
        <v>0.71924777030944798</v>
      </c>
      <c r="W236" s="74"/>
    </row>
    <row r="237" spans="1:23" x14ac:dyDescent="0.2">
      <c r="A237" s="75" t="s">
        <v>30</v>
      </c>
      <c r="B237" s="75" t="s">
        <v>542</v>
      </c>
      <c r="C237" s="46"/>
      <c r="D237" s="75"/>
      <c r="E237" s="101"/>
      <c r="F237" s="101"/>
      <c r="G237" s="101"/>
      <c r="H237" s="101"/>
      <c r="I237" s="101"/>
      <c r="J237" s="101"/>
      <c r="K237" s="101"/>
      <c r="L237" s="101" t="s">
        <v>543</v>
      </c>
      <c r="Q237" s="47" t="s">
        <v>29</v>
      </c>
      <c r="S237" s="301"/>
      <c r="T237" s="317">
        <f>'Additional information'!$D$20</f>
        <v>0.05</v>
      </c>
      <c r="U237" s="302" t="str">
        <f t="shared" si="16"/>
        <v/>
      </c>
      <c r="V237" s="302" t="str">
        <f t="shared" si="17"/>
        <v/>
      </c>
    </row>
    <row r="238" spans="1:23" ht="16" x14ac:dyDescent="0.2">
      <c r="A238" s="75" t="s">
        <v>24</v>
      </c>
      <c r="B238" s="75" t="s">
        <v>544</v>
      </c>
      <c r="C238" s="80" t="s">
        <v>281</v>
      </c>
      <c r="D238" s="76" t="s">
        <v>282</v>
      </c>
      <c r="E238" s="101" t="s">
        <v>27</v>
      </c>
      <c r="F238" s="101"/>
      <c r="G238" s="101"/>
      <c r="H238" s="101"/>
      <c r="I238" s="103" t="s">
        <v>545</v>
      </c>
      <c r="J238" s="101"/>
      <c r="K238" s="101"/>
      <c r="L238" s="101"/>
      <c r="Q238" s="47" t="s">
        <v>29</v>
      </c>
      <c r="S238" s="301"/>
      <c r="T238" s="317">
        <f>'Additional information'!$D$20</f>
        <v>0.05</v>
      </c>
      <c r="U238" s="302" t="str">
        <f t="shared" si="16"/>
        <v/>
      </c>
      <c r="V238" s="302" t="str">
        <f t="shared" si="17"/>
        <v/>
      </c>
    </row>
    <row r="239" spans="1:23" x14ac:dyDescent="0.2">
      <c r="I239" s="113"/>
      <c r="S239" s="301"/>
      <c r="T239" s="317">
        <f>'Additional information'!$D$20</f>
        <v>0.05</v>
      </c>
      <c r="U239" s="302" t="str">
        <f t="shared" si="16"/>
        <v/>
      </c>
      <c r="V239" s="302" t="str">
        <f t="shared" si="17"/>
        <v/>
      </c>
    </row>
    <row r="240" spans="1:23" ht="30" customHeight="1" x14ac:dyDescent="0.2">
      <c r="A240" s="75" t="s">
        <v>106</v>
      </c>
      <c r="B240" s="75" t="s">
        <v>546</v>
      </c>
      <c r="C240" s="46" t="s">
        <v>547</v>
      </c>
      <c r="D240" s="75"/>
      <c r="E240" s="101" t="s">
        <v>27</v>
      </c>
      <c r="F240" s="101"/>
      <c r="G240" s="101"/>
      <c r="H240" s="101"/>
      <c r="I240" s="101"/>
      <c r="J240" s="101"/>
      <c r="K240" s="101"/>
      <c r="L240" s="101"/>
      <c r="Q240" s="47" t="s">
        <v>29</v>
      </c>
      <c r="S240" s="301">
        <v>9.4380531311035156</v>
      </c>
      <c r="T240" s="317">
        <f>'Additional information'!$D$20</f>
        <v>0.05</v>
      </c>
      <c r="U240" s="302">
        <f t="shared" si="16"/>
        <v>0.47190265655517583</v>
      </c>
      <c r="V240" s="302">
        <f t="shared" si="17"/>
        <v>0.47190265655517583</v>
      </c>
    </row>
    <row r="241" spans="1:23" s="229" customFormat="1" ht="30" customHeight="1" x14ac:dyDescent="0.2">
      <c r="A241" s="226" t="s">
        <v>548</v>
      </c>
      <c r="B241" s="226" t="s">
        <v>549</v>
      </c>
      <c r="C241" s="227" t="s">
        <v>550</v>
      </c>
      <c r="D241" s="226" t="s">
        <v>287</v>
      </c>
      <c r="E241" s="228" t="s">
        <v>27</v>
      </c>
      <c r="F241" s="228"/>
      <c r="G241" s="233" t="s">
        <v>382</v>
      </c>
      <c r="H241" s="228"/>
      <c r="I241" s="233" t="s">
        <v>551</v>
      </c>
      <c r="J241" s="228"/>
      <c r="K241" s="228"/>
      <c r="L241" s="228"/>
      <c r="Q241" s="229" t="s">
        <v>29</v>
      </c>
      <c r="S241" s="320">
        <v>27.76699066162109</v>
      </c>
      <c r="T241" s="321">
        <f>'Additional information'!$D$20</f>
        <v>0.05</v>
      </c>
      <c r="U241" s="322">
        <f t="shared" si="16"/>
        <v>1.3883495330810547</v>
      </c>
      <c r="V241" s="322">
        <f t="shared" si="17"/>
        <v>1.3883495330810547</v>
      </c>
      <c r="W241" s="230"/>
    </row>
    <row r="242" spans="1:23" ht="16" x14ac:dyDescent="0.2">
      <c r="A242" s="75" t="s">
        <v>24</v>
      </c>
      <c r="B242" s="75" t="s">
        <v>552</v>
      </c>
      <c r="C242" s="80" t="s">
        <v>281</v>
      </c>
      <c r="D242" s="76" t="s">
        <v>282</v>
      </c>
      <c r="E242" s="101" t="s">
        <v>27</v>
      </c>
      <c r="F242" s="101"/>
      <c r="G242" s="101"/>
      <c r="H242" s="101"/>
      <c r="I242" s="103" t="s">
        <v>553</v>
      </c>
      <c r="J242" s="101"/>
      <c r="K242" s="101"/>
      <c r="L242" s="101"/>
      <c r="Q242" s="47" t="s">
        <v>29</v>
      </c>
      <c r="S242" s="301"/>
      <c r="T242" s="317">
        <f>'Additional information'!$D$20</f>
        <v>0.05</v>
      </c>
      <c r="U242" s="302" t="str">
        <f t="shared" si="16"/>
        <v/>
      </c>
      <c r="V242" s="302" t="str">
        <f t="shared" si="17"/>
        <v/>
      </c>
    </row>
    <row r="243" spans="1:23" s="191" customFormat="1" ht="16" x14ac:dyDescent="0.2">
      <c r="A243" s="209" t="s">
        <v>106</v>
      </c>
      <c r="B243" s="191" t="s">
        <v>554</v>
      </c>
      <c r="C243" s="300" t="s">
        <v>555</v>
      </c>
      <c r="E243" s="192"/>
      <c r="F243" s="192"/>
      <c r="G243" s="192"/>
      <c r="H243" s="192"/>
      <c r="I243" s="197"/>
      <c r="J243" s="192"/>
      <c r="K243" s="192"/>
      <c r="L243" s="192"/>
      <c r="S243" s="307"/>
      <c r="T243" s="323">
        <f>'Additional information'!$D$20</f>
        <v>0.05</v>
      </c>
      <c r="U243" s="308" t="str">
        <f t="shared" si="16"/>
        <v/>
      </c>
      <c r="V243" s="308" t="str">
        <f t="shared" si="17"/>
        <v/>
      </c>
      <c r="W243" s="193"/>
    </row>
    <row r="244" spans="1:23" ht="45" customHeight="1" x14ac:dyDescent="0.2">
      <c r="A244" s="75" t="s">
        <v>182</v>
      </c>
      <c r="B244" s="75" t="s">
        <v>556</v>
      </c>
      <c r="C244" s="80" t="s">
        <v>557</v>
      </c>
      <c r="D244" s="75" t="s">
        <v>388</v>
      </c>
      <c r="E244" s="101" t="s">
        <v>27</v>
      </c>
      <c r="F244" s="101"/>
      <c r="G244" s="101"/>
      <c r="H244" s="101"/>
      <c r="I244" s="103"/>
      <c r="J244" s="101"/>
      <c r="K244" s="101"/>
      <c r="L244" s="101"/>
      <c r="Q244" s="47" t="s">
        <v>29</v>
      </c>
      <c r="S244" s="301">
        <v>13.705752372741699</v>
      </c>
      <c r="T244" s="317">
        <f>'Additional information'!$D$20</f>
        <v>0.05</v>
      </c>
      <c r="U244" s="302">
        <f t="shared" si="16"/>
        <v>0.68528761863708498</v>
      </c>
      <c r="V244" s="302">
        <f t="shared" si="17"/>
        <v>0.68528761863708498</v>
      </c>
    </row>
    <row r="245" spans="1:23" s="77" customFormat="1" ht="45" customHeight="1" x14ac:dyDescent="0.2">
      <c r="A245" s="77" t="s">
        <v>102</v>
      </c>
    </row>
    <row r="246" spans="1:23" ht="16" x14ac:dyDescent="0.2">
      <c r="A246" s="214" t="s">
        <v>48</v>
      </c>
      <c r="B246" s="73" t="s">
        <v>558</v>
      </c>
      <c r="C246" s="215" t="s">
        <v>559</v>
      </c>
      <c r="G246" s="216"/>
      <c r="I246" s="106" t="s">
        <v>560</v>
      </c>
      <c r="Q246" s="76"/>
      <c r="S246" s="47"/>
      <c r="T246" s="47"/>
      <c r="U246" s="47"/>
      <c r="V246" s="47"/>
      <c r="W246" s="47"/>
    </row>
    <row r="247" spans="1:23" s="276" customFormat="1" ht="30" customHeight="1" x14ac:dyDescent="0.2">
      <c r="A247" s="276" t="s">
        <v>168</v>
      </c>
      <c r="B247" s="276" t="s">
        <v>561</v>
      </c>
      <c r="C247" s="290" t="s">
        <v>562</v>
      </c>
      <c r="E247" s="286"/>
      <c r="F247" s="286"/>
      <c r="G247" s="286"/>
      <c r="H247" s="286"/>
      <c r="I247" s="291" t="s">
        <v>563</v>
      </c>
      <c r="J247" s="286"/>
      <c r="K247" s="286"/>
      <c r="L247" s="286"/>
      <c r="Q247" s="280"/>
    </row>
    <row r="248" spans="1:23" s="276" customFormat="1" ht="45" customHeight="1" x14ac:dyDescent="0.2">
      <c r="A248" s="276" t="s">
        <v>168</v>
      </c>
      <c r="B248" s="276" t="s">
        <v>561</v>
      </c>
      <c r="C248" s="290" t="s">
        <v>564</v>
      </c>
      <c r="E248" s="286"/>
      <c r="F248" s="286"/>
      <c r="G248" s="286"/>
      <c r="H248" s="286"/>
      <c r="I248" s="291" t="s">
        <v>563</v>
      </c>
      <c r="J248" s="286"/>
      <c r="K248" s="286"/>
      <c r="L248" s="286"/>
      <c r="Q248" s="280"/>
    </row>
    <row r="249" spans="1:23" s="276" customFormat="1" ht="30" customHeight="1" x14ac:dyDescent="0.2">
      <c r="A249" s="276" t="s">
        <v>168</v>
      </c>
      <c r="B249" s="276" t="s">
        <v>565</v>
      </c>
      <c r="C249" s="290" t="s">
        <v>566</v>
      </c>
      <c r="E249" s="286"/>
      <c r="F249" s="286"/>
      <c r="G249" s="286"/>
      <c r="H249" s="286"/>
      <c r="I249" s="291" t="s">
        <v>563</v>
      </c>
      <c r="J249" s="286"/>
      <c r="K249" s="286"/>
      <c r="L249" s="286"/>
      <c r="Q249" s="280"/>
    </row>
    <row r="250" spans="1:23" s="276" customFormat="1" ht="27" customHeight="1" x14ac:dyDescent="0.2">
      <c r="A250" s="276" t="s">
        <v>168</v>
      </c>
      <c r="B250" s="276" t="s">
        <v>567</v>
      </c>
      <c r="C250" s="290" t="s">
        <v>568</v>
      </c>
      <c r="E250" s="286"/>
      <c r="F250" s="286"/>
      <c r="G250" s="286"/>
      <c r="H250" s="286"/>
      <c r="I250" s="291" t="s">
        <v>563</v>
      </c>
      <c r="J250" s="286"/>
      <c r="K250" s="286"/>
      <c r="L250" s="286"/>
      <c r="Q250" s="280"/>
    </row>
    <row r="251" spans="1:23" s="276" customFormat="1" ht="30" customHeight="1" x14ac:dyDescent="0.15">
      <c r="A251" s="276" t="s">
        <v>569</v>
      </c>
      <c r="B251" s="276" t="s">
        <v>570</v>
      </c>
      <c r="C251" s="290" t="s">
        <v>571</v>
      </c>
      <c r="D251" s="292" t="s">
        <v>572</v>
      </c>
      <c r="E251" s="286"/>
      <c r="F251" s="286"/>
      <c r="G251" s="286"/>
      <c r="H251" s="286"/>
      <c r="I251" s="291" t="s">
        <v>563</v>
      </c>
      <c r="J251" s="286"/>
      <c r="K251" s="286"/>
      <c r="L251" s="286"/>
      <c r="Q251" s="280"/>
    </row>
    <row r="252" spans="1:23" s="276" customFormat="1" ht="30" customHeight="1" x14ac:dyDescent="0.2">
      <c r="A252" s="274" t="s">
        <v>24</v>
      </c>
      <c r="B252" s="274" t="s">
        <v>573</v>
      </c>
      <c r="C252" s="275" t="s">
        <v>270</v>
      </c>
      <c r="E252" s="277"/>
      <c r="F252" s="277"/>
      <c r="G252" s="277"/>
      <c r="H252" s="277"/>
      <c r="I252" s="282" t="s">
        <v>574</v>
      </c>
      <c r="J252" s="277"/>
      <c r="K252" s="277"/>
      <c r="L252" s="277"/>
      <c r="S252" s="305"/>
      <c r="T252" s="279"/>
      <c r="U252" s="306"/>
      <c r="V252" s="306"/>
      <c r="W252" s="280"/>
    </row>
    <row r="253" spans="1:23" s="276" customFormat="1" ht="30" customHeight="1" x14ac:dyDescent="0.2">
      <c r="A253" s="276" t="s">
        <v>42</v>
      </c>
      <c r="B253" s="276" t="s">
        <v>575</v>
      </c>
      <c r="C253" s="290" t="s">
        <v>576</v>
      </c>
      <c r="E253" s="286"/>
      <c r="F253" s="286"/>
      <c r="G253" s="286"/>
      <c r="H253" s="286"/>
      <c r="I253" s="291" t="s">
        <v>563</v>
      </c>
      <c r="J253" s="286"/>
      <c r="K253" s="286"/>
      <c r="L253" s="286"/>
      <c r="Q253" s="280"/>
    </row>
    <row r="254" spans="1:23" s="276" customFormat="1" ht="30" customHeight="1" x14ac:dyDescent="0.2">
      <c r="A254" s="276" t="s">
        <v>42</v>
      </c>
      <c r="B254" s="276" t="s">
        <v>577</v>
      </c>
      <c r="C254" s="290" t="s">
        <v>578</v>
      </c>
      <c r="E254" s="286"/>
      <c r="F254" s="286"/>
      <c r="G254" s="286"/>
      <c r="H254" s="286"/>
      <c r="I254" s="285"/>
      <c r="J254" s="286"/>
      <c r="K254" s="286"/>
      <c r="L254" s="286"/>
      <c r="Q254" s="280"/>
    </row>
    <row r="255" spans="1:23" s="276" customFormat="1" ht="30" customHeight="1" x14ac:dyDescent="0.2">
      <c r="A255" s="276" t="s">
        <v>579</v>
      </c>
      <c r="B255" s="276" t="s">
        <v>580</v>
      </c>
      <c r="C255" s="290" t="s">
        <v>581</v>
      </c>
      <c r="E255" s="286"/>
      <c r="F255" s="286"/>
      <c r="G255" s="286"/>
      <c r="H255" s="286"/>
      <c r="I255" s="291" t="s">
        <v>563</v>
      </c>
      <c r="J255" s="286"/>
      <c r="K255" s="286"/>
      <c r="L255" s="286"/>
      <c r="Q255" s="280"/>
    </row>
    <row r="256" spans="1:23" s="276" customFormat="1" ht="45" customHeight="1" x14ac:dyDescent="0.15">
      <c r="A256" s="276" t="s">
        <v>582</v>
      </c>
      <c r="B256" s="276" t="s">
        <v>583</v>
      </c>
      <c r="C256" s="290" t="s">
        <v>584</v>
      </c>
      <c r="D256" s="292" t="s">
        <v>572</v>
      </c>
      <c r="E256" s="286"/>
      <c r="F256" s="286"/>
      <c r="G256" s="286"/>
      <c r="H256" s="286"/>
      <c r="I256" s="291" t="s">
        <v>585</v>
      </c>
      <c r="J256" s="286"/>
      <c r="K256" s="286"/>
      <c r="L256" s="286"/>
      <c r="Q256" s="280"/>
    </row>
    <row r="257" spans="1:23" ht="16" x14ac:dyDescent="0.15">
      <c r="A257" s="47" t="s">
        <v>24</v>
      </c>
      <c r="B257" s="47" t="s">
        <v>586</v>
      </c>
      <c r="C257" s="249" t="s">
        <v>587</v>
      </c>
      <c r="D257" s="217"/>
      <c r="G257" s="216"/>
      <c r="I257" s="106" t="s">
        <v>588</v>
      </c>
      <c r="Q257" s="76"/>
      <c r="S257" s="47"/>
      <c r="T257" s="47"/>
      <c r="U257" s="47"/>
      <c r="V257" s="47"/>
      <c r="W257" s="47"/>
    </row>
    <row r="258" spans="1:23" ht="30" customHeight="1" x14ac:dyDescent="0.15">
      <c r="A258" s="47" t="s">
        <v>589</v>
      </c>
      <c r="B258" s="47" t="s">
        <v>590</v>
      </c>
      <c r="C258" s="249" t="s">
        <v>591</v>
      </c>
      <c r="D258" s="217" t="s">
        <v>572</v>
      </c>
      <c r="G258" s="216"/>
      <c r="I258" s="113"/>
      <c r="Q258" s="76"/>
      <c r="S258" s="47"/>
      <c r="T258" s="47"/>
      <c r="U258" s="47"/>
      <c r="V258" s="47"/>
      <c r="W258" s="47"/>
    </row>
    <row r="259" spans="1:23" ht="16" x14ac:dyDescent="0.15">
      <c r="A259" s="47" t="s">
        <v>24</v>
      </c>
      <c r="B259" s="47" t="s">
        <v>592</v>
      </c>
      <c r="C259" s="249" t="s">
        <v>587</v>
      </c>
      <c r="D259" s="217"/>
      <c r="G259" s="216"/>
      <c r="I259" s="106" t="s">
        <v>593</v>
      </c>
      <c r="Q259" s="76"/>
      <c r="S259" s="47"/>
      <c r="T259" s="47"/>
      <c r="U259" s="47"/>
      <c r="V259" s="47"/>
      <c r="W259" s="47"/>
    </row>
    <row r="260" spans="1:23" ht="27" customHeight="1" x14ac:dyDescent="0.15">
      <c r="A260" s="47" t="s">
        <v>58</v>
      </c>
      <c r="B260" s="47" t="s">
        <v>594</v>
      </c>
      <c r="C260" s="249" t="s">
        <v>595</v>
      </c>
      <c r="D260" s="217"/>
      <c r="G260" s="216"/>
      <c r="I260" s="106" t="s">
        <v>596</v>
      </c>
      <c r="Q260" s="76"/>
      <c r="S260" s="47"/>
      <c r="T260" s="47"/>
      <c r="U260" s="47"/>
      <c r="V260" s="47"/>
      <c r="W260" s="47"/>
    </row>
    <row r="261" spans="1:23" ht="30" customHeight="1" x14ac:dyDescent="0.15">
      <c r="A261" s="47" t="s">
        <v>42</v>
      </c>
      <c r="B261" s="47" t="s">
        <v>597</v>
      </c>
      <c r="C261" s="49" t="s">
        <v>598</v>
      </c>
      <c r="D261" s="217"/>
      <c r="G261" s="216"/>
      <c r="I261" s="106" t="s">
        <v>596</v>
      </c>
      <c r="Q261" s="76"/>
      <c r="S261" s="47"/>
      <c r="T261" s="47"/>
      <c r="U261" s="47"/>
      <c r="V261" s="47"/>
      <c r="W261" s="47"/>
    </row>
    <row r="262" spans="1:23" ht="30" customHeight="1" x14ac:dyDescent="0.15">
      <c r="A262" s="47" t="s">
        <v>58</v>
      </c>
      <c r="B262" s="47" t="s">
        <v>599</v>
      </c>
      <c r="C262" s="249" t="s">
        <v>600</v>
      </c>
      <c r="D262" s="217"/>
      <c r="G262" s="101" t="s">
        <v>403</v>
      </c>
      <c r="I262" s="106" t="s">
        <v>601</v>
      </c>
      <c r="Q262" s="76"/>
      <c r="S262" s="47"/>
      <c r="T262" s="47"/>
      <c r="U262" s="47"/>
      <c r="V262" s="47"/>
      <c r="W262" s="47"/>
    </row>
    <row r="263" spans="1:23" ht="30" customHeight="1" x14ac:dyDescent="0.15">
      <c r="A263" s="47" t="s">
        <v>58</v>
      </c>
      <c r="B263" s="47" t="s">
        <v>602</v>
      </c>
      <c r="C263" s="249" t="s">
        <v>603</v>
      </c>
      <c r="D263" s="217"/>
      <c r="G263" s="101" t="s">
        <v>604</v>
      </c>
      <c r="I263" s="106" t="s">
        <v>601</v>
      </c>
      <c r="Q263" s="76"/>
      <c r="S263" s="47"/>
      <c r="T263" s="47"/>
      <c r="U263" s="47"/>
      <c r="V263" s="47"/>
      <c r="W263" s="47"/>
    </row>
    <row r="264" spans="1:23" ht="30" customHeight="1" x14ac:dyDescent="0.15">
      <c r="A264" s="47" t="s">
        <v>58</v>
      </c>
      <c r="B264" s="47" t="s">
        <v>605</v>
      </c>
      <c r="C264" s="249" t="s">
        <v>606</v>
      </c>
      <c r="D264" s="217"/>
      <c r="G264" s="101" t="s">
        <v>607</v>
      </c>
      <c r="I264" s="106" t="s">
        <v>601</v>
      </c>
      <c r="Q264" s="76"/>
      <c r="S264" s="47"/>
      <c r="T264" s="47"/>
      <c r="U264" s="47"/>
      <c r="V264" s="47"/>
      <c r="W264" s="47"/>
    </row>
    <row r="265" spans="1:23" ht="30" customHeight="1" x14ac:dyDescent="0.15">
      <c r="A265" s="47" t="s">
        <v>42</v>
      </c>
      <c r="B265" s="47" t="s">
        <v>608</v>
      </c>
      <c r="C265" s="249" t="s">
        <v>609</v>
      </c>
      <c r="D265" s="217"/>
      <c r="G265" s="216"/>
      <c r="I265" s="106" t="s">
        <v>596</v>
      </c>
      <c r="Q265" s="76"/>
      <c r="S265" s="47"/>
      <c r="T265" s="47"/>
      <c r="U265" s="47"/>
      <c r="V265" s="47"/>
      <c r="W265" s="47"/>
    </row>
    <row r="266" spans="1:23" ht="30" customHeight="1" x14ac:dyDescent="0.15">
      <c r="A266" s="47" t="s">
        <v>58</v>
      </c>
      <c r="B266" s="47" t="s">
        <v>610</v>
      </c>
      <c r="C266" s="49" t="s">
        <v>611</v>
      </c>
      <c r="D266" s="217"/>
      <c r="G266" s="216"/>
      <c r="I266" s="106" t="s">
        <v>596</v>
      </c>
      <c r="Q266" s="76"/>
      <c r="S266" s="47"/>
      <c r="T266" s="47"/>
      <c r="U266" s="47"/>
      <c r="V266" s="47"/>
      <c r="W266" s="47"/>
    </row>
    <row r="267" spans="1:23" ht="30" customHeight="1" x14ac:dyDescent="0.15">
      <c r="A267" s="47" t="s">
        <v>58</v>
      </c>
      <c r="B267" s="47" t="s">
        <v>612</v>
      </c>
      <c r="C267" s="49" t="s">
        <v>613</v>
      </c>
      <c r="D267" s="217"/>
      <c r="G267" s="216"/>
      <c r="I267" s="106" t="s">
        <v>596</v>
      </c>
      <c r="Q267" s="76"/>
      <c r="S267" s="47"/>
      <c r="T267" s="47"/>
      <c r="U267" s="47"/>
      <c r="V267" s="47"/>
      <c r="W267" s="47"/>
    </row>
    <row r="268" spans="1:23" ht="30" customHeight="1" x14ac:dyDescent="0.15">
      <c r="A268" s="47" t="s">
        <v>614</v>
      </c>
      <c r="B268" s="47" t="s">
        <v>615</v>
      </c>
      <c r="C268" s="49" t="s">
        <v>616</v>
      </c>
      <c r="D268" s="217"/>
      <c r="G268" s="216"/>
      <c r="I268" s="106" t="s">
        <v>596</v>
      </c>
      <c r="Q268" s="76"/>
      <c r="S268" s="47"/>
      <c r="T268" s="47"/>
      <c r="U268" s="47"/>
      <c r="V268" s="47"/>
      <c r="W268" s="47"/>
    </row>
    <row r="269" spans="1:23" ht="16" x14ac:dyDescent="0.15">
      <c r="A269" s="47" t="s">
        <v>42</v>
      </c>
      <c r="B269" s="47" t="s">
        <v>617</v>
      </c>
      <c r="C269" s="49" t="s">
        <v>618</v>
      </c>
      <c r="D269" s="217"/>
      <c r="G269" s="216"/>
      <c r="I269" s="106" t="s">
        <v>596</v>
      </c>
      <c r="Q269" s="76"/>
      <c r="S269" s="47"/>
      <c r="T269" s="47"/>
      <c r="U269" s="47"/>
      <c r="V269" s="47"/>
      <c r="W269" s="47"/>
    </row>
    <row r="270" spans="1:23" x14ac:dyDescent="0.15">
      <c r="A270" s="47" t="s">
        <v>102</v>
      </c>
      <c r="C270" s="49"/>
      <c r="D270" s="217"/>
      <c r="G270" s="216"/>
      <c r="I270" s="113"/>
      <c r="Q270" s="76"/>
      <c r="S270" s="47"/>
      <c r="T270" s="47"/>
      <c r="U270" s="47"/>
      <c r="V270" s="47"/>
      <c r="W270" s="47"/>
    </row>
    <row r="271" spans="1:23" x14ac:dyDescent="0.2">
      <c r="C271" s="49"/>
      <c r="I271" s="113"/>
      <c r="S271" s="301"/>
      <c r="T271" s="317">
        <f>'Additional information'!$D$20</f>
        <v>0.05</v>
      </c>
      <c r="U271" s="302" t="str">
        <f>IF(S271&lt;&gt;"",S271*T271,"")</f>
        <v/>
      </c>
      <c r="V271" s="302" t="str">
        <f>IF(AND(S271&lt;&gt;"",Q271="yes"),S271*T271,"")</f>
        <v/>
      </c>
    </row>
    <row r="272" spans="1:23" s="250" customFormat="1" ht="15" customHeight="1" x14ac:dyDescent="0.2">
      <c r="A272" s="250" t="s">
        <v>48</v>
      </c>
      <c r="B272" s="250" t="s">
        <v>619</v>
      </c>
      <c r="C272" s="251" t="s">
        <v>620</v>
      </c>
      <c r="E272" s="252" t="s">
        <v>27</v>
      </c>
      <c r="I272" s="250" t="s">
        <v>51</v>
      </c>
    </row>
    <row r="273" spans="1:23" s="253" customFormat="1" ht="30" customHeight="1" x14ac:dyDescent="0.2">
      <c r="A273" s="253" t="s">
        <v>58</v>
      </c>
      <c r="B273" s="253" t="s">
        <v>621</v>
      </c>
      <c r="C273" s="254" t="s">
        <v>622</v>
      </c>
      <c r="D273" s="253" t="s">
        <v>623</v>
      </c>
      <c r="E273" s="253" t="s">
        <v>27</v>
      </c>
      <c r="G273" s="253" t="s">
        <v>624</v>
      </c>
    </row>
    <row r="274" spans="1:23" s="253" customFormat="1" ht="30" customHeight="1" x14ac:dyDescent="0.2">
      <c r="A274" s="253" t="s">
        <v>58</v>
      </c>
      <c r="B274" s="253" t="s">
        <v>625</v>
      </c>
      <c r="C274" s="254" t="s">
        <v>626</v>
      </c>
      <c r="D274" s="254" t="s">
        <v>627</v>
      </c>
      <c r="E274" s="253" t="s">
        <v>27</v>
      </c>
      <c r="G274" s="253" t="s">
        <v>628</v>
      </c>
    </row>
    <row r="275" spans="1:23" s="253" customFormat="1" ht="16" x14ac:dyDescent="0.2">
      <c r="A275" s="253" t="s">
        <v>106</v>
      </c>
      <c r="B275" s="253" t="s">
        <v>629</v>
      </c>
      <c r="C275" s="254" t="s">
        <v>630</v>
      </c>
      <c r="E275" s="253" t="s">
        <v>27</v>
      </c>
    </row>
    <row r="276" spans="1:23" s="253" customFormat="1" ht="30" customHeight="1" x14ac:dyDescent="0.2">
      <c r="A276" s="253" t="s">
        <v>631</v>
      </c>
      <c r="B276" s="253" t="s">
        <v>632</v>
      </c>
      <c r="C276" s="254" t="s">
        <v>633</v>
      </c>
      <c r="E276" s="253" t="b">
        <v>0</v>
      </c>
      <c r="I276" s="250" t="s">
        <v>634</v>
      </c>
    </row>
    <row r="277" spans="1:23" s="253" customFormat="1" ht="30" customHeight="1" x14ac:dyDescent="0.2">
      <c r="A277" s="253" t="s">
        <v>24</v>
      </c>
      <c r="B277" s="253" t="s">
        <v>635</v>
      </c>
      <c r="C277" s="254" t="s">
        <v>636</v>
      </c>
      <c r="I277" s="250" t="s">
        <v>637</v>
      </c>
    </row>
    <row r="278" spans="1:23" s="253" customFormat="1" ht="16" x14ac:dyDescent="0.2">
      <c r="A278" s="253" t="s">
        <v>58</v>
      </c>
      <c r="B278" s="253" t="s">
        <v>638</v>
      </c>
      <c r="C278" s="254" t="s">
        <v>639</v>
      </c>
      <c r="D278" s="253" t="s">
        <v>640</v>
      </c>
      <c r="E278" s="253" t="b">
        <v>0</v>
      </c>
      <c r="G278" s="253" t="s">
        <v>641</v>
      </c>
    </row>
    <row r="279" spans="1:23" s="253" customFormat="1" ht="15.75" customHeight="1" x14ac:dyDescent="0.2">
      <c r="A279" s="253" t="s">
        <v>102</v>
      </c>
      <c r="C279" s="254"/>
    </row>
    <row r="280" spans="1:23" x14ac:dyDescent="0.2">
      <c r="C280" s="49"/>
      <c r="I280" s="113"/>
      <c r="S280" s="301"/>
      <c r="T280" s="317"/>
      <c r="U280" s="302"/>
      <c r="V280" s="302"/>
    </row>
    <row r="281" spans="1:23" x14ac:dyDescent="0.2">
      <c r="C281" s="49"/>
      <c r="I281" s="113"/>
      <c r="S281" s="301"/>
      <c r="T281" s="317"/>
      <c r="U281" s="302"/>
      <c r="V281" s="302"/>
    </row>
    <row r="282" spans="1:23" s="73" customFormat="1" ht="15.75" customHeight="1" x14ac:dyDescent="0.2">
      <c r="A282" s="72" t="s">
        <v>48</v>
      </c>
      <c r="B282" s="72" t="s">
        <v>642</v>
      </c>
      <c r="C282" s="86" t="s">
        <v>643</v>
      </c>
      <c r="D282" s="72"/>
      <c r="E282" s="106" t="s">
        <v>40</v>
      </c>
      <c r="F282" s="106"/>
      <c r="G282" s="106"/>
      <c r="H282" s="106"/>
      <c r="I282" s="106" t="s">
        <v>105</v>
      </c>
      <c r="J282" s="106"/>
      <c r="K282" s="106"/>
      <c r="L282" s="106"/>
      <c r="Q282" s="47" t="s">
        <v>29</v>
      </c>
      <c r="S282" s="301"/>
      <c r="T282" s="74"/>
      <c r="U282" s="302" t="str">
        <f t="shared" ref="U282:U303" si="18">IF(S282&lt;&gt;"",S282*T282,"")</f>
        <v/>
      </c>
      <c r="V282" s="302" t="str">
        <f t="shared" ref="V282:V303" si="19">IF(AND(S282&lt;&gt;"",Q282="yes"),S282*T282,"")</f>
        <v/>
      </c>
      <c r="W282" s="74"/>
    </row>
    <row r="283" spans="1:23" x14ac:dyDescent="0.2">
      <c r="C283" s="49"/>
      <c r="I283" s="113"/>
      <c r="S283" s="301"/>
      <c r="T283" s="317">
        <v>1</v>
      </c>
      <c r="U283" s="302" t="str">
        <f t="shared" si="18"/>
        <v/>
      </c>
      <c r="V283" s="302" t="str">
        <f t="shared" si="19"/>
        <v/>
      </c>
    </row>
    <row r="284" spans="1:23" s="73" customFormat="1" ht="45" customHeight="1" x14ac:dyDescent="0.2">
      <c r="A284" s="75" t="s">
        <v>36</v>
      </c>
      <c r="B284" s="75" t="s">
        <v>644</v>
      </c>
      <c r="C284" s="46" t="s">
        <v>645</v>
      </c>
      <c r="E284" s="106"/>
      <c r="F284" s="106"/>
      <c r="G284" s="106"/>
      <c r="H284" s="106"/>
      <c r="I284" s="106"/>
      <c r="J284" s="106"/>
      <c r="K284" s="106"/>
      <c r="L284" s="106"/>
      <c r="Q284" s="47" t="s">
        <v>41</v>
      </c>
      <c r="S284" s="301"/>
      <c r="T284" s="96">
        <v>1</v>
      </c>
      <c r="U284" s="302" t="str">
        <f t="shared" si="18"/>
        <v/>
      </c>
      <c r="V284" s="302" t="str">
        <f t="shared" si="19"/>
        <v/>
      </c>
      <c r="W284" s="74"/>
    </row>
    <row r="285" spans="1:23" x14ac:dyDescent="0.2">
      <c r="C285" s="49"/>
      <c r="I285" s="113"/>
      <c r="S285" s="301"/>
      <c r="T285" s="317">
        <v>1</v>
      </c>
      <c r="U285" s="302" t="str">
        <f t="shared" si="18"/>
        <v/>
      </c>
      <c r="V285" s="302" t="str">
        <f t="shared" si="19"/>
        <v/>
      </c>
    </row>
    <row r="286" spans="1:23" s="73" customFormat="1" ht="16" x14ac:dyDescent="0.2">
      <c r="A286" s="75" t="s">
        <v>48</v>
      </c>
      <c r="B286" s="75" t="s">
        <v>646</v>
      </c>
      <c r="C286" s="86" t="s">
        <v>647</v>
      </c>
      <c r="D286" s="72"/>
      <c r="E286" s="106"/>
      <c r="F286" s="106"/>
      <c r="G286" s="106"/>
      <c r="H286" s="106"/>
      <c r="I286" s="106"/>
      <c r="J286" s="106"/>
      <c r="K286" s="106"/>
      <c r="L286" s="106"/>
      <c r="Q286" s="47"/>
      <c r="S286" s="301"/>
      <c r="T286" s="96">
        <v>1</v>
      </c>
      <c r="U286" s="302" t="str">
        <f t="shared" si="18"/>
        <v/>
      </c>
      <c r="V286" s="302" t="str">
        <f t="shared" si="19"/>
        <v/>
      </c>
      <c r="W286" s="74"/>
    </row>
    <row r="287" spans="1:23" ht="30" customHeight="1" x14ac:dyDescent="0.2">
      <c r="A287" s="75" t="s">
        <v>36</v>
      </c>
      <c r="B287" s="75" t="s">
        <v>648</v>
      </c>
      <c r="C287" s="46" t="s">
        <v>649</v>
      </c>
      <c r="D287" s="75"/>
      <c r="E287" s="101" t="s">
        <v>40</v>
      </c>
      <c r="F287" s="101"/>
      <c r="G287" s="101"/>
      <c r="H287" s="101"/>
      <c r="I287" s="101"/>
      <c r="J287" s="101"/>
      <c r="K287" s="101"/>
      <c r="L287" s="101"/>
      <c r="Q287" s="47" t="s">
        <v>29</v>
      </c>
      <c r="S287" s="301">
        <v>12.77690315246582</v>
      </c>
      <c r="T287" s="96">
        <v>1</v>
      </c>
      <c r="U287" s="302">
        <f t="shared" si="18"/>
        <v>12.77690315246582</v>
      </c>
      <c r="V287" s="302">
        <f t="shared" si="19"/>
        <v>12.77690315246582</v>
      </c>
    </row>
    <row r="288" spans="1:23" ht="45" customHeight="1" x14ac:dyDescent="0.2">
      <c r="A288" s="75" t="s">
        <v>106</v>
      </c>
      <c r="B288" s="75" t="s">
        <v>650</v>
      </c>
      <c r="C288" s="46" t="s">
        <v>651</v>
      </c>
      <c r="D288" s="75"/>
      <c r="E288" s="101" t="s">
        <v>27</v>
      </c>
      <c r="F288" s="101"/>
      <c r="G288" s="101"/>
      <c r="H288" s="101"/>
      <c r="I288" s="101"/>
      <c r="J288" s="101"/>
      <c r="K288" s="101"/>
      <c r="L288" s="101"/>
      <c r="Q288" s="47" t="s">
        <v>29</v>
      </c>
      <c r="S288" s="301">
        <v>21.398605346679691</v>
      </c>
      <c r="T288" s="96">
        <v>1</v>
      </c>
      <c r="U288" s="302">
        <f t="shared" si="18"/>
        <v>21.398605346679691</v>
      </c>
      <c r="V288" s="302">
        <f t="shared" si="19"/>
        <v>21.398605346679691</v>
      </c>
    </row>
    <row r="289" spans="1:22" ht="45" customHeight="1" x14ac:dyDescent="0.2">
      <c r="A289" s="75" t="s">
        <v>106</v>
      </c>
      <c r="B289" s="75" t="s">
        <v>652</v>
      </c>
      <c r="C289" s="46" t="s">
        <v>653</v>
      </c>
      <c r="D289" s="75"/>
      <c r="E289" s="101" t="s">
        <v>27</v>
      </c>
      <c r="F289" s="101"/>
      <c r="G289" s="101"/>
      <c r="H289" s="101"/>
      <c r="I289" s="101"/>
      <c r="J289" s="101"/>
      <c r="K289" s="101"/>
      <c r="L289" s="101"/>
      <c r="Q289" s="47" t="s">
        <v>29</v>
      </c>
      <c r="S289" s="301">
        <v>14.980740547180179</v>
      </c>
      <c r="T289" s="96">
        <v>1</v>
      </c>
      <c r="U289" s="302">
        <f t="shared" si="18"/>
        <v>14.980740547180179</v>
      </c>
      <c r="V289" s="302">
        <f t="shared" si="19"/>
        <v>14.980740547180179</v>
      </c>
    </row>
    <row r="290" spans="1:22" ht="45" customHeight="1" x14ac:dyDescent="0.2">
      <c r="A290" s="75" t="s">
        <v>106</v>
      </c>
      <c r="B290" s="75" t="s">
        <v>654</v>
      </c>
      <c r="C290" s="46" t="s">
        <v>655</v>
      </c>
      <c r="D290" s="75"/>
      <c r="E290" s="101" t="s">
        <v>27</v>
      </c>
      <c r="F290" s="101"/>
      <c r="G290" s="101"/>
      <c r="H290" s="101"/>
      <c r="I290" s="101"/>
      <c r="J290" s="101"/>
      <c r="K290" s="101"/>
      <c r="L290" s="101"/>
      <c r="Q290" s="47" t="s">
        <v>29</v>
      </c>
      <c r="S290" s="301">
        <v>13.72302150726318</v>
      </c>
      <c r="T290" s="96">
        <v>1</v>
      </c>
      <c r="U290" s="302">
        <f t="shared" si="18"/>
        <v>13.72302150726318</v>
      </c>
      <c r="V290" s="302">
        <f t="shared" si="19"/>
        <v>13.72302150726318</v>
      </c>
    </row>
    <row r="291" spans="1:22" ht="45" customHeight="1" x14ac:dyDescent="0.2">
      <c r="A291" s="75" t="s">
        <v>106</v>
      </c>
      <c r="B291" s="75" t="s">
        <v>656</v>
      </c>
      <c r="C291" s="46" t="s">
        <v>657</v>
      </c>
      <c r="D291" s="75"/>
      <c r="E291" s="101" t="s">
        <v>27</v>
      </c>
      <c r="F291" s="101"/>
      <c r="G291" s="101"/>
      <c r="H291" s="101"/>
      <c r="I291" s="101"/>
      <c r="J291" s="101"/>
      <c r="K291" s="101"/>
      <c r="L291" s="101"/>
      <c r="Q291" s="47" t="s">
        <v>29</v>
      </c>
      <c r="S291" s="301">
        <v>13.06220054626465</v>
      </c>
      <c r="T291" s="96">
        <v>1</v>
      </c>
      <c r="U291" s="302">
        <f t="shared" si="18"/>
        <v>13.06220054626465</v>
      </c>
      <c r="V291" s="302">
        <f t="shared" si="19"/>
        <v>13.06220054626465</v>
      </c>
    </row>
    <row r="292" spans="1:22" ht="45" customHeight="1" x14ac:dyDescent="0.2">
      <c r="A292" s="75" t="s">
        <v>106</v>
      </c>
      <c r="B292" s="75" t="s">
        <v>658</v>
      </c>
      <c r="C292" s="46" t="s">
        <v>659</v>
      </c>
      <c r="D292" s="75"/>
      <c r="E292" s="101" t="s">
        <v>27</v>
      </c>
      <c r="F292" s="101"/>
      <c r="G292" s="101"/>
      <c r="H292" s="101"/>
      <c r="I292" s="101"/>
      <c r="J292" s="101"/>
      <c r="K292" s="101"/>
      <c r="L292" s="101"/>
      <c r="Q292" s="47" t="s">
        <v>29</v>
      </c>
      <c r="S292" s="301">
        <v>13.09532356262207</v>
      </c>
      <c r="T292" s="96">
        <v>1</v>
      </c>
      <c r="U292" s="302">
        <f t="shared" si="18"/>
        <v>13.09532356262207</v>
      </c>
      <c r="V292" s="302">
        <f t="shared" si="19"/>
        <v>13.09532356262207</v>
      </c>
    </row>
    <row r="293" spans="1:22" ht="30" customHeight="1" x14ac:dyDescent="0.2">
      <c r="A293" s="75" t="s">
        <v>106</v>
      </c>
      <c r="B293" s="75" t="s">
        <v>660</v>
      </c>
      <c r="C293" s="46" t="s">
        <v>661</v>
      </c>
      <c r="D293" s="75"/>
      <c r="E293" s="101" t="s">
        <v>27</v>
      </c>
      <c r="F293" s="101"/>
      <c r="G293" s="101"/>
      <c r="H293" s="101"/>
      <c r="I293" s="101"/>
      <c r="J293" s="101"/>
      <c r="K293" s="101"/>
      <c r="L293" s="101"/>
      <c r="Q293" s="47" t="s">
        <v>29</v>
      </c>
      <c r="S293" s="301">
        <v>16.10101918465228</v>
      </c>
      <c r="T293" s="96">
        <v>1</v>
      </c>
      <c r="U293" s="302">
        <f t="shared" si="18"/>
        <v>16.10101918465228</v>
      </c>
      <c r="V293" s="302">
        <f t="shared" si="19"/>
        <v>16.10101918465228</v>
      </c>
    </row>
    <row r="294" spans="1:22" s="76" customFormat="1" ht="16" x14ac:dyDescent="0.2">
      <c r="A294" s="79" t="s">
        <v>662</v>
      </c>
      <c r="B294" s="79" t="s">
        <v>663</v>
      </c>
      <c r="C294" s="80" t="s">
        <v>664</v>
      </c>
      <c r="D294" s="79"/>
      <c r="E294" s="103" t="s">
        <v>27</v>
      </c>
      <c r="F294" s="103"/>
      <c r="G294" s="103"/>
      <c r="H294" s="103"/>
      <c r="I294" s="103" t="s">
        <v>665</v>
      </c>
      <c r="J294" s="103"/>
      <c r="K294" s="103"/>
      <c r="L294" s="103"/>
      <c r="Q294" s="76" t="s">
        <v>29</v>
      </c>
      <c r="S294" s="301">
        <v>11.76504325866699</v>
      </c>
      <c r="T294" s="96">
        <v>1</v>
      </c>
      <c r="U294" s="302">
        <f t="shared" si="18"/>
        <v>11.76504325866699</v>
      </c>
      <c r="V294" s="302">
        <f t="shared" si="19"/>
        <v>11.76504325866699</v>
      </c>
    </row>
    <row r="295" spans="1:22" s="76" customFormat="1" ht="30" customHeight="1" x14ac:dyDescent="0.2">
      <c r="A295" s="79" t="s">
        <v>106</v>
      </c>
      <c r="B295" s="79" t="s">
        <v>666</v>
      </c>
      <c r="C295" s="80" t="s">
        <v>667</v>
      </c>
      <c r="D295" s="79"/>
      <c r="E295" s="103" t="s">
        <v>27</v>
      </c>
      <c r="F295" s="103"/>
      <c r="G295" s="103"/>
      <c r="H295" s="103"/>
      <c r="I295" s="103"/>
      <c r="J295" s="103"/>
      <c r="K295" s="103"/>
      <c r="L295" s="103"/>
      <c r="Q295" s="76" t="s">
        <v>29</v>
      </c>
      <c r="S295" s="301">
        <v>12.432478904724119</v>
      </c>
      <c r="T295" s="96">
        <v>1</v>
      </c>
      <c r="U295" s="302">
        <f t="shared" si="18"/>
        <v>12.432478904724119</v>
      </c>
      <c r="V295" s="302">
        <f t="shared" si="19"/>
        <v>12.432478904724119</v>
      </c>
    </row>
    <row r="296" spans="1:22" s="76" customFormat="1" ht="16" x14ac:dyDescent="0.2">
      <c r="A296" s="79" t="s">
        <v>662</v>
      </c>
      <c r="B296" s="79" t="s">
        <v>668</v>
      </c>
      <c r="C296" s="80" t="s">
        <v>664</v>
      </c>
      <c r="D296" s="79"/>
      <c r="E296" s="103" t="s">
        <v>27</v>
      </c>
      <c r="F296" s="103"/>
      <c r="G296" s="103"/>
      <c r="H296" s="103"/>
      <c r="I296" s="103" t="s">
        <v>669</v>
      </c>
      <c r="J296" s="103"/>
      <c r="K296" s="103"/>
      <c r="L296" s="103"/>
      <c r="Q296" s="76" t="s">
        <v>29</v>
      </c>
      <c r="S296" s="301">
        <v>8.9801836013793945</v>
      </c>
      <c r="T296" s="96">
        <v>1</v>
      </c>
      <c r="U296" s="302">
        <f t="shared" si="18"/>
        <v>8.9801836013793945</v>
      </c>
      <c r="V296" s="302">
        <f t="shared" si="19"/>
        <v>8.9801836013793945</v>
      </c>
    </row>
    <row r="297" spans="1:22" s="76" customFormat="1" ht="45" customHeight="1" x14ac:dyDescent="0.2">
      <c r="A297" s="79" t="s">
        <v>106</v>
      </c>
      <c r="B297" s="79" t="s">
        <v>670</v>
      </c>
      <c r="C297" s="80" t="s">
        <v>671</v>
      </c>
      <c r="D297" s="79"/>
      <c r="E297" s="103" t="s">
        <v>27</v>
      </c>
      <c r="F297" s="103"/>
      <c r="G297" s="103"/>
      <c r="H297" s="103"/>
      <c r="I297" s="103"/>
      <c r="J297" s="103"/>
      <c r="K297" s="103"/>
      <c r="L297" s="103"/>
      <c r="Q297" s="76" t="s">
        <v>29</v>
      </c>
      <c r="S297" s="301">
        <v>11.089328765869141</v>
      </c>
      <c r="T297" s="96">
        <v>1</v>
      </c>
      <c r="U297" s="302">
        <f t="shared" si="18"/>
        <v>11.089328765869141</v>
      </c>
      <c r="V297" s="302">
        <f t="shared" si="19"/>
        <v>11.089328765869141</v>
      </c>
    </row>
    <row r="298" spans="1:22" s="76" customFormat="1" ht="16" x14ac:dyDescent="0.2">
      <c r="A298" s="79" t="s">
        <v>662</v>
      </c>
      <c r="B298" s="79" t="s">
        <v>672</v>
      </c>
      <c r="C298" s="80" t="s">
        <v>664</v>
      </c>
      <c r="D298" s="79"/>
      <c r="E298" s="103" t="s">
        <v>27</v>
      </c>
      <c r="F298" s="103"/>
      <c r="G298" s="103"/>
      <c r="H298" s="103"/>
      <c r="I298" s="103" t="s">
        <v>673</v>
      </c>
      <c r="J298" s="103"/>
      <c r="K298" s="103"/>
      <c r="L298" s="103"/>
      <c r="Q298" s="76" t="s">
        <v>29</v>
      </c>
      <c r="S298" s="301">
        <v>8.0683355331420898</v>
      </c>
      <c r="T298" s="96">
        <v>1</v>
      </c>
      <c r="U298" s="302">
        <f t="shared" si="18"/>
        <v>8.0683355331420898</v>
      </c>
      <c r="V298" s="302">
        <f t="shared" si="19"/>
        <v>8.0683355331420898</v>
      </c>
    </row>
    <row r="299" spans="1:22" x14ac:dyDescent="0.2">
      <c r="A299" s="79" t="s">
        <v>102</v>
      </c>
      <c r="B299" s="79"/>
      <c r="C299" s="46"/>
      <c r="D299" s="75"/>
      <c r="E299" s="101"/>
      <c r="F299" s="101"/>
      <c r="G299" s="101"/>
      <c r="H299" s="101"/>
      <c r="I299" s="101"/>
      <c r="J299" s="101"/>
      <c r="K299" s="101"/>
      <c r="L299" s="101"/>
      <c r="S299" s="301"/>
      <c r="T299" s="96">
        <v>1</v>
      </c>
      <c r="U299" s="302" t="str">
        <f t="shared" si="18"/>
        <v/>
      </c>
      <c r="V299" s="302" t="str">
        <f t="shared" si="19"/>
        <v/>
      </c>
    </row>
    <row r="300" spans="1:22" x14ac:dyDescent="0.2">
      <c r="A300" s="76"/>
      <c r="B300" s="76"/>
      <c r="S300" s="301"/>
      <c r="T300" s="96">
        <v>1</v>
      </c>
      <c r="U300" s="302" t="str">
        <f t="shared" si="18"/>
        <v/>
      </c>
      <c r="V300" s="302" t="str">
        <f t="shared" si="19"/>
        <v/>
      </c>
    </row>
    <row r="301" spans="1:22" s="77" customFormat="1" ht="16" x14ac:dyDescent="0.2">
      <c r="A301" s="77" t="s">
        <v>48</v>
      </c>
      <c r="B301" s="77" t="s">
        <v>674</v>
      </c>
      <c r="C301" s="78" t="s">
        <v>675</v>
      </c>
      <c r="E301" s="102"/>
      <c r="F301" s="102"/>
      <c r="G301" s="102"/>
      <c r="H301" s="102"/>
      <c r="I301" s="102"/>
      <c r="J301" s="102"/>
      <c r="K301" s="102"/>
      <c r="L301" s="102"/>
      <c r="Q301" s="77" t="s">
        <v>41</v>
      </c>
      <c r="S301" s="301"/>
      <c r="T301" s="96">
        <v>1</v>
      </c>
      <c r="U301" s="302" t="str">
        <f t="shared" si="18"/>
        <v/>
      </c>
      <c r="V301" s="302" t="str">
        <f t="shared" si="19"/>
        <v/>
      </c>
    </row>
    <row r="302" spans="1:22" s="78" customFormat="1" ht="45" customHeight="1" x14ac:dyDescent="0.2">
      <c r="A302" s="78" t="s">
        <v>36</v>
      </c>
      <c r="B302" s="78" t="s">
        <v>676</v>
      </c>
      <c r="C302" s="78" t="s">
        <v>677</v>
      </c>
      <c r="E302" s="102" t="s">
        <v>40</v>
      </c>
      <c r="F302" s="117"/>
      <c r="G302" s="117"/>
      <c r="H302" s="102"/>
      <c r="I302" s="117"/>
      <c r="J302" s="117"/>
      <c r="K302" s="117"/>
      <c r="L302" s="117"/>
      <c r="Q302" s="78" t="s">
        <v>41</v>
      </c>
      <c r="S302" s="301">
        <v>0</v>
      </c>
      <c r="T302" s="96">
        <v>1</v>
      </c>
      <c r="U302" s="302">
        <f t="shared" si="18"/>
        <v>0</v>
      </c>
      <c r="V302" s="302" t="str">
        <f t="shared" si="19"/>
        <v/>
      </c>
    </row>
    <row r="303" spans="1:22" s="78" customFormat="1" ht="45" customHeight="1" x14ac:dyDescent="0.2">
      <c r="A303" s="78" t="s">
        <v>58</v>
      </c>
      <c r="B303" s="78" t="s">
        <v>678</v>
      </c>
      <c r="C303" s="78" t="s">
        <v>679</v>
      </c>
      <c r="D303" s="77" t="s">
        <v>680</v>
      </c>
      <c r="E303" s="102" t="s">
        <v>27</v>
      </c>
      <c r="F303" s="117"/>
      <c r="G303" s="117" t="s">
        <v>681</v>
      </c>
      <c r="H303" s="102" t="s">
        <v>682</v>
      </c>
      <c r="I303" s="117"/>
      <c r="J303" s="117"/>
      <c r="K303" s="117"/>
      <c r="L303" s="117"/>
      <c r="Q303" s="78" t="s">
        <v>41</v>
      </c>
      <c r="S303" s="301">
        <v>17</v>
      </c>
      <c r="T303" s="96">
        <v>1</v>
      </c>
      <c r="U303" s="302">
        <f t="shared" si="18"/>
        <v>17</v>
      </c>
      <c r="V303" s="302" t="str">
        <f t="shared" si="19"/>
        <v/>
      </c>
    </row>
    <row r="304" spans="1:22" s="269" customFormat="1" ht="45" customHeight="1" x14ac:dyDescent="0.2">
      <c r="A304" s="269" t="s">
        <v>683</v>
      </c>
      <c r="B304" s="269" t="s">
        <v>684</v>
      </c>
      <c r="C304" s="269" t="s">
        <v>685</v>
      </c>
      <c r="D304" s="199"/>
      <c r="E304" s="200"/>
      <c r="F304" s="270"/>
      <c r="G304" s="270" t="s">
        <v>686</v>
      </c>
      <c r="H304" s="200"/>
      <c r="I304" s="270" t="s">
        <v>687</v>
      </c>
      <c r="J304" s="270"/>
      <c r="K304" s="270"/>
      <c r="L304" s="270"/>
      <c r="S304" s="307"/>
      <c r="T304" s="271"/>
      <c r="U304" s="308"/>
      <c r="V304" s="308"/>
    </row>
    <row r="305" spans="1:22" s="78" customFormat="1" ht="45" customHeight="1" x14ac:dyDescent="0.2">
      <c r="A305" s="78" t="s">
        <v>58</v>
      </c>
      <c r="B305" s="78" t="s">
        <v>688</v>
      </c>
      <c r="C305" s="78" t="s">
        <v>689</v>
      </c>
      <c r="D305" s="77" t="s">
        <v>680</v>
      </c>
      <c r="E305" s="102" t="s">
        <v>27</v>
      </c>
      <c r="F305" s="117"/>
      <c r="G305" s="117" t="s">
        <v>681</v>
      </c>
      <c r="H305" s="102" t="s">
        <v>682</v>
      </c>
      <c r="I305" s="117"/>
      <c r="J305" s="117"/>
      <c r="K305" s="117"/>
      <c r="L305" s="117"/>
      <c r="Q305" s="78" t="s">
        <v>41</v>
      </c>
      <c r="S305" s="301">
        <v>17</v>
      </c>
      <c r="T305" s="96">
        <v>1</v>
      </c>
      <c r="U305" s="302">
        <f>IF(S305&lt;&gt;"",S305*T305,"")</f>
        <v>17</v>
      </c>
      <c r="V305" s="302" t="str">
        <f>IF(AND(S305&lt;&gt;"",Q305="yes"),S305*T305,"")</f>
        <v/>
      </c>
    </row>
    <row r="306" spans="1:22" s="269" customFormat="1" ht="45" customHeight="1" x14ac:dyDescent="0.2">
      <c r="A306" s="269" t="s">
        <v>683</v>
      </c>
      <c r="B306" s="269" t="s">
        <v>690</v>
      </c>
      <c r="C306" s="269" t="s">
        <v>685</v>
      </c>
      <c r="D306" s="199"/>
      <c r="E306" s="200"/>
      <c r="F306" s="270"/>
      <c r="G306" s="270" t="s">
        <v>686</v>
      </c>
      <c r="H306" s="200"/>
      <c r="I306" s="270" t="s">
        <v>691</v>
      </c>
      <c r="J306" s="270"/>
      <c r="K306" s="270"/>
      <c r="L306" s="270"/>
      <c r="S306" s="307"/>
      <c r="T306" s="271"/>
      <c r="U306" s="308"/>
      <c r="V306" s="308"/>
    </row>
    <row r="307" spans="1:22" s="78" customFormat="1" ht="45" customHeight="1" x14ac:dyDescent="0.2">
      <c r="A307" s="78" t="s">
        <v>58</v>
      </c>
      <c r="B307" s="78" t="s">
        <v>692</v>
      </c>
      <c r="C307" s="78" t="s">
        <v>693</v>
      </c>
      <c r="D307" s="77" t="s">
        <v>680</v>
      </c>
      <c r="E307" s="102" t="s">
        <v>27</v>
      </c>
      <c r="F307" s="117"/>
      <c r="G307" s="117" t="s">
        <v>681</v>
      </c>
      <c r="H307" s="102" t="s">
        <v>682</v>
      </c>
      <c r="I307" s="117"/>
      <c r="J307" s="117"/>
      <c r="K307" s="117"/>
      <c r="L307" s="117"/>
      <c r="Q307" s="78" t="s">
        <v>41</v>
      </c>
      <c r="S307" s="301">
        <v>17</v>
      </c>
      <c r="T307" s="96">
        <v>1</v>
      </c>
      <c r="U307" s="302">
        <f>IF(S307&lt;&gt;"",S307*T307,"")</f>
        <v>17</v>
      </c>
      <c r="V307" s="302" t="str">
        <f>IF(AND(S307&lt;&gt;"",Q307="yes"),S307*T307,"")</f>
        <v/>
      </c>
    </row>
    <row r="308" spans="1:22" s="269" customFormat="1" ht="45" customHeight="1" x14ac:dyDescent="0.2">
      <c r="A308" s="269" t="s">
        <v>683</v>
      </c>
      <c r="B308" s="269" t="s">
        <v>694</v>
      </c>
      <c r="C308" s="269" t="s">
        <v>685</v>
      </c>
      <c r="D308" s="199"/>
      <c r="E308" s="200"/>
      <c r="F308" s="270"/>
      <c r="G308" s="270" t="s">
        <v>686</v>
      </c>
      <c r="H308" s="200"/>
      <c r="I308" s="270" t="s">
        <v>695</v>
      </c>
      <c r="J308" s="270"/>
      <c r="K308" s="270"/>
      <c r="L308" s="270"/>
      <c r="S308" s="307"/>
      <c r="T308" s="271"/>
      <c r="U308" s="308"/>
      <c r="V308" s="308"/>
    </row>
    <row r="309" spans="1:22" s="78" customFormat="1" ht="30" customHeight="1" x14ac:dyDescent="0.2">
      <c r="A309" s="78" t="s">
        <v>58</v>
      </c>
      <c r="B309" s="78" t="s">
        <v>696</v>
      </c>
      <c r="C309" s="78" t="s">
        <v>697</v>
      </c>
      <c r="D309" s="77" t="s">
        <v>680</v>
      </c>
      <c r="E309" s="102" t="s">
        <v>27</v>
      </c>
      <c r="F309" s="117"/>
      <c r="G309" s="117" t="s">
        <v>681</v>
      </c>
      <c r="H309" s="102" t="s">
        <v>682</v>
      </c>
      <c r="I309" s="117"/>
      <c r="J309" s="117"/>
      <c r="K309" s="117"/>
      <c r="L309" s="117"/>
      <c r="Q309" s="78" t="s">
        <v>41</v>
      </c>
      <c r="S309" s="301">
        <v>17</v>
      </c>
      <c r="T309" s="96">
        <v>1</v>
      </c>
      <c r="U309" s="302">
        <f>IF(S309&lt;&gt;"",S309*T309,"")</f>
        <v>17</v>
      </c>
      <c r="V309" s="302" t="str">
        <f>IF(AND(S309&lt;&gt;"",Q309="yes"),S309*T309,"")</f>
        <v/>
      </c>
    </row>
    <row r="310" spans="1:22" s="269" customFormat="1" ht="45" customHeight="1" x14ac:dyDescent="0.2">
      <c r="A310" s="269" t="s">
        <v>683</v>
      </c>
      <c r="B310" s="269" t="s">
        <v>698</v>
      </c>
      <c r="C310" s="269" t="s">
        <v>685</v>
      </c>
      <c r="D310" s="199"/>
      <c r="E310" s="200"/>
      <c r="F310" s="270"/>
      <c r="G310" s="270" t="s">
        <v>686</v>
      </c>
      <c r="H310" s="200"/>
      <c r="I310" s="270" t="s">
        <v>699</v>
      </c>
      <c r="J310" s="270"/>
      <c r="K310" s="270"/>
      <c r="L310" s="270"/>
      <c r="S310" s="307"/>
      <c r="T310" s="271"/>
      <c r="U310" s="308"/>
      <c r="V310" s="308"/>
    </row>
    <row r="311" spans="1:22" s="78" customFormat="1" ht="45" customHeight="1" x14ac:dyDescent="0.2">
      <c r="A311" s="78" t="s">
        <v>58</v>
      </c>
      <c r="B311" s="78" t="s">
        <v>700</v>
      </c>
      <c r="C311" s="78" t="s">
        <v>701</v>
      </c>
      <c r="D311" s="77" t="s">
        <v>680</v>
      </c>
      <c r="E311" s="102" t="s">
        <v>27</v>
      </c>
      <c r="F311" s="117"/>
      <c r="G311" s="117" t="s">
        <v>681</v>
      </c>
      <c r="H311" s="102" t="s">
        <v>682</v>
      </c>
      <c r="I311" s="117"/>
      <c r="J311" s="117"/>
      <c r="K311" s="117"/>
      <c r="L311" s="117"/>
      <c r="Q311" s="78" t="s">
        <v>41</v>
      </c>
      <c r="S311" s="301">
        <v>17</v>
      </c>
      <c r="T311" s="96">
        <v>1</v>
      </c>
      <c r="U311" s="302">
        <f>IF(S311&lt;&gt;"",S311*T311,"")</f>
        <v>17</v>
      </c>
      <c r="V311" s="302" t="str">
        <f>IF(AND(S311&lt;&gt;"",Q311="yes"),S311*T311,"")</f>
        <v/>
      </c>
    </row>
    <row r="312" spans="1:22" s="269" customFormat="1" ht="45" customHeight="1" x14ac:dyDescent="0.2">
      <c r="A312" s="269" t="s">
        <v>683</v>
      </c>
      <c r="B312" s="269" t="s">
        <v>702</v>
      </c>
      <c r="C312" s="269" t="s">
        <v>685</v>
      </c>
      <c r="D312" s="199"/>
      <c r="E312" s="200"/>
      <c r="F312" s="270"/>
      <c r="G312" s="270" t="s">
        <v>686</v>
      </c>
      <c r="H312" s="200"/>
      <c r="I312" s="270" t="s">
        <v>703</v>
      </c>
      <c r="J312" s="270"/>
      <c r="K312" s="270"/>
      <c r="L312" s="270"/>
      <c r="S312" s="307"/>
      <c r="T312" s="271"/>
      <c r="U312" s="308"/>
      <c r="V312" s="308"/>
    </row>
    <row r="313" spans="1:22" s="78" customFormat="1" ht="60" customHeight="1" x14ac:dyDescent="0.2">
      <c r="A313" s="78" t="s">
        <v>58</v>
      </c>
      <c r="B313" s="78" t="s">
        <v>704</v>
      </c>
      <c r="C313" s="78" t="s">
        <v>705</v>
      </c>
      <c r="D313" s="77" t="s">
        <v>680</v>
      </c>
      <c r="E313" s="102" t="s">
        <v>27</v>
      </c>
      <c r="F313" s="117"/>
      <c r="G313" s="117" t="s">
        <v>681</v>
      </c>
      <c r="H313" s="102" t="s">
        <v>682</v>
      </c>
      <c r="I313" s="117"/>
      <c r="J313" s="117"/>
      <c r="K313" s="117"/>
      <c r="L313" s="117"/>
      <c r="Q313" s="78" t="s">
        <v>41</v>
      </c>
      <c r="S313" s="301">
        <v>17</v>
      </c>
      <c r="T313" s="96">
        <v>1</v>
      </c>
      <c r="U313" s="302">
        <f>IF(S313&lt;&gt;"",S313*T313,"")</f>
        <v>17</v>
      </c>
      <c r="V313" s="302" t="str">
        <f>IF(AND(S313&lt;&gt;"",Q313="yes"),S313*T313,"")</f>
        <v/>
      </c>
    </row>
    <row r="314" spans="1:22" s="269" customFormat="1" ht="45" customHeight="1" x14ac:dyDescent="0.2">
      <c r="A314" s="269" t="s">
        <v>683</v>
      </c>
      <c r="B314" s="269" t="s">
        <v>706</v>
      </c>
      <c r="C314" s="269" t="s">
        <v>685</v>
      </c>
      <c r="D314" s="199"/>
      <c r="E314" s="200"/>
      <c r="F314" s="270"/>
      <c r="G314" s="270" t="s">
        <v>686</v>
      </c>
      <c r="H314" s="200"/>
      <c r="I314" s="270" t="s">
        <v>707</v>
      </c>
      <c r="J314" s="270"/>
      <c r="K314" s="270"/>
      <c r="L314" s="270"/>
      <c r="S314" s="307"/>
      <c r="T314" s="271"/>
      <c r="U314" s="308"/>
      <c r="V314" s="308"/>
    </row>
    <row r="315" spans="1:22" s="78" customFormat="1" ht="45" customHeight="1" x14ac:dyDescent="0.2">
      <c r="A315" s="78" t="s">
        <v>58</v>
      </c>
      <c r="B315" s="78" t="s">
        <v>708</v>
      </c>
      <c r="C315" s="78" t="s">
        <v>709</v>
      </c>
      <c r="D315" s="77" t="s">
        <v>680</v>
      </c>
      <c r="E315" s="102" t="s">
        <v>27</v>
      </c>
      <c r="F315" s="117"/>
      <c r="G315" s="117" t="s">
        <v>681</v>
      </c>
      <c r="H315" s="102" t="s">
        <v>682</v>
      </c>
      <c r="I315" s="117"/>
      <c r="J315" s="117"/>
      <c r="K315" s="117"/>
      <c r="L315" s="117"/>
      <c r="Q315" s="78" t="s">
        <v>41</v>
      </c>
      <c r="S315" s="301">
        <v>17</v>
      </c>
      <c r="T315" s="96">
        <v>1</v>
      </c>
      <c r="U315" s="302">
        <f>IF(S315&lt;&gt;"",S315*T315,"")</f>
        <v>17</v>
      </c>
      <c r="V315" s="302" t="str">
        <f>IF(AND(S315&lt;&gt;"",Q315="yes"),S315*T315,"")</f>
        <v/>
      </c>
    </row>
    <row r="316" spans="1:22" s="269" customFormat="1" ht="45" customHeight="1" x14ac:dyDescent="0.2">
      <c r="A316" s="269" t="s">
        <v>683</v>
      </c>
      <c r="B316" s="269" t="s">
        <v>710</v>
      </c>
      <c r="C316" s="269" t="s">
        <v>685</v>
      </c>
      <c r="D316" s="199"/>
      <c r="E316" s="200"/>
      <c r="F316" s="270"/>
      <c r="G316" s="270" t="s">
        <v>686</v>
      </c>
      <c r="H316" s="200"/>
      <c r="I316" s="270" t="s">
        <v>711</v>
      </c>
      <c r="J316" s="270"/>
      <c r="K316" s="270"/>
      <c r="L316" s="270"/>
      <c r="S316" s="307"/>
      <c r="T316" s="271"/>
      <c r="U316" s="308"/>
      <c r="V316" s="308"/>
    </row>
    <row r="317" spans="1:22" s="78" customFormat="1" ht="45" customHeight="1" x14ac:dyDescent="0.2">
      <c r="A317" s="78" t="s">
        <v>58</v>
      </c>
      <c r="B317" s="78" t="s">
        <v>712</v>
      </c>
      <c r="C317" s="78" t="s">
        <v>713</v>
      </c>
      <c r="D317" s="77" t="s">
        <v>680</v>
      </c>
      <c r="E317" s="102" t="s">
        <v>27</v>
      </c>
      <c r="F317" s="117"/>
      <c r="G317" s="117" t="s">
        <v>681</v>
      </c>
      <c r="H317" s="102" t="s">
        <v>682</v>
      </c>
      <c r="I317" s="117"/>
      <c r="J317" s="117"/>
      <c r="K317" s="117"/>
      <c r="L317" s="117"/>
      <c r="Q317" s="78" t="s">
        <v>41</v>
      </c>
      <c r="S317" s="301">
        <v>17</v>
      </c>
      <c r="T317" s="96">
        <v>1</v>
      </c>
      <c r="U317" s="302">
        <f>IF(S317&lt;&gt;"",S317*T317,"")</f>
        <v>17</v>
      </c>
      <c r="V317" s="302" t="str">
        <f>IF(AND(S317&lt;&gt;"",Q317="yes"),S317*T317,"")</f>
        <v/>
      </c>
    </row>
    <row r="318" spans="1:22" s="269" customFormat="1" ht="45" customHeight="1" x14ac:dyDescent="0.2">
      <c r="A318" s="269" t="s">
        <v>683</v>
      </c>
      <c r="B318" s="269" t="s">
        <v>714</v>
      </c>
      <c r="C318" s="269" t="s">
        <v>685</v>
      </c>
      <c r="D318" s="199"/>
      <c r="E318" s="200"/>
      <c r="F318" s="270"/>
      <c r="G318" s="270" t="s">
        <v>686</v>
      </c>
      <c r="H318" s="200"/>
      <c r="I318" s="270" t="s">
        <v>715</v>
      </c>
      <c r="J318" s="270"/>
      <c r="K318" s="270"/>
      <c r="L318" s="270"/>
      <c r="S318" s="307"/>
      <c r="T318" s="271"/>
      <c r="U318" s="308"/>
      <c r="V318" s="308"/>
    </row>
    <row r="319" spans="1:22" s="78" customFormat="1" ht="60" customHeight="1" x14ac:dyDescent="0.2">
      <c r="A319" s="78" t="s">
        <v>58</v>
      </c>
      <c r="B319" s="78" t="s">
        <v>716</v>
      </c>
      <c r="C319" s="78" t="s">
        <v>717</v>
      </c>
      <c r="D319" s="77" t="s">
        <v>680</v>
      </c>
      <c r="E319" s="102" t="s">
        <v>27</v>
      </c>
      <c r="F319" s="117"/>
      <c r="G319" s="117" t="s">
        <v>681</v>
      </c>
      <c r="H319" s="102" t="s">
        <v>682</v>
      </c>
      <c r="I319" s="117"/>
      <c r="J319" s="117"/>
      <c r="K319" s="117"/>
      <c r="L319" s="117"/>
      <c r="Q319" s="78" t="s">
        <v>41</v>
      </c>
      <c r="S319" s="301">
        <v>17</v>
      </c>
      <c r="T319" s="96">
        <v>1</v>
      </c>
      <c r="U319" s="302">
        <f>IF(S319&lt;&gt;"",S319*T319,"")</f>
        <v>17</v>
      </c>
      <c r="V319" s="302" t="str">
        <f>IF(AND(S319&lt;&gt;"",Q319="yes"),S319*T319,"")</f>
        <v/>
      </c>
    </row>
    <row r="320" spans="1:22" s="269" customFormat="1" ht="45" customHeight="1" x14ac:dyDescent="0.2">
      <c r="A320" s="269" t="s">
        <v>683</v>
      </c>
      <c r="B320" s="269" t="s">
        <v>718</v>
      </c>
      <c r="C320" s="269" t="s">
        <v>685</v>
      </c>
      <c r="D320" s="199"/>
      <c r="E320" s="200"/>
      <c r="F320" s="270"/>
      <c r="G320" s="270" t="s">
        <v>686</v>
      </c>
      <c r="H320" s="200"/>
      <c r="I320" s="270" t="s">
        <v>719</v>
      </c>
      <c r="J320" s="270"/>
      <c r="K320" s="270"/>
      <c r="L320" s="270"/>
      <c r="S320" s="307"/>
      <c r="T320" s="271"/>
      <c r="U320" s="308"/>
      <c r="V320" s="308"/>
    </row>
    <row r="321" spans="1:23" s="77" customFormat="1" x14ac:dyDescent="0.2">
      <c r="A321" s="77" t="s">
        <v>102</v>
      </c>
      <c r="C321" s="78"/>
      <c r="E321" s="102"/>
      <c r="F321" s="102"/>
      <c r="G321" s="102"/>
      <c r="H321" s="102"/>
      <c r="I321" s="102"/>
      <c r="J321" s="102"/>
      <c r="K321" s="102"/>
      <c r="L321" s="102"/>
      <c r="S321" s="301">
        <v>17</v>
      </c>
      <c r="T321" s="96">
        <v>1</v>
      </c>
      <c r="U321" s="302">
        <f>IF(S321&lt;&gt;"",S321*T321,"")</f>
        <v>17</v>
      </c>
      <c r="V321" s="302" t="str">
        <f>IF(AND(S321&lt;&gt;"",Q321="yes"),S321*T321,"")</f>
        <v/>
      </c>
      <c r="W321" s="76"/>
    </row>
    <row r="322" spans="1:23" s="77" customFormat="1" x14ac:dyDescent="0.2">
      <c r="C322" s="78"/>
      <c r="E322" s="102"/>
      <c r="F322" s="102"/>
      <c r="G322" s="102"/>
      <c r="H322" s="102"/>
      <c r="I322" s="102"/>
      <c r="J322" s="102"/>
      <c r="K322" s="102"/>
      <c r="L322" s="102"/>
      <c r="S322" s="301"/>
      <c r="T322" s="96"/>
      <c r="U322" s="302"/>
      <c r="V322" s="302"/>
      <c r="W322" s="76"/>
    </row>
    <row r="323" spans="1:23" ht="16" x14ac:dyDescent="0.2">
      <c r="A323" s="79" t="s">
        <v>48</v>
      </c>
      <c r="B323" s="79" t="s">
        <v>720</v>
      </c>
      <c r="C323" s="86" t="s">
        <v>721</v>
      </c>
      <c r="D323" s="75"/>
      <c r="E323" s="101"/>
      <c r="F323" s="101"/>
      <c r="G323" s="101"/>
      <c r="H323" s="101"/>
      <c r="I323" s="101"/>
      <c r="J323" s="101"/>
      <c r="K323" s="101"/>
      <c r="L323" s="101"/>
      <c r="S323" s="301"/>
      <c r="T323" s="96">
        <v>1</v>
      </c>
      <c r="U323" s="302" t="str">
        <f>IF(S323&lt;&gt;"",S323*T323,"")</f>
        <v/>
      </c>
      <c r="V323" s="302" t="str">
        <f>IF(AND(S323&lt;&gt;"",Q323="yes"),S323*T323,"")</f>
        <v/>
      </c>
    </row>
    <row r="324" spans="1:23" ht="30" customHeight="1" x14ac:dyDescent="0.2">
      <c r="A324" s="75" t="s">
        <v>36</v>
      </c>
      <c r="B324" s="75" t="s">
        <v>722</v>
      </c>
      <c r="C324" s="46" t="s">
        <v>723</v>
      </c>
      <c r="D324" s="75"/>
      <c r="E324" s="101" t="s">
        <v>40</v>
      </c>
      <c r="F324" s="101"/>
      <c r="G324" s="101"/>
      <c r="H324" s="101"/>
      <c r="I324" s="101"/>
      <c r="J324" s="101"/>
      <c r="K324" s="101"/>
      <c r="L324" s="101"/>
      <c r="Q324" s="47" t="s">
        <v>29</v>
      </c>
      <c r="S324" s="301"/>
      <c r="T324" s="96">
        <v>1</v>
      </c>
      <c r="U324" s="302" t="str">
        <f>IF(S324&lt;&gt;"",S324*T324,"")</f>
        <v/>
      </c>
      <c r="V324" s="302" t="str">
        <f>IF(AND(S324&lt;&gt;"",Q324="yes"),S324*T324,"")</f>
        <v/>
      </c>
    </row>
    <row r="325" spans="1:23" ht="45" customHeight="1" x14ac:dyDescent="0.2">
      <c r="A325" s="75" t="s">
        <v>724</v>
      </c>
      <c r="B325" s="75" t="s">
        <v>725</v>
      </c>
      <c r="C325" s="46" t="s">
        <v>726</v>
      </c>
      <c r="D325" s="75" t="s">
        <v>727</v>
      </c>
      <c r="E325" s="101" t="s">
        <v>27</v>
      </c>
      <c r="F325" s="101"/>
      <c r="G325" s="101"/>
      <c r="H325" s="101"/>
      <c r="I325" s="101"/>
      <c r="J325" s="101"/>
      <c r="K325" s="101"/>
      <c r="L325" s="101"/>
      <c r="Q325" s="47" t="s">
        <v>29</v>
      </c>
      <c r="S325" s="301">
        <v>72.295135498046875</v>
      </c>
      <c r="T325" s="96">
        <v>1</v>
      </c>
      <c r="U325" s="302">
        <f>IF(S325&lt;&gt;"",S325*T325,"")</f>
        <v>72.295135498046875</v>
      </c>
      <c r="V325" s="302">
        <f>IF(AND(S325&lt;&gt;"",Q325="yes"),S325*T325,"")</f>
        <v>72.295135498046875</v>
      </c>
    </row>
    <row r="326" spans="1:23" ht="45" customHeight="1" x14ac:dyDescent="0.2">
      <c r="A326" s="75" t="s">
        <v>36</v>
      </c>
      <c r="B326" s="75" t="s">
        <v>728</v>
      </c>
      <c r="C326" s="46" t="s">
        <v>729</v>
      </c>
      <c r="D326" s="75"/>
      <c r="E326" s="101" t="s">
        <v>40</v>
      </c>
      <c r="F326" s="101"/>
      <c r="G326" s="101"/>
      <c r="H326" s="101"/>
      <c r="I326" s="101"/>
      <c r="J326" s="101"/>
      <c r="K326" s="101"/>
      <c r="L326" s="101"/>
      <c r="Q326" s="47" t="s">
        <v>29</v>
      </c>
      <c r="S326" s="301">
        <v>3.7052218914031978</v>
      </c>
      <c r="T326" s="96">
        <v>1</v>
      </c>
      <c r="U326" s="302">
        <f>IF(S326&lt;&gt;"",S326*T326,"")</f>
        <v>3.7052218914031978</v>
      </c>
      <c r="V326" s="302">
        <f>IF(AND(S326&lt;&gt;"",Q326="yes"),S326*T326,"")</f>
        <v>3.7052218914031978</v>
      </c>
    </row>
    <row r="327" spans="1:23" ht="16" customHeight="1" x14ac:dyDescent="0.2">
      <c r="A327" s="75" t="s">
        <v>102</v>
      </c>
      <c r="B327" s="75"/>
      <c r="C327" s="46"/>
      <c r="D327" s="75"/>
      <c r="E327" s="101"/>
      <c r="F327" s="101"/>
      <c r="G327" s="101"/>
      <c r="H327" s="101"/>
      <c r="I327" s="101"/>
      <c r="J327" s="101"/>
      <c r="K327" s="101"/>
      <c r="L327" s="101"/>
      <c r="S327" s="301"/>
      <c r="T327" s="96">
        <v>1</v>
      </c>
      <c r="U327" s="302" t="str">
        <f>IF(S327&lt;&gt;"",S327*T327,"")</f>
        <v/>
      </c>
      <c r="V327" s="302" t="str">
        <f>IF(AND(S327&lt;&gt;"",Q327="yes"),S327*T327,"")</f>
        <v/>
      </c>
    </row>
    <row r="328" spans="1:23" s="77" customFormat="1" x14ac:dyDescent="0.2">
      <c r="C328" s="78"/>
      <c r="E328" s="102"/>
      <c r="F328" s="102"/>
      <c r="G328" s="102"/>
      <c r="H328" s="102"/>
      <c r="I328" s="102"/>
      <c r="J328" s="102"/>
      <c r="K328" s="102"/>
      <c r="L328" s="102"/>
      <c r="S328" s="301"/>
      <c r="T328" s="96"/>
      <c r="U328" s="302"/>
      <c r="V328" s="302"/>
      <c r="W328" s="76"/>
    </row>
    <row r="329" spans="1:23" s="77" customFormat="1" ht="16" x14ac:dyDescent="0.2">
      <c r="A329" s="77" t="s">
        <v>48</v>
      </c>
      <c r="B329" s="77" t="s">
        <v>730</v>
      </c>
      <c r="C329" s="78" t="s">
        <v>731</v>
      </c>
      <c r="E329" s="102"/>
      <c r="F329" s="102"/>
      <c r="G329" s="102"/>
      <c r="H329" s="102"/>
      <c r="I329" s="102"/>
      <c r="J329" s="102"/>
      <c r="K329" s="102"/>
      <c r="L329" s="102"/>
      <c r="Q329" s="77" t="s">
        <v>41</v>
      </c>
      <c r="S329" s="301"/>
      <c r="T329" s="96">
        <v>1</v>
      </c>
      <c r="U329" s="302" t="str">
        <f t="shared" ref="U329:U335" si="20">IF(S329&lt;&gt;"",S329*T329,"")</f>
        <v/>
      </c>
      <c r="V329" s="302" t="str">
        <f t="shared" ref="V329:V335" si="21">IF(AND(S329&lt;&gt;"",Q329="yes"),S329*T329,"")</f>
        <v/>
      </c>
    </row>
    <row r="330" spans="1:23" s="77" customFormat="1" ht="45" customHeight="1" x14ac:dyDescent="0.2">
      <c r="A330" s="77" t="s">
        <v>36</v>
      </c>
      <c r="B330" s="77" t="s">
        <v>732</v>
      </c>
      <c r="C330" s="78" t="s">
        <v>733</v>
      </c>
      <c r="E330" s="102" t="s">
        <v>40</v>
      </c>
      <c r="F330" s="102"/>
      <c r="G330" s="102"/>
      <c r="H330" s="102"/>
      <c r="I330" s="102"/>
      <c r="J330" s="102"/>
      <c r="K330" s="102"/>
      <c r="L330" s="102"/>
      <c r="Q330" s="77" t="s">
        <v>41</v>
      </c>
      <c r="S330" s="301">
        <v>17</v>
      </c>
      <c r="T330" s="96">
        <v>1</v>
      </c>
      <c r="U330" s="302">
        <f t="shared" si="20"/>
        <v>17</v>
      </c>
      <c r="V330" s="302" t="str">
        <f t="shared" si="21"/>
        <v/>
      </c>
    </row>
    <row r="331" spans="1:23" s="77" customFormat="1" ht="30" customHeight="1" x14ac:dyDescent="0.2">
      <c r="A331" s="77" t="s">
        <v>58</v>
      </c>
      <c r="B331" s="77" t="s">
        <v>734</v>
      </c>
      <c r="C331" s="78" t="s">
        <v>735</v>
      </c>
      <c r="D331" s="77" t="s">
        <v>736</v>
      </c>
      <c r="E331" s="102" t="s">
        <v>27</v>
      </c>
      <c r="F331" s="102"/>
      <c r="G331" s="102" t="s">
        <v>681</v>
      </c>
      <c r="H331" s="102" t="s">
        <v>682</v>
      </c>
      <c r="I331" s="102"/>
      <c r="J331" s="102"/>
      <c r="K331" s="102"/>
      <c r="L331" s="102"/>
      <c r="Q331" s="77" t="s">
        <v>41</v>
      </c>
      <c r="S331" s="301">
        <v>17</v>
      </c>
      <c r="T331" s="96">
        <v>1</v>
      </c>
      <c r="U331" s="302">
        <f t="shared" si="20"/>
        <v>17</v>
      </c>
      <c r="V331" s="302" t="str">
        <f t="shared" si="21"/>
        <v/>
      </c>
    </row>
    <row r="332" spans="1:23" s="77" customFormat="1" ht="45" customHeight="1" x14ac:dyDescent="0.2">
      <c r="A332" s="77" t="s">
        <v>58</v>
      </c>
      <c r="B332" s="77" t="s">
        <v>737</v>
      </c>
      <c r="C332" s="78" t="s">
        <v>738</v>
      </c>
      <c r="D332" s="77" t="s">
        <v>736</v>
      </c>
      <c r="E332" s="102" t="s">
        <v>27</v>
      </c>
      <c r="F332" s="102"/>
      <c r="G332" s="102" t="s">
        <v>681</v>
      </c>
      <c r="H332" s="102" t="s">
        <v>682</v>
      </c>
      <c r="I332" s="102"/>
      <c r="J332" s="102"/>
      <c r="K332" s="102"/>
      <c r="L332" s="102"/>
      <c r="Q332" s="77" t="s">
        <v>41</v>
      </c>
      <c r="S332" s="301">
        <v>17</v>
      </c>
      <c r="T332" s="96">
        <v>1</v>
      </c>
      <c r="U332" s="302">
        <f t="shared" si="20"/>
        <v>17</v>
      </c>
      <c r="V332" s="302" t="str">
        <f t="shared" si="21"/>
        <v/>
      </c>
    </row>
    <row r="333" spans="1:23" s="77" customFormat="1" ht="45" customHeight="1" x14ac:dyDescent="0.2">
      <c r="A333" s="77" t="s">
        <v>58</v>
      </c>
      <c r="B333" s="77" t="s">
        <v>739</v>
      </c>
      <c r="C333" s="78" t="s">
        <v>740</v>
      </c>
      <c r="D333" s="77" t="s">
        <v>736</v>
      </c>
      <c r="E333" s="102" t="s">
        <v>27</v>
      </c>
      <c r="F333" s="102"/>
      <c r="G333" s="102" t="s">
        <v>681</v>
      </c>
      <c r="H333" s="102" t="s">
        <v>682</v>
      </c>
      <c r="I333" s="102"/>
      <c r="J333" s="102"/>
      <c r="K333" s="102"/>
      <c r="L333" s="102"/>
      <c r="Q333" s="77" t="s">
        <v>41</v>
      </c>
      <c r="S333" s="301">
        <v>17</v>
      </c>
      <c r="T333" s="96">
        <v>1</v>
      </c>
      <c r="U333" s="302">
        <f t="shared" si="20"/>
        <v>17</v>
      </c>
      <c r="V333" s="302" t="str">
        <f t="shared" si="21"/>
        <v/>
      </c>
    </row>
    <row r="334" spans="1:23" s="77" customFormat="1" ht="30" customHeight="1" x14ac:dyDescent="0.2">
      <c r="A334" s="77" t="s">
        <v>58</v>
      </c>
      <c r="B334" s="77" t="s">
        <v>741</v>
      </c>
      <c r="C334" s="78" t="s">
        <v>742</v>
      </c>
      <c r="D334" s="77" t="s">
        <v>736</v>
      </c>
      <c r="E334" s="102" t="s">
        <v>27</v>
      </c>
      <c r="F334" s="102"/>
      <c r="G334" s="102" t="s">
        <v>681</v>
      </c>
      <c r="H334" s="102" t="s">
        <v>682</v>
      </c>
      <c r="I334" s="102"/>
      <c r="J334" s="102"/>
      <c r="K334" s="102"/>
      <c r="L334" s="102"/>
      <c r="Q334" s="77" t="s">
        <v>41</v>
      </c>
      <c r="S334" s="301">
        <v>17</v>
      </c>
      <c r="T334" s="96">
        <v>1</v>
      </c>
      <c r="U334" s="302">
        <f t="shared" si="20"/>
        <v>17</v>
      </c>
      <c r="V334" s="302" t="str">
        <f t="shared" si="21"/>
        <v/>
      </c>
    </row>
    <row r="335" spans="1:23" s="77" customFormat="1" ht="45" customHeight="1" x14ac:dyDescent="0.2">
      <c r="A335" s="77" t="s">
        <v>58</v>
      </c>
      <c r="B335" s="77" t="s">
        <v>743</v>
      </c>
      <c r="C335" s="78" t="s">
        <v>744</v>
      </c>
      <c r="D335" s="77" t="s">
        <v>736</v>
      </c>
      <c r="E335" s="102" t="s">
        <v>27</v>
      </c>
      <c r="F335" s="102"/>
      <c r="G335" s="102" t="s">
        <v>681</v>
      </c>
      <c r="H335" s="102" t="s">
        <v>682</v>
      </c>
      <c r="I335" s="102"/>
      <c r="J335" s="102"/>
      <c r="K335" s="102"/>
      <c r="L335" s="102"/>
      <c r="Q335" s="77" t="s">
        <v>41</v>
      </c>
      <c r="S335" s="301">
        <v>17</v>
      </c>
      <c r="T335" s="96">
        <v>1</v>
      </c>
      <c r="U335" s="302">
        <f t="shared" si="20"/>
        <v>17</v>
      </c>
      <c r="V335" s="302" t="str">
        <f t="shared" si="21"/>
        <v/>
      </c>
    </row>
    <row r="336" spans="1:23" s="77" customFormat="1" x14ac:dyDescent="0.2">
      <c r="A336" s="77" t="s">
        <v>102</v>
      </c>
      <c r="C336" s="78"/>
      <c r="E336" s="102"/>
      <c r="F336" s="102"/>
      <c r="G336" s="102"/>
      <c r="H336" s="102"/>
      <c r="I336" s="102"/>
      <c r="J336" s="102"/>
      <c r="K336" s="102"/>
      <c r="L336" s="102"/>
      <c r="S336" s="301"/>
      <c r="T336" s="96"/>
      <c r="U336" s="302"/>
      <c r="V336" s="302"/>
      <c r="W336" s="76"/>
    </row>
    <row r="337" spans="1:23" x14ac:dyDescent="0.2">
      <c r="A337" s="76"/>
      <c r="B337" s="76"/>
      <c r="S337" s="301"/>
      <c r="T337" s="96"/>
      <c r="U337" s="302"/>
      <c r="V337" s="302"/>
    </row>
    <row r="338" spans="1:23" s="77" customFormat="1" ht="16" x14ac:dyDescent="0.2">
      <c r="A338" s="77" t="s">
        <v>48</v>
      </c>
      <c r="B338" s="77" t="s">
        <v>745</v>
      </c>
      <c r="C338" s="144" t="s">
        <v>746</v>
      </c>
      <c r="E338" s="102"/>
      <c r="F338" s="102" t="s">
        <v>747</v>
      </c>
      <c r="G338" s="102"/>
      <c r="H338" s="102"/>
      <c r="I338" s="102"/>
      <c r="J338" s="102"/>
      <c r="K338" s="102"/>
      <c r="L338" s="102"/>
      <c r="S338" s="303"/>
      <c r="T338" s="145">
        <v>1</v>
      </c>
      <c r="U338" s="304" t="str">
        <f>IF(S338&lt;&gt;"",S338*T338,"")</f>
        <v/>
      </c>
      <c r="V338" s="304" t="str">
        <f>IF(AND(S338&lt;&gt;"",Q338="yes"),S338*T338,"")</f>
        <v/>
      </c>
    </row>
    <row r="339" spans="1:23" s="77" customFormat="1" ht="75" customHeight="1" x14ac:dyDescent="0.2">
      <c r="A339" s="77" t="s">
        <v>36</v>
      </c>
      <c r="B339" s="77" t="s">
        <v>748</v>
      </c>
      <c r="C339" s="78" t="s">
        <v>749</v>
      </c>
      <c r="E339" s="102"/>
      <c r="F339" s="102"/>
      <c r="G339" s="102"/>
      <c r="H339" s="102"/>
      <c r="I339" s="102"/>
      <c r="J339" s="102"/>
      <c r="K339" s="102"/>
      <c r="L339" s="102"/>
      <c r="Q339" s="77" t="s">
        <v>41</v>
      </c>
      <c r="S339" s="303">
        <v>5.7112536430358887</v>
      </c>
      <c r="T339" s="145">
        <v>1</v>
      </c>
      <c r="U339" s="304">
        <f>IF(S339&lt;&gt;"",S339*T339,"")</f>
        <v>5.7112536430358887</v>
      </c>
      <c r="V339" s="304" t="str">
        <f>IF(AND(S339&lt;&gt;"",Q339="yes"),S339*T339,"")</f>
        <v/>
      </c>
    </row>
    <row r="340" spans="1:23" s="146" customFormat="1" ht="30" customHeight="1" x14ac:dyDescent="0.2">
      <c r="A340" s="76" t="s">
        <v>750</v>
      </c>
      <c r="B340" s="76" t="s">
        <v>751</v>
      </c>
      <c r="C340" s="49" t="s">
        <v>752</v>
      </c>
      <c r="E340" s="102" t="s">
        <v>27</v>
      </c>
      <c r="F340" s="147"/>
      <c r="G340" s="147"/>
      <c r="H340" s="147"/>
      <c r="I340" s="147"/>
      <c r="J340" s="147"/>
      <c r="K340" s="147"/>
      <c r="L340" s="147"/>
      <c r="Q340" s="76"/>
    </row>
    <row r="341" spans="1:23" s="146" customFormat="1" ht="16" x14ac:dyDescent="0.2">
      <c r="A341" s="76" t="s">
        <v>750</v>
      </c>
      <c r="B341" s="76" t="s">
        <v>753</v>
      </c>
      <c r="C341" s="49" t="s">
        <v>754</v>
      </c>
      <c r="E341" s="102" t="s">
        <v>27</v>
      </c>
      <c r="F341" s="147"/>
      <c r="G341" s="147"/>
      <c r="H341" s="147"/>
      <c r="I341" s="147"/>
      <c r="J341" s="147"/>
      <c r="K341" s="147"/>
      <c r="L341" s="147"/>
      <c r="Q341" s="76"/>
    </row>
    <row r="342" spans="1:23" s="146" customFormat="1" ht="16" x14ac:dyDescent="0.2">
      <c r="A342" s="76" t="s">
        <v>750</v>
      </c>
      <c r="B342" s="76" t="s">
        <v>755</v>
      </c>
      <c r="C342" s="49" t="s">
        <v>756</v>
      </c>
      <c r="E342" s="102" t="s">
        <v>27</v>
      </c>
      <c r="F342" s="147"/>
      <c r="G342" s="147"/>
      <c r="H342" s="147"/>
      <c r="I342" s="147"/>
      <c r="J342" s="147"/>
      <c r="K342" s="147"/>
      <c r="L342" s="147"/>
      <c r="Q342" s="76"/>
    </row>
    <row r="343" spans="1:23" s="146" customFormat="1" ht="16" x14ac:dyDescent="0.2">
      <c r="A343" s="76" t="s">
        <v>750</v>
      </c>
      <c r="B343" s="76" t="s">
        <v>757</v>
      </c>
      <c r="C343" s="49" t="s">
        <v>758</v>
      </c>
      <c r="E343" s="102" t="s">
        <v>27</v>
      </c>
      <c r="F343" s="147"/>
      <c r="G343" s="147"/>
      <c r="H343" s="147"/>
      <c r="I343" s="147"/>
      <c r="J343" s="147"/>
      <c r="K343" s="147"/>
      <c r="L343" s="147"/>
      <c r="Q343" s="76"/>
    </row>
    <row r="344" spans="1:23" s="146" customFormat="1" ht="29" customHeight="1" x14ac:dyDescent="0.2">
      <c r="A344" s="76" t="s">
        <v>750</v>
      </c>
      <c r="B344" s="76" t="s">
        <v>759</v>
      </c>
      <c r="C344" s="49" t="s">
        <v>760</v>
      </c>
      <c r="E344" s="102" t="s">
        <v>27</v>
      </c>
      <c r="F344" s="147"/>
      <c r="G344" s="147"/>
      <c r="H344" s="147"/>
      <c r="I344" s="147"/>
      <c r="J344" s="147"/>
      <c r="K344" s="147"/>
      <c r="L344" s="147"/>
      <c r="Q344" s="76"/>
    </row>
    <row r="345" spans="1:23" s="146" customFormat="1" ht="16" x14ac:dyDescent="0.2">
      <c r="A345" s="76" t="s">
        <v>750</v>
      </c>
      <c r="B345" s="76" t="s">
        <v>761</v>
      </c>
      <c r="C345" s="49" t="s">
        <v>762</v>
      </c>
      <c r="E345" s="102" t="s">
        <v>27</v>
      </c>
      <c r="F345" s="147"/>
      <c r="G345" s="147"/>
      <c r="H345" s="147"/>
      <c r="I345" s="147"/>
      <c r="J345" s="147"/>
      <c r="K345" s="147"/>
      <c r="L345" s="147"/>
      <c r="Q345" s="76"/>
    </row>
    <row r="346" spans="1:23" s="146" customFormat="1" ht="30" customHeight="1" x14ac:dyDescent="0.2">
      <c r="A346" s="76" t="s">
        <v>750</v>
      </c>
      <c r="B346" s="76" t="s">
        <v>763</v>
      </c>
      <c r="C346" s="49" t="s">
        <v>764</v>
      </c>
      <c r="E346" s="102" t="s">
        <v>27</v>
      </c>
      <c r="F346" s="147"/>
      <c r="G346" s="147"/>
      <c r="H346" s="147"/>
      <c r="I346" s="147"/>
      <c r="J346" s="147"/>
      <c r="K346" s="147"/>
      <c r="L346" s="147"/>
      <c r="Q346" s="76"/>
    </row>
    <row r="347" spans="1:23" s="146" customFormat="1" ht="16" x14ac:dyDescent="0.2">
      <c r="A347" s="76" t="s">
        <v>750</v>
      </c>
      <c r="B347" s="76" t="s">
        <v>765</v>
      </c>
      <c r="C347" s="49" t="s">
        <v>766</v>
      </c>
      <c r="E347" s="102" t="s">
        <v>27</v>
      </c>
      <c r="F347" s="147"/>
      <c r="G347" s="147"/>
      <c r="H347" s="147"/>
      <c r="I347" s="147"/>
      <c r="J347" s="147"/>
      <c r="K347" s="147"/>
      <c r="L347" s="147"/>
      <c r="Q347" s="76"/>
    </row>
    <row r="348" spans="1:23" s="146" customFormat="1" ht="16" x14ac:dyDescent="0.2">
      <c r="A348" s="76" t="s">
        <v>750</v>
      </c>
      <c r="B348" s="76" t="s">
        <v>767</v>
      </c>
      <c r="C348" s="49" t="s">
        <v>768</v>
      </c>
      <c r="E348" s="102" t="s">
        <v>27</v>
      </c>
      <c r="F348" s="147"/>
      <c r="G348" s="147"/>
      <c r="H348" s="147"/>
      <c r="I348" s="147"/>
      <c r="J348" s="147"/>
      <c r="K348" s="147"/>
      <c r="L348" s="147"/>
      <c r="Q348" s="76"/>
    </row>
    <row r="349" spans="1:23" s="146" customFormat="1" ht="16" x14ac:dyDescent="0.2">
      <c r="A349" s="76" t="s">
        <v>750</v>
      </c>
      <c r="B349" s="76" t="s">
        <v>769</v>
      </c>
      <c r="C349" s="49" t="s">
        <v>770</v>
      </c>
      <c r="E349" s="102" t="s">
        <v>27</v>
      </c>
      <c r="F349" s="147"/>
      <c r="G349" s="147"/>
      <c r="H349" s="147"/>
      <c r="I349" s="147"/>
      <c r="J349" s="147"/>
      <c r="K349" s="147"/>
      <c r="L349" s="147"/>
      <c r="Q349" s="76"/>
    </row>
    <row r="350" spans="1:23" x14ac:dyDescent="0.2">
      <c r="A350" s="77" t="s">
        <v>102</v>
      </c>
      <c r="B350" s="77"/>
      <c r="C350" s="78"/>
      <c r="E350" s="102"/>
      <c r="S350" s="301"/>
      <c r="T350" s="96"/>
      <c r="U350" s="302"/>
      <c r="V350" s="302" t="str">
        <f>IF(AND(S350&lt;&gt;"",Q350="yes"),S350*T350,"")</f>
        <v/>
      </c>
    </row>
    <row r="351" spans="1:23" s="77" customFormat="1" x14ac:dyDescent="0.2">
      <c r="C351" s="78"/>
      <c r="E351" s="102"/>
      <c r="F351" s="102"/>
      <c r="G351" s="102"/>
      <c r="H351" s="102"/>
      <c r="I351" s="102"/>
      <c r="J351" s="102"/>
      <c r="K351" s="102"/>
      <c r="L351" s="102"/>
      <c r="S351" s="301"/>
      <c r="T351" s="96"/>
      <c r="U351" s="302"/>
      <c r="V351" s="302" t="str">
        <f>IF(AND(S351&lt;&gt;"",Q351="yes"),S351*T351,"")</f>
        <v/>
      </c>
      <c r="W351" s="76"/>
    </row>
    <row r="352" spans="1:23" s="77" customFormat="1" x14ac:dyDescent="0.2">
      <c r="C352" s="78"/>
      <c r="E352" s="102"/>
      <c r="F352" s="102"/>
      <c r="G352" s="102"/>
      <c r="H352" s="102"/>
      <c r="I352" s="102"/>
      <c r="J352" s="102"/>
      <c r="K352" s="102"/>
      <c r="L352" s="102"/>
      <c r="S352" s="301"/>
      <c r="T352" s="96"/>
      <c r="U352" s="302"/>
      <c r="V352" s="302" t="str">
        <f>IF(AND(S352&lt;&gt;"",Q352="yes"),S352*T352,"")</f>
        <v/>
      </c>
    </row>
    <row r="353" spans="1:23" s="195" customFormat="1" ht="16" x14ac:dyDescent="0.2">
      <c r="A353" s="195" t="s">
        <v>48</v>
      </c>
      <c r="B353" s="195" t="s">
        <v>771</v>
      </c>
      <c r="C353" s="218" t="s">
        <v>772</v>
      </c>
      <c r="I353" s="219" t="s">
        <v>51</v>
      </c>
    </row>
    <row r="354" spans="1:23" s="283" customFormat="1" ht="33" customHeight="1" x14ac:dyDescent="0.2">
      <c r="A354" s="283" t="s">
        <v>773</v>
      </c>
      <c r="B354" s="283" t="s">
        <v>774</v>
      </c>
      <c r="C354" s="287" t="s">
        <v>775</v>
      </c>
      <c r="D354" s="287"/>
    </row>
    <row r="355" spans="1:23" s="283" customFormat="1" ht="33" customHeight="1" x14ac:dyDescent="0.2">
      <c r="A355" s="283" t="s">
        <v>773</v>
      </c>
      <c r="B355" s="283" t="s">
        <v>776</v>
      </c>
      <c r="C355" s="287" t="s">
        <v>777</v>
      </c>
      <c r="D355" s="287"/>
      <c r="I355" s="283" t="s">
        <v>778</v>
      </c>
    </row>
    <row r="356" spans="1:23" s="283" customFormat="1" ht="33" customHeight="1" x14ac:dyDescent="0.2">
      <c r="A356" s="283" t="s">
        <v>773</v>
      </c>
      <c r="B356" s="283" t="s">
        <v>779</v>
      </c>
      <c r="C356" s="287" t="s">
        <v>780</v>
      </c>
      <c r="D356" s="287"/>
      <c r="I356" s="283" t="s">
        <v>781</v>
      </c>
    </row>
    <row r="357" spans="1:23" s="283" customFormat="1" ht="18" customHeight="1" x14ac:dyDescent="0.2">
      <c r="A357" s="283" t="s">
        <v>782</v>
      </c>
      <c r="B357" s="283" t="s">
        <v>783</v>
      </c>
      <c r="C357" s="287" t="s">
        <v>784</v>
      </c>
    </row>
    <row r="358" spans="1:23" s="283" customFormat="1" ht="18" customHeight="1" x14ac:dyDescent="0.2">
      <c r="A358" s="283" t="s">
        <v>24</v>
      </c>
      <c r="B358" s="283" t="s">
        <v>785</v>
      </c>
      <c r="C358" s="287" t="s">
        <v>293</v>
      </c>
      <c r="I358" s="283" t="s">
        <v>786</v>
      </c>
    </row>
    <row r="359" spans="1:23" s="283" customFormat="1" ht="18" customHeight="1" x14ac:dyDescent="0.2">
      <c r="A359" s="283" t="s">
        <v>782</v>
      </c>
      <c r="B359" s="283" t="s">
        <v>787</v>
      </c>
      <c r="C359" s="287" t="s">
        <v>788</v>
      </c>
      <c r="I359" s="283" t="s">
        <v>789</v>
      </c>
    </row>
    <row r="360" spans="1:23" s="283" customFormat="1" ht="18" customHeight="1" x14ac:dyDescent="0.2">
      <c r="A360" s="283" t="s">
        <v>24</v>
      </c>
      <c r="B360" s="283" t="s">
        <v>790</v>
      </c>
      <c r="C360" s="287" t="s">
        <v>293</v>
      </c>
      <c r="I360" s="283" t="s">
        <v>791</v>
      </c>
    </row>
    <row r="361" spans="1:23" s="283" customFormat="1" ht="18" customHeight="1" x14ac:dyDescent="0.2">
      <c r="A361" s="283" t="s">
        <v>782</v>
      </c>
      <c r="B361" s="283" t="s">
        <v>792</v>
      </c>
      <c r="C361" s="287" t="s">
        <v>793</v>
      </c>
      <c r="I361" s="283" t="s">
        <v>794</v>
      </c>
    </row>
    <row r="362" spans="1:23" s="283" customFormat="1" ht="18" customHeight="1" x14ac:dyDescent="0.2">
      <c r="A362" s="283" t="s">
        <v>24</v>
      </c>
      <c r="B362" s="283" t="s">
        <v>795</v>
      </c>
      <c r="C362" s="287" t="s">
        <v>293</v>
      </c>
      <c r="I362" s="283" t="s">
        <v>796</v>
      </c>
    </row>
    <row r="363" spans="1:23" s="283" customFormat="1" ht="18" customHeight="1" x14ac:dyDescent="0.2">
      <c r="A363" s="283" t="s">
        <v>797</v>
      </c>
      <c r="B363" s="283" t="s">
        <v>798</v>
      </c>
      <c r="C363" s="287" t="s">
        <v>799</v>
      </c>
    </row>
    <row r="364" spans="1:23" s="283" customFormat="1" ht="33" customHeight="1" x14ac:dyDescent="0.2">
      <c r="A364" s="283" t="s">
        <v>797</v>
      </c>
      <c r="B364" s="283" t="s">
        <v>800</v>
      </c>
      <c r="C364" s="287" t="s">
        <v>801</v>
      </c>
      <c r="I364" s="283" t="s">
        <v>778</v>
      </c>
    </row>
    <row r="365" spans="1:23" s="283" customFormat="1" ht="33" customHeight="1" x14ac:dyDescent="0.2">
      <c r="A365" s="283" t="s">
        <v>797</v>
      </c>
      <c r="B365" s="283" t="s">
        <v>802</v>
      </c>
      <c r="C365" s="287" t="s">
        <v>803</v>
      </c>
      <c r="I365" s="283" t="s">
        <v>781</v>
      </c>
    </row>
    <row r="366" spans="1:23" ht="15.5" customHeight="1" thickBot="1" x14ac:dyDescent="0.25">
      <c r="A366" s="92" t="s">
        <v>102</v>
      </c>
      <c r="B366" s="92"/>
      <c r="C366" s="93"/>
      <c r="D366" s="92"/>
      <c r="E366" s="114"/>
      <c r="F366" s="114"/>
      <c r="G366" s="114"/>
      <c r="H366" s="114"/>
      <c r="I366" s="114"/>
      <c r="J366" s="114"/>
      <c r="K366" s="114"/>
      <c r="L366" s="114"/>
      <c r="Q366" s="76"/>
      <c r="S366" s="47"/>
      <c r="T366" s="47"/>
      <c r="U366" s="47"/>
      <c r="V366" s="47"/>
      <c r="W366" s="47"/>
    </row>
    <row r="367" spans="1:23" ht="16.5" customHeight="1" thickTop="1" thickBot="1" x14ac:dyDescent="0.25">
      <c r="A367" s="92" t="s">
        <v>102</v>
      </c>
      <c r="B367" s="92"/>
      <c r="C367" s="93"/>
      <c r="D367" s="92"/>
      <c r="E367" s="114"/>
      <c r="F367" s="114"/>
      <c r="G367" s="114"/>
      <c r="H367" s="114"/>
      <c r="I367" s="114"/>
      <c r="J367" s="114"/>
      <c r="K367" s="114"/>
      <c r="L367" s="114"/>
      <c r="S367" s="301"/>
      <c r="U367" s="302" t="str">
        <f t="shared" ref="U367:U376" si="22">IF(S367&lt;&gt;"",S367*T367,"")</f>
        <v/>
      </c>
      <c r="V367" s="302" t="str">
        <f t="shared" ref="V367:V376" si="23">IF(AND(S367&lt;&gt;"",Q367="yes"),S367*T367,"")</f>
        <v/>
      </c>
    </row>
    <row r="368" spans="1:23" s="73" customFormat="1" ht="15" customHeight="1" thickTop="1" x14ac:dyDescent="0.2">
      <c r="A368" s="72" t="s">
        <v>48</v>
      </c>
      <c r="B368" s="72" t="s">
        <v>804</v>
      </c>
      <c r="C368" s="86" t="s">
        <v>805</v>
      </c>
      <c r="D368" s="72"/>
      <c r="E368" s="106" t="s">
        <v>40</v>
      </c>
      <c r="F368" s="106"/>
      <c r="G368" s="106"/>
      <c r="H368" s="106"/>
      <c r="I368" s="106" t="s">
        <v>806</v>
      </c>
      <c r="J368" s="106"/>
      <c r="K368" s="106"/>
      <c r="L368" s="106"/>
      <c r="Q368" s="47" t="s">
        <v>29</v>
      </c>
      <c r="S368" s="301"/>
      <c r="T368" s="74"/>
      <c r="U368" s="302" t="str">
        <f t="shared" si="22"/>
        <v/>
      </c>
      <c r="V368" s="302" t="str">
        <f t="shared" si="23"/>
        <v/>
      </c>
      <c r="W368" s="74"/>
    </row>
    <row r="369" spans="1:23" s="73" customFormat="1" ht="15" customHeight="1" x14ac:dyDescent="0.2">
      <c r="C369" s="87"/>
      <c r="E369" s="107"/>
      <c r="F369" s="107"/>
      <c r="G369" s="107"/>
      <c r="H369" s="107"/>
      <c r="I369" s="107"/>
      <c r="J369" s="107"/>
      <c r="K369" s="107"/>
      <c r="L369" s="107"/>
      <c r="Q369" s="47"/>
      <c r="S369" s="301"/>
      <c r="T369" s="96">
        <v>1</v>
      </c>
      <c r="U369" s="302" t="str">
        <f t="shared" si="22"/>
        <v/>
      </c>
      <c r="V369" s="302" t="str">
        <f t="shared" si="23"/>
        <v/>
      </c>
      <c r="W369" s="74"/>
    </row>
    <row r="370" spans="1:23" ht="45" customHeight="1" x14ac:dyDescent="0.2">
      <c r="A370" s="75" t="s">
        <v>106</v>
      </c>
      <c r="B370" s="75" t="s">
        <v>807</v>
      </c>
      <c r="C370" s="46" t="s">
        <v>808</v>
      </c>
      <c r="D370" s="75"/>
      <c r="E370" s="101" t="s">
        <v>27</v>
      </c>
      <c r="F370" s="101"/>
      <c r="G370" s="101"/>
      <c r="H370" s="101"/>
      <c r="I370" s="101"/>
      <c r="J370" s="101"/>
      <c r="K370" s="101"/>
      <c r="L370" s="101"/>
      <c r="Q370" s="47" t="s">
        <v>29</v>
      </c>
      <c r="S370" s="301">
        <v>19.828245162963871</v>
      </c>
      <c r="T370" s="96">
        <v>1</v>
      </c>
      <c r="U370" s="302">
        <f t="shared" si="22"/>
        <v>19.828245162963871</v>
      </c>
      <c r="V370" s="302">
        <f t="shared" si="23"/>
        <v>19.828245162963871</v>
      </c>
    </row>
    <row r="371" spans="1:23" ht="60" customHeight="1" x14ac:dyDescent="0.2">
      <c r="A371" s="75" t="s">
        <v>809</v>
      </c>
      <c r="B371" s="75" t="s">
        <v>810</v>
      </c>
      <c r="C371" s="46" t="s">
        <v>811</v>
      </c>
      <c r="D371" s="75" t="s">
        <v>812</v>
      </c>
      <c r="E371" s="101" t="s">
        <v>27</v>
      </c>
      <c r="F371" s="101"/>
      <c r="G371" s="103" t="s">
        <v>382</v>
      </c>
      <c r="H371" s="101"/>
      <c r="I371" s="101" t="s">
        <v>813</v>
      </c>
      <c r="J371" s="101"/>
      <c r="K371" s="101"/>
      <c r="L371" s="101"/>
      <c r="Q371" s="47" t="s">
        <v>29</v>
      </c>
      <c r="S371" s="301">
        <v>49.529693603515618</v>
      </c>
      <c r="T371" s="96">
        <v>1</v>
      </c>
      <c r="U371" s="302">
        <f t="shared" si="22"/>
        <v>49.529693603515618</v>
      </c>
      <c r="V371" s="302">
        <f t="shared" si="23"/>
        <v>49.529693603515618</v>
      </c>
    </row>
    <row r="372" spans="1:23" ht="16" x14ac:dyDescent="0.2">
      <c r="A372" s="75" t="s">
        <v>24</v>
      </c>
      <c r="B372" s="75" t="s">
        <v>814</v>
      </c>
      <c r="C372" s="80" t="s">
        <v>281</v>
      </c>
      <c r="D372" s="76" t="s">
        <v>282</v>
      </c>
      <c r="E372" s="101" t="s">
        <v>27</v>
      </c>
      <c r="F372" s="101"/>
      <c r="G372" s="101"/>
      <c r="H372" s="101"/>
      <c r="I372" s="101" t="s">
        <v>815</v>
      </c>
      <c r="J372" s="101"/>
      <c r="K372" s="101"/>
      <c r="L372" s="101"/>
      <c r="Q372" s="47" t="s">
        <v>29</v>
      </c>
      <c r="S372" s="301"/>
      <c r="T372" s="96">
        <v>1</v>
      </c>
      <c r="U372" s="302" t="str">
        <f t="shared" si="22"/>
        <v/>
      </c>
      <c r="V372" s="302" t="str">
        <f t="shared" si="23"/>
        <v/>
      </c>
    </row>
    <row r="373" spans="1:23" x14ac:dyDescent="0.2">
      <c r="S373" s="301"/>
      <c r="T373" s="96">
        <v>1</v>
      </c>
      <c r="U373" s="302" t="str">
        <f t="shared" si="22"/>
        <v/>
      </c>
      <c r="V373" s="302" t="str">
        <f t="shared" si="23"/>
        <v/>
      </c>
    </row>
    <row r="374" spans="1:23" s="76" customFormat="1" ht="30" customHeight="1" x14ac:dyDescent="0.2">
      <c r="A374" s="79" t="s">
        <v>816</v>
      </c>
      <c r="B374" s="79" t="s">
        <v>817</v>
      </c>
      <c r="C374" s="80" t="s">
        <v>818</v>
      </c>
      <c r="D374" s="79" t="s">
        <v>819</v>
      </c>
      <c r="E374" s="103" t="s">
        <v>27</v>
      </c>
      <c r="F374" s="103"/>
      <c r="G374" s="103" t="s">
        <v>820</v>
      </c>
      <c r="H374" s="103"/>
      <c r="I374" s="103"/>
      <c r="J374" s="103"/>
      <c r="K374" s="103"/>
      <c r="L374" s="103"/>
      <c r="Q374" s="76" t="s">
        <v>41</v>
      </c>
      <c r="S374" s="301">
        <v>22.029750823974609</v>
      </c>
      <c r="T374" s="96">
        <v>1</v>
      </c>
      <c r="U374" s="302">
        <f t="shared" si="22"/>
        <v>22.029750823974609</v>
      </c>
      <c r="V374" s="302" t="str">
        <f t="shared" si="23"/>
        <v/>
      </c>
    </row>
    <row r="375" spans="1:23" s="76" customFormat="1" ht="16" x14ac:dyDescent="0.2">
      <c r="A375" s="79" t="s">
        <v>24</v>
      </c>
      <c r="B375" s="79" t="s">
        <v>821</v>
      </c>
      <c r="C375" s="80" t="s">
        <v>281</v>
      </c>
      <c r="D375" s="79" t="s">
        <v>282</v>
      </c>
      <c r="E375" s="103" t="s">
        <v>27</v>
      </c>
      <c r="F375" s="103"/>
      <c r="G375" s="103"/>
      <c r="H375" s="103"/>
      <c r="I375" s="103" t="s">
        <v>822</v>
      </c>
      <c r="J375" s="103"/>
      <c r="K375" s="103"/>
      <c r="L375" s="103"/>
      <c r="Q375" s="76" t="s">
        <v>41</v>
      </c>
      <c r="S375" s="301"/>
      <c r="T375" s="96">
        <v>1</v>
      </c>
      <c r="U375" s="302" t="str">
        <f t="shared" si="22"/>
        <v/>
      </c>
      <c r="V375" s="302" t="str">
        <f t="shared" si="23"/>
        <v/>
      </c>
    </row>
    <row r="376" spans="1:23" s="76" customFormat="1" ht="16" x14ac:dyDescent="0.2">
      <c r="A376" s="79" t="s">
        <v>823</v>
      </c>
      <c r="B376" s="299" t="s">
        <v>824</v>
      </c>
      <c r="C376" s="80" t="s">
        <v>825</v>
      </c>
      <c r="D376" s="79" t="s">
        <v>826</v>
      </c>
      <c r="E376" s="103" t="s">
        <v>27</v>
      </c>
      <c r="F376" s="103"/>
      <c r="G376" s="103"/>
      <c r="H376" s="103"/>
      <c r="I376" s="103" t="s">
        <v>827</v>
      </c>
      <c r="J376" s="103"/>
      <c r="K376" s="103"/>
      <c r="L376" s="103"/>
      <c r="Q376" s="76" t="s">
        <v>41</v>
      </c>
      <c r="S376" s="301">
        <v>17</v>
      </c>
      <c r="T376" s="96">
        <v>1</v>
      </c>
      <c r="U376" s="302">
        <f t="shared" si="22"/>
        <v>17</v>
      </c>
      <c r="V376" s="302" t="str">
        <f t="shared" si="23"/>
        <v/>
      </c>
    </row>
    <row r="377" spans="1:23" s="236" customFormat="1" ht="45" customHeight="1" x14ac:dyDescent="0.2">
      <c r="A377" s="229" t="s">
        <v>828</v>
      </c>
      <c r="B377" s="229" t="s">
        <v>829</v>
      </c>
      <c r="C377" s="232" t="s">
        <v>830</v>
      </c>
      <c r="E377" s="237"/>
      <c r="F377" s="237"/>
      <c r="G377" s="237"/>
      <c r="H377" s="237"/>
      <c r="I377" s="237"/>
      <c r="J377" s="237"/>
      <c r="K377" s="237"/>
      <c r="L377" s="237"/>
      <c r="N377" s="229"/>
      <c r="Q377" s="230"/>
    </row>
    <row r="378" spans="1:23" s="77" customFormat="1" x14ac:dyDescent="0.2">
      <c r="C378" s="78"/>
      <c r="E378" s="102"/>
      <c r="F378" s="102"/>
      <c r="G378" s="102"/>
      <c r="H378" s="102"/>
      <c r="I378" s="102"/>
      <c r="J378" s="102"/>
      <c r="K378" s="102"/>
      <c r="L378" s="102"/>
      <c r="N378" s="47"/>
      <c r="S378" s="301"/>
      <c r="T378" s="96"/>
      <c r="U378" s="302"/>
      <c r="V378" s="302"/>
      <c r="W378" s="76"/>
    </row>
    <row r="379" spans="1:23" ht="15.75" customHeight="1" thickBot="1" x14ac:dyDescent="0.25">
      <c r="A379" s="92" t="s">
        <v>102</v>
      </c>
      <c r="B379" s="92"/>
      <c r="C379" s="93"/>
      <c r="D379" s="92"/>
      <c r="E379" s="114"/>
      <c r="F379" s="114"/>
      <c r="G379" s="114"/>
      <c r="H379" s="114"/>
      <c r="I379" s="114"/>
      <c r="J379" s="114"/>
      <c r="K379" s="114"/>
      <c r="L379" s="114"/>
      <c r="S379" s="301"/>
      <c r="U379" s="302" t="str">
        <f t="shared" ref="U379:U393" si="24">IF(S379&lt;&gt;"",S379*T379,"")</f>
        <v/>
      </c>
      <c r="V379" s="302" t="str">
        <f t="shared" ref="V379:V393" si="25">IF(AND(S379&lt;&gt;"",Q379="yes"),S379*T379,"")</f>
        <v/>
      </c>
    </row>
    <row r="380" spans="1:23" s="73" customFormat="1" ht="15.75" customHeight="1" thickTop="1" x14ac:dyDescent="0.2">
      <c r="A380" s="72" t="s">
        <v>48</v>
      </c>
      <c r="B380" s="72" t="s">
        <v>831</v>
      </c>
      <c r="C380" s="86" t="s">
        <v>832</v>
      </c>
      <c r="D380" s="72"/>
      <c r="E380" s="106" t="s">
        <v>40</v>
      </c>
      <c r="F380" s="106"/>
      <c r="G380" s="106"/>
      <c r="H380" s="106"/>
      <c r="I380" s="106" t="s">
        <v>105</v>
      </c>
      <c r="J380" s="106"/>
      <c r="K380" s="106"/>
      <c r="L380" s="106"/>
      <c r="Q380" s="47" t="s">
        <v>29</v>
      </c>
      <c r="S380" s="301"/>
      <c r="T380" s="149"/>
      <c r="U380" s="302" t="str">
        <f t="shared" si="24"/>
        <v/>
      </c>
      <c r="V380" s="302" t="str">
        <f t="shared" si="25"/>
        <v/>
      </c>
      <c r="W380" s="74"/>
    </row>
    <row r="381" spans="1:23" s="73" customFormat="1" x14ac:dyDescent="0.2">
      <c r="C381" s="87"/>
      <c r="E381" s="107"/>
      <c r="F381" s="107"/>
      <c r="G381" s="107"/>
      <c r="H381" s="107"/>
      <c r="I381" s="107"/>
      <c r="J381" s="107"/>
      <c r="K381" s="107"/>
      <c r="L381" s="107"/>
      <c r="Q381" s="47"/>
      <c r="S381" s="301"/>
      <c r="T381" s="96">
        <v>1</v>
      </c>
      <c r="U381" s="302" t="str">
        <f t="shared" si="24"/>
        <v/>
      </c>
      <c r="V381" s="302" t="str">
        <f t="shared" si="25"/>
        <v/>
      </c>
      <c r="W381" s="74"/>
    </row>
    <row r="382" spans="1:23" ht="30" customHeight="1" x14ac:dyDescent="0.2">
      <c r="A382" s="75" t="s">
        <v>42</v>
      </c>
      <c r="B382" s="75" t="s">
        <v>833</v>
      </c>
      <c r="C382" s="46" t="s">
        <v>834</v>
      </c>
      <c r="D382" s="75" t="s">
        <v>835</v>
      </c>
      <c r="E382" s="101" t="s">
        <v>27</v>
      </c>
      <c r="F382" s="101"/>
      <c r="G382" s="101"/>
      <c r="H382" s="101"/>
      <c r="I382" s="101"/>
      <c r="J382" s="101"/>
      <c r="K382" s="101"/>
      <c r="L382" s="101"/>
      <c r="Q382" s="47" t="s">
        <v>29</v>
      </c>
      <c r="S382" s="301">
        <v>36.783046722412109</v>
      </c>
      <c r="T382" s="96">
        <v>1</v>
      </c>
      <c r="U382" s="302">
        <f t="shared" si="24"/>
        <v>36.783046722412109</v>
      </c>
      <c r="V382" s="302">
        <f t="shared" si="25"/>
        <v>36.783046722412109</v>
      </c>
    </row>
    <row r="383" spans="1:23" x14ac:dyDescent="0.2">
      <c r="S383" s="301"/>
      <c r="T383" s="96">
        <v>1</v>
      </c>
      <c r="U383" s="302" t="str">
        <f t="shared" si="24"/>
        <v/>
      </c>
      <c r="V383" s="302" t="str">
        <f t="shared" si="25"/>
        <v/>
      </c>
    </row>
    <row r="384" spans="1:23" s="88" customFormat="1" ht="30" customHeight="1" x14ac:dyDescent="0.2">
      <c r="A384" s="143" t="s">
        <v>106</v>
      </c>
      <c r="B384" s="143" t="s">
        <v>836</v>
      </c>
      <c r="C384" s="154" t="s">
        <v>837</v>
      </c>
      <c r="D384" s="143" t="s">
        <v>835</v>
      </c>
      <c r="E384" s="155" t="s">
        <v>27</v>
      </c>
      <c r="F384" s="155"/>
      <c r="G384" s="109"/>
      <c r="H384" s="155"/>
      <c r="I384" s="155" t="s">
        <v>838</v>
      </c>
      <c r="J384" s="109"/>
      <c r="K384" s="109"/>
      <c r="L384" s="109"/>
      <c r="Q384" s="143" t="s">
        <v>839</v>
      </c>
      <c r="S384" s="301">
        <v>10</v>
      </c>
      <c r="T384" s="96">
        <v>1</v>
      </c>
      <c r="U384" s="302">
        <f t="shared" si="24"/>
        <v>10</v>
      </c>
      <c r="V384" s="302" t="str">
        <f t="shared" si="25"/>
        <v/>
      </c>
    </row>
    <row r="385" spans="1:23" s="88" customFormat="1" ht="16" x14ac:dyDescent="0.2">
      <c r="A385" s="143" t="s">
        <v>840</v>
      </c>
      <c r="B385" s="143" t="s">
        <v>841</v>
      </c>
      <c r="C385" s="154" t="s">
        <v>842</v>
      </c>
      <c r="D385" s="143" t="s">
        <v>835</v>
      </c>
      <c r="E385" s="155" t="s">
        <v>27</v>
      </c>
      <c r="F385" s="155"/>
      <c r="G385" s="109"/>
      <c r="H385" s="155"/>
      <c r="I385" s="155" t="s">
        <v>843</v>
      </c>
      <c r="J385" s="109"/>
      <c r="K385" s="109"/>
      <c r="L385" s="109"/>
      <c r="Q385" s="143" t="s">
        <v>839</v>
      </c>
      <c r="S385" s="301">
        <v>10</v>
      </c>
      <c r="T385" s="96">
        <v>1</v>
      </c>
      <c r="U385" s="302">
        <f t="shared" si="24"/>
        <v>10</v>
      </c>
      <c r="V385" s="302" t="str">
        <f t="shared" si="25"/>
        <v/>
      </c>
    </row>
    <row r="386" spans="1:23" s="77" customFormat="1" ht="16" x14ac:dyDescent="0.2">
      <c r="A386" s="143" t="s">
        <v>24</v>
      </c>
      <c r="B386" s="143" t="s">
        <v>844</v>
      </c>
      <c r="C386" s="154" t="s">
        <v>845</v>
      </c>
      <c r="D386" s="143"/>
      <c r="E386" s="155" t="s">
        <v>27</v>
      </c>
      <c r="F386" s="155" t="s">
        <v>68</v>
      </c>
      <c r="G386" s="102" t="s">
        <v>69</v>
      </c>
      <c r="H386" s="155" t="s">
        <v>70</v>
      </c>
      <c r="I386" s="155" t="s">
        <v>843</v>
      </c>
      <c r="J386" s="102"/>
      <c r="K386" s="102"/>
      <c r="L386" s="102"/>
      <c r="Q386" s="143" t="s">
        <v>839</v>
      </c>
      <c r="S386" s="301">
        <v>10</v>
      </c>
      <c r="T386" s="96">
        <v>1</v>
      </c>
      <c r="U386" s="302">
        <f t="shared" si="24"/>
        <v>10</v>
      </c>
      <c r="V386" s="302" t="str">
        <f t="shared" si="25"/>
        <v/>
      </c>
      <c r="W386" s="76"/>
    </row>
    <row r="387" spans="1:23" s="77" customFormat="1" ht="16" x14ac:dyDescent="0.2">
      <c r="A387" s="143" t="s">
        <v>24</v>
      </c>
      <c r="B387" s="143" t="s">
        <v>846</v>
      </c>
      <c r="C387" s="154" t="s">
        <v>847</v>
      </c>
      <c r="D387" s="143"/>
      <c r="E387" s="155" t="s">
        <v>27</v>
      </c>
      <c r="F387" s="155"/>
      <c r="G387" s="102"/>
      <c r="H387" s="155"/>
      <c r="I387" s="155" t="s">
        <v>843</v>
      </c>
      <c r="J387" s="102"/>
      <c r="K387" s="102"/>
      <c r="L387" s="102"/>
      <c r="Q387" s="143" t="s">
        <v>839</v>
      </c>
      <c r="S387" s="301">
        <v>10</v>
      </c>
      <c r="T387" s="96">
        <v>1</v>
      </c>
      <c r="U387" s="302">
        <f t="shared" si="24"/>
        <v>10</v>
      </c>
      <c r="V387" s="302" t="str">
        <f t="shared" si="25"/>
        <v/>
      </c>
      <c r="W387" s="76"/>
    </row>
    <row r="388" spans="1:23" s="77" customFormat="1" x14ac:dyDescent="0.2">
      <c r="C388" s="78"/>
      <c r="E388" s="102"/>
      <c r="F388" s="102"/>
      <c r="G388" s="102"/>
      <c r="H388" s="102"/>
      <c r="I388" s="102"/>
      <c r="J388" s="102"/>
      <c r="K388" s="102"/>
      <c r="L388" s="102"/>
      <c r="S388" s="301"/>
      <c r="T388" s="96">
        <v>1</v>
      </c>
      <c r="U388" s="302" t="str">
        <f t="shared" si="24"/>
        <v/>
      </c>
      <c r="V388" s="302" t="str">
        <f t="shared" si="25"/>
        <v/>
      </c>
      <c r="W388" s="76"/>
    </row>
    <row r="389" spans="1:23" ht="16" x14ac:dyDescent="0.2">
      <c r="A389" s="75" t="s">
        <v>848</v>
      </c>
      <c r="B389" s="75" t="s">
        <v>849</v>
      </c>
      <c r="C389" s="46" t="s">
        <v>850</v>
      </c>
      <c r="D389" s="75" t="s">
        <v>835</v>
      </c>
      <c r="E389" s="101" t="s">
        <v>27</v>
      </c>
      <c r="F389" s="101"/>
      <c r="G389" s="101"/>
      <c r="H389" s="101"/>
      <c r="I389" s="101"/>
      <c r="J389" s="101"/>
      <c r="K389" s="101"/>
      <c r="L389" s="101"/>
      <c r="Q389" s="47" t="s">
        <v>29</v>
      </c>
      <c r="S389" s="301">
        <v>3</v>
      </c>
      <c r="T389" s="96">
        <v>1</v>
      </c>
      <c r="U389" s="302">
        <f t="shared" si="24"/>
        <v>3</v>
      </c>
      <c r="V389" s="302">
        <f t="shared" si="25"/>
        <v>3</v>
      </c>
    </row>
    <row r="390" spans="1:23" x14ac:dyDescent="0.2">
      <c r="S390" s="301"/>
      <c r="T390" s="96">
        <v>1</v>
      </c>
      <c r="U390" s="302" t="str">
        <f t="shared" si="24"/>
        <v/>
      </c>
      <c r="V390" s="302" t="str">
        <f t="shared" si="25"/>
        <v/>
      </c>
    </row>
    <row r="391" spans="1:23" ht="16" x14ac:dyDescent="0.2">
      <c r="A391" s="75" t="s">
        <v>36</v>
      </c>
      <c r="B391" s="75" t="s">
        <v>851</v>
      </c>
      <c r="C391" s="46" t="s">
        <v>852</v>
      </c>
      <c r="D391" s="75"/>
      <c r="E391" s="101" t="s">
        <v>40</v>
      </c>
      <c r="F391" s="101"/>
      <c r="G391" s="101"/>
      <c r="H391" s="101"/>
      <c r="I391" s="101"/>
      <c r="J391" s="101"/>
      <c r="K391" s="101"/>
      <c r="L391" s="101"/>
      <c r="Q391" s="47" t="s">
        <v>41</v>
      </c>
      <c r="S391" s="301">
        <v>0</v>
      </c>
      <c r="T391" s="96">
        <v>1</v>
      </c>
      <c r="U391" s="302">
        <f t="shared" si="24"/>
        <v>0</v>
      </c>
      <c r="V391" s="302" t="str">
        <f t="shared" si="25"/>
        <v/>
      </c>
    </row>
    <row r="392" spans="1:23" x14ac:dyDescent="0.2">
      <c r="S392" s="301"/>
      <c r="T392" s="96">
        <v>1</v>
      </c>
      <c r="U392" s="302" t="str">
        <f t="shared" si="24"/>
        <v/>
      </c>
      <c r="V392" s="302" t="str">
        <f t="shared" si="25"/>
        <v/>
      </c>
    </row>
    <row r="393" spans="1:23" ht="15.75" customHeight="1" thickBot="1" x14ac:dyDescent="0.25">
      <c r="A393" s="92" t="s">
        <v>102</v>
      </c>
      <c r="B393" s="92"/>
      <c r="C393" s="93"/>
      <c r="D393" s="92"/>
      <c r="E393" s="114"/>
      <c r="F393" s="114"/>
      <c r="G393" s="114"/>
      <c r="H393" s="114"/>
      <c r="I393" s="114"/>
      <c r="J393" s="114"/>
      <c r="K393" s="114"/>
      <c r="L393" s="114"/>
      <c r="S393" s="301"/>
      <c r="U393" s="302" t="str">
        <f t="shared" si="24"/>
        <v/>
      </c>
      <c r="V393" s="302" t="str">
        <f t="shared" si="25"/>
        <v/>
      </c>
    </row>
    <row r="394" spans="1:23" s="77" customFormat="1" ht="15.75" customHeight="1" thickTop="1" x14ac:dyDescent="0.2">
      <c r="C394" s="78"/>
      <c r="E394" s="102"/>
      <c r="F394" s="102"/>
      <c r="G394" s="102"/>
      <c r="H394" s="102"/>
      <c r="I394" s="102"/>
      <c r="J394" s="102"/>
      <c r="K394" s="102"/>
      <c r="L394" s="102"/>
      <c r="S394" s="301"/>
      <c r="T394" s="179"/>
      <c r="U394" s="304"/>
    </row>
    <row r="395" spans="1:23" ht="16" x14ac:dyDescent="0.2">
      <c r="A395" s="75" t="s">
        <v>853</v>
      </c>
      <c r="B395" s="75" t="s">
        <v>854</v>
      </c>
      <c r="C395" s="46" t="s">
        <v>855</v>
      </c>
      <c r="D395" s="75"/>
      <c r="E395" s="101" t="s">
        <v>27</v>
      </c>
      <c r="F395" s="101"/>
      <c r="G395" s="101"/>
      <c r="H395" s="101"/>
      <c r="I395" s="101" t="s">
        <v>51</v>
      </c>
      <c r="J395" s="101"/>
      <c r="K395" s="101"/>
      <c r="L395" s="101"/>
      <c r="Q395" s="47" t="s">
        <v>41</v>
      </c>
      <c r="S395" s="301"/>
      <c r="U395" s="302"/>
    </row>
    <row r="396" spans="1:23" s="77" customFormat="1" ht="16" x14ac:dyDescent="0.2">
      <c r="A396" s="77" t="s">
        <v>24</v>
      </c>
      <c r="B396" s="77" t="s">
        <v>856</v>
      </c>
      <c r="C396" s="78" t="s">
        <v>857</v>
      </c>
      <c r="D396" s="77" t="s">
        <v>858</v>
      </c>
      <c r="E396" s="102" t="s">
        <v>40</v>
      </c>
      <c r="F396" s="102"/>
      <c r="G396" s="102"/>
      <c r="H396" s="102"/>
      <c r="I396" s="102"/>
      <c r="J396" s="102"/>
      <c r="K396" s="102"/>
      <c r="L396" s="102"/>
      <c r="Q396" s="77" t="s">
        <v>41</v>
      </c>
      <c r="S396" s="301"/>
      <c r="T396" s="96"/>
      <c r="U396" s="302"/>
      <c r="V396" s="302" t="str">
        <f>IF(AND(S396&lt;&gt;"",Q396="yes"),S396*T396,"")</f>
        <v/>
      </c>
    </row>
    <row r="397" spans="1:23" x14ac:dyDescent="0.2">
      <c r="A397" s="75" t="s">
        <v>30</v>
      </c>
      <c r="B397" s="75" t="s">
        <v>859</v>
      </c>
      <c r="C397" s="46"/>
      <c r="D397" s="75"/>
      <c r="E397" s="101" t="s">
        <v>40</v>
      </c>
      <c r="F397" s="101"/>
      <c r="G397" s="101"/>
      <c r="H397" s="101"/>
      <c r="I397" s="101"/>
      <c r="J397" s="101"/>
      <c r="K397" s="101"/>
      <c r="L397" s="101" t="s">
        <v>860</v>
      </c>
      <c r="Q397" s="47" t="s">
        <v>41</v>
      </c>
      <c r="S397" s="301"/>
    </row>
    <row r="398" spans="1:23" x14ac:dyDescent="0.2">
      <c r="S398" s="301"/>
    </row>
    <row r="402" spans="15:22" ht="15.75" customHeight="1" thickBot="1" x14ac:dyDescent="0.25"/>
    <row r="403" spans="15:22" ht="16.5" customHeight="1" thickBot="1" x14ac:dyDescent="0.25">
      <c r="O403" s="170" t="s">
        <v>861</v>
      </c>
      <c r="P403" s="171"/>
      <c r="Q403" s="171"/>
      <c r="R403" s="171"/>
      <c r="S403" s="165"/>
      <c r="T403" s="150"/>
      <c r="U403" s="151">
        <f>(SUM(U4:U391)/60)</f>
        <v>27.57682898614512</v>
      </c>
      <c r="V403" s="151">
        <f>(SUM(V4:V48)+AVERAGE(V50:V53)+SUM(V54:V391))/60</f>
        <v>17.374864741472127</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96"/>
  <sheetViews>
    <sheetView tabSelected="1" zoomScale="110" zoomScaleNormal="110" workbookViewId="0">
      <pane ySplit="1" topLeftCell="A215" activePane="bottomLeft" state="frozen"/>
      <selection pane="bottomLeft" activeCell="B247" sqref="B247"/>
    </sheetView>
  </sheetViews>
  <sheetFormatPr baseColWidth="10" defaultColWidth="8.83203125" defaultRowHeight="15" x14ac:dyDescent="0.2"/>
  <cols>
    <col min="1" max="1" width="20.1640625" style="3" bestFit="1" customWidth="1"/>
    <col min="2" max="2" width="30" style="3" customWidth="1"/>
    <col min="3" max="3" width="27.1640625" style="3" customWidth="1"/>
    <col min="4" max="4" width="20" style="3" customWidth="1"/>
    <col min="5" max="5" width="16.1640625" style="3" customWidth="1"/>
    <col min="6" max="7" width="8.83203125" style="3" customWidth="1"/>
    <col min="8" max="16384" width="8.83203125" style="3"/>
  </cols>
  <sheetData>
    <row r="1" spans="1:5" x14ac:dyDescent="0.2">
      <c r="A1" s="6" t="s">
        <v>862</v>
      </c>
      <c r="B1" s="6" t="s">
        <v>1</v>
      </c>
      <c r="C1" s="6" t="s">
        <v>2</v>
      </c>
      <c r="D1" s="1" t="s">
        <v>863</v>
      </c>
      <c r="E1" s="6" t="s">
        <v>864</v>
      </c>
    </row>
    <row r="2" spans="1:5" x14ac:dyDescent="0.2">
      <c r="A2" s="2"/>
      <c r="B2" s="2"/>
      <c r="C2" s="2"/>
      <c r="D2" s="1"/>
      <c r="E2" s="2"/>
    </row>
    <row r="3" spans="1:5" s="281" customFormat="1" x14ac:dyDescent="0.2">
      <c r="A3" s="282" t="s">
        <v>25</v>
      </c>
      <c r="B3" s="281">
        <v>1</v>
      </c>
      <c r="C3" s="283" t="s">
        <v>865</v>
      </c>
    </row>
    <row r="4" spans="1:5" s="281" customFormat="1" x14ac:dyDescent="0.2">
      <c r="A4" s="282" t="s">
        <v>25</v>
      </c>
      <c r="B4" s="281">
        <v>2</v>
      </c>
      <c r="C4" s="283" t="s">
        <v>866</v>
      </c>
    </row>
    <row r="5" spans="1:5" s="281" customFormat="1" x14ac:dyDescent="0.2">
      <c r="A5" s="282" t="s">
        <v>25</v>
      </c>
      <c r="B5" s="281">
        <v>3</v>
      </c>
      <c r="C5" s="283" t="s">
        <v>867</v>
      </c>
    </row>
    <row r="6" spans="1:5" x14ac:dyDescent="0.2">
      <c r="D6" s="4"/>
    </row>
    <row r="7" spans="1:5" x14ac:dyDescent="0.2">
      <c r="A7" t="s">
        <v>868</v>
      </c>
      <c r="B7">
        <v>1</v>
      </c>
      <c r="C7" t="s">
        <v>869</v>
      </c>
      <c r="D7" s="4"/>
    </row>
    <row r="8" spans="1:5" x14ac:dyDescent="0.2">
      <c r="A8" t="s">
        <v>868</v>
      </c>
      <c r="B8">
        <v>2</v>
      </c>
      <c r="C8" t="s">
        <v>870</v>
      </c>
      <c r="D8" s="4"/>
    </row>
    <row r="9" spans="1:5" x14ac:dyDescent="0.2">
      <c r="A9" t="s">
        <v>868</v>
      </c>
      <c r="B9" s="18">
        <v>3</v>
      </c>
      <c r="C9" t="s">
        <v>871</v>
      </c>
      <c r="D9" s="4"/>
    </row>
    <row r="10" spans="1:5" x14ac:dyDescent="0.2">
      <c r="A10" t="s">
        <v>868</v>
      </c>
      <c r="B10" s="18">
        <v>4</v>
      </c>
      <c r="C10" t="s">
        <v>872</v>
      </c>
      <c r="D10" s="4"/>
    </row>
    <row r="11" spans="1:5" x14ac:dyDescent="0.2">
      <c r="D11" s="4"/>
    </row>
    <row r="12" spans="1:5" x14ac:dyDescent="0.2">
      <c r="A12" t="s">
        <v>873</v>
      </c>
      <c r="B12" t="s">
        <v>873</v>
      </c>
      <c r="C12" t="s">
        <v>873</v>
      </c>
      <c r="D12" s="4"/>
    </row>
    <row r="13" spans="1:5" x14ac:dyDescent="0.2">
      <c r="D13" s="4"/>
    </row>
    <row r="14" spans="1:5" x14ac:dyDescent="0.2">
      <c r="A14" t="s">
        <v>874</v>
      </c>
      <c r="B14">
        <v>1</v>
      </c>
      <c r="C14" t="s">
        <v>875</v>
      </c>
      <c r="D14" s="4"/>
    </row>
    <row r="15" spans="1:5" x14ac:dyDescent="0.2">
      <c r="A15" t="s">
        <v>874</v>
      </c>
      <c r="B15">
        <v>2</v>
      </c>
      <c r="C15" t="s">
        <v>876</v>
      </c>
      <c r="D15" s="4"/>
    </row>
    <row r="16" spans="1:5" x14ac:dyDescent="0.2">
      <c r="D16" s="4"/>
    </row>
    <row r="17" spans="1:4" s="11" customFormat="1" x14ac:dyDescent="0.2">
      <c r="A17" s="17" t="s">
        <v>877</v>
      </c>
      <c r="B17" s="17" t="s">
        <v>878</v>
      </c>
      <c r="C17" s="17" t="s">
        <v>879</v>
      </c>
      <c r="D17" s="7"/>
    </row>
    <row r="18" spans="1:4" s="11" customFormat="1" x14ac:dyDescent="0.2">
      <c r="A18" s="15" t="s">
        <v>877</v>
      </c>
      <c r="B18" s="5" t="s">
        <v>880</v>
      </c>
      <c r="C18" s="5" t="s">
        <v>881</v>
      </c>
      <c r="D18" s="7"/>
    </row>
    <row r="19" spans="1:4" s="11" customFormat="1" x14ac:dyDescent="0.2">
      <c r="A19" s="15" t="s">
        <v>877</v>
      </c>
      <c r="B19" s="5" t="s">
        <v>882</v>
      </c>
      <c r="C19" s="5" t="s">
        <v>883</v>
      </c>
      <c r="D19" s="7"/>
    </row>
    <row r="20" spans="1:4" s="11" customFormat="1" x14ac:dyDescent="0.2">
      <c r="A20" s="15" t="s">
        <v>877</v>
      </c>
      <c r="B20" s="5" t="s">
        <v>884</v>
      </c>
      <c r="C20" s="5" t="s">
        <v>885</v>
      </c>
      <c r="D20" s="7"/>
    </row>
    <row r="21" spans="1:4" s="11" customFormat="1" x14ac:dyDescent="0.2">
      <c r="A21" s="15" t="s">
        <v>877</v>
      </c>
      <c r="B21" s="5" t="s">
        <v>886</v>
      </c>
      <c r="C21" s="5" t="s">
        <v>887</v>
      </c>
      <c r="D21" s="7"/>
    </row>
    <row r="22" spans="1:4" s="11" customFormat="1" x14ac:dyDescent="0.2">
      <c r="A22" s="15" t="s">
        <v>877</v>
      </c>
      <c r="B22" s="5" t="s">
        <v>888</v>
      </c>
      <c r="C22" s="5" t="s">
        <v>889</v>
      </c>
      <c r="D22" s="7"/>
    </row>
    <row r="23" spans="1:4" s="11" customFormat="1" x14ac:dyDescent="0.2">
      <c r="A23" s="15" t="s">
        <v>877</v>
      </c>
      <c r="B23" s="5" t="s">
        <v>890</v>
      </c>
      <c r="C23" s="5" t="s">
        <v>891</v>
      </c>
      <c r="D23" s="7"/>
    </row>
    <row r="24" spans="1:4" s="11" customFormat="1" x14ac:dyDescent="0.2">
      <c r="A24" s="15" t="s">
        <v>877</v>
      </c>
      <c r="B24" s="5" t="s">
        <v>892</v>
      </c>
      <c r="C24" s="5" t="s">
        <v>893</v>
      </c>
      <c r="D24" s="7"/>
    </row>
    <row r="25" spans="1:4" s="11" customFormat="1" x14ac:dyDescent="0.2">
      <c r="A25" s="15" t="s">
        <v>877</v>
      </c>
      <c r="B25" s="5" t="s">
        <v>894</v>
      </c>
      <c r="C25" s="5" t="s">
        <v>895</v>
      </c>
      <c r="D25" s="7"/>
    </row>
    <row r="26" spans="1:4" x14ac:dyDescent="0.2">
      <c r="A26" s="15" t="s">
        <v>877</v>
      </c>
      <c r="B26" s="5" t="s">
        <v>896</v>
      </c>
      <c r="C26" s="5" t="s">
        <v>896</v>
      </c>
      <c r="D26" s="4"/>
    </row>
    <row r="27" spans="1:4" x14ac:dyDescent="0.2">
      <c r="D27" s="4"/>
    </row>
    <row r="28" spans="1:4" x14ac:dyDescent="0.2">
      <c r="A28" t="s">
        <v>897</v>
      </c>
      <c r="B28">
        <v>1</v>
      </c>
      <c r="C28" t="s">
        <v>898</v>
      </c>
      <c r="D28" s="4"/>
    </row>
    <row r="29" spans="1:4" x14ac:dyDescent="0.2">
      <c r="A29" t="s">
        <v>897</v>
      </c>
      <c r="B29">
        <v>2</v>
      </c>
      <c r="C29" t="s">
        <v>899</v>
      </c>
      <c r="D29" s="4"/>
    </row>
    <row r="30" spans="1:4" x14ac:dyDescent="0.2">
      <c r="A30" t="s">
        <v>897</v>
      </c>
      <c r="B30" s="18">
        <v>3</v>
      </c>
      <c r="C30" s="17" t="s">
        <v>871</v>
      </c>
      <c r="D30" s="4"/>
    </row>
    <row r="31" spans="1:4" x14ac:dyDescent="0.2">
      <c r="A31" t="s">
        <v>897</v>
      </c>
      <c r="B31" s="18">
        <v>4</v>
      </c>
      <c r="C31" s="17" t="s">
        <v>872</v>
      </c>
      <c r="D31" s="4"/>
    </row>
    <row r="32" spans="1:4" x14ac:dyDescent="0.2">
      <c r="C32" s="15"/>
      <c r="D32" s="4"/>
    </row>
    <row r="33" spans="1:4" x14ac:dyDescent="0.2">
      <c r="A33" t="s">
        <v>900</v>
      </c>
      <c r="B33">
        <v>1</v>
      </c>
      <c r="C33" s="17" t="s">
        <v>901</v>
      </c>
      <c r="D33" s="4"/>
    </row>
    <row r="34" spans="1:4" x14ac:dyDescent="0.2">
      <c r="A34" t="s">
        <v>900</v>
      </c>
      <c r="B34">
        <v>2</v>
      </c>
      <c r="C34" s="17" t="s">
        <v>902</v>
      </c>
      <c r="D34" s="4"/>
    </row>
    <row r="35" spans="1:4" x14ac:dyDescent="0.2">
      <c r="A35" t="s">
        <v>900</v>
      </c>
      <c r="B35">
        <v>3</v>
      </c>
      <c r="C35" s="17" t="s">
        <v>870</v>
      </c>
      <c r="D35" s="4"/>
    </row>
    <row r="36" spans="1:4" x14ac:dyDescent="0.2">
      <c r="C36" s="15"/>
      <c r="D36" s="4"/>
    </row>
    <row r="37" spans="1:4" x14ac:dyDescent="0.2">
      <c r="A37" t="s">
        <v>903</v>
      </c>
      <c r="B37">
        <v>1</v>
      </c>
      <c r="C37" t="s">
        <v>904</v>
      </c>
      <c r="D37" s="4"/>
    </row>
    <row r="38" spans="1:4" x14ac:dyDescent="0.2">
      <c r="A38" t="s">
        <v>903</v>
      </c>
      <c r="B38">
        <v>2</v>
      </c>
      <c r="C38" t="s">
        <v>905</v>
      </c>
      <c r="D38" s="4"/>
    </row>
    <row r="39" spans="1:4" x14ac:dyDescent="0.2">
      <c r="A39" t="s">
        <v>903</v>
      </c>
      <c r="B39">
        <v>3</v>
      </c>
      <c r="C39" t="s">
        <v>906</v>
      </c>
      <c r="D39" s="4"/>
    </row>
    <row r="40" spans="1:4" x14ac:dyDescent="0.2">
      <c r="A40" t="s">
        <v>903</v>
      </c>
      <c r="B40">
        <v>4</v>
      </c>
      <c r="C40" t="s">
        <v>876</v>
      </c>
      <c r="D40" s="4"/>
    </row>
    <row r="41" spans="1:4" x14ac:dyDescent="0.2">
      <c r="A41" t="s">
        <v>903</v>
      </c>
      <c r="B41" s="18">
        <v>5</v>
      </c>
      <c r="C41" s="17" t="s">
        <v>871</v>
      </c>
      <c r="D41" s="4"/>
    </row>
    <row r="42" spans="1:4" x14ac:dyDescent="0.2">
      <c r="A42" t="s">
        <v>903</v>
      </c>
      <c r="B42" s="18">
        <v>6</v>
      </c>
      <c r="C42" t="s">
        <v>872</v>
      </c>
      <c r="D42" s="4"/>
    </row>
    <row r="43" spans="1:4" x14ac:dyDescent="0.2">
      <c r="D43" s="4"/>
    </row>
    <row r="44" spans="1:4" x14ac:dyDescent="0.2">
      <c r="A44" t="s">
        <v>907</v>
      </c>
      <c r="B44">
        <v>1</v>
      </c>
      <c r="C44" s="17" t="s">
        <v>908</v>
      </c>
      <c r="D44" s="4"/>
    </row>
    <row r="45" spans="1:4" x14ac:dyDescent="0.2">
      <c r="A45" t="s">
        <v>907</v>
      </c>
      <c r="B45">
        <v>2</v>
      </c>
      <c r="C45" s="17" t="s">
        <v>909</v>
      </c>
      <c r="D45" s="4"/>
    </row>
    <row r="46" spans="1:4" x14ac:dyDescent="0.2">
      <c r="A46" t="s">
        <v>907</v>
      </c>
      <c r="B46">
        <v>3</v>
      </c>
      <c r="C46" s="17" t="s">
        <v>910</v>
      </c>
      <c r="D46" s="4"/>
    </row>
    <row r="47" spans="1:4" x14ac:dyDescent="0.2">
      <c r="A47" t="s">
        <v>907</v>
      </c>
      <c r="B47">
        <v>4</v>
      </c>
      <c r="C47" s="17" t="s">
        <v>911</v>
      </c>
      <c r="D47" s="4"/>
    </row>
    <row r="48" spans="1:4" x14ac:dyDescent="0.2">
      <c r="A48" t="s">
        <v>907</v>
      </c>
      <c r="B48">
        <v>5</v>
      </c>
      <c r="C48" s="17" t="s">
        <v>912</v>
      </c>
      <c r="D48" s="4"/>
    </row>
    <row r="49" spans="1:4" x14ac:dyDescent="0.2">
      <c r="A49" t="s">
        <v>907</v>
      </c>
      <c r="B49" s="18">
        <v>6</v>
      </c>
      <c r="C49" t="s">
        <v>871</v>
      </c>
      <c r="D49" s="4"/>
    </row>
    <row r="50" spans="1:4" x14ac:dyDescent="0.2">
      <c r="A50" t="s">
        <v>907</v>
      </c>
      <c r="B50" s="18">
        <v>7</v>
      </c>
      <c r="C50" t="s">
        <v>872</v>
      </c>
      <c r="D50" s="4"/>
    </row>
    <row r="51" spans="1:4" x14ac:dyDescent="0.2">
      <c r="B51" s="10"/>
      <c r="D51" s="4"/>
    </row>
    <row r="52" spans="1:4" x14ac:dyDescent="0.2">
      <c r="A52" t="s">
        <v>913</v>
      </c>
      <c r="B52" s="18">
        <v>1</v>
      </c>
      <c r="C52" t="s">
        <v>914</v>
      </c>
      <c r="D52" s="4"/>
    </row>
    <row r="53" spans="1:4" x14ac:dyDescent="0.2">
      <c r="A53" t="s">
        <v>913</v>
      </c>
      <c r="B53" s="18">
        <v>2</v>
      </c>
      <c r="C53" t="s">
        <v>915</v>
      </c>
      <c r="D53" s="4"/>
    </row>
    <row r="54" spans="1:4" x14ac:dyDescent="0.2">
      <c r="A54" t="s">
        <v>913</v>
      </c>
      <c r="B54" s="18">
        <v>3</v>
      </c>
      <c r="C54" t="s">
        <v>916</v>
      </c>
      <c r="D54" s="4"/>
    </row>
    <row r="55" spans="1:4" x14ac:dyDescent="0.2">
      <c r="A55" t="s">
        <v>913</v>
      </c>
      <c r="B55" s="18">
        <v>4</v>
      </c>
      <c r="C55" t="s">
        <v>917</v>
      </c>
      <c r="D55" s="4"/>
    </row>
    <row r="56" spans="1:4" x14ac:dyDescent="0.2">
      <c r="A56" t="s">
        <v>913</v>
      </c>
      <c r="B56" s="18">
        <v>5</v>
      </c>
      <c r="C56" t="s">
        <v>918</v>
      </c>
      <c r="D56" s="4"/>
    </row>
    <row r="57" spans="1:4" x14ac:dyDescent="0.2">
      <c r="A57" t="s">
        <v>913</v>
      </c>
      <c r="B57" s="18">
        <v>6</v>
      </c>
      <c r="C57" t="s">
        <v>919</v>
      </c>
      <c r="D57" s="4"/>
    </row>
    <row r="58" spans="1:4" x14ac:dyDescent="0.2">
      <c r="A58" t="s">
        <v>913</v>
      </c>
      <c r="B58" s="18">
        <v>7</v>
      </c>
      <c r="C58" t="s">
        <v>920</v>
      </c>
      <c r="D58" s="4"/>
    </row>
    <row r="59" spans="1:4" x14ac:dyDescent="0.2">
      <c r="A59" t="s">
        <v>913</v>
      </c>
      <c r="B59" s="18">
        <v>8</v>
      </c>
      <c r="C59" t="s">
        <v>921</v>
      </c>
      <c r="D59" s="4"/>
    </row>
    <row r="60" spans="1:4" x14ac:dyDescent="0.2">
      <c r="A60" t="s">
        <v>913</v>
      </c>
      <c r="B60" s="18">
        <v>9</v>
      </c>
      <c r="C60" t="s">
        <v>922</v>
      </c>
      <c r="D60" s="4"/>
    </row>
    <row r="61" spans="1:4" x14ac:dyDescent="0.2">
      <c r="A61" t="s">
        <v>913</v>
      </c>
      <c r="B61" s="18">
        <v>10</v>
      </c>
      <c r="C61" t="s">
        <v>923</v>
      </c>
      <c r="D61" s="4"/>
    </row>
    <row r="62" spans="1:4" x14ac:dyDescent="0.2">
      <c r="A62" t="s">
        <v>913</v>
      </c>
      <c r="B62" s="18">
        <v>11</v>
      </c>
      <c r="C62" t="s">
        <v>871</v>
      </c>
      <c r="D62" s="4"/>
    </row>
    <row r="63" spans="1:4" x14ac:dyDescent="0.2">
      <c r="A63" t="s">
        <v>913</v>
      </c>
      <c r="B63" s="18">
        <v>12</v>
      </c>
      <c r="C63" t="s">
        <v>872</v>
      </c>
      <c r="D63" s="4"/>
    </row>
    <row r="64" spans="1:4" x14ac:dyDescent="0.2">
      <c r="B64" s="10"/>
      <c r="D64" s="4"/>
    </row>
    <row r="65" spans="1:4" x14ac:dyDescent="0.2">
      <c r="A65" t="s">
        <v>924</v>
      </c>
      <c r="B65" s="18">
        <v>1</v>
      </c>
      <c r="C65" t="s">
        <v>925</v>
      </c>
      <c r="D65" s="4"/>
    </row>
    <row r="66" spans="1:4" x14ac:dyDescent="0.2">
      <c r="A66" t="s">
        <v>924</v>
      </c>
      <c r="B66" s="18">
        <v>2</v>
      </c>
      <c r="C66" t="s">
        <v>926</v>
      </c>
      <c r="D66" s="4"/>
    </row>
    <row r="67" spans="1:4" x14ac:dyDescent="0.2">
      <c r="A67" t="s">
        <v>924</v>
      </c>
      <c r="B67" s="18">
        <v>3</v>
      </c>
      <c r="C67" t="s">
        <v>927</v>
      </c>
      <c r="D67" s="4"/>
    </row>
    <row r="68" spans="1:4" x14ac:dyDescent="0.2">
      <c r="A68" t="s">
        <v>924</v>
      </c>
      <c r="B68" s="18">
        <v>4</v>
      </c>
      <c r="C68" t="s">
        <v>928</v>
      </c>
      <c r="D68" s="4"/>
    </row>
    <row r="69" spans="1:4" x14ac:dyDescent="0.2">
      <c r="A69" t="s">
        <v>924</v>
      </c>
      <c r="B69" s="18">
        <v>5</v>
      </c>
      <c r="C69" t="s">
        <v>929</v>
      </c>
      <c r="D69" s="4"/>
    </row>
    <row r="70" spans="1:4" x14ac:dyDescent="0.2">
      <c r="A70" t="s">
        <v>924</v>
      </c>
      <c r="B70" s="18">
        <v>6</v>
      </c>
      <c r="C70" t="s">
        <v>871</v>
      </c>
      <c r="D70" s="4"/>
    </row>
    <row r="71" spans="1:4" x14ac:dyDescent="0.2">
      <c r="A71" t="s">
        <v>924</v>
      </c>
      <c r="B71" s="18">
        <v>7</v>
      </c>
      <c r="C71" t="s">
        <v>872</v>
      </c>
      <c r="D71" s="4"/>
    </row>
    <row r="72" spans="1:4" x14ac:dyDescent="0.2">
      <c r="B72" s="10"/>
      <c r="D72" s="4"/>
    </row>
    <row r="73" spans="1:4" x14ac:dyDescent="0.2">
      <c r="A73" t="s">
        <v>930</v>
      </c>
      <c r="B73" s="18">
        <v>1</v>
      </c>
      <c r="C73" t="s">
        <v>931</v>
      </c>
      <c r="D73" s="4"/>
    </row>
    <row r="74" spans="1:4" x14ac:dyDescent="0.2">
      <c r="A74" t="s">
        <v>930</v>
      </c>
      <c r="B74" s="18">
        <v>2</v>
      </c>
      <c r="C74" t="s">
        <v>932</v>
      </c>
      <c r="D74" s="4"/>
    </row>
    <row r="75" spans="1:4" x14ac:dyDescent="0.2">
      <c r="A75" t="s">
        <v>930</v>
      </c>
      <c r="B75" s="18">
        <v>3</v>
      </c>
      <c r="C75" t="s">
        <v>933</v>
      </c>
      <c r="D75" s="4"/>
    </row>
    <row r="76" spans="1:4" x14ac:dyDescent="0.2">
      <c r="A76" t="s">
        <v>930</v>
      </c>
      <c r="B76" s="18">
        <v>4</v>
      </c>
      <c r="C76" t="s">
        <v>934</v>
      </c>
      <c r="D76" s="4"/>
    </row>
    <row r="77" spans="1:4" x14ac:dyDescent="0.2">
      <c r="A77" t="s">
        <v>930</v>
      </c>
      <c r="B77" s="18">
        <v>5</v>
      </c>
      <c r="C77" t="s">
        <v>935</v>
      </c>
      <c r="D77" s="4"/>
    </row>
    <row r="78" spans="1:4" x14ac:dyDescent="0.2">
      <c r="A78" t="s">
        <v>930</v>
      </c>
      <c r="B78" s="18">
        <v>6</v>
      </c>
      <c r="C78" t="s">
        <v>936</v>
      </c>
      <c r="D78" s="4"/>
    </row>
    <row r="79" spans="1:4" x14ac:dyDescent="0.2">
      <c r="A79" t="s">
        <v>930</v>
      </c>
      <c r="B79" s="18">
        <v>7</v>
      </c>
      <c r="C79" t="s">
        <v>871</v>
      </c>
      <c r="D79" s="4"/>
    </row>
    <row r="80" spans="1:4" x14ac:dyDescent="0.2">
      <c r="A80" t="s">
        <v>930</v>
      </c>
      <c r="B80" s="18">
        <v>8</v>
      </c>
      <c r="C80" t="s">
        <v>872</v>
      </c>
      <c r="D80" s="4"/>
    </row>
    <row r="81" spans="1:4" x14ac:dyDescent="0.2">
      <c r="D81" s="4"/>
    </row>
    <row r="82" spans="1:4" x14ac:dyDescent="0.2">
      <c r="A82" s="13" t="s">
        <v>937</v>
      </c>
      <c r="B82" s="13">
        <v>1</v>
      </c>
      <c r="C82" s="13" t="s">
        <v>938</v>
      </c>
      <c r="D82" s="4"/>
    </row>
    <row r="83" spans="1:4" x14ac:dyDescent="0.2">
      <c r="A83" s="13" t="s">
        <v>937</v>
      </c>
      <c r="B83" s="13">
        <v>2</v>
      </c>
      <c r="C83" s="13" t="s">
        <v>939</v>
      </c>
      <c r="D83" s="4"/>
    </row>
    <row r="84" spans="1:4" x14ac:dyDescent="0.2">
      <c r="A84" s="13" t="s">
        <v>937</v>
      </c>
      <c r="B84" s="13">
        <v>3</v>
      </c>
      <c r="C84" s="13" t="s">
        <v>940</v>
      </c>
      <c r="D84" s="4"/>
    </row>
    <row r="85" spans="1:4" x14ac:dyDescent="0.2">
      <c r="A85" s="13" t="s">
        <v>937</v>
      </c>
      <c r="B85" s="13">
        <v>4</v>
      </c>
      <c r="C85" s="13" t="s">
        <v>941</v>
      </c>
      <c r="D85" s="4"/>
    </row>
    <row r="86" spans="1:4" x14ac:dyDescent="0.2">
      <c r="A86" s="13" t="s">
        <v>937</v>
      </c>
      <c r="B86" s="13">
        <v>5</v>
      </c>
      <c r="C86" s="13" t="s">
        <v>942</v>
      </c>
      <c r="D86" s="4"/>
    </row>
    <row r="87" spans="1:4" x14ac:dyDescent="0.2">
      <c r="A87" s="13" t="s">
        <v>937</v>
      </c>
      <c r="B87" s="13">
        <v>6</v>
      </c>
      <c r="C87" s="13" t="s">
        <v>871</v>
      </c>
      <c r="D87" s="4"/>
    </row>
    <row r="88" spans="1:4" x14ac:dyDescent="0.2">
      <c r="A88" s="13" t="s">
        <v>937</v>
      </c>
      <c r="B88" s="13">
        <v>7</v>
      </c>
      <c r="C88" s="13" t="s">
        <v>872</v>
      </c>
      <c r="D88" s="4"/>
    </row>
    <row r="89" spans="1:4" x14ac:dyDescent="0.2">
      <c r="A89" s="14"/>
      <c r="B89" s="14"/>
      <c r="C89" s="14"/>
      <c r="D89" s="4"/>
    </row>
    <row r="90" spans="1:4" x14ac:dyDescent="0.2">
      <c r="A90" s="13" t="s">
        <v>943</v>
      </c>
      <c r="B90" s="14" t="s">
        <v>944</v>
      </c>
      <c r="C90" s="14" t="s">
        <v>945</v>
      </c>
      <c r="D90" s="4"/>
    </row>
    <row r="91" spans="1:4" x14ac:dyDescent="0.2">
      <c r="A91" s="13" t="s">
        <v>943</v>
      </c>
      <c r="B91" s="13" t="s">
        <v>946</v>
      </c>
      <c r="C91" s="13" t="s">
        <v>947</v>
      </c>
      <c r="D91" s="4"/>
    </row>
    <row r="92" spans="1:4" x14ac:dyDescent="0.2">
      <c r="A92" s="13" t="s">
        <v>943</v>
      </c>
      <c r="B92" s="13" t="s">
        <v>948</v>
      </c>
      <c r="C92" s="13" t="s">
        <v>949</v>
      </c>
      <c r="D92" s="4"/>
    </row>
    <row r="93" spans="1:4" x14ac:dyDescent="0.2">
      <c r="A93" s="13" t="s">
        <v>943</v>
      </c>
      <c r="B93" s="13" t="s">
        <v>950</v>
      </c>
      <c r="C93" s="13" t="s">
        <v>951</v>
      </c>
      <c r="D93" s="4"/>
    </row>
    <row r="94" spans="1:4" x14ac:dyDescent="0.2">
      <c r="A94" s="13" t="s">
        <v>943</v>
      </c>
      <c r="B94" s="13" t="s">
        <v>952</v>
      </c>
      <c r="C94" s="13" t="s">
        <v>953</v>
      </c>
      <c r="D94" s="4"/>
    </row>
    <row r="95" spans="1:4" x14ac:dyDescent="0.2">
      <c r="A95" s="13" t="s">
        <v>943</v>
      </c>
      <c r="B95" s="13" t="s">
        <v>896</v>
      </c>
      <c r="C95" s="13" t="s">
        <v>954</v>
      </c>
      <c r="D95" s="4"/>
    </row>
    <row r="96" spans="1:4" x14ac:dyDescent="0.2">
      <c r="A96" s="13" t="s">
        <v>943</v>
      </c>
      <c r="B96" s="13" t="s">
        <v>955</v>
      </c>
      <c r="C96" s="13" t="s">
        <v>956</v>
      </c>
      <c r="D96" s="4"/>
    </row>
    <row r="97" spans="1:4" x14ac:dyDescent="0.2">
      <c r="A97" s="13" t="s">
        <v>943</v>
      </c>
      <c r="B97" s="13" t="s">
        <v>957</v>
      </c>
      <c r="C97" s="13" t="s">
        <v>871</v>
      </c>
      <c r="D97" s="4"/>
    </row>
    <row r="98" spans="1:4" x14ac:dyDescent="0.2">
      <c r="A98" s="13" t="s">
        <v>943</v>
      </c>
      <c r="B98" s="13" t="s">
        <v>958</v>
      </c>
      <c r="C98" s="13" t="s">
        <v>872</v>
      </c>
      <c r="D98" s="4"/>
    </row>
    <row r="99" spans="1:4" x14ac:dyDescent="0.2">
      <c r="A99" s="14"/>
      <c r="B99" s="14"/>
      <c r="C99" s="14"/>
      <c r="D99" s="4"/>
    </row>
    <row r="100" spans="1:4" x14ac:dyDescent="0.2">
      <c r="A100" s="13" t="s">
        <v>959</v>
      </c>
      <c r="B100" s="13" t="s">
        <v>960</v>
      </c>
      <c r="C100" s="13" t="s">
        <v>961</v>
      </c>
      <c r="D100" s="4"/>
    </row>
    <row r="101" spans="1:4" x14ac:dyDescent="0.2">
      <c r="A101" s="13" t="s">
        <v>959</v>
      </c>
      <c r="B101" s="13" t="s">
        <v>962</v>
      </c>
      <c r="C101" s="13" t="s">
        <v>963</v>
      </c>
      <c r="D101" s="4"/>
    </row>
    <row r="102" spans="1:4" x14ac:dyDescent="0.2">
      <c r="A102" s="13" t="s">
        <v>959</v>
      </c>
      <c r="B102" s="13" t="s">
        <v>964</v>
      </c>
      <c r="C102" s="13" t="s">
        <v>965</v>
      </c>
      <c r="D102" s="4"/>
    </row>
    <row r="103" spans="1:4" x14ac:dyDescent="0.2">
      <c r="A103" s="13" t="s">
        <v>959</v>
      </c>
      <c r="B103" s="13" t="s">
        <v>966</v>
      </c>
      <c r="C103" s="13" t="s">
        <v>967</v>
      </c>
      <c r="D103" s="4"/>
    </row>
    <row r="104" spans="1:4" x14ac:dyDescent="0.2">
      <c r="A104" s="13" t="s">
        <v>959</v>
      </c>
      <c r="B104" s="13" t="s">
        <v>968</v>
      </c>
      <c r="C104" s="13" t="s">
        <v>969</v>
      </c>
      <c r="D104" s="4"/>
    </row>
    <row r="105" spans="1:4" x14ac:dyDescent="0.2">
      <c r="A105" s="13" t="s">
        <v>959</v>
      </c>
      <c r="B105" s="13" t="s">
        <v>970</v>
      </c>
      <c r="C105" s="13" t="s">
        <v>971</v>
      </c>
      <c r="D105" s="4"/>
    </row>
    <row r="106" spans="1:4" x14ac:dyDescent="0.2">
      <c r="A106" s="13" t="s">
        <v>959</v>
      </c>
      <c r="B106" s="13" t="s">
        <v>896</v>
      </c>
      <c r="C106" s="13" t="s">
        <v>972</v>
      </c>
      <c r="D106" s="4"/>
    </row>
    <row r="107" spans="1:4" x14ac:dyDescent="0.2">
      <c r="A107" s="13" t="s">
        <v>959</v>
      </c>
      <c r="B107" s="13" t="s">
        <v>955</v>
      </c>
      <c r="C107" s="13" t="s">
        <v>973</v>
      </c>
      <c r="D107" s="4"/>
    </row>
    <row r="108" spans="1:4" x14ac:dyDescent="0.2">
      <c r="A108" s="13" t="s">
        <v>959</v>
      </c>
      <c r="B108" s="13" t="s">
        <v>957</v>
      </c>
      <c r="C108" s="13" t="s">
        <v>871</v>
      </c>
      <c r="D108" s="4"/>
    </row>
    <row r="109" spans="1:4" x14ac:dyDescent="0.2">
      <c r="A109" s="13" t="s">
        <v>959</v>
      </c>
      <c r="B109" s="13" t="s">
        <v>958</v>
      </c>
      <c r="C109" s="13" t="s">
        <v>872</v>
      </c>
      <c r="D109" s="4"/>
    </row>
    <row r="110" spans="1:4" x14ac:dyDescent="0.2">
      <c r="A110" s="14"/>
      <c r="B110" s="14"/>
      <c r="C110" s="14"/>
      <c r="D110" s="4"/>
    </row>
    <row r="111" spans="1:4" x14ac:dyDescent="0.2">
      <c r="A111" s="13" t="s">
        <v>974</v>
      </c>
      <c r="B111" s="13">
        <v>1</v>
      </c>
      <c r="C111" s="13" t="s">
        <v>975</v>
      </c>
      <c r="D111" s="4"/>
    </row>
    <row r="112" spans="1:4" x14ac:dyDescent="0.2">
      <c r="A112" s="13" t="s">
        <v>974</v>
      </c>
      <c r="B112" s="13">
        <v>2</v>
      </c>
      <c r="C112" s="13" t="s">
        <v>976</v>
      </c>
      <c r="D112" s="4"/>
    </row>
    <row r="113" spans="1:4" x14ac:dyDescent="0.2">
      <c r="A113" s="13" t="s">
        <v>974</v>
      </c>
      <c r="B113" s="13">
        <v>3</v>
      </c>
      <c r="C113" s="13" t="s">
        <v>977</v>
      </c>
      <c r="D113" s="4"/>
    </row>
    <row r="114" spans="1:4" x14ac:dyDescent="0.2">
      <c r="A114" s="13" t="s">
        <v>974</v>
      </c>
      <c r="B114" s="13">
        <v>4</v>
      </c>
      <c r="C114" s="13" t="s">
        <v>978</v>
      </c>
      <c r="D114" s="4"/>
    </row>
    <row r="115" spans="1:4" x14ac:dyDescent="0.2">
      <c r="A115" s="13" t="s">
        <v>974</v>
      </c>
      <c r="B115" s="13">
        <v>5</v>
      </c>
      <c r="C115" s="13" t="s">
        <v>979</v>
      </c>
      <c r="D115" s="4"/>
    </row>
    <row r="116" spans="1:4" x14ac:dyDescent="0.2">
      <c r="A116" s="13" t="s">
        <v>974</v>
      </c>
      <c r="B116" s="13">
        <v>6</v>
      </c>
      <c r="C116" s="13" t="s">
        <v>980</v>
      </c>
      <c r="D116" s="4"/>
    </row>
    <row r="117" spans="1:4" x14ac:dyDescent="0.2">
      <c r="A117" s="13" t="s">
        <v>974</v>
      </c>
      <c r="B117" s="13">
        <v>7</v>
      </c>
      <c r="C117" s="13" t="s">
        <v>981</v>
      </c>
      <c r="D117" s="4"/>
    </row>
    <row r="118" spans="1:4" x14ac:dyDescent="0.2">
      <c r="A118" s="14"/>
      <c r="B118" s="14"/>
      <c r="C118" s="14"/>
      <c r="D118" s="4"/>
    </row>
    <row r="119" spans="1:4" x14ac:dyDescent="0.2">
      <c r="A119" s="13" t="s">
        <v>982</v>
      </c>
      <c r="B119" s="13">
        <v>1</v>
      </c>
      <c r="C119" s="13" t="s">
        <v>983</v>
      </c>
      <c r="D119" s="4"/>
    </row>
    <row r="120" spans="1:4" x14ac:dyDescent="0.2">
      <c r="A120" s="13" t="s">
        <v>982</v>
      </c>
      <c r="B120" s="13">
        <v>2</v>
      </c>
      <c r="C120" s="13" t="s">
        <v>984</v>
      </c>
      <c r="D120" s="4"/>
    </row>
    <row r="121" spans="1:4" x14ac:dyDescent="0.2">
      <c r="A121" s="13" t="s">
        <v>982</v>
      </c>
      <c r="B121" s="13">
        <v>3</v>
      </c>
      <c r="C121" s="13" t="s">
        <v>985</v>
      </c>
      <c r="D121" s="4"/>
    </row>
    <row r="122" spans="1:4" x14ac:dyDescent="0.2">
      <c r="A122" s="13" t="s">
        <v>982</v>
      </c>
      <c r="B122" s="13">
        <v>4</v>
      </c>
      <c r="C122" s="13" t="s">
        <v>986</v>
      </c>
      <c r="D122" s="4"/>
    </row>
    <row r="123" spans="1:4" x14ac:dyDescent="0.2">
      <c r="A123" s="13" t="s">
        <v>982</v>
      </c>
      <c r="B123" s="13">
        <v>5</v>
      </c>
      <c r="C123" s="13" t="s">
        <v>871</v>
      </c>
      <c r="D123" s="4"/>
    </row>
    <row r="124" spans="1:4" x14ac:dyDescent="0.2">
      <c r="A124" s="13" t="s">
        <v>982</v>
      </c>
      <c r="B124" s="13">
        <v>6</v>
      </c>
      <c r="C124" s="13" t="s">
        <v>872</v>
      </c>
      <c r="D124" s="4"/>
    </row>
    <row r="125" spans="1:4" x14ac:dyDescent="0.2">
      <c r="A125" s="14"/>
      <c r="B125" s="14"/>
      <c r="C125" s="14"/>
      <c r="D125" s="4"/>
    </row>
    <row r="126" spans="1:4" x14ac:dyDescent="0.2">
      <c r="A126" t="s">
        <v>987</v>
      </c>
      <c r="B126">
        <v>1</v>
      </c>
      <c r="C126" t="s">
        <v>988</v>
      </c>
      <c r="D126" s="4"/>
    </row>
    <row r="127" spans="1:4" x14ac:dyDescent="0.2">
      <c r="A127" t="s">
        <v>987</v>
      </c>
      <c r="B127">
        <v>2</v>
      </c>
      <c r="C127" s="297" t="s">
        <v>989</v>
      </c>
      <c r="D127" s="4"/>
    </row>
    <row r="128" spans="1:4" x14ac:dyDescent="0.2">
      <c r="A128" t="s">
        <v>987</v>
      </c>
      <c r="B128">
        <v>3</v>
      </c>
      <c r="C128" s="297" t="s">
        <v>990</v>
      </c>
      <c r="D128" s="4"/>
    </row>
    <row r="129" spans="1:4" x14ac:dyDescent="0.2">
      <c r="A129" t="s">
        <v>987</v>
      </c>
      <c r="B129">
        <v>4</v>
      </c>
      <c r="C129" t="s">
        <v>991</v>
      </c>
      <c r="D129" s="4"/>
    </row>
    <row r="130" spans="1:4" x14ac:dyDescent="0.2">
      <c r="A130" t="s">
        <v>987</v>
      </c>
      <c r="B130">
        <v>5</v>
      </c>
      <c r="C130" t="s">
        <v>992</v>
      </c>
      <c r="D130" s="4"/>
    </row>
    <row r="131" spans="1:4" x14ac:dyDescent="0.2">
      <c r="A131" t="s">
        <v>987</v>
      </c>
      <c r="B131">
        <v>6</v>
      </c>
      <c r="C131" t="s">
        <v>993</v>
      </c>
      <c r="D131" s="4"/>
    </row>
    <row r="132" spans="1:4" x14ac:dyDescent="0.2">
      <c r="A132" t="s">
        <v>987</v>
      </c>
      <c r="B132">
        <v>7</v>
      </c>
      <c r="C132" t="s">
        <v>994</v>
      </c>
      <c r="D132" s="4"/>
    </row>
    <row r="133" spans="1:4" x14ac:dyDescent="0.2">
      <c r="A133" t="s">
        <v>987</v>
      </c>
      <c r="B133">
        <v>8</v>
      </c>
      <c r="C133" t="s">
        <v>995</v>
      </c>
      <c r="D133" s="4"/>
    </row>
    <row r="134" spans="1:4" x14ac:dyDescent="0.2">
      <c r="A134" t="s">
        <v>987</v>
      </c>
      <c r="B134">
        <v>9</v>
      </c>
      <c r="C134" t="s">
        <v>996</v>
      </c>
      <c r="D134" s="4"/>
    </row>
    <row r="135" spans="1:4" x14ac:dyDescent="0.2">
      <c r="A135" t="s">
        <v>987</v>
      </c>
      <c r="B135">
        <v>10</v>
      </c>
      <c r="C135" t="s">
        <v>997</v>
      </c>
      <c r="D135" s="4"/>
    </row>
    <row r="136" spans="1:4" x14ac:dyDescent="0.2">
      <c r="A136" t="s">
        <v>987</v>
      </c>
      <c r="B136">
        <v>11</v>
      </c>
      <c r="C136" t="s">
        <v>998</v>
      </c>
      <c r="D136" s="4"/>
    </row>
    <row r="137" spans="1:4" x14ac:dyDescent="0.2">
      <c r="A137" t="s">
        <v>987</v>
      </c>
      <c r="B137">
        <v>12</v>
      </c>
      <c r="C137" t="s">
        <v>999</v>
      </c>
      <c r="D137" s="4"/>
    </row>
    <row r="138" spans="1:4" x14ac:dyDescent="0.2">
      <c r="A138" t="s">
        <v>987</v>
      </c>
      <c r="B138">
        <v>13</v>
      </c>
      <c r="C138" t="s">
        <v>1000</v>
      </c>
      <c r="D138" s="4"/>
    </row>
    <row r="139" spans="1:4" x14ac:dyDescent="0.2">
      <c r="A139" t="s">
        <v>987</v>
      </c>
      <c r="B139">
        <v>14</v>
      </c>
      <c r="C139" t="s">
        <v>1001</v>
      </c>
      <c r="D139" s="4"/>
    </row>
    <row r="140" spans="1:4" x14ac:dyDescent="0.2">
      <c r="A140" t="s">
        <v>987</v>
      </c>
      <c r="B140">
        <v>15</v>
      </c>
      <c r="C140" t="s">
        <v>1002</v>
      </c>
      <c r="D140" s="4"/>
    </row>
    <row r="141" spans="1:4" x14ac:dyDescent="0.2">
      <c r="A141" t="s">
        <v>987</v>
      </c>
      <c r="B141">
        <v>16</v>
      </c>
      <c r="C141" t="s">
        <v>1003</v>
      </c>
      <c r="D141" s="4"/>
    </row>
    <row r="142" spans="1:4" x14ac:dyDescent="0.2">
      <c r="A142" t="s">
        <v>987</v>
      </c>
      <c r="B142">
        <v>17</v>
      </c>
      <c r="C142" t="s">
        <v>1004</v>
      </c>
      <c r="D142" s="4"/>
    </row>
    <row r="143" spans="1:4" x14ac:dyDescent="0.2">
      <c r="A143" t="s">
        <v>987</v>
      </c>
      <c r="B143">
        <v>18</v>
      </c>
      <c r="C143" t="s">
        <v>1005</v>
      </c>
      <c r="D143" s="4"/>
    </row>
    <row r="144" spans="1:4" x14ac:dyDescent="0.2">
      <c r="A144" t="s">
        <v>987</v>
      </c>
      <c r="B144">
        <v>19</v>
      </c>
      <c r="C144" t="s">
        <v>1006</v>
      </c>
      <c r="D144" s="4"/>
    </row>
    <row r="145" spans="1:4" x14ac:dyDescent="0.2">
      <c r="A145" t="s">
        <v>987</v>
      </c>
      <c r="B145">
        <v>20</v>
      </c>
      <c r="C145" t="s">
        <v>872</v>
      </c>
      <c r="D145" s="4"/>
    </row>
    <row r="146" spans="1:4" x14ac:dyDescent="0.2">
      <c r="D146" s="4"/>
    </row>
    <row r="147" spans="1:4" x14ac:dyDescent="0.2">
      <c r="A147" t="s">
        <v>1007</v>
      </c>
      <c r="B147">
        <v>1</v>
      </c>
      <c r="C147" t="s">
        <v>898</v>
      </c>
      <c r="D147" s="4"/>
    </row>
    <row r="148" spans="1:4" x14ac:dyDescent="0.2">
      <c r="A148" t="s">
        <v>1007</v>
      </c>
      <c r="B148">
        <v>2</v>
      </c>
      <c r="C148" t="s">
        <v>899</v>
      </c>
      <c r="D148" s="4"/>
    </row>
    <row r="149" spans="1:4" x14ac:dyDescent="0.2">
      <c r="A149" t="s">
        <v>1007</v>
      </c>
      <c r="B149">
        <v>3</v>
      </c>
      <c r="C149" t="s">
        <v>1008</v>
      </c>
      <c r="D149" s="4"/>
    </row>
    <row r="150" spans="1:4" x14ac:dyDescent="0.2">
      <c r="A150" t="s">
        <v>1007</v>
      </c>
      <c r="B150">
        <v>4</v>
      </c>
      <c r="C150" t="s">
        <v>871</v>
      </c>
      <c r="D150" s="4"/>
    </row>
    <row r="151" spans="1:4" x14ac:dyDescent="0.2">
      <c r="A151" t="s">
        <v>1007</v>
      </c>
      <c r="B151">
        <v>5</v>
      </c>
      <c r="C151" t="s">
        <v>872</v>
      </c>
      <c r="D151" s="4"/>
    </row>
    <row r="152" spans="1:4" x14ac:dyDescent="0.2">
      <c r="D152" s="4"/>
    </row>
    <row r="153" spans="1:4" x14ac:dyDescent="0.2">
      <c r="A153" t="s">
        <v>1009</v>
      </c>
      <c r="B153">
        <v>1</v>
      </c>
      <c r="C153" t="s">
        <v>1010</v>
      </c>
      <c r="D153" s="4"/>
    </row>
    <row r="154" spans="1:4" x14ac:dyDescent="0.2">
      <c r="A154" t="s">
        <v>1009</v>
      </c>
      <c r="B154">
        <v>2</v>
      </c>
      <c r="C154" t="s">
        <v>1011</v>
      </c>
      <c r="D154" s="4"/>
    </row>
    <row r="155" spans="1:4" x14ac:dyDescent="0.2">
      <c r="A155" t="s">
        <v>1009</v>
      </c>
      <c r="B155">
        <v>3</v>
      </c>
      <c r="C155" t="s">
        <v>1012</v>
      </c>
      <c r="D155" s="4"/>
    </row>
    <row r="156" spans="1:4" x14ac:dyDescent="0.2">
      <c r="A156" t="s">
        <v>1009</v>
      </c>
      <c r="B156">
        <v>4</v>
      </c>
      <c r="C156" t="s">
        <v>871</v>
      </c>
      <c r="D156" s="4"/>
    </row>
    <row r="157" spans="1:4" x14ac:dyDescent="0.2">
      <c r="A157" t="s">
        <v>1009</v>
      </c>
      <c r="B157">
        <v>5</v>
      </c>
      <c r="C157" t="s">
        <v>872</v>
      </c>
      <c r="D157" s="4"/>
    </row>
    <row r="158" spans="1:4" x14ac:dyDescent="0.2">
      <c r="D158" s="4"/>
    </row>
    <row r="159" spans="1:4" x14ac:dyDescent="0.2">
      <c r="A159" t="s">
        <v>1013</v>
      </c>
      <c r="B159">
        <v>1</v>
      </c>
      <c r="C159" t="s">
        <v>1014</v>
      </c>
      <c r="D159" s="4"/>
    </row>
    <row r="160" spans="1:4" x14ac:dyDescent="0.2">
      <c r="A160" t="s">
        <v>1013</v>
      </c>
      <c r="B160">
        <v>2</v>
      </c>
      <c r="C160" t="s">
        <v>1015</v>
      </c>
      <c r="D160" s="4"/>
    </row>
    <row r="161" spans="1:4" x14ac:dyDescent="0.2">
      <c r="A161" t="s">
        <v>1013</v>
      </c>
      <c r="B161">
        <v>3</v>
      </c>
      <c r="C161" t="s">
        <v>1016</v>
      </c>
      <c r="D161" s="4"/>
    </row>
    <row r="162" spans="1:4" x14ac:dyDescent="0.2">
      <c r="A162" t="s">
        <v>1013</v>
      </c>
      <c r="B162">
        <v>4</v>
      </c>
      <c r="C162" t="s">
        <v>1017</v>
      </c>
      <c r="D162" s="4"/>
    </row>
    <row r="163" spans="1:4" x14ac:dyDescent="0.2">
      <c r="A163" t="s">
        <v>1013</v>
      </c>
      <c r="B163">
        <v>5</v>
      </c>
      <c r="C163" t="s">
        <v>1018</v>
      </c>
      <c r="D163" s="4"/>
    </row>
    <row r="164" spans="1:4" x14ac:dyDescent="0.2">
      <c r="A164" t="s">
        <v>1013</v>
      </c>
      <c r="B164" s="18">
        <v>6</v>
      </c>
      <c r="C164" t="s">
        <v>871</v>
      </c>
      <c r="D164" s="4"/>
    </row>
    <row r="165" spans="1:4" x14ac:dyDescent="0.2">
      <c r="A165" t="s">
        <v>1013</v>
      </c>
      <c r="B165" s="18">
        <v>7</v>
      </c>
      <c r="C165" t="s">
        <v>872</v>
      </c>
      <c r="D165" s="4"/>
    </row>
    <row r="166" spans="1:4" x14ac:dyDescent="0.2">
      <c r="D166" s="4"/>
    </row>
    <row r="167" spans="1:4" s="15" customFormat="1" x14ac:dyDescent="0.2">
      <c r="A167" s="17" t="s">
        <v>1019</v>
      </c>
      <c r="B167">
        <v>1</v>
      </c>
      <c r="C167" t="s">
        <v>988</v>
      </c>
      <c r="D167" s="5"/>
    </row>
    <row r="168" spans="1:4" s="15" customFormat="1" x14ac:dyDescent="0.2">
      <c r="A168" s="17" t="s">
        <v>1019</v>
      </c>
      <c r="B168">
        <v>2</v>
      </c>
      <c r="C168" s="297" t="s">
        <v>989</v>
      </c>
      <c r="D168" s="5"/>
    </row>
    <row r="169" spans="1:4" s="15" customFormat="1" x14ac:dyDescent="0.2">
      <c r="A169" s="17" t="s">
        <v>1019</v>
      </c>
      <c r="B169">
        <v>3</v>
      </c>
      <c r="C169" s="297" t="s">
        <v>1020</v>
      </c>
      <c r="D169" s="5"/>
    </row>
    <row r="170" spans="1:4" s="15" customFormat="1" x14ac:dyDescent="0.2">
      <c r="A170" s="17" t="s">
        <v>1019</v>
      </c>
      <c r="B170">
        <v>4</v>
      </c>
      <c r="C170" t="s">
        <v>991</v>
      </c>
      <c r="D170" s="5"/>
    </row>
    <row r="171" spans="1:4" s="15" customFormat="1" x14ac:dyDescent="0.2">
      <c r="A171" s="17" t="s">
        <v>1019</v>
      </c>
      <c r="B171">
        <v>5</v>
      </c>
      <c r="C171" t="s">
        <v>992</v>
      </c>
      <c r="D171" s="5"/>
    </row>
    <row r="172" spans="1:4" s="15" customFormat="1" x14ac:dyDescent="0.2">
      <c r="A172" s="17" t="s">
        <v>1019</v>
      </c>
      <c r="B172">
        <v>6</v>
      </c>
      <c r="C172" t="s">
        <v>993</v>
      </c>
      <c r="D172" s="5"/>
    </row>
    <row r="173" spans="1:4" s="15" customFormat="1" x14ac:dyDescent="0.2">
      <c r="A173" s="17" t="s">
        <v>1019</v>
      </c>
      <c r="B173">
        <v>7</v>
      </c>
      <c r="C173" t="s">
        <v>994</v>
      </c>
      <c r="D173" s="5"/>
    </row>
    <row r="174" spans="1:4" s="15" customFormat="1" x14ac:dyDescent="0.2">
      <c r="A174" s="17" t="s">
        <v>1019</v>
      </c>
      <c r="B174">
        <v>8</v>
      </c>
      <c r="C174" t="s">
        <v>995</v>
      </c>
      <c r="D174" s="5"/>
    </row>
    <row r="175" spans="1:4" s="15" customFormat="1" x14ac:dyDescent="0.2">
      <c r="A175" s="17" t="s">
        <v>1019</v>
      </c>
      <c r="B175">
        <v>9</v>
      </c>
      <c r="C175" t="s">
        <v>996</v>
      </c>
      <c r="D175" s="5"/>
    </row>
    <row r="176" spans="1:4" s="15" customFormat="1" x14ac:dyDescent="0.2">
      <c r="A176" s="17" t="s">
        <v>1019</v>
      </c>
      <c r="B176">
        <v>10</v>
      </c>
      <c r="C176" t="s">
        <v>997</v>
      </c>
      <c r="D176" s="5"/>
    </row>
    <row r="177" spans="1:4" s="15" customFormat="1" x14ac:dyDescent="0.2">
      <c r="A177" s="17" t="s">
        <v>1019</v>
      </c>
      <c r="B177">
        <v>11</v>
      </c>
      <c r="C177" t="s">
        <v>998</v>
      </c>
      <c r="D177" s="5"/>
    </row>
    <row r="178" spans="1:4" s="15" customFormat="1" x14ac:dyDescent="0.2">
      <c r="A178" s="17" t="s">
        <v>1019</v>
      </c>
      <c r="B178">
        <v>12</v>
      </c>
      <c r="C178" t="s">
        <v>999</v>
      </c>
      <c r="D178" s="5"/>
    </row>
    <row r="179" spans="1:4" s="15" customFormat="1" x14ac:dyDescent="0.2">
      <c r="A179" s="17" t="s">
        <v>1019</v>
      </c>
      <c r="B179">
        <v>13</v>
      </c>
      <c r="C179" t="s">
        <v>1000</v>
      </c>
      <c r="D179" s="5"/>
    </row>
    <row r="180" spans="1:4" s="15" customFormat="1" x14ac:dyDescent="0.2">
      <c r="A180" s="17" t="s">
        <v>1019</v>
      </c>
      <c r="B180">
        <v>14</v>
      </c>
      <c r="C180" t="s">
        <v>1001</v>
      </c>
      <c r="D180" s="5"/>
    </row>
    <row r="181" spans="1:4" s="15" customFormat="1" x14ac:dyDescent="0.2">
      <c r="A181" s="17" t="s">
        <v>1019</v>
      </c>
      <c r="B181" s="17">
        <v>15</v>
      </c>
      <c r="C181" s="17" t="s">
        <v>1002</v>
      </c>
      <c r="D181" s="5"/>
    </row>
    <row r="182" spans="1:4" s="15" customFormat="1" x14ac:dyDescent="0.2">
      <c r="A182" s="17" t="s">
        <v>1019</v>
      </c>
      <c r="B182" s="17">
        <v>16</v>
      </c>
      <c r="C182" s="17" t="s">
        <v>1003</v>
      </c>
      <c r="D182" s="5"/>
    </row>
    <row r="183" spans="1:4" s="15" customFormat="1" x14ac:dyDescent="0.2">
      <c r="A183" s="17" t="s">
        <v>1019</v>
      </c>
      <c r="B183" s="17">
        <v>17</v>
      </c>
      <c r="C183" s="17" t="s">
        <v>1004</v>
      </c>
      <c r="D183" s="5"/>
    </row>
    <row r="184" spans="1:4" s="15" customFormat="1" x14ac:dyDescent="0.2">
      <c r="A184" s="17" t="s">
        <v>1019</v>
      </c>
      <c r="B184" s="17">
        <v>18</v>
      </c>
      <c r="C184" s="17" t="s">
        <v>1021</v>
      </c>
      <c r="D184" s="5"/>
    </row>
    <row r="185" spans="1:4" s="15" customFormat="1" x14ac:dyDescent="0.2">
      <c r="A185" s="17" t="s">
        <v>1019</v>
      </c>
      <c r="B185" s="17">
        <v>19</v>
      </c>
      <c r="C185" s="17" t="s">
        <v>1022</v>
      </c>
      <c r="D185" s="5"/>
    </row>
    <row r="186" spans="1:4" s="15" customFormat="1" x14ac:dyDescent="0.2">
      <c r="A186" s="17" t="s">
        <v>1019</v>
      </c>
      <c r="B186" s="18">
        <v>20</v>
      </c>
      <c r="C186" s="17" t="s">
        <v>871</v>
      </c>
      <c r="D186" s="5"/>
    </row>
    <row r="187" spans="1:4" s="15" customFormat="1" x14ac:dyDescent="0.2">
      <c r="A187" s="17" t="s">
        <v>1019</v>
      </c>
      <c r="B187" s="18">
        <v>21</v>
      </c>
      <c r="C187" s="17" t="s">
        <v>872</v>
      </c>
      <c r="D187" s="5"/>
    </row>
    <row r="188" spans="1:4" s="15" customFormat="1" x14ac:dyDescent="0.2">
      <c r="D188" s="5"/>
    </row>
    <row r="189" spans="1:4" s="15" customFormat="1" x14ac:dyDescent="0.2">
      <c r="A189" s="17" t="s">
        <v>1023</v>
      </c>
      <c r="B189">
        <v>1</v>
      </c>
      <c r="C189" s="298" t="s">
        <v>988</v>
      </c>
      <c r="D189" s="5"/>
    </row>
    <row r="190" spans="1:4" s="15" customFormat="1" x14ac:dyDescent="0.2">
      <c r="A190" s="17" t="s">
        <v>1023</v>
      </c>
      <c r="B190">
        <v>2</v>
      </c>
      <c r="C190" s="297" t="s">
        <v>1024</v>
      </c>
      <c r="D190" s="5"/>
    </row>
    <row r="191" spans="1:4" s="15" customFormat="1" x14ac:dyDescent="0.2">
      <c r="A191" s="17" t="s">
        <v>1023</v>
      </c>
      <c r="B191">
        <v>3</v>
      </c>
      <c r="C191" s="297" t="s">
        <v>990</v>
      </c>
      <c r="D191" s="5"/>
    </row>
    <row r="192" spans="1:4" s="15" customFormat="1" x14ac:dyDescent="0.2">
      <c r="A192" s="17" t="s">
        <v>1023</v>
      </c>
      <c r="B192">
        <v>4</v>
      </c>
      <c r="C192" t="s">
        <v>991</v>
      </c>
      <c r="D192" s="5"/>
    </row>
    <row r="193" spans="1:4" s="15" customFormat="1" x14ac:dyDescent="0.2">
      <c r="A193" s="17" t="s">
        <v>1023</v>
      </c>
      <c r="B193">
        <v>5</v>
      </c>
      <c r="C193" t="s">
        <v>992</v>
      </c>
      <c r="D193" s="5"/>
    </row>
    <row r="194" spans="1:4" s="15" customFormat="1" x14ac:dyDescent="0.2">
      <c r="A194" s="17" t="s">
        <v>1023</v>
      </c>
      <c r="B194">
        <v>6</v>
      </c>
      <c r="C194" t="s">
        <v>993</v>
      </c>
      <c r="D194" s="5"/>
    </row>
    <row r="195" spans="1:4" s="15" customFormat="1" x14ac:dyDescent="0.2">
      <c r="A195" s="17" t="s">
        <v>1023</v>
      </c>
      <c r="B195">
        <v>7</v>
      </c>
      <c r="C195" t="s">
        <v>994</v>
      </c>
      <c r="D195" s="5"/>
    </row>
    <row r="196" spans="1:4" s="15" customFormat="1" x14ac:dyDescent="0.2">
      <c r="A196" s="17" t="s">
        <v>1023</v>
      </c>
      <c r="B196">
        <v>8</v>
      </c>
      <c r="C196" t="s">
        <v>995</v>
      </c>
      <c r="D196" s="5"/>
    </row>
    <row r="197" spans="1:4" s="15" customFormat="1" x14ac:dyDescent="0.2">
      <c r="A197" s="17" t="s">
        <v>1023</v>
      </c>
      <c r="B197">
        <v>9</v>
      </c>
      <c r="C197" t="s">
        <v>996</v>
      </c>
      <c r="D197" s="5"/>
    </row>
    <row r="198" spans="1:4" s="15" customFormat="1" x14ac:dyDescent="0.2">
      <c r="A198" s="17" t="s">
        <v>1023</v>
      </c>
      <c r="B198">
        <v>10</v>
      </c>
      <c r="C198" t="s">
        <v>997</v>
      </c>
      <c r="D198" s="5"/>
    </row>
    <row r="199" spans="1:4" s="15" customFormat="1" x14ac:dyDescent="0.2">
      <c r="A199" s="17" t="s">
        <v>1023</v>
      </c>
      <c r="B199">
        <v>11</v>
      </c>
      <c r="C199" t="s">
        <v>998</v>
      </c>
      <c r="D199" s="5"/>
    </row>
    <row r="200" spans="1:4" s="15" customFormat="1" x14ac:dyDescent="0.2">
      <c r="A200" s="17" t="s">
        <v>1023</v>
      </c>
      <c r="B200">
        <v>12</v>
      </c>
      <c r="C200" t="s">
        <v>999</v>
      </c>
      <c r="D200" s="5"/>
    </row>
    <row r="201" spans="1:4" s="15" customFormat="1" x14ac:dyDescent="0.2">
      <c r="A201" s="17" t="s">
        <v>1023</v>
      </c>
      <c r="B201">
        <v>13</v>
      </c>
      <c r="C201" t="s">
        <v>1000</v>
      </c>
      <c r="D201" s="5"/>
    </row>
    <row r="202" spans="1:4" s="15" customFormat="1" x14ac:dyDescent="0.2">
      <c r="A202" s="17" t="s">
        <v>1023</v>
      </c>
      <c r="B202">
        <v>14</v>
      </c>
      <c r="C202" t="s">
        <v>1001</v>
      </c>
      <c r="D202" s="5"/>
    </row>
    <row r="203" spans="1:4" s="15" customFormat="1" x14ac:dyDescent="0.2">
      <c r="A203" s="17" t="s">
        <v>1023</v>
      </c>
      <c r="B203" s="17">
        <v>15</v>
      </c>
      <c r="C203" s="17" t="s">
        <v>1002</v>
      </c>
      <c r="D203" s="5"/>
    </row>
    <row r="204" spans="1:4" s="15" customFormat="1" x14ac:dyDescent="0.2">
      <c r="A204" s="17" t="s">
        <v>1023</v>
      </c>
      <c r="B204" s="17">
        <v>16</v>
      </c>
      <c r="C204" s="17" t="s">
        <v>1003</v>
      </c>
      <c r="D204" s="5"/>
    </row>
    <row r="205" spans="1:4" s="15" customFormat="1" x14ac:dyDescent="0.2">
      <c r="A205" s="17" t="s">
        <v>1023</v>
      </c>
      <c r="B205" s="17">
        <v>17</v>
      </c>
      <c r="C205" s="17" t="s">
        <v>1004</v>
      </c>
      <c r="D205" s="5"/>
    </row>
    <row r="206" spans="1:4" s="15" customFormat="1" x14ac:dyDescent="0.2">
      <c r="A206" s="17" t="s">
        <v>1023</v>
      </c>
      <c r="B206" s="17">
        <v>18</v>
      </c>
      <c r="C206" s="17" t="s">
        <v>1025</v>
      </c>
      <c r="D206" s="5"/>
    </row>
    <row r="207" spans="1:4" s="15" customFormat="1" x14ac:dyDescent="0.2">
      <c r="A207" s="17" t="s">
        <v>1023</v>
      </c>
      <c r="B207" s="17">
        <v>19</v>
      </c>
      <c r="C207" s="17" t="s">
        <v>1026</v>
      </c>
      <c r="D207" s="5"/>
    </row>
    <row r="208" spans="1:4" s="15" customFormat="1" x14ac:dyDescent="0.2">
      <c r="A208" s="17" t="s">
        <v>1023</v>
      </c>
      <c r="B208" s="18">
        <v>20</v>
      </c>
      <c r="C208" s="17" t="s">
        <v>871</v>
      </c>
      <c r="D208" s="5"/>
    </row>
    <row r="209" spans="1:4" s="15" customFormat="1" x14ac:dyDescent="0.2">
      <c r="A209" s="17" t="s">
        <v>1023</v>
      </c>
      <c r="B209" s="18">
        <v>21</v>
      </c>
      <c r="C209" s="17" t="s">
        <v>872</v>
      </c>
      <c r="D209" s="5"/>
    </row>
    <row r="210" spans="1:4" s="12" customFormat="1" x14ac:dyDescent="0.2">
      <c r="D210" s="8"/>
    </row>
    <row r="211" spans="1:4" x14ac:dyDescent="0.2">
      <c r="A211" t="s">
        <v>228</v>
      </c>
      <c r="B211" t="s">
        <v>1027</v>
      </c>
      <c r="C211" t="s">
        <v>1028</v>
      </c>
      <c r="D211" s="4"/>
    </row>
    <row r="212" spans="1:4" x14ac:dyDescent="0.2">
      <c r="A212" t="s">
        <v>228</v>
      </c>
      <c r="B212" t="s">
        <v>1029</v>
      </c>
      <c r="C212" t="s">
        <v>1030</v>
      </c>
      <c r="D212" s="4"/>
    </row>
    <row r="213" spans="1:4" x14ac:dyDescent="0.2">
      <c r="A213" t="s">
        <v>228</v>
      </c>
      <c r="B213" t="s">
        <v>1031</v>
      </c>
      <c r="C213" t="s">
        <v>1032</v>
      </c>
      <c r="D213" s="4"/>
    </row>
    <row r="214" spans="1:4" x14ac:dyDescent="0.2">
      <c r="A214" t="s">
        <v>228</v>
      </c>
      <c r="B214" t="s">
        <v>1033</v>
      </c>
      <c r="C214" t="s">
        <v>1034</v>
      </c>
      <c r="D214" s="4"/>
    </row>
    <row r="215" spans="1:4" x14ac:dyDescent="0.2">
      <c r="A215" t="s">
        <v>228</v>
      </c>
      <c r="B215" t="s">
        <v>1035</v>
      </c>
      <c r="C215" t="s">
        <v>1036</v>
      </c>
      <c r="D215" s="4"/>
    </row>
    <row r="216" spans="1:4" x14ac:dyDescent="0.2">
      <c r="A216" t="s">
        <v>228</v>
      </c>
      <c r="B216" t="s">
        <v>1037</v>
      </c>
      <c r="C216" t="s">
        <v>1038</v>
      </c>
      <c r="D216" s="4"/>
    </row>
    <row r="217" spans="1:4" x14ac:dyDescent="0.2">
      <c r="A217" t="s">
        <v>228</v>
      </c>
      <c r="B217" t="s">
        <v>1039</v>
      </c>
      <c r="C217" t="s">
        <v>1040</v>
      </c>
      <c r="D217" s="4"/>
    </row>
    <row r="218" spans="1:4" x14ac:dyDescent="0.2">
      <c r="A218" t="s">
        <v>228</v>
      </c>
      <c r="B218" t="s">
        <v>1041</v>
      </c>
      <c r="C218" t="s">
        <v>1042</v>
      </c>
      <c r="D218" s="4"/>
    </row>
    <row r="219" spans="1:4" x14ac:dyDescent="0.2">
      <c r="A219" t="s">
        <v>228</v>
      </c>
      <c r="B219" t="s">
        <v>1043</v>
      </c>
      <c r="C219" t="s">
        <v>1044</v>
      </c>
      <c r="D219" s="4"/>
    </row>
    <row r="220" spans="1:4" x14ac:dyDescent="0.2">
      <c r="A220" t="s">
        <v>228</v>
      </c>
      <c r="B220" t="s">
        <v>1045</v>
      </c>
      <c r="C220" t="s">
        <v>1046</v>
      </c>
      <c r="D220" s="4"/>
    </row>
    <row r="221" spans="1:4" x14ac:dyDescent="0.2">
      <c r="A221" t="s">
        <v>228</v>
      </c>
      <c r="B221" t="s">
        <v>1047</v>
      </c>
      <c r="C221" t="s">
        <v>1048</v>
      </c>
      <c r="D221" s="4"/>
    </row>
    <row r="222" spans="1:4" x14ac:dyDescent="0.2">
      <c r="A222" t="s">
        <v>228</v>
      </c>
      <c r="B222" t="s">
        <v>1049</v>
      </c>
      <c r="C222" t="s">
        <v>1050</v>
      </c>
      <c r="D222" s="4"/>
    </row>
    <row r="223" spans="1:4" x14ac:dyDescent="0.2">
      <c r="A223" t="s">
        <v>228</v>
      </c>
      <c r="B223" t="s">
        <v>1051</v>
      </c>
      <c r="C223" t="s">
        <v>1052</v>
      </c>
      <c r="D223" s="4"/>
    </row>
    <row r="224" spans="1:4" x14ac:dyDescent="0.2">
      <c r="A224" t="s">
        <v>228</v>
      </c>
      <c r="B224" t="s">
        <v>1053</v>
      </c>
      <c r="C224" t="s">
        <v>1054</v>
      </c>
      <c r="D224" s="4"/>
    </row>
    <row r="225" spans="1:4" x14ac:dyDescent="0.2">
      <c r="A225" t="s">
        <v>228</v>
      </c>
      <c r="B225" t="s">
        <v>1055</v>
      </c>
      <c r="C225" t="s">
        <v>1056</v>
      </c>
      <c r="D225" s="4"/>
    </row>
    <row r="226" spans="1:4" x14ac:dyDescent="0.2">
      <c r="A226" t="s">
        <v>228</v>
      </c>
      <c r="B226" t="s">
        <v>1057</v>
      </c>
      <c r="C226" t="s">
        <v>1058</v>
      </c>
      <c r="D226" s="4"/>
    </row>
    <row r="227" spans="1:4" x14ac:dyDescent="0.2">
      <c r="A227" t="s">
        <v>228</v>
      </c>
      <c r="B227" t="s">
        <v>1059</v>
      </c>
      <c r="C227" t="s">
        <v>1060</v>
      </c>
      <c r="D227" s="4"/>
    </row>
    <row r="228" spans="1:4" x14ac:dyDescent="0.2">
      <c r="A228" t="s">
        <v>228</v>
      </c>
      <c r="B228" t="s">
        <v>1061</v>
      </c>
      <c r="C228" t="s">
        <v>1062</v>
      </c>
      <c r="D228" s="4"/>
    </row>
    <row r="229" spans="1:4" x14ac:dyDescent="0.2">
      <c r="A229" t="s">
        <v>228</v>
      </c>
      <c r="B229" t="s">
        <v>1063</v>
      </c>
      <c r="C229" t="s">
        <v>1064</v>
      </c>
      <c r="D229" s="4"/>
    </row>
    <row r="230" spans="1:4" x14ac:dyDescent="0.2">
      <c r="A230" t="s">
        <v>228</v>
      </c>
      <c r="B230" t="s">
        <v>1065</v>
      </c>
      <c r="C230" t="s">
        <v>1066</v>
      </c>
      <c r="D230" s="4"/>
    </row>
    <row r="231" spans="1:4" x14ac:dyDescent="0.2">
      <c r="A231" t="s">
        <v>228</v>
      </c>
      <c r="B231" t="s">
        <v>1067</v>
      </c>
      <c r="C231" t="s">
        <v>1068</v>
      </c>
      <c r="D231" s="4"/>
    </row>
    <row r="232" spans="1:4" x14ac:dyDescent="0.2">
      <c r="A232" t="s">
        <v>228</v>
      </c>
      <c r="B232" t="s">
        <v>1069</v>
      </c>
      <c r="C232" t="s">
        <v>1070</v>
      </c>
      <c r="D232" s="4"/>
    </row>
    <row r="233" spans="1:4" x14ac:dyDescent="0.2">
      <c r="A233" t="s">
        <v>228</v>
      </c>
      <c r="B233" t="s">
        <v>1071</v>
      </c>
      <c r="C233" t="s">
        <v>1072</v>
      </c>
      <c r="D233" s="4"/>
    </row>
    <row r="234" spans="1:4" x14ac:dyDescent="0.2">
      <c r="A234" t="s">
        <v>228</v>
      </c>
      <c r="B234" t="s">
        <v>1073</v>
      </c>
      <c r="C234" t="s">
        <v>1074</v>
      </c>
      <c r="D234" s="4"/>
    </row>
    <row r="235" spans="1:4" x14ac:dyDescent="0.2">
      <c r="A235" t="s">
        <v>228</v>
      </c>
      <c r="B235" t="s">
        <v>1075</v>
      </c>
      <c r="C235" t="s">
        <v>1076</v>
      </c>
      <c r="D235" s="4"/>
    </row>
    <row r="236" spans="1:4" x14ac:dyDescent="0.2">
      <c r="A236" t="s">
        <v>228</v>
      </c>
      <c r="B236" t="s">
        <v>957</v>
      </c>
      <c r="C236" t="s">
        <v>871</v>
      </c>
      <c r="D236" s="4"/>
    </row>
    <row r="237" spans="1:4" x14ac:dyDescent="0.2">
      <c r="A237" t="s">
        <v>228</v>
      </c>
      <c r="B237" t="s">
        <v>958</v>
      </c>
      <c r="C237" t="s">
        <v>872</v>
      </c>
      <c r="D237" s="4"/>
    </row>
    <row r="238" spans="1:4" x14ac:dyDescent="0.2">
      <c r="D238" s="4"/>
    </row>
    <row r="239" spans="1:4" x14ac:dyDescent="0.2">
      <c r="A239" t="s">
        <v>1077</v>
      </c>
      <c r="B239" t="s">
        <v>1078</v>
      </c>
      <c r="C239" t="s">
        <v>1079</v>
      </c>
      <c r="D239" s="4"/>
    </row>
    <row r="240" spans="1:4" x14ac:dyDescent="0.2">
      <c r="A240" t="s">
        <v>1077</v>
      </c>
      <c r="B240" t="s">
        <v>1080</v>
      </c>
      <c r="C240" t="s">
        <v>1081</v>
      </c>
      <c r="D240" s="4"/>
    </row>
    <row r="241" spans="1:4" x14ac:dyDescent="0.2">
      <c r="A241" t="s">
        <v>1077</v>
      </c>
      <c r="B241" t="s">
        <v>1082</v>
      </c>
      <c r="C241" t="s">
        <v>1083</v>
      </c>
      <c r="D241" s="4"/>
    </row>
    <row r="242" spans="1:4" x14ac:dyDescent="0.2">
      <c r="A242" t="s">
        <v>1077</v>
      </c>
      <c r="B242" t="s">
        <v>1084</v>
      </c>
      <c r="C242" t="s">
        <v>1085</v>
      </c>
      <c r="D242" s="4"/>
    </row>
    <row r="243" spans="1:4" x14ac:dyDescent="0.2">
      <c r="A243" t="s">
        <v>1077</v>
      </c>
      <c r="B243" t="s">
        <v>1086</v>
      </c>
      <c r="C243" t="s">
        <v>1087</v>
      </c>
      <c r="D243" s="4"/>
    </row>
    <row r="244" spans="1:4" x14ac:dyDescent="0.2">
      <c r="A244" t="s">
        <v>1077</v>
      </c>
      <c r="B244" t="s">
        <v>1088</v>
      </c>
      <c r="C244" t="s">
        <v>1089</v>
      </c>
      <c r="D244" s="4"/>
    </row>
    <row r="245" spans="1:4" x14ac:dyDescent="0.2">
      <c r="A245" t="s">
        <v>1077</v>
      </c>
      <c r="B245" t="s">
        <v>1090</v>
      </c>
      <c r="C245" t="s">
        <v>1091</v>
      </c>
      <c r="D245" s="4"/>
    </row>
    <row r="246" spans="1:4" x14ac:dyDescent="0.2">
      <c r="A246" t="s">
        <v>1077</v>
      </c>
      <c r="B246" t="s">
        <v>1092</v>
      </c>
      <c r="C246" t="s">
        <v>1093</v>
      </c>
      <c r="D246" s="4"/>
    </row>
    <row r="247" spans="1:4" x14ac:dyDescent="0.2">
      <c r="A247" t="s">
        <v>1077</v>
      </c>
      <c r="B247" t="s">
        <v>896</v>
      </c>
      <c r="C247" t="s">
        <v>1094</v>
      </c>
      <c r="D247" s="4"/>
    </row>
    <row r="248" spans="1:4" x14ac:dyDescent="0.2">
      <c r="A248" t="s">
        <v>1077</v>
      </c>
      <c r="B248" t="s">
        <v>955</v>
      </c>
      <c r="C248" t="s">
        <v>1095</v>
      </c>
      <c r="D248" s="4"/>
    </row>
    <row r="249" spans="1:4" x14ac:dyDescent="0.2">
      <c r="A249" t="s">
        <v>1077</v>
      </c>
      <c r="B249" t="s">
        <v>957</v>
      </c>
      <c r="C249" t="s">
        <v>871</v>
      </c>
      <c r="D249" s="4"/>
    </row>
    <row r="250" spans="1:4" x14ac:dyDescent="0.2">
      <c r="A250" t="s">
        <v>1077</v>
      </c>
      <c r="B250" t="s">
        <v>958</v>
      </c>
      <c r="C250" t="s">
        <v>872</v>
      </c>
      <c r="D250" s="4"/>
    </row>
    <row r="251" spans="1:4" x14ac:dyDescent="0.2">
      <c r="D251" s="4"/>
    </row>
    <row r="252" spans="1:4" s="14" customFormat="1" x14ac:dyDescent="0.2">
      <c r="A252" s="17" t="s">
        <v>1096</v>
      </c>
      <c r="B252" s="17">
        <v>1</v>
      </c>
      <c r="C252" s="17" t="s">
        <v>1097</v>
      </c>
      <c r="D252" s="16"/>
    </row>
    <row r="253" spans="1:4" s="14" customFormat="1" x14ac:dyDescent="0.2">
      <c r="A253" s="17" t="s">
        <v>1096</v>
      </c>
      <c r="B253" s="17">
        <v>2</v>
      </c>
      <c r="C253" s="17" t="s">
        <v>1098</v>
      </c>
      <c r="D253" s="16"/>
    </row>
    <row r="254" spans="1:4" s="14" customFormat="1" x14ac:dyDescent="0.2">
      <c r="A254" s="17" t="s">
        <v>1096</v>
      </c>
      <c r="B254" s="17">
        <v>3</v>
      </c>
      <c r="C254" s="17" t="s">
        <v>1099</v>
      </c>
      <c r="D254" s="16"/>
    </row>
    <row r="255" spans="1:4" s="14" customFormat="1" x14ac:dyDescent="0.2">
      <c r="A255" s="17" t="s">
        <v>1096</v>
      </c>
      <c r="B255" s="17">
        <v>4</v>
      </c>
      <c r="C255" s="17" t="s">
        <v>1100</v>
      </c>
      <c r="D255" s="16"/>
    </row>
    <row r="256" spans="1:4" s="14" customFormat="1" x14ac:dyDescent="0.2">
      <c r="D256" s="16"/>
    </row>
    <row r="257" spans="1:4" s="15" customFormat="1" x14ac:dyDescent="0.2">
      <c r="A257" s="17" t="s">
        <v>1101</v>
      </c>
      <c r="B257" s="17">
        <v>1</v>
      </c>
      <c r="C257" s="17" t="s">
        <v>1102</v>
      </c>
      <c r="D257" s="5"/>
    </row>
    <row r="258" spans="1:4" s="15" customFormat="1" x14ac:dyDescent="0.2">
      <c r="A258" s="17" t="s">
        <v>1101</v>
      </c>
      <c r="B258" s="17">
        <v>2</v>
      </c>
      <c r="C258" s="17" t="s">
        <v>1103</v>
      </c>
      <c r="D258" s="5"/>
    </row>
    <row r="259" spans="1:4" s="14" customFormat="1" x14ac:dyDescent="0.2">
      <c r="D259" s="16"/>
    </row>
    <row r="260" spans="1:4" s="14" customFormat="1" x14ac:dyDescent="0.2">
      <c r="A260" s="17" t="s">
        <v>1104</v>
      </c>
      <c r="B260" s="17">
        <v>1</v>
      </c>
      <c r="C260" s="17" t="s">
        <v>1105</v>
      </c>
      <c r="D260" s="16"/>
    </row>
    <row r="261" spans="1:4" s="14" customFormat="1" x14ac:dyDescent="0.2">
      <c r="A261" s="17" t="s">
        <v>1104</v>
      </c>
      <c r="B261" s="17">
        <v>2</v>
      </c>
      <c r="C261" s="17" t="s">
        <v>1106</v>
      </c>
      <c r="D261" s="16"/>
    </row>
    <row r="262" spans="1:4" s="14" customFormat="1" x14ac:dyDescent="0.2">
      <c r="A262" s="17" t="s">
        <v>1104</v>
      </c>
      <c r="B262" s="17">
        <v>3</v>
      </c>
      <c r="C262" s="17" t="s">
        <v>1107</v>
      </c>
      <c r="D262" s="16"/>
    </row>
    <row r="263" spans="1:4" s="14" customFormat="1" x14ac:dyDescent="0.2">
      <c r="A263" s="17" t="s">
        <v>1104</v>
      </c>
      <c r="B263" s="17">
        <v>4</v>
      </c>
      <c r="C263" s="17" t="s">
        <v>1108</v>
      </c>
      <c r="D263" s="16"/>
    </row>
    <row r="264" spans="1:4" s="14" customFormat="1" x14ac:dyDescent="0.2">
      <c r="A264" s="17" t="s">
        <v>1104</v>
      </c>
      <c r="B264" s="17">
        <v>5</v>
      </c>
      <c r="C264" s="17" t="s">
        <v>1109</v>
      </c>
      <c r="D264" s="16"/>
    </row>
    <row r="265" spans="1:4" s="14" customFormat="1" x14ac:dyDescent="0.2">
      <c r="A265" s="17" t="s">
        <v>1104</v>
      </c>
      <c r="B265" s="17">
        <v>6</v>
      </c>
      <c r="C265" s="17" t="s">
        <v>1094</v>
      </c>
      <c r="D265" s="16"/>
    </row>
    <row r="266" spans="1:4" s="14" customFormat="1" x14ac:dyDescent="0.2">
      <c r="A266" s="17" t="s">
        <v>1104</v>
      </c>
      <c r="B266" s="17">
        <v>7</v>
      </c>
      <c r="C266" s="17" t="s">
        <v>871</v>
      </c>
      <c r="D266" s="16"/>
    </row>
    <row r="267" spans="1:4" s="14" customFormat="1" x14ac:dyDescent="0.2">
      <c r="A267" s="17" t="s">
        <v>1104</v>
      </c>
      <c r="B267" s="17">
        <v>8</v>
      </c>
      <c r="C267" s="17" t="s">
        <v>872</v>
      </c>
      <c r="D267" s="16"/>
    </row>
    <row r="268" spans="1:4" x14ac:dyDescent="0.2">
      <c r="D268" s="4"/>
    </row>
    <row r="269" spans="1:4" s="14" customFormat="1" x14ac:dyDescent="0.2">
      <c r="A269" s="13" t="s">
        <v>1110</v>
      </c>
      <c r="B269" s="13">
        <v>1</v>
      </c>
      <c r="C269" s="13" t="s">
        <v>1111</v>
      </c>
      <c r="D269" s="16"/>
    </row>
    <row r="270" spans="1:4" s="14" customFormat="1" x14ac:dyDescent="0.2">
      <c r="A270" s="13" t="s">
        <v>1110</v>
      </c>
      <c r="B270" s="13">
        <v>2</v>
      </c>
      <c r="C270" s="13" t="s">
        <v>1112</v>
      </c>
      <c r="D270" s="16"/>
    </row>
    <row r="271" spans="1:4" s="14" customFormat="1" x14ac:dyDescent="0.2">
      <c r="A271" s="13" t="s">
        <v>1110</v>
      </c>
      <c r="B271" s="13">
        <v>3</v>
      </c>
      <c r="C271" s="13" t="s">
        <v>1113</v>
      </c>
      <c r="D271" s="16"/>
    </row>
    <row r="272" spans="1:4" s="14" customFormat="1" x14ac:dyDescent="0.2">
      <c r="A272" s="13" t="s">
        <v>1110</v>
      </c>
      <c r="B272" s="13">
        <v>4</v>
      </c>
      <c r="C272" s="13" t="s">
        <v>1114</v>
      </c>
      <c r="D272" s="16"/>
    </row>
    <row r="273" spans="1:4" s="14" customFormat="1" x14ac:dyDescent="0.2">
      <c r="A273" s="13" t="s">
        <v>1110</v>
      </c>
      <c r="B273" s="13">
        <v>5</v>
      </c>
      <c r="C273" s="13" t="s">
        <v>1115</v>
      </c>
      <c r="D273" s="16"/>
    </row>
    <row r="274" spans="1:4" s="14" customFormat="1" x14ac:dyDescent="0.2">
      <c r="A274" s="13" t="s">
        <v>1110</v>
      </c>
      <c r="B274" s="13">
        <v>6</v>
      </c>
      <c r="C274" s="13" t="s">
        <v>871</v>
      </c>
      <c r="D274" s="16"/>
    </row>
    <row r="275" spans="1:4" s="14" customFormat="1" x14ac:dyDescent="0.2">
      <c r="A275" s="13" t="s">
        <v>1110</v>
      </c>
      <c r="B275" s="13">
        <v>7</v>
      </c>
      <c r="C275" s="13" t="s">
        <v>872</v>
      </c>
      <c r="D275" s="16"/>
    </row>
    <row r="276" spans="1:4" x14ac:dyDescent="0.2">
      <c r="D276" s="4"/>
    </row>
    <row r="277" spans="1:4" s="14" customFormat="1" x14ac:dyDescent="0.2">
      <c r="A277" s="13" t="s">
        <v>1116</v>
      </c>
      <c r="B277" s="13" t="s">
        <v>1117</v>
      </c>
      <c r="C277" s="13" t="s">
        <v>1118</v>
      </c>
      <c r="D277" s="16"/>
    </row>
    <row r="278" spans="1:4" s="14" customFormat="1" x14ac:dyDescent="0.2">
      <c r="A278" s="13" t="s">
        <v>1116</v>
      </c>
      <c r="B278" s="13" t="s">
        <v>1119</v>
      </c>
      <c r="C278" s="13" t="s">
        <v>1120</v>
      </c>
      <c r="D278" s="16"/>
    </row>
    <row r="279" spans="1:4" s="14" customFormat="1" x14ac:dyDescent="0.2">
      <c r="A279" s="13" t="s">
        <v>1116</v>
      </c>
      <c r="B279" s="13" t="s">
        <v>1121</v>
      </c>
      <c r="C279" s="13" t="s">
        <v>1122</v>
      </c>
      <c r="D279" s="16"/>
    </row>
    <row r="280" spans="1:4" s="14" customFormat="1" x14ac:dyDescent="0.2">
      <c r="A280" s="13" t="s">
        <v>1116</v>
      </c>
      <c r="B280" s="13" t="s">
        <v>1123</v>
      </c>
      <c r="C280" s="13" t="s">
        <v>1124</v>
      </c>
      <c r="D280" s="16"/>
    </row>
    <row r="281" spans="1:4" s="14" customFormat="1" x14ac:dyDescent="0.2">
      <c r="A281" s="13" t="s">
        <v>1116</v>
      </c>
      <c r="B281" s="13" t="s">
        <v>1125</v>
      </c>
      <c r="C281" s="13" t="s">
        <v>1126</v>
      </c>
      <c r="D281" s="16"/>
    </row>
    <row r="282" spans="1:4" s="14" customFormat="1" x14ac:dyDescent="0.2">
      <c r="A282" s="13" t="s">
        <v>1116</v>
      </c>
      <c r="B282" s="13" t="s">
        <v>1127</v>
      </c>
      <c r="C282" s="13" t="s">
        <v>1128</v>
      </c>
      <c r="D282" s="16"/>
    </row>
    <row r="283" spans="1:4" s="14" customFormat="1" x14ac:dyDescent="0.2">
      <c r="A283" s="13" t="s">
        <v>1116</v>
      </c>
      <c r="B283" s="14" t="s">
        <v>1129</v>
      </c>
      <c r="C283" s="13" t="s">
        <v>1130</v>
      </c>
      <c r="D283" s="16"/>
    </row>
    <row r="284" spans="1:4" s="14" customFormat="1" x14ac:dyDescent="0.2">
      <c r="A284" s="13" t="s">
        <v>1116</v>
      </c>
      <c r="B284" s="13" t="s">
        <v>896</v>
      </c>
      <c r="C284" s="13" t="s">
        <v>1131</v>
      </c>
      <c r="D284" s="16"/>
    </row>
    <row r="285" spans="1:4" s="14" customFormat="1" x14ac:dyDescent="0.2">
      <c r="A285" s="13" t="s">
        <v>1116</v>
      </c>
      <c r="B285" s="13" t="s">
        <v>957</v>
      </c>
      <c r="C285" s="13" t="s">
        <v>871</v>
      </c>
      <c r="D285" s="16"/>
    </row>
    <row r="286" spans="1:4" s="14" customFormat="1" x14ac:dyDescent="0.2">
      <c r="A286" s="13" t="s">
        <v>1116</v>
      </c>
      <c r="B286" s="13" t="s">
        <v>958</v>
      </c>
      <c r="C286" s="13" t="s">
        <v>872</v>
      </c>
      <c r="D286" s="16"/>
    </row>
    <row r="287" spans="1:4" x14ac:dyDescent="0.2">
      <c r="D287" s="4"/>
    </row>
    <row r="288" spans="1:4" x14ac:dyDescent="0.2">
      <c r="A288" s="13" t="s">
        <v>1132</v>
      </c>
      <c r="B288" s="13">
        <v>1</v>
      </c>
      <c r="C288" s="13" t="s">
        <v>1133</v>
      </c>
      <c r="D288" s="4"/>
    </row>
    <row r="289" spans="1:4" x14ac:dyDescent="0.2">
      <c r="A289" s="13" t="s">
        <v>1132</v>
      </c>
      <c r="B289" s="13">
        <v>2</v>
      </c>
      <c r="C289" s="13" t="s">
        <v>1134</v>
      </c>
      <c r="D289" s="4"/>
    </row>
    <row r="290" spans="1:4" x14ac:dyDescent="0.2">
      <c r="A290" s="13" t="s">
        <v>1132</v>
      </c>
      <c r="B290" s="13">
        <v>3</v>
      </c>
      <c r="C290" s="13" t="s">
        <v>1135</v>
      </c>
      <c r="D290" s="4"/>
    </row>
    <row r="291" spans="1:4" x14ac:dyDescent="0.2">
      <c r="A291" s="13" t="s">
        <v>1132</v>
      </c>
      <c r="B291" s="13">
        <v>4</v>
      </c>
      <c r="C291" s="13" t="s">
        <v>1136</v>
      </c>
      <c r="D291" s="4"/>
    </row>
    <row r="292" spans="1:4" x14ac:dyDescent="0.2">
      <c r="A292" s="13" t="s">
        <v>1132</v>
      </c>
      <c r="B292" s="13">
        <v>5</v>
      </c>
      <c r="C292" s="13" t="s">
        <v>1137</v>
      </c>
      <c r="D292" s="4"/>
    </row>
    <row r="293" spans="1:4" x14ac:dyDescent="0.2">
      <c r="A293" s="13" t="s">
        <v>1132</v>
      </c>
      <c r="B293" s="13">
        <v>6</v>
      </c>
      <c r="C293" s="13" t="s">
        <v>1138</v>
      </c>
      <c r="D293" s="4"/>
    </row>
    <row r="294" spans="1:4" x14ac:dyDescent="0.2">
      <c r="A294" s="13" t="s">
        <v>1132</v>
      </c>
      <c r="B294" s="13">
        <v>7</v>
      </c>
      <c r="C294" s="13" t="s">
        <v>1139</v>
      </c>
      <c r="D294" s="4"/>
    </row>
    <row r="295" spans="1:4" x14ac:dyDescent="0.2">
      <c r="A295" s="13" t="s">
        <v>1132</v>
      </c>
      <c r="B295" s="13">
        <v>8</v>
      </c>
      <c r="C295" s="13" t="s">
        <v>1140</v>
      </c>
      <c r="D295" s="4"/>
    </row>
    <row r="296" spans="1:4" x14ac:dyDescent="0.2">
      <c r="A296" s="13" t="s">
        <v>1132</v>
      </c>
      <c r="B296" s="13">
        <v>9</v>
      </c>
      <c r="C296" s="13" t="s">
        <v>1094</v>
      </c>
      <c r="D296" s="4"/>
    </row>
    <row r="297" spans="1:4" x14ac:dyDescent="0.2">
      <c r="D297" s="4"/>
    </row>
    <row r="298" spans="1:4" x14ac:dyDescent="0.2">
      <c r="A298" s="17" t="s">
        <v>1141</v>
      </c>
      <c r="B298" s="17" t="s">
        <v>1142</v>
      </c>
      <c r="C298" s="17" t="s">
        <v>1143</v>
      </c>
      <c r="D298" s="4"/>
    </row>
    <row r="299" spans="1:4" x14ac:dyDescent="0.2">
      <c r="A299" s="17" t="s">
        <v>1141</v>
      </c>
      <c r="B299" s="17" t="s">
        <v>1144</v>
      </c>
      <c r="C299" s="17" t="s">
        <v>1145</v>
      </c>
      <c r="D299" s="4"/>
    </row>
    <row r="300" spans="1:4" x14ac:dyDescent="0.2">
      <c r="A300" s="17" t="s">
        <v>1141</v>
      </c>
      <c r="B300" s="17" t="s">
        <v>1146</v>
      </c>
      <c r="C300" s="17" t="s">
        <v>1147</v>
      </c>
      <c r="D300" s="4"/>
    </row>
    <row r="301" spans="1:4" x14ac:dyDescent="0.2">
      <c r="A301" s="17" t="s">
        <v>1141</v>
      </c>
      <c r="B301" s="17" t="s">
        <v>1148</v>
      </c>
      <c r="C301" s="17" t="s">
        <v>1149</v>
      </c>
      <c r="D301" s="4"/>
    </row>
    <row r="302" spans="1:4" x14ac:dyDescent="0.2">
      <c r="A302" s="17" t="s">
        <v>1141</v>
      </c>
      <c r="B302" s="17" t="s">
        <v>1150</v>
      </c>
      <c r="C302" s="17" t="s">
        <v>1151</v>
      </c>
      <c r="D302" s="4"/>
    </row>
    <row r="303" spans="1:4" x14ac:dyDescent="0.2">
      <c r="A303" s="17" t="s">
        <v>1141</v>
      </c>
      <c r="B303" s="17" t="s">
        <v>1152</v>
      </c>
      <c r="C303" s="17" t="s">
        <v>1153</v>
      </c>
      <c r="D303" s="4"/>
    </row>
    <row r="304" spans="1:4" x14ac:dyDescent="0.2">
      <c r="A304" s="17" t="s">
        <v>1141</v>
      </c>
      <c r="B304" s="17" t="s">
        <v>1154</v>
      </c>
      <c r="C304" s="17" t="s">
        <v>1155</v>
      </c>
      <c r="D304" s="4"/>
    </row>
    <row r="305" spans="1:4" x14ac:dyDescent="0.2">
      <c r="A305" s="17" t="s">
        <v>1141</v>
      </c>
      <c r="B305" s="17" t="s">
        <v>1156</v>
      </c>
      <c r="C305" s="17" t="s">
        <v>1157</v>
      </c>
      <c r="D305" s="4"/>
    </row>
    <row r="306" spans="1:4" x14ac:dyDescent="0.2">
      <c r="A306" s="17" t="s">
        <v>1141</v>
      </c>
      <c r="B306" s="17" t="s">
        <v>1158</v>
      </c>
      <c r="C306" s="17" t="s">
        <v>1159</v>
      </c>
      <c r="D306" s="4"/>
    </row>
    <row r="307" spans="1:4" x14ac:dyDescent="0.2">
      <c r="A307" s="17" t="s">
        <v>1141</v>
      </c>
      <c r="B307" s="17" t="s">
        <v>1160</v>
      </c>
      <c r="C307" s="17" t="s">
        <v>1161</v>
      </c>
      <c r="D307" s="4"/>
    </row>
    <row r="308" spans="1:4" x14ac:dyDescent="0.2">
      <c r="A308" s="17" t="s">
        <v>1141</v>
      </c>
      <c r="B308" s="17" t="s">
        <v>1162</v>
      </c>
      <c r="C308" s="17" t="s">
        <v>1163</v>
      </c>
      <c r="D308" s="4"/>
    </row>
    <row r="309" spans="1:4" x14ac:dyDescent="0.2">
      <c r="A309" s="17" t="s">
        <v>1141</v>
      </c>
      <c r="B309" s="17" t="s">
        <v>1164</v>
      </c>
      <c r="C309" s="17" t="s">
        <v>1165</v>
      </c>
      <c r="D309" s="4"/>
    </row>
    <row r="310" spans="1:4" x14ac:dyDescent="0.2">
      <c r="A310" s="17" t="s">
        <v>1141</v>
      </c>
      <c r="B310" s="17" t="s">
        <v>1166</v>
      </c>
      <c r="C310" s="17" t="s">
        <v>1167</v>
      </c>
      <c r="D310" s="4"/>
    </row>
    <row r="311" spans="1:4" x14ac:dyDescent="0.2">
      <c r="A311" s="17" t="s">
        <v>1141</v>
      </c>
      <c r="B311" s="17" t="s">
        <v>1168</v>
      </c>
      <c r="C311" s="17" t="s">
        <v>1169</v>
      </c>
      <c r="D311" s="4"/>
    </row>
    <row r="312" spans="1:4" x14ac:dyDescent="0.2">
      <c r="A312" s="17" t="s">
        <v>1141</v>
      </c>
      <c r="B312" s="17" t="s">
        <v>1170</v>
      </c>
      <c r="C312" s="17" t="s">
        <v>1171</v>
      </c>
      <c r="D312" s="4"/>
    </row>
    <row r="313" spans="1:4" x14ac:dyDescent="0.2">
      <c r="A313" s="17" t="s">
        <v>1141</v>
      </c>
      <c r="B313" s="17" t="s">
        <v>896</v>
      </c>
      <c r="C313" s="17" t="s">
        <v>1131</v>
      </c>
      <c r="D313" s="4"/>
    </row>
    <row r="314" spans="1:4" x14ac:dyDescent="0.2">
      <c r="A314" s="17" t="s">
        <v>1141</v>
      </c>
      <c r="B314" s="17" t="s">
        <v>957</v>
      </c>
      <c r="C314" s="17" t="s">
        <v>871</v>
      </c>
      <c r="D314" s="4"/>
    </row>
    <row r="315" spans="1:4" x14ac:dyDescent="0.2">
      <c r="A315" s="17" t="s">
        <v>1141</v>
      </c>
      <c r="B315" s="17" t="s">
        <v>958</v>
      </c>
      <c r="C315" s="17" t="s">
        <v>872</v>
      </c>
      <c r="D315" s="4"/>
    </row>
    <row r="316" spans="1:4" x14ac:dyDescent="0.2">
      <c r="D316" s="4"/>
    </row>
    <row r="317" spans="1:4" s="14" customFormat="1" x14ac:dyDescent="0.2">
      <c r="A317" s="13" t="s">
        <v>1172</v>
      </c>
      <c r="B317" s="13">
        <v>1</v>
      </c>
      <c r="C317" s="13" t="s">
        <v>1173</v>
      </c>
      <c r="D317" s="16"/>
    </row>
    <row r="318" spans="1:4" s="14" customFormat="1" x14ac:dyDescent="0.2">
      <c r="A318" s="13" t="s">
        <v>1172</v>
      </c>
      <c r="B318" s="13">
        <v>2</v>
      </c>
      <c r="C318" s="13" t="s">
        <v>1174</v>
      </c>
      <c r="D318" s="16"/>
    </row>
    <row r="319" spans="1:4" s="14" customFormat="1" x14ac:dyDescent="0.2">
      <c r="A319" s="13" t="s">
        <v>1172</v>
      </c>
      <c r="B319" s="13">
        <v>3</v>
      </c>
      <c r="C319" s="13" t="s">
        <v>1175</v>
      </c>
      <c r="D319" s="16"/>
    </row>
    <row r="320" spans="1:4" s="14" customFormat="1" x14ac:dyDescent="0.2">
      <c r="A320" s="13" t="s">
        <v>1172</v>
      </c>
      <c r="B320" s="13">
        <v>4</v>
      </c>
      <c r="C320" s="13" t="s">
        <v>1176</v>
      </c>
      <c r="D320" s="16"/>
    </row>
    <row r="321" spans="1:5" s="14" customFormat="1" x14ac:dyDescent="0.2">
      <c r="A321" s="13" t="s">
        <v>1172</v>
      </c>
      <c r="B321" s="13">
        <v>5</v>
      </c>
      <c r="C321" s="13" t="s">
        <v>1177</v>
      </c>
      <c r="D321" s="16"/>
    </row>
    <row r="322" spans="1:5" s="14" customFormat="1" x14ac:dyDescent="0.2">
      <c r="A322" s="13" t="s">
        <v>1172</v>
      </c>
      <c r="B322" s="13">
        <v>6</v>
      </c>
      <c r="C322" s="13" t="s">
        <v>1178</v>
      </c>
      <c r="D322" s="16"/>
    </row>
    <row r="323" spans="1:5" s="14" customFormat="1" x14ac:dyDescent="0.2">
      <c r="A323" s="13" t="s">
        <v>1172</v>
      </c>
      <c r="B323" s="13">
        <v>7</v>
      </c>
      <c r="C323" s="13" t="s">
        <v>871</v>
      </c>
      <c r="D323" s="16"/>
    </row>
    <row r="324" spans="1:5" x14ac:dyDescent="0.2">
      <c r="A324" s="13" t="s">
        <v>1172</v>
      </c>
      <c r="B324" s="13">
        <v>8</v>
      </c>
      <c r="C324" s="13" t="s">
        <v>872</v>
      </c>
      <c r="D324" s="16"/>
      <c r="E324" s="14"/>
    </row>
    <row r="325" spans="1:5" x14ac:dyDescent="0.2">
      <c r="D325" s="4"/>
    </row>
    <row r="326" spans="1:5" x14ac:dyDescent="0.2">
      <c r="A326" t="s">
        <v>1179</v>
      </c>
      <c r="B326" t="s">
        <v>1180</v>
      </c>
      <c r="C326" t="s">
        <v>1181</v>
      </c>
      <c r="D326" s="4"/>
    </row>
    <row r="327" spans="1:5" x14ac:dyDescent="0.2">
      <c r="A327" t="s">
        <v>1179</v>
      </c>
      <c r="B327" t="s">
        <v>1182</v>
      </c>
      <c r="C327" t="s">
        <v>1183</v>
      </c>
      <c r="D327" s="4"/>
    </row>
    <row r="328" spans="1:5" x14ac:dyDescent="0.2">
      <c r="A328" t="s">
        <v>1179</v>
      </c>
      <c r="B328" t="s">
        <v>1184</v>
      </c>
      <c r="C328" t="s">
        <v>1185</v>
      </c>
      <c r="D328" s="4"/>
    </row>
    <row r="329" spans="1:5" x14ac:dyDescent="0.2">
      <c r="A329" t="s">
        <v>1179</v>
      </c>
      <c r="B329" t="s">
        <v>1186</v>
      </c>
      <c r="C329" t="s">
        <v>1187</v>
      </c>
      <c r="D329" s="4"/>
    </row>
    <row r="330" spans="1:5" x14ac:dyDescent="0.2">
      <c r="A330" t="s">
        <v>1179</v>
      </c>
      <c r="B330" t="s">
        <v>1188</v>
      </c>
      <c r="C330" t="s">
        <v>1189</v>
      </c>
      <c r="D330" s="4"/>
    </row>
    <row r="331" spans="1:5" x14ac:dyDescent="0.2">
      <c r="A331" t="s">
        <v>1179</v>
      </c>
      <c r="B331" t="s">
        <v>1190</v>
      </c>
      <c r="C331" t="s">
        <v>1191</v>
      </c>
      <c r="D331" s="4"/>
    </row>
    <row r="332" spans="1:5" x14ac:dyDescent="0.2">
      <c r="A332" t="s">
        <v>1179</v>
      </c>
      <c r="B332" t="s">
        <v>1192</v>
      </c>
      <c r="C332" t="s">
        <v>1193</v>
      </c>
      <c r="D332" s="4"/>
    </row>
    <row r="333" spans="1:5" x14ac:dyDescent="0.2">
      <c r="A333" t="s">
        <v>1179</v>
      </c>
      <c r="B333" t="s">
        <v>896</v>
      </c>
      <c r="C333" t="s">
        <v>1131</v>
      </c>
      <c r="D333" s="4"/>
    </row>
    <row r="334" spans="1:5" x14ac:dyDescent="0.2">
      <c r="A334" t="s">
        <v>1179</v>
      </c>
      <c r="B334" t="s">
        <v>957</v>
      </c>
      <c r="C334" t="s">
        <v>871</v>
      </c>
      <c r="D334" s="4"/>
    </row>
    <row r="335" spans="1:5" x14ac:dyDescent="0.2">
      <c r="A335" t="s">
        <v>1179</v>
      </c>
      <c r="B335" t="s">
        <v>958</v>
      </c>
      <c r="C335" t="s">
        <v>872</v>
      </c>
      <c r="D335" s="4"/>
    </row>
    <row r="336" spans="1:5" x14ac:dyDescent="0.2">
      <c r="D336" s="4"/>
    </row>
    <row r="337" spans="1:4" x14ac:dyDescent="0.2">
      <c r="A337" t="s">
        <v>398</v>
      </c>
      <c r="B337">
        <v>1</v>
      </c>
      <c r="C337" t="s">
        <v>1194</v>
      </c>
      <c r="D337" s="4"/>
    </row>
    <row r="338" spans="1:4" x14ac:dyDescent="0.2">
      <c r="A338" t="s">
        <v>398</v>
      </c>
      <c r="B338">
        <v>2</v>
      </c>
      <c r="C338" t="s">
        <v>1195</v>
      </c>
      <c r="D338" s="4"/>
    </row>
    <row r="339" spans="1:4" x14ac:dyDescent="0.2">
      <c r="A339" t="s">
        <v>398</v>
      </c>
      <c r="B339">
        <v>3</v>
      </c>
      <c r="C339" t="s">
        <v>1196</v>
      </c>
      <c r="D339" s="4"/>
    </row>
    <row r="340" spans="1:4" x14ac:dyDescent="0.2">
      <c r="A340" t="s">
        <v>398</v>
      </c>
      <c r="B340">
        <v>4</v>
      </c>
      <c r="C340" t="s">
        <v>1197</v>
      </c>
    </row>
    <row r="341" spans="1:4" x14ac:dyDescent="0.2">
      <c r="A341" t="s">
        <v>398</v>
      </c>
      <c r="B341">
        <v>5</v>
      </c>
      <c r="C341" t="s">
        <v>1198</v>
      </c>
      <c r="D341" s="4"/>
    </row>
    <row r="342" spans="1:4" x14ac:dyDescent="0.2">
      <c r="A342" t="s">
        <v>398</v>
      </c>
      <c r="B342">
        <v>6</v>
      </c>
      <c r="C342" t="s">
        <v>1199</v>
      </c>
      <c r="D342" s="4"/>
    </row>
    <row r="343" spans="1:4" x14ac:dyDescent="0.2">
      <c r="A343" t="s">
        <v>398</v>
      </c>
      <c r="B343">
        <v>7</v>
      </c>
      <c r="C343" t="s">
        <v>1200</v>
      </c>
      <c r="D343" s="4"/>
    </row>
    <row r="344" spans="1:4" x14ac:dyDescent="0.2">
      <c r="A344" t="s">
        <v>398</v>
      </c>
      <c r="B344">
        <v>8</v>
      </c>
      <c r="C344" t="s">
        <v>1201</v>
      </c>
      <c r="D344" s="4"/>
    </row>
    <row r="345" spans="1:4" x14ac:dyDescent="0.2">
      <c r="A345" t="s">
        <v>398</v>
      </c>
      <c r="B345">
        <v>9</v>
      </c>
      <c r="C345" t="s">
        <v>1131</v>
      </c>
      <c r="D345" s="4"/>
    </row>
    <row r="346" spans="1:4" x14ac:dyDescent="0.2">
      <c r="A346" t="s">
        <v>398</v>
      </c>
      <c r="B346" s="18">
        <v>10</v>
      </c>
      <c r="C346" t="s">
        <v>871</v>
      </c>
      <c r="D346" s="4"/>
    </row>
    <row r="347" spans="1:4" x14ac:dyDescent="0.2">
      <c r="A347" t="s">
        <v>398</v>
      </c>
      <c r="B347" s="18">
        <v>11</v>
      </c>
      <c r="C347" t="s">
        <v>872</v>
      </c>
      <c r="D347" s="4"/>
    </row>
    <row r="348" spans="1:4" x14ac:dyDescent="0.2">
      <c r="D348" s="4"/>
    </row>
    <row r="349" spans="1:4" x14ac:dyDescent="0.2">
      <c r="A349" t="s">
        <v>1202</v>
      </c>
      <c r="B349" t="s">
        <v>1203</v>
      </c>
      <c r="C349" t="s">
        <v>1204</v>
      </c>
      <c r="D349" s="4"/>
    </row>
    <row r="350" spans="1:4" x14ac:dyDescent="0.2">
      <c r="A350" t="s">
        <v>1202</v>
      </c>
      <c r="B350" t="s">
        <v>1205</v>
      </c>
      <c r="C350" t="s">
        <v>1206</v>
      </c>
      <c r="D350" s="4"/>
    </row>
    <row r="351" spans="1:4" x14ac:dyDescent="0.2">
      <c r="A351" t="s">
        <v>1202</v>
      </c>
      <c r="B351" t="s">
        <v>1207</v>
      </c>
      <c r="C351" t="s">
        <v>1208</v>
      </c>
      <c r="D351" s="4"/>
    </row>
    <row r="352" spans="1:4" x14ac:dyDescent="0.2">
      <c r="A352" t="s">
        <v>1202</v>
      </c>
      <c r="B352" t="s">
        <v>1209</v>
      </c>
      <c r="C352" t="s">
        <v>1210</v>
      </c>
      <c r="D352" s="4"/>
    </row>
    <row r="353" spans="1:4" x14ac:dyDescent="0.2">
      <c r="A353" t="s">
        <v>1202</v>
      </c>
      <c r="B353" t="s">
        <v>1211</v>
      </c>
      <c r="C353" t="s">
        <v>1212</v>
      </c>
      <c r="D353" s="4"/>
    </row>
    <row r="354" spans="1:4" x14ac:dyDescent="0.2">
      <c r="A354" t="s">
        <v>1202</v>
      </c>
      <c r="B354" t="s">
        <v>1213</v>
      </c>
      <c r="C354" t="s">
        <v>1214</v>
      </c>
      <c r="D354" s="4"/>
    </row>
    <row r="355" spans="1:4" x14ac:dyDescent="0.2">
      <c r="A355" t="s">
        <v>1202</v>
      </c>
      <c r="B355" t="s">
        <v>1215</v>
      </c>
      <c r="C355" t="s">
        <v>1216</v>
      </c>
      <c r="D355" s="4"/>
    </row>
    <row r="356" spans="1:4" x14ac:dyDescent="0.2">
      <c r="A356" t="s">
        <v>1202</v>
      </c>
      <c r="B356" t="s">
        <v>1217</v>
      </c>
      <c r="C356" t="s">
        <v>1218</v>
      </c>
      <c r="D356" s="4"/>
    </row>
    <row r="357" spans="1:4" x14ac:dyDescent="0.2">
      <c r="A357" t="s">
        <v>1202</v>
      </c>
      <c r="B357" t="s">
        <v>1219</v>
      </c>
      <c r="C357" t="s">
        <v>1220</v>
      </c>
      <c r="D357" s="4"/>
    </row>
    <row r="358" spans="1:4" x14ac:dyDescent="0.2">
      <c r="A358" t="s">
        <v>1202</v>
      </c>
      <c r="B358" t="s">
        <v>1221</v>
      </c>
      <c r="C358" t="s">
        <v>1222</v>
      </c>
      <c r="D358" s="4"/>
    </row>
    <row r="359" spans="1:4" x14ac:dyDescent="0.2">
      <c r="A359" t="s">
        <v>1202</v>
      </c>
      <c r="B359" t="s">
        <v>1223</v>
      </c>
      <c r="C359" t="s">
        <v>1224</v>
      </c>
      <c r="D359" s="4"/>
    </row>
    <row r="360" spans="1:4" x14ac:dyDescent="0.2">
      <c r="A360" t="s">
        <v>1202</v>
      </c>
      <c r="B360" t="s">
        <v>1225</v>
      </c>
      <c r="C360" t="s">
        <v>1131</v>
      </c>
      <c r="D360" s="4"/>
    </row>
    <row r="361" spans="1:4" x14ac:dyDescent="0.2">
      <c r="A361" t="s">
        <v>1202</v>
      </c>
      <c r="B361" t="s">
        <v>1226</v>
      </c>
      <c r="C361" t="s">
        <v>871</v>
      </c>
      <c r="D361" s="4"/>
    </row>
    <row r="362" spans="1:4" ht="14.25" customHeight="1" x14ac:dyDescent="0.2">
      <c r="A362" t="s">
        <v>1202</v>
      </c>
      <c r="B362" t="s">
        <v>1227</v>
      </c>
      <c r="C362" t="s">
        <v>872</v>
      </c>
      <c r="D362" s="4"/>
    </row>
    <row r="363" spans="1:4" ht="14.25" customHeight="1" x14ac:dyDescent="0.2">
      <c r="D363" s="4"/>
    </row>
    <row r="364" spans="1:4" s="14" customFormat="1" ht="14.25" customHeight="1" x14ac:dyDescent="0.2">
      <c r="A364" s="13" t="s">
        <v>1228</v>
      </c>
      <c r="B364" s="13" t="s">
        <v>1229</v>
      </c>
      <c r="C364" s="13" t="s">
        <v>1230</v>
      </c>
      <c r="D364" s="16"/>
    </row>
    <row r="365" spans="1:4" s="14" customFormat="1" ht="14.25" customHeight="1" x14ac:dyDescent="0.2">
      <c r="A365" s="13" t="s">
        <v>1228</v>
      </c>
      <c r="B365" s="13" t="s">
        <v>1231</v>
      </c>
      <c r="C365" s="13" t="s">
        <v>1232</v>
      </c>
      <c r="D365" s="16"/>
    </row>
    <row r="366" spans="1:4" s="14" customFormat="1" ht="14.25" customHeight="1" x14ac:dyDescent="0.2">
      <c r="A366" s="13" t="s">
        <v>1228</v>
      </c>
      <c r="B366" s="13" t="s">
        <v>1233</v>
      </c>
      <c r="C366" s="13" t="s">
        <v>1234</v>
      </c>
      <c r="D366" s="16"/>
    </row>
    <row r="367" spans="1:4" s="14" customFormat="1" ht="14.25" customHeight="1" x14ac:dyDescent="0.2">
      <c r="A367" s="13" t="s">
        <v>1228</v>
      </c>
      <c r="B367" s="13" t="s">
        <v>1235</v>
      </c>
      <c r="C367" s="13" t="s">
        <v>1236</v>
      </c>
      <c r="D367" s="16"/>
    </row>
    <row r="368" spans="1:4" s="14" customFormat="1" ht="14.25" customHeight="1" x14ac:dyDescent="0.2">
      <c r="A368" s="13" t="s">
        <v>1228</v>
      </c>
      <c r="B368" s="13" t="s">
        <v>1237</v>
      </c>
      <c r="C368" s="13" t="s">
        <v>1238</v>
      </c>
      <c r="D368" s="16"/>
    </row>
    <row r="369" spans="1:4" s="14" customFormat="1" ht="14.25" customHeight="1" x14ac:dyDescent="0.2">
      <c r="A369" s="13" t="s">
        <v>1228</v>
      </c>
      <c r="B369" s="13" t="s">
        <v>896</v>
      </c>
      <c r="C369" s="13" t="s">
        <v>1239</v>
      </c>
      <c r="D369" s="16"/>
    </row>
    <row r="370" spans="1:4" s="14" customFormat="1" ht="14.25" customHeight="1" x14ac:dyDescent="0.2">
      <c r="A370" s="13" t="s">
        <v>1228</v>
      </c>
      <c r="B370" s="13" t="s">
        <v>957</v>
      </c>
      <c r="C370" s="13" t="s">
        <v>871</v>
      </c>
      <c r="D370" s="16"/>
    </row>
    <row r="371" spans="1:4" s="14" customFormat="1" ht="14.25" customHeight="1" x14ac:dyDescent="0.2">
      <c r="A371" s="13" t="s">
        <v>1228</v>
      </c>
      <c r="B371" s="13" t="s">
        <v>958</v>
      </c>
      <c r="C371" s="13" t="s">
        <v>872</v>
      </c>
      <c r="D371" s="16"/>
    </row>
    <row r="372" spans="1:4" ht="14.25" customHeight="1" x14ac:dyDescent="0.2">
      <c r="D372" s="4"/>
    </row>
    <row r="373" spans="1:4" x14ac:dyDescent="0.2">
      <c r="A373" t="s">
        <v>1240</v>
      </c>
      <c r="B373" t="s">
        <v>1241</v>
      </c>
      <c r="C373" t="s">
        <v>1242</v>
      </c>
      <c r="D373" s="4"/>
    </row>
    <row r="374" spans="1:4" x14ac:dyDescent="0.2">
      <c r="A374" t="s">
        <v>1240</v>
      </c>
      <c r="B374" t="s">
        <v>1243</v>
      </c>
      <c r="C374" t="s">
        <v>1244</v>
      </c>
      <c r="D374" s="4"/>
    </row>
    <row r="375" spans="1:4" x14ac:dyDescent="0.2">
      <c r="A375" t="s">
        <v>1240</v>
      </c>
      <c r="B375" t="s">
        <v>1245</v>
      </c>
      <c r="C375" t="s">
        <v>1246</v>
      </c>
      <c r="D375" s="4"/>
    </row>
    <row r="376" spans="1:4" x14ac:dyDescent="0.2">
      <c r="A376" t="s">
        <v>1240</v>
      </c>
      <c r="B376" t="s">
        <v>1247</v>
      </c>
      <c r="C376" t="s">
        <v>1248</v>
      </c>
      <c r="D376" s="4"/>
    </row>
    <row r="377" spans="1:4" x14ac:dyDescent="0.2">
      <c r="A377" t="s">
        <v>1240</v>
      </c>
      <c r="B377" t="s">
        <v>1249</v>
      </c>
      <c r="C377" t="s">
        <v>1250</v>
      </c>
      <c r="D377" s="4"/>
    </row>
    <row r="378" spans="1:4" x14ac:dyDescent="0.2">
      <c r="A378" t="s">
        <v>1240</v>
      </c>
      <c r="B378" t="s">
        <v>1251</v>
      </c>
      <c r="C378" t="s">
        <v>1252</v>
      </c>
      <c r="D378" s="4"/>
    </row>
    <row r="379" spans="1:4" x14ac:dyDescent="0.2">
      <c r="A379" t="s">
        <v>1240</v>
      </c>
      <c r="B379" t="s">
        <v>1253</v>
      </c>
      <c r="C379" t="s">
        <v>1254</v>
      </c>
      <c r="D379" s="4"/>
    </row>
    <row r="380" spans="1:4" x14ac:dyDescent="0.2">
      <c r="A380" t="s">
        <v>1240</v>
      </c>
      <c r="B380" t="s">
        <v>1255</v>
      </c>
      <c r="C380" t="s">
        <v>1256</v>
      </c>
      <c r="D380" s="4"/>
    </row>
    <row r="381" spans="1:4" x14ac:dyDescent="0.2">
      <c r="A381" t="s">
        <v>1240</v>
      </c>
      <c r="B381" t="s">
        <v>1170</v>
      </c>
      <c r="C381" t="s">
        <v>1171</v>
      </c>
      <c r="D381" s="4"/>
    </row>
    <row r="382" spans="1:4" x14ac:dyDescent="0.2">
      <c r="A382" t="s">
        <v>1240</v>
      </c>
      <c r="B382" t="s">
        <v>1158</v>
      </c>
      <c r="C382" t="s">
        <v>1159</v>
      </c>
      <c r="D382" s="4"/>
    </row>
    <row r="383" spans="1:4" x14ac:dyDescent="0.2">
      <c r="A383" t="s">
        <v>1240</v>
      </c>
      <c r="B383" t="s">
        <v>896</v>
      </c>
      <c r="C383" t="s">
        <v>1131</v>
      </c>
      <c r="D383" s="4"/>
    </row>
    <row r="384" spans="1:4" x14ac:dyDescent="0.2">
      <c r="A384" t="s">
        <v>1240</v>
      </c>
      <c r="B384" t="s">
        <v>957</v>
      </c>
      <c r="C384" t="s">
        <v>871</v>
      </c>
      <c r="D384" s="4"/>
    </row>
    <row r="385" spans="1:4" x14ac:dyDescent="0.2">
      <c r="A385" t="s">
        <v>1240</v>
      </c>
      <c r="B385" t="s">
        <v>958</v>
      </c>
      <c r="C385" t="s">
        <v>872</v>
      </c>
      <c r="D385" s="4"/>
    </row>
    <row r="386" spans="1:4" x14ac:dyDescent="0.2">
      <c r="D386" s="4"/>
    </row>
    <row r="387" spans="1:4" x14ac:dyDescent="0.2">
      <c r="A387" s="13" t="s">
        <v>1257</v>
      </c>
      <c r="B387" s="13">
        <v>1</v>
      </c>
      <c r="C387" s="13" t="s">
        <v>1194</v>
      </c>
      <c r="D387" s="4"/>
    </row>
    <row r="388" spans="1:4" x14ac:dyDescent="0.2">
      <c r="A388" s="13" t="s">
        <v>1257</v>
      </c>
      <c r="B388" s="13">
        <v>2</v>
      </c>
      <c r="C388" s="13" t="s">
        <v>1195</v>
      </c>
      <c r="D388" s="4"/>
    </row>
    <row r="389" spans="1:4" x14ac:dyDescent="0.2">
      <c r="A389" s="13" t="s">
        <v>1257</v>
      </c>
      <c r="B389" s="13">
        <v>3</v>
      </c>
      <c r="C389" s="13" t="s">
        <v>1196</v>
      </c>
      <c r="D389" s="4"/>
    </row>
    <row r="390" spans="1:4" x14ac:dyDescent="0.2">
      <c r="A390" s="13" t="s">
        <v>1257</v>
      </c>
      <c r="B390" s="13">
        <v>4</v>
      </c>
      <c r="C390" s="13" t="s">
        <v>1197</v>
      </c>
      <c r="D390" s="4"/>
    </row>
    <row r="391" spans="1:4" x14ac:dyDescent="0.2">
      <c r="A391" s="13" t="s">
        <v>1257</v>
      </c>
      <c r="B391" s="13">
        <v>5</v>
      </c>
      <c r="C391" s="13" t="s">
        <v>1198</v>
      </c>
      <c r="D391" s="4"/>
    </row>
    <row r="392" spans="1:4" x14ac:dyDescent="0.2">
      <c r="A392" s="13" t="s">
        <v>1257</v>
      </c>
      <c r="B392" s="13">
        <v>6</v>
      </c>
      <c r="C392" s="13" t="s">
        <v>1199</v>
      </c>
      <c r="D392" s="4"/>
    </row>
    <row r="393" spans="1:4" x14ac:dyDescent="0.2">
      <c r="A393" s="13" t="s">
        <v>1257</v>
      </c>
      <c r="B393" s="13">
        <v>7</v>
      </c>
      <c r="C393" s="13" t="s">
        <v>1200</v>
      </c>
      <c r="D393" s="4"/>
    </row>
    <row r="394" spans="1:4" x14ac:dyDescent="0.2">
      <c r="A394" s="13" t="s">
        <v>1257</v>
      </c>
      <c r="B394" s="13">
        <v>8</v>
      </c>
      <c r="C394" s="13" t="s">
        <v>1201</v>
      </c>
      <c r="D394" s="4"/>
    </row>
    <row r="395" spans="1:4" x14ac:dyDescent="0.2">
      <c r="A395" s="13" t="s">
        <v>1257</v>
      </c>
      <c r="B395" s="13">
        <v>9</v>
      </c>
      <c r="C395" s="13" t="s">
        <v>1131</v>
      </c>
      <c r="D395" s="4"/>
    </row>
    <row r="396" spans="1:4" x14ac:dyDescent="0.2">
      <c r="A396" s="13" t="s">
        <v>1257</v>
      </c>
      <c r="B396" s="13">
        <v>666</v>
      </c>
      <c r="C396" s="13" t="s">
        <v>1258</v>
      </c>
      <c r="D396" s="4"/>
    </row>
    <row r="397" spans="1:4" x14ac:dyDescent="0.2">
      <c r="A397" s="13" t="s">
        <v>1257</v>
      </c>
      <c r="B397" s="13">
        <v>10</v>
      </c>
      <c r="C397" s="13" t="s">
        <v>871</v>
      </c>
      <c r="D397" s="4"/>
    </row>
    <row r="398" spans="1:4" x14ac:dyDescent="0.2">
      <c r="A398" s="13" t="s">
        <v>1257</v>
      </c>
      <c r="B398" s="13">
        <v>11</v>
      </c>
      <c r="C398" s="13" t="s">
        <v>872</v>
      </c>
      <c r="D398" s="4"/>
    </row>
    <row r="399" spans="1:4" x14ac:dyDescent="0.2">
      <c r="B399" s="10"/>
      <c r="D399" s="4"/>
    </row>
    <row r="400" spans="1:4" x14ac:dyDescent="0.2">
      <c r="A400" t="s">
        <v>1259</v>
      </c>
      <c r="B400">
        <v>1</v>
      </c>
      <c r="C400" t="s">
        <v>1194</v>
      </c>
      <c r="D400" s="4"/>
    </row>
    <row r="401" spans="1:4" x14ac:dyDescent="0.2">
      <c r="A401" t="s">
        <v>1259</v>
      </c>
      <c r="B401">
        <v>2</v>
      </c>
      <c r="C401" t="s">
        <v>1195</v>
      </c>
      <c r="D401" s="4"/>
    </row>
    <row r="402" spans="1:4" x14ac:dyDescent="0.2">
      <c r="A402" t="s">
        <v>1259</v>
      </c>
      <c r="B402">
        <v>3</v>
      </c>
      <c r="C402" t="s">
        <v>1196</v>
      </c>
      <c r="D402" s="4"/>
    </row>
    <row r="403" spans="1:4" x14ac:dyDescent="0.2">
      <c r="A403" t="s">
        <v>1259</v>
      </c>
      <c r="B403">
        <v>4</v>
      </c>
      <c r="C403" s="17" t="s">
        <v>1197</v>
      </c>
      <c r="D403" s="4"/>
    </row>
    <row r="404" spans="1:4" x14ac:dyDescent="0.2">
      <c r="A404" t="s">
        <v>1259</v>
      </c>
      <c r="B404">
        <v>5</v>
      </c>
      <c r="C404" t="s">
        <v>1260</v>
      </c>
      <c r="D404" s="4"/>
    </row>
    <row r="405" spans="1:4" x14ac:dyDescent="0.2">
      <c r="A405" t="s">
        <v>1259</v>
      </c>
      <c r="B405">
        <v>6</v>
      </c>
      <c r="C405" t="s">
        <v>1199</v>
      </c>
      <c r="D405" s="4"/>
    </row>
    <row r="406" spans="1:4" x14ac:dyDescent="0.2">
      <c r="A406" t="s">
        <v>1259</v>
      </c>
      <c r="B406">
        <v>7</v>
      </c>
      <c r="C406" t="s">
        <v>1261</v>
      </c>
      <c r="D406" s="4"/>
    </row>
    <row r="407" spans="1:4" x14ac:dyDescent="0.2">
      <c r="A407" t="s">
        <v>1259</v>
      </c>
      <c r="B407">
        <v>8</v>
      </c>
      <c r="C407" t="s">
        <v>1201</v>
      </c>
      <c r="D407" s="4"/>
    </row>
    <row r="408" spans="1:4" x14ac:dyDescent="0.2">
      <c r="A408" t="s">
        <v>1259</v>
      </c>
      <c r="B408">
        <v>9</v>
      </c>
      <c r="C408" t="s">
        <v>1262</v>
      </c>
      <c r="D408" s="4"/>
    </row>
    <row r="409" spans="1:4" x14ac:dyDescent="0.2">
      <c r="A409" t="s">
        <v>1259</v>
      </c>
      <c r="B409">
        <v>10</v>
      </c>
      <c r="C409" t="s">
        <v>1263</v>
      </c>
      <c r="D409" s="4"/>
    </row>
    <row r="410" spans="1:4" x14ac:dyDescent="0.2">
      <c r="A410" t="s">
        <v>1259</v>
      </c>
      <c r="B410">
        <v>11</v>
      </c>
      <c r="C410" t="s">
        <v>1264</v>
      </c>
      <c r="D410" s="4"/>
    </row>
    <row r="411" spans="1:4" x14ac:dyDescent="0.2">
      <c r="A411" t="s">
        <v>1259</v>
      </c>
      <c r="B411" s="18">
        <v>12</v>
      </c>
      <c r="C411" t="s">
        <v>871</v>
      </c>
      <c r="D411" s="4"/>
    </row>
    <row r="412" spans="1:4" x14ac:dyDescent="0.2">
      <c r="A412" t="s">
        <v>1259</v>
      </c>
      <c r="B412" s="18">
        <v>13</v>
      </c>
      <c r="C412" t="s">
        <v>872</v>
      </c>
      <c r="D412" s="4"/>
    </row>
    <row r="413" spans="1:4" x14ac:dyDescent="0.2">
      <c r="D413" s="4"/>
    </row>
    <row r="414" spans="1:4" ht="16" customHeight="1" x14ac:dyDescent="0.2">
      <c r="A414" t="s">
        <v>1265</v>
      </c>
      <c r="B414" t="s">
        <v>1180</v>
      </c>
      <c r="C414" t="s">
        <v>1181</v>
      </c>
      <c r="D414" s="4"/>
    </row>
    <row r="415" spans="1:4" ht="16" customHeight="1" x14ac:dyDescent="0.2">
      <c r="A415" t="s">
        <v>1265</v>
      </c>
      <c r="B415" t="s">
        <v>1182</v>
      </c>
      <c r="C415" t="s">
        <v>1266</v>
      </c>
      <c r="D415" s="4"/>
    </row>
    <row r="416" spans="1:4" ht="16" customHeight="1" x14ac:dyDescent="0.2">
      <c r="A416" t="s">
        <v>1265</v>
      </c>
      <c r="B416" t="s">
        <v>1184</v>
      </c>
      <c r="C416" t="s">
        <v>1267</v>
      </c>
      <c r="D416" s="4"/>
    </row>
    <row r="417" spans="1:4" ht="16" customHeight="1" x14ac:dyDescent="0.2">
      <c r="A417" t="s">
        <v>1265</v>
      </c>
      <c r="B417" t="s">
        <v>1186</v>
      </c>
      <c r="C417" t="s">
        <v>1187</v>
      </c>
      <c r="D417" s="4"/>
    </row>
    <row r="418" spans="1:4" ht="16" customHeight="1" x14ac:dyDescent="0.2">
      <c r="A418" t="s">
        <v>1265</v>
      </c>
      <c r="B418" t="s">
        <v>1188</v>
      </c>
      <c r="C418" t="s">
        <v>1189</v>
      </c>
      <c r="D418" s="4"/>
    </row>
    <row r="419" spans="1:4" ht="16" customHeight="1" x14ac:dyDescent="0.2">
      <c r="A419" t="s">
        <v>1265</v>
      </c>
      <c r="B419" t="s">
        <v>1268</v>
      </c>
      <c r="C419" t="s">
        <v>1269</v>
      </c>
      <c r="D419" s="4"/>
    </row>
    <row r="420" spans="1:4" ht="16" customHeight="1" x14ac:dyDescent="0.2">
      <c r="A420" t="s">
        <v>1265</v>
      </c>
      <c r="B420" t="s">
        <v>1190</v>
      </c>
      <c r="C420" t="s">
        <v>1270</v>
      </c>
      <c r="D420" s="4"/>
    </row>
    <row r="421" spans="1:4" ht="16" customHeight="1" x14ac:dyDescent="0.2">
      <c r="A421" t="s">
        <v>1265</v>
      </c>
      <c r="B421" t="s">
        <v>1192</v>
      </c>
      <c r="C421" t="s">
        <v>1193</v>
      </c>
      <c r="D421" s="4"/>
    </row>
    <row r="422" spans="1:4" ht="16" customHeight="1" x14ac:dyDescent="0.2">
      <c r="A422" t="s">
        <v>1265</v>
      </c>
      <c r="B422" t="s">
        <v>896</v>
      </c>
      <c r="C422" t="s">
        <v>1131</v>
      </c>
      <c r="D422" s="4"/>
    </row>
    <row r="423" spans="1:4" ht="16" customHeight="1" x14ac:dyDescent="0.2">
      <c r="A423" t="s">
        <v>1265</v>
      </c>
      <c r="B423" t="s">
        <v>957</v>
      </c>
      <c r="C423" t="s">
        <v>871</v>
      </c>
      <c r="D423" s="4"/>
    </row>
    <row r="424" spans="1:4" ht="16" customHeight="1" x14ac:dyDescent="0.2">
      <c r="A424" t="s">
        <v>1265</v>
      </c>
      <c r="B424" t="s">
        <v>958</v>
      </c>
      <c r="C424" t="s">
        <v>872</v>
      </c>
      <c r="D424" s="4"/>
    </row>
    <row r="425" spans="1:4" ht="16" customHeight="1" x14ac:dyDescent="0.2">
      <c r="D425" s="4"/>
    </row>
    <row r="426" spans="1:4" x14ac:dyDescent="0.2">
      <c r="A426" t="s">
        <v>1271</v>
      </c>
      <c r="B426" t="s">
        <v>1272</v>
      </c>
      <c r="C426" t="s">
        <v>1273</v>
      </c>
      <c r="D426" s="4"/>
    </row>
    <row r="427" spans="1:4" x14ac:dyDescent="0.2">
      <c r="A427" t="s">
        <v>1271</v>
      </c>
      <c r="B427" t="s">
        <v>1274</v>
      </c>
      <c r="C427" t="s">
        <v>1275</v>
      </c>
      <c r="D427" s="4"/>
    </row>
    <row r="428" spans="1:4" x14ac:dyDescent="0.2">
      <c r="A428" t="s">
        <v>1271</v>
      </c>
      <c r="B428" t="s">
        <v>1276</v>
      </c>
      <c r="C428" t="s">
        <v>1277</v>
      </c>
      <c r="D428" s="4"/>
    </row>
    <row r="429" spans="1:4" x14ac:dyDescent="0.2">
      <c r="A429" t="s">
        <v>1271</v>
      </c>
      <c r="B429" t="s">
        <v>1278</v>
      </c>
      <c r="C429" t="s">
        <v>1279</v>
      </c>
      <c r="D429" s="4"/>
    </row>
    <row r="430" spans="1:4" x14ac:dyDescent="0.2">
      <c r="A430" t="s">
        <v>1271</v>
      </c>
      <c r="B430" t="s">
        <v>957</v>
      </c>
      <c r="C430" t="s">
        <v>871</v>
      </c>
      <c r="D430" s="4"/>
    </row>
    <row r="431" spans="1:4" x14ac:dyDescent="0.2">
      <c r="A431" t="s">
        <v>1271</v>
      </c>
      <c r="B431" t="s">
        <v>958</v>
      </c>
      <c r="C431" t="s">
        <v>872</v>
      </c>
      <c r="D431" s="4"/>
    </row>
    <row r="432" spans="1:4" x14ac:dyDescent="0.2">
      <c r="D432" s="4"/>
    </row>
    <row r="433" spans="1:4" x14ac:dyDescent="0.2">
      <c r="A433" t="s">
        <v>1280</v>
      </c>
      <c r="B433" t="s">
        <v>1281</v>
      </c>
      <c r="C433" t="s">
        <v>1282</v>
      </c>
      <c r="D433" s="4"/>
    </row>
    <row r="434" spans="1:4" x14ac:dyDescent="0.2">
      <c r="A434" t="s">
        <v>1280</v>
      </c>
      <c r="B434" t="s">
        <v>1283</v>
      </c>
      <c r="C434" t="s">
        <v>1284</v>
      </c>
      <c r="D434" s="4"/>
    </row>
    <row r="435" spans="1:4" x14ac:dyDescent="0.2">
      <c r="A435" t="s">
        <v>1280</v>
      </c>
      <c r="B435" t="s">
        <v>1285</v>
      </c>
      <c r="C435" t="s">
        <v>1286</v>
      </c>
      <c r="D435" s="4"/>
    </row>
    <row r="436" spans="1:4" x14ac:dyDescent="0.2">
      <c r="A436" t="s">
        <v>1280</v>
      </c>
      <c r="B436" t="s">
        <v>1287</v>
      </c>
      <c r="C436" t="s">
        <v>1288</v>
      </c>
      <c r="D436" s="4"/>
    </row>
    <row r="437" spans="1:4" x14ac:dyDescent="0.2">
      <c r="A437" t="s">
        <v>1280</v>
      </c>
      <c r="B437" t="s">
        <v>1289</v>
      </c>
      <c r="C437" t="s">
        <v>1290</v>
      </c>
      <c r="D437" s="4"/>
    </row>
    <row r="438" spans="1:4" x14ac:dyDescent="0.2">
      <c r="A438" t="s">
        <v>1280</v>
      </c>
      <c r="B438" t="s">
        <v>1291</v>
      </c>
      <c r="C438" t="s">
        <v>1292</v>
      </c>
      <c r="D438" s="4"/>
    </row>
    <row r="439" spans="1:4" x14ac:dyDescent="0.2">
      <c r="A439" t="s">
        <v>1280</v>
      </c>
      <c r="B439" s="3" t="s">
        <v>1293</v>
      </c>
      <c r="C439" t="s">
        <v>1294</v>
      </c>
      <c r="D439" s="4"/>
    </row>
    <row r="440" spans="1:4" x14ac:dyDescent="0.2">
      <c r="A440" t="s">
        <v>1280</v>
      </c>
      <c r="B440" t="s">
        <v>1295</v>
      </c>
      <c r="C440" t="s">
        <v>1296</v>
      </c>
      <c r="D440" s="4"/>
    </row>
    <row r="441" spans="1:4" x14ac:dyDescent="0.2">
      <c r="A441" t="s">
        <v>1280</v>
      </c>
      <c r="B441" t="s">
        <v>896</v>
      </c>
      <c r="C441" t="s">
        <v>1094</v>
      </c>
      <c r="D441" s="4"/>
    </row>
    <row r="442" spans="1:4" x14ac:dyDescent="0.2">
      <c r="A442" t="s">
        <v>1280</v>
      </c>
      <c r="B442" t="s">
        <v>957</v>
      </c>
      <c r="C442" t="s">
        <v>871</v>
      </c>
      <c r="D442" s="4"/>
    </row>
    <row r="443" spans="1:4" x14ac:dyDescent="0.2">
      <c r="A443" t="s">
        <v>1280</v>
      </c>
      <c r="B443" t="s">
        <v>958</v>
      </c>
      <c r="C443" t="s">
        <v>872</v>
      </c>
      <c r="D443" s="4"/>
    </row>
    <row r="444" spans="1:4" x14ac:dyDescent="0.2">
      <c r="D444" s="4"/>
    </row>
    <row r="445" spans="1:4" s="14" customFormat="1" x14ac:dyDescent="0.2">
      <c r="A445" s="13" t="s">
        <v>1297</v>
      </c>
      <c r="B445" s="13" t="s">
        <v>1298</v>
      </c>
      <c r="C445" s="13" t="s">
        <v>1299</v>
      </c>
      <c r="D445" s="16"/>
    </row>
    <row r="446" spans="1:4" s="14" customFormat="1" x14ac:dyDescent="0.2">
      <c r="A446" s="13" t="s">
        <v>1297</v>
      </c>
      <c r="B446" s="13" t="s">
        <v>1300</v>
      </c>
      <c r="C446" s="13" t="s">
        <v>1301</v>
      </c>
      <c r="D446" s="16"/>
    </row>
    <row r="447" spans="1:4" s="14" customFormat="1" x14ac:dyDescent="0.2">
      <c r="A447" s="13" t="s">
        <v>1297</v>
      </c>
      <c r="B447" s="13" t="s">
        <v>1302</v>
      </c>
      <c r="C447" s="13" t="s">
        <v>1303</v>
      </c>
      <c r="D447" s="16"/>
    </row>
    <row r="448" spans="1:4" s="14" customFormat="1" x14ac:dyDescent="0.2">
      <c r="A448" s="13" t="s">
        <v>1297</v>
      </c>
      <c r="B448" s="13" t="s">
        <v>1304</v>
      </c>
      <c r="C448" s="13" t="s">
        <v>1305</v>
      </c>
      <c r="D448" s="16"/>
    </row>
    <row r="449" spans="1:5" s="14" customFormat="1" x14ac:dyDescent="0.2">
      <c r="A449" s="13" t="s">
        <v>1297</v>
      </c>
      <c r="B449" s="13" t="s">
        <v>1287</v>
      </c>
      <c r="C449" s="13" t="s">
        <v>1306</v>
      </c>
      <c r="D449" s="16"/>
    </row>
    <row r="450" spans="1:5" s="14" customFormat="1" x14ac:dyDescent="0.2">
      <c r="A450" s="13" t="s">
        <v>1297</v>
      </c>
      <c r="B450" s="13" t="s">
        <v>1307</v>
      </c>
      <c r="C450" s="13" t="s">
        <v>1308</v>
      </c>
      <c r="D450" s="16"/>
    </row>
    <row r="451" spans="1:5" s="14" customFormat="1" x14ac:dyDescent="0.2">
      <c r="A451" s="13" t="s">
        <v>1297</v>
      </c>
      <c r="B451" s="13" t="s">
        <v>1291</v>
      </c>
      <c r="C451" s="13" t="s">
        <v>1309</v>
      </c>
      <c r="D451" s="16"/>
    </row>
    <row r="452" spans="1:5" s="14" customFormat="1" x14ac:dyDescent="0.2">
      <c r="A452" s="13" t="s">
        <v>1297</v>
      </c>
      <c r="B452" s="13" t="s">
        <v>896</v>
      </c>
      <c r="C452" s="13" t="s">
        <v>1094</v>
      </c>
      <c r="D452" s="16"/>
    </row>
    <row r="453" spans="1:5" s="14" customFormat="1" x14ac:dyDescent="0.2">
      <c r="A453" s="13" t="s">
        <v>1297</v>
      </c>
      <c r="B453" s="13" t="s">
        <v>957</v>
      </c>
      <c r="C453" s="13" t="s">
        <v>871</v>
      </c>
      <c r="D453" s="16"/>
    </row>
    <row r="454" spans="1:5" s="14" customFormat="1" x14ac:dyDescent="0.2">
      <c r="A454" s="13" t="s">
        <v>1297</v>
      </c>
      <c r="B454" s="13" t="s">
        <v>958</v>
      </c>
      <c r="C454" s="13" t="s">
        <v>872</v>
      </c>
      <c r="D454" s="16"/>
    </row>
    <row r="455" spans="1:5" s="14" customFormat="1" x14ac:dyDescent="0.2">
      <c r="A455" s="13"/>
      <c r="B455" s="13"/>
      <c r="C455" s="13"/>
      <c r="D455" s="16"/>
    </row>
    <row r="456" spans="1:5" x14ac:dyDescent="0.2">
      <c r="A456" t="s">
        <v>1310</v>
      </c>
      <c r="B456">
        <v>1</v>
      </c>
      <c r="C456" t="s">
        <v>1311</v>
      </c>
      <c r="D456" s="4"/>
    </row>
    <row r="457" spans="1:5" x14ac:dyDescent="0.2">
      <c r="A457" t="s">
        <v>1310</v>
      </c>
      <c r="B457">
        <v>2</v>
      </c>
      <c r="C457" t="s">
        <v>1312</v>
      </c>
      <c r="D457" s="4"/>
    </row>
    <row r="458" spans="1:5" x14ac:dyDescent="0.2">
      <c r="A458" t="s">
        <v>1310</v>
      </c>
      <c r="B458">
        <v>3</v>
      </c>
      <c r="C458" t="s">
        <v>1313</v>
      </c>
      <c r="D458" s="4"/>
    </row>
    <row r="459" spans="1:5" x14ac:dyDescent="0.2">
      <c r="A459" t="s">
        <v>1310</v>
      </c>
      <c r="B459">
        <v>4</v>
      </c>
      <c r="C459" t="s">
        <v>1314</v>
      </c>
      <c r="D459" s="4"/>
    </row>
    <row r="460" spans="1:5" x14ac:dyDescent="0.2">
      <c r="A460" t="s">
        <v>1310</v>
      </c>
      <c r="B460">
        <v>5</v>
      </c>
      <c r="C460" t="s">
        <v>1094</v>
      </c>
      <c r="D460" s="4"/>
    </row>
    <row r="461" spans="1:5" x14ac:dyDescent="0.2">
      <c r="A461" t="s">
        <v>1310</v>
      </c>
      <c r="B461" s="18">
        <v>6</v>
      </c>
      <c r="C461" t="s">
        <v>871</v>
      </c>
      <c r="D461" s="4"/>
    </row>
    <row r="462" spans="1:5" s="281" customFormat="1" x14ac:dyDescent="0.2">
      <c r="A462" s="282" t="s">
        <v>1310</v>
      </c>
      <c r="B462" s="289">
        <v>7</v>
      </c>
      <c r="C462" s="282" t="s">
        <v>872</v>
      </c>
    </row>
    <row r="463" spans="1:5" x14ac:dyDescent="0.2">
      <c r="D463" s="4"/>
    </row>
    <row r="464" spans="1:5" x14ac:dyDescent="0.2">
      <c r="A464" t="s">
        <v>1315</v>
      </c>
      <c r="B464" t="s">
        <v>1180</v>
      </c>
      <c r="C464" t="s">
        <v>1181</v>
      </c>
      <c r="D464" s="4"/>
      <c r="E464" s="14"/>
    </row>
    <row r="465" spans="1:5" x14ac:dyDescent="0.2">
      <c r="A465" t="s">
        <v>1315</v>
      </c>
      <c r="B465" t="s">
        <v>1316</v>
      </c>
      <c r="C465" t="s">
        <v>1317</v>
      </c>
      <c r="D465" s="4"/>
      <c r="E465" s="14"/>
    </row>
    <row r="466" spans="1:5" x14ac:dyDescent="0.2">
      <c r="A466" t="s">
        <v>1315</v>
      </c>
      <c r="B466" t="s">
        <v>1184</v>
      </c>
      <c r="C466" t="s">
        <v>1318</v>
      </c>
      <c r="D466" s="4"/>
      <c r="E466" s="14"/>
    </row>
    <row r="467" spans="1:5" x14ac:dyDescent="0.2">
      <c r="A467" t="s">
        <v>1315</v>
      </c>
      <c r="B467" t="s">
        <v>1186</v>
      </c>
      <c r="C467" t="s">
        <v>1319</v>
      </c>
      <c r="D467" s="4"/>
      <c r="E467" s="14"/>
    </row>
    <row r="468" spans="1:5" x14ac:dyDescent="0.2">
      <c r="A468" t="s">
        <v>1315</v>
      </c>
      <c r="B468" t="s">
        <v>1320</v>
      </c>
      <c r="C468" t="s">
        <v>1189</v>
      </c>
      <c r="D468" s="4"/>
      <c r="E468" s="14"/>
    </row>
    <row r="469" spans="1:5" x14ac:dyDescent="0.2">
      <c r="A469" t="s">
        <v>1315</v>
      </c>
      <c r="B469" t="s">
        <v>1190</v>
      </c>
      <c r="C469" t="s">
        <v>1321</v>
      </c>
      <c r="D469" s="4"/>
      <c r="E469" s="14"/>
    </row>
    <row r="470" spans="1:5" x14ac:dyDescent="0.2">
      <c r="A470" t="s">
        <v>1315</v>
      </c>
      <c r="B470" t="s">
        <v>1192</v>
      </c>
      <c r="C470" t="s">
        <v>1193</v>
      </c>
      <c r="D470" s="4"/>
      <c r="E470" s="14"/>
    </row>
    <row r="471" spans="1:5" x14ac:dyDescent="0.2">
      <c r="A471" t="s">
        <v>1315</v>
      </c>
      <c r="B471" t="s">
        <v>896</v>
      </c>
      <c r="C471" t="s">
        <v>1131</v>
      </c>
      <c r="D471" s="4"/>
    </row>
    <row r="472" spans="1:5" x14ac:dyDescent="0.2">
      <c r="A472" t="s">
        <v>1315</v>
      </c>
      <c r="B472" t="s">
        <v>957</v>
      </c>
      <c r="C472" t="s">
        <v>871</v>
      </c>
      <c r="D472" s="4"/>
    </row>
    <row r="473" spans="1:5" ht="16" customHeight="1" x14ac:dyDescent="0.2">
      <c r="A473" t="s">
        <v>1315</v>
      </c>
      <c r="B473" t="s">
        <v>958</v>
      </c>
      <c r="C473" t="s">
        <v>872</v>
      </c>
      <c r="D473" s="4"/>
    </row>
    <row r="474" spans="1:5" ht="16" customHeight="1" x14ac:dyDescent="0.2">
      <c r="D474" s="4"/>
    </row>
    <row r="475" spans="1:5" x14ac:dyDescent="0.2">
      <c r="A475" t="s">
        <v>1322</v>
      </c>
      <c r="B475">
        <v>1</v>
      </c>
      <c r="C475" t="s">
        <v>1323</v>
      </c>
      <c r="D475" s="4"/>
    </row>
    <row r="476" spans="1:5" x14ac:dyDescent="0.2">
      <c r="A476" t="s">
        <v>1322</v>
      </c>
      <c r="B476">
        <v>2</v>
      </c>
      <c r="C476" t="s">
        <v>1324</v>
      </c>
      <c r="D476" s="4"/>
    </row>
    <row r="477" spans="1:5" x14ac:dyDescent="0.2">
      <c r="A477" t="s">
        <v>1322</v>
      </c>
      <c r="B477">
        <v>3</v>
      </c>
      <c r="C477" t="s">
        <v>1325</v>
      </c>
      <c r="D477" s="4"/>
    </row>
    <row r="478" spans="1:5" x14ac:dyDescent="0.2">
      <c r="A478" t="s">
        <v>1322</v>
      </c>
      <c r="B478">
        <v>4</v>
      </c>
      <c r="C478" t="s">
        <v>1326</v>
      </c>
      <c r="D478" s="4"/>
    </row>
    <row r="479" spans="1:5" x14ac:dyDescent="0.2">
      <c r="A479" t="s">
        <v>1322</v>
      </c>
      <c r="B479" s="18">
        <v>5</v>
      </c>
      <c r="C479" t="s">
        <v>872</v>
      </c>
      <c r="D479" s="4"/>
    </row>
    <row r="480" spans="1:5" x14ac:dyDescent="0.2">
      <c r="D480" s="4"/>
    </row>
    <row r="481" spans="1:4" x14ac:dyDescent="0.2">
      <c r="A481" t="s">
        <v>1327</v>
      </c>
      <c r="B481">
        <v>1</v>
      </c>
      <c r="C481" t="s">
        <v>875</v>
      </c>
      <c r="D481" s="4"/>
    </row>
    <row r="482" spans="1:4" x14ac:dyDescent="0.2">
      <c r="A482" t="s">
        <v>1327</v>
      </c>
      <c r="B482">
        <v>2</v>
      </c>
      <c r="C482" t="s">
        <v>1328</v>
      </c>
      <c r="D482" s="4"/>
    </row>
    <row r="483" spans="1:4" x14ac:dyDescent="0.2">
      <c r="A483" t="s">
        <v>1327</v>
      </c>
      <c r="B483">
        <v>3</v>
      </c>
      <c r="C483" t="s">
        <v>1329</v>
      </c>
      <c r="D483" s="4"/>
    </row>
    <row r="484" spans="1:4" x14ac:dyDescent="0.2">
      <c r="A484" t="s">
        <v>1327</v>
      </c>
      <c r="B484">
        <v>4</v>
      </c>
      <c r="C484" t="s">
        <v>1330</v>
      </c>
      <c r="D484" s="4"/>
    </row>
    <row r="485" spans="1:4" x14ac:dyDescent="0.2">
      <c r="A485" t="s">
        <v>1327</v>
      </c>
      <c r="B485" s="18">
        <v>5</v>
      </c>
      <c r="C485" t="s">
        <v>871</v>
      </c>
      <c r="D485" s="4"/>
    </row>
    <row r="486" spans="1:4" x14ac:dyDescent="0.2">
      <c r="A486" t="s">
        <v>1327</v>
      </c>
      <c r="B486" s="18">
        <v>6</v>
      </c>
      <c r="C486" t="s">
        <v>872</v>
      </c>
      <c r="D486" s="4"/>
    </row>
    <row r="487" spans="1:4" x14ac:dyDescent="0.2">
      <c r="D487" s="4"/>
    </row>
    <row r="488" spans="1:4" x14ac:dyDescent="0.2">
      <c r="A488" t="s">
        <v>725</v>
      </c>
      <c r="B488" t="s">
        <v>1331</v>
      </c>
      <c r="C488" t="s">
        <v>1332</v>
      </c>
      <c r="D488" s="4"/>
    </row>
    <row r="489" spans="1:4" x14ac:dyDescent="0.2">
      <c r="A489" t="s">
        <v>725</v>
      </c>
      <c r="B489" t="s">
        <v>1333</v>
      </c>
      <c r="C489" t="s">
        <v>1334</v>
      </c>
      <c r="D489" s="4"/>
    </row>
    <row r="490" spans="1:4" x14ac:dyDescent="0.2">
      <c r="A490" t="s">
        <v>725</v>
      </c>
      <c r="B490" t="s">
        <v>1335</v>
      </c>
      <c r="C490" t="s">
        <v>1336</v>
      </c>
      <c r="D490" s="4"/>
    </row>
    <row r="491" spans="1:4" x14ac:dyDescent="0.2">
      <c r="A491" t="s">
        <v>725</v>
      </c>
      <c r="B491" t="s">
        <v>1337</v>
      </c>
      <c r="C491" t="s">
        <v>1338</v>
      </c>
      <c r="D491" s="4"/>
    </row>
    <row r="492" spans="1:4" x14ac:dyDescent="0.2">
      <c r="A492" t="s">
        <v>725</v>
      </c>
      <c r="B492" t="s">
        <v>1339</v>
      </c>
      <c r="C492" t="s">
        <v>1340</v>
      </c>
      <c r="D492" s="4"/>
    </row>
    <row r="493" spans="1:4" x14ac:dyDescent="0.2">
      <c r="A493" t="s">
        <v>725</v>
      </c>
      <c r="B493" t="s">
        <v>1341</v>
      </c>
      <c r="C493" t="s">
        <v>1262</v>
      </c>
      <c r="D493" s="4"/>
    </row>
    <row r="494" spans="1:4" x14ac:dyDescent="0.2">
      <c r="A494" t="s">
        <v>725</v>
      </c>
      <c r="B494" t="s">
        <v>1281</v>
      </c>
      <c r="C494" t="s">
        <v>1342</v>
      </c>
      <c r="D494" s="4"/>
    </row>
    <row r="495" spans="1:4" x14ac:dyDescent="0.2">
      <c r="A495" t="s">
        <v>725</v>
      </c>
      <c r="B495" t="s">
        <v>1343</v>
      </c>
      <c r="C495" t="s">
        <v>1344</v>
      </c>
      <c r="D495" s="4"/>
    </row>
    <row r="496" spans="1:4" x14ac:dyDescent="0.2">
      <c r="A496" t="s">
        <v>725</v>
      </c>
      <c r="B496" t="s">
        <v>1345</v>
      </c>
      <c r="C496" t="s">
        <v>1346</v>
      </c>
      <c r="D496" s="4"/>
    </row>
    <row r="497" spans="1:4" x14ac:dyDescent="0.2">
      <c r="A497" t="s">
        <v>725</v>
      </c>
      <c r="B497" t="s">
        <v>1347</v>
      </c>
      <c r="C497" t="s">
        <v>1348</v>
      </c>
      <c r="D497" s="4"/>
    </row>
    <row r="498" spans="1:4" x14ac:dyDescent="0.2">
      <c r="A498" t="s">
        <v>725</v>
      </c>
      <c r="B498" t="s">
        <v>1349</v>
      </c>
      <c r="C498" t="s">
        <v>1350</v>
      </c>
      <c r="D498" s="4"/>
    </row>
    <row r="499" spans="1:4" x14ac:dyDescent="0.2">
      <c r="A499" t="s">
        <v>725</v>
      </c>
      <c r="B499" t="s">
        <v>1351</v>
      </c>
      <c r="C499" t="s">
        <v>1352</v>
      </c>
      <c r="D499" s="4"/>
    </row>
    <row r="500" spans="1:4" x14ac:dyDescent="0.2">
      <c r="D500" s="4"/>
    </row>
    <row r="501" spans="1:4" x14ac:dyDescent="0.2">
      <c r="A501" t="s">
        <v>1353</v>
      </c>
      <c r="B501" t="s">
        <v>1354</v>
      </c>
      <c r="C501" t="s">
        <v>1355</v>
      </c>
      <c r="D501" s="4"/>
    </row>
    <row r="502" spans="1:4" x14ac:dyDescent="0.2">
      <c r="A502" t="s">
        <v>1353</v>
      </c>
      <c r="B502" t="s">
        <v>1356</v>
      </c>
      <c r="C502" t="s">
        <v>1357</v>
      </c>
      <c r="D502" s="4"/>
    </row>
    <row r="503" spans="1:4" x14ac:dyDescent="0.2">
      <c r="A503" t="s">
        <v>1353</v>
      </c>
      <c r="B503" t="s">
        <v>1358</v>
      </c>
      <c r="C503" t="s">
        <v>1359</v>
      </c>
      <c r="D503" s="4"/>
    </row>
    <row r="504" spans="1:4" x14ac:dyDescent="0.2">
      <c r="A504" t="s">
        <v>1353</v>
      </c>
      <c r="B504" t="s">
        <v>1360</v>
      </c>
      <c r="C504" t="s">
        <v>1361</v>
      </c>
      <c r="D504" s="4"/>
    </row>
    <row r="505" spans="1:4" x14ac:dyDescent="0.2">
      <c r="A505" t="s">
        <v>1353</v>
      </c>
      <c r="B505" t="s">
        <v>1362</v>
      </c>
      <c r="C505" t="s">
        <v>1363</v>
      </c>
      <c r="D505" s="4"/>
    </row>
    <row r="506" spans="1:4" x14ac:dyDescent="0.2">
      <c r="A506" t="s">
        <v>1353</v>
      </c>
      <c r="B506" t="s">
        <v>1364</v>
      </c>
      <c r="C506" t="s">
        <v>1365</v>
      </c>
      <c r="D506" s="4"/>
    </row>
    <row r="507" spans="1:4" x14ac:dyDescent="0.2">
      <c r="A507" t="s">
        <v>1353</v>
      </c>
      <c r="B507" t="s">
        <v>422</v>
      </c>
      <c r="C507" t="s">
        <v>1366</v>
      </c>
      <c r="D507" s="4"/>
    </row>
    <row r="508" spans="1:4" x14ac:dyDescent="0.2">
      <c r="A508" t="s">
        <v>1353</v>
      </c>
      <c r="B508" t="s">
        <v>1367</v>
      </c>
      <c r="C508" t="s">
        <v>1368</v>
      </c>
      <c r="D508" s="4"/>
    </row>
    <row r="509" spans="1:4" x14ac:dyDescent="0.2">
      <c r="A509" t="s">
        <v>1353</v>
      </c>
      <c r="B509" t="s">
        <v>1369</v>
      </c>
      <c r="C509" t="s">
        <v>1370</v>
      </c>
      <c r="D509" s="4"/>
    </row>
    <row r="510" spans="1:4" x14ac:dyDescent="0.2">
      <c r="A510" t="s">
        <v>1353</v>
      </c>
      <c r="B510" t="s">
        <v>1371</v>
      </c>
      <c r="C510" t="s">
        <v>1372</v>
      </c>
      <c r="D510" s="4"/>
    </row>
    <row r="511" spans="1:4" x14ac:dyDescent="0.2">
      <c r="A511" t="s">
        <v>1353</v>
      </c>
      <c r="B511" t="s">
        <v>1373</v>
      </c>
      <c r="C511" t="s">
        <v>1374</v>
      </c>
      <c r="D511" s="4"/>
    </row>
    <row r="512" spans="1:4" x14ac:dyDescent="0.2">
      <c r="A512" t="s">
        <v>1353</v>
      </c>
      <c r="B512" t="s">
        <v>1375</v>
      </c>
      <c r="C512" t="s">
        <v>1376</v>
      </c>
      <c r="D512" s="4"/>
    </row>
    <row r="513" spans="1:4" x14ac:dyDescent="0.2">
      <c r="A513" t="s">
        <v>1353</v>
      </c>
      <c r="B513" t="s">
        <v>1377</v>
      </c>
      <c r="C513" t="s">
        <v>1378</v>
      </c>
      <c r="D513" s="4"/>
    </row>
    <row r="514" spans="1:4" x14ac:dyDescent="0.2">
      <c r="A514" t="s">
        <v>1353</v>
      </c>
      <c r="B514" t="s">
        <v>1379</v>
      </c>
      <c r="C514" t="s">
        <v>1380</v>
      </c>
      <c r="D514" s="4"/>
    </row>
    <row r="515" spans="1:4" x14ac:dyDescent="0.2">
      <c r="A515" t="s">
        <v>1353</v>
      </c>
      <c r="B515" t="s">
        <v>1381</v>
      </c>
      <c r="C515" t="s">
        <v>1382</v>
      </c>
      <c r="D515" s="4"/>
    </row>
    <row r="516" spans="1:4" x14ac:dyDescent="0.2">
      <c r="A516" t="s">
        <v>1353</v>
      </c>
      <c r="B516" t="s">
        <v>1383</v>
      </c>
      <c r="C516" t="s">
        <v>1384</v>
      </c>
      <c r="D516" s="4"/>
    </row>
    <row r="517" spans="1:4" x14ac:dyDescent="0.2">
      <c r="A517" t="s">
        <v>1353</v>
      </c>
      <c r="B517" t="s">
        <v>896</v>
      </c>
      <c r="C517" t="s">
        <v>1094</v>
      </c>
      <c r="D517" s="4"/>
    </row>
    <row r="518" spans="1:4" x14ac:dyDescent="0.2">
      <c r="A518" t="s">
        <v>1353</v>
      </c>
      <c r="B518" t="s">
        <v>957</v>
      </c>
      <c r="C518" t="s">
        <v>871</v>
      </c>
      <c r="D518" s="4"/>
    </row>
    <row r="519" spans="1:4" x14ac:dyDescent="0.2">
      <c r="A519" t="s">
        <v>1353</v>
      </c>
      <c r="B519" t="s">
        <v>958</v>
      </c>
      <c r="C519" t="s">
        <v>872</v>
      </c>
      <c r="D519" s="4"/>
    </row>
    <row r="520" spans="1:4" x14ac:dyDescent="0.2">
      <c r="D520" s="4"/>
    </row>
    <row r="521" spans="1:4" x14ac:dyDescent="0.2">
      <c r="A521" t="s">
        <v>1385</v>
      </c>
      <c r="B521" s="3" t="s">
        <v>1354</v>
      </c>
      <c r="C521" s="3" t="s">
        <v>1355</v>
      </c>
      <c r="D521" s="4"/>
    </row>
    <row r="522" spans="1:4" x14ac:dyDescent="0.2">
      <c r="A522" t="s">
        <v>1385</v>
      </c>
      <c r="B522" s="3" t="s">
        <v>1386</v>
      </c>
      <c r="C522" s="3" t="s">
        <v>1387</v>
      </c>
      <c r="D522" s="4"/>
    </row>
    <row r="523" spans="1:4" x14ac:dyDescent="0.2">
      <c r="A523" t="s">
        <v>1385</v>
      </c>
      <c r="B523" s="3" t="s">
        <v>1388</v>
      </c>
      <c r="C523" s="3" t="s">
        <v>1389</v>
      </c>
      <c r="D523" s="4"/>
    </row>
    <row r="524" spans="1:4" x14ac:dyDescent="0.2">
      <c r="A524" t="s">
        <v>1385</v>
      </c>
      <c r="B524" t="s">
        <v>1390</v>
      </c>
      <c r="C524" t="s">
        <v>1391</v>
      </c>
      <c r="D524" s="4"/>
    </row>
    <row r="525" spans="1:4" x14ac:dyDescent="0.2">
      <c r="A525" t="s">
        <v>1385</v>
      </c>
      <c r="B525" t="s">
        <v>1392</v>
      </c>
      <c r="C525" t="s">
        <v>1393</v>
      </c>
      <c r="D525" s="4"/>
    </row>
    <row r="526" spans="1:4" x14ac:dyDescent="0.2">
      <c r="A526" t="s">
        <v>1385</v>
      </c>
      <c r="B526" t="s">
        <v>1394</v>
      </c>
      <c r="C526" t="s">
        <v>1395</v>
      </c>
      <c r="D526" s="4"/>
    </row>
    <row r="527" spans="1:4" x14ac:dyDescent="0.2">
      <c r="A527" t="s">
        <v>1385</v>
      </c>
      <c r="B527" t="s">
        <v>1396</v>
      </c>
      <c r="C527" t="s">
        <v>1380</v>
      </c>
      <c r="D527" s="4"/>
    </row>
    <row r="528" spans="1:4" x14ac:dyDescent="0.2">
      <c r="A528" t="s">
        <v>1385</v>
      </c>
      <c r="B528" t="s">
        <v>1397</v>
      </c>
      <c r="C528" t="s">
        <v>1384</v>
      </c>
      <c r="D528" s="4"/>
    </row>
    <row r="529" spans="1:4" x14ac:dyDescent="0.2">
      <c r="A529" t="s">
        <v>1385</v>
      </c>
      <c r="B529" t="s">
        <v>896</v>
      </c>
      <c r="C529" t="s">
        <v>1094</v>
      </c>
      <c r="D529" s="4"/>
    </row>
    <row r="530" spans="1:4" x14ac:dyDescent="0.2">
      <c r="A530" t="s">
        <v>1385</v>
      </c>
      <c r="B530" t="s">
        <v>955</v>
      </c>
      <c r="C530" t="s">
        <v>1398</v>
      </c>
      <c r="D530" s="4"/>
    </row>
    <row r="531" spans="1:4" x14ac:dyDescent="0.2">
      <c r="A531" t="s">
        <v>1385</v>
      </c>
      <c r="B531" t="s">
        <v>957</v>
      </c>
      <c r="C531" t="s">
        <v>1326</v>
      </c>
      <c r="D531" s="4"/>
    </row>
    <row r="532" spans="1:4" x14ac:dyDescent="0.2">
      <c r="A532" t="s">
        <v>1385</v>
      </c>
      <c r="B532" t="s">
        <v>958</v>
      </c>
      <c r="C532" t="s">
        <v>872</v>
      </c>
      <c r="D532" s="4"/>
    </row>
    <row r="533" spans="1:4" x14ac:dyDescent="0.2">
      <c r="D533" s="4"/>
    </row>
    <row r="534" spans="1:4" x14ac:dyDescent="0.2">
      <c r="A534" s="3" t="s">
        <v>1399</v>
      </c>
      <c r="B534" s="3">
        <v>1</v>
      </c>
      <c r="C534" s="3" t="s">
        <v>875</v>
      </c>
      <c r="D534" s="4"/>
    </row>
    <row r="535" spans="1:4" x14ac:dyDescent="0.2">
      <c r="A535" s="3" t="s">
        <v>1399</v>
      </c>
      <c r="B535" s="3">
        <v>2</v>
      </c>
      <c r="C535" s="3" t="s">
        <v>1400</v>
      </c>
      <c r="D535" s="4"/>
    </row>
    <row r="536" spans="1:4" x14ac:dyDescent="0.2">
      <c r="A536" s="3" t="s">
        <v>1399</v>
      </c>
      <c r="B536" s="3">
        <v>3</v>
      </c>
      <c r="C536" s="3" t="s">
        <v>1401</v>
      </c>
      <c r="D536" s="4"/>
    </row>
    <row r="537" spans="1:4" x14ac:dyDescent="0.2">
      <c r="A537" s="3" t="s">
        <v>1399</v>
      </c>
      <c r="B537" s="3">
        <v>4</v>
      </c>
      <c r="C537" s="3" t="s">
        <v>1402</v>
      </c>
      <c r="D537" s="4"/>
    </row>
    <row r="538" spans="1:4" x14ac:dyDescent="0.2">
      <c r="A538" s="3" t="s">
        <v>1399</v>
      </c>
      <c r="B538" s="3">
        <v>5</v>
      </c>
      <c r="C538" s="3" t="s">
        <v>1403</v>
      </c>
      <c r="D538" s="4"/>
    </row>
    <row r="539" spans="1:4" x14ac:dyDescent="0.2">
      <c r="A539" s="3" t="s">
        <v>1399</v>
      </c>
      <c r="B539" s="3">
        <v>6</v>
      </c>
      <c r="C539" s="3" t="s">
        <v>1404</v>
      </c>
      <c r="D539" s="4"/>
    </row>
    <row r="540" spans="1:4" x14ac:dyDescent="0.2">
      <c r="A540" s="3" t="s">
        <v>1399</v>
      </c>
      <c r="B540" s="3">
        <v>7</v>
      </c>
      <c r="C540" s="3" t="s">
        <v>871</v>
      </c>
      <c r="D540" s="4"/>
    </row>
    <row r="541" spans="1:4" x14ac:dyDescent="0.2">
      <c r="A541" s="3" t="s">
        <v>1399</v>
      </c>
      <c r="B541" s="3">
        <v>8</v>
      </c>
      <c r="C541" s="3" t="s">
        <v>872</v>
      </c>
      <c r="D541" s="4"/>
    </row>
    <row r="542" spans="1:4" x14ac:dyDescent="0.2">
      <c r="D542" s="4"/>
    </row>
    <row r="543" spans="1:4" x14ac:dyDescent="0.2">
      <c r="A543" s="3" t="s">
        <v>1405</v>
      </c>
      <c r="B543" s="3" t="s">
        <v>1406</v>
      </c>
      <c r="C543" s="3" t="s">
        <v>1407</v>
      </c>
      <c r="D543" s="4"/>
    </row>
    <row r="544" spans="1:4" x14ac:dyDescent="0.2">
      <c r="A544" s="3" t="s">
        <v>1405</v>
      </c>
      <c r="B544" s="3" t="s">
        <v>1408</v>
      </c>
      <c r="C544" s="3" t="s">
        <v>1409</v>
      </c>
      <c r="D544" s="4"/>
    </row>
    <row r="545" spans="1:4" x14ac:dyDescent="0.2">
      <c r="A545" s="3" t="s">
        <v>1405</v>
      </c>
      <c r="B545" s="3" t="s">
        <v>1410</v>
      </c>
      <c r="C545" s="3" t="s">
        <v>1411</v>
      </c>
      <c r="D545" s="4"/>
    </row>
    <row r="546" spans="1:4" x14ac:dyDescent="0.2">
      <c r="A546" s="3" t="s">
        <v>1405</v>
      </c>
      <c r="B546" s="3" t="s">
        <v>1127</v>
      </c>
      <c r="C546" s="3" t="s">
        <v>1412</v>
      </c>
      <c r="D546" s="4"/>
    </row>
    <row r="547" spans="1:4" x14ac:dyDescent="0.2">
      <c r="A547" s="3" t="s">
        <v>1405</v>
      </c>
      <c r="B547" s="3" t="s">
        <v>1123</v>
      </c>
      <c r="C547" s="3" t="s">
        <v>1413</v>
      </c>
      <c r="D547" s="4"/>
    </row>
    <row r="548" spans="1:4" x14ac:dyDescent="0.2">
      <c r="A548" s="3" t="s">
        <v>1405</v>
      </c>
      <c r="B548" s="3" t="s">
        <v>957</v>
      </c>
      <c r="C548" s="3" t="s">
        <v>871</v>
      </c>
      <c r="D548" s="4"/>
    </row>
    <row r="549" spans="1:4" x14ac:dyDescent="0.2">
      <c r="A549" s="3" t="s">
        <v>1405</v>
      </c>
      <c r="B549" s="3" t="s">
        <v>958</v>
      </c>
      <c r="C549" s="3" t="s">
        <v>872</v>
      </c>
      <c r="D549" s="4"/>
    </row>
    <row r="550" spans="1:4" x14ac:dyDescent="0.2">
      <c r="D550" s="4"/>
    </row>
    <row r="551" spans="1:4" x14ac:dyDescent="0.2">
      <c r="A551" t="s">
        <v>1414</v>
      </c>
      <c r="B551">
        <v>1</v>
      </c>
      <c r="C551" t="s">
        <v>1415</v>
      </c>
      <c r="D551" s="4"/>
    </row>
    <row r="552" spans="1:4" x14ac:dyDescent="0.2">
      <c r="A552" t="s">
        <v>1414</v>
      </c>
      <c r="B552">
        <v>2</v>
      </c>
      <c r="C552" t="s">
        <v>1416</v>
      </c>
      <c r="D552" s="4"/>
    </row>
    <row r="553" spans="1:4" x14ac:dyDescent="0.2">
      <c r="A553" t="s">
        <v>1414</v>
      </c>
      <c r="B553">
        <v>3</v>
      </c>
      <c r="C553" t="s">
        <v>1417</v>
      </c>
      <c r="D553" s="4"/>
    </row>
    <row r="554" spans="1:4" x14ac:dyDescent="0.2">
      <c r="A554" t="s">
        <v>1414</v>
      </c>
      <c r="B554">
        <v>4</v>
      </c>
      <c r="C554" t="s">
        <v>1418</v>
      </c>
      <c r="D554" s="4"/>
    </row>
    <row r="555" spans="1:4" x14ac:dyDescent="0.2">
      <c r="A555" t="s">
        <v>1414</v>
      </c>
      <c r="B555">
        <v>5</v>
      </c>
      <c r="C555" t="s">
        <v>1419</v>
      </c>
      <c r="D555" s="4"/>
    </row>
    <row r="556" spans="1:4" x14ac:dyDescent="0.2">
      <c r="A556" t="s">
        <v>1414</v>
      </c>
      <c r="B556">
        <v>6</v>
      </c>
      <c r="C556" t="s">
        <v>871</v>
      </c>
      <c r="D556" s="4"/>
    </row>
    <row r="557" spans="1:4" x14ac:dyDescent="0.2">
      <c r="A557" t="s">
        <v>1414</v>
      </c>
      <c r="B557">
        <v>7</v>
      </c>
      <c r="C557" t="s">
        <v>872</v>
      </c>
      <c r="D557" s="4"/>
    </row>
    <row r="558" spans="1:4" x14ac:dyDescent="0.2">
      <c r="D558" s="4"/>
    </row>
    <row r="559" spans="1:4" x14ac:dyDescent="0.2">
      <c r="A559" t="s">
        <v>1420</v>
      </c>
      <c r="B559" t="s">
        <v>1421</v>
      </c>
      <c r="C559" t="s">
        <v>1422</v>
      </c>
      <c r="D559" s="4"/>
    </row>
    <row r="560" spans="1:4" x14ac:dyDescent="0.2">
      <c r="A560" t="s">
        <v>1420</v>
      </c>
      <c r="B560" t="s">
        <v>1423</v>
      </c>
      <c r="C560" t="s">
        <v>1424</v>
      </c>
      <c r="D560" s="4"/>
    </row>
    <row r="561" spans="1:5" x14ac:dyDescent="0.2">
      <c r="A561" t="s">
        <v>1420</v>
      </c>
      <c r="B561" t="s">
        <v>1425</v>
      </c>
      <c r="C561" t="s">
        <v>1426</v>
      </c>
      <c r="D561" s="4"/>
    </row>
    <row r="562" spans="1:5" x14ac:dyDescent="0.2">
      <c r="A562" t="s">
        <v>1420</v>
      </c>
      <c r="B562" t="s">
        <v>1427</v>
      </c>
      <c r="C562" t="s">
        <v>1428</v>
      </c>
      <c r="D562" s="4"/>
    </row>
    <row r="563" spans="1:5" x14ac:dyDescent="0.2">
      <c r="A563" t="s">
        <v>1420</v>
      </c>
      <c r="B563" t="s">
        <v>1429</v>
      </c>
      <c r="C563" t="s">
        <v>1430</v>
      </c>
      <c r="D563" s="4"/>
    </row>
    <row r="564" spans="1:5" x14ac:dyDescent="0.2">
      <c r="A564" t="s">
        <v>1420</v>
      </c>
      <c r="B564" t="s">
        <v>1431</v>
      </c>
      <c r="C564" t="s">
        <v>1432</v>
      </c>
      <c r="D564" s="4"/>
    </row>
    <row r="565" spans="1:5" x14ac:dyDescent="0.2">
      <c r="A565" t="s">
        <v>1420</v>
      </c>
      <c r="B565" t="s">
        <v>1433</v>
      </c>
      <c r="C565" t="s">
        <v>1434</v>
      </c>
      <c r="D565" s="4"/>
    </row>
    <row r="566" spans="1:5" x14ac:dyDescent="0.2">
      <c r="D566" s="4"/>
    </row>
    <row r="567" spans="1:5" x14ac:dyDescent="0.2">
      <c r="A567" t="s">
        <v>853</v>
      </c>
      <c r="B567" t="s">
        <v>1435</v>
      </c>
      <c r="C567" t="s">
        <v>1436</v>
      </c>
      <c r="D567" s="4"/>
    </row>
    <row r="568" spans="1:5" x14ac:dyDescent="0.2">
      <c r="A568" t="s">
        <v>853</v>
      </c>
      <c r="B568" t="s">
        <v>1437</v>
      </c>
      <c r="C568" t="s">
        <v>1438</v>
      </c>
      <c r="D568" s="4"/>
    </row>
    <row r="569" spans="1:5" x14ac:dyDescent="0.2">
      <c r="A569" t="s">
        <v>853</v>
      </c>
      <c r="B569" t="s">
        <v>1439</v>
      </c>
      <c r="C569" t="s">
        <v>1440</v>
      </c>
      <c r="D569" s="4"/>
    </row>
    <row r="570" spans="1:5" x14ac:dyDescent="0.2">
      <c r="D570" s="4"/>
    </row>
    <row r="571" spans="1:5" s="14" customFormat="1" x14ac:dyDescent="0.2">
      <c r="A571" s="3" t="s">
        <v>1441</v>
      </c>
      <c r="B571" s="3" t="s">
        <v>1442</v>
      </c>
      <c r="C571" s="3" t="s">
        <v>1443</v>
      </c>
      <c r="D571" s="180"/>
      <c r="E571" s="181"/>
    </row>
    <row r="572" spans="1:5" s="14" customFormat="1" x14ac:dyDescent="0.2">
      <c r="A572" s="3" t="s">
        <v>1441</v>
      </c>
      <c r="B572" s="3" t="s">
        <v>1444</v>
      </c>
      <c r="C572" s="3" t="s">
        <v>1445</v>
      </c>
      <c r="D572" s="180"/>
      <c r="E572" s="181"/>
    </row>
    <row r="573" spans="1:5" s="14" customFormat="1" x14ac:dyDescent="0.2">
      <c r="A573" s="3" t="s">
        <v>1441</v>
      </c>
      <c r="B573" s="3" t="s">
        <v>1446</v>
      </c>
      <c r="C573" s="3" t="s">
        <v>1447</v>
      </c>
      <c r="D573" s="180"/>
      <c r="E573" s="181"/>
    </row>
    <row r="574" spans="1:5" s="14" customFormat="1" x14ac:dyDescent="0.2">
      <c r="A574" s="3" t="s">
        <v>1441</v>
      </c>
      <c r="B574" s="3" t="s">
        <v>1448</v>
      </c>
      <c r="C574" s="3" t="s">
        <v>1449</v>
      </c>
      <c r="D574" s="180"/>
      <c r="E574" s="181"/>
    </row>
    <row r="575" spans="1:5" s="14" customFormat="1" x14ac:dyDescent="0.2">
      <c r="A575" s="3" t="s">
        <v>1441</v>
      </c>
      <c r="B575" s="3" t="s">
        <v>1450</v>
      </c>
      <c r="C575" s="3" t="s">
        <v>1451</v>
      </c>
      <c r="D575" s="180"/>
      <c r="E575" s="181"/>
    </row>
    <row r="576" spans="1:5" s="14" customFormat="1" x14ac:dyDescent="0.2">
      <c r="A576" s="3" t="s">
        <v>1441</v>
      </c>
      <c r="B576" s="3" t="s">
        <v>1452</v>
      </c>
      <c r="C576" s="3" t="s">
        <v>1453</v>
      </c>
      <c r="D576" s="180"/>
      <c r="E576" s="181"/>
    </row>
    <row r="577" spans="1:5" s="14" customFormat="1" x14ac:dyDescent="0.2">
      <c r="A577" s="3" t="s">
        <v>1441</v>
      </c>
      <c r="B577" s="3" t="s">
        <v>1454</v>
      </c>
      <c r="C577" s="3" t="s">
        <v>1455</v>
      </c>
      <c r="D577" s="180"/>
      <c r="E577" s="181"/>
    </row>
    <row r="578" spans="1:5" s="14" customFormat="1" x14ac:dyDescent="0.2">
      <c r="A578" s="3" t="s">
        <v>1441</v>
      </c>
      <c r="B578" s="3" t="s">
        <v>1456</v>
      </c>
      <c r="C578" s="3" t="s">
        <v>1457</v>
      </c>
      <c r="D578" s="180"/>
      <c r="E578" s="181"/>
    </row>
    <row r="579" spans="1:5" s="14" customFormat="1" x14ac:dyDescent="0.2">
      <c r="A579" s="3" t="s">
        <v>1441</v>
      </c>
      <c r="B579" s="3" t="s">
        <v>1458</v>
      </c>
      <c r="C579" s="3" t="s">
        <v>1459</v>
      </c>
      <c r="D579" s="180"/>
      <c r="E579" s="181"/>
    </row>
    <row r="580" spans="1:5" s="14" customFormat="1" x14ac:dyDescent="0.2">
      <c r="A580" s="3" t="s">
        <v>1441</v>
      </c>
      <c r="B580" t="s">
        <v>1460</v>
      </c>
      <c r="C580" t="s">
        <v>1461</v>
      </c>
      <c r="D580" s="180"/>
      <c r="E580" s="181"/>
    </row>
    <row r="581" spans="1:5" s="14" customFormat="1" x14ac:dyDescent="0.2">
      <c r="A581" s="3" t="s">
        <v>1441</v>
      </c>
      <c r="B581" t="s">
        <v>1462</v>
      </c>
      <c r="C581" t="s">
        <v>1463</v>
      </c>
      <c r="D581" s="180"/>
      <c r="E581" s="181"/>
    </row>
    <row r="582" spans="1:5" s="14" customFormat="1" x14ac:dyDescent="0.2">
      <c r="A582" s="3" t="s">
        <v>1441</v>
      </c>
      <c r="B582" t="s">
        <v>1464</v>
      </c>
      <c r="C582" t="s">
        <v>1465</v>
      </c>
      <c r="D582" s="180"/>
      <c r="E582" s="181"/>
    </row>
    <row r="583" spans="1:5" s="14" customFormat="1" x14ac:dyDescent="0.2">
      <c r="A583" s="3" t="s">
        <v>1441</v>
      </c>
      <c r="B583" t="s">
        <v>1466</v>
      </c>
      <c r="C583" t="s">
        <v>1467</v>
      </c>
      <c r="D583" s="180"/>
      <c r="E583" s="181"/>
    </row>
    <row r="584" spans="1:5" s="14" customFormat="1" x14ac:dyDescent="0.2">
      <c r="A584" s="3" t="s">
        <v>1441</v>
      </c>
      <c r="B584" t="s">
        <v>1468</v>
      </c>
      <c r="C584" t="s">
        <v>1469</v>
      </c>
      <c r="D584" s="180"/>
      <c r="E584" s="181"/>
    </row>
    <row r="585" spans="1:5" s="14" customFormat="1" x14ac:dyDescent="0.2">
      <c r="A585" s="3" t="s">
        <v>1441</v>
      </c>
      <c r="B585" t="s">
        <v>1470</v>
      </c>
      <c r="C585" t="s">
        <v>1471</v>
      </c>
      <c r="D585" s="180"/>
      <c r="E585" s="181"/>
    </row>
    <row r="586" spans="1:5" s="14" customFormat="1" x14ac:dyDescent="0.2">
      <c r="A586" s="3" t="s">
        <v>1441</v>
      </c>
      <c r="B586" t="s">
        <v>1472</v>
      </c>
      <c r="C586" t="s">
        <v>1473</v>
      </c>
      <c r="D586" s="180"/>
      <c r="E586" s="181"/>
    </row>
    <row r="587" spans="1:5" s="14" customFormat="1" x14ac:dyDescent="0.2">
      <c r="A587" s="3" t="s">
        <v>1441</v>
      </c>
      <c r="B587" t="s">
        <v>1474</v>
      </c>
      <c r="C587" t="s">
        <v>1475</v>
      </c>
      <c r="D587" s="180"/>
      <c r="E587" s="181"/>
    </row>
    <row r="588" spans="1:5" s="14" customFormat="1" x14ac:dyDescent="0.2">
      <c r="A588" s="3" t="s">
        <v>1441</v>
      </c>
      <c r="B588" t="s">
        <v>1476</v>
      </c>
      <c r="C588" t="s">
        <v>1477</v>
      </c>
      <c r="D588" s="180"/>
      <c r="E588" s="181"/>
    </row>
    <row r="589" spans="1:5" s="14" customFormat="1" x14ac:dyDescent="0.2">
      <c r="A589" s="3" t="s">
        <v>1441</v>
      </c>
      <c r="B589" t="s">
        <v>1478</v>
      </c>
      <c r="C589" t="s">
        <v>1479</v>
      </c>
      <c r="D589" s="180"/>
      <c r="E589" s="181"/>
    </row>
    <row r="590" spans="1:5" s="14" customFormat="1" x14ac:dyDescent="0.2">
      <c r="A590" s="3" t="s">
        <v>1441</v>
      </c>
      <c r="B590" t="s">
        <v>1480</v>
      </c>
      <c r="C590" t="s">
        <v>1481</v>
      </c>
      <c r="D590" s="180"/>
      <c r="E590" s="181"/>
    </row>
    <row r="591" spans="1:5" s="14" customFormat="1" x14ac:dyDescent="0.2">
      <c r="A591" s="3" t="s">
        <v>1441</v>
      </c>
      <c r="B591" t="s">
        <v>1482</v>
      </c>
      <c r="C591" t="s">
        <v>1483</v>
      </c>
      <c r="D591" s="180"/>
      <c r="E591" s="181"/>
    </row>
    <row r="592" spans="1:5" s="14" customFormat="1" x14ac:dyDescent="0.2">
      <c r="A592" s="3" t="s">
        <v>1441</v>
      </c>
      <c r="B592" t="s">
        <v>1484</v>
      </c>
      <c r="C592" t="s">
        <v>1485</v>
      </c>
      <c r="D592" s="180"/>
      <c r="E592" s="181"/>
    </row>
    <row r="593" spans="1:5" s="14" customFormat="1" x14ac:dyDescent="0.2">
      <c r="A593" s="3" t="s">
        <v>1441</v>
      </c>
      <c r="B593" t="s">
        <v>1486</v>
      </c>
      <c r="C593" t="s">
        <v>1487</v>
      </c>
      <c r="D593" s="180"/>
      <c r="E593" s="181"/>
    </row>
    <row r="594" spans="1:5" s="14" customFormat="1" x14ac:dyDescent="0.2">
      <c r="A594" s="3" t="s">
        <v>1441</v>
      </c>
      <c r="B594" t="s">
        <v>1488</v>
      </c>
      <c r="C594" t="s">
        <v>1489</v>
      </c>
      <c r="D594" s="180"/>
      <c r="E594" s="181"/>
    </row>
    <row r="595" spans="1:5" s="14" customFormat="1" x14ac:dyDescent="0.2">
      <c r="A595" s="3" t="s">
        <v>1441</v>
      </c>
      <c r="B595" t="s">
        <v>1490</v>
      </c>
      <c r="C595" t="s">
        <v>1491</v>
      </c>
      <c r="D595" s="180"/>
      <c r="E595" s="181"/>
    </row>
    <row r="596" spans="1:5" s="14" customFormat="1" x14ac:dyDescent="0.2">
      <c r="A596" s="3" t="s">
        <v>1441</v>
      </c>
      <c r="B596" t="s">
        <v>1492</v>
      </c>
      <c r="C596" t="s">
        <v>1493</v>
      </c>
      <c r="D596" s="180"/>
      <c r="E596" s="181"/>
    </row>
    <row r="597" spans="1:5" s="14" customFormat="1" x14ac:dyDescent="0.2">
      <c r="A597" s="3" t="s">
        <v>1441</v>
      </c>
      <c r="B597" t="s">
        <v>1494</v>
      </c>
      <c r="C597" t="s">
        <v>1495</v>
      </c>
      <c r="D597" s="180"/>
      <c r="E597" s="181"/>
    </row>
    <row r="598" spans="1:5" s="14" customFormat="1" x14ac:dyDescent="0.2">
      <c r="A598" s="3" t="s">
        <v>1441</v>
      </c>
      <c r="B598" t="s">
        <v>1496</v>
      </c>
      <c r="C598" t="s">
        <v>1497</v>
      </c>
      <c r="D598" s="180"/>
      <c r="E598" s="181"/>
    </row>
    <row r="599" spans="1:5" s="14" customFormat="1" x14ac:dyDescent="0.2">
      <c r="A599" s="3" t="s">
        <v>1441</v>
      </c>
      <c r="B599" t="s">
        <v>1498</v>
      </c>
      <c r="C599" t="s">
        <v>1499</v>
      </c>
      <c r="D599" s="180"/>
      <c r="E599" s="181"/>
    </row>
    <row r="600" spans="1:5" s="14" customFormat="1" x14ac:dyDescent="0.2">
      <c r="A600" s="3" t="s">
        <v>1441</v>
      </c>
      <c r="B600" t="s">
        <v>1500</v>
      </c>
      <c r="C600" t="s">
        <v>1501</v>
      </c>
      <c r="D600" s="180"/>
      <c r="E600" s="181"/>
    </row>
    <row r="601" spans="1:5" s="14" customFormat="1" x14ac:dyDescent="0.2">
      <c r="A601" s="3" t="s">
        <v>1441</v>
      </c>
      <c r="B601" t="s">
        <v>1502</v>
      </c>
      <c r="C601" t="s">
        <v>1503</v>
      </c>
      <c r="D601" s="180"/>
      <c r="E601" s="181"/>
    </row>
    <row r="602" spans="1:5" s="14" customFormat="1" x14ac:dyDescent="0.2">
      <c r="A602" s="3" t="s">
        <v>1441</v>
      </c>
      <c r="B602" t="s">
        <v>1504</v>
      </c>
      <c r="C602" t="s">
        <v>1505</v>
      </c>
      <c r="D602" s="180"/>
      <c r="E602" s="181"/>
    </row>
    <row r="603" spans="1:5" s="14" customFormat="1" x14ac:dyDescent="0.2">
      <c r="A603" s="3" t="s">
        <v>1441</v>
      </c>
      <c r="B603" t="s">
        <v>1506</v>
      </c>
      <c r="C603" t="s">
        <v>1507</v>
      </c>
      <c r="D603" s="180"/>
      <c r="E603" s="181"/>
    </row>
    <row r="604" spans="1:5" s="14" customFormat="1" x14ac:dyDescent="0.2">
      <c r="A604" s="3" t="s">
        <v>1441</v>
      </c>
      <c r="B604" t="s">
        <v>1508</v>
      </c>
      <c r="C604" t="s">
        <v>1509</v>
      </c>
      <c r="D604" s="180"/>
      <c r="E604" s="181"/>
    </row>
    <row r="605" spans="1:5" s="14" customFormat="1" x14ac:dyDescent="0.2">
      <c r="A605" s="3" t="s">
        <v>1441</v>
      </c>
      <c r="B605" t="s">
        <v>1510</v>
      </c>
      <c r="C605" t="s">
        <v>1511</v>
      </c>
      <c r="D605" s="180"/>
      <c r="E605" s="181"/>
    </row>
    <row r="606" spans="1:5" s="14" customFormat="1" x14ac:dyDescent="0.2">
      <c r="A606" s="3" t="s">
        <v>1441</v>
      </c>
      <c r="B606" t="s">
        <v>1512</v>
      </c>
      <c r="C606" t="s">
        <v>1513</v>
      </c>
      <c r="D606" s="180"/>
      <c r="E606" s="181"/>
    </row>
    <row r="607" spans="1:5" s="14" customFormat="1" x14ac:dyDescent="0.2">
      <c r="A607" s="3" t="s">
        <v>1441</v>
      </c>
      <c r="B607" t="s">
        <v>1514</v>
      </c>
      <c r="C607" t="s">
        <v>1515</v>
      </c>
      <c r="D607" s="180"/>
      <c r="E607" s="181"/>
    </row>
    <row r="608" spans="1:5" s="14" customFormat="1" x14ac:dyDescent="0.2">
      <c r="A608" s="3" t="s">
        <v>1441</v>
      </c>
      <c r="B608" t="s">
        <v>1516</v>
      </c>
      <c r="C608" t="s">
        <v>1517</v>
      </c>
      <c r="D608" s="180"/>
      <c r="E608" s="181"/>
    </row>
    <row r="609" spans="1:5" s="14" customFormat="1" x14ac:dyDescent="0.2">
      <c r="A609" s="3" t="s">
        <v>1441</v>
      </c>
      <c r="B609" t="s">
        <v>1518</v>
      </c>
      <c r="C609" t="s">
        <v>1519</v>
      </c>
      <c r="D609" s="180"/>
      <c r="E609" s="181"/>
    </row>
    <row r="610" spans="1:5" s="14" customFormat="1" x14ac:dyDescent="0.2">
      <c r="A610" s="3" t="s">
        <v>1441</v>
      </c>
      <c r="B610" t="s">
        <v>1520</v>
      </c>
      <c r="C610" t="s">
        <v>1521</v>
      </c>
      <c r="D610" s="180"/>
      <c r="E610" s="181"/>
    </row>
    <row r="611" spans="1:5" s="14" customFormat="1" x14ac:dyDescent="0.2">
      <c r="A611" s="3" t="s">
        <v>1441</v>
      </c>
      <c r="B611" t="s">
        <v>1522</v>
      </c>
      <c r="C611" t="s">
        <v>1523</v>
      </c>
      <c r="D611" s="180"/>
      <c r="E611" s="181"/>
    </row>
    <row r="612" spans="1:5" s="14" customFormat="1" x14ac:dyDescent="0.2">
      <c r="A612" s="3" t="s">
        <v>1441</v>
      </c>
      <c r="B612" t="s">
        <v>1524</v>
      </c>
      <c r="C612" t="s">
        <v>1525</v>
      </c>
      <c r="D612" s="180"/>
      <c r="E612" s="181"/>
    </row>
    <row r="613" spans="1:5" s="14" customFormat="1" x14ac:dyDescent="0.2">
      <c r="A613" s="3" t="s">
        <v>1441</v>
      </c>
      <c r="B613" t="s">
        <v>1526</v>
      </c>
      <c r="C613" t="s">
        <v>1527</v>
      </c>
      <c r="D613" s="180"/>
      <c r="E613" s="181"/>
    </row>
    <row r="614" spans="1:5" s="14" customFormat="1" x14ac:dyDescent="0.2">
      <c r="A614" s="3" t="s">
        <v>1441</v>
      </c>
      <c r="B614" t="s">
        <v>1528</v>
      </c>
      <c r="C614" t="s">
        <v>1529</v>
      </c>
      <c r="D614" s="180"/>
      <c r="E614" s="181"/>
    </row>
    <row r="615" spans="1:5" s="14" customFormat="1" x14ac:dyDescent="0.2">
      <c r="A615" s="3" t="s">
        <v>1441</v>
      </c>
      <c r="B615" t="s">
        <v>1530</v>
      </c>
      <c r="C615" t="s">
        <v>1531</v>
      </c>
      <c r="D615" s="180"/>
      <c r="E615" s="181"/>
    </row>
    <row r="616" spans="1:5" s="14" customFormat="1" x14ac:dyDescent="0.2">
      <c r="A616" s="3" t="s">
        <v>1441</v>
      </c>
      <c r="B616" t="s">
        <v>1532</v>
      </c>
      <c r="C616" t="s">
        <v>1533</v>
      </c>
      <c r="D616" s="180"/>
      <c r="E616" s="181"/>
    </row>
    <row r="617" spans="1:5" s="14" customFormat="1" x14ac:dyDescent="0.2">
      <c r="A617" s="3" t="s">
        <v>1441</v>
      </c>
      <c r="B617" t="s">
        <v>1534</v>
      </c>
      <c r="C617" t="s">
        <v>1535</v>
      </c>
      <c r="D617" s="180"/>
      <c r="E617" s="181"/>
    </row>
    <row r="618" spans="1:5" s="14" customFormat="1" x14ac:dyDescent="0.2">
      <c r="A618" s="3" t="s">
        <v>1441</v>
      </c>
      <c r="B618" t="s">
        <v>1536</v>
      </c>
      <c r="C618" t="s">
        <v>1537</v>
      </c>
      <c r="D618" s="180"/>
      <c r="E618" s="181"/>
    </row>
    <row r="619" spans="1:5" s="14" customFormat="1" x14ac:dyDescent="0.2">
      <c r="A619" s="3" t="s">
        <v>1441</v>
      </c>
      <c r="B619" t="s">
        <v>1538</v>
      </c>
      <c r="C619" t="s">
        <v>1539</v>
      </c>
      <c r="D619" s="180"/>
      <c r="E619" s="181"/>
    </row>
    <row r="620" spans="1:5" s="14" customFormat="1" x14ac:dyDescent="0.2">
      <c r="A620" s="3" t="s">
        <v>1441</v>
      </c>
      <c r="B620" t="s">
        <v>1540</v>
      </c>
      <c r="C620" t="s">
        <v>1541</v>
      </c>
      <c r="D620" s="180"/>
      <c r="E620" s="181"/>
    </row>
    <row r="621" spans="1:5" s="14" customFormat="1" x14ac:dyDescent="0.2">
      <c r="A621" s="3" t="s">
        <v>1441</v>
      </c>
      <c r="B621" t="s">
        <v>1542</v>
      </c>
      <c r="C621" t="s">
        <v>1543</v>
      </c>
      <c r="D621" s="180"/>
      <c r="E621" s="181"/>
    </row>
    <row r="622" spans="1:5" s="14" customFormat="1" x14ac:dyDescent="0.2">
      <c r="A622" s="3"/>
      <c r="D622" s="180"/>
      <c r="E622" s="181"/>
    </row>
    <row r="624" spans="1:5" x14ac:dyDescent="0.2">
      <c r="A624" s="220" t="s">
        <v>1544</v>
      </c>
      <c r="B624" s="220" t="s">
        <v>1354</v>
      </c>
      <c r="C624" s="220" t="s">
        <v>1355</v>
      </c>
      <c r="D624" s="4"/>
    </row>
    <row r="625" spans="1:4" x14ac:dyDescent="0.2">
      <c r="A625" s="220" t="s">
        <v>1544</v>
      </c>
      <c r="B625" s="220" t="s">
        <v>1386</v>
      </c>
      <c r="C625" s="220" t="s">
        <v>1545</v>
      </c>
      <c r="D625" s="4"/>
    </row>
    <row r="626" spans="1:4" x14ac:dyDescent="0.2">
      <c r="A626" s="220" t="s">
        <v>1544</v>
      </c>
      <c r="B626" s="220" t="s">
        <v>1546</v>
      </c>
      <c r="C626" s="220" t="s">
        <v>1547</v>
      </c>
      <c r="D626" s="4"/>
    </row>
    <row r="627" spans="1:4" x14ac:dyDescent="0.2">
      <c r="A627" s="220" t="s">
        <v>1544</v>
      </c>
      <c r="B627" s="220" t="s">
        <v>1548</v>
      </c>
      <c r="C627" s="220" t="s">
        <v>1549</v>
      </c>
      <c r="D627" s="4"/>
    </row>
    <row r="628" spans="1:4" x14ac:dyDescent="0.2">
      <c r="A628" s="220" t="s">
        <v>1544</v>
      </c>
      <c r="B628" s="220" t="s">
        <v>1550</v>
      </c>
      <c r="C628" s="220" t="s">
        <v>1551</v>
      </c>
      <c r="D628" s="4"/>
    </row>
    <row r="629" spans="1:4" x14ac:dyDescent="0.2">
      <c r="A629" s="220" t="s">
        <v>1544</v>
      </c>
      <c r="B629" s="221" t="s">
        <v>1552</v>
      </c>
      <c r="C629" s="221" t="s">
        <v>1553</v>
      </c>
      <c r="D629" s="4"/>
    </row>
    <row r="630" spans="1:4" x14ac:dyDescent="0.2">
      <c r="A630" s="220" t="s">
        <v>1544</v>
      </c>
      <c r="B630" s="221" t="s">
        <v>1554</v>
      </c>
      <c r="C630" s="221" t="s">
        <v>1555</v>
      </c>
      <c r="D630" s="4"/>
    </row>
    <row r="631" spans="1:4" x14ac:dyDescent="0.2">
      <c r="A631" s="220" t="s">
        <v>1544</v>
      </c>
      <c r="B631" s="220" t="s">
        <v>1556</v>
      </c>
      <c r="C631" s="220" t="s">
        <v>1557</v>
      </c>
      <c r="D631" s="4"/>
    </row>
    <row r="632" spans="1:4" x14ac:dyDescent="0.2">
      <c r="A632" s="220" t="s">
        <v>1544</v>
      </c>
      <c r="B632" s="220" t="s">
        <v>896</v>
      </c>
      <c r="C632" s="220" t="s">
        <v>1094</v>
      </c>
      <c r="D632" s="4"/>
    </row>
    <row r="633" spans="1:4" x14ac:dyDescent="0.2">
      <c r="A633" s="220" t="s">
        <v>1544</v>
      </c>
      <c r="B633" s="220" t="s">
        <v>1558</v>
      </c>
      <c r="C633" s="220" t="s">
        <v>1398</v>
      </c>
      <c r="D633" s="4"/>
    </row>
    <row r="635" spans="1:4" x14ac:dyDescent="0.2">
      <c r="A635" t="s">
        <v>1559</v>
      </c>
      <c r="B635">
        <v>1</v>
      </c>
      <c r="C635" t="s">
        <v>1560</v>
      </c>
      <c r="D635" s="4"/>
    </row>
    <row r="636" spans="1:4" x14ac:dyDescent="0.2">
      <c r="A636" t="s">
        <v>1559</v>
      </c>
      <c r="B636">
        <v>2</v>
      </c>
      <c r="C636" t="s">
        <v>1561</v>
      </c>
      <c r="D636" s="4"/>
    </row>
    <row r="637" spans="1:4" x14ac:dyDescent="0.2">
      <c r="A637" t="s">
        <v>1559</v>
      </c>
      <c r="B637">
        <v>3</v>
      </c>
      <c r="C637" t="s">
        <v>1562</v>
      </c>
      <c r="D637" s="4"/>
    </row>
    <row r="638" spans="1:4" x14ac:dyDescent="0.2">
      <c r="A638" t="s">
        <v>1559</v>
      </c>
      <c r="B638">
        <v>4</v>
      </c>
      <c r="C638" t="s">
        <v>1563</v>
      </c>
      <c r="D638" s="4"/>
    </row>
    <row r="639" spans="1:4" x14ac:dyDescent="0.2">
      <c r="A639" t="s">
        <v>1559</v>
      </c>
      <c r="B639">
        <v>5</v>
      </c>
      <c r="C639" t="s">
        <v>1564</v>
      </c>
      <c r="D639" s="4"/>
    </row>
    <row r="640" spans="1:4" x14ac:dyDescent="0.2">
      <c r="D640" s="4"/>
    </row>
    <row r="641" spans="1:5" x14ac:dyDescent="0.2">
      <c r="A641" s="222" t="s">
        <v>1565</v>
      </c>
      <c r="B641" s="3">
        <v>1</v>
      </c>
      <c r="C641" s="3" t="s">
        <v>1566</v>
      </c>
      <c r="D641" s="7"/>
      <c r="E641" s="11"/>
    </row>
    <row r="642" spans="1:5" x14ac:dyDescent="0.2">
      <c r="A642" s="222" t="s">
        <v>1565</v>
      </c>
      <c r="B642" s="3">
        <v>2</v>
      </c>
      <c r="C642" s="3" t="s">
        <v>1567</v>
      </c>
    </row>
    <row r="643" spans="1:5" x14ac:dyDescent="0.2">
      <c r="A643" s="222" t="s">
        <v>1565</v>
      </c>
      <c r="B643" s="3">
        <v>3</v>
      </c>
      <c r="C643" s="3" t="s">
        <v>1568</v>
      </c>
    </row>
    <row r="645" spans="1:5" x14ac:dyDescent="0.2">
      <c r="A645" s="222" t="s">
        <v>1569</v>
      </c>
      <c r="B645" s="3">
        <v>1</v>
      </c>
      <c r="C645" s="3" t="s">
        <v>1570</v>
      </c>
    </row>
    <row r="646" spans="1:5" x14ac:dyDescent="0.2">
      <c r="A646" s="222" t="s">
        <v>1569</v>
      </c>
      <c r="B646" s="3">
        <v>2</v>
      </c>
      <c r="C646" s="3" t="s">
        <v>1571</v>
      </c>
    </row>
    <row r="647" spans="1:5" x14ac:dyDescent="0.2">
      <c r="A647" s="222" t="s">
        <v>1569</v>
      </c>
      <c r="B647" s="3">
        <v>3</v>
      </c>
      <c r="C647" s="3" t="s">
        <v>1572</v>
      </c>
    </row>
    <row r="648" spans="1:5" x14ac:dyDescent="0.2">
      <c r="A648" s="222" t="s">
        <v>1569</v>
      </c>
      <c r="B648" s="3">
        <v>4</v>
      </c>
      <c r="C648" s="3" t="s">
        <v>1573</v>
      </c>
    </row>
    <row r="649" spans="1:5" x14ac:dyDescent="0.2">
      <c r="A649" s="222" t="s">
        <v>1569</v>
      </c>
      <c r="B649" s="3">
        <v>5</v>
      </c>
      <c r="C649" s="3" t="s">
        <v>1574</v>
      </c>
    </row>
    <row r="651" spans="1:5" x14ac:dyDescent="0.2">
      <c r="A651" s="3" t="s">
        <v>1575</v>
      </c>
      <c r="B651" s="3">
        <v>1</v>
      </c>
      <c r="C651" s="3" t="s">
        <v>1576</v>
      </c>
    </row>
    <row r="652" spans="1:5" x14ac:dyDescent="0.2">
      <c r="A652" s="3" t="s">
        <v>1575</v>
      </c>
      <c r="B652" s="3">
        <v>2</v>
      </c>
      <c r="C652" s="3" t="s">
        <v>1577</v>
      </c>
    </row>
    <row r="653" spans="1:5" x14ac:dyDescent="0.2">
      <c r="A653" s="3" t="s">
        <v>1575</v>
      </c>
      <c r="B653" s="3">
        <v>3</v>
      </c>
      <c r="C653" s="3" t="s">
        <v>1578</v>
      </c>
    </row>
    <row r="654" spans="1:5" x14ac:dyDescent="0.2">
      <c r="A654" s="3" t="s">
        <v>1575</v>
      </c>
      <c r="B654" s="3">
        <v>4</v>
      </c>
      <c r="C654" s="3" t="s">
        <v>1579</v>
      </c>
    </row>
    <row r="655" spans="1:5" x14ac:dyDescent="0.2">
      <c r="A655" s="3" t="s">
        <v>1575</v>
      </c>
      <c r="B655" s="3">
        <v>5</v>
      </c>
      <c r="C655" s="3" t="s">
        <v>1131</v>
      </c>
    </row>
    <row r="657" spans="1:3" x14ac:dyDescent="0.2">
      <c r="A657" s="3" t="s">
        <v>1580</v>
      </c>
      <c r="B657" s="3">
        <v>1</v>
      </c>
      <c r="C657" s="3" t="s">
        <v>1581</v>
      </c>
    </row>
    <row r="658" spans="1:3" x14ac:dyDescent="0.2">
      <c r="A658" s="3" t="s">
        <v>1580</v>
      </c>
      <c r="B658" s="3">
        <v>2</v>
      </c>
      <c r="C658" s="3" t="s">
        <v>1582</v>
      </c>
    </row>
    <row r="659" spans="1:3" x14ac:dyDescent="0.2">
      <c r="A659" s="3" t="s">
        <v>1580</v>
      </c>
      <c r="B659" s="3">
        <v>3</v>
      </c>
      <c r="C659" s="3" t="s">
        <v>1583</v>
      </c>
    </row>
    <row r="661" spans="1:3" x14ac:dyDescent="0.2">
      <c r="A661" s="235" t="s">
        <v>1055</v>
      </c>
      <c r="B661" s="3">
        <v>1</v>
      </c>
      <c r="C661" s="235" t="s">
        <v>1581</v>
      </c>
    </row>
    <row r="662" spans="1:3" x14ac:dyDescent="0.2">
      <c r="A662" s="235" t="s">
        <v>1055</v>
      </c>
      <c r="B662" s="3">
        <v>2</v>
      </c>
      <c r="C662" s="235" t="s">
        <v>1582</v>
      </c>
    </row>
    <row r="663" spans="1:3" x14ac:dyDescent="0.2">
      <c r="A663" s="235" t="s">
        <v>1055</v>
      </c>
      <c r="B663" s="3">
        <v>3</v>
      </c>
      <c r="C663" s="235" t="s">
        <v>1583</v>
      </c>
    </row>
    <row r="665" spans="1:3" x14ac:dyDescent="0.2">
      <c r="A665" s="3" t="s">
        <v>1584</v>
      </c>
      <c r="B665" s="3">
        <v>1</v>
      </c>
      <c r="C665" s="3" t="s">
        <v>1585</v>
      </c>
    </row>
    <row r="666" spans="1:3" x14ac:dyDescent="0.2">
      <c r="A666" s="3" t="s">
        <v>1584</v>
      </c>
      <c r="B666" s="3">
        <v>2</v>
      </c>
      <c r="C666" s="3" t="s">
        <v>1586</v>
      </c>
    </row>
    <row r="667" spans="1:3" x14ac:dyDescent="0.2">
      <c r="A667" s="3" t="s">
        <v>1584</v>
      </c>
      <c r="B667" s="3">
        <v>3</v>
      </c>
      <c r="C667" s="3" t="s">
        <v>1587</v>
      </c>
    </row>
    <row r="668" spans="1:3" x14ac:dyDescent="0.2">
      <c r="A668" s="3" t="s">
        <v>1584</v>
      </c>
      <c r="B668" s="3">
        <v>4</v>
      </c>
      <c r="C668" s="3" t="s">
        <v>1588</v>
      </c>
    </row>
    <row r="669" spans="1:3" x14ac:dyDescent="0.2">
      <c r="A669" s="3" t="s">
        <v>1584</v>
      </c>
      <c r="B669" s="3">
        <v>5</v>
      </c>
      <c r="C669" s="3" t="s">
        <v>1239</v>
      </c>
    </row>
    <row r="671" spans="1:3" x14ac:dyDescent="0.2">
      <c r="A671" s="3" t="s">
        <v>1589</v>
      </c>
      <c r="B671" s="3">
        <v>1</v>
      </c>
      <c r="C671" s="3" t="s">
        <v>1590</v>
      </c>
    </row>
    <row r="672" spans="1:3" x14ac:dyDescent="0.2">
      <c r="A672" s="3" t="s">
        <v>1589</v>
      </c>
      <c r="B672" s="3">
        <v>2</v>
      </c>
      <c r="C672" s="3" t="s">
        <v>1591</v>
      </c>
    </row>
    <row r="673" spans="1:3" x14ac:dyDescent="0.2">
      <c r="A673" s="3" t="s">
        <v>1589</v>
      </c>
      <c r="B673" s="3">
        <v>3</v>
      </c>
      <c r="C673" s="3" t="s">
        <v>1592</v>
      </c>
    </row>
    <row r="674" spans="1:3" x14ac:dyDescent="0.2">
      <c r="A674" s="3" t="s">
        <v>1589</v>
      </c>
      <c r="B674" s="3">
        <v>4</v>
      </c>
      <c r="C674" s="3" t="s">
        <v>1593</v>
      </c>
    </row>
    <row r="676" spans="1:3" x14ac:dyDescent="0.2">
      <c r="A676" s="3" t="s">
        <v>1594</v>
      </c>
      <c r="B676" s="3">
        <v>1</v>
      </c>
      <c r="C676" s="3" t="s">
        <v>1581</v>
      </c>
    </row>
    <row r="677" spans="1:3" x14ac:dyDescent="0.2">
      <c r="A677" s="3" t="s">
        <v>1594</v>
      </c>
      <c r="B677" s="3">
        <v>2</v>
      </c>
      <c r="C677" s="3" t="s">
        <v>1582</v>
      </c>
    </row>
    <row r="678" spans="1:3" x14ac:dyDescent="0.2">
      <c r="A678" s="3" t="s">
        <v>1594</v>
      </c>
      <c r="B678" s="3">
        <v>3</v>
      </c>
      <c r="C678" s="3" t="s">
        <v>1583</v>
      </c>
    </row>
    <row r="679" spans="1:3" x14ac:dyDescent="0.2">
      <c r="A679" s="3" t="s">
        <v>1594</v>
      </c>
      <c r="B679" s="3">
        <v>4</v>
      </c>
      <c r="C679" s="3" t="s">
        <v>1595</v>
      </c>
    </row>
    <row r="681" spans="1:3" x14ac:dyDescent="0.2">
      <c r="A681" s="3" t="s">
        <v>1596</v>
      </c>
      <c r="B681" s="3">
        <v>1</v>
      </c>
      <c r="C681" s="3" t="s">
        <v>1597</v>
      </c>
    </row>
    <row r="682" spans="1:3" x14ac:dyDescent="0.2">
      <c r="A682" s="3" t="s">
        <v>1596</v>
      </c>
      <c r="B682" s="3">
        <v>2</v>
      </c>
      <c r="C682" s="3" t="s">
        <v>1598</v>
      </c>
    </row>
    <row r="683" spans="1:3" x14ac:dyDescent="0.2">
      <c r="A683" s="3" t="s">
        <v>1596</v>
      </c>
      <c r="B683" s="3">
        <v>3</v>
      </c>
      <c r="C683" s="3" t="s">
        <v>1599</v>
      </c>
    </row>
    <row r="684" spans="1:3" x14ac:dyDescent="0.2">
      <c r="A684" s="3" t="s">
        <v>1596</v>
      </c>
      <c r="B684" s="3">
        <v>4</v>
      </c>
      <c r="C684" s="3" t="s">
        <v>1600</v>
      </c>
    </row>
    <row r="685" spans="1:3" x14ac:dyDescent="0.2">
      <c r="A685" s="3" t="s">
        <v>1596</v>
      </c>
      <c r="B685" s="3">
        <v>5</v>
      </c>
      <c r="C685" s="3" t="s">
        <v>1601</v>
      </c>
    </row>
    <row r="686" spans="1:3" x14ac:dyDescent="0.2">
      <c r="A686" s="3" t="s">
        <v>1596</v>
      </c>
      <c r="B686" s="3">
        <v>6</v>
      </c>
      <c r="C686" s="3" t="s">
        <v>1602</v>
      </c>
    </row>
    <row r="688" spans="1:3" x14ac:dyDescent="0.2">
      <c r="A688" s="222" t="s">
        <v>1603</v>
      </c>
      <c r="B688" s="3">
        <v>1</v>
      </c>
      <c r="C688" s="194" t="s">
        <v>1604</v>
      </c>
    </row>
    <row r="689" spans="1:3" x14ac:dyDescent="0.2">
      <c r="A689" s="222" t="s">
        <v>1603</v>
      </c>
      <c r="B689" s="3">
        <v>2</v>
      </c>
      <c r="C689" s="194" t="s">
        <v>1605</v>
      </c>
    </row>
    <row r="690" spans="1:3" x14ac:dyDescent="0.2">
      <c r="A690" s="222" t="s">
        <v>1603</v>
      </c>
      <c r="B690" s="3">
        <v>3</v>
      </c>
      <c r="C690" s="194" t="s">
        <v>1606</v>
      </c>
    </row>
    <row r="691" spans="1:3" x14ac:dyDescent="0.2">
      <c r="A691" s="222" t="s">
        <v>1603</v>
      </c>
      <c r="B691" s="3">
        <v>4</v>
      </c>
      <c r="C691" s="194" t="s">
        <v>1607</v>
      </c>
    </row>
    <row r="692" spans="1:3" x14ac:dyDescent="0.2">
      <c r="A692" s="222" t="s">
        <v>1603</v>
      </c>
      <c r="B692" s="3">
        <v>5</v>
      </c>
      <c r="C692" s="194" t="s">
        <v>1239</v>
      </c>
    </row>
    <row r="693" spans="1:3" x14ac:dyDescent="0.2">
      <c r="A693" s="222" t="s">
        <v>1603</v>
      </c>
      <c r="B693" s="3">
        <v>6</v>
      </c>
      <c r="C693" s="194" t="s">
        <v>1330</v>
      </c>
    </row>
    <row r="694" spans="1:3" x14ac:dyDescent="0.2">
      <c r="C694" s="194"/>
    </row>
    <row r="695" spans="1:3" x14ac:dyDescent="0.2">
      <c r="A695" s="222" t="s">
        <v>1608</v>
      </c>
      <c r="B695" s="3">
        <v>1</v>
      </c>
      <c r="C695" s="194" t="s">
        <v>1609</v>
      </c>
    </row>
    <row r="696" spans="1:3" x14ac:dyDescent="0.2">
      <c r="A696" s="222" t="s">
        <v>1608</v>
      </c>
      <c r="B696" s="3">
        <v>2</v>
      </c>
      <c r="C696" s="194" t="s">
        <v>1610</v>
      </c>
    </row>
    <row r="697" spans="1:3" x14ac:dyDescent="0.2">
      <c r="A697" s="222" t="s">
        <v>1608</v>
      </c>
      <c r="B697" s="3">
        <v>3</v>
      </c>
      <c r="C697" s="194" t="s">
        <v>1611</v>
      </c>
    </row>
    <row r="698" spans="1:3" x14ac:dyDescent="0.2">
      <c r="A698" s="222" t="s">
        <v>1608</v>
      </c>
      <c r="B698" s="3">
        <v>4</v>
      </c>
      <c r="C698" s="194" t="s">
        <v>1612</v>
      </c>
    </row>
    <row r="699" spans="1:3" x14ac:dyDescent="0.2">
      <c r="A699" s="222" t="s">
        <v>1608</v>
      </c>
      <c r="B699" s="3">
        <v>5</v>
      </c>
      <c r="C699" s="194" t="s">
        <v>1613</v>
      </c>
    </row>
    <row r="700" spans="1:3" x14ac:dyDescent="0.2">
      <c r="A700" s="222" t="s">
        <v>1608</v>
      </c>
      <c r="B700" s="3">
        <v>6</v>
      </c>
      <c r="C700" s="194" t="s">
        <v>1614</v>
      </c>
    </row>
    <row r="701" spans="1:3" x14ac:dyDescent="0.2">
      <c r="A701" s="222" t="s">
        <v>1608</v>
      </c>
      <c r="B701" s="3">
        <v>7</v>
      </c>
      <c r="C701" s="194" t="s">
        <v>1615</v>
      </c>
    </row>
    <row r="702" spans="1:3" x14ac:dyDescent="0.2">
      <c r="A702" s="222" t="s">
        <v>1608</v>
      </c>
      <c r="B702" s="3">
        <v>8</v>
      </c>
      <c r="C702" s="194" t="s">
        <v>1616</v>
      </c>
    </row>
    <row r="704" spans="1:3" x14ac:dyDescent="0.2">
      <c r="A704" s="3" t="s">
        <v>1617</v>
      </c>
      <c r="B704" s="3">
        <v>1</v>
      </c>
      <c r="C704" s="3" t="s">
        <v>1618</v>
      </c>
    </row>
    <row r="705" spans="1:3" x14ac:dyDescent="0.2">
      <c r="A705" s="3" t="s">
        <v>1617</v>
      </c>
      <c r="B705" s="3">
        <v>2</v>
      </c>
      <c r="C705" s="3" t="s">
        <v>1619</v>
      </c>
    </row>
    <row r="706" spans="1:3" x14ac:dyDescent="0.2">
      <c r="A706" s="3" t="s">
        <v>1617</v>
      </c>
      <c r="B706" s="3">
        <v>3</v>
      </c>
      <c r="C706" s="3" t="s">
        <v>1620</v>
      </c>
    </row>
    <row r="707" spans="1:3" x14ac:dyDescent="0.2">
      <c r="A707" s="3" t="s">
        <v>1617</v>
      </c>
      <c r="B707" s="3">
        <v>4</v>
      </c>
      <c r="C707" s="3" t="s">
        <v>1621</v>
      </c>
    </row>
    <row r="708" spans="1:3" x14ac:dyDescent="0.2">
      <c r="A708" s="3" t="s">
        <v>1617</v>
      </c>
      <c r="B708" s="3">
        <v>5</v>
      </c>
      <c r="C708" s="3" t="s">
        <v>1622</v>
      </c>
    </row>
    <row r="709" spans="1:3" x14ac:dyDescent="0.2">
      <c r="A709" s="3" t="s">
        <v>1617</v>
      </c>
      <c r="B709" s="3">
        <v>6</v>
      </c>
      <c r="C709" s="3" t="s">
        <v>1623</v>
      </c>
    </row>
    <row r="710" spans="1:3" x14ac:dyDescent="0.2">
      <c r="A710" s="3" t="s">
        <v>1617</v>
      </c>
      <c r="B710" s="3">
        <v>7</v>
      </c>
      <c r="C710" s="3" t="s">
        <v>1624</v>
      </c>
    </row>
    <row r="711" spans="1:3" x14ac:dyDescent="0.2">
      <c r="A711" s="3" t="s">
        <v>1617</v>
      </c>
      <c r="B711" s="3">
        <v>8</v>
      </c>
      <c r="C711" s="3" t="s">
        <v>1239</v>
      </c>
    </row>
    <row r="713" spans="1:3" x14ac:dyDescent="0.2">
      <c r="A713" s="223" t="s">
        <v>1625</v>
      </c>
      <c r="B713" s="223" t="s">
        <v>1626</v>
      </c>
      <c r="C713" s="223" t="s">
        <v>1627</v>
      </c>
    </row>
    <row r="714" spans="1:3" x14ac:dyDescent="0.2">
      <c r="A714" s="223" t="s">
        <v>1625</v>
      </c>
      <c r="B714" s="223" t="s">
        <v>1628</v>
      </c>
      <c r="C714" s="223" t="s">
        <v>1629</v>
      </c>
    </row>
    <row r="715" spans="1:3" x14ac:dyDescent="0.2">
      <c r="A715" s="223" t="s">
        <v>1625</v>
      </c>
      <c r="B715" s="223" t="s">
        <v>1630</v>
      </c>
      <c r="C715" s="223" t="s">
        <v>1631</v>
      </c>
    </row>
    <row r="716" spans="1:3" x14ac:dyDescent="0.2">
      <c r="A716" s="223" t="s">
        <v>1625</v>
      </c>
      <c r="B716" s="223" t="s">
        <v>1632</v>
      </c>
      <c r="C716" s="223" t="s">
        <v>1633</v>
      </c>
    </row>
    <row r="717" spans="1:3" x14ac:dyDescent="0.2">
      <c r="A717" s="223" t="s">
        <v>1625</v>
      </c>
      <c r="B717" s="223" t="s">
        <v>1634</v>
      </c>
      <c r="C717" s="223" t="s">
        <v>1635</v>
      </c>
    </row>
    <row r="718" spans="1:3" x14ac:dyDescent="0.2">
      <c r="A718" s="223" t="s">
        <v>1625</v>
      </c>
      <c r="B718" s="223" t="s">
        <v>1636</v>
      </c>
      <c r="C718" s="223" t="s">
        <v>1637</v>
      </c>
    </row>
    <row r="719" spans="1:3" x14ac:dyDescent="0.2">
      <c r="A719" s="14"/>
      <c r="B719" s="14"/>
      <c r="C719" s="14"/>
    </row>
    <row r="720" spans="1:3" x14ac:dyDescent="0.2">
      <c r="A720" s="3" t="s">
        <v>1638</v>
      </c>
      <c r="B720" s="3">
        <v>1</v>
      </c>
      <c r="C720" s="3" t="s">
        <v>1639</v>
      </c>
    </row>
    <row r="721" spans="1:3" x14ac:dyDescent="0.2">
      <c r="A721" s="3" t="s">
        <v>1638</v>
      </c>
      <c r="B721" s="3">
        <v>2</v>
      </c>
      <c r="C721" s="3" t="s">
        <v>1640</v>
      </c>
    </row>
    <row r="722" spans="1:3" x14ac:dyDescent="0.2">
      <c r="A722" s="3" t="s">
        <v>1638</v>
      </c>
      <c r="B722" s="3">
        <v>3</v>
      </c>
      <c r="C722" s="3" t="s">
        <v>1641</v>
      </c>
    </row>
    <row r="723" spans="1:3" x14ac:dyDescent="0.2">
      <c r="A723" s="3" t="s">
        <v>1638</v>
      </c>
      <c r="B723" s="3">
        <v>4</v>
      </c>
      <c r="C723" s="3" t="s">
        <v>1642</v>
      </c>
    </row>
    <row r="724" spans="1:3" ht="16.5" customHeight="1" x14ac:dyDescent="0.2"/>
    <row r="726" spans="1:3" x14ac:dyDescent="0.2">
      <c r="A726" s="3" t="s">
        <v>1643</v>
      </c>
      <c r="B726" s="3">
        <v>1</v>
      </c>
      <c r="C726" s="3" t="s">
        <v>1644</v>
      </c>
    </row>
    <row r="727" spans="1:3" x14ac:dyDescent="0.2">
      <c r="A727" s="3" t="s">
        <v>1643</v>
      </c>
      <c r="B727" s="3">
        <v>2</v>
      </c>
      <c r="C727" s="3" t="s">
        <v>1645</v>
      </c>
    </row>
    <row r="728" spans="1:3" x14ac:dyDescent="0.2">
      <c r="A728" s="3" t="s">
        <v>1643</v>
      </c>
      <c r="B728" s="3">
        <v>3</v>
      </c>
      <c r="C728" s="3" t="s">
        <v>1646</v>
      </c>
    </row>
    <row r="729" spans="1:3" x14ac:dyDescent="0.2">
      <c r="A729" s="3" t="s">
        <v>1643</v>
      </c>
      <c r="B729" s="3">
        <v>4</v>
      </c>
      <c r="C729" s="3" t="s">
        <v>1647</v>
      </c>
    </row>
    <row r="730" spans="1:3" x14ac:dyDescent="0.2">
      <c r="A730" s="3" t="s">
        <v>1643</v>
      </c>
      <c r="B730" s="3">
        <v>5</v>
      </c>
      <c r="C730" s="3" t="s">
        <v>1648</v>
      </c>
    </row>
    <row r="731" spans="1:3" x14ac:dyDescent="0.2">
      <c r="A731" s="3" t="s">
        <v>1643</v>
      </c>
      <c r="B731" s="3">
        <v>6</v>
      </c>
      <c r="C731" s="3" t="s">
        <v>1649</v>
      </c>
    </row>
    <row r="733" spans="1:3" x14ac:dyDescent="0.2">
      <c r="A733" s="3" t="s">
        <v>1650</v>
      </c>
      <c r="B733" s="3">
        <v>1</v>
      </c>
      <c r="C733" s="3" t="s">
        <v>1651</v>
      </c>
    </row>
    <row r="734" spans="1:3" x14ac:dyDescent="0.2">
      <c r="A734" s="3" t="s">
        <v>1650</v>
      </c>
      <c r="B734" s="3">
        <v>2</v>
      </c>
      <c r="C734" s="3" t="s">
        <v>1652</v>
      </c>
    </row>
    <row r="736" spans="1:3" x14ac:dyDescent="0.2">
      <c r="A736" s="3" t="s">
        <v>1653</v>
      </c>
      <c r="B736" s="3">
        <v>1</v>
      </c>
      <c r="C736" s="3" t="s">
        <v>1654</v>
      </c>
    </row>
    <row r="737" spans="1:3" x14ac:dyDescent="0.2">
      <c r="A737" s="3" t="s">
        <v>1653</v>
      </c>
      <c r="B737" s="3">
        <v>2</v>
      </c>
      <c r="C737" s="3" t="s">
        <v>1655</v>
      </c>
    </row>
    <row r="738" spans="1:3" x14ac:dyDescent="0.2">
      <c r="A738" s="3" t="s">
        <v>1653</v>
      </c>
      <c r="B738" s="3">
        <v>3</v>
      </c>
      <c r="C738" s="3" t="s">
        <v>1656</v>
      </c>
    </row>
    <row r="739" spans="1:3" x14ac:dyDescent="0.2">
      <c r="A739" s="3" t="s">
        <v>1653</v>
      </c>
      <c r="B739" s="3">
        <v>4</v>
      </c>
      <c r="C739" s="3" t="s">
        <v>1657</v>
      </c>
    </row>
    <row r="740" spans="1:3" x14ac:dyDescent="0.2">
      <c r="A740" s="3" t="s">
        <v>1653</v>
      </c>
      <c r="B740" s="3">
        <v>5</v>
      </c>
      <c r="C740" s="3" t="s">
        <v>1658</v>
      </c>
    </row>
    <row r="741" spans="1:3" x14ac:dyDescent="0.2">
      <c r="A741" s="3" t="s">
        <v>1653</v>
      </c>
      <c r="B741" s="3">
        <v>6</v>
      </c>
      <c r="C741" s="3" t="s">
        <v>1659</v>
      </c>
    </row>
    <row r="742" spans="1:3" x14ac:dyDescent="0.2">
      <c r="A742" s="3" t="s">
        <v>1653</v>
      </c>
      <c r="B742" s="3">
        <v>7</v>
      </c>
      <c r="C742" s="3" t="s">
        <v>1131</v>
      </c>
    </row>
    <row r="743" spans="1:3" x14ac:dyDescent="0.2">
      <c r="A743" s="3" t="s">
        <v>1653</v>
      </c>
      <c r="B743" s="3">
        <v>8</v>
      </c>
      <c r="C743" s="3" t="s">
        <v>1660</v>
      </c>
    </row>
    <row r="745" spans="1:3" x14ac:dyDescent="0.2">
      <c r="A745" s="3" t="s">
        <v>1661</v>
      </c>
      <c r="B745" s="3">
        <v>1</v>
      </c>
      <c r="C745" s="3" t="s">
        <v>1662</v>
      </c>
    </row>
    <row r="746" spans="1:3" x14ac:dyDescent="0.2">
      <c r="A746" s="3" t="s">
        <v>1661</v>
      </c>
      <c r="B746" s="3">
        <v>2</v>
      </c>
      <c r="C746" s="3" t="s">
        <v>1663</v>
      </c>
    </row>
    <row r="747" spans="1:3" x14ac:dyDescent="0.2">
      <c r="A747" s="3" t="s">
        <v>1661</v>
      </c>
      <c r="B747" s="3">
        <v>3</v>
      </c>
      <c r="C747" s="3" t="s">
        <v>876</v>
      </c>
    </row>
    <row r="750" spans="1:3" x14ac:dyDescent="0.2">
      <c r="A750" s="3" t="s">
        <v>1664</v>
      </c>
      <c r="B750" s="3" t="s">
        <v>1665</v>
      </c>
      <c r="C750" s="3" t="s">
        <v>1666</v>
      </c>
    </row>
    <row r="751" spans="1:3" x14ac:dyDescent="0.2">
      <c r="A751" s="3" t="s">
        <v>1664</v>
      </c>
      <c r="B751" s="11" t="s">
        <v>1667</v>
      </c>
      <c r="C751" s="7" t="s">
        <v>1668</v>
      </c>
    </row>
    <row r="752" spans="1:3" x14ac:dyDescent="0.2">
      <c r="B752" s="11"/>
      <c r="C752" s="7"/>
    </row>
    <row r="753" spans="1:3" x14ac:dyDescent="0.2">
      <c r="A753" s="3" t="s">
        <v>1669</v>
      </c>
      <c r="B753" s="3">
        <v>1</v>
      </c>
      <c r="C753" s="3" t="s">
        <v>1670</v>
      </c>
    </row>
    <row r="754" spans="1:3" x14ac:dyDescent="0.2">
      <c r="A754" s="3" t="s">
        <v>1669</v>
      </c>
      <c r="B754" s="3">
        <f t="shared" ref="B754:B761" si="0">+B753+1</f>
        <v>2</v>
      </c>
      <c r="C754" s="3" t="s">
        <v>1671</v>
      </c>
    </row>
    <row r="755" spans="1:3" x14ac:dyDescent="0.2">
      <c r="A755" s="3" t="s">
        <v>1669</v>
      </c>
      <c r="B755" s="3">
        <f t="shared" si="0"/>
        <v>3</v>
      </c>
      <c r="C755" s="3" t="s">
        <v>1238</v>
      </c>
    </row>
    <row r="756" spans="1:3" x14ac:dyDescent="0.2">
      <c r="A756" s="3" t="s">
        <v>1669</v>
      </c>
      <c r="B756" s="3">
        <f t="shared" si="0"/>
        <v>4</v>
      </c>
      <c r="C756" s="3" t="s">
        <v>1672</v>
      </c>
    </row>
    <row r="757" spans="1:3" x14ac:dyDescent="0.2">
      <c r="A757" s="3" t="s">
        <v>1669</v>
      </c>
      <c r="B757" s="3">
        <f t="shared" si="0"/>
        <v>5</v>
      </c>
      <c r="C757" s="3" t="s">
        <v>1673</v>
      </c>
    </row>
    <row r="758" spans="1:3" x14ac:dyDescent="0.2">
      <c r="A758" s="3" t="s">
        <v>1669</v>
      </c>
      <c r="B758" s="3">
        <f t="shared" si="0"/>
        <v>6</v>
      </c>
      <c r="C758" s="3" t="s">
        <v>1674</v>
      </c>
    </row>
    <row r="759" spans="1:3" x14ac:dyDescent="0.2">
      <c r="A759" s="3" t="s">
        <v>1669</v>
      </c>
      <c r="B759" s="3">
        <f t="shared" si="0"/>
        <v>7</v>
      </c>
      <c r="C759" s="3" t="s">
        <v>1131</v>
      </c>
    </row>
    <row r="760" spans="1:3" x14ac:dyDescent="0.2">
      <c r="A760" s="3" t="s">
        <v>1669</v>
      </c>
      <c r="B760" s="3">
        <f t="shared" si="0"/>
        <v>8</v>
      </c>
      <c r="C760" s="3" t="s">
        <v>871</v>
      </c>
    </row>
    <row r="761" spans="1:3" x14ac:dyDescent="0.2">
      <c r="A761" s="3" t="s">
        <v>1669</v>
      </c>
      <c r="B761" s="3">
        <f t="shared" si="0"/>
        <v>9</v>
      </c>
      <c r="C761" s="3" t="s">
        <v>872</v>
      </c>
    </row>
    <row r="763" spans="1:3" x14ac:dyDescent="0.2">
      <c r="A763" s="3" t="s">
        <v>1675</v>
      </c>
      <c r="B763" s="3">
        <v>1</v>
      </c>
      <c r="C763" s="3" t="s">
        <v>1676</v>
      </c>
    </row>
    <row r="764" spans="1:3" x14ac:dyDescent="0.2">
      <c r="A764" s="3" t="s">
        <v>1675</v>
      </c>
      <c r="B764" s="3">
        <f>+B763+1</f>
        <v>2</v>
      </c>
      <c r="C764" s="3" t="s">
        <v>1677</v>
      </c>
    </row>
    <row r="765" spans="1:3" x14ac:dyDescent="0.2">
      <c r="A765" s="3" t="s">
        <v>1675</v>
      </c>
      <c r="B765" s="3">
        <v>3</v>
      </c>
      <c r="C765" s="3" t="s">
        <v>1678</v>
      </c>
    </row>
    <row r="766" spans="1:3" x14ac:dyDescent="0.2">
      <c r="A766" s="3" t="s">
        <v>1675</v>
      </c>
      <c r="B766" s="3">
        <f>+B765+1</f>
        <v>4</v>
      </c>
      <c r="C766" s="3" t="s">
        <v>1679</v>
      </c>
    </row>
    <row r="767" spans="1:3" x14ac:dyDescent="0.2">
      <c r="A767" s="3" t="s">
        <v>1675</v>
      </c>
      <c r="B767" s="3">
        <v>5</v>
      </c>
      <c r="C767" s="3" t="s">
        <v>980</v>
      </c>
    </row>
    <row r="768" spans="1:3" x14ac:dyDescent="0.2">
      <c r="A768" s="3" t="s">
        <v>1675</v>
      </c>
      <c r="B768" s="281">
        <v>6</v>
      </c>
      <c r="C768" s="281" t="s">
        <v>872</v>
      </c>
    </row>
    <row r="770" spans="1:6" x14ac:dyDescent="0.2">
      <c r="A770" s="3" t="s">
        <v>1680</v>
      </c>
      <c r="B770" s="3">
        <v>1</v>
      </c>
      <c r="C770" s="3" t="s">
        <v>1681</v>
      </c>
    </row>
    <row r="771" spans="1:6" x14ac:dyDescent="0.2">
      <c r="A771" s="3" t="s">
        <v>1680</v>
      </c>
      <c r="B771" s="3">
        <f>+B770+1</f>
        <v>2</v>
      </c>
      <c r="C771" s="3" t="s">
        <v>1682</v>
      </c>
    </row>
    <row r="772" spans="1:6" x14ac:dyDescent="0.2">
      <c r="A772" s="3" t="s">
        <v>1680</v>
      </c>
      <c r="B772" s="3">
        <v>2</v>
      </c>
      <c r="C772" s="3" t="s">
        <v>1683</v>
      </c>
    </row>
    <row r="773" spans="1:6" x14ac:dyDescent="0.2">
      <c r="A773" s="3" t="s">
        <v>1680</v>
      </c>
      <c r="B773" s="3">
        <f>+B772+1</f>
        <v>3</v>
      </c>
      <c r="C773" s="3" t="s">
        <v>1684</v>
      </c>
    </row>
    <row r="775" spans="1:6" x14ac:dyDescent="0.2">
      <c r="A775" s="3" t="s">
        <v>1685</v>
      </c>
      <c r="B775" s="3">
        <v>1</v>
      </c>
      <c r="C775" t="s">
        <v>1686</v>
      </c>
    </row>
    <row r="776" spans="1:6" x14ac:dyDescent="0.2">
      <c r="A776" s="3" t="s">
        <v>1685</v>
      </c>
      <c r="B776" s="3">
        <v>2</v>
      </c>
      <c r="C776" s="3" t="s">
        <v>1687</v>
      </c>
    </row>
    <row r="777" spans="1:6" x14ac:dyDescent="0.2">
      <c r="A777" s="3" t="s">
        <v>1685</v>
      </c>
      <c r="B777" s="3">
        <v>3</v>
      </c>
      <c r="C777" s="3" t="s">
        <v>1688</v>
      </c>
    </row>
    <row r="778" spans="1:6" x14ac:dyDescent="0.2">
      <c r="A778" s="3" t="s">
        <v>1685</v>
      </c>
      <c r="B778" s="3">
        <v>4</v>
      </c>
      <c r="C778" s="3" t="s">
        <v>1689</v>
      </c>
    </row>
    <row r="779" spans="1:6" x14ac:dyDescent="0.2">
      <c r="A779" s="3" t="s">
        <v>1685</v>
      </c>
      <c r="B779" s="3">
        <v>5</v>
      </c>
      <c r="C779" s="3" t="s">
        <v>1690</v>
      </c>
    </row>
    <row r="781" spans="1:6" x14ac:dyDescent="0.2">
      <c r="A781" s="3" t="s">
        <v>1691</v>
      </c>
      <c r="B781" s="3">
        <v>1</v>
      </c>
      <c r="C781" s="3" t="s">
        <v>1692</v>
      </c>
      <c r="F781" s="225"/>
    </row>
    <row r="782" spans="1:6" x14ac:dyDescent="0.2">
      <c r="A782" s="3" t="s">
        <v>1691</v>
      </c>
      <c r="B782" s="3">
        <v>2</v>
      </c>
      <c r="C782" s="3" t="s">
        <v>1693</v>
      </c>
    </row>
    <row r="783" spans="1:6" x14ac:dyDescent="0.2">
      <c r="A783" s="3" t="s">
        <v>1691</v>
      </c>
      <c r="B783" s="3">
        <v>3</v>
      </c>
      <c r="C783" s="3" t="s">
        <v>1694</v>
      </c>
    </row>
    <row r="784" spans="1:6" x14ac:dyDescent="0.2">
      <c r="A784" s="3" t="s">
        <v>1691</v>
      </c>
      <c r="B784" s="3">
        <v>4</v>
      </c>
      <c r="C784" s="3" t="s">
        <v>1695</v>
      </c>
    </row>
    <row r="785" spans="1:4" x14ac:dyDescent="0.2">
      <c r="A785" s="3" t="s">
        <v>1691</v>
      </c>
      <c r="B785" s="3">
        <v>5</v>
      </c>
      <c r="C785" s="3" t="s">
        <v>1696</v>
      </c>
    </row>
    <row r="786" spans="1:4" x14ac:dyDescent="0.2">
      <c r="A786" s="3" t="s">
        <v>1691</v>
      </c>
      <c r="B786" s="3">
        <v>6</v>
      </c>
      <c r="C786" s="3" t="s">
        <v>1131</v>
      </c>
    </row>
    <row r="788" spans="1:4" x14ac:dyDescent="0.2">
      <c r="A788" s="3" t="s">
        <v>1697</v>
      </c>
      <c r="B788" s="3">
        <v>1</v>
      </c>
      <c r="C788" s="3" t="s">
        <v>1173</v>
      </c>
      <c r="D788" s="224"/>
    </row>
    <row r="789" spans="1:4" x14ac:dyDescent="0.2">
      <c r="A789" s="3" t="s">
        <v>1697</v>
      </c>
      <c r="B789" s="3">
        <v>2</v>
      </c>
      <c r="C789" s="3" t="s">
        <v>1698</v>
      </c>
    </row>
    <row r="790" spans="1:4" x14ac:dyDescent="0.2">
      <c r="A790" s="3" t="s">
        <v>1697</v>
      </c>
      <c r="B790" s="3">
        <v>3</v>
      </c>
      <c r="C790" s="3" t="s">
        <v>1699</v>
      </c>
    </row>
    <row r="791" spans="1:4" x14ac:dyDescent="0.2">
      <c r="A791" s="3" t="s">
        <v>1697</v>
      </c>
      <c r="B791" s="3">
        <v>4</v>
      </c>
      <c r="C791" s="3" t="s">
        <v>1700</v>
      </c>
    </row>
    <row r="792" spans="1:4" x14ac:dyDescent="0.2">
      <c r="A792" s="3" t="s">
        <v>1697</v>
      </c>
      <c r="B792" s="3">
        <v>5</v>
      </c>
      <c r="C792" s="3" t="s">
        <v>1701</v>
      </c>
    </row>
    <row r="793" spans="1:4" x14ac:dyDescent="0.2">
      <c r="A793" s="3" t="s">
        <v>1697</v>
      </c>
      <c r="B793" s="3">
        <v>6</v>
      </c>
      <c r="C793" s="3" t="s">
        <v>1702</v>
      </c>
    </row>
    <row r="794" spans="1:4" x14ac:dyDescent="0.2">
      <c r="A794" s="3" t="s">
        <v>1697</v>
      </c>
      <c r="B794" s="3">
        <v>7</v>
      </c>
      <c r="C794" s="3" t="s">
        <v>1703</v>
      </c>
    </row>
    <row r="795" spans="1:4" x14ac:dyDescent="0.2">
      <c r="A795" s="3" t="s">
        <v>1697</v>
      </c>
      <c r="B795" s="3">
        <v>8</v>
      </c>
      <c r="C795" s="3" t="s">
        <v>1704</v>
      </c>
    </row>
    <row r="796" spans="1:4" x14ac:dyDescent="0.2">
      <c r="A796" s="3" t="s">
        <v>1697</v>
      </c>
      <c r="B796" s="3">
        <v>9</v>
      </c>
      <c r="C796" s="3" t="s">
        <v>1705</v>
      </c>
    </row>
    <row r="797" spans="1:4" x14ac:dyDescent="0.2">
      <c r="A797" s="3" t="s">
        <v>1697</v>
      </c>
      <c r="B797" s="3">
        <v>10</v>
      </c>
      <c r="C797" s="3" t="s">
        <v>1706</v>
      </c>
    </row>
    <row r="799" spans="1:4" x14ac:dyDescent="0.2">
      <c r="A799" s="3" t="s">
        <v>1707</v>
      </c>
      <c r="B799" s="3">
        <v>1</v>
      </c>
      <c r="C799" s="3" t="s">
        <v>1708</v>
      </c>
      <c r="D799" s="224"/>
    </row>
    <row r="800" spans="1:4" x14ac:dyDescent="0.2">
      <c r="A800" s="3" t="s">
        <v>1707</v>
      </c>
      <c r="B800" s="3">
        <v>2</v>
      </c>
      <c r="C800" s="3" t="s">
        <v>1709</v>
      </c>
    </row>
    <row r="801" spans="1:3" x14ac:dyDescent="0.2">
      <c r="A801" s="3" t="s">
        <v>1707</v>
      </c>
      <c r="B801" s="3">
        <v>3</v>
      </c>
      <c r="C801" s="3" t="s">
        <v>1710</v>
      </c>
    </row>
    <row r="803" spans="1:3" x14ac:dyDescent="0.2">
      <c r="A803" t="s">
        <v>1711</v>
      </c>
      <c r="B803" t="s">
        <v>1712</v>
      </c>
      <c r="C803" t="s">
        <v>1713</v>
      </c>
    </row>
    <row r="804" spans="1:3" x14ac:dyDescent="0.2">
      <c r="A804" t="s">
        <v>1711</v>
      </c>
      <c r="B804" t="s">
        <v>1714</v>
      </c>
      <c r="C804" t="s">
        <v>1715</v>
      </c>
    </row>
    <row r="805" spans="1:3" x14ac:dyDescent="0.2">
      <c r="A805" t="s">
        <v>1711</v>
      </c>
      <c r="B805" t="s">
        <v>1716</v>
      </c>
      <c r="C805" t="s">
        <v>1717</v>
      </c>
    </row>
    <row r="806" spans="1:3" x14ac:dyDescent="0.2">
      <c r="A806" t="s">
        <v>1711</v>
      </c>
      <c r="B806" t="s">
        <v>1718</v>
      </c>
      <c r="C806" t="s">
        <v>1719</v>
      </c>
    </row>
    <row r="807" spans="1:3" x14ac:dyDescent="0.2">
      <c r="A807" t="s">
        <v>1711</v>
      </c>
      <c r="B807" t="s">
        <v>1720</v>
      </c>
      <c r="C807" t="s">
        <v>1721</v>
      </c>
    </row>
    <row r="808" spans="1:3" x14ac:dyDescent="0.2">
      <c r="A808" t="s">
        <v>1711</v>
      </c>
      <c r="B808" t="s">
        <v>1722</v>
      </c>
      <c r="C808" t="s">
        <v>1723</v>
      </c>
    </row>
    <row r="809" spans="1:3" x14ac:dyDescent="0.2">
      <c r="A809" t="s">
        <v>1711</v>
      </c>
      <c r="B809" t="s">
        <v>1724</v>
      </c>
      <c r="C809" t="s">
        <v>1725</v>
      </c>
    </row>
    <row r="810" spans="1:3" x14ac:dyDescent="0.2">
      <c r="A810" t="s">
        <v>1711</v>
      </c>
      <c r="B810" t="s">
        <v>1726</v>
      </c>
      <c r="C810" t="s">
        <v>1727</v>
      </c>
    </row>
    <row r="811" spans="1:3" x14ac:dyDescent="0.2">
      <c r="A811" t="s">
        <v>1711</v>
      </c>
      <c r="B811" t="s">
        <v>1728</v>
      </c>
      <c r="C811" t="s">
        <v>1729</v>
      </c>
    </row>
    <row r="812" spans="1:3" x14ac:dyDescent="0.2">
      <c r="A812" t="s">
        <v>1711</v>
      </c>
      <c r="B812" t="s">
        <v>1730</v>
      </c>
      <c r="C812" t="s">
        <v>1731</v>
      </c>
    </row>
    <row r="813" spans="1:3" x14ac:dyDescent="0.2">
      <c r="A813" t="s">
        <v>1711</v>
      </c>
      <c r="B813" t="s">
        <v>1732</v>
      </c>
      <c r="C813" t="s">
        <v>1733</v>
      </c>
    </row>
    <row r="814" spans="1:3" x14ac:dyDescent="0.2">
      <c r="A814" t="s">
        <v>1711</v>
      </c>
      <c r="B814" t="s">
        <v>1734</v>
      </c>
      <c r="C814" t="s">
        <v>1735</v>
      </c>
    </row>
    <row r="815" spans="1:3" x14ac:dyDescent="0.2">
      <c r="A815" t="s">
        <v>1711</v>
      </c>
      <c r="B815" t="s">
        <v>1736</v>
      </c>
      <c r="C815" t="s">
        <v>1737</v>
      </c>
    </row>
    <row r="816" spans="1:3" x14ac:dyDescent="0.2">
      <c r="A816" t="s">
        <v>1711</v>
      </c>
      <c r="B816" t="s">
        <v>1738</v>
      </c>
      <c r="C816" t="s">
        <v>1739</v>
      </c>
    </row>
    <row r="817" spans="1:3" x14ac:dyDescent="0.2">
      <c r="A817" t="s">
        <v>1711</v>
      </c>
      <c r="B817" t="s">
        <v>1740</v>
      </c>
      <c r="C817" t="s">
        <v>1741</v>
      </c>
    </row>
    <row r="818" spans="1:3" x14ac:dyDescent="0.2">
      <c r="A818" t="s">
        <v>1711</v>
      </c>
      <c r="B818" t="s">
        <v>1742</v>
      </c>
      <c r="C818" t="s">
        <v>1743</v>
      </c>
    </row>
    <row r="819" spans="1:3" x14ac:dyDescent="0.2">
      <c r="A819" t="s">
        <v>1711</v>
      </c>
      <c r="B819" t="s">
        <v>1744</v>
      </c>
      <c r="C819" t="s">
        <v>1745</v>
      </c>
    </row>
    <row r="820" spans="1:3" x14ac:dyDescent="0.2">
      <c r="A820" t="s">
        <v>1711</v>
      </c>
      <c r="B820" t="s">
        <v>1746</v>
      </c>
      <c r="C820" t="s">
        <v>1747</v>
      </c>
    </row>
    <row r="821" spans="1:3" x14ac:dyDescent="0.2">
      <c r="A821" t="s">
        <v>1711</v>
      </c>
      <c r="B821" t="s">
        <v>1748</v>
      </c>
      <c r="C821" t="s">
        <v>1749</v>
      </c>
    </row>
    <row r="822" spans="1:3" x14ac:dyDescent="0.2">
      <c r="A822" t="s">
        <v>1711</v>
      </c>
      <c r="B822" t="s">
        <v>1750</v>
      </c>
      <c r="C822" t="s">
        <v>1751</v>
      </c>
    </row>
    <row r="823" spans="1:3" x14ac:dyDescent="0.2">
      <c r="A823" t="s">
        <v>1711</v>
      </c>
      <c r="B823" t="s">
        <v>1752</v>
      </c>
      <c r="C823" t="s">
        <v>1753</v>
      </c>
    </row>
    <row r="824" spans="1:3" x14ac:dyDescent="0.2">
      <c r="A824" t="s">
        <v>1711</v>
      </c>
      <c r="B824" t="s">
        <v>1754</v>
      </c>
      <c r="C824" t="s">
        <v>1755</v>
      </c>
    </row>
    <row r="825" spans="1:3" x14ac:dyDescent="0.2">
      <c r="A825" t="s">
        <v>1711</v>
      </c>
      <c r="B825" t="s">
        <v>1756</v>
      </c>
      <c r="C825" t="s">
        <v>1757</v>
      </c>
    </row>
    <row r="826" spans="1:3" x14ac:dyDescent="0.2">
      <c r="A826" t="s">
        <v>1711</v>
      </c>
      <c r="B826" t="s">
        <v>1758</v>
      </c>
      <c r="C826" t="s">
        <v>1759</v>
      </c>
    </row>
    <row r="827" spans="1:3" x14ac:dyDescent="0.2">
      <c r="A827" t="s">
        <v>1711</v>
      </c>
      <c r="B827" t="s">
        <v>1760</v>
      </c>
      <c r="C827" t="s">
        <v>1761</v>
      </c>
    </row>
    <row r="828" spans="1:3" x14ac:dyDescent="0.2">
      <c r="A828" t="s">
        <v>1711</v>
      </c>
      <c r="B828" t="s">
        <v>1762</v>
      </c>
      <c r="C828" t="s">
        <v>1763</v>
      </c>
    </row>
    <row r="829" spans="1:3" x14ac:dyDescent="0.2">
      <c r="A829" t="s">
        <v>1711</v>
      </c>
      <c r="B829" t="s">
        <v>1764</v>
      </c>
      <c r="C829" t="s">
        <v>1765</v>
      </c>
    </row>
    <row r="830" spans="1:3" x14ac:dyDescent="0.2">
      <c r="A830" t="s">
        <v>1711</v>
      </c>
      <c r="B830" t="s">
        <v>1766</v>
      </c>
      <c r="C830" t="s">
        <v>1767</v>
      </c>
    </row>
    <row r="831" spans="1:3" x14ac:dyDescent="0.2">
      <c r="A831" t="s">
        <v>1711</v>
      </c>
      <c r="B831" t="s">
        <v>1768</v>
      </c>
      <c r="C831" t="s">
        <v>1769</v>
      </c>
    </row>
    <row r="832" spans="1:3" x14ac:dyDescent="0.2">
      <c r="A832" t="s">
        <v>1711</v>
      </c>
      <c r="B832" t="s">
        <v>1770</v>
      </c>
      <c r="C832" t="s">
        <v>1771</v>
      </c>
    </row>
    <row r="833" spans="1:3" x14ac:dyDescent="0.2">
      <c r="A833" t="s">
        <v>1711</v>
      </c>
      <c r="B833" t="s">
        <v>1772</v>
      </c>
      <c r="C833" t="s">
        <v>1773</v>
      </c>
    </row>
    <row r="834" spans="1:3" x14ac:dyDescent="0.2">
      <c r="A834" t="s">
        <v>1711</v>
      </c>
      <c r="B834" t="s">
        <v>1774</v>
      </c>
      <c r="C834" t="s">
        <v>1775</v>
      </c>
    </row>
    <row r="835" spans="1:3" x14ac:dyDescent="0.2">
      <c r="A835" t="s">
        <v>1711</v>
      </c>
      <c r="B835" t="s">
        <v>1776</v>
      </c>
      <c r="C835" t="s">
        <v>1777</v>
      </c>
    </row>
    <row r="836" spans="1:3" x14ac:dyDescent="0.2">
      <c r="A836" t="s">
        <v>1711</v>
      </c>
      <c r="B836" t="s">
        <v>1778</v>
      </c>
      <c r="C836" t="s">
        <v>1779</v>
      </c>
    </row>
    <row r="837" spans="1:3" x14ac:dyDescent="0.2">
      <c r="A837" t="s">
        <v>1711</v>
      </c>
      <c r="B837" t="s">
        <v>1780</v>
      </c>
      <c r="C837" t="s">
        <v>1781</v>
      </c>
    </row>
    <row r="838" spans="1:3" x14ac:dyDescent="0.2">
      <c r="A838" t="s">
        <v>1711</v>
      </c>
      <c r="B838" t="s">
        <v>1782</v>
      </c>
      <c r="C838" t="s">
        <v>1783</v>
      </c>
    </row>
    <row r="839" spans="1:3" x14ac:dyDescent="0.2">
      <c r="A839" t="s">
        <v>1711</v>
      </c>
      <c r="B839" t="s">
        <v>1784</v>
      </c>
      <c r="C839" t="s">
        <v>1785</v>
      </c>
    </row>
    <row r="840" spans="1:3" x14ac:dyDescent="0.2">
      <c r="A840" t="s">
        <v>1711</v>
      </c>
      <c r="B840" t="s">
        <v>1786</v>
      </c>
      <c r="C840" t="s">
        <v>1787</v>
      </c>
    </row>
    <row r="841" spans="1:3" x14ac:dyDescent="0.2">
      <c r="A841" t="s">
        <v>1711</v>
      </c>
      <c r="B841" t="s">
        <v>1788</v>
      </c>
      <c r="C841" t="s">
        <v>1789</v>
      </c>
    </row>
    <row r="842" spans="1:3" x14ac:dyDescent="0.2">
      <c r="A842" t="s">
        <v>1711</v>
      </c>
      <c r="B842" t="s">
        <v>1790</v>
      </c>
      <c r="C842" t="s">
        <v>1791</v>
      </c>
    </row>
    <row r="843" spans="1:3" x14ac:dyDescent="0.2">
      <c r="A843" t="s">
        <v>1711</v>
      </c>
      <c r="B843" t="s">
        <v>1792</v>
      </c>
      <c r="C843" t="s">
        <v>1793</v>
      </c>
    </row>
    <row r="844" spans="1:3" x14ac:dyDescent="0.2">
      <c r="A844" t="s">
        <v>1711</v>
      </c>
      <c r="B844" t="s">
        <v>1794</v>
      </c>
      <c r="C844" t="s">
        <v>1795</v>
      </c>
    </row>
    <row r="845" spans="1:3" x14ac:dyDescent="0.2">
      <c r="A845" t="s">
        <v>1711</v>
      </c>
      <c r="B845" t="s">
        <v>1796</v>
      </c>
      <c r="C845" t="s">
        <v>1797</v>
      </c>
    </row>
    <row r="846" spans="1:3" x14ac:dyDescent="0.2">
      <c r="A846" t="s">
        <v>1711</v>
      </c>
      <c r="B846" t="s">
        <v>1798</v>
      </c>
      <c r="C846" t="s">
        <v>1799</v>
      </c>
    </row>
    <row r="847" spans="1:3" x14ac:dyDescent="0.2">
      <c r="A847" t="s">
        <v>1711</v>
      </c>
      <c r="B847" t="s">
        <v>1800</v>
      </c>
      <c r="C847" t="s">
        <v>1801</v>
      </c>
    </row>
    <row r="848" spans="1:3" x14ac:dyDescent="0.2">
      <c r="A848" t="s">
        <v>1711</v>
      </c>
      <c r="B848" t="s">
        <v>1802</v>
      </c>
      <c r="C848" t="s">
        <v>1803</v>
      </c>
    </row>
    <row r="849" spans="1:3" x14ac:dyDescent="0.2">
      <c r="A849" t="s">
        <v>1711</v>
      </c>
      <c r="B849" t="s">
        <v>1804</v>
      </c>
      <c r="C849" t="s">
        <v>1805</v>
      </c>
    </row>
    <row r="850" spans="1:3" x14ac:dyDescent="0.2">
      <c r="A850" t="s">
        <v>1711</v>
      </c>
      <c r="B850" t="s">
        <v>1806</v>
      </c>
      <c r="C850" t="s">
        <v>1807</v>
      </c>
    </row>
    <row r="851" spans="1:3" s="194" customFormat="1" x14ac:dyDescent="0.2">
      <c r="A851" s="272" t="s">
        <v>1711</v>
      </c>
      <c r="B851" s="273">
        <v>5.7009999999999996</v>
      </c>
      <c r="C851" s="272" t="s">
        <v>1808</v>
      </c>
    </row>
    <row r="852" spans="1:3" x14ac:dyDescent="0.2">
      <c r="A852" t="s">
        <v>1711</v>
      </c>
      <c r="B852" t="s">
        <v>1809</v>
      </c>
      <c r="C852" t="s">
        <v>1810</v>
      </c>
    </row>
    <row r="853" spans="1:3" x14ac:dyDescent="0.2">
      <c r="A853" t="s">
        <v>1711</v>
      </c>
      <c r="B853" t="s">
        <v>1811</v>
      </c>
      <c r="C853" t="s">
        <v>1812</v>
      </c>
    </row>
    <row r="854" spans="1:3" x14ac:dyDescent="0.2">
      <c r="A854" t="s">
        <v>1711</v>
      </c>
      <c r="B854" t="s">
        <v>1813</v>
      </c>
      <c r="C854" t="s">
        <v>1814</v>
      </c>
    </row>
    <row r="855" spans="1:3" x14ac:dyDescent="0.2">
      <c r="A855" t="s">
        <v>1711</v>
      </c>
      <c r="B855" t="s">
        <v>1815</v>
      </c>
      <c r="C855" t="s">
        <v>1816</v>
      </c>
    </row>
    <row r="856" spans="1:3" x14ac:dyDescent="0.2">
      <c r="A856" t="s">
        <v>1711</v>
      </c>
      <c r="B856" t="s">
        <v>1817</v>
      </c>
      <c r="C856" t="s">
        <v>1818</v>
      </c>
    </row>
    <row r="857" spans="1:3" x14ac:dyDescent="0.2">
      <c r="A857" t="s">
        <v>1711</v>
      </c>
      <c r="B857" t="s">
        <v>1819</v>
      </c>
      <c r="C857" t="s">
        <v>1820</v>
      </c>
    </row>
    <row r="858" spans="1:3" x14ac:dyDescent="0.2">
      <c r="A858" t="s">
        <v>1711</v>
      </c>
      <c r="B858" t="s">
        <v>1821</v>
      </c>
      <c r="C858" t="s">
        <v>1822</v>
      </c>
    </row>
    <row r="859" spans="1:3" x14ac:dyDescent="0.2">
      <c r="A859" t="s">
        <v>1711</v>
      </c>
      <c r="B859" s="267">
        <v>7.101</v>
      </c>
      <c r="C859" t="s">
        <v>1823</v>
      </c>
    </row>
    <row r="860" spans="1:3" x14ac:dyDescent="0.2">
      <c r="A860" t="s">
        <v>1711</v>
      </c>
      <c r="B860" t="s">
        <v>1824</v>
      </c>
      <c r="C860" t="s">
        <v>1825</v>
      </c>
    </row>
    <row r="861" spans="1:3" x14ac:dyDescent="0.2">
      <c r="A861" t="s">
        <v>1711</v>
      </c>
      <c r="B861" t="s">
        <v>1826</v>
      </c>
      <c r="C861" t="s">
        <v>1827</v>
      </c>
    </row>
    <row r="862" spans="1:3" x14ac:dyDescent="0.2">
      <c r="A862" t="s">
        <v>1711</v>
      </c>
      <c r="B862" t="s">
        <v>1828</v>
      </c>
      <c r="C862" t="s">
        <v>1829</v>
      </c>
    </row>
    <row r="863" spans="1:3" x14ac:dyDescent="0.2">
      <c r="A863" t="s">
        <v>1711</v>
      </c>
      <c r="B863" t="s">
        <v>1830</v>
      </c>
      <c r="C863" t="s">
        <v>1831</v>
      </c>
    </row>
    <row r="864" spans="1:3" x14ac:dyDescent="0.2">
      <c r="A864" t="s">
        <v>1711</v>
      </c>
      <c r="B864" t="s">
        <v>1832</v>
      </c>
      <c r="C864" t="s">
        <v>1833</v>
      </c>
    </row>
    <row r="865" spans="1:3" x14ac:dyDescent="0.2">
      <c r="A865" t="s">
        <v>1711</v>
      </c>
      <c r="B865" t="s">
        <v>1834</v>
      </c>
      <c r="C865" t="s">
        <v>1835</v>
      </c>
    </row>
    <row r="866" spans="1:3" x14ac:dyDescent="0.2">
      <c r="A866" t="s">
        <v>1711</v>
      </c>
      <c r="B866" t="s">
        <v>1836</v>
      </c>
      <c r="C866" t="s">
        <v>1837</v>
      </c>
    </row>
    <row r="867" spans="1:3" x14ac:dyDescent="0.2">
      <c r="A867" t="s">
        <v>1711</v>
      </c>
      <c r="B867" t="s">
        <v>1838</v>
      </c>
      <c r="C867" t="s">
        <v>1839</v>
      </c>
    </row>
    <row r="868" spans="1:3" x14ac:dyDescent="0.2">
      <c r="A868" t="s">
        <v>1711</v>
      </c>
      <c r="B868" t="s">
        <v>1840</v>
      </c>
      <c r="C868" t="s">
        <v>1841</v>
      </c>
    </row>
    <row r="869" spans="1:3" x14ac:dyDescent="0.2">
      <c r="A869" t="s">
        <v>1711</v>
      </c>
      <c r="B869" t="s">
        <v>1842</v>
      </c>
      <c r="C869" t="s">
        <v>1843</v>
      </c>
    </row>
    <row r="870" spans="1:3" x14ac:dyDescent="0.2">
      <c r="A870" t="s">
        <v>1711</v>
      </c>
      <c r="B870" t="s">
        <v>1844</v>
      </c>
      <c r="C870" t="s">
        <v>1845</v>
      </c>
    </row>
    <row r="871" spans="1:3" x14ac:dyDescent="0.2">
      <c r="A871" t="s">
        <v>1711</v>
      </c>
      <c r="B871" t="s">
        <v>1846</v>
      </c>
      <c r="C871" t="s">
        <v>1847</v>
      </c>
    </row>
    <row r="872" spans="1:3" x14ac:dyDescent="0.2">
      <c r="A872" t="s">
        <v>1711</v>
      </c>
      <c r="B872" t="s">
        <v>1848</v>
      </c>
      <c r="C872" t="s">
        <v>1849</v>
      </c>
    </row>
    <row r="873" spans="1:3" x14ac:dyDescent="0.2">
      <c r="A873" t="s">
        <v>1711</v>
      </c>
      <c r="B873" t="s">
        <v>1850</v>
      </c>
      <c r="C873" t="s">
        <v>1851</v>
      </c>
    </row>
    <row r="874" spans="1:3" x14ac:dyDescent="0.2">
      <c r="A874" t="s">
        <v>1711</v>
      </c>
      <c r="B874" t="s">
        <v>1852</v>
      </c>
      <c r="C874" t="s">
        <v>1853</v>
      </c>
    </row>
    <row r="875" spans="1:3" x14ac:dyDescent="0.2">
      <c r="A875" t="s">
        <v>1711</v>
      </c>
      <c r="B875" t="s">
        <v>1854</v>
      </c>
      <c r="C875" t="s">
        <v>1855</v>
      </c>
    </row>
    <row r="876" spans="1:3" x14ac:dyDescent="0.2">
      <c r="A876" t="s">
        <v>1711</v>
      </c>
      <c r="B876" t="s">
        <v>1856</v>
      </c>
      <c r="C876" t="s">
        <v>1857</v>
      </c>
    </row>
    <row r="877" spans="1:3" x14ac:dyDescent="0.2">
      <c r="A877" t="s">
        <v>1711</v>
      </c>
      <c r="B877" t="s">
        <v>1858</v>
      </c>
      <c r="C877" t="s">
        <v>1859</v>
      </c>
    </row>
    <row r="878" spans="1:3" x14ac:dyDescent="0.2">
      <c r="A878" t="s">
        <v>1711</v>
      </c>
      <c r="B878" t="s">
        <v>1860</v>
      </c>
      <c r="C878" t="s">
        <v>1861</v>
      </c>
    </row>
    <row r="879" spans="1:3" x14ac:dyDescent="0.2">
      <c r="A879" t="s">
        <v>1711</v>
      </c>
      <c r="B879" t="s">
        <v>1862</v>
      </c>
      <c r="C879" t="s">
        <v>1863</v>
      </c>
    </row>
    <row r="880" spans="1:3" x14ac:dyDescent="0.2">
      <c r="A880" t="s">
        <v>1711</v>
      </c>
      <c r="B880" t="s">
        <v>1864</v>
      </c>
      <c r="C880" t="s">
        <v>1865</v>
      </c>
    </row>
    <row r="881" spans="1:3" x14ac:dyDescent="0.2">
      <c r="A881" t="s">
        <v>1711</v>
      </c>
      <c r="B881" t="s">
        <v>1866</v>
      </c>
      <c r="C881" t="s">
        <v>1867</v>
      </c>
    </row>
    <row r="882" spans="1:3" x14ac:dyDescent="0.2">
      <c r="A882" t="s">
        <v>1711</v>
      </c>
      <c r="B882" t="s">
        <v>1868</v>
      </c>
      <c r="C882" t="s">
        <v>1869</v>
      </c>
    </row>
    <row r="883" spans="1:3" x14ac:dyDescent="0.2">
      <c r="A883" t="s">
        <v>1711</v>
      </c>
      <c r="B883" t="s">
        <v>1870</v>
      </c>
      <c r="C883" t="s">
        <v>1871</v>
      </c>
    </row>
    <row r="884" spans="1:3" x14ac:dyDescent="0.2">
      <c r="A884" t="s">
        <v>1711</v>
      </c>
      <c r="B884" t="s">
        <v>1872</v>
      </c>
      <c r="C884" t="s">
        <v>1873</v>
      </c>
    </row>
    <row r="885" spans="1:3" x14ac:dyDescent="0.2">
      <c r="A885" t="s">
        <v>1711</v>
      </c>
      <c r="B885" t="s">
        <v>1874</v>
      </c>
      <c r="C885" t="s">
        <v>1875</v>
      </c>
    </row>
    <row r="886" spans="1:3" x14ac:dyDescent="0.2">
      <c r="A886" t="s">
        <v>1711</v>
      </c>
      <c r="B886" t="s">
        <v>1876</v>
      </c>
      <c r="C886" t="s">
        <v>1877</v>
      </c>
    </row>
    <row r="887" spans="1:3" x14ac:dyDescent="0.2">
      <c r="A887" t="s">
        <v>1711</v>
      </c>
      <c r="B887" t="s">
        <v>1878</v>
      </c>
      <c r="C887" t="s">
        <v>1879</v>
      </c>
    </row>
    <row r="888" spans="1:3" x14ac:dyDescent="0.2">
      <c r="A888" t="s">
        <v>1711</v>
      </c>
      <c r="B888" t="s">
        <v>1880</v>
      </c>
      <c r="C888" t="s">
        <v>1881</v>
      </c>
    </row>
    <row r="889" spans="1:3" x14ac:dyDescent="0.2">
      <c r="A889" t="s">
        <v>1711</v>
      </c>
      <c r="B889" t="s">
        <v>1882</v>
      </c>
      <c r="C889" t="s">
        <v>1883</v>
      </c>
    </row>
    <row r="890" spans="1:3" x14ac:dyDescent="0.2">
      <c r="A890" t="s">
        <v>1711</v>
      </c>
      <c r="B890" t="s">
        <v>1884</v>
      </c>
      <c r="C890" t="s">
        <v>1885</v>
      </c>
    </row>
    <row r="891" spans="1:3" x14ac:dyDescent="0.2">
      <c r="A891" t="s">
        <v>1711</v>
      </c>
      <c r="B891" t="s">
        <v>1886</v>
      </c>
      <c r="C891" t="s">
        <v>1887</v>
      </c>
    </row>
    <row r="892" spans="1:3" x14ac:dyDescent="0.2">
      <c r="A892" t="s">
        <v>1711</v>
      </c>
      <c r="B892" t="s">
        <v>1888</v>
      </c>
      <c r="C892" t="s">
        <v>1889</v>
      </c>
    </row>
    <row r="893" spans="1:3" x14ac:dyDescent="0.2">
      <c r="A893" t="s">
        <v>1711</v>
      </c>
      <c r="B893" t="s">
        <v>1890</v>
      </c>
      <c r="C893" t="s">
        <v>1891</v>
      </c>
    </row>
    <row r="894" spans="1:3" x14ac:dyDescent="0.2">
      <c r="A894" t="s">
        <v>1711</v>
      </c>
      <c r="B894" t="s">
        <v>1892</v>
      </c>
      <c r="C894" t="s">
        <v>1893</v>
      </c>
    </row>
    <row r="895" spans="1:3" x14ac:dyDescent="0.2">
      <c r="A895" t="s">
        <v>1711</v>
      </c>
      <c r="B895" t="s">
        <v>1894</v>
      </c>
      <c r="C895" t="s">
        <v>1637</v>
      </c>
    </row>
    <row r="896" spans="1:3" x14ac:dyDescent="0.2">
      <c r="A896" t="s">
        <v>1711</v>
      </c>
      <c r="B896" t="s">
        <v>1895</v>
      </c>
      <c r="C896" t="s">
        <v>1896</v>
      </c>
    </row>
    <row r="898" spans="1:3" x14ac:dyDescent="0.2">
      <c r="A898" t="s">
        <v>1897</v>
      </c>
      <c r="B898" t="s">
        <v>1712</v>
      </c>
      <c r="C898" t="s">
        <v>1713</v>
      </c>
    </row>
    <row r="899" spans="1:3" x14ac:dyDescent="0.2">
      <c r="A899" t="s">
        <v>1897</v>
      </c>
      <c r="B899" t="s">
        <v>1714</v>
      </c>
      <c r="C899" t="s">
        <v>1715</v>
      </c>
    </row>
    <row r="900" spans="1:3" x14ac:dyDescent="0.2">
      <c r="A900" t="s">
        <v>1897</v>
      </c>
      <c r="B900" t="s">
        <v>1716</v>
      </c>
      <c r="C900" t="s">
        <v>1717</v>
      </c>
    </row>
    <row r="901" spans="1:3" x14ac:dyDescent="0.2">
      <c r="A901" t="s">
        <v>1897</v>
      </c>
      <c r="B901" t="s">
        <v>1718</v>
      </c>
      <c r="C901" t="s">
        <v>1719</v>
      </c>
    </row>
    <row r="902" spans="1:3" x14ac:dyDescent="0.2">
      <c r="A902" t="s">
        <v>1897</v>
      </c>
      <c r="B902" t="s">
        <v>1720</v>
      </c>
      <c r="C902" t="s">
        <v>1721</v>
      </c>
    </row>
    <row r="903" spans="1:3" x14ac:dyDescent="0.2">
      <c r="A903" t="s">
        <v>1897</v>
      </c>
      <c r="B903" t="s">
        <v>1722</v>
      </c>
      <c r="C903" t="s">
        <v>1723</v>
      </c>
    </row>
    <row r="904" spans="1:3" x14ac:dyDescent="0.2">
      <c r="A904" t="s">
        <v>1897</v>
      </c>
      <c r="B904" t="s">
        <v>1724</v>
      </c>
      <c r="C904" t="s">
        <v>1725</v>
      </c>
    </row>
    <row r="905" spans="1:3" x14ac:dyDescent="0.2">
      <c r="A905" t="s">
        <v>1897</v>
      </c>
      <c r="B905" t="s">
        <v>1726</v>
      </c>
      <c r="C905" t="s">
        <v>1727</v>
      </c>
    </row>
    <row r="906" spans="1:3" x14ac:dyDescent="0.2">
      <c r="A906" t="s">
        <v>1897</v>
      </c>
      <c r="B906" t="s">
        <v>1728</v>
      </c>
      <c r="C906" t="s">
        <v>1729</v>
      </c>
    </row>
    <row r="907" spans="1:3" x14ac:dyDescent="0.2">
      <c r="A907" t="s">
        <v>1897</v>
      </c>
      <c r="B907" t="s">
        <v>1730</v>
      </c>
      <c r="C907" t="s">
        <v>1731</v>
      </c>
    </row>
    <row r="908" spans="1:3" x14ac:dyDescent="0.2">
      <c r="A908" t="s">
        <v>1897</v>
      </c>
      <c r="B908" t="s">
        <v>1732</v>
      </c>
      <c r="C908" t="s">
        <v>1733</v>
      </c>
    </row>
    <row r="909" spans="1:3" x14ac:dyDescent="0.2">
      <c r="A909" t="s">
        <v>1897</v>
      </c>
      <c r="B909" t="s">
        <v>1734</v>
      </c>
      <c r="C909" t="s">
        <v>1735</v>
      </c>
    </row>
    <row r="910" spans="1:3" x14ac:dyDescent="0.2">
      <c r="A910" t="s">
        <v>1897</v>
      </c>
      <c r="B910" t="s">
        <v>1736</v>
      </c>
      <c r="C910" t="s">
        <v>1737</v>
      </c>
    </row>
    <row r="911" spans="1:3" x14ac:dyDescent="0.2">
      <c r="A911" t="s">
        <v>1897</v>
      </c>
      <c r="B911" t="s">
        <v>1738</v>
      </c>
      <c r="C911" t="s">
        <v>1739</v>
      </c>
    </row>
    <row r="912" spans="1:3" x14ac:dyDescent="0.2">
      <c r="A912" t="s">
        <v>1897</v>
      </c>
      <c r="B912" t="s">
        <v>1740</v>
      </c>
      <c r="C912" t="s">
        <v>1741</v>
      </c>
    </row>
    <row r="913" spans="1:3" x14ac:dyDescent="0.2">
      <c r="A913" t="s">
        <v>1897</v>
      </c>
      <c r="B913" t="s">
        <v>1742</v>
      </c>
      <c r="C913" t="s">
        <v>1743</v>
      </c>
    </row>
    <row r="914" spans="1:3" x14ac:dyDescent="0.2">
      <c r="A914" t="s">
        <v>1897</v>
      </c>
      <c r="B914" t="s">
        <v>1744</v>
      </c>
      <c r="C914" t="s">
        <v>1745</v>
      </c>
    </row>
    <row r="915" spans="1:3" x14ac:dyDescent="0.2">
      <c r="A915" t="s">
        <v>1897</v>
      </c>
      <c r="B915" t="s">
        <v>1746</v>
      </c>
      <c r="C915" t="s">
        <v>1747</v>
      </c>
    </row>
    <row r="916" spans="1:3" x14ac:dyDescent="0.2">
      <c r="A916" t="s">
        <v>1897</v>
      </c>
      <c r="B916" t="s">
        <v>1748</v>
      </c>
      <c r="C916" t="s">
        <v>1749</v>
      </c>
    </row>
    <row r="917" spans="1:3" x14ac:dyDescent="0.2">
      <c r="A917" t="s">
        <v>1897</v>
      </c>
      <c r="B917" t="s">
        <v>1750</v>
      </c>
      <c r="C917" t="s">
        <v>1751</v>
      </c>
    </row>
    <row r="918" spans="1:3" x14ac:dyDescent="0.2">
      <c r="A918" t="s">
        <v>1897</v>
      </c>
      <c r="B918" t="s">
        <v>1752</v>
      </c>
      <c r="C918" t="s">
        <v>1753</v>
      </c>
    </row>
    <row r="919" spans="1:3" x14ac:dyDescent="0.2">
      <c r="A919" t="s">
        <v>1897</v>
      </c>
      <c r="B919" t="s">
        <v>1754</v>
      </c>
      <c r="C919" t="s">
        <v>1755</v>
      </c>
    </row>
    <row r="920" spans="1:3" x14ac:dyDescent="0.2">
      <c r="A920" t="s">
        <v>1897</v>
      </c>
      <c r="B920" t="s">
        <v>1756</v>
      </c>
      <c r="C920" t="s">
        <v>1757</v>
      </c>
    </row>
    <row r="921" spans="1:3" x14ac:dyDescent="0.2">
      <c r="A921" t="s">
        <v>1897</v>
      </c>
      <c r="B921" t="s">
        <v>1758</v>
      </c>
      <c r="C921" t="s">
        <v>1759</v>
      </c>
    </row>
    <row r="922" spans="1:3" x14ac:dyDescent="0.2">
      <c r="A922" t="s">
        <v>1897</v>
      </c>
      <c r="B922" t="s">
        <v>1760</v>
      </c>
      <c r="C922" t="s">
        <v>1761</v>
      </c>
    </row>
    <row r="923" spans="1:3" x14ac:dyDescent="0.2">
      <c r="A923" t="s">
        <v>1897</v>
      </c>
      <c r="B923" t="s">
        <v>1762</v>
      </c>
      <c r="C923" t="s">
        <v>1763</v>
      </c>
    </row>
    <row r="924" spans="1:3" x14ac:dyDescent="0.2">
      <c r="A924" t="s">
        <v>1897</v>
      </c>
      <c r="B924" t="s">
        <v>1764</v>
      </c>
      <c r="C924" t="s">
        <v>1765</v>
      </c>
    </row>
    <row r="925" spans="1:3" x14ac:dyDescent="0.2">
      <c r="A925" t="s">
        <v>1897</v>
      </c>
      <c r="B925" t="s">
        <v>1766</v>
      </c>
      <c r="C925" t="s">
        <v>1767</v>
      </c>
    </row>
    <row r="926" spans="1:3" x14ac:dyDescent="0.2">
      <c r="A926" t="s">
        <v>1897</v>
      </c>
      <c r="B926" t="s">
        <v>1768</v>
      </c>
      <c r="C926" t="s">
        <v>1769</v>
      </c>
    </row>
    <row r="927" spans="1:3" x14ac:dyDescent="0.2">
      <c r="A927" t="s">
        <v>1897</v>
      </c>
      <c r="B927" t="s">
        <v>1770</v>
      </c>
      <c r="C927" t="s">
        <v>1771</v>
      </c>
    </row>
    <row r="928" spans="1:3" x14ac:dyDescent="0.2">
      <c r="A928" t="s">
        <v>1897</v>
      </c>
      <c r="B928" t="s">
        <v>1772</v>
      </c>
      <c r="C928" t="s">
        <v>1773</v>
      </c>
    </row>
    <row r="929" spans="1:3" x14ac:dyDescent="0.2">
      <c r="A929" t="s">
        <v>1897</v>
      </c>
      <c r="B929" t="s">
        <v>1774</v>
      </c>
      <c r="C929" t="s">
        <v>1775</v>
      </c>
    </row>
    <row r="930" spans="1:3" x14ac:dyDescent="0.2">
      <c r="A930" t="s">
        <v>1897</v>
      </c>
      <c r="B930" t="s">
        <v>1776</v>
      </c>
      <c r="C930" t="s">
        <v>1777</v>
      </c>
    </row>
    <row r="931" spans="1:3" x14ac:dyDescent="0.2">
      <c r="A931" t="s">
        <v>1897</v>
      </c>
      <c r="B931" t="s">
        <v>1778</v>
      </c>
      <c r="C931" t="s">
        <v>1779</v>
      </c>
    </row>
    <row r="932" spans="1:3" x14ac:dyDescent="0.2">
      <c r="A932" t="s">
        <v>1897</v>
      </c>
      <c r="B932" t="s">
        <v>1780</v>
      </c>
      <c r="C932" t="s">
        <v>1781</v>
      </c>
    </row>
    <row r="933" spans="1:3" x14ac:dyDescent="0.2">
      <c r="A933" t="s">
        <v>1897</v>
      </c>
      <c r="B933" t="s">
        <v>1782</v>
      </c>
      <c r="C933" t="s">
        <v>1783</v>
      </c>
    </row>
    <row r="934" spans="1:3" x14ac:dyDescent="0.2">
      <c r="A934" t="s">
        <v>1897</v>
      </c>
      <c r="B934" t="s">
        <v>1784</v>
      </c>
      <c r="C934" t="s">
        <v>1785</v>
      </c>
    </row>
    <row r="935" spans="1:3" x14ac:dyDescent="0.2">
      <c r="A935" t="s">
        <v>1897</v>
      </c>
      <c r="B935" t="s">
        <v>1786</v>
      </c>
      <c r="C935" t="s">
        <v>1787</v>
      </c>
    </row>
    <row r="936" spans="1:3" x14ac:dyDescent="0.2">
      <c r="A936" t="s">
        <v>1897</v>
      </c>
      <c r="B936" t="s">
        <v>1788</v>
      </c>
      <c r="C936" t="s">
        <v>1789</v>
      </c>
    </row>
    <row r="937" spans="1:3" x14ac:dyDescent="0.2">
      <c r="A937" t="s">
        <v>1897</v>
      </c>
      <c r="B937" t="s">
        <v>1790</v>
      </c>
      <c r="C937" t="s">
        <v>1791</v>
      </c>
    </row>
    <row r="938" spans="1:3" x14ac:dyDescent="0.2">
      <c r="A938" t="s">
        <v>1897</v>
      </c>
      <c r="B938" t="s">
        <v>1792</v>
      </c>
      <c r="C938" t="s">
        <v>1793</v>
      </c>
    </row>
    <row r="939" spans="1:3" x14ac:dyDescent="0.2">
      <c r="A939" t="s">
        <v>1897</v>
      </c>
      <c r="B939" t="s">
        <v>1794</v>
      </c>
      <c r="C939" t="s">
        <v>1795</v>
      </c>
    </row>
    <row r="940" spans="1:3" x14ac:dyDescent="0.2">
      <c r="A940" t="s">
        <v>1897</v>
      </c>
      <c r="B940" t="s">
        <v>1796</v>
      </c>
      <c r="C940" t="s">
        <v>1797</v>
      </c>
    </row>
    <row r="941" spans="1:3" x14ac:dyDescent="0.2">
      <c r="A941" t="s">
        <v>1897</v>
      </c>
      <c r="B941" t="s">
        <v>1798</v>
      </c>
      <c r="C941" t="s">
        <v>1799</v>
      </c>
    </row>
    <row r="942" spans="1:3" x14ac:dyDescent="0.2">
      <c r="A942" t="s">
        <v>1897</v>
      </c>
      <c r="B942" t="s">
        <v>1800</v>
      </c>
      <c r="C942" t="s">
        <v>1801</v>
      </c>
    </row>
    <row r="943" spans="1:3" x14ac:dyDescent="0.2">
      <c r="A943" t="s">
        <v>1897</v>
      </c>
      <c r="B943" t="s">
        <v>1802</v>
      </c>
      <c r="C943" t="s">
        <v>1803</v>
      </c>
    </row>
    <row r="944" spans="1:3" x14ac:dyDescent="0.2">
      <c r="A944" t="s">
        <v>1897</v>
      </c>
      <c r="B944" t="s">
        <v>1804</v>
      </c>
      <c r="C944" t="s">
        <v>1805</v>
      </c>
    </row>
    <row r="945" spans="1:3" x14ac:dyDescent="0.2">
      <c r="A945" t="s">
        <v>1897</v>
      </c>
      <c r="B945" t="s">
        <v>1806</v>
      </c>
      <c r="C945" t="s">
        <v>1807</v>
      </c>
    </row>
    <row r="946" spans="1:3" s="194" customFormat="1" x14ac:dyDescent="0.2">
      <c r="A946" s="272" t="s">
        <v>1897</v>
      </c>
      <c r="B946" s="273">
        <v>5.7009999999999996</v>
      </c>
      <c r="C946" s="272" t="s">
        <v>1808</v>
      </c>
    </row>
    <row r="947" spans="1:3" x14ac:dyDescent="0.2">
      <c r="A947" t="s">
        <v>1897</v>
      </c>
      <c r="B947" t="s">
        <v>1809</v>
      </c>
      <c r="C947" t="s">
        <v>1810</v>
      </c>
    </row>
    <row r="948" spans="1:3" x14ac:dyDescent="0.2">
      <c r="A948" t="s">
        <v>1897</v>
      </c>
      <c r="B948" t="s">
        <v>1811</v>
      </c>
      <c r="C948" t="s">
        <v>1812</v>
      </c>
    </row>
    <row r="949" spans="1:3" x14ac:dyDescent="0.2">
      <c r="A949" t="s">
        <v>1897</v>
      </c>
      <c r="B949" t="s">
        <v>1813</v>
      </c>
      <c r="C949" t="s">
        <v>1814</v>
      </c>
    </row>
    <row r="950" spans="1:3" x14ac:dyDescent="0.2">
      <c r="A950" t="s">
        <v>1897</v>
      </c>
      <c r="B950" t="s">
        <v>1815</v>
      </c>
      <c r="C950" t="s">
        <v>1816</v>
      </c>
    </row>
    <row r="951" spans="1:3" x14ac:dyDescent="0.2">
      <c r="A951" t="s">
        <v>1897</v>
      </c>
      <c r="B951" t="s">
        <v>1817</v>
      </c>
      <c r="C951" t="s">
        <v>1818</v>
      </c>
    </row>
    <row r="952" spans="1:3" x14ac:dyDescent="0.2">
      <c r="A952" t="s">
        <v>1897</v>
      </c>
      <c r="B952" t="s">
        <v>1819</v>
      </c>
      <c r="C952" t="s">
        <v>1820</v>
      </c>
    </row>
    <row r="953" spans="1:3" x14ac:dyDescent="0.2">
      <c r="A953" t="s">
        <v>1897</v>
      </c>
      <c r="B953" t="s">
        <v>1821</v>
      </c>
      <c r="C953" t="s">
        <v>1822</v>
      </c>
    </row>
    <row r="954" spans="1:3" x14ac:dyDescent="0.2">
      <c r="A954" t="s">
        <v>1897</v>
      </c>
      <c r="B954" t="s">
        <v>1898</v>
      </c>
      <c r="C954" t="s">
        <v>1823</v>
      </c>
    </row>
    <row r="955" spans="1:3" x14ac:dyDescent="0.2">
      <c r="A955" t="s">
        <v>1897</v>
      </c>
      <c r="B955" t="s">
        <v>1824</v>
      </c>
      <c r="C955" t="s">
        <v>1825</v>
      </c>
    </row>
    <row r="956" spans="1:3" x14ac:dyDescent="0.2">
      <c r="A956" t="s">
        <v>1897</v>
      </c>
      <c r="B956" t="s">
        <v>1826</v>
      </c>
      <c r="C956" t="s">
        <v>1827</v>
      </c>
    </row>
    <row r="957" spans="1:3" x14ac:dyDescent="0.2">
      <c r="A957" t="s">
        <v>1897</v>
      </c>
      <c r="B957" t="s">
        <v>1828</v>
      </c>
      <c r="C957" t="s">
        <v>1829</v>
      </c>
    </row>
    <row r="958" spans="1:3" x14ac:dyDescent="0.2">
      <c r="A958" t="s">
        <v>1897</v>
      </c>
      <c r="B958" t="s">
        <v>1830</v>
      </c>
      <c r="C958" t="s">
        <v>1831</v>
      </c>
    </row>
    <row r="959" spans="1:3" x14ac:dyDescent="0.2">
      <c r="A959" t="s">
        <v>1897</v>
      </c>
      <c r="B959" t="s">
        <v>1832</v>
      </c>
      <c r="C959" t="s">
        <v>1833</v>
      </c>
    </row>
    <row r="960" spans="1:3" x14ac:dyDescent="0.2">
      <c r="A960" t="s">
        <v>1897</v>
      </c>
      <c r="B960" t="s">
        <v>1834</v>
      </c>
      <c r="C960" t="s">
        <v>1835</v>
      </c>
    </row>
    <row r="961" spans="1:3" x14ac:dyDescent="0.2">
      <c r="A961" t="s">
        <v>1897</v>
      </c>
      <c r="B961" t="s">
        <v>1836</v>
      </c>
      <c r="C961" t="s">
        <v>1837</v>
      </c>
    </row>
    <row r="962" spans="1:3" x14ac:dyDescent="0.2">
      <c r="A962" t="s">
        <v>1897</v>
      </c>
      <c r="B962" t="s">
        <v>1838</v>
      </c>
      <c r="C962" t="s">
        <v>1839</v>
      </c>
    </row>
    <row r="963" spans="1:3" x14ac:dyDescent="0.2">
      <c r="A963" t="s">
        <v>1897</v>
      </c>
      <c r="B963" t="s">
        <v>1840</v>
      </c>
      <c r="C963" t="s">
        <v>1841</v>
      </c>
    </row>
    <row r="964" spans="1:3" x14ac:dyDescent="0.2">
      <c r="A964" t="s">
        <v>1897</v>
      </c>
      <c r="B964" t="s">
        <v>1842</v>
      </c>
      <c r="C964" t="s">
        <v>1843</v>
      </c>
    </row>
    <row r="965" spans="1:3" x14ac:dyDescent="0.2">
      <c r="A965" t="s">
        <v>1897</v>
      </c>
      <c r="B965" t="s">
        <v>1844</v>
      </c>
      <c r="C965" t="s">
        <v>1845</v>
      </c>
    </row>
    <row r="966" spans="1:3" x14ac:dyDescent="0.2">
      <c r="A966" t="s">
        <v>1897</v>
      </c>
      <c r="B966" t="s">
        <v>1846</v>
      </c>
      <c r="C966" t="s">
        <v>1847</v>
      </c>
    </row>
    <row r="967" spans="1:3" x14ac:dyDescent="0.2">
      <c r="A967" t="s">
        <v>1897</v>
      </c>
      <c r="B967" t="s">
        <v>1848</v>
      </c>
      <c r="C967" t="s">
        <v>1849</v>
      </c>
    </row>
    <row r="968" spans="1:3" x14ac:dyDescent="0.2">
      <c r="A968" t="s">
        <v>1897</v>
      </c>
      <c r="B968" t="s">
        <v>1850</v>
      </c>
      <c r="C968" t="s">
        <v>1851</v>
      </c>
    </row>
    <row r="969" spans="1:3" x14ac:dyDescent="0.2">
      <c r="A969" t="s">
        <v>1897</v>
      </c>
      <c r="B969" t="s">
        <v>1852</v>
      </c>
      <c r="C969" t="s">
        <v>1853</v>
      </c>
    </row>
    <row r="970" spans="1:3" x14ac:dyDescent="0.2">
      <c r="A970" t="s">
        <v>1897</v>
      </c>
      <c r="B970" t="s">
        <v>1854</v>
      </c>
      <c r="C970" t="s">
        <v>1855</v>
      </c>
    </row>
    <row r="971" spans="1:3" x14ac:dyDescent="0.2">
      <c r="A971" t="s">
        <v>1897</v>
      </c>
      <c r="B971" t="s">
        <v>1856</v>
      </c>
      <c r="C971" t="s">
        <v>1857</v>
      </c>
    </row>
    <row r="972" spans="1:3" x14ac:dyDescent="0.2">
      <c r="A972" t="s">
        <v>1897</v>
      </c>
      <c r="B972" t="s">
        <v>1858</v>
      </c>
      <c r="C972" t="s">
        <v>1859</v>
      </c>
    </row>
    <row r="973" spans="1:3" x14ac:dyDescent="0.2">
      <c r="A973" t="s">
        <v>1897</v>
      </c>
      <c r="B973" t="s">
        <v>1860</v>
      </c>
      <c r="C973" t="s">
        <v>1861</v>
      </c>
    </row>
    <row r="974" spans="1:3" x14ac:dyDescent="0.2">
      <c r="A974" t="s">
        <v>1897</v>
      </c>
      <c r="B974" t="s">
        <v>1862</v>
      </c>
      <c r="C974" t="s">
        <v>1863</v>
      </c>
    </row>
    <row r="975" spans="1:3" x14ac:dyDescent="0.2">
      <c r="A975" t="s">
        <v>1897</v>
      </c>
      <c r="B975" t="s">
        <v>1864</v>
      </c>
      <c r="C975" t="s">
        <v>1865</v>
      </c>
    </row>
    <row r="976" spans="1:3" x14ac:dyDescent="0.2">
      <c r="A976" t="s">
        <v>1897</v>
      </c>
      <c r="B976" t="s">
        <v>1866</v>
      </c>
      <c r="C976" t="s">
        <v>1867</v>
      </c>
    </row>
    <row r="977" spans="1:3" x14ac:dyDescent="0.2">
      <c r="A977" t="s">
        <v>1897</v>
      </c>
      <c r="B977" t="s">
        <v>1868</v>
      </c>
      <c r="C977" t="s">
        <v>1869</v>
      </c>
    </row>
    <row r="978" spans="1:3" x14ac:dyDescent="0.2">
      <c r="A978" t="s">
        <v>1897</v>
      </c>
      <c r="B978" t="s">
        <v>1870</v>
      </c>
      <c r="C978" t="s">
        <v>1871</v>
      </c>
    </row>
    <row r="979" spans="1:3" x14ac:dyDescent="0.2">
      <c r="A979" t="s">
        <v>1897</v>
      </c>
      <c r="B979" t="s">
        <v>1872</v>
      </c>
      <c r="C979" t="s">
        <v>1873</v>
      </c>
    </row>
    <row r="980" spans="1:3" x14ac:dyDescent="0.2">
      <c r="A980" t="s">
        <v>1897</v>
      </c>
      <c r="B980" t="s">
        <v>1874</v>
      </c>
      <c r="C980" t="s">
        <v>1875</v>
      </c>
    </row>
    <row r="981" spans="1:3" x14ac:dyDescent="0.2">
      <c r="A981" t="s">
        <v>1897</v>
      </c>
      <c r="B981" t="s">
        <v>1876</v>
      </c>
      <c r="C981" t="s">
        <v>1877</v>
      </c>
    </row>
    <row r="982" spans="1:3" x14ac:dyDescent="0.2">
      <c r="A982" t="s">
        <v>1897</v>
      </c>
      <c r="B982" t="s">
        <v>1878</v>
      </c>
      <c r="C982" t="s">
        <v>1879</v>
      </c>
    </row>
    <row r="983" spans="1:3" x14ac:dyDescent="0.2">
      <c r="A983" t="s">
        <v>1897</v>
      </c>
      <c r="B983" t="s">
        <v>1880</v>
      </c>
      <c r="C983" t="s">
        <v>1881</v>
      </c>
    </row>
    <row r="984" spans="1:3" x14ac:dyDescent="0.2">
      <c r="A984" t="s">
        <v>1897</v>
      </c>
      <c r="B984" t="s">
        <v>1882</v>
      </c>
      <c r="C984" t="s">
        <v>1883</v>
      </c>
    </row>
    <row r="985" spans="1:3" x14ac:dyDescent="0.2">
      <c r="A985" t="s">
        <v>1897</v>
      </c>
      <c r="B985" t="s">
        <v>1884</v>
      </c>
      <c r="C985" t="s">
        <v>1885</v>
      </c>
    </row>
    <row r="986" spans="1:3" x14ac:dyDescent="0.2">
      <c r="A986" t="s">
        <v>1897</v>
      </c>
      <c r="B986" t="s">
        <v>1886</v>
      </c>
      <c r="C986" t="s">
        <v>1887</v>
      </c>
    </row>
    <row r="987" spans="1:3" x14ac:dyDescent="0.2">
      <c r="A987" t="s">
        <v>1897</v>
      </c>
      <c r="B987" t="s">
        <v>1888</v>
      </c>
      <c r="C987" t="s">
        <v>1889</v>
      </c>
    </row>
    <row r="988" spans="1:3" x14ac:dyDescent="0.2">
      <c r="A988" t="s">
        <v>1897</v>
      </c>
      <c r="B988" t="s">
        <v>1890</v>
      </c>
      <c r="C988" t="s">
        <v>1891</v>
      </c>
    </row>
    <row r="989" spans="1:3" x14ac:dyDescent="0.2">
      <c r="A989" t="s">
        <v>1897</v>
      </c>
      <c r="B989" t="s">
        <v>1899</v>
      </c>
      <c r="C989" t="s">
        <v>1900</v>
      </c>
    </row>
    <row r="990" spans="1:3" x14ac:dyDescent="0.2">
      <c r="A990" t="s">
        <v>1897</v>
      </c>
      <c r="B990" t="s">
        <v>1894</v>
      </c>
      <c r="C990" t="s">
        <v>1637</v>
      </c>
    </row>
    <row r="991" spans="1:3" x14ac:dyDescent="0.2">
      <c r="A991" t="s">
        <v>1897</v>
      </c>
      <c r="B991" t="s">
        <v>1895</v>
      </c>
      <c r="C991" t="s">
        <v>1896</v>
      </c>
    </row>
    <row r="993" spans="1:3" x14ac:dyDescent="0.2">
      <c r="A993" t="s">
        <v>1901</v>
      </c>
      <c r="B993" t="s">
        <v>1712</v>
      </c>
      <c r="C993" t="s">
        <v>1713</v>
      </c>
    </row>
    <row r="994" spans="1:3" x14ac:dyDescent="0.2">
      <c r="A994" t="s">
        <v>1901</v>
      </c>
      <c r="B994" t="s">
        <v>1714</v>
      </c>
      <c r="C994" t="s">
        <v>1715</v>
      </c>
    </row>
    <row r="995" spans="1:3" x14ac:dyDescent="0.2">
      <c r="A995" t="s">
        <v>1901</v>
      </c>
      <c r="B995" t="s">
        <v>1716</v>
      </c>
      <c r="C995" t="s">
        <v>1717</v>
      </c>
    </row>
    <row r="996" spans="1:3" x14ac:dyDescent="0.2">
      <c r="A996" t="s">
        <v>1901</v>
      </c>
      <c r="B996" t="s">
        <v>1718</v>
      </c>
      <c r="C996" t="s">
        <v>1719</v>
      </c>
    </row>
    <row r="997" spans="1:3" x14ac:dyDescent="0.2">
      <c r="A997" t="s">
        <v>1901</v>
      </c>
      <c r="B997" t="s">
        <v>1720</v>
      </c>
      <c r="C997" t="s">
        <v>1721</v>
      </c>
    </row>
    <row r="998" spans="1:3" x14ac:dyDescent="0.2">
      <c r="A998" t="s">
        <v>1901</v>
      </c>
      <c r="B998" t="s">
        <v>1722</v>
      </c>
      <c r="C998" t="s">
        <v>1723</v>
      </c>
    </row>
    <row r="999" spans="1:3" x14ac:dyDescent="0.2">
      <c r="A999" t="s">
        <v>1901</v>
      </c>
      <c r="B999" t="s">
        <v>1724</v>
      </c>
      <c r="C999" t="s">
        <v>1725</v>
      </c>
    </row>
    <row r="1000" spans="1:3" x14ac:dyDescent="0.2">
      <c r="A1000" t="s">
        <v>1901</v>
      </c>
      <c r="B1000" t="s">
        <v>1726</v>
      </c>
      <c r="C1000" t="s">
        <v>1727</v>
      </c>
    </row>
    <row r="1001" spans="1:3" x14ac:dyDescent="0.2">
      <c r="A1001" t="s">
        <v>1901</v>
      </c>
      <c r="B1001" t="s">
        <v>1728</v>
      </c>
      <c r="C1001" t="s">
        <v>1729</v>
      </c>
    </row>
    <row r="1002" spans="1:3" x14ac:dyDescent="0.2">
      <c r="A1002" t="s">
        <v>1901</v>
      </c>
      <c r="B1002" t="s">
        <v>1730</v>
      </c>
      <c r="C1002" t="s">
        <v>1731</v>
      </c>
    </row>
    <row r="1003" spans="1:3" x14ac:dyDescent="0.2">
      <c r="A1003" t="s">
        <v>1901</v>
      </c>
      <c r="B1003" t="s">
        <v>1732</v>
      </c>
      <c r="C1003" t="s">
        <v>1733</v>
      </c>
    </row>
    <row r="1004" spans="1:3" x14ac:dyDescent="0.2">
      <c r="A1004" t="s">
        <v>1901</v>
      </c>
      <c r="B1004" t="s">
        <v>1734</v>
      </c>
      <c r="C1004" t="s">
        <v>1735</v>
      </c>
    </row>
    <row r="1005" spans="1:3" x14ac:dyDescent="0.2">
      <c r="A1005" t="s">
        <v>1901</v>
      </c>
      <c r="B1005" t="s">
        <v>1736</v>
      </c>
      <c r="C1005" t="s">
        <v>1737</v>
      </c>
    </row>
    <row r="1006" spans="1:3" x14ac:dyDescent="0.2">
      <c r="A1006" t="s">
        <v>1901</v>
      </c>
      <c r="B1006" t="s">
        <v>1738</v>
      </c>
      <c r="C1006" t="s">
        <v>1739</v>
      </c>
    </row>
    <row r="1007" spans="1:3" x14ac:dyDescent="0.2">
      <c r="A1007" t="s">
        <v>1901</v>
      </c>
      <c r="B1007" t="s">
        <v>1740</v>
      </c>
      <c r="C1007" t="s">
        <v>1741</v>
      </c>
    </row>
    <row r="1008" spans="1:3" x14ac:dyDescent="0.2">
      <c r="A1008" t="s">
        <v>1901</v>
      </c>
      <c r="B1008" t="s">
        <v>1742</v>
      </c>
      <c r="C1008" t="s">
        <v>1743</v>
      </c>
    </row>
    <row r="1009" spans="1:3" x14ac:dyDescent="0.2">
      <c r="A1009" t="s">
        <v>1901</v>
      </c>
      <c r="B1009" t="s">
        <v>1744</v>
      </c>
      <c r="C1009" t="s">
        <v>1745</v>
      </c>
    </row>
    <row r="1010" spans="1:3" x14ac:dyDescent="0.2">
      <c r="A1010" t="s">
        <v>1901</v>
      </c>
      <c r="B1010" t="s">
        <v>1746</v>
      </c>
      <c r="C1010" t="s">
        <v>1747</v>
      </c>
    </row>
    <row r="1011" spans="1:3" x14ac:dyDescent="0.2">
      <c r="A1011" t="s">
        <v>1901</v>
      </c>
      <c r="B1011" t="s">
        <v>1748</v>
      </c>
      <c r="C1011" t="s">
        <v>1749</v>
      </c>
    </row>
    <row r="1012" spans="1:3" x14ac:dyDescent="0.2">
      <c r="A1012" t="s">
        <v>1901</v>
      </c>
      <c r="B1012" t="s">
        <v>1750</v>
      </c>
      <c r="C1012" t="s">
        <v>1751</v>
      </c>
    </row>
    <row r="1013" spans="1:3" x14ac:dyDescent="0.2">
      <c r="A1013" t="s">
        <v>1901</v>
      </c>
      <c r="B1013" t="s">
        <v>1752</v>
      </c>
      <c r="C1013" t="s">
        <v>1753</v>
      </c>
    </row>
    <row r="1014" spans="1:3" x14ac:dyDescent="0.2">
      <c r="A1014" t="s">
        <v>1901</v>
      </c>
      <c r="B1014" t="s">
        <v>1754</v>
      </c>
      <c r="C1014" t="s">
        <v>1755</v>
      </c>
    </row>
    <row r="1015" spans="1:3" x14ac:dyDescent="0.2">
      <c r="A1015" t="s">
        <v>1901</v>
      </c>
      <c r="B1015" t="s">
        <v>1756</v>
      </c>
      <c r="C1015" t="s">
        <v>1757</v>
      </c>
    </row>
    <row r="1016" spans="1:3" x14ac:dyDescent="0.2">
      <c r="A1016" t="s">
        <v>1901</v>
      </c>
      <c r="B1016" t="s">
        <v>1758</v>
      </c>
      <c r="C1016" t="s">
        <v>1759</v>
      </c>
    </row>
    <row r="1017" spans="1:3" x14ac:dyDescent="0.2">
      <c r="A1017" t="s">
        <v>1901</v>
      </c>
      <c r="B1017" t="s">
        <v>1760</v>
      </c>
      <c r="C1017" t="s">
        <v>1761</v>
      </c>
    </row>
    <row r="1018" spans="1:3" x14ac:dyDescent="0.2">
      <c r="A1018" t="s">
        <v>1901</v>
      </c>
      <c r="B1018" t="s">
        <v>1762</v>
      </c>
      <c r="C1018" t="s">
        <v>1763</v>
      </c>
    </row>
    <row r="1019" spans="1:3" x14ac:dyDescent="0.2">
      <c r="A1019" t="s">
        <v>1901</v>
      </c>
      <c r="B1019" t="s">
        <v>1764</v>
      </c>
      <c r="C1019" t="s">
        <v>1765</v>
      </c>
    </row>
    <row r="1020" spans="1:3" x14ac:dyDescent="0.2">
      <c r="A1020" t="s">
        <v>1901</v>
      </c>
      <c r="B1020" t="s">
        <v>1766</v>
      </c>
      <c r="C1020" t="s">
        <v>1767</v>
      </c>
    </row>
    <row r="1021" spans="1:3" x14ac:dyDescent="0.2">
      <c r="A1021" t="s">
        <v>1901</v>
      </c>
      <c r="B1021" t="s">
        <v>1768</v>
      </c>
      <c r="C1021" t="s">
        <v>1769</v>
      </c>
    </row>
    <row r="1022" spans="1:3" x14ac:dyDescent="0.2">
      <c r="A1022" t="s">
        <v>1901</v>
      </c>
      <c r="B1022" t="s">
        <v>1770</v>
      </c>
      <c r="C1022" t="s">
        <v>1771</v>
      </c>
    </row>
    <row r="1023" spans="1:3" x14ac:dyDescent="0.2">
      <c r="A1023" t="s">
        <v>1901</v>
      </c>
      <c r="B1023" t="s">
        <v>1772</v>
      </c>
      <c r="C1023" t="s">
        <v>1773</v>
      </c>
    </row>
    <row r="1024" spans="1:3" x14ac:dyDescent="0.2">
      <c r="A1024" t="s">
        <v>1901</v>
      </c>
      <c r="B1024" t="s">
        <v>1774</v>
      </c>
      <c r="C1024" t="s">
        <v>1775</v>
      </c>
    </row>
    <row r="1025" spans="1:3" x14ac:dyDescent="0.2">
      <c r="A1025" t="s">
        <v>1901</v>
      </c>
      <c r="B1025" t="s">
        <v>1776</v>
      </c>
      <c r="C1025" t="s">
        <v>1777</v>
      </c>
    </row>
    <row r="1026" spans="1:3" x14ac:dyDescent="0.2">
      <c r="A1026" t="s">
        <v>1901</v>
      </c>
      <c r="B1026" t="s">
        <v>1778</v>
      </c>
      <c r="C1026" t="s">
        <v>1779</v>
      </c>
    </row>
    <row r="1027" spans="1:3" x14ac:dyDescent="0.2">
      <c r="A1027" t="s">
        <v>1901</v>
      </c>
      <c r="B1027" t="s">
        <v>1780</v>
      </c>
      <c r="C1027" t="s">
        <v>1781</v>
      </c>
    </row>
    <row r="1028" spans="1:3" x14ac:dyDescent="0.2">
      <c r="A1028" t="s">
        <v>1901</v>
      </c>
      <c r="B1028" t="s">
        <v>1782</v>
      </c>
      <c r="C1028" t="s">
        <v>1783</v>
      </c>
    </row>
    <row r="1029" spans="1:3" x14ac:dyDescent="0.2">
      <c r="A1029" t="s">
        <v>1901</v>
      </c>
      <c r="B1029" t="s">
        <v>1784</v>
      </c>
      <c r="C1029" t="s">
        <v>1785</v>
      </c>
    </row>
    <row r="1030" spans="1:3" x14ac:dyDescent="0.2">
      <c r="A1030" t="s">
        <v>1901</v>
      </c>
      <c r="B1030" t="s">
        <v>1786</v>
      </c>
      <c r="C1030" t="s">
        <v>1787</v>
      </c>
    </row>
    <row r="1031" spans="1:3" x14ac:dyDescent="0.2">
      <c r="A1031" t="s">
        <v>1901</v>
      </c>
      <c r="B1031" t="s">
        <v>1788</v>
      </c>
      <c r="C1031" t="s">
        <v>1789</v>
      </c>
    </row>
    <row r="1032" spans="1:3" x14ac:dyDescent="0.2">
      <c r="A1032" t="s">
        <v>1901</v>
      </c>
      <c r="B1032" t="s">
        <v>1790</v>
      </c>
      <c r="C1032" t="s">
        <v>1791</v>
      </c>
    </row>
    <row r="1033" spans="1:3" x14ac:dyDescent="0.2">
      <c r="A1033" t="s">
        <v>1901</v>
      </c>
      <c r="B1033" t="s">
        <v>1792</v>
      </c>
      <c r="C1033" t="s">
        <v>1793</v>
      </c>
    </row>
    <row r="1034" spans="1:3" x14ac:dyDescent="0.2">
      <c r="A1034" t="s">
        <v>1901</v>
      </c>
      <c r="B1034" t="s">
        <v>1794</v>
      </c>
      <c r="C1034" t="s">
        <v>1795</v>
      </c>
    </row>
    <row r="1035" spans="1:3" x14ac:dyDescent="0.2">
      <c r="A1035" t="s">
        <v>1901</v>
      </c>
      <c r="B1035" t="s">
        <v>1796</v>
      </c>
      <c r="C1035" t="s">
        <v>1797</v>
      </c>
    </row>
    <row r="1036" spans="1:3" x14ac:dyDescent="0.2">
      <c r="A1036" t="s">
        <v>1901</v>
      </c>
      <c r="B1036" t="s">
        <v>1798</v>
      </c>
      <c r="C1036" t="s">
        <v>1799</v>
      </c>
    </row>
    <row r="1037" spans="1:3" x14ac:dyDescent="0.2">
      <c r="A1037" t="s">
        <v>1901</v>
      </c>
      <c r="B1037" t="s">
        <v>1800</v>
      </c>
      <c r="C1037" t="s">
        <v>1801</v>
      </c>
    </row>
    <row r="1038" spans="1:3" x14ac:dyDescent="0.2">
      <c r="A1038" t="s">
        <v>1901</v>
      </c>
      <c r="B1038" t="s">
        <v>1802</v>
      </c>
      <c r="C1038" t="s">
        <v>1803</v>
      </c>
    </row>
    <row r="1039" spans="1:3" x14ac:dyDescent="0.2">
      <c r="A1039" t="s">
        <v>1901</v>
      </c>
      <c r="B1039" t="s">
        <v>1804</v>
      </c>
      <c r="C1039" t="s">
        <v>1805</v>
      </c>
    </row>
    <row r="1040" spans="1:3" x14ac:dyDescent="0.2">
      <c r="A1040" t="s">
        <v>1901</v>
      </c>
      <c r="B1040" t="s">
        <v>1806</v>
      </c>
      <c r="C1040" t="s">
        <v>1807</v>
      </c>
    </row>
    <row r="1041" spans="1:3" s="194" customFormat="1" x14ac:dyDescent="0.2">
      <c r="A1041" s="272" t="s">
        <v>1901</v>
      </c>
      <c r="B1041" s="273">
        <v>5.7009999999999996</v>
      </c>
      <c r="C1041" s="272" t="s">
        <v>1808</v>
      </c>
    </row>
    <row r="1042" spans="1:3" x14ac:dyDescent="0.2">
      <c r="A1042" t="s">
        <v>1901</v>
      </c>
      <c r="B1042" t="s">
        <v>1809</v>
      </c>
      <c r="C1042" t="s">
        <v>1810</v>
      </c>
    </row>
    <row r="1043" spans="1:3" x14ac:dyDescent="0.2">
      <c r="A1043" t="s">
        <v>1901</v>
      </c>
      <c r="B1043" t="s">
        <v>1811</v>
      </c>
      <c r="C1043" t="s">
        <v>1812</v>
      </c>
    </row>
    <row r="1044" spans="1:3" x14ac:dyDescent="0.2">
      <c r="A1044" t="s">
        <v>1901</v>
      </c>
      <c r="B1044" t="s">
        <v>1813</v>
      </c>
      <c r="C1044" t="s">
        <v>1814</v>
      </c>
    </row>
    <row r="1045" spans="1:3" x14ac:dyDescent="0.2">
      <c r="A1045" t="s">
        <v>1901</v>
      </c>
      <c r="B1045" t="s">
        <v>1815</v>
      </c>
      <c r="C1045" t="s">
        <v>1816</v>
      </c>
    </row>
    <row r="1046" spans="1:3" x14ac:dyDescent="0.2">
      <c r="A1046" t="s">
        <v>1901</v>
      </c>
      <c r="B1046" t="s">
        <v>1817</v>
      </c>
      <c r="C1046" t="s">
        <v>1818</v>
      </c>
    </row>
    <row r="1047" spans="1:3" x14ac:dyDescent="0.2">
      <c r="A1047" t="s">
        <v>1901</v>
      </c>
      <c r="B1047" t="s">
        <v>1819</v>
      </c>
      <c r="C1047" t="s">
        <v>1820</v>
      </c>
    </row>
    <row r="1048" spans="1:3" x14ac:dyDescent="0.2">
      <c r="A1048" t="s">
        <v>1901</v>
      </c>
      <c r="B1048" t="s">
        <v>1821</v>
      </c>
      <c r="C1048" t="s">
        <v>1822</v>
      </c>
    </row>
    <row r="1049" spans="1:3" x14ac:dyDescent="0.2">
      <c r="A1049" t="s">
        <v>1901</v>
      </c>
      <c r="B1049" t="s">
        <v>1898</v>
      </c>
      <c r="C1049" t="s">
        <v>1823</v>
      </c>
    </row>
    <row r="1050" spans="1:3" x14ac:dyDescent="0.2">
      <c r="A1050" t="s">
        <v>1901</v>
      </c>
      <c r="B1050" t="s">
        <v>1824</v>
      </c>
      <c r="C1050" t="s">
        <v>1825</v>
      </c>
    </row>
    <row r="1051" spans="1:3" x14ac:dyDescent="0.2">
      <c r="A1051" t="s">
        <v>1901</v>
      </c>
      <c r="B1051" t="s">
        <v>1826</v>
      </c>
      <c r="C1051" t="s">
        <v>1827</v>
      </c>
    </row>
    <row r="1052" spans="1:3" x14ac:dyDescent="0.2">
      <c r="A1052" t="s">
        <v>1901</v>
      </c>
      <c r="B1052" t="s">
        <v>1828</v>
      </c>
      <c r="C1052" t="s">
        <v>1829</v>
      </c>
    </row>
    <row r="1053" spans="1:3" x14ac:dyDescent="0.2">
      <c r="A1053" t="s">
        <v>1901</v>
      </c>
      <c r="B1053" t="s">
        <v>1830</v>
      </c>
      <c r="C1053" t="s">
        <v>1831</v>
      </c>
    </row>
    <row r="1054" spans="1:3" x14ac:dyDescent="0.2">
      <c r="A1054" t="s">
        <v>1901</v>
      </c>
      <c r="B1054" t="s">
        <v>1832</v>
      </c>
      <c r="C1054" t="s">
        <v>1833</v>
      </c>
    </row>
    <row r="1055" spans="1:3" x14ac:dyDescent="0.2">
      <c r="A1055" t="s">
        <v>1901</v>
      </c>
      <c r="B1055" t="s">
        <v>1834</v>
      </c>
      <c r="C1055" t="s">
        <v>1835</v>
      </c>
    </row>
    <row r="1056" spans="1:3" x14ac:dyDescent="0.2">
      <c r="A1056" t="s">
        <v>1901</v>
      </c>
      <c r="B1056" t="s">
        <v>1836</v>
      </c>
      <c r="C1056" t="s">
        <v>1837</v>
      </c>
    </row>
    <row r="1057" spans="1:3" x14ac:dyDescent="0.2">
      <c r="A1057" t="s">
        <v>1901</v>
      </c>
      <c r="B1057" t="s">
        <v>1838</v>
      </c>
      <c r="C1057" t="s">
        <v>1839</v>
      </c>
    </row>
    <row r="1058" spans="1:3" x14ac:dyDescent="0.2">
      <c r="A1058" t="s">
        <v>1901</v>
      </c>
      <c r="B1058" t="s">
        <v>1840</v>
      </c>
      <c r="C1058" t="s">
        <v>1841</v>
      </c>
    </row>
    <row r="1059" spans="1:3" x14ac:dyDescent="0.2">
      <c r="A1059" t="s">
        <v>1901</v>
      </c>
      <c r="B1059" t="s">
        <v>1842</v>
      </c>
      <c r="C1059" t="s">
        <v>1843</v>
      </c>
    </row>
    <row r="1060" spans="1:3" x14ac:dyDescent="0.2">
      <c r="A1060" t="s">
        <v>1901</v>
      </c>
      <c r="B1060" t="s">
        <v>1844</v>
      </c>
      <c r="C1060" t="s">
        <v>1845</v>
      </c>
    </row>
    <row r="1061" spans="1:3" x14ac:dyDescent="0.2">
      <c r="A1061" t="s">
        <v>1901</v>
      </c>
      <c r="B1061" t="s">
        <v>1846</v>
      </c>
      <c r="C1061" t="s">
        <v>1847</v>
      </c>
    </row>
    <row r="1062" spans="1:3" x14ac:dyDescent="0.2">
      <c r="A1062" t="s">
        <v>1901</v>
      </c>
      <c r="B1062" t="s">
        <v>1848</v>
      </c>
      <c r="C1062" t="s">
        <v>1849</v>
      </c>
    </row>
    <row r="1063" spans="1:3" x14ac:dyDescent="0.2">
      <c r="A1063" t="s">
        <v>1901</v>
      </c>
      <c r="B1063" t="s">
        <v>1850</v>
      </c>
      <c r="C1063" t="s">
        <v>1851</v>
      </c>
    </row>
    <row r="1064" spans="1:3" x14ac:dyDescent="0.2">
      <c r="A1064" t="s">
        <v>1901</v>
      </c>
      <c r="B1064" t="s">
        <v>1852</v>
      </c>
      <c r="C1064" t="s">
        <v>1853</v>
      </c>
    </row>
    <row r="1065" spans="1:3" x14ac:dyDescent="0.2">
      <c r="A1065" t="s">
        <v>1901</v>
      </c>
      <c r="B1065" t="s">
        <v>1854</v>
      </c>
      <c r="C1065" t="s">
        <v>1855</v>
      </c>
    </row>
    <row r="1066" spans="1:3" x14ac:dyDescent="0.2">
      <c r="A1066" t="s">
        <v>1901</v>
      </c>
      <c r="B1066" t="s">
        <v>1856</v>
      </c>
      <c r="C1066" t="s">
        <v>1857</v>
      </c>
    </row>
    <row r="1067" spans="1:3" x14ac:dyDescent="0.2">
      <c r="A1067" t="s">
        <v>1901</v>
      </c>
      <c r="B1067" t="s">
        <v>1858</v>
      </c>
      <c r="C1067" t="s">
        <v>1859</v>
      </c>
    </row>
    <row r="1068" spans="1:3" x14ac:dyDescent="0.2">
      <c r="A1068" t="s">
        <v>1901</v>
      </c>
      <c r="B1068" t="s">
        <v>1860</v>
      </c>
      <c r="C1068" t="s">
        <v>1861</v>
      </c>
    </row>
    <row r="1069" spans="1:3" x14ac:dyDescent="0.2">
      <c r="A1069" t="s">
        <v>1901</v>
      </c>
      <c r="B1069" t="s">
        <v>1862</v>
      </c>
      <c r="C1069" t="s">
        <v>1863</v>
      </c>
    </row>
    <row r="1070" spans="1:3" x14ac:dyDescent="0.2">
      <c r="A1070" t="s">
        <v>1901</v>
      </c>
      <c r="B1070" t="s">
        <v>1864</v>
      </c>
      <c r="C1070" t="s">
        <v>1865</v>
      </c>
    </row>
    <row r="1071" spans="1:3" x14ac:dyDescent="0.2">
      <c r="A1071" t="s">
        <v>1901</v>
      </c>
      <c r="B1071" t="s">
        <v>1866</v>
      </c>
      <c r="C1071" t="s">
        <v>1867</v>
      </c>
    </row>
    <row r="1072" spans="1:3" x14ac:dyDescent="0.2">
      <c r="A1072" t="s">
        <v>1901</v>
      </c>
      <c r="B1072" t="s">
        <v>1868</v>
      </c>
      <c r="C1072" t="s">
        <v>1869</v>
      </c>
    </row>
    <row r="1073" spans="1:3" x14ac:dyDescent="0.2">
      <c r="A1073" t="s">
        <v>1901</v>
      </c>
      <c r="B1073" t="s">
        <v>1870</v>
      </c>
      <c r="C1073" t="s">
        <v>1871</v>
      </c>
    </row>
    <row r="1074" spans="1:3" x14ac:dyDescent="0.2">
      <c r="A1074" t="s">
        <v>1901</v>
      </c>
      <c r="B1074" t="s">
        <v>1872</v>
      </c>
      <c r="C1074" t="s">
        <v>1873</v>
      </c>
    </row>
    <row r="1075" spans="1:3" x14ac:dyDescent="0.2">
      <c r="A1075" t="s">
        <v>1901</v>
      </c>
      <c r="B1075" t="s">
        <v>1874</v>
      </c>
      <c r="C1075" t="s">
        <v>1875</v>
      </c>
    </row>
    <row r="1076" spans="1:3" x14ac:dyDescent="0.2">
      <c r="A1076" t="s">
        <v>1901</v>
      </c>
      <c r="B1076" t="s">
        <v>1876</v>
      </c>
      <c r="C1076" t="s">
        <v>1877</v>
      </c>
    </row>
    <row r="1077" spans="1:3" x14ac:dyDescent="0.2">
      <c r="A1077" t="s">
        <v>1901</v>
      </c>
      <c r="B1077" t="s">
        <v>1878</v>
      </c>
      <c r="C1077" t="s">
        <v>1879</v>
      </c>
    </row>
    <row r="1078" spans="1:3" x14ac:dyDescent="0.2">
      <c r="A1078" t="s">
        <v>1901</v>
      </c>
      <c r="B1078" t="s">
        <v>1880</v>
      </c>
      <c r="C1078" t="s">
        <v>1881</v>
      </c>
    </row>
    <row r="1079" spans="1:3" x14ac:dyDescent="0.2">
      <c r="A1079" t="s">
        <v>1901</v>
      </c>
      <c r="B1079" t="s">
        <v>1882</v>
      </c>
      <c r="C1079" t="s">
        <v>1883</v>
      </c>
    </row>
    <row r="1080" spans="1:3" x14ac:dyDescent="0.2">
      <c r="A1080" t="s">
        <v>1901</v>
      </c>
      <c r="B1080" t="s">
        <v>1884</v>
      </c>
      <c r="C1080" t="s">
        <v>1885</v>
      </c>
    </row>
    <row r="1081" spans="1:3" x14ac:dyDescent="0.2">
      <c r="A1081" t="s">
        <v>1901</v>
      </c>
      <c r="B1081" t="s">
        <v>1886</v>
      </c>
      <c r="C1081" t="s">
        <v>1887</v>
      </c>
    </row>
    <row r="1082" spans="1:3" x14ac:dyDescent="0.2">
      <c r="A1082" t="s">
        <v>1901</v>
      </c>
      <c r="B1082" t="s">
        <v>1888</v>
      </c>
      <c r="C1082" t="s">
        <v>1889</v>
      </c>
    </row>
    <row r="1083" spans="1:3" x14ac:dyDescent="0.2">
      <c r="A1083" t="s">
        <v>1901</v>
      </c>
      <c r="B1083" t="s">
        <v>1890</v>
      </c>
      <c r="C1083" t="s">
        <v>1891</v>
      </c>
    </row>
    <row r="1084" spans="1:3" x14ac:dyDescent="0.2">
      <c r="A1084" t="s">
        <v>1901</v>
      </c>
      <c r="B1084" t="s">
        <v>1894</v>
      </c>
      <c r="C1084" t="s">
        <v>1637</v>
      </c>
    </row>
    <row r="1085" spans="1:3" x14ac:dyDescent="0.2">
      <c r="A1085" t="s">
        <v>1901</v>
      </c>
      <c r="B1085" t="s">
        <v>1895</v>
      </c>
      <c r="C1085" t="s">
        <v>1896</v>
      </c>
    </row>
    <row r="1088" spans="1:3" s="194" customFormat="1" x14ac:dyDescent="0.2">
      <c r="A1088" s="194" t="s">
        <v>2137</v>
      </c>
      <c r="B1088" s="194">
        <v>1</v>
      </c>
      <c r="C1088" s="194" t="s">
        <v>2138</v>
      </c>
    </row>
    <row r="1089" spans="1:3" s="194" customFormat="1" x14ac:dyDescent="0.2">
      <c r="A1089" s="194" t="s">
        <v>2137</v>
      </c>
      <c r="B1089" s="194">
        <v>2</v>
      </c>
      <c r="C1089" s="194" t="s">
        <v>2139</v>
      </c>
    </row>
    <row r="1090" spans="1:3" s="194" customFormat="1" x14ac:dyDescent="0.2">
      <c r="A1090" s="194" t="s">
        <v>2137</v>
      </c>
      <c r="B1090" s="194">
        <v>3</v>
      </c>
      <c r="C1090" s="194" t="s">
        <v>2140</v>
      </c>
    </row>
    <row r="1091" spans="1:3" s="194" customFormat="1" x14ac:dyDescent="0.2">
      <c r="A1091" s="194" t="s">
        <v>2137</v>
      </c>
      <c r="B1091" s="194">
        <v>4</v>
      </c>
      <c r="C1091" s="194" t="s">
        <v>2141</v>
      </c>
    </row>
    <row r="1092" spans="1:3" s="194" customFormat="1" x14ac:dyDescent="0.2">
      <c r="A1092" s="194" t="s">
        <v>2137</v>
      </c>
      <c r="B1092" s="194">
        <v>5</v>
      </c>
      <c r="C1092" s="194" t="s">
        <v>2142</v>
      </c>
    </row>
    <row r="1093" spans="1:3" s="194" customFormat="1" x14ac:dyDescent="0.2">
      <c r="A1093" s="194" t="s">
        <v>2137</v>
      </c>
      <c r="B1093" s="194">
        <v>6</v>
      </c>
      <c r="C1093" s="194" t="s">
        <v>2143</v>
      </c>
    </row>
    <row r="1094" spans="1:3" s="194" customFormat="1" x14ac:dyDescent="0.2">
      <c r="A1094" s="194" t="s">
        <v>2137</v>
      </c>
      <c r="B1094" s="194">
        <v>7</v>
      </c>
      <c r="C1094" s="194" t="s">
        <v>2144</v>
      </c>
    </row>
    <row r="1095" spans="1:3" s="194" customFormat="1" x14ac:dyDescent="0.2">
      <c r="A1095" s="194" t="s">
        <v>2137</v>
      </c>
      <c r="B1095" s="194">
        <v>8</v>
      </c>
      <c r="C1095" s="194" t="s">
        <v>2145</v>
      </c>
    </row>
    <row r="1096" spans="1:3" s="194" customFormat="1" x14ac:dyDescent="0.2">
      <c r="A1096" s="194" t="s">
        <v>2137</v>
      </c>
      <c r="B1096" s="194">
        <v>99</v>
      </c>
      <c r="C1096" s="194" t="s">
        <v>1330</v>
      </c>
    </row>
    <row r="1098" spans="1:3" x14ac:dyDescent="0.2">
      <c r="A1098" t="s">
        <v>1902</v>
      </c>
      <c r="B1098" t="s">
        <v>1903</v>
      </c>
      <c r="C1098" t="s">
        <v>1904</v>
      </c>
    </row>
    <row r="1099" spans="1:3" x14ac:dyDescent="0.2">
      <c r="A1099" t="s">
        <v>1902</v>
      </c>
      <c r="B1099" t="s">
        <v>1905</v>
      </c>
      <c r="C1099" t="s">
        <v>1906</v>
      </c>
    </row>
    <row r="1100" spans="1:3" x14ac:dyDescent="0.2">
      <c r="A1100" t="s">
        <v>1902</v>
      </c>
      <c r="B1100" t="s">
        <v>1907</v>
      </c>
      <c r="C1100" t="s">
        <v>1908</v>
      </c>
    </row>
    <row r="1101" spans="1:3" x14ac:dyDescent="0.2">
      <c r="A1101" t="s">
        <v>1902</v>
      </c>
      <c r="B1101" t="s">
        <v>1909</v>
      </c>
      <c r="C1101" t="s">
        <v>1910</v>
      </c>
    </row>
    <row r="1102" spans="1:3" x14ac:dyDescent="0.2">
      <c r="A1102" t="s">
        <v>1902</v>
      </c>
      <c r="B1102" t="s">
        <v>1911</v>
      </c>
      <c r="C1102" t="s">
        <v>1912</v>
      </c>
    </row>
    <row r="1103" spans="1:3" x14ac:dyDescent="0.2">
      <c r="A1103" t="s">
        <v>1902</v>
      </c>
      <c r="B1103" t="s">
        <v>1913</v>
      </c>
      <c r="C1103" t="s">
        <v>1914</v>
      </c>
    </row>
    <row r="1104" spans="1:3" x14ac:dyDescent="0.2">
      <c r="A1104" t="s">
        <v>1902</v>
      </c>
      <c r="B1104" t="s">
        <v>1915</v>
      </c>
      <c r="C1104" t="s">
        <v>1916</v>
      </c>
    </row>
    <row r="1106" spans="1:5" x14ac:dyDescent="0.2">
      <c r="A1106" t="s">
        <v>1917</v>
      </c>
      <c r="B1106" t="s">
        <v>1997</v>
      </c>
      <c r="C1106" t="s">
        <v>1998</v>
      </c>
      <c r="E1106" t="s">
        <v>1911</v>
      </c>
    </row>
    <row r="1107" spans="1:5" x14ac:dyDescent="0.2">
      <c r="A1107" t="s">
        <v>1917</v>
      </c>
      <c r="B1107" t="s">
        <v>1968</v>
      </c>
      <c r="C1107" t="s">
        <v>1969</v>
      </c>
      <c r="E1107" t="s">
        <v>1907</v>
      </c>
    </row>
    <row r="1108" spans="1:5" x14ac:dyDescent="0.2">
      <c r="A1108" t="s">
        <v>1917</v>
      </c>
      <c r="B1108" t="s">
        <v>2051</v>
      </c>
      <c r="C1108" t="s">
        <v>2052</v>
      </c>
      <c r="E1108" t="s">
        <v>1913</v>
      </c>
    </row>
    <row r="1109" spans="1:5" x14ac:dyDescent="0.2">
      <c r="A1109" t="s">
        <v>1917</v>
      </c>
      <c r="B1109" t="s">
        <v>1938</v>
      </c>
      <c r="C1109" t="s">
        <v>1939</v>
      </c>
      <c r="E1109" t="s">
        <v>1905</v>
      </c>
    </row>
    <row r="1110" spans="1:5" x14ac:dyDescent="0.2">
      <c r="A1110" t="s">
        <v>1917</v>
      </c>
      <c r="B1110" t="s">
        <v>1498</v>
      </c>
      <c r="C1110" t="s">
        <v>1499</v>
      </c>
      <c r="E1110" t="s">
        <v>1915</v>
      </c>
    </row>
    <row r="1111" spans="1:5" x14ac:dyDescent="0.2">
      <c r="A1111" t="s">
        <v>1917</v>
      </c>
      <c r="B1111" t="s">
        <v>1918</v>
      </c>
      <c r="C1111" t="s">
        <v>1919</v>
      </c>
      <c r="E1111" t="s">
        <v>1903</v>
      </c>
    </row>
    <row r="1112" spans="1:5" x14ac:dyDescent="0.2">
      <c r="A1112" t="s">
        <v>1917</v>
      </c>
      <c r="B1112" t="s">
        <v>2053</v>
      </c>
      <c r="C1112" t="s">
        <v>2054</v>
      </c>
      <c r="E1112" t="s">
        <v>1913</v>
      </c>
    </row>
    <row r="1113" spans="1:5" x14ac:dyDescent="0.2">
      <c r="A1113" t="s">
        <v>1917</v>
      </c>
      <c r="B1113" t="s">
        <v>2055</v>
      </c>
      <c r="C1113" t="s">
        <v>2056</v>
      </c>
      <c r="E1113" t="s">
        <v>1913</v>
      </c>
    </row>
    <row r="1114" spans="1:5" x14ac:dyDescent="0.2">
      <c r="A1114" t="s">
        <v>1917</v>
      </c>
      <c r="B1114" t="s">
        <v>1999</v>
      </c>
      <c r="C1114" t="s">
        <v>2000</v>
      </c>
      <c r="E1114" t="s">
        <v>1911</v>
      </c>
    </row>
    <row r="1115" spans="1:5" x14ac:dyDescent="0.2">
      <c r="A1115" t="s">
        <v>1917</v>
      </c>
      <c r="B1115" t="s">
        <v>2001</v>
      </c>
      <c r="C1115" t="s">
        <v>2002</v>
      </c>
      <c r="E1115" t="s">
        <v>1911</v>
      </c>
    </row>
    <row r="1116" spans="1:5" x14ac:dyDescent="0.2">
      <c r="A1116" t="s">
        <v>1917</v>
      </c>
      <c r="B1116" t="s">
        <v>1940</v>
      </c>
      <c r="C1116" t="s">
        <v>1941</v>
      </c>
      <c r="E1116" t="s">
        <v>1905</v>
      </c>
    </row>
    <row r="1117" spans="1:5" x14ac:dyDescent="0.2">
      <c r="A1117" t="s">
        <v>1917</v>
      </c>
      <c r="B1117" t="s">
        <v>2003</v>
      </c>
      <c r="C1117" t="s">
        <v>2004</v>
      </c>
      <c r="E1117" t="s">
        <v>1911</v>
      </c>
    </row>
    <row r="1118" spans="1:5" x14ac:dyDescent="0.2">
      <c r="A1118" t="s">
        <v>1917</v>
      </c>
      <c r="B1118" t="s">
        <v>2057</v>
      </c>
      <c r="C1118" t="s">
        <v>2058</v>
      </c>
      <c r="E1118" t="s">
        <v>1913</v>
      </c>
    </row>
    <row r="1119" spans="1:5" x14ac:dyDescent="0.2">
      <c r="A1119" t="s">
        <v>1917</v>
      </c>
      <c r="B1119" t="s">
        <v>1920</v>
      </c>
      <c r="C1119" t="s">
        <v>1921</v>
      </c>
      <c r="E1119" t="s">
        <v>1903</v>
      </c>
    </row>
    <row r="1120" spans="1:5" x14ac:dyDescent="0.2">
      <c r="A1120" t="s">
        <v>1917</v>
      </c>
      <c r="B1120" t="s">
        <v>2005</v>
      </c>
      <c r="C1120" t="s">
        <v>2006</v>
      </c>
      <c r="E1120" t="s">
        <v>1911</v>
      </c>
    </row>
    <row r="1121" spans="1:5" x14ac:dyDescent="0.2">
      <c r="A1121" t="s">
        <v>1917</v>
      </c>
      <c r="B1121" t="s">
        <v>2119</v>
      </c>
      <c r="C1121" t="s">
        <v>2120</v>
      </c>
      <c r="E1121" t="s">
        <v>1915</v>
      </c>
    </row>
    <row r="1122" spans="1:5" x14ac:dyDescent="0.2">
      <c r="A1122" t="s">
        <v>1917</v>
      </c>
      <c r="B1122" t="s">
        <v>1538</v>
      </c>
      <c r="C1122" t="s">
        <v>1539</v>
      </c>
      <c r="E1122" t="s">
        <v>1905</v>
      </c>
    </row>
    <row r="1123" spans="1:5" x14ac:dyDescent="0.2">
      <c r="A1123" t="s">
        <v>1917</v>
      </c>
      <c r="B1123" t="s">
        <v>2059</v>
      </c>
      <c r="C1123" t="s">
        <v>2060</v>
      </c>
      <c r="E1123" t="s">
        <v>1913</v>
      </c>
    </row>
    <row r="1124" spans="1:5" x14ac:dyDescent="0.2">
      <c r="A1124" t="s">
        <v>1917</v>
      </c>
      <c r="B1124" t="s">
        <v>1966</v>
      </c>
      <c r="C1124" t="s">
        <v>1967</v>
      </c>
      <c r="E1124" t="s">
        <v>1905</v>
      </c>
    </row>
    <row r="1125" spans="1:5" x14ac:dyDescent="0.2">
      <c r="A1125" t="s">
        <v>1917</v>
      </c>
      <c r="B1125" t="s">
        <v>1442</v>
      </c>
      <c r="C1125" t="s">
        <v>1443</v>
      </c>
      <c r="E1125" t="s">
        <v>1911</v>
      </c>
    </row>
    <row r="1126" spans="1:5" x14ac:dyDescent="0.2">
      <c r="A1126" t="s">
        <v>1917</v>
      </c>
      <c r="B1126" t="s">
        <v>2061</v>
      </c>
      <c r="C1126" t="s">
        <v>2062</v>
      </c>
      <c r="E1126" t="s">
        <v>1913</v>
      </c>
    </row>
    <row r="1127" spans="1:5" x14ac:dyDescent="0.2">
      <c r="A1127" t="s">
        <v>1917</v>
      </c>
      <c r="B1127" t="s">
        <v>2007</v>
      </c>
      <c r="C1127" t="s">
        <v>2008</v>
      </c>
      <c r="E1127" t="s">
        <v>1911</v>
      </c>
    </row>
    <row r="1128" spans="1:5" x14ac:dyDescent="0.2">
      <c r="A1128" t="s">
        <v>1917</v>
      </c>
      <c r="B1128" t="s">
        <v>1444</v>
      </c>
      <c r="C1128" t="s">
        <v>2009</v>
      </c>
      <c r="E1128" t="s">
        <v>1911</v>
      </c>
    </row>
    <row r="1129" spans="1:5" x14ac:dyDescent="0.2">
      <c r="A1129" t="s">
        <v>1917</v>
      </c>
      <c r="B1129" t="s">
        <v>1446</v>
      </c>
      <c r="C1129" t="s">
        <v>1447</v>
      </c>
      <c r="E1129" t="s">
        <v>1911</v>
      </c>
    </row>
    <row r="1130" spans="1:5" x14ac:dyDescent="0.2">
      <c r="A1130" t="s">
        <v>1917</v>
      </c>
      <c r="B1130" t="s">
        <v>1496</v>
      </c>
      <c r="C1130" t="s">
        <v>1497</v>
      </c>
      <c r="E1130" t="s">
        <v>1915</v>
      </c>
    </row>
    <row r="1131" spans="1:5" x14ac:dyDescent="0.2">
      <c r="A1131" t="s">
        <v>1917</v>
      </c>
      <c r="B1131" t="s">
        <v>1988</v>
      </c>
      <c r="C1131" t="s">
        <v>1989</v>
      </c>
      <c r="E1131" t="s">
        <v>1907</v>
      </c>
    </row>
    <row r="1132" spans="1:5" x14ac:dyDescent="0.2">
      <c r="A1132" t="s">
        <v>1917</v>
      </c>
      <c r="B1132" t="s">
        <v>1942</v>
      </c>
      <c r="C1132" t="s">
        <v>1943</v>
      </c>
      <c r="E1132" t="s">
        <v>1905</v>
      </c>
    </row>
    <row r="1133" spans="1:5" x14ac:dyDescent="0.2">
      <c r="A1133" t="s">
        <v>1917</v>
      </c>
      <c r="B1133" t="s">
        <v>1542</v>
      </c>
      <c r="C1133" t="s">
        <v>1543</v>
      </c>
      <c r="E1133" t="s">
        <v>1913</v>
      </c>
    </row>
    <row r="1134" spans="1:5" x14ac:dyDescent="0.2">
      <c r="A1134" t="s">
        <v>1917</v>
      </c>
      <c r="B1134" t="s">
        <v>1970</v>
      </c>
      <c r="C1134" t="s">
        <v>1971</v>
      </c>
      <c r="E1134" t="s">
        <v>1907</v>
      </c>
    </row>
    <row r="1135" spans="1:5" x14ac:dyDescent="0.2">
      <c r="A1135" t="s">
        <v>1917</v>
      </c>
      <c r="B1135" t="s">
        <v>1964</v>
      </c>
      <c r="C1135" t="s">
        <v>1965</v>
      </c>
      <c r="E1135" t="s">
        <v>1905</v>
      </c>
    </row>
    <row r="1136" spans="1:5" x14ac:dyDescent="0.2">
      <c r="A1136" t="s">
        <v>1917</v>
      </c>
      <c r="B1136" t="s">
        <v>2121</v>
      </c>
      <c r="C1136" t="s">
        <v>2122</v>
      </c>
      <c r="E1136" t="s">
        <v>1915</v>
      </c>
    </row>
    <row r="1137" spans="1:5" x14ac:dyDescent="0.2">
      <c r="A1137" t="s">
        <v>1917</v>
      </c>
      <c r="B1137" t="s">
        <v>2063</v>
      </c>
      <c r="C1137" t="s">
        <v>2064</v>
      </c>
      <c r="E1137" t="s">
        <v>1913</v>
      </c>
    </row>
    <row r="1138" spans="1:5" x14ac:dyDescent="0.2">
      <c r="A1138" t="s">
        <v>1917</v>
      </c>
      <c r="B1138" t="s">
        <v>1972</v>
      </c>
      <c r="C1138" t="s">
        <v>1973</v>
      </c>
      <c r="E1138" t="s">
        <v>1907</v>
      </c>
    </row>
    <row r="1139" spans="1:5" x14ac:dyDescent="0.2">
      <c r="A1139" t="s">
        <v>1917</v>
      </c>
      <c r="B1139" t="s">
        <v>1974</v>
      </c>
      <c r="C1139" t="s">
        <v>1975</v>
      </c>
      <c r="E1139" t="s">
        <v>1907</v>
      </c>
    </row>
    <row r="1140" spans="1:5" x14ac:dyDescent="0.2">
      <c r="A1140" t="s">
        <v>1917</v>
      </c>
      <c r="B1140" t="s">
        <v>1494</v>
      </c>
      <c r="C1140" t="s">
        <v>1495</v>
      </c>
      <c r="E1140" t="s">
        <v>1915</v>
      </c>
    </row>
    <row r="1141" spans="1:5" x14ac:dyDescent="0.2">
      <c r="A1141" t="s">
        <v>1917</v>
      </c>
      <c r="B1141" t="s">
        <v>1976</v>
      </c>
      <c r="C1141" t="s">
        <v>1977</v>
      </c>
      <c r="E1141" t="s">
        <v>1907</v>
      </c>
    </row>
    <row r="1142" spans="1:5" x14ac:dyDescent="0.2">
      <c r="A1142" t="s">
        <v>1917</v>
      </c>
      <c r="B1142" t="s">
        <v>2065</v>
      </c>
      <c r="C1142" t="s">
        <v>2066</v>
      </c>
      <c r="E1142" t="s">
        <v>1913</v>
      </c>
    </row>
    <row r="1143" spans="1:5" x14ac:dyDescent="0.2">
      <c r="A1143" t="s">
        <v>1917</v>
      </c>
      <c r="B1143" t="s">
        <v>2067</v>
      </c>
      <c r="C1143" t="s">
        <v>2068</v>
      </c>
      <c r="E1143" t="s">
        <v>1913</v>
      </c>
    </row>
    <row r="1144" spans="1:5" x14ac:dyDescent="0.2">
      <c r="A1144" t="s">
        <v>1917</v>
      </c>
      <c r="B1144" t="s">
        <v>1992</v>
      </c>
      <c r="C1144" t="s">
        <v>1993</v>
      </c>
      <c r="E1144" t="s">
        <v>1907</v>
      </c>
    </row>
    <row r="1145" spans="1:5" x14ac:dyDescent="0.2">
      <c r="A1145" t="s">
        <v>1917</v>
      </c>
      <c r="B1145" t="s">
        <v>1944</v>
      </c>
      <c r="C1145" t="s">
        <v>1945</v>
      </c>
      <c r="E1145" t="s">
        <v>1905</v>
      </c>
    </row>
    <row r="1146" spans="1:5" x14ac:dyDescent="0.2">
      <c r="A1146" t="s">
        <v>1917</v>
      </c>
      <c r="B1146" t="s">
        <v>2069</v>
      </c>
      <c r="C1146" t="s">
        <v>2070</v>
      </c>
      <c r="E1146" t="s">
        <v>1913</v>
      </c>
    </row>
    <row r="1147" spans="1:5" x14ac:dyDescent="0.2">
      <c r="A1147" t="s">
        <v>1917</v>
      </c>
      <c r="B1147" t="s">
        <v>2010</v>
      </c>
      <c r="C1147" t="s">
        <v>2011</v>
      </c>
      <c r="E1147" t="s">
        <v>1911</v>
      </c>
    </row>
    <row r="1148" spans="1:5" x14ac:dyDescent="0.2">
      <c r="A1148" t="s">
        <v>1917</v>
      </c>
      <c r="B1148" t="s">
        <v>2012</v>
      </c>
      <c r="C1148" t="s">
        <v>2013</v>
      </c>
      <c r="E1148" t="s">
        <v>1911</v>
      </c>
    </row>
    <row r="1149" spans="1:5" x14ac:dyDescent="0.2">
      <c r="A1149" t="s">
        <v>1917</v>
      </c>
      <c r="B1149" t="s">
        <v>1946</v>
      </c>
      <c r="C1149" t="s">
        <v>1947</v>
      </c>
      <c r="E1149" t="s">
        <v>1905</v>
      </c>
    </row>
    <row r="1150" spans="1:5" x14ac:dyDescent="0.2">
      <c r="A1150" t="s">
        <v>1917</v>
      </c>
      <c r="B1150" t="s">
        <v>1924</v>
      </c>
      <c r="C1150" t="s">
        <v>1925</v>
      </c>
      <c r="E1150" t="s">
        <v>1903</v>
      </c>
    </row>
    <row r="1151" spans="1:5" x14ac:dyDescent="0.2">
      <c r="A1151" t="s">
        <v>1917</v>
      </c>
      <c r="B1151" t="s">
        <v>1978</v>
      </c>
      <c r="C1151" t="s">
        <v>1979</v>
      </c>
      <c r="E1151" t="s">
        <v>1907</v>
      </c>
    </row>
    <row r="1152" spans="1:5" x14ac:dyDescent="0.2">
      <c r="A1152" t="s">
        <v>1917</v>
      </c>
      <c r="B1152" t="s">
        <v>2123</v>
      </c>
      <c r="C1152" t="s">
        <v>2124</v>
      </c>
      <c r="E1152" t="s">
        <v>1915</v>
      </c>
    </row>
    <row r="1153" spans="1:5" x14ac:dyDescent="0.2">
      <c r="A1153" t="s">
        <v>1917</v>
      </c>
      <c r="B1153" t="s">
        <v>1996</v>
      </c>
      <c r="C1153" t="s">
        <v>1910</v>
      </c>
      <c r="E1153" t="s">
        <v>1909</v>
      </c>
    </row>
    <row r="1154" spans="1:5" x14ac:dyDescent="0.2">
      <c r="A1154" t="s">
        <v>1917</v>
      </c>
      <c r="B1154" t="s">
        <v>1492</v>
      </c>
      <c r="C1154" t="s">
        <v>1493</v>
      </c>
      <c r="E1154" t="s">
        <v>1915</v>
      </c>
    </row>
    <row r="1155" spans="1:5" x14ac:dyDescent="0.2">
      <c r="A1155" t="s">
        <v>1917</v>
      </c>
      <c r="B1155" t="s">
        <v>1536</v>
      </c>
      <c r="C1155" t="s">
        <v>1537</v>
      </c>
      <c r="E1155" t="s">
        <v>1905</v>
      </c>
    </row>
    <row r="1156" spans="1:5" x14ac:dyDescent="0.2">
      <c r="A1156" t="s">
        <v>1917</v>
      </c>
      <c r="B1156" t="s">
        <v>1490</v>
      </c>
      <c r="C1156" t="s">
        <v>1491</v>
      </c>
      <c r="E1156" t="s">
        <v>1915</v>
      </c>
    </row>
    <row r="1157" spans="1:5" x14ac:dyDescent="0.2">
      <c r="A1157" t="s">
        <v>1917</v>
      </c>
      <c r="B1157" t="s">
        <v>1534</v>
      </c>
      <c r="C1157" t="s">
        <v>1535</v>
      </c>
      <c r="E1157" t="s">
        <v>1905</v>
      </c>
    </row>
    <row r="1158" spans="1:5" x14ac:dyDescent="0.2">
      <c r="A1158" t="s">
        <v>1917</v>
      </c>
      <c r="B1158" t="s">
        <v>2071</v>
      </c>
      <c r="C1158" t="s">
        <v>2072</v>
      </c>
      <c r="E1158" t="s">
        <v>1913</v>
      </c>
    </row>
    <row r="1159" spans="1:5" x14ac:dyDescent="0.2">
      <c r="A1159" t="s">
        <v>1917</v>
      </c>
      <c r="B1159" t="s">
        <v>2073</v>
      </c>
      <c r="C1159" t="s">
        <v>2074</v>
      </c>
      <c r="E1159" t="s">
        <v>1913</v>
      </c>
    </row>
    <row r="1160" spans="1:5" x14ac:dyDescent="0.2">
      <c r="A1160" t="s">
        <v>1917</v>
      </c>
      <c r="B1160" t="s">
        <v>1922</v>
      </c>
      <c r="C1160" t="s">
        <v>1923</v>
      </c>
      <c r="E1160" t="s">
        <v>1903</v>
      </c>
    </row>
    <row r="1161" spans="1:5" x14ac:dyDescent="0.2">
      <c r="A1161" t="s">
        <v>1917</v>
      </c>
      <c r="B1161" t="s">
        <v>1532</v>
      </c>
      <c r="C1161" t="s">
        <v>1533</v>
      </c>
      <c r="E1161" t="s">
        <v>1905</v>
      </c>
    </row>
    <row r="1162" spans="1:5" x14ac:dyDescent="0.2">
      <c r="A1162" t="s">
        <v>1917</v>
      </c>
      <c r="B1162" t="s">
        <v>1530</v>
      </c>
      <c r="C1162" t="s">
        <v>1531</v>
      </c>
      <c r="E1162" t="s">
        <v>1905</v>
      </c>
    </row>
    <row r="1163" spans="1:5" x14ac:dyDescent="0.2">
      <c r="A1163" t="s">
        <v>1917</v>
      </c>
      <c r="B1163" t="s">
        <v>1488</v>
      </c>
      <c r="C1163" t="s">
        <v>1489</v>
      </c>
      <c r="E1163" t="s">
        <v>1915</v>
      </c>
    </row>
    <row r="1164" spans="1:5" x14ac:dyDescent="0.2">
      <c r="A1164" t="s">
        <v>1917</v>
      </c>
      <c r="B1164" t="s">
        <v>2014</v>
      </c>
      <c r="C1164" t="s">
        <v>2015</v>
      </c>
      <c r="E1164" t="s">
        <v>1911</v>
      </c>
    </row>
    <row r="1165" spans="1:5" x14ac:dyDescent="0.2">
      <c r="A1165" t="s">
        <v>1917</v>
      </c>
      <c r="B1165" t="s">
        <v>1486</v>
      </c>
      <c r="C1165" t="s">
        <v>1487</v>
      </c>
      <c r="E1165" t="s">
        <v>1915</v>
      </c>
    </row>
    <row r="1166" spans="1:5" x14ac:dyDescent="0.2">
      <c r="A1166" t="s">
        <v>1917</v>
      </c>
      <c r="B1166" t="s">
        <v>2075</v>
      </c>
      <c r="C1166" t="s">
        <v>2076</v>
      </c>
      <c r="E1166" t="s">
        <v>1913</v>
      </c>
    </row>
    <row r="1167" spans="1:5" x14ac:dyDescent="0.2">
      <c r="A1167" t="s">
        <v>1917</v>
      </c>
      <c r="B1167" t="s">
        <v>1948</v>
      </c>
      <c r="C1167" t="s">
        <v>1949</v>
      </c>
      <c r="E1167" t="s">
        <v>1905</v>
      </c>
    </row>
    <row r="1168" spans="1:5" x14ac:dyDescent="0.2">
      <c r="A1168" t="s">
        <v>1917</v>
      </c>
      <c r="B1168" t="s">
        <v>1484</v>
      </c>
      <c r="C1168" t="s">
        <v>1485</v>
      </c>
      <c r="E1168" t="s">
        <v>1915</v>
      </c>
    </row>
    <row r="1169" spans="1:5" x14ac:dyDescent="0.2">
      <c r="A1169" t="s">
        <v>1917</v>
      </c>
      <c r="B1169" t="s">
        <v>2077</v>
      </c>
      <c r="C1169" t="s">
        <v>2078</v>
      </c>
      <c r="E1169" t="s">
        <v>1913</v>
      </c>
    </row>
    <row r="1170" spans="1:5" x14ac:dyDescent="0.2">
      <c r="A1170" t="s">
        <v>1917</v>
      </c>
      <c r="B1170" t="s">
        <v>1528</v>
      </c>
      <c r="C1170" t="s">
        <v>1529</v>
      </c>
      <c r="E1170" t="s">
        <v>1905</v>
      </c>
    </row>
    <row r="1171" spans="1:5" x14ac:dyDescent="0.2">
      <c r="A1171" t="s">
        <v>1917</v>
      </c>
      <c r="B1171" t="s">
        <v>1984</v>
      </c>
      <c r="C1171" t="s">
        <v>1985</v>
      </c>
      <c r="E1171" t="s">
        <v>1907</v>
      </c>
    </row>
    <row r="1172" spans="1:5" x14ac:dyDescent="0.2">
      <c r="A1172" t="s">
        <v>1917</v>
      </c>
      <c r="B1172" t="s">
        <v>2079</v>
      </c>
      <c r="C1172" t="s">
        <v>2080</v>
      </c>
      <c r="E1172" t="s">
        <v>1913</v>
      </c>
    </row>
    <row r="1173" spans="1:5" x14ac:dyDescent="0.2">
      <c r="A1173" t="s">
        <v>1917</v>
      </c>
      <c r="B1173" t="s">
        <v>1950</v>
      </c>
      <c r="C1173" t="s">
        <v>1951</v>
      </c>
      <c r="E1173" t="s">
        <v>1905</v>
      </c>
    </row>
    <row r="1174" spans="1:5" x14ac:dyDescent="0.2">
      <c r="A1174" t="s">
        <v>1917</v>
      </c>
      <c r="B1174" t="s">
        <v>2016</v>
      </c>
      <c r="C1174" t="s">
        <v>2017</v>
      </c>
      <c r="E1174" t="s">
        <v>1911</v>
      </c>
    </row>
    <row r="1175" spans="1:5" x14ac:dyDescent="0.2">
      <c r="A1175" t="s">
        <v>1917</v>
      </c>
      <c r="B1175" t="s">
        <v>1526</v>
      </c>
      <c r="C1175" t="s">
        <v>1527</v>
      </c>
      <c r="E1175" t="s">
        <v>1905</v>
      </c>
    </row>
    <row r="1176" spans="1:5" x14ac:dyDescent="0.2">
      <c r="A1176" t="s">
        <v>1917</v>
      </c>
      <c r="B1176" t="s">
        <v>1524</v>
      </c>
      <c r="C1176" t="s">
        <v>1525</v>
      </c>
      <c r="E1176" t="s">
        <v>1905</v>
      </c>
    </row>
    <row r="1177" spans="1:5" x14ac:dyDescent="0.2">
      <c r="A1177" t="s">
        <v>1917</v>
      </c>
      <c r="B1177" t="s">
        <v>2018</v>
      </c>
      <c r="C1177" t="s">
        <v>2019</v>
      </c>
      <c r="E1177" t="s">
        <v>1911</v>
      </c>
    </row>
    <row r="1178" spans="1:5" x14ac:dyDescent="0.2">
      <c r="A1178" t="s">
        <v>1917</v>
      </c>
      <c r="B1178" t="s">
        <v>1448</v>
      </c>
      <c r="C1178" t="s">
        <v>2020</v>
      </c>
      <c r="E1178" t="s">
        <v>1911</v>
      </c>
    </row>
    <row r="1179" spans="1:5" x14ac:dyDescent="0.2">
      <c r="A1179" t="s">
        <v>1917</v>
      </c>
      <c r="B1179" t="s">
        <v>2021</v>
      </c>
      <c r="C1179" t="s">
        <v>2022</v>
      </c>
      <c r="E1179" t="s">
        <v>1911</v>
      </c>
    </row>
    <row r="1180" spans="1:5" x14ac:dyDescent="0.2">
      <c r="A1180" t="s">
        <v>1917</v>
      </c>
      <c r="B1180" t="s">
        <v>1952</v>
      </c>
      <c r="C1180" t="s">
        <v>1953</v>
      </c>
      <c r="E1180" t="s">
        <v>1905</v>
      </c>
    </row>
    <row r="1181" spans="1:5" x14ac:dyDescent="0.2">
      <c r="A1181" t="s">
        <v>1917</v>
      </c>
      <c r="B1181" t="s">
        <v>2023</v>
      </c>
      <c r="C1181" t="s">
        <v>2024</v>
      </c>
      <c r="E1181" t="s">
        <v>1911</v>
      </c>
    </row>
    <row r="1182" spans="1:5" x14ac:dyDescent="0.2">
      <c r="A1182" t="s">
        <v>1917</v>
      </c>
      <c r="B1182" t="s">
        <v>2125</v>
      </c>
      <c r="C1182" t="s">
        <v>2126</v>
      </c>
      <c r="E1182" t="s">
        <v>1915</v>
      </c>
    </row>
    <row r="1183" spans="1:5" x14ac:dyDescent="0.2">
      <c r="A1183" t="s">
        <v>1917</v>
      </c>
      <c r="B1183" t="s">
        <v>1926</v>
      </c>
      <c r="C1183" t="s">
        <v>1927</v>
      </c>
      <c r="E1183" t="s">
        <v>1903</v>
      </c>
    </row>
    <row r="1184" spans="1:5" x14ac:dyDescent="0.2">
      <c r="A1184" t="s">
        <v>1917</v>
      </c>
      <c r="B1184" t="s">
        <v>2025</v>
      </c>
      <c r="C1184" t="s">
        <v>2026</v>
      </c>
      <c r="E1184" t="s">
        <v>1911</v>
      </c>
    </row>
    <row r="1185" spans="1:5" x14ac:dyDescent="0.2">
      <c r="A1185" t="s">
        <v>1917</v>
      </c>
      <c r="B1185" t="s">
        <v>2081</v>
      </c>
      <c r="C1185" t="s">
        <v>2082</v>
      </c>
      <c r="E1185" t="s">
        <v>1913</v>
      </c>
    </row>
    <row r="1186" spans="1:5" x14ac:dyDescent="0.2">
      <c r="A1186" t="s">
        <v>1917</v>
      </c>
      <c r="B1186" t="s">
        <v>2027</v>
      </c>
      <c r="C1186" t="s">
        <v>2028</v>
      </c>
      <c r="E1186" t="s">
        <v>1911</v>
      </c>
    </row>
    <row r="1187" spans="1:5" x14ac:dyDescent="0.2">
      <c r="A1187" t="s">
        <v>1917</v>
      </c>
      <c r="B1187" t="s">
        <v>1482</v>
      </c>
      <c r="C1187" t="s">
        <v>1483</v>
      </c>
      <c r="E1187" t="s">
        <v>1915</v>
      </c>
    </row>
    <row r="1188" spans="1:5" x14ac:dyDescent="0.2">
      <c r="A1188" t="s">
        <v>1917</v>
      </c>
      <c r="B1188" t="s">
        <v>1522</v>
      </c>
      <c r="C1188" t="s">
        <v>1523</v>
      </c>
      <c r="E1188" t="s">
        <v>1905</v>
      </c>
    </row>
    <row r="1189" spans="1:5" x14ac:dyDescent="0.2">
      <c r="A1189" t="s">
        <v>1917</v>
      </c>
      <c r="B1189" t="s">
        <v>1954</v>
      </c>
      <c r="C1189" t="s">
        <v>1955</v>
      </c>
      <c r="E1189" t="s">
        <v>1905</v>
      </c>
    </row>
    <row r="1190" spans="1:5" x14ac:dyDescent="0.2">
      <c r="A1190" t="s">
        <v>1917</v>
      </c>
      <c r="B1190" t="s">
        <v>2083</v>
      </c>
      <c r="C1190" t="s">
        <v>2084</v>
      </c>
      <c r="E1190" t="s">
        <v>1913</v>
      </c>
    </row>
    <row r="1191" spans="1:5" x14ac:dyDescent="0.2">
      <c r="A1191" t="s">
        <v>1917</v>
      </c>
      <c r="B1191" t="s">
        <v>2085</v>
      </c>
      <c r="C1191" t="s">
        <v>2086</v>
      </c>
      <c r="E1191" t="s">
        <v>1913</v>
      </c>
    </row>
    <row r="1192" spans="1:5" x14ac:dyDescent="0.2">
      <c r="A1192" t="s">
        <v>1917</v>
      </c>
      <c r="B1192" t="s">
        <v>1520</v>
      </c>
      <c r="C1192" t="s">
        <v>1521</v>
      </c>
      <c r="E1192" t="s">
        <v>1905</v>
      </c>
    </row>
    <row r="1193" spans="1:5" x14ac:dyDescent="0.2">
      <c r="A1193" t="s">
        <v>1917</v>
      </c>
      <c r="B1193" t="s">
        <v>2029</v>
      </c>
      <c r="C1193" t="s">
        <v>2030</v>
      </c>
      <c r="E1193" t="s">
        <v>1911</v>
      </c>
    </row>
    <row r="1194" spans="1:5" x14ac:dyDescent="0.2">
      <c r="A1194" t="s">
        <v>1917</v>
      </c>
      <c r="B1194" t="s">
        <v>1454</v>
      </c>
      <c r="C1194" t="s">
        <v>1455</v>
      </c>
      <c r="E1194" t="s">
        <v>1911</v>
      </c>
    </row>
    <row r="1195" spans="1:5" x14ac:dyDescent="0.2">
      <c r="A1195" t="s">
        <v>1917</v>
      </c>
      <c r="B1195" t="s">
        <v>2127</v>
      </c>
      <c r="C1195" t="s">
        <v>2128</v>
      </c>
      <c r="E1195" t="s">
        <v>1915</v>
      </c>
    </row>
    <row r="1196" spans="1:5" x14ac:dyDescent="0.2">
      <c r="A1196" t="s">
        <v>1917</v>
      </c>
      <c r="B1196" t="s">
        <v>2087</v>
      </c>
      <c r="C1196" t="s">
        <v>2088</v>
      </c>
      <c r="E1196" t="s">
        <v>1913</v>
      </c>
    </row>
    <row r="1197" spans="1:5" x14ac:dyDescent="0.2">
      <c r="A1197" t="s">
        <v>1917</v>
      </c>
      <c r="B1197" t="s">
        <v>2031</v>
      </c>
      <c r="C1197" t="s">
        <v>2032</v>
      </c>
      <c r="E1197" t="s">
        <v>1911</v>
      </c>
    </row>
    <row r="1198" spans="1:5" x14ac:dyDescent="0.2">
      <c r="A1198" t="s">
        <v>1917</v>
      </c>
      <c r="B1198" t="s">
        <v>2033</v>
      </c>
      <c r="C1198" t="s">
        <v>2034</v>
      </c>
      <c r="E1198" t="s">
        <v>1911</v>
      </c>
    </row>
    <row r="1199" spans="1:5" x14ac:dyDescent="0.2">
      <c r="A1199" t="s">
        <v>1917</v>
      </c>
      <c r="B1199" t="s">
        <v>1518</v>
      </c>
      <c r="C1199" t="s">
        <v>1519</v>
      </c>
      <c r="E1199" t="s">
        <v>1905</v>
      </c>
    </row>
    <row r="1200" spans="1:5" x14ac:dyDescent="0.2">
      <c r="A1200" t="s">
        <v>1917</v>
      </c>
      <c r="B1200" t="s">
        <v>1480</v>
      </c>
      <c r="C1200" t="s">
        <v>1481</v>
      </c>
      <c r="E1200" t="s">
        <v>1915</v>
      </c>
    </row>
    <row r="1201" spans="1:5" x14ac:dyDescent="0.2">
      <c r="A1201" t="s">
        <v>1917</v>
      </c>
      <c r="B1201" t="s">
        <v>2089</v>
      </c>
      <c r="C1201" t="s">
        <v>2090</v>
      </c>
      <c r="E1201" t="s">
        <v>1913</v>
      </c>
    </row>
    <row r="1202" spans="1:5" x14ac:dyDescent="0.2">
      <c r="A1202" t="s">
        <v>1917</v>
      </c>
      <c r="B1202" t="s">
        <v>1928</v>
      </c>
      <c r="C1202" t="s">
        <v>1929</v>
      </c>
      <c r="E1202" t="s">
        <v>1903</v>
      </c>
    </row>
    <row r="1203" spans="1:5" x14ac:dyDescent="0.2">
      <c r="A1203" t="s">
        <v>1917</v>
      </c>
      <c r="B1203" t="s">
        <v>1478</v>
      </c>
      <c r="C1203" t="s">
        <v>1479</v>
      </c>
      <c r="E1203" t="s">
        <v>1915</v>
      </c>
    </row>
    <row r="1204" spans="1:5" x14ac:dyDescent="0.2">
      <c r="A1204" t="s">
        <v>1917</v>
      </c>
      <c r="B1204" t="s">
        <v>2035</v>
      </c>
      <c r="C1204" t="s">
        <v>2036</v>
      </c>
      <c r="E1204" t="s">
        <v>1911</v>
      </c>
    </row>
    <row r="1205" spans="1:5" x14ac:dyDescent="0.2">
      <c r="A1205" t="s">
        <v>1917</v>
      </c>
      <c r="B1205" t="s">
        <v>2091</v>
      </c>
      <c r="C1205" t="s">
        <v>2092</v>
      </c>
      <c r="E1205" t="s">
        <v>1913</v>
      </c>
    </row>
    <row r="1206" spans="1:5" x14ac:dyDescent="0.2">
      <c r="A1206" t="s">
        <v>1917</v>
      </c>
      <c r="B1206" t="s">
        <v>1956</v>
      </c>
      <c r="C1206" t="s">
        <v>1957</v>
      </c>
      <c r="E1206" t="s">
        <v>1905</v>
      </c>
    </row>
    <row r="1207" spans="1:5" x14ac:dyDescent="0.2">
      <c r="A1207" t="s">
        <v>1917</v>
      </c>
      <c r="B1207" t="s">
        <v>1930</v>
      </c>
      <c r="C1207" t="s">
        <v>1931</v>
      </c>
      <c r="E1207" t="s">
        <v>1903</v>
      </c>
    </row>
    <row r="1208" spans="1:5" x14ac:dyDescent="0.2">
      <c r="A1208" t="s">
        <v>1917</v>
      </c>
      <c r="B1208" t="s">
        <v>2093</v>
      </c>
      <c r="C1208" t="s">
        <v>2094</v>
      </c>
      <c r="E1208" t="s">
        <v>1913</v>
      </c>
    </row>
    <row r="1209" spans="1:5" x14ac:dyDescent="0.2">
      <c r="A1209" t="s">
        <v>1917</v>
      </c>
      <c r="B1209" t="s">
        <v>1982</v>
      </c>
      <c r="C1209" t="s">
        <v>1983</v>
      </c>
      <c r="E1209" t="s">
        <v>1907</v>
      </c>
    </row>
    <row r="1210" spans="1:5" x14ac:dyDescent="0.2">
      <c r="A1210" t="s">
        <v>1917</v>
      </c>
      <c r="B1210" t="s">
        <v>2095</v>
      </c>
      <c r="C1210" t="s">
        <v>2096</v>
      </c>
      <c r="E1210" t="s">
        <v>1913</v>
      </c>
    </row>
    <row r="1211" spans="1:5" x14ac:dyDescent="0.2">
      <c r="A1211" t="s">
        <v>1917</v>
      </c>
      <c r="B1211" t="s">
        <v>2097</v>
      </c>
      <c r="C1211" t="s">
        <v>2098</v>
      </c>
      <c r="E1211" t="s">
        <v>1913</v>
      </c>
    </row>
    <row r="1212" spans="1:5" x14ac:dyDescent="0.2">
      <c r="A1212" t="s">
        <v>1917</v>
      </c>
      <c r="B1212" t="s">
        <v>1516</v>
      </c>
      <c r="C1212" t="s">
        <v>1517</v>
      </c>
      <c r="E1212" t="s">
        <v>1905</v>
      </c>
    </row>
    <row r="1213" spans="1:5" x14ac:dyDescent="0.2">
      <c r="A1213" t="s">
        <v>1917</v>
      </c>
      <c r="B1213" t="s">
        <v>1476</v>
      </c>
      <c r="C1213" t="s">
        <v>1477</v>
      </c>
      <c r="E1213" t="s">
        <v>1915</v>
      </c>
    </row>
    <row r="1214" spans="1:5" x14ac:dyDescent="0.2">
      <c r="A1214" t="s">
        <v>1917</v>
      </c>
      <c r="B1214" t="s">
        <v>1932</v>
      </c>
      <c r="C1214" t="s">
        <v>1933</v>
      </c>
      <c r="E1214" t="s">
        <v>1903</v>
      </c>
    </row>
    <row r="1215" spans="1:5" x14ac:dyDescent="0.2">
      <c r="A1215" t="s">
        <v>1917</v>
      </c>
      <c r="B1215" t="s">
        <v>2037</v>
      </c>
      <c r="C1215" t="s">
        <v>2038</v>
      </c>
      <c r="E1215" t="s">
        <v>1911</v>
      </c>
    </row>
    <row r="1216" spans="1:5" x14ac:dyDescent="0.2">
      <c r="A1216" t="s">
        <v>1917</v>
      </c>
      <c r="B1216" t="s">
        <v>1458</v>
      </c>
      <c r="C1216" t="s">
        <v>1459</v>
      </c>
      <c r="E1216" t="s">
        <v>1911</v>
      </c>
    </row>
    <row r="1217" spans="1:5" x14ac:dyDescent="0.2">
      <c r="A1217" t="s">
        <v>1917</v>
      </c>
      <c r="B1217" t="s">
        <v>1514</v>
      </c>
      <c r="C1217" t="s">
        <v>1515</v>
      </c>
      <c r="E1217" t="s">
        <v>1905</v>
      </c>
    </row>
    <row r="1218" spans="1:5" x14ac:dyDescent="0.2">
      <c r="A1218" t="s">
        <v>1917</v>
      </c>
      <c r="B1218" t="s">
        <v>2099</v>
      </c>
      <c r="C1218" t="s">
        <v>2100</v>
      </c>
      <c r="E1218" t="s">
        <v>1913</v>
      </c>
    </row>
    <row r="1219" spans="1:5" x14ac:dyDescent="0.2">
      <c r="A1219" t="s">
        <v>1917</v>
      </c>
      <c r="B1219" t="s">
        <v>2039</v>
      </c>
      <c r="C1219" t="s">
        <v>2040</v>
      </c>
      <c r="E1219" t="s">
        <v>1911</v>
      </c>
    </row>
    <row r="1220" spans="1:5" x14ac:dyDescent="0.2">
      <c r="A1220" t="s">
        <v>1917</v>
      </c>
      <c r="B1220" t="s">
        <v>2101</v>
      </c>
      <c r="C1220" t="s">
        <v>2102</v>
      </c>
      <c r="E1220" t="s">
        <v>1913</v>
      </c>
    </row>
    <row r="1221" spans="1:5" x14ac:dyDescent="0.2">
      <c r="A1221" t="s">
        <v>1917</v>
      </c>
      <c r="B1221" t="s">
        <v>1512</v>
      </c>
      <c r="C1221" t="s">
        <v>1513</v>
      </c>
      <c r="E1221" t="s">
        <v>1905</v>
      </c>
    </row>
    <row r="1222" spans="1:5" x14ac:dyDescent="0.2">
      <c r="A1222" t="s">
        <v>1917</v>
      </c>
      <c r="B1222" t="s">
        <v>2041</v>
      </c>
      <c r="C1222" t="s">
        <v>2042</v>
      </c>
      <c r="E1222" t="s">
        <v>1911</v>
      </c>
    </row>
    <row r="1223" spans="1:5" x14ac:dyDescent="0.2">
      <c r="A1223" t="s">
        <v>1917</v>
      </c>
      <c r="B1223" t="s">
        <v>1510</v>
      </c>
      <c r="C1223" t="s">
        <v>1511</v>
      </c>
      <c r="E1223" t="s">
        <v>1905</v>
      </c>
    </row>
    <row r="1224" spans="1:5" x14ac:dyDescent="0.2">
      <c r="A1224" t="s">
        <v>1917</v>
      </c>
      <c r="B1224" t="s">
        <v>1934</v>
      </c>
      <c r="C1224" t="s">
        <v>1935</v>
      </c>
      <c r="E1224" t="s">
        <v>1903</v>
      </c>
    </row>
    <row r="1225" spans="1:5" x14ac:dyDescent="0.2">
      <c r="A1225" t="s">
        <v>1917</v>
      </c>
      <c r="B1225" t="s">
        <v>1508</v>
      </c>
      <c r="C1225" t="s">
        <v>1509</v>
      </c>
      <c r="E1225" t="s">
        <v>1905</v>
      </c>
    </row>
    <row r="1226" spans="1:5" x14ac:dyDescent="0.2">
      <c r="A1226" t="s">
        <v>1917</v>
      </c>
      <c r="B1226" t="s">
        <v>2103</v>
      </c>
      <c r="C1226" t="s">
        <v>2104</v>
      </c>
      <c r="E1226" t="s">
        <v>1913</v>
      </c>
    </row>
    <row r="1227" spans="1:5" x14ac:dyDescent="0.2">
      <c r="A1227" t="s">
        <v>1917</v>
      </c>
      <c r="B1227" t="s">
        <v>1540</v>
      </c>
      <c r="C1227" t="s">
        <v>1541</v>
      </c>
      <c r="E1227" t="s">
        <v>1913</v>
      </c>
    </row>
    <row r="1228" spans="1:5" x14ac:dyDescent="0.2">
      <c r="A1228" t="s">
        <v>1917</v>
      </c>
      <c r="B1228" t="s">
        <v>2105</v>
      </c>
      <c r="C1228" t="s">
        <v>2106</v>
      </c>
      <c r="E1228" t="s">
        <v>1913</v>
      </c>
    </row>
    <row r="1229" spans="1:5" x14ac:dyDescent="0.2">
      <c r="A1229" t="s">
        <v>1917</v>
      </c>
      <c r="B1229" t="s">
        <v>1994</v>
      </c>
      <c r="C1229" t="s">
        <v>1995</v>
      </c>
      <c r="E1229" t="s">
        <v>1907</v>
      </c>
    </row>
    <row r="1230" spans="1:5" x14ac:dyDescent="0.2">
      <c r="A1230" t="s">
        <v>1917</v>
      </c>
      <c r="B1230" t="s">
        <v>2107</v>
      </c>
      <c r="C1230" t="s">
        <v>2108</v>
      </c>
      <c r="E1230" t="s">
        <v>1913</v>
      </c>
    </row>
    <row r="1231" spans="1:5" x14ac:dyDescent="0.2">
      <c r="A1231" t="s">
        <v>1917</v>
      </c>
      <c r="B1231" t="s">
        <v>1474</v>
      </c>
      <c r="C1231" t="s">
        <v>1475</v>
      </c>
      <c r="E1231" t="s">
        <v>1915</v>
      </c>
    </row>
    <row r="1232" spans="1:5" x14ac:dyDescent="0.2">
      <c r="A1232" t="s">
        <v>1917</v>
      </c>
      <c r="B1232" t="s">
        <v>2109</v>
      </c>
      <c r="C1232" t="s">
        <v>2110</v>
      </c>
      <c r="E1232" t="s">
        <v>1913</v>
      </c>
    </row>
    <row r="1233" spans="1:5" x14ac:dyDescent="0.2">
      <c r="A1233" t="s">
        <v>1917</v>
      </c>
      <c r="B1233" t="s">
        <v>1472</v>
      </c>
      <c r="C1233" t="s">
        <v>1473</v>
      </c>
      <c r="E1233" t="s">
        <v>1915</v>
      </c>
    </row>
    <row r="1234" spans="1:5" x14ac:dyDescent="0.2">
      <c r="A1234" t="s">
        <v>1917</v>
      </c>
      <c r="B1234" t="s">
        <v>1962</v>
      </c>
      <c r="C1234" t="s">
        <v>1963</v>
      </c>
      <c r="E1234" t="s">
        <v>1905</v>
      </c>
    </row>
    <row r="1235" spans="1:5" x14ac:dyDescent="0.2">
      <c r="A1235" t="s">
        <v>1917</v>
      </c>
      <c r="B1235" t="s">
        <v>2043</v>
      </c>
      <c r="C1235" t="s">
        <v>2044</v>
      </c>
      <c r="E1235" t="s">
        <v>1911</v>
      </c>
    </row>
    <row r="1236" spans="1:5" x14ac:dyDescent="0.2">
      <c r="A1236" t="s">
        <v>1917</v>
      </c>
      <c r="B1236" t="s">
        <v>2111</v>
      </c>
      <c r="C1236" t="s">
        <v>2112</v>
      </c>
      <c r="E1236" t="s">
        <v>1913</v>
      </c>
    </row>
    <row r="1237" spans="1:5" x14ac:dyDescent="0.2">
      <c r="A1237" t="s">
        <v>1917</v>
      </c>
      <c r="B1237" t="s">
        <v>1958</v>
      </c>
      <c r="C1237" t="s">
        <v>1959</v>
      </c>
      <c r="E1237" t="s">
        <v>1905</v>
      </c>
    </row>
    <row r="1238" spans="1:5" x14ac:dyDescent="0.2">
      <c r="A1238" t="s">
        <v>1917</v>
      </c>
      <c r="B1238" t="s">
        <v>1986</v>
      </c>
      <c r="C1238" t="s">
        <v>1987</v>
      </c>
      <c r="E1238" t="s">
        <v>1907</v>
      </c>
    </row>
    <row r="1239" spans="1:5" x14ac:dyDescent="0.2">
      <c r="A1239" t="s">
        <v>1917</v>
      </c>
      <c r="B1239" t="s">
        <v>1470</v>
      </c>
      <c r="C1239" t="s">
        <v>1471</v>
      </c>
      <c r="E1239" t="s">
        <v>1915</v>
      </c>
    </row>
    <row r="1240" spans="1:5" x14ac:dyDescent="0.2">
      <c r="A1240" t="s">
        <v>1917</v>
      </c>
      <c r="B1240" t="s">
        <v>2113</v>
      </c>
      <c r="C1240" t="s">
        <v>2114</v>
      </c>
      <c r="E1240" t="s">
        <v>1913</v>
      </c>
    </row>
    <row r="1241" spans="1:5" x14ac:dyDescent="0.2">
      <c r="A1241" t="s">
        <v>1917</v>
      </c>
      <c r="B1241" t="s">
        <v>1960</v>
      </c>
      <c r="C1241" t="s">
        <v>1961</v>
      </c>
      <c r="E1241" t="s">
        <v>1905</v>
      </c>
    </row>
    <row r="1242" spans="1:5" x14ac:dyDescent="0.2">
      <c r="A1242" t="s">
        <v>1917</v>
      </c>
      <c r="B1242" t="s">
        <v>1980</v>
      </c>
      <c r="C1242" t="s">
        <v>1981</v>
      </c>
      <c r="E1242" t="s">
        <v>1907</v>
      </c>
    </row>
    <row r="1243" spans="1:5" x14ac:dyDescent="0.2">
      <c r="A1243" t="s">
        <v>1917</v>
      </c>
      <c r="B1243" t="s">
        <v>1506</v>
      </c>
      <c r="C1243" t="s">
        <v>1507</v>
      </c>
      <c r="E1243" t="s">
        <v>1905</v>
      </c>
    </row>
    <row r="1244" spans="1:5" x14ac:dyDescent="0.2">
      <c r="A1244" t="s">
        <v>1917</v>
      </c>
      <c r="B1244" t="s">
        <v>2129</v>
      </c>
      <c r="C1244" t="s">
        <v>2130</v>
      </c>
      <c r="E1244" t="s">
        <v>1915</v>
      </c>
    </row>
    <row r="1245" spans="1:5" x14ac:dyDescent="0.2">
      <c r="A1245" t="s">
        <v>1917</v>
      </c>
      <c r="B1245" t="s">
        <v>2045</v>
      </c>
      <c r="C1245" t="s">
        <v>2046</v>
      </c>
      <c r="E1245" t="s">
        <v>1911</v>
      </c>
    </row>
    <row r="1246" spans="1:5" x14ac:dyDescent="0.2">
      <c r="A1246" t="s">
        <v>1917</v>
      </c>
      <c r="B1246" t="s">
        <v>1936</v>
      </c>
      <c r="C1246" t="s">
        <v>1937</v>
      </c>
      <c r="E1246" t="s">
        <v>1903</v>
      </c>
    </row>
    <row r="1247" spans="1:5" x14ac:dyDescent="0.2">
      <c r="A1247" t="s">
        <v>1917</v>
      </c>
      <c r="B1247" t="s">
        <v>1468</v>
      </c>
      <c r="C1247" t="s">
        <v>1469</v>
      </c>
      <c r="E1247" t="s">
        <v>1915</v>
      </c>
    </row>
    <row r="1248" spans="1:5" x14ac:dyDescent="0.2">
      <c r="A1248" t="s">
        <v>1917</v>
      </c>
      <c r="B1248" t="s">
        <v>1466</v>
      </c>
      <c r="C1248" t="s">
        <v>1467</v>
      </c>
      <c r="E1248" t="s">
        <v>1915</v>
      </c>
    </row>
    <row r="1249" spans="1:5" x14ac:dyDescent="0.2">
      <c r="A1249" t="s">
        <v>1917</v>
      </c>
      <c r="B1249" t="s">
        <v>2047</v>
      </c>
      <c r="C1249" t="s">
        <v>2048</v>
      </c>
      <c r="E1249" t="s">
        <v>1911</v>
      </c>
    </row>
    <row r="1250" spans="1:5" x14ac:dyDescent="0.2">
      <c r="A1250" t="s">
        <v>1917</v>
      </c>
      <c r="B1250" t="s">
        <v>1456</v>
      </c>
      <c r="C1250" t="s">
        <v>1457</v>
      </c>
      <c r="E1250" t="s">
        <v>1911</v>
      </c>
    </row>
    <row r="1251" spans="1:5" x14ac:dyDescent="0.2">
      <c r="A1251" t="s">
        <v>1917</v>
      </c>
      <c r="B1251" t="s">
        <v>2131</v>
      </c>
      <c r="C1251" t="s">
        <v>2132</v>
      </c>
      <c r="E1251" t="s">
        <v>1915</v>
      </c>
    </row>
    <row r="1252" spans="1:5" x14ac:dyDescent="0.2">
      <c r="A1252" t="s">
        <v>1917</v>
      </c>
      <c r="B1252" t="s">
        <v>2133</v>
      </c>
      <c r="C1252" t="s">
        <v>2134</v>
      </c>
      <c r="E1252" t="s">
        <v>1915</v>
      </c>
    </row>
    <row r="1253" spans="1:5" x14ac:dyDescent="0.2">
      <c r="A1253" t="s">
        <v>1917</v>
      </c>
      <c r="B1253" t="s">
        <v>1990</v>
      </c>
      <c r="C1253" t="s">
        <v>1991</v>
      </c>
      <c r="E1253" t="s">
        <v>1907</v>
      </c>
    </row>
    <row r="1254" spans="1:5" x14ac:dyDescent="0.2">
      <c r="A1254" t="s">
        <v>1917</v>
      </c>
      <c r="B1254" t="s">
        <v>1450</v>
      </c>
      <c r="C1254" t="s">
        <v>1451</v>
      </c>
      <c r="E1254" t="s">
        <v>1911</v>
      </c>
    </row>
    <row r="1255" spans="1:5" x14ac:dyDescent="0.2">
      <c r="A1255" t="s">
        <v>1917</v>
      </c>
      <c r="B1255" t="s">
        <v>1464</v>
      </c>
      <c r="C1255" t="s">
        <v>1465</v>
      </c>
      <c r="E1255" t="s">
        <v>1915</v>
      </c>
    </row>
    <row r="1256" spans="1:5" x14ac:dyDescent="0.2">
      <c r="A1256" t="s">
        <v>1917</v>
      </c>
      <c r="B1256" t="s">
        <v>1462</v>
      </c>
      <c r="C1256" t="s">
        <v>1463</v>
      </c>
      <c r="E1256" t="s">
        <v>1915</v>
      </c>
    </row>
    <row r="1257" spans="1:5" x14ac:dyDescent="0.2">
      <c r="A1257" t="s">
        <v>1917</v>
      </c>
      <c r="B1257" t="s">
        <v>2115</v>
      </c>
      <c r="C1257" t="s">
        <v>2116</v>
      </c>
      <c r="E1257" t="s">
        <v>1913</v>
      </c>
    </row>
    <row r="1258" spans="1:5" x14ac:dyDescent="0.2">
      <c r="A1258" t="s">
        <v>1917</v>
      </c>
      <c r="B1258" t="s">
        <v>2049</v>
      </c>
      <c r="C1258" t="s">
        <v>2050</v>
      </c>
      <c r="E1258" t="s">
        <v>1911</v>
      </c>
    </row>
    <row r="1259" spans="1:5" x14ac:dyDescent="0.2">
      <c r="A1259" t="s">
        <v>1917</v>
      </c>
      <c r="B1259" t="s">
        <v>1460</v>
      </c>
      <c r="C1259" t="s">
        <v>1461</v>
      </c>
      <c r="E1259" t="s">
        <v>1915</v>
      </c>
    </row>
    <row r="1260" spans="1:5" x14ac:dyDescent="0.2">
      <c r="A1260" t="s">
        <v>1917</v>
      </c>
      <c r="B1260" t="s">
        <v>1452</v>
      </c>
      <c r="C1260" t="s">
        <v>1453</v>
      </c>
      <c r="E1260" t="s">
        <v>1911</v>
      </c>
    </row>
    <row r="1261" spans="1:5" x14ac:dyDescent="0.2">
      <c r="A1261" t="s">
        <v>1917</v>
      </c>
      <c r="B1261" t="s">
        <v>2117</v>
      </c>
      <c r="C1261" t="s">
        <v>2118</v>
      </c>
      <c r="E1261" t="s">
        <v>1913</v>
      </c>
    </row>
    <row r="1262" spans="1:5" x14ac:dyDescent="0.2">
      <c r="A1262" t="s">
        <v>1917</v>
      </c>
      <c r="B1262" t="s">
        <v>1504</v>
      </c>
      <c r="C1262" t="s">
        <v>1505</v>
      </c>
      <c r="E1262" t="s">
        <v>1905</v>
      </c>
    </row>
    <row r="1263" spans="1:5" x14ac:dyDescent="0.2">
      <c r="A1263" t="s">
        <v>1917</v>
      </c>
      <c r="B1263" t="s">
        <v>2135</v>
      </c>
      <c r="C1263" t="s">
        <v>2136</v>
      </c>
      <c r="E1263" t="s">
        <v>1915</v>
      </c>
    </row>
    <row r="1264" spans="1:5" x14ac:dyDescent="0.2">
      <c r="A1264" t="s">
        <v>1917</v>
      </c>
      <c r="B1264" t="s">
        <v>1502</v>
      </c>
      <c r="C1264" t="s">
        <v>1503</v>
      </c>
      <c r="E1264" t="s">
        <v>1905</v>
      </c>
    </row>
    <row r="1265" spans="1:5" x14ac:dyDescent="0.2">
      <c r="A1265" t="s">
        <v>1917</v>
      </c>
      <c r="B1265" t="s">
        <v>1500</v>
      </c>
      <c r="C1265" t="s">
        <v>1501</v>
      </c>
      <c r="E1265" t="s">
        <v>1905</v>
      </c>
    </row>
    <row r="1266" spans="1:5" x14ac:dyDescent="0.2">
      <c r="A1266"/>
      <c r="B1266"/>
      <c r="C1266"/>
      <c r="E1266"/>
    </row>
    <row r="1267" spans="1:5" x14ac:dyDescent="0.2">
      <c r="A1267"/>
      <c r="B1267"/>
      <c r="C1267"/>
      <c r="E1267"/>
    </row>
    <row r="1268" spans="1:5" x14ac:dyDescent="0.2">
      <c r="A1268"/>
      <c r="B1268"/>
      <c r="C1268"/>
      <c r="E1268"/>
    </row>
    <row r="1269" spans="1:5" x14ac:dyDescent="0.2">
      <c r="A1269"/>
      <c r="B1269"/>
      <c r="C1269"/>
      <c r="E1269"/>
    </row>
    <row r="1270" spans="1:5" x14ac:dyDescent="0.2">
      <c r="A1270"/>
      <c r="B1270"/>
      <c r="C1270"/>
      <c r="E1270"/>
    </row>
    <row r="1271" spans="1:5" x14ac:dyDescent="0.2">
      <c r="A1271"/>
      <c r="B1271"/>
      <c r="C1271"/>
      <c r="E1271"/>
    </row>
    <row r="1272" spans="1:5" x14ac:dyDescent="0.2">
      <c r="A1272"/>
      <c r="B1272"/>
      <c r="C1272"/>
      <c r="E1272"/>
    </row>
    <row r="1273" spans="1:5" x14ac:dyDescent="0.2">
      <c r="A1273"/>
      <c r="B1273"/>
      <c r="C1273"/>
      <c r="E1273"/>
    </row>
    <row r="1274" spans="1:5" x14ac:dyDescent="0.2">
      <c r="A1274"/>
      <c r="B1274"/>
      <c r="C1274"/>
      <c r="E1274"/>
    </row>
    <row r="1275" spans="1:5" x14ac:dyDescent="0.2">
      <c r="A1275"/>
      <c r="B1275"/>
      <c r="C1275"/>
      <c r="E1275"/>
    </row>
    <row r="1276" spans="1:5" x14ac:dyDescent="0.2">
      <c r="A1276"/>
      <c r="B1276"/>
      <c r="C1276"/>
      <c r="E1276"/>
    </row>
    <row r="1277" spans="1:5" x14ac:dyDescent="0.2">
      <c r="A1277"/>
      <c r="B1277"/>
      <c r="C1277"/>
      <c r="E1277"/>
    </row>
    <row r="1278" spans="1:5" x14ac:dyDescent="0.2">
      <c r="A1278"/>
      <c r="B1278"/>
      <c r="C1278"/>
      <c r="E1278"/>
    </row>
    <row r="1279" spans="1:5" x14ac:dyDescent="0.2">
      <c r="A1279"/>
      <c r="B1279"/>
      <c r="C1279"/>
      <c r="E1279"/>
    </row>
    <row r="1280" spans="1:5" x14ac:dyDescent="0.2">
      <c r="A1280"/>
      <c r="B1280"/>
      <c r="C1280"/>
      <c r="E1280"/>
    </row>
    <row r="1281" spans="1:5" x14ac:dyDescent="0.2">
      <c r="A1281"/>
      <c r="B1281"/>
      <c r="C1281"/>
      <c r="E1281"/>
    </row>
    <row r="1282" spans="1:5" x14ac:dyDescent="0.2">
      <c r="A1282"/>
      <c r="B1282"/>
      <c r="C1282"/>
      <c r="E1282"/>
    </row>
    <row r="1283" spans="1:5" x14ac:dyDescent="0.2">
      <c r="A1283"/>
      <c r="B1283"/>
      <c r="C1283"/>
      <c r="E1283"/>
    </row>
    <row r="1284" spans="1:5" x14ac:dyDescent="0.2">
      <c r="A1284"/>
      <c r="B1284"/>
      <c r="C1284"/>
      <c r="E1284"/>
    </row>
    <row r="1285" spans="1:5" x14ac:dyDescent="0.2">
      <c r="A1285"/>
      <c r="B1285"/>
      <c r="C1285"/>
      <c r="E1285"/>
    </row>
    <row r="1286" spans="1:5" x14ac:dyDescent="0.2">
      <c r="A1286"/>
      <c r="B1286"/>
      <c r="C1286"/>
      <c r="E1286"/>
    </row>
    <row r="1287" spans="1:5" x14ac:dyDescent="0.2">
      <c r="A1287"/>
      <c r="B1287"/>
      <c r="C1287"/>
      <c r="E1287"/>
    </row>
    <row r="1288" spans="1:5" x14ac:dyDescent="0.2">
      <c r="A1288"/>
      <c r="B1288"/>
      <c r="C1288"/>
      <c r="E1288"/>
    </row>
    <row r="1289" spans="1:5" x14ac:dyDescent="0.2">
      <c r="A1289"/>
      <c r="B1289"/>
      <c r="C1289"/>
      <c r="E1289"/>
    </row>
    <row r="1290" spans="1:5" x14ac:dyDescent="0.2">
      <c r="A1290"/>
      <c r="B1290"/>
      <c r="C1290"/>
      <c r="E1290"/>
    </row>
    <row r="1291" spans="1:5" x14ac:dyDescent="0.2">
      <c r="A1291"/>
      <c r="B1291"/>
      <c r="C1291"/>
      <c r="E1291"/>
    </row>
    <row r="1292" spans="1:5" x14ac:dyDescent="0.2">
      <c r="A1292"/>
      <c r="B1292"/>
      <c r="C1292"/>
      <c r="E1292"/>
    </row>
    <row r="1293" spans="1:5" x14ac:dyDescent="0.2">
      <c r="A1293"/>
      <c r="B1293"/>
      <c r="C1293"/>
      <c r="E1293"/>
    </row>
    <row r="1294" spans="1:5" x14ac:dyDescent="0.2">
      <c r="A1294"/>
      <c r="B1294"/>
      <c r="C1294"/>
      <c r="E1294"/>
    </row>
    <row r="1295" spans="1:5" x14ac:dyDescent="0.2">
      <c r="A1295"/>
      <c r="B1295"/>
      <c r="C1295"/>
      <c r="E1295"/>
    </row>
    <row r="1296" spans="1:5" x14ac:dyDescent="0.2">
      <c r="A1296"/>
      <c r="B1296"/>
      <c r="C1296"/>
      <c r="E1296"/>
    </row>
    <row r="1297" spans="1:5" x14ac:dyDescent="0.2">
      <c r="A1297"/>
      <c r="B1297"/>
      <c r="C1297"/>
      <c r="E1297"/>
    </row>
    <row r="1298" spans="1:5" x14ac:dyDescent="0.2">
      <c r="A1298"/>
      <c r="B1298"/>
      <c r="C1298"/>
      <c r="E1298"/>
    </row>
    <row r="1299" spans="1:5" x14ac:dyDescent="0.2">
      <c r="A1299"/>
      <c r="B1299"/>
      <c r="C1299"/>
      <c r="E1299"/>
    </row>
    <row r="1300" spans="1:5" x14ac:dyDescent="0.2">
      <c r="A1300"/>
      <c r="B1300"/>
      <c r="C1300"/>
      <c r="E1300"/>
    </row>
    <row r="1301" spans="1:5" x14ac:dyDescent="0.2">
      <c r="A1301"/>
      <c r="B1301"/>
      <c r="C1301"/>
      <c r="E1301"/>
    </row>
    <row r="1302" spans="1:5" x14ac:dyDescent="0.2">
      <c r="A1302"/>
      <c r="B1302"/>
      <c r="C1302"/>
      <c r="E1302"/>
    </row>
    <row r="1303" spans="1:5" x14ac:dyDescent="0.2">
      <c r="A1303"/>
      <c r="B1303"/>
      <c r="C1303"/>
      <c r="E1303"/>
    </row>
    <row r="1304" spans="1:5" x14ac:dyDescent="0.2">
      <c r="A1304"/>
      <c r="B1304"/>
      <c r="C1304"/>
      <c r="E1304"/>
    </row>
    <row r="1305" spans="1:5" x14ac:dyDescent="0.2">
      <c r="A1305"/>
      <c r="B1305"/>
      <c r="C1305"/>
      <c r="E1305"/>
    </row>
    <row r="1306" spans="1:5" x14ac:dyDescent="0.2">
      <c r="A1306"/>
      <c r="B1306"/>
      <c r="C1306"/>
      <c r="E1306"/>
    </row>
    <row r="1307" spans="1:5" x14ac:dyDescent="0.2">
      <c r="A1307"/>
      <c r="B1307"/>
      <c r="C1307"/>
      <c r="E1307"/>
    </row>
    <row r="1308" spans="1:5" x14ac:dyDescent="0.2">
      <c r="A1308"/>
      <c r="B1308"/>
      <c r="C1308"/>
      <c r="E1308"/>
    </row>
    <row r="1309" spans="1:5" x14ac:dyDescent="0.2">
      <c r="A1309"/>
      <c r="B1309"/>
      <c r="C1309"/>
      <c r="E1309"/>
    </row>
    <row r="1310" spans="1:5" x14ac:dyDescent="0.2">
      <c r="A1310"/>
      <c r="B1310"/>
      <c r="C1310"/>
      <c r="E1310"/>
    </row>
    <row r="1311" spans="1:5" x14ac:dyDescent="0.2">
      <c r="A1311"/>
      <c r="B1311"/>
      <c r="C1311"/>
      <c r="E1311"/>
    </row>
    <row r="1312" spans="1:5" x14ac:dyDescent="0.2">
      <c r="A1312"/>
      <c r="B1312"/>
      <c r="C1312"/>
      <c r="E1312"/>
    </row>
    <row r="1313" spans="1:5" x14ac:dyDescent="0.2">
      <c r="A1313"/>
      <c r="B1313"/>
      <c r="C1313"/>
      <c r="E1313"/>
    </row>
    <row r="1314" spans="1:5" x14ac:dyDescent="0.2">
      <c r="A1314"/>
      <c r="B1314"/>
      <c r="C1314"/>
      <c r="E1314"/>
    </row>
    <row r="1315" spans="1:5" x14ac:dyDescent="0.2">
      <c r="A1315"/>
      <c r="B1315"/>
      <c r="C1315"/>
      <c r="E1315"/>
    </row>
    <row r="1316" spans="1:5" x14ac:dyDescent="0.2">
      <c r="A1316"/>
      <c r="B1316"/>
      <c r="C1316"/>
      <c r="E1316"/>
    </row>
    <row r="1317" spans="1:5" x14ac:dyDescent="0.2">
      <c r="A1317"/>
      <c r="B1317"/>
      <c r="C1317"/>
      <c r="E1317"/>
    </row>
    <row r="1318" spans="1:5" x14ac:dyDescent="0.2">
      <c r="A1318"/>
      <c r="B1318"/>
      <c r="C1318"/>
      <c r="E1318"/>
    </row>
    <row r="1319" spans="1:5" x14ac:dyDescent="0.2">
      <c r="A1319"/>
      <c r="B1319"/>
      <c r="C1319"/>
      <c r="E1319"/>
    </row>
    <row r="1320" spans="1:5" x14ac:dyDescent="0.2">
      <c r="A1320"/>
      <c r="B1320"/>
      <c r="C1320"/>
      <c r="E1320"/>
    </row>
    <row r="1321" spans="1:5" x14ac:dyDescent="0.2">
      <c r="A1321"/>
      <c r="B1321"/>
      <c r="C1321"/>
      <c r="E1321"/>
    </row>
    <row r="1322" spans="1:5" x14ac:dyDescent="0.2">
      <c r="A1322"/>
      <c r="B1322"/>
      <c r="C1322"/>
      <c r="E1322"/>
    </row>
    <row r="1323" spans="1:5" x14ac:dyDescent="0.2">
      <c r="A1323"/>
      <c r="B1323"/>
      <c r="C1323"/>
      <c r="E1323"/>
    </row>
    <row r="1324" spans="1:5" x14ac:dyDescent="0.2">
      <c r="A1324"/>
      <c r="B1324"/>
      <c r="C1324"/>
      <c r="E1324"/>
    </row>
    <row r="1325" spans="1:5" x14ac:dyDescent="0.2">
      <c r="A1325"/>
      <c r="B1325"/>
      <c r="C1325"/>
      <c r="E1325"/>
    </row>
    <row r="1326" spans="1:5" x14ac:dyDescent="0.2">
      <c r="A1326"/>
      <c r="B1326"/>
      <c r="C1326"/>
      <c r="E1326"/>
    </row>
    <row r="1327" spans="1:5" x14ac:dyDescent="0.2">
      <c r="A1327"/>
      <c r="B1327"/>
      <c r="C1327"/>
      <c r="E1327"/>
    </row>
    <row r="1328" spans="1:5" x14ac:dyDescent="0.2">
      <c r="A1328"/>
      <c r="B1328"/>
      <c r="C1328"/>
      <c r="E1328"/>
    </row>
    <row r="1329" spans="1:5" x14ac:dyDescent="0.2">
      <c r="A1329"/>
      <c r="B1329"/>
      <c r="C1329"/>
      <c r="E1329"/>
    </row>
    <row r="1330" spans="1:5" x14ac:dyDescent="0.2">
      <c r="A1330"/>
      <c r="B1330"/>
      <c r="C1330"/>
      <c r="E1330"/>
    </row>
    <row r="1331" spans="1:5" x14ac:dyDescent="0.2">
      <c r="A1331"/>
      <c r="B1331"/>
      <c r="C1331"/>
      <c r="E1331"/>
    </row>
    <row r="1332" spans="1:5" x14ac:dyDescent="0.2">
      <c r="A1332"/>
      <c r="B1332"/>
      <c r="C1332"/>
      <c r="E1332"/>
    </row>
    <row r="1333" spans="1:5" x14ac:dyDescent="0.2">
      <c r="A1333"/>
      <c r="B1333"/>
      <c r="C1333"/>
      <c r="E1333"/>
    </row>
    <row r="1334" spans="1:5" x14ac:dyDescent="0.2">
      <c r="A1334"/>
      <c r="B1334"/>
      <c r="C1334"/>
      <c r="E1334"/>
    </row>
    <row r="1335" spans="1:5" x14ac:dyDescent="0.2">
      <c r="A1335"/>
      <c r="B1335"/>
      <c r="C1335"/>
      <c r="E1335"/>
    </row>
    <row r="1336" spans="1:5" x14ac:dyDescent="0.2">
      <c r="A1336"/>
      <c r="B1336"/>
      <c r="C1336"/>
      <c r="E1336"/>
    </row>
    <row r="1337" spans="1:5" x14ac:dyDescent="0.2">
      <c r="A1337"/>
      <c r="B1337"/>
      <c r="C1337"/>
      <c r="E1337"/>
    </row>
    <row r="1338" spans="1:5" x14ac:dyDescent="0.2">
      <c r="A1338"/>
      <c r="B1338"/>
      <c r="C1338"/>
      <c r="E1338"/>
    </row>
    <row r="1339" spans="1:5" x14ac:dyDescent="0.2">
      <c r="A1339"/>
      <c r="B1339"/>
      <c r="C1339"/>
      <c r="E1339"/>
    </row>
    <row r="1340" spans="1:5" x14ac:dyDescent="0.2">
      <c r="A1340"/>
      <c r="B1340"/>
      <c r="C1340"/>
      <c r="E1340"/>
    </row>
    <row r="1341" spans="1:5" x14ac:dyDescent="0.2">
      <c r="A1341"/>
      <c r="B1341"/>
      <c r="C1341"/>
      <c r="E1341"/>
    </row>
    <row r="1342" spans="1:5" x14ac:dyDescent="0.2">
      <c r="A1342"/>
      <c r="B1342"/>
      <c r="C1342"/>
      <c r="E1342"/>
    </row>
    <row r="1343" spans="1:5" x14ac:dyDescent="0.2">
      <c r="A1343"/>
      <c r="B1343"/>
      <c r="C1343"/>
      <c r="E1343"/>
    </row>
    <row r="1344" spans="1:5" x14ac:dyDescent="0.2">
      <c r="A1344"/>
      <c r="B1344"/>
      <c r="C1344"/>
      <c r="E1344"/>
    </row>
    <row r="1345" spans="1:5" x14ac:dyDescent="0.2">
      <c r="A1345"/>
      <c r="B1345"/>
      <c r="C1345"/>
      <c r="E1345"/>
    </row>
    <row r="1346" spans="1:5" x14ac:dyDescent="0.2">
      <c r="A1346"/>
      <c r="B1346"/>
      <c r="C1346"/>
      <c r="E1346"/>
    </row>
    <row r="1347" spans="1:5" x14ac:dyDescent="0.2">
      <c r="A1347"/>
      <c r="B1347"/>
      <c r="C1347"/>
      <c r="E1347"/>
    </row>
    <row r="1348" spans="1:5" x14ac:dyDescent="0.2">
      <c r="A1348"/>
      <c r="B1348"/>
      <c r="C1348"/>
      <c r="E1348"/>
    </row>
    <row r="1349" spans="1:5" x14ac:dyDescent="0.2">
      <c r="A1349"/>
      <c r="B1349"/>
      <c r="C1349"/>
      <c r="E1349"/>
    </row>
    <row r="1350" spans="1:5" x14ac:dyDescent="0.2">
      <c r="A1350"/>
      <c r="B1350"/>
      <c r="C1350"/>
      <c r="E1350"/>
    </row>
    <row r="1351" spans="1:5" x14ac:dyDescent="0.2">
      <c r="A1351"/>
      <c r="B1351"/>
      <c r="C1351"/>
      <c r="E1351"/>
    </row>
    <row r="1352" spans="1:5" x14ac:dyDescent="0.2">
      <c r="A1352"/>
      <c r="B1352"/>
      <c r="C1352"/>
      <c r="E1352"/>
    </row>
    <row r="1353" spans="1:5" x14ac:dyDescent="0.2">
      <c r="A1353"/>
      <c r="B1353"/>
      <c r="C1353"/>
      <c r="E1353"/>
    </row>
    <row r="1354" spans="1:5" x14ac:dyDescent="0.2">
      <c r="A1354"/>
      <c r="B1354"/>
      <c r="C1354"/>
      <c r="E1354"/>
    </row>
    <row r="1355" spans="1:5" x14ac:dyDescent="0.2">
      <c r="A1355"/>
      <c r="B1355"/>
      <c r="C1355"/>
      <c r="E1355"/>
    </row>
    <row r="1356" spans="1:5" x14ac:dyDescent="0.2">
      <c r="A1356"/>
      <c r="B1356"/>
      <c r="C1356"/>
      <c r="E1356"/>
    </row>
    <row r="1357" spans="1:5" x14ac:dyDescent="0.2">
      <c r="A1357"/>
      <c r="B1357"/>
      <c r="C1357"/>
      <c r="E1357"/>
    </row>
    <row r="1358" spans="1:5" x14ac:dyDescent="0.2">
      <c r="A1358"/>
      <c r="B1358"/>
      <c r="C1358"/>
      <c r="E1358"/>
    </row>
    <row r="1359" spans="1:5" x14ac:dyDescent="0.2">
      <c r="A1359"/>
      <c r="B1359"/>
      <c r="C1359"/>
      <c r="E1359"/>
    </row>
    <row r="1360" spans="1:5" x14ac:dyDescent="0.2">
      <c r="A1360"/>
      <c r="B1360"/>
      <c r="C1360"/>
      <c r="E1360"/>
    </row>
    <row r="1361" spans="1:5" x14ac:dyDescent="0.2">
      <c r="A1361"/>
      <c r="B1361"/>
      <c r="C1361"/>
      <c r="E1361"/>
    </row>
    <row r="1362" spans="1:5" x14ac:dyDescent="0.2">
      <c r="A1362"/>
      <c r="B1362"/>
      <c r="C1362"/>
      <c r="E1362"/>
    </row>
    <row r="1363" spans="1:5" x14ac:dyDescent="0.2">
      <c r="A1363"/>
      <c r="B1363"/>
      <c r="C1363"/>
      <c r="E1363"/>
    </row>
    <row r="1364" spans="1:5" x14ac:dyDescent="0.2">
      <c r="A1364"/>
      <c r="B1364"/>
      <c r="C1364"/>
      <c r="E1364"/>
    </row>
    <row r="1365" spans="1:5" x14ac:dyDescent="0.2">
      <c r="A1365"/>
      <c r="B1365"/>
      <c r="C1365"/>
      <c r="E1365"/>
    </row>
    <row r="1366" spans="1:5" x14ac:dyDescent="0.2">
      <c r="A1366"/>
      <c r="B1366"/>
      <c r="C1366"/>
      <c r="E1366"/>
    </row>
    <row r="1367" spans="1:5" x14ac:dyDescent="0.2">
      <c r="A1367"/>
      <c r="B1367"/>
      <c r="C1367"/>
      <c r="E1367"/>
    </row>
    <row r="1368" spans="1:5" x14ac:dyDescent="0.2">
      <c r="A1368"/>
      <c r="B1368"/>
      <c r="C1368"/>
      <c r="E1368"/>
    </row>
    <row r="1369" spans="1:5" x14ac:dyDescent="0.2">
      <c r="A1369"/>
      <c r="B1369"/>
      <c r="C1369"/>
      <c r="E1369"/>
    </row>
    <row r="1370" spans="1:5" x14ac:dyDescent="0.2">
      <c r="A1370"/>
      <c r="B1370"/>
      <c r="C1370"/>
      <c r="E1370"/>
    </row>
    <row r="1371" spans="1:5" x14ac:dyDescent="0.2">
      <c r="A1371"/>
      <c r="B1371"/>
      <c r="C1371"/>
      <c r="E1371"/>
    </row>
    <row r="1372" spans="1:5" x14ac:dyDescent="0.2">
      <c r="A1372"/>
      <c r="B1372"/>
      <c r="C1372"/>
      <c r="E1372"/>
    </row>
    <row r="1373" spans="1:5" x14ac:dyDescent="0.2">
      <c r="A1373"/>
      <c r="B1373"/>
      <c r="C1373"/>
      <c r="E1373"/>
    </row>
    <row r="1374" spans="1:5" x14ac:dyDescent="0.2">
      <c r="A1374"/>
      <c r="B1374"/>
      <c r="C1374"/>
      <c r="E1374"/>
    </row>
    <row r="1375" spans="1:5" x14ac:dyDescent="0.2">
      <c r="A1375"/>
      <c r="B1375"/>
      <c r="C1375"/>
      <c r="E1375"/>
    </row>
    <row r="1376" spans="1:5" x14ac:dyDescent="0.2">
      <c r="A1376"/>
      <c r="B1376"/>
      <c r="C1376"/>
      <c r="E1376"/>
    </row>
    <row r="1377" spans="1:5" x14ac:dyDescent="0.2">
      <c r="A1377"/>
      <c r="B1377"/>
      <c r="C1377"/>
      <c r="E1377"/>
    </row>
    <row r="1378" spans="1:5" x14ac:dyDescent="0.2">
      <c r="A1378"/>
      <c r="B1378"/>
      <c r="C1378"/>
      <c r="E1378"/>
    </row>
    <row r="1379" spans="1:5" x14ac:dyDescent="0.2">
      <c r="A1379"/>
      <c r="B1379"/>
      <c r="C1379"/>
      <c r="E1379"/>
    </row>
    <row r="1380" spans="1:5" x14ac:dyDescent="0.2">
      <c r="A1380"/>
      <c r="B1380"/>
      <c r="C1380"/>
      <c r="E1380"/>
    </row>
    <row r="1381" spans="1:5" x14ac:dyDescent="0.2">
      <c r="A1381"/>
      <c r="B1381"/>
      <c r="C1381"/>
      <c r="E1381"/>
    </row>
    <row r="1382" spans="1:5" x14ac:dyDescent="0.2">
      <c r="A1382"/>
      <c r="B1382"/>
      <c r="C1382"/>
      <c r="E1382"/>
    </row>
    <row r="1383" spans="1:5" x14ac:dyDescent="0.2">
      <c r="A1383"/>
      <c r="B1383"/>
      <c r="C1383"/>
      <c r="E1383"/>
    </row>
    <row r="1384" spans="1:5" x14ac:dyDescent="0.2">
      <c r="A1384"/>
      <c r="B1384"/>
      <c r="C1384"/>
      <c r="E1384"/>
    </row>
    <row r="1385" spans="1:5" x14ac:dyDescent="0.2">
      <c r="A1385"/>
      <c r="B1385"/>
      <c r="C1385"/>
      <c r="E1385"/>
    </row>
    <row r="1386" spans="1:5" x14ac:dyDescent="0.2">
      <c r="A1386"/>
      <c r="B1386"/>
      <c r="C1386"/>
      <c r="E1386"/>
    </row>
    <row r="1387" spans="1:5" x14ac:dyDescent="0.2">
      <c r="A1387"/>
      <c r="B1387"/>
      <c r="C1387"/>
      <c r="E1387"/>
    </row>
    <row r="1388" spans="1:5" x14ac:dyDescent="0.2">
      <c r="A1388"/>
      <c r="B1388"/>
      <c r="C1388"/>
      <c r="E1388"/>
    </row>
    <row r="1389" spans="1:5" x14ac:dyDescent="0.2">
      <c r="A1389"/>
      <c r="B1389"/>
      <c r="C1389"/>
      <c r="E1389"/>
    </row>
    <row r="1390" spans="1:5" x14ac:dyDescent="0.2">
      <c r="A1390"/>
      <c r="B1390"/>
      <c r="C1390"/>
      <c r="E1390"/>
    </row>
    <row r="1391" spans="1:5" x14ac:dyDescent="0.2">
      <c r="A1391"/>
      <c r="B1391"/>
      <c r="C1391"/>
      <c r="E1391"/>
    </row>
    <row r="1392" spans="1:5" x14ac:dyDescent="0.2">
      <c r="A1392"/>
      <c r="B1392"/>
      <c r="C1392"/>
      <c r="E1392"/>
    </row>
    <row r="1393" spans="1:5" x14ac:dyDescent="0.2">
      <c r="A1393"/>
      <c r="B1393"/>
      <c r="C1393"/>
      <c r="E1393"/>
    </row>
    <row r="1394" spans="1:5" x14ac:dyDescent="0.2">
      <c r="A1394"/>
      <c r="B1394"/>
      <c r="C1394"/>
      <c r="E1394"/>
    </row>
    <row r="1395" spans="1:5" x14ac:dyDescent="0.2">
      <c r="A1395"/>
      <c r="B1395"/>
      <c r="C1395"/>
      <c r="E1395"/>
    </row>
    <row r="1396" spans="1:5" x14ac:dyDescent="0.2">
      <c r="A1396"/>
      <c r="B1396"/>
      <c r="C1396"/>
      <c r="E1396"/>
    </row>
  </sheetData>
  <phoneticPr fontId="35" type="noConversion"/>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C41" sqref="C41"/>
    </sheetView>
  </sheetViews>
  <sheetFormatPr baseColWidth="10" defaultColWidth="8.83203125" defaultRowHeight="15" x14ac:dyDescent="0.2"/>
  <cols>
    <col min="1" max="4" width="28.1640625" style="3" customWidth="1"/>
    <col min="5" max="6" width="8.83203125" style="3" customWidth="1"/>
    <col min="7" max="16384" width="8.83203125" style="3"/>
  </cols>
  <sheetData>
    <row r="1" spans="1:4" s="2" customFormat="1" x14ac:dyDescent="0.2">
      <c r="A1" s="6" t="s">
        <v>2148</v>
      </c>
      <c r="B1" s="6" t="s">
        <v>2149</v>
      </c>
      <c r="C1" s="6" t="s">
        <v>2150</v>
      </c>
      <c r="D1" s="6" t="s">
        <v>2151</v>
      </c>
    </row>
    <row r="2" spans="1:4" x14ac:dyDescent="0.2">
      <c r="A2" s="3" t="s">
        <v>2152</v>
      </c>
      <c r="B2" s="4" t="s">
        <v>2153</v>
      </c>
      <c r="C2" t="s">
        <v>29</v>
      </c>
      <c r="D2" s="3" t="s">
        <v>2154</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E95"/>
  <sheetViews>
    <sheetView workbookViewId="0">
      <pane ySplit="3" topLeftCell="A68" activePane="bottomLeft" state="frozen"/>
      <selection pane="bottomLeft" activeCell="C51" sqref="C51"/>
    </sheetView>
  </sheetViews>
  <sheetFormatPr baseColWidth="10" defaultColWidth="10.83203125" defaultRowHeight="15" x14ac:dyDescent="0.2"/>
  <cols>
    <col min="1" max="2" width="10.83203125" style="123" customWidth="1"/>
    <col min="3" max="3" width="15.1640625" style="137" customWidth="1"/>
    <col min="4" max="4" width="10.83203125" style="138" customWidth="1"/>
    <col min="5" max="5" width="28.6640625" style="139" customWidth="1"/>
    <col min="6" max="7" width="10.83203125" style="123" customWidth="1"/>
    <col min="8" max="16384" width="10.83203125" style="123"/>
  </cols>
  <sheetData>
    <row r="2" spans="2:5" x14ac:dyDescent="0.2">
      <c r="C2" s="124"/>
      <c r="D2" s="125"/>
      <c r="E2" s="126"/>
    </row>
    <row r="3" spans="2:5" ht="30" customHeight="1" x14ac:dyDescent="0.2">
      <c r="B3" s="127"/>
      <c r="C3" s="128" t="s">
        <v>2155</v>
      </c>
      <c r="D3" s="129" t="s">
        <v>2156</v>
      </c>
      <c r="E3" s="130" t="s">
        <v>2157</v>
      </c>
    </row>
    <row r="4" spans="2:5" ht="15.75" customHeight="1" x14ac:dyDescent="0.2">
      <c r="B4" s="127"/>
      <c r="C4" s="9" t="s">
        <v>2158</v>
      </c>
      <c r="D4" s="131" t="s">
        <v>1712</v>
      </c>
      <c r="E4" s="132" t="s">
        <v>1713</v>
      </c>
    </row>
    <row r="5" spans="2:5" ht="15.75" customHeight="1" x14ac:dyDescent="0.2">
      <c r="B5" s="127"/>
      <c r="C5" s="9"/>
      <c r="D5" s="131" t="s">
        <v>1732</v>
      </c>
      <c r="E5" s="132" t="s">
        <v>1733</v>
      </c>
    </row>
    <row r="6" spans="2:5" ht="15.75" customHeight="1" x14ac:dyDescent="0.2">
      <c r="B6" s="127"/>
      <c r="C6" s="9"/>
      <c r="D6" s="131" t="s">
        <v>1734</v>
      </c>
      <c r="E6" s="132" t="s">
        <v>1735</v>
      </c>
    </row>
    <row r="7" spans="2:5" ht="15.75" customHeight="1" x14ac:dyDescent="0.2">
      <c r="B7" s="127"/>
      <c r="C7" s="9"/>
      <c r="D7" s="131" t="s">
        <v>1736</v>
      </c>
      <c r="E7" s="132" t="s">
        <v>1737</v>
      </c>
    </row>
    <row r="8" spans="2:5" ht="15.75" customHeight="1" x14ac:dyDescent="0.2">
      <c r="B8" s="127"/>
      <c r="C8" s="9" t="s">
        <v>2158</v>
      </c>
      <c r="D8" s="131" t="s">
        <v>1714</v>
      </c>
      <c r="E8" s="132" t="s">
        <v>1715</v>
      </c>
    </row>
    <row r="9" spans="2:5" ht="15.75" customHeight="1" x14ac:dyDescent="0.2">
      <c r="B9" s="127"/>
      <c r="C9" s="9"/>
      <c r="D9" s="131" t="s">
        <v>1738</v>
      </c>
      <c r="E9" s="132" t="s">
        <v>1739</v>
      </c>
    </row>
    <row r="10" spans="2:5" ht="15.75" customHeight="1" x14ac:dyDescent="0.2">
      <c r="B10" s="127"/>
      <c r="C10" s="160"/>
      <c r="D10" s="131" t="s">
        <v>1740</v>
      </c>
      <c r="E10" s="133" t="s">
        <v>1741</v>
      </c>
    </row>
    <row r="11" spans="2:5" ht="15.75" customHeight="1" x14ac:dyDescent="0.2">
      <c r="B11" s="127"/>
      <c r="C11" s="9"/>
      <c r="D11" s="131" t="s">
        <v>1742</v>
      </c>
      <c r="E11" s="132" t="s">
        <v>1743</v>
      </c>
    </row>
    <row r="12" spans="2:5" ht="15.75" customHeight="1" x14ac:dyDescent="0.2">
      <c r="B12" s="127"/>
      <c r="C12" s="9"/>
      <c r="D12" s="131" t="s">
        <v>1744</v>
      </c>
      <c r="E12" s="132" t="s">
        <v>1745</v>
      </c>
    </row>
    <row r="13" spans="2:5" ht="15.75" customHeight="1" x14ac:dyDescent="0.2">
      <c r="B13" s="127"/>
      <c r="C13" s="9"/>
      <c r="D13" s="131" t="s">
        <v>1746</v>
      </c>
      <c r="E13" s="132" t="s">
        <v>1747</v>
      </c>
    </row>
    <row r="14" spans="2:5" ht="15.75" customHeight="1" x14ac:dyDescent="0.2">
      <c r="B14" s="127"/>
      <c r="C14" s="9"/>
      <c r="D14" s="131" t="s">
        <v>1748</v>
      </c>
      <c r="E14" s="132" t="s">
        <v>1749</v>
      </c>
    </row>
    <row r="15" spans="2:5" ht="15.75" customHeight="1" x14ac:dyDescent="0.2">
      <c r="B15" s="127"/>
      <c r="C15" s="9"/>
      <c r="D15" s="131" t="s">
        <v>1750</v>
      </c>
      <c r="E15" s="132" t="s">
        <v>1751</v>
      </c>
    </row>
    <row r="16" spans="2:5" ht="15.75" customHeight="1" x14ac:dyDescent="0.2">
      <c r="B16" s="127"/>
      <c r="C16" s="9"/>
      <c r="D16" s="131" t="s">
        <v>1752</v>
      </c>
      <c r="E16" s="132" t="s">
        <v>1753</v>
      </c>
    </row>
    <row r="17" spans="2:5" ht="15.75" customHeight="1" x14ac:dyDescent="0.2">
      <c r="B17" s="127"/>
      <c r="C17" s="160"/>
      <c r="D17" s="131" t="s">
        <v>1754</v>
      </c>
      <c r="E17" s="133" t="s">
        <v>1755</v>
      </c>
    </row>
    <row r="18" spans="2:5" ht="15.75" customHeight="1" x14ac:dyDescent="0.2">
      <c r="B18" s="127"/>
      <c r="C18" s="9"/>
      <c r="D18" s="131" t="s">
        <v>1756</v>
      </c>
      <c r="E18" s="132" t="s">
        <v>1757</v>
      </c>
    </row>
    <row r="19" spans="2:5" ht="15.75" customHeight="1" x14ac:dyDescent="0.2">
      <c r="B19" s="127"/>
      <c r="C19" s="9"/>
      <c r="D19" s="131" t="s">
        <v>1758</v>
      </c>
      <c r="E19" s="132" t="s">
        <v>1759</v>
      </c>
    </row>
    <row r="20" spans="2:5" ht="15.75" customHeight="1" x14ac:dyDescent="0.2">
      <c r="B20" s="127"/>
      <c r="C20" s="9"/>
      <c r="D20" s="131" t="s">
        <v>1760</v>
      </c>
      <c r="E20" s="132" t="s">
        <v>1761</v>
      </c>
    </row>
    <row r="21" spans="2:5" ht="15.75" customHeight="1" x14ac:dyDescent="0.2">
      <c r="B21" s="127"/>
      <c r="C21" s="9"/>
      <c r="D21" s="131" t="s">
        <v>1762</v>
      </c>
      <c r="E21" s="132" t="s">
        <v>1763</v>
      </c>
    </row>
    <row r="22" spans="2:5" ht="15.75" customHeight="1" x14ac:dyDescent="0.2">
      <c r="B22" s="127"/>
      <c r="C22" s="9"/>
      <c r="D22" s="131" t="s">
        <v>1764</v>
      </c>
      <c r="E22" s="132" t="s">
        <v>1765</v>
      </c>
    </row>
    <row r="23" spans="2:5" ht="15.75" customHeight="1" x14ac:dyDescent="0.2">
      <c r="B23" s="127"/>
      <c r="C23" s="9"/>
      <c r="D23" s="131" t="s">
        <v>1766</v>
      </c>
      <c r="E23" s="132" t="s">
        <v>1767</v>
      </c>
    </row>
    <row r="24" spans="2:5" ht="15.75" customHeight="1" x14ac:dyDescent="0.2">
      <c r="B24" s="127"/>
      <c r="C24" s="9"/>
      <c r="D24" s="131" t="s">
        <v>1768</v>
      </c>
      <c r="E24" s="132" t="s">
        <v>1769</v>
      </c>
    </row>
    <row r="25" spans="2:5" ht="15.75" customHeight="1" x14ac:dyDescent="0.2">
      <c r="B25" s="127"/>
      <c r="C25" s="160"/>
      <c r="D25" s="131" t="s">
        <v>1770</v>
      </c>
      <c r="E25" s="133" t="s">
        <v>1771</v>
      </c>
    </row>
    <row r="26" spans="2:5" ht="15.75" customHeight="1" x14ac:dyDescent="0.2">
      <c r="B26" s="127"/>
      <c r="C26" s="9"/>
      <c r="D26" s="131" t="s">
        <v>1772</v>
      </c>
      <c r="E26" s="132" t="s">
        <v>1773</v>
      </c>
    </row>
    <row r="27" spans="2:5" ht="15.75" customHeight="1" x14ac:dyDescent="0.2">
      <c r="B27" s="127"/>
      <c r="C27" s="9"/>
      <c r="D27" s="131" t="s">
        <v>1776</v>
      </c>
      <c r="E27" s="132" t="s">
        <v>1777</v>
      </c>
    </row>
    <row r="28" spans="2:5" ht="15.75" customHeight="1" x14ac:dyDescent="0.2">
      <c r="B28" s="127"/>
      <c r="C28" s="9"/>
      <c r="D28" s="131" t="s">
        <v>1778</v>
      </c>
      <c r="E28" s="132" t="s">
        <v>1779</v>
      </c>
    </row>
    <row r="29" spans="2:5" ht="15.75" customHeight="1" x14ac:dyDescent="0.2">
      <c r="B29" s="127"/>
      <c r="C29" s="9"/>
      <c r="D29" s="131" t="s">
        <v>1780</v>
      </c>
      <c r="E29" s="132" t="s">
        <v>1781</v>
      </c>
    </row>
    <row r="30" spans="2:5" ht="15.75" customHeight="1" x14ac:dyDescent="0.2">
      <c r="B30" s="127"/>
      <c r="C30" s="9"/>
      <c r="D30" s="131" t="s">
        <v>1782</v>
      </c>
      <c r="E30" s="132" t="s">
        <v>1783</v>
      </c>
    </row>
    <row r="31" spans="2:5" ht="15.75" customHeight="1" x14ac:dyDescent="0.2">
      <c r="B31" s="127"/>
      <c r="C31" s="9"/>
      <c r="D31" s="131" t="s">
        <v>1784</v>
      </c>
      <c r="E31" s="132" t="s">
        <v>1785</v>
      </c>
    </row>
    <row r="32" spans="2:5" ht="15.75" customHeight="1" x14ac:dyDescent="0.2">
      <c r="B32" s="127"/>
      <c r="C32" s="9"/>
      <c r="D32" s="131" t="s">
        <v>1786</v>
      </c>
      <c r="E32" s="132" t="s">
        <v>1787</v>
      </c>
    </row>
    <row r="33" spans="2:5" ht="30" customHeight="1" x14ac:dyDescent="0.2">
      <c r="B33" s="127"/>
      <c r="C33" s="9"/>
      <c r="D33" s="131" t="s">
        <v>1788</v>
      </c>
      <c r="E33" s="132" t="s">
        <v>1789</v>
      </c>
    </row>
    <row r="34" spans="2:5" ht="15.75" customHeight="1" x14ac:dyDescent="0.2">
      <c r="B34" s="127"/>
      <c r="C34" s="9"/>
      <c r="D34" s="131" t="s">
        <v>1774</v>
      </c>
      <c r="E34" s="132" t="s">
        <v>1775</v>
      </c>
    </row>
    <row r="35" spans="2:5" ht="15.75" customHeight="1" x14ac:dyDescent="0.2">
      <c r="B35" s="127"/>
      <c r="C35" s="160"/>
      <c r="D35" s="131" t="s">
        <v>1790</v>
      </c>
      <c r="E35" s="133" t="s">
        <v>1791</v>
      </c>
    </row>
    <row r="36" spans="2:5" ht="15.75" customHeight="1" x14ac:dyDescent="0.2">
      <c r="B36" s="127"/>
      <c r="C36" s="9" t="s">
        <v>2158</v>
      </c>
      <c r="D36" s="131" t="s">
        <v>1716</v>
      </c>
      <c r="E36" s="132" t="s">
        <v>1717</v>
      </c>
    </row>
    <row r="37" spans="2:5" ht="15.75" customHeight="1" x14ac:dyDescent="0.2">
      <c r="B37" s="127"/>
      <c r="C37" s="9"/>
      <c r="D37" s="131" t="s">
        <v>1796</v>
      </c>
      <c r="E37" s="132" t="s">
        <v>1797</v>
      </c>
    </row>
    <row r="38" spans="2:5" ht="15.75" customHeight="1" x14ac:dyDescent="0.2">
      <c r="B38" s="127"/>
      <c r="C38" s="9"/>
      <c r="D38" s="131" t="s">
        <v>1798</v>
      </c>
      <c r="E38" s="132" t="s">
        <v>1799</v>
      </c>
    </row>
    <row r="39" spans="2:5" ht="15.75" customHeight="1" x14ac:dyDescent="0.2">
      <c r="B39" s="127"/>
      <c r="C39" s="9"/>
      <c r="D39" s="131" t="s">
        <v>1800</v>
      </c>
      <c r="E39" s="132" t="s">
        <v>1801</v>
      </c>
    </row>
    <row r="40" spans="2:5" ht="15.75" customHeight="1" x14ac:dyDescent="0.2">
      <c r="B40" s="127"/>
      <c r="C40" s="9"/>
      <c r="D40" s="131" t="s">
        <v>1802</v>
      </c>
      <c r="E40" s="132" t="s">
        <v>1803</v>
      </c>
    </row>
    <row r="41" spans="2:5" ht="15.75" customHeight="1" x14ac:dyDescent="0.2">
      <c r="B41" s="127"/>
      <c r="C41" s="9"/>
      <c r="D41" s="131" t="s">
        <v>1804</v>
      </c>
      <c r="E41" s="132" t="s">
        <v>1805</v>
      </c>
    </row>
    <row r="42" spans="2:5" ht="15.75" customHeight="1" x14ac:dyDescent="0.2">
      <c r="B42" s="127"/>
      <c r="C42" s="9"/>
      <c r="D42" s="131" t="s">
        <v>1806</v>
      </c>
      <c r="E42" s="132" t="s">
        <v>1807</v>
      </c>
    </row>
    <row r="43" spans="2:5" ht="15.75" customHeight="1" x14ac:dyDescent="0.2">
      <c r="B43" s="127"/>
      <c r="C43" s="9"/>
      <c r="D43" s="131">
        <v>5.7009999999999996</v>
      </c>
      <c r="E43" s="132" t="s">
        <v>1808</v>
      </c>
    </row>
    <row r="44" spans="2:5" ht="15.75" customHeight="1" x14ac:dyDescent="0.2">
      <c r="B44" s="127"/>
      <c r="C44" s="9" t="s">
        <v>2158</v>
      </c>
      <c r="D44" s="131" t="s">
        <v>1718</v>
      </c>
      <c r="E44" s="132" t="s">
        <v>1719</v>
      </c>
    </row>
    <row r="45" spans="2:5" ht="15.75" customHeight="1" x14ac:dyDescent="0.2">
      <c r="B45" s="127"/>
      <c r="C45" s="9"/>
      <c r="D45" s="131" t="s">
        <v>1809</v>
      </c>
      <c r="E45" s="132" t="s">
        <v>1810</v>
      </c>
    </row>
    <row r="46" spans="2:5" ht="15.75" customHeight="1" x14ac:dyDescent="0.2">
      <c r="B46" s="127"/>
      <c r="C46" s="9"/>
      <c r="D46" s="131" t="s">
        <v>1792</v>
      </c>
      <c r="E46" s="132" t="s">
        <v>1793</v>
      </c>
    </row>
    <row r="47" spans="2:5" ht="15.75" customHeight="1" x14ac:dyDescent="0.2">
      <c r="B47" s="127"/>
      <c r="C47" s="9"/>
      <c r="D47" s="131" t="s">
        <v>1794</v>
      </c>
      <c r="E47" s="132" t="s">
        <v>1795</v>
      </c>
    </row>
    <row r="48" spans="2:5" ht="15.75" customHeight="1" x14ac:dyDescent="0.2">
      <c r="B48" s="127"/>
      <c r="C48" s="160"/>
      <c r="D48" s="131" t="s">
        <v>1811</v>
      </c>
      <c r="E48" s="133" t="s">
        <v>1812</v>
      </c>
    </row>
    <row r="49" spans="2:5" ht="15.75" customHeight="1" x14ac:dyDescent="0.2">
      <c r="B49" s="127"/>
      <c r="C49" s="9"/>
      <c r="D49" s="131" t="s">
        <v>1813</v>
      </c>
      <c r="E49" s="132" t="s">
        <v>1814</v>
      </c>
    </row>
    <row r="50" spans="2:5" ht="15.75" customHeight="1" x14ac:dyDescent="0.2">
      <c r="B50" s="127"/>
      <c r="C50" s="9"/>
      <c r="D50" s="131" t="s">
        <v>1815</v>
      </c>
      <c r="E50" s="132" t="s">
        <v>1816</v>
      </c>
    </row>
    <row r="51" spans="2:5" ht="15.75" customHeight="1" x14ac:dyDescent="0.2">
      <c r="B51" s="127"/>
      <c r="C51" s="9"/>
      <c r="D51" s="131" t="s">
        <v>1817</v>
      </c>
      <c r="E51" s="132" t="s">
        <v>1818</v>
      </c>
    </row>
    <row r="52" spans="2:5" ht="15.75" customHeight="1" x14ac:dyDescent="0.2">
      <c r="B52" s="127"/>
      <c r="C52" s="9"/>
      <c r="D52" s="131" t="s">
        <v>1819</v>
      </c>
      <c r="E52" s="132" t="s">
        <v>1820</v>
      </c>
    </row>
    <row r="53" spans="2:5" ht="15.75" customHeight="1" x14ac:dyDescent="0.2">
      <c r="B53" s="127"/>
      <c r="C53" s="160"/>
      <c r="D53" s="131" t="s">
        <v>1821</v>
      </c>
      <c r="E53" s="133" t="s">
        <v>1822</v>
      </c>
    </row>
    <row r="54" spans="2:5" ht="15.75" customHeight="1" x14ac:dyDescent="0.2">
      <c r="B54" s="127"/>
      <c r="C54" s="9" t="s">
        <v>2158</v>
      </c>
      <c r="D54" s="131" t="s">
        <v>1720</v>
      </c>
      <c r="E54" s="132" t="s">
        <v>1721</v>
      </c>
    </row>
    <row r="55" spans="2:5" ht="15.75" customHeight="1" x14ac:dyDescent="0.2">
      <c r="B55" s="127"/>
      <c r="C55" s="9"/>
      <c r="D55" s="131" t="s">
        <v>1838</v>
      </c>
      <c r="E55" s="132" t="s">
        <v>1839</v>
      </c>
    </row>
    <row r="56" spans="2:5" ht="15.75" customHeight="1" x14ac:dyDescent="0.2">
      <c r="B56" s="127"/>
      <c r="C56" s="9"/>
      <c r="D56" s="131" t="s">
        <v>1840</v>
      </c>
      <c r="E56" s="132" t="s">
        <v>1841</v>
      </c>
    </row>
    <row r="57" spans="2:5" ht="15.75" customHeight="1" x14ac:dyDescent="0.2">
      <c r="B57" s="127"/>
      <c r="C57" s="9" t="s">
        <v>2158</v>
      </c>
      <c r="D57" s="131" t="s">
        <v>1724</v>
      </c>
      <c r="E57" s="132" t="s">
        <v>1725</v>
      </c>
    </row>
    <row r="58" spans="2:5" ht="15.75" customHeight="1" x14ac:dyDescent="0.2">
      <c r="B58" s="127"/>
      <c r="C58" s="9" t="s">
        <v>2158</v>
      </c>
      <c r="D58" s="131" t="s">
        <v>1726</v>
      </c>
      <c r="E58" s="132" t="s">
        <v>1727</v>
      </c>
    </row>
    <row r="59" spans="2:5" ht="15.75" customHeight="1" x14ac:dyDescent="0.2">
      <c r="B59" s="127"/>
      <c r="C59" s="9"/>
      <c r="D59" s="131" t="s">
        <v>1842</v>
      </c>
      <c r="E59" s="132" t="s">
        <v>1843</v>
      </c>
    </row>
    <row r="60" spans="2:5" ht="15.75" customHeight="1" x14ac:dyDescent="0.2">
      <c r="B60" s="127"/>
      <c r="C60" s="9"/>
      <c r="D60" s="131" t="s">
        <v>1844</v>
      </c>
      <c r="E60" s="132" t="s">
        <v>1845</v>
      </c>
    </row>
    <row r="61" spans="2:5" ht="15.75" customHeight="1" x14ac:dyDescent="0.2">
      <c r="B61" s="127"/>
      <c r="C61" s="9"/>
      <c r="D61" s="131" t="s">
        <v>1846</v>
      </c>
      <c r="E61" s="132" t="s">
        <v>1847</v>
      </c>
    </row>
    <row r="62" spans="2:5" ht="15.75" customHeight="1" x14ac:dyDescent="0.2">
      <c r="B62" s="127"/>
      <c r="C62" s="9"/>
      <c r="D62" s="131" t="s">
        <v>1848</v>
      </c>
      <c r="E62" s="132" t="s">
        <v>1849</v>
      </c>
    </row>
    <row r="63" spans="2:5" ht="15.75" customHeight="1" x14ac:dyDescent="0.2">
      <c r="B63" s="127"/>
      <c r="C63" s="9"/>
      <c r="D63" s="131" t="s">
        <v>1898</v>
      </c>
      <c r="E63" s="132" t="s">
        <v>1823</v>
      </c>
    </row>
    <row r="64" spans="2:5" ht="15.75" customHeight="1" x14ac:dyDescent="0.2">
      <c r="B64" s="127"/>
      <c r="C64" s="9" t="s">
        <v>2158</v>
      </c>
      <c r="D64" s="131" t="s">
        <v>1722</v>
      </c>
      <c r="E64" s="132" t="s">
        <v>1723</v>
      </c>
    </row>
    <row r="65" spans="2:5" ht="15.75" customHeight="1" x14ac:dyDescent="0.2">
      <c r="B65" s="127"/>
      <c r="C65" s="9"/>
      <c r="D65" s="131" t="s">
        <v>1824</v>
      </c>
      <c r="E65" s="132" t="s">
        <v>1825</v>
      </c>
    </row>
    <row r="66" spans="2:5" ht="15.75" customHeight="1" x14ac:dyDescent="0.2">
      <c r="B66" s="127"/>
      <c r="C66" s="9"/>
      <c r="D66" s="131" t="s">
        <v>1826</v>
      </c>
      <c r="E66" s="132" t="s">
        <v>1827</v>
      </c>
    </row>
    <row r="67" spans="2:5" ht="15.75" customHeight="1" x14ac:dyDescent="0.2">
      <c r="B67" s="127"/>
      <c r="C67" s="9"/>
      <c r="D67" s="131" t="s">
        <v>1828</v>
      </c>
      <c r="E67" s="132" t="s">
        <v>1829</v>
      </c>
    </row>
    <row r="68" spans="2:5" ht="15.75" customHeight="1" x14ac:dyDescent="0.2">
      <c r="B68" s="127"/>
      <c r="C68" s="9"/>
      <c r="D68" s="131" t="s">
        <v>1830</v>
      </c>
      <c r="E68" s="132" t="s">
        <v>1831</v>
      </c>
    </row>
    <row r="69" spans="2:5" ht="15.75" customHeight="1" x14ac:dyDescent="0.2">
      <c r="B69" s="127"/>
      <c r="C69" s="9"/>
      <c r="D69" s="131" t="s">
        <v>1832</v>
      </c>
      <c r="E69" s="132" t="s">
        <v>1833</v>
      </c>
    </row>
    <row r="70" spans="2:5" ht="15.75" customHeight="1" x14ac:dyDescent="0.2">
      <c r="B70" s="127"/>
      <c r="C70" s="9"/>
      <c r="D70" s="131" t="s">
        <v>1834</v>
      </c>
      <c r="E70" s="132" t="s">
        <v>1835</v>
      </c>
    </row>
    <row r="71" spans="2:5" ht="15.75" customHeight="1" x14ac:dyDescent="0.2">
      <c r="B71" s="127"/>
      <c r="C71" s="9"/>
      <c r="D71" s="131" t="s">
        <v>1836</v>
      </c>
      <c r="E71" s="132" t="s">
        <v>1837</v>
      </c>
    </row>
    <row r="72" spans="2:5" ht="15.75" customHeight="1" x14ac:dyDescent="0.2">
      <c r="B72" s="127"/>
      <c r="C72" s="160"/>
      <c r="D72" s="131" t="s">
        <v>1850</v>
      </c>
      <c r="E72" s="133" t="s">
        <v>1851</v>
      </c>
    </row>
    <row r="73" spans="2:5" ht="15.75" customHeight="1" x14ac:dyDescent="0.2">
      <c r="B73" s="127"/>
      <c r="C73" s="9"/>
      <c r="D73" s="131" t="s">
        <v>1852</v>
      </c>
      <c r="E73" s="132" t="s">
        <v>1853</v>
      </c>
    </row>
    <row r="74" spans="2:5" ht="15.75" customHeight="1" x14ac:dyDescent="0.2">
      <c r="B74" s="127"/>
      <c r="C74" s="9"/>
      <c r="D74" s="131" t="s">
        <v>1854</v>
      </c>
      <c r="E74" s="132" t="s">
        <v>1855</v>
      </c>
    </row>
    <row r="75" spans="2:5" ht="15.75" customHeight="1" x14ac:dyDescent="0.2">
      <c r="B75" s="127"/>
      <c r="C75" s="9"/>
      <c r="D75" s="131" t="s">
        <v>1856</v>
      </c>
      <c r="E75" s="132" t="s">
        <v>1857</v>
      </c>
    </row>
    <row r="76" spans="2:5" ht="15.75" customHeight="1" x14ac:dyDescent="0.2">
      <c r="B76" s="127"/>
      <c r="C76" s="9"/>
      <c r="D76" s="131" t="s">
        <v>1858</v>
      </c>
      <c r="E76" s="132" t="s">
        <v>1859</v>
      </c>
    </row>
    <row r="77" spans="2:5" ht="15.75" customHeight="1" x14ac:dyDescent="0.2">
      <c r="B77" s="127"/>
      <c r="C77" s="9"/>
      <c r="D77" s="131" t="s">
        <v>1860</v>
      </c>
      <c r="E77" s="132" t="s">
        <v>1861</v>
      </c>
    </row>
    <row r="78" spans="2:5" ht="15.75" customHeight="1" x14ac:dyDescent="0.2">
      <c r="B78" s="127"/>
      <c r="C78" s="9"/>
      <c r="D78" s="131" t="s">
        <v>1862</v>
      </c>
      <c r="E78" s="132" t="s">
        <v>1863</v>
      </c>
    </row>
    <row r="79" spans="2:5" ht="15.75" customHeight="1" x14ac:dyDescent="0.2">
      <c r="B79" s="127"/>
      <c r="C79" s="9"/>
      <c r="D79" s="131" t="s">
        <v>1864</v>
      </c>
      <c r="E79" s="132" t="s">
        <v>1865</v>
      </c>
    </row>
    <row r="80" spans="2:5" ht="15.75" customHeight="1" x14ac:dyDescent="0.2">
      <c r="B80" s="127"/>
      <c r="C80" s="9"/>
      <c r="D80" s="131" t="s">
        <v>1866</v>
      </c>
      <c r="E80" s="132" t="s">
        <v>1867</v>
      </c>
    </row>
    <row r="81" spans="2:5" ht="15.75" customHeight="1" x14ac:dyDescent="0.2">
      <c r="B81" s="127"/>
      <c r="C81" s="160"/>
      <c r="D81" s="131" t="s">
        <v>1868</v>
      </c>
      <c r="E81" s="133" t="s">
        <v>1869</v>
      </c>
    </row>
    <row r="82" spans="2:5" ht="15.75" customHeight="1" x14ac:dyDescent="0.2">
      <c r="B82" s="127"/>
      <c r="C82" s="9"/>
      <c r="D82" s="131" t="s">
        <v>1870</v>
      </c>
      <c r="E82" s="132" t="s">
        <v>1871</v>
      </c>
    </row>
    <row r="83" spans="2:5" ht="15.75" customHeight="1" x14ac:dyDescent="0.2">
      <c r="B83" s="127"/>
      <c r="C83" s="9"/>
      <c r="D83" s="131" t="s">
        <v>1872</v>
      </c>
      <c r="E83" s="132" t="s">
        <v>1873</v>
      </c>
    </row>
    <row r="84" spans="2:5" ht="15.75" customHeight="1" x14ac:dyDescent="0.2">
      <c r="B84" s="127"/>
      <c r="C84" s="9"/>
      <c r="D84" s="131" t="s">
        <v>1874</v>
      </c>
      <c r="E84" s="132" t="s">
        <v>1875</v>
      </c>
    </row>
    <row r="85" spans="2:5" ht="15.75" customHeight="1" x14ac:dyDescent="0.2">
      <c r="B85" s="127"/>
      <c r="C85" s="9" t="s">
        <v>2158</v>
      </c>
      <c r="D85" s="131" t="s">
        <v>1728</v>
      </c>
      <c r="E85" s="132" t="s">
        <v>1729</v>
      </c>
    </row>
    <row r="86" spans="2:5" ht="15.75" customHeight="1" x14ac:dyDescent="0.2">
      <c r="B86" s="127"/>
      <c r="C86" s="9"/>
      <c r="D86" s="131" t="s">
        <v>1876</v>
      </c>
      <c r="E86" s="132" t="s">
        <v>1877</v>
      </c>
    </row>
    <row r="87" spans="2:5" ht="15.75" customHeight="1" x14ac:dyDescent="0.2">
      <c r="B87" s="127"/>
      <c r="C87" s="160"/>
      <c r="D87" s="131" t="s">
        <v>1878</v>
      </c>
      <c r="E87" s="133" t="s">
        <v>1879</v>
      </c>
    </row>
    <row r="88" spans="2:5" ht="15.75" customHeight="1" x14ac:dyDescent="0.2">
      <c r="B88" s="127"/>
      <c r="C88" s="9" t="s">
        <v>2158</v>
      </c>
      <c r="D88" s="131" t="s">
        <v>1730</v>
      </c>
      <c r="E88" s="132" t="s">
        <v>1731</v>
      </c>
    </row>
    <row r="89" spans="2:5" ht="15.75" customHeight="1" x14ac:dyDescent="0.2">
      <c r="B89" s="127"/>
      <c r="C89" s="9"/>
      <c r="D89" s="131" t="s">
        <v>1880</v>
      </c>
      <c r="E89" s="132" t="s">
        <v>1881</v>
      </c>
    </row>
    <row r="90" spans="2:5" ht="15.75" customHeight="1" x14ac:dyDescent="0.2">
      <c r="B90" s="127"/>
      <c r="C90" s="9"/>
      <c r="D90" s="131" t="s">
        <v>1882</v>
      </c>
      <c r="E90" s="132" t="s">
        <v>1883</v>
      </c>
    </row>
    <row r="91" spans="2:5" ht="15.75" customHeight="1" x14ac:dyDescent="0.2">
      <c r="B91" s="127"/>
      <c r="C91" s="9"/>
      <c r="D91" s="131" t="s">
        <v>1884</v>
      </c>
      <c r="E91" s="132" t="s">
        <v>1885</v>
      </c>
    </row>
    <row r="92" spans="2:5" ht="15.75" customHeight="1" x14ac:dyDescent="0.2">
      <c r="B92" s="127"/>
      <c r="C92" s="9"/>
      <c r="D92" s="131" t="s">
        <v>1886</v>
      </c>
      <c r="E92" s="132" t="s">
        <v>1887</v>
      </c>
    </row>
    <row r="93" spans="2:5" ht="15.75" customHeight="1" x14ac:dyDescent="0.2">
      <c r="B93" s="127"/>
      <c r="C93" s="9"/>
      <c r="D93" s="131" t="s">
        <v>1888</v>
      </c>
      <c r="E93" s="132" t="s">
        <v>1889</v>
      </c>
    </row>
    <row r="94" spans="2:5" ht="15.75" customHeight="1" x14ac:dyDescent="0.2">
      <c r="B94" s="127"/>
      <c r="C94" s="160"/>
      <c r="D94" s="131" t="s">
        <v>1890</v>
      </c>
      <c r="E94" s="133" t="s">
        <v>1891</v>
      </c>
    </row>
    <row r="95" spans="2:5" x14ac:dyDescent="0.2">
      <c r="C95" s="134"/>
      <c r="D95" s="135"/>
      <c r="E95" s="136"/>
    </row>
  </sheetData>
  <sheetProtection algorithmName="SHA-512" hashValue="RGftm2I1hwNT8bGf27xJjHEWEfcawM5Rf7UNo2yQgt0MBX6q1RQUs61lbMw/eKAtgdYH6rrBEhVjvsaG+IG9uw==" saltValue="SbLIRMBl0Y1wejRQZWPYSg==" spinCount="100000" sheet="1" selectLockedCells="1"/>
  <dataValidations count="1">
    <dataValidation type="list" showInputMessage="1" showErrorMessage="1" sqref="C88:C93 C82:C86 C73:C80 C54:C71 C49:C52 C36:C47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zoomScale="80" zoomScaleNormal="80" workbookViewId="0">
      <selection activeCell="D19" sqref="D19"/>
    </sheetView>
  </sheetViews>
  <sheetFormatPr baseColWidth="10" defaultColWidth="10.83203125" defaultRowHeight="16" x14ac:dyDescent="0.2"/>
  <cols>
    <col min="1" max="1" width="10.83203125" style="19" customWidth="1"/>
    <col min="2" max="2" width="8.83203125" style="19" customWidth="1"/>
    <col min="3" max="3" width="27.6640625" style="19" customWidth="1"/>
    <col min="4" max="4" width="20.83203125" style="19" customWidth="1"/>
    <col min="5" max="5" width="46.5" style="44" customWidth="1"/>
    <col min="6" max="6" width="20.83203125" style="19" customWidth="1"/>
    <col min="7" max="8" width="10.83203125" style="19" customWidth="1"/>
    <col min="9" max="16384" width="10.83203125" style="19"/>
  </cols>
  <sheetData>
    <row r="1" spans="1:8" ht="16.5" customHeight="1" thickBot="1" x14ac:dyDescent="0.25">
      <c r="C1" s="20"/>
      <c r="D1" s="20"/>
      <c r="E1" s="40"/>
      <c r="F1" s="20"/>
    </row>
    <row r="2" spans="1:8" s="44" customFormat="1" ht="16.5" customHeight="1" thickBot="1" x14ac:dyDescent="0.25">
      <c r="A2" s="64"/>
      <c r="B2" s="65"/>
      <c r="C2" s="66" t="s">
        <v>2159</v>
      </c>
      <c r="D2" s="67" t="s">
        <v>2160</v>
      </c>
      <c r="E2" s="41" t="s">
        <v>2161</v>
      </c>
      <c r="F2" s="68" t="s">
        <v>2162</v>
      </c>
      <c r="G2" s="69"/>
    </row>
    <row r="3" spans="1:8" ht="62.5" customHeight="1" x14ac:dyDescent="0.2">
      <c r="A3" s="21"/>
      <c r="B3" s="331" t="s">
        <v>2163</v>
      </c>
      <c r="C3" s="50" t="s">
        <v>2164</v>
      </c>
      <c r="D3" s="263" t="s">
        <v>2165</v>
      </c>
      <c r="E3" s="156" t="s">
        <v>2166</v>
      </c>
      <c r="F3" s="70" t="s">
        <v>2167</v>
      </c>
      <c r="G3" s="22"/>
    </row>
    <row r="4" spans="1:8" ht="31.75" customHeight="1" x14ac:dyDescent="0.2">
      <c r="A4" s="21"/>
      <c r="B4" s="328"/>
      <c r="C4" s="32" t="s">
        <v>2168</v>
      </c>
      <c r="D4" s="153">
        <v>18</v>
      </c>
      <c r="E4" s="157" t="s">
        <v>2169</v>
      </c>
      <c r="F4" s="71">
        <v>18</v>
      </c>
      <c r="G4" s="22"/>
    </row>
    <row r="5" spans="1:8" ht="43.5" customHeight="1" x14ac:dyDescent="0.2">
      <c r="A5" s="21"/>
      <c r="B5" s="328"/>
      <c r="C5" s="33" t="s">
        <v>2170</v>
      </c>
      <c r="D5" s="264" t="s">
        <v>2146</v>
      </c>
      <c r="E5" s="157" t="s">
        <v>2171</v>
      </c>
      <c r="F5" s="23" t="s">
        <v>2172</v>
      </c>
      <c r="G5" s="22"/>
    </row>
    <row r="6" spans="1:8" ht="45" customHeight="1" x14ac:dyDescent="0.2">
      <c r="A6" s="21"/>
      <c r="B6" s="328"/>
      <c r="C6" s="34" t="s">
        <v>2173</v>
      </c>
      <c r="D6" s="264" t="s">
        <v>2147</v>
      </c>
      <c r="E6" s="158" t="s">
        <v>2174</v>
      </c>
      <c r="F6" s="24" t="s">
        <v>2175</v>
      </c>
      <c r="G6" s="22"/>
    </row>
    <row r="7" spans="1:8" s="178" customFormat="1" ht="90" customHeight="1" x14ac:dyDescent="0.2">
      <c r="A7" s="172"/>
      <c r="B7" s="328"/>
      <c r="C7" s="173" t="s">
        <v>2176</v>
      </c>
      <c r="D7" s="174" t="s">
        <v>2177</v>
      </c>
      <c r="E7" s="175" t="s">
        <v>2178</v>
      </c>
      <c r="F7" s="176" t="s">
        <v>2177</v>
      </c>
      <c r="G7" s="177"/>
    </row>
    <row r="8" spans="1:8" ht="90" customHeight="1" x14ac:dyDescent="0.2">
      <c r="A8" s="21"/>
      <c r="B8" s="328"/>
      <c r="C8" s="34" t="s">
        <v>2179</v>
      </c>
      <c r="D8" s="264" t="s">
        <v>2180</v>
      </c>
      <c r="E8" s="159" t="s">
        <v>2181</v>
      </c>
      <c r="F8" s="25" t="s">
        <v>2182</v>
      </c>
      <c r="G8" s="22"/>
      <c r="H8" s="161"/>
    </row>
    <row r="9" spans="1:8" ht="105" customHeight="1" x14ac:dyDescent="0.2">
      <c r="A9" s="21"/>
      <c r="B9" s="328"/>
      <c r="C9" s="34" t="s">
        <v>2183</v>
      </c>
      <c r="D9" s="162" t="s">
        <v>2184</v>
      </c>
      <c r="E9" s="159" t="s">
        <v>2185</v>
      </c>
      <c r="F9" s="25" t="s">
        <v>2186</v>
      </c>
      <c r="G9" s="22"/>
    </row>
    <row r="10" spans="1:8" s="178" customFormat="1" ht="58" customHeight="1" x14ac:dyDescent="0.2">
      <c r="A10" s="172"/>
      <c r="B10" s="328"/>
      <c r="C10" s="186" t="s">
        <v>2187</v>
      </c>
      <c r="D10" s="182"/>
      <c r="E10" s="27" t="s">
        <v>2188</v>
      </c>
      <c r="F10" s="183" t="s">
        <v>2189</v>
      </c>
      <c r="G10" s="177"/>
    </row>
    <row r="11" spans="1:8" s="178" customFormat="1" ht="50.25" customHeight="1" thickBot="1" x14ac:dyDescent="0.25">
      <c r="A11" s="172"/>
      <c r="B11" s="329"/>
      <c r="C11" s="187" t="s">
        <v>2190</v>
      </c>
      <c r="D11" s="185">
        <v>2.4700000000000002</v>
      </c>
      <c r="E11" s="26" t="s">
        <v>2191</v>
      </c>
      <c r="F11" s="184">
        <v>0.2</v>
      </c>
      <c r="G11" s="177"/>
    </row>
    <row r="12" spans="1:8" ht="30" customHeight="1" x14ac:dyDescent="0.2">
      <c r="A12" s="21"/>
      <c r="B12" s="327" t="s">
        <v>2192</v>
      </c>
      <c r="C12" s="35" t="s">
        <v>2193</v>
      </c>
      <c r="D12" s="265" t="s">
        <v>2194</v>
      </c>
      <c r="E12" s="42" t="s">
        <v>2195</v>
      </c>
      <c r="F12" s="23" t="s">
        <v>2196</v>
      </c>
      <c r="G12" s="22"/>
    </row>
    <row r="13" spans="1:8" ht="105" customHeight="1" x14ac:dyDescent="0.2">
      <c r="A13" s="21"/>
      <c r="B13" s="328"/>
      <c r="C13" s="119" t="s">
        <v>2197</v>
      </c>
      <c r="D13" s="163">
        <v>500</v>
      </c>
      <c r="E13" s="120" t="s">
        <v>2198</v>
      </c>
      <c r="F13" s="25">
        <v>5</v>
      </c>
      <c r="G13" s="39"/>
      <c r="H13" s="61"/>
    </row>
    <row r="14" spans="1:8" ht="149.5" customHeight="1" x14ac:dyDescent="0.2">
      <c r="A14" s="21"/>
      <c r="B14" s="328"/>
      <c r="C14" s="119" t="s">
        <v>2199</v>
      </c>
      <c r="D14" s="163">
        <v>200000</v>
      </c>
      <c r="E14" s="27" t="s">
        <v>2200</v>
      </c>
      <c r="F14" s="25">
        <v>1200000</v>
      </c>
      <c r="G14" s="22"/>
    </row>
    <row r="15" spans="1:8" ht="45" customHeight="1" x14ac:dyDescent="0.2">
      <c r="A15" s="21"/>
      <c r="B15" s="328"/>
      <c r="C15" s="63" t="s">
        <v>2201</v>
      </c>
      <c r="D15" s="264" t="s">
        <v>2202</v>
      </c>
      <c r="E15" s="27" t="s">
        <v>2203</v>
      </c>
      <c r="F15" s="25" t="s">
        <v>2204</v>
      </c>
      <c r="G15" s="22"/>
    </row>
    <row r="16" spans="1:8" ht="45.75" customHeight="1" thickBot="1" x14ac:dyDescent="0.25">
      <c r="A16" s="21"/>
      <c r="B16" s="329"/>
      <c r="C16" s="118" t="s">
        <v>2205</v>
      </c>
      <c r="D16" s="266" t="s">
        <v>2206</v>
      </c>
      <c r="E16" s="28" t="s">
        <v>2207</v>
      </c>
      <c r="F16" s="122" t="s">
        <v>2208</v>
      </c>
      <c r="G16" s="22"/>
    </row>
    <row r="17" spans="1:7" s="62" customFormat="1" ht="5.5" customHeight="1" thickBot="1" x14ac:dyDescent="0.25">
      <c r="A17" s="56"/>
      <c r="B17" s="57"/>
      <c r="C17" s="58"/>
      <c r="D17" s="121"/>
      <c r="E17" s="59"/>
      <c r="F17" s="60"/>
      <c r="G17" s="61"/>
    </row>
    <row r="18" spans="1:7" ht="156.75" customHeight="1" x14ac:dyDescent="0.2">
      <c r="A18" s="21"/>
      <c r="B18" s="330" t="s">
        <v>2209</v>
      </c>
      <c r="C18" s="51" t="s">
        <v>2210</v>
      </c>
      <c r="D18" s="324">
        <v>0.91</v>
      </c>
      <c r="E18" s="53" t="s">
        <v>2211</v>
      </c>
      <c r="F18" s="52">
        <v>0.91</v>
      </c>
      <c r="G18" s="22"/>
    </row>
    <row r="19" spans="1:7" ht="156.75" customHeight="1" x14ac:dyDescent="0.2">
      <c r="A19" s="21"/>
      <c r="B19" s="328"/>
      <c r="C19" s="36" t="s">
        <v>2212</v>
      </c>
      <c r="D19" s="325">
        <v>0.91</v>
      </c>
      <c r="E19" s="54" t="s">
        <v>2213</v>
      </c>
      <c r="F19" s="29">
        <v>0.91</v>
      </c>
      <c r="G19" s="22"/>
    </row>
    <row r="20" spans="1:7" ht="141" customHeight="1" thickBot="1" x14ac:dyDescent="0.25">
      <c r="A20" s="21"/>
      <c r="B20" s="329"/>
      <c r="C20" s="37" t="s">
        <v>2214</v>
      </c>
      <c r="D20" s="326">
        <v>0.05</v>
      </c>
      <c r="E20" s="55" t="s">
        <v>2215</v>
      </c>
      <c r="F20" s="30">
        <v>0.05</v>
      </c>
      <c r="G20" s="22"/>
    </row>
    <row r="21" spans="1:7" x14ac:dyDescent="0.2">
      <c r="B21" s="31"/>
      <c r="C21" s="31"/>
      <c r="D21" s="31"/>
      <c r="E21" s="43"/>
      <c r="F21" s="31"/>
    </row>
  </sheetData>
  <sheetProtection algorithmName="SHA-512" hashValue="cBlCxihu3Y9yQvFrno2EsI/GzXWLghYQE+UMJL0/Uu8OfRxz8VD0pM5/TWAf98lohBhaSfX/FfCZq57uBfStzA==" saltValue="bZ/ZHmU6B/Lr6Xkw54hpNg==" spinCount="100000" sheet="1" objects="1" scenarios="1"/>
  <mergeCells count="3">
    <mergeCell ref="B12:B16"/>
    <mergeCell ref="B18:B20"/>
    <mergeCell ref="B3:B11"/>
  </mergeCells>
  <dataValidations count="3">
    <dataValidation type="list" showInputMessage="1" showErrorMessage="1" sqref="D9" xr:uid="{00000000-0002-0000-0400-000000000000}">
      <formula1>"Not yet in season,Land preparation,Planting,Early growing,Growing,Maturing,Harvesting,Recently finished"</formula1>
    </dataValidation>
    <dataValidation type="list" showInputMessage="1" showErrorMessage="1" sqref="D7" xr:uid="{00000000-0002-0000-0400-000001000000}">
      <formula1>"last year, a normal year"</formula1>
    </dataValidation>
    <dataValidation type="list" showInputMessage="1" showErrorMessage="1" sqref="D10" xr:uid="{00000000-0002-0000-0400-000002000000}">
      <formula1>"Not yet in season,Land preparation,Planting,Early growing,Growing,Maturing,Harvesting,Recently finished "</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Lecland, Ines (OER)</dc:creator>
  <cp:lastModifiedBy>Microsoft Office User</cp:lastModifiedBy>
  <dcterms:created xsi:type="dcterms:W3CDTF">2021-01-05T14:16:30Z</dcterms:created>
  <dcterms:modified xsi:type="dcterms:W3CDTF">2022-12-08T17:39:44Z</dcterms:modified>
</cp:coreProperties>
</file>