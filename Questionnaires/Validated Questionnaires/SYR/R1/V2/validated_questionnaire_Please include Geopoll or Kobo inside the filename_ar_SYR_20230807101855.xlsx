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SYR/R1/V2/"/>
    </mc:Choice>
  </mc:AlternateContent>
  <xr:revisionPtr revIDLastSave="0" documentId="13_ncr:20001_{405EAEF1-7DA5-A045-8BF2-9CE253DE2525}" xr6:coauthVersionLast="47" xr6:coauthVersionMax="47" xr10:uidLastSave="{00000000-0000-0000-0000-000000000000}"/>
  <bookViews>
    <workbookView xWindow="0" yWindow="0" windowWidth="33600" windowHeight="21000" activeTab="1" xr2:uid="{00000000-000D-0000-FFFF-FFFF00000000}"/>
  </bookViews>
  <sheets>
    <sheet name="survey" sheetId="1" r:id="rId1"/>
    <sheet name="choices" sheetId="2" r:id="rId2"/>
    <sheet name="settings" sheetId="3" r:id="rId3"/>
    <sheet name="Crop list" sheetId="4" r:id="rId4"/>
    <sheet name="Additional information" sheetId="5" r:id="rId5"/>
  </sheets>
  <externalReferences>
    <externalReference r:id="rId6"/>
  </externalReferences>
  <definedNames>
    <definedName name="_xlnm._FilterDatabase" localSheetId="1" hidden="1">choices!$B$1:$B$804</definedName>
    <definedName name="_xlnm._FilterDatabase" localSheetId="0" hidden="1">survey!$A$1:$AB$375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5" l="1"/>
  <c r="D15" i="5"/>
  <c r="D14" i="5"/>
  <c r="D11" i="5"/>
  <c r="D3" i="5"/>
  <c r="AA374" i="1"/>
  <c r="AA370" i="1"/>
  <c r="Z370" i="1"/>
  <c r="AA369" i="1"/>
  <c r="Z369" i="1"/>
  <c r="Z368" i="1"/>
  <c r="Y368" i="1"/>
  <c r="AA367" i="1"/>
  <c r="Z367" i="1"/>
  <c r="AA366" i="1"/>
  <c r="Z366" i="1"/>
  <c r="AA365" i="1"/>
  <c r="Z365" i="1"/>
  <c r="AA364" i="1"/>
  <c r="Z364" i="1"/>
  <c r="AA363" i="1"/>
  <c r="Z363" i="1"/>
  <c r="AA360" i="1"/>
  <c r="Z360" i="1"/>
  <c r="AA359" i="1"/>
  <c r="Z359" i="1"/>
  <c r="AA358" i="1"/>
  <c r="Z358" i="1"/>
  <c r="AA357" i="1"/>
  <c r="Z357" i="1"/>
  <c r="AA356" i="1"/>
  <c r="Z356" i="1"/>
  <c r="AA355" i="1"/>
  <c r="Z355" i="1"/>
  <c r="AA354" i="1"/>
  <c r="Z354" i="1"/>
  <c r="AA353" i="1"/>
  <c r="Z353" i="1"/>
  <c r="AA352" i="1"/>
  <c r="Z352" i="1"/>
  <c r="AA351" i="1"/>
  <c r="Z351" i="1"/>
  <c r="AA350" i="1"/>
  <c r="Z350" i="1"/>
  <c r="AA349" i="1"/>
  <c r="Z349" i="1"/>
  <c r="AA348" i="1"/>
  <c r="Z348" i="1"/>
  <c r="AA346" i="1"/>
  <c r="Z346" i="1"/>
  <c r="AA345" i="1"/>
  <c r="Z345" i="1"/>
  <c r="AA344" i="1"/>
  <c r="Z344" i="1"/>
  <c r="AA343" i="1"/>
  <c r="Z343" i="1"/>
  <c r="AA342" i="1"/>
  <c r="Z342" i="1"/>
  <c r="AA341" i="1"/>
  <c r="Z341" i="1"/>
  <c r="AA340" i="1"/>
  <c r="Z340" i="1"/>
  <c r="AA339" i="1"/>
  <c r="Z339" i="1"/>
  <c r="AA338" i="1"/>
  <c r="Z338" i="1"/>
  <c r="Z336" i="1"/>
  <c r="Y336" i="1"/>
  <c r="Z335" i="1"/>
  <c r="Y335" i="1"/>
  <c r="Z334" i="1"/>
  <c r="Y334" i="1"/>
  <c r="Z333" i="1"/>
  <c r="Y333" i="1"/>
  <c r="AA331" i="1"/>
  <c r="Z331" i="1"/>
  <c r="AA330" i="1"/>
  <c r="Z330" i="1"/>
  <c r="AA329" i="1"/>
  <c r="Z329" i="1"/>
  <c r="AA328" i="1"/>
  <c r="Z328" i="1"/>
  <c r="AA327" i="1"/>
  <c r="Z327" i="1"/>
  <c r="AA326" i="1"/>
  <c r="Z326" i="1"/>
  <c r="AA325" i="1"/>
  <c r="Z325" i="1"/>
  <c r="AA324" i="1"/>
  <c r="Z324" i="1"/>
  <c r="AA323" i="1"/>
  <c r="Z323" i="1"/>
  <c r="AA322" i="1"/>
  <c r="Z322" i="1"/>
  <c r="AA321" i="1"/>
  <c r="Z321" i="1"/>
  <c r="AA320" i="1"/>
  <c r="Z320" i="1"/>
  <c r="AA319" i="1"/>
  <c r="Z319" i="1"/>
  <c r="AA318" i="1"/>
  <c r="Z318" i="1"/>
  <c r="AA317" i="1"/>
  <c r="Z317" i="1"/>
  <c r="AA316" i="1"/>
  <c r="Z316" i="1"/>
  <c r="AA315" i="1"/>
  <c r="Z315" i="1"/>
  <c r="Y314" i="1"/>
  <c r="AA314" i="1" s="1"/>
  <c r="AA313" i="1"/>
  <c r="Z313" i="1"/>
  <c r="Y313" i="1"/>
  <c r="AA312" i="1"/>
  <c r="Y312" i="1"/>
  <c r="Z312" i="1" s="1"/>
  <c r="Z311" i="1"/>
  <c r="Y311" i="1"/>
  <c r="AA311" i="1" s="1"/>
  <c r="AA310" i="1"/>
  <c r="Z310" i="1"/>
  <c r="Y310" i="1"/>
  <c r="AA309" i="1"/>
  <c r="Z309" i="1"/>
  <c r="Y309" i="1"/>
  <c r="Y308" i="1"/>
  <c r="Z308" i="1" s="1"/>
  <c r="AA307" i="1"/>
  <c r="Z307" i="1"/>
  <c r="AA306" i="1"/>
  <c r="Z306" i="1"/>
  <c r="AA302" i="1"/>
  <c r="Z302" i="1"/>
  <c r="Y302" i="1"/>
  <c r="AA292" i="1"/>
  <c r="Z292" i="1"/>
  <c r="Y292" i="1"/>
  <c r="AA291" i="1"/>
  <c r="Y291" i="1"/>
  <c r="Z291" i="1" s="1"/>
  <c r="AA290" i="1"/>
  <c r="Z290" i="1"/>
  <c r="Y290" i="1"/>
  <c r="AA289" i="1"/>
  <c r="Z289" i="1"/>
  <c r="Y289" i="1"/>
  <c r="AA288" i="1"/>
  <c r="Y288" i="1"/>
  <c r="Z288" i="1" s="1"/>
  <c r="Z287" i="1"/>
  <c r="Y287" i="1"/>
  <c r="AA287" i="1" s="1"/>
  <c r="Y285" i="1"/>
  <c r="AA285" i="1" s="1"/>
  <c r="Y284" i="1"/>
  <c r="Z284" i="1" s="1"/>
  <c r="AA283" i="1"/>
  <c r="Z283" i="1"/>
  <c r="AA282" i="1"/>
  <c r="Z282" i="1"/>
  <c r="AA281" i="1"/>
  <c r="Y281" i="1"/>
  <c r="Z281" i="1" s="1"/>
  <c r="Z280" i="1"/>
  <c r="Y280" i="1"/>
  <c r="AA280" i="1" s="1"/>
  <c r="Y279" i="1"/>
  <c r="AA279" i="1" s="1"/>
  <c r="AA278" i="1"/>
  <c r="Z278" i="1"/>
  <c r="Y278" i="1"/>
  <c r="AA276" i="1"/>
  <c r="Z276" i="1"/>
  <c r="Y276" i="1"/>
  <c r="AA275" i="1"/>
  <c r="Z275" i="1"/>
  <c r="Y275" i="1"/>
  <c r="AA274" i="1"/>
  <c r="Z274" i="1"/>
  <c r="AA273" i="1"/>
  <c r="Z273" i="1"/>
  <c r="AA272" i="1"/>
  <c r="Z272" i="1"/>
  <c r="Y272" i="1"/>
  <c r="Y253" i="1"/>
  <c r="Z253" i="1" s="1"/>
  <c r="Y252" i="1"/>
  <c r="AA252" i="1" s="1"/>
  <c r="AA251" i="1"/>
  <c r="Z251" i="1"/>
  <c r="Y251" i="1"/>
  <c r="AA249" i="1"/>
  <c r="Z249" i="1"/>
  <c r="Y249" i="1"/>
  <c r="AA245" i="1"/>
  <c r="Z245" i="1"/>
  <c r="Y245" i="1"/>
  <c r="AA244" i="1"/>
  <c r="Z244" i="1"/>
  <c r="Y244" i="1"/>
  <c r="Y243" i="1"/>
  <c r="AA243" i="1" s="1"/>
  <c r="AA238" i="1"/>
  <c r="Z238" i="1"/>
  <c r="Y238" i="1"/>
  <c r="Y237" i="1"/>
  <c r="AA237" i="1" s="1"/>
  <c r="Z205" i="1"/>
  <c r="X205" i="1"/>
  <c r="Y205" i="1" s="1"/>
  <c r="Z204" i="1"/>
  <c r="Y204" i="1"/>
  <c r="X204" i="1"/>
  <c r="Z203" i="1"/>
  <c r="Y203" i="1"/>
  <c r="X203" i="1"/>
  <c r="Z202" i="1"/>
  <c r="Y202" i="1"/>
  <c r="X202" i="1"/>
  <c r="Z201" i="1"/>
  <c r="X201" i="1"/>
  <c r="Y201" i="1" s="1"/>
  <c r="Z200" i="1"/>
  <c r="Y200" i="1"/>
  <c r="X200" i="1"/>
  <c r="Z199" i="1"/>
  <c r="Y199" i="1"/>
  <c r="X199" i="1"/>
  <c r="X198" i="1"/>
  <c r="Y198" i="1" s="1"/>
  <c r="Y196" i="1"/>
  <c r="Z196" i="1" s="1"/>
  <c r="AA195" i="1"/>
  <c r="Z195" i="1"/>
  <c r="AA194" i="1"/>
  <c r="Z194" i="1"/>
  <c r="Z189" i="1"/>
  <c r="Y189" i="1"/>
  <c r="AA189" i="1" s="1"/>
  <c r="Y188" i="1"/>
  <c r="AA188" i="1" s="1"/>
  <c r="Y187" i="1"/>
  <c r="Z187" i="1" s="1"/>
  <c r="Y184" i="1"/>
  <c r="Z184" i="1" s="1"/>
  <c r="Y183" i="1"/>
  <c r="X183" i="1"/>
  <c r="AA182" i="1"/>
  <c r="Z182" i="1"/>
  <c r="AA181" i="1"/>
  <c r="Z181" i="1"/>
  <c r="AA179" i="1"/>
  <c r="Z179" i="1"/>
  <c r="Y179" i="1"/>
  <c r="AA178" i="1"/>
  <c r="Y178" i="1"/>
  <c r="Z178" i="1" s="1"/>
  <c r="AA160" i="1"/>
  <c r="Z160" i="1"/>
  <c r="Y160" i="1"/>
  <c r="AA158" i="1"/>
  <c r="Z158" i="1"/>
  <c r="Y158" i="1"/>
  <c r="AA157" i="1"/>
  <c r="Y157" i="1"/>
  <c r="Z157" i="1" s="1"/>
  <c r="AA156" i="1"/>
  <c r="Z156" i="1"/>
  <c r="Y156" i="1"/>
  <c r="AA151" i="1"/>
  <c r="Z151" i="1"/>
  <c r="Y151" i="1"/>
  <c r="Y150" i="1"/>
  <c r="Z150" i="1" s="1"/>
  <c r="Y149" i="1"/>
  <c r="Z149" i="1" s="1"/>
  <c r="Z94" i="1"/>
  <c r="Y94" i="1"/>
  <c r="X94" i="1"/>
  <c r="AA93" i="1"/>
  <c r="Z93" i="1"/>
  <c r="Y93" i="1"/>
  <c r="AA92" i="1"/>
  <c r="Z92" i="1"/>
  <c r="Y92" i="1"/>
  <c r="Y90" i="1"/>
  <c r="AA90" i="1" s="1"/>
  <c r="Y89" i="1"/>
  <c r="Z89" i="1" s="1"/>
  <c r="AA88" i="1"/>
  <c r="Y88" i="1"/>
  <c r="Z88" i="1" s="1"/>
  <c r="AA87" i="1"/>
  <c r="Z87" i="1"/>
  <c r="AA86" i="1"/>
  <c r="Z86" i="1"/>
  <c r="AA85" i="1"/>
  <c r="Z85" i="1"/>
  <c r="Y85" i="1"/>
  <c r="Y84" i="1"/>
  <c r="AA84" i="1" s="1"/>
  <c r="Y82" i="1"/>
  <c r="AA82" i="1" s="1"/>
  <c r="AA81" i="1"/>
  <c r="Y81" i="1"/>
  <c r="Z81" i="1" s="1"/>
  <c r="Z80" i="1"/>
  <c r="Y80" i="1"/>
  <c r="AA80" i="1" s="1"/>
  <c r="AA79" i="1"/>
  <c r="Z79" i="1"/>
  <c r="Y79" i="1"/>
  <c r="Y78" i="1"/>
  <c r="AA78" i="1" s="1"/>
  <c r="Y77" i="1"/>
  <c r="Z77" i="1" s="1"/>
  <c r="AA76" i="1"/>
  <c r="Z76" i="1"/>
  <c r="Y76" i="1"/>
  <c r="AA75" i="1"/>
  <c r="Y75" i="1"/>
  <c r="Z75" i="1" s="1"/>
  <c r="Z74" i="1"/>
  <c r="Y74" i="1"/>
  <c r="AA74" i="1" s="1"/>
  <c r="AA73" i="1"/>
  <c r="Z73" i="1"/>
  <c r="Y73" i="1"/>
  <c r="Y72" i="1"/>
  <c r="Z72" i="1" s="1"/>
  <c r="Y71" i="1"/>
  <c r="Z71" i="1" s="1"/>
  <c r="AA68" i="1"/>
  <c r="Z68" i="1"/>
  <c r="Y68" i="1"/>
  <c r="Y67" i="1"/>
  <c r="AA67" i="1" s="1"/>
  <c r="AA66" i="1"/>
  <c r="Z66" i="1"/>
  <c r="Y66" i="1"/>
  <c r="AA65" i="1"/>
  <c r="Z65" i="1"/>
  <c r="Y65" i="1"/>
  <c r="Y64" i="1"/>
  <c r="Z64" i="1" s="1"/>
  <c r="AA63" i="1"/>
  <c r="Z63" i="1"/>
  <c r="Y63" i="1"/>
  <c r="AA62" i="1"/>
  <c r="Z62" i="1"/>
  <c r="Y62" i="1"/>
  <c r="AA57" i="1"/>
  <c r="Z57" i="1"/>
  <c r="Y57" i="1"/>
  <c r="AA55" i="1"/>
  <c r="Y55" i="1"/>
  <c r="Z55" i="1" s="1"/>
  <c r="AA54" i="1"/>
  <c r="Y54" i="1"/>
  <c r="Z54" i="1" s="1"/>
  <c r="AA51" i="1"/>
  <c r="Z51" i="1"/>
  <c r="Y51" i="1"/>
  <c r="Z45" i="1"/>
  <c r="X45" i="1"/>
  <c r="Y45" i="1" s="1"/>
  <c r="Z44" i="1"/>
  <c r="Y44" i="1"/>
  <c r="AA44" i="1" s="1"/>
  <c r="Y43" i="1"/>
  <c r="AA43" i="1" s="1"/>
  <c r="AA41" i="1"/>
  <c r="Z41" i="1"/>
  <c r="AA40" i="1"/>
  <c r="Z40" i="1"/>
  <c r="AA39" i="1"/>
  <c r="Z39" i="1"/>
  <c r="Y39" i="1"/>
  <c r="AA37" i="1"/>
  <c r="Z37" i="1"/>
  <c r="Y37" i="1"/>
  <c r="Z32" i="1"/>
  <c r="Y32" i="1"/>
  <c r="AA32" i="1" s="1"/>
  <c r="AA31" i="1"/>
  <c r="Z31" i="1"/>
  <c r="Y31" i="1"/>
  <c r="Y30" i="1"/>
  <c r="Z30" i="1" s="1"/>
  <c r="AA29" i="1"/>
  <c r="Z29" i="1"/>
  <c r="Y29" i="1"/>
  <c r="AA28" i="1"/>
  <c r="Z28" i="1"/>
  <c r="Y28" i="1"/>
  <c r="AA27" i="1"/>
  <c r="Z27" i="1"/>
  <c r="Y27" i="1"/>
  <c r="AA26" i="1"/>
  <c r="Z26" i="1"/>
  <c r="Y26" i="1"/>
  <c r="AA25" i="1"/>
  <c r="Z25" i="1"/>
  <c r="Y25" i="1"/>
  <c r="Y24" i="1"/>
  <c r="AA24" i="1" s="1"/>
  <c r="AA23" i="1"/>
  <c r="Y23" i="1"/>
  <c r="Z23" i="1" s="1"/>
  <c r="AA22" i="1"/>
  <c r="Z22" i="1"/>
  <c r="Y22" i="1"/>
  <c r="AA21" i="1"/>
  <c r="Z21" i="1"/>
  <c r="Y21" i="1"/>
  <c r="AA20" i="1"/>
  <c r="Y20" i="1"/>
  <c r="Z20" i="1" s="1"/>
  <c r="AA19" i="1"/>
  <c r="Y19" i="1"/>
  <c r="Z19" i="1" s="1"/>
  <c r="AA18" i="1"/>
  <c r="Z18" i="1"/>
  <c r="Y18" i="1"/>
  <c r="AA17" i="1"/>
  <c r="Y17" i="1"/>
  <c r="Z17" i="1" s="1"/>
  <c r="Y16" i="1"/>
  <c r="AA16" i="1" s="1"/>
  <c r="AA15" i="1"/>
  <c r="Z15" i="1"/>
  <c r="AA14" i="1"/>
  <c r="Z14" i="1"/>
  <c r="Y13" i="1"/>
  <c r="AA13" i="1" s="1"/>
  <c r="AA12" i="1"/>
  <c r="Z12" i="1"/>
  <c r="AA11" i="1"/>
  <c r="Z11" i="1"/>
  <c r="AA10" i="1"/>
  <c r="Z10" i="1"/>
  <c r="AA5" i="1"/>
  <c r="Z5" i="1"/>
  <c r="AA4" i="1"/>
  <c r="Z4" i="1"/>
  <c r="AA3" i="1"/>
  <c r="Z3" i="1"/>
  <c r="AA2" i="1"/>
  <c r="Z2" i="1"/>
  <c r="AA64" i="1" l="1"/>
  <c r="AA308" i="1"/>
  <c r="AA30" i="1"/>
  <c r="W381" i="1" s="1"/>
  <c r="AA72" i="1"/>
  <c r="Z84" i="1"/>
  <c r="Z90" i="1"/>
  <c r="AA150" i="1"/>
  <c r="AA187" i="1"/>
  <c r="Z198" i="1"/>
  <c r="AA253" i="1"/>
  <c r="AA284" i="1"/>
  <c r="Z314" i="1"/>
  <c r="Z252" i="1"/>
  <c r="Z13" i="1"/>
  <c r="V381" i="1" s="1"/>
  <c r="Z78" i="1"/>
  <c r="AA71" i="1"/>
  <c r="AA77" i="1"/>
  <c r="Z43" i="1"/>
  <c r="Z188" i="1"/>
  <c r="Z279" i="1"/>
  <c r="Z285" i="1"/>
  <c r="AA196" i="1"/>
  <c r="AA89" i="1"/>
  <c r="Z24" i="1"/>
  <c r="Z243" i="1"/>
  <c r="Z82" i="1"/>
  <c r="Z16" i="1"/>
  <c r="Z67" i="1"/>
  <c r="Z237" i="1"/>
  <c r="AA149" i="1"/>
</calcChain>
</file>

<file path=xl/sharedStrings.xml><?xml version="1.0" encoding="utf-8"?>
<sst xmlns="http://schemas.openxmlformats.org/spreadsheetml/2006/main" count="9640" uniqueCount="4672">
  <si>
    <t>type</t>
  </si>
  <si>
    <t>name</t>
  </si>
  <si>
    <t>label::Arabic (ar)</t>
  </si>
  <si>
    <t>label::English (en)</t>
  </si>
  <si>
    <t>label::</t>
  </si>
  <si>
    <t>hint::English (en)</t>
  </si>
  <si>
    <t>hint::Arabic (ar)</t>
  </si>
  <si>
    <t>hint::</t>
  </si>
  <si>
    <t>required</t>
  </si>
  <si>
    <t>appearance</t>
  </si>
  <si>
    <t>constraint</t>
  </si>
  <si>
    <t>constraint_message::English (en)</t>
  </si>
  <si>
    <t>constraint_message::Arabic (ar)</t>
  </si>
  <si>
    <t>relevant</t>
  </si>
  <si>
    <t>choice_filter</t>
  </si>
  <si>
    <t>parameters</t>
  </si>
  <si>
    <t>calculation</t>
  </si>
  <si>
    <t>trigger</t>
  </si>
  <si>
    <t xml:space="preserve">Mandatory </t>
  </si>
  <si>
    <t>New question duration (sec)</t>
  </si>
  <si>
    <t>Estimated percentage of repondents</t>
  </si>
  <si>
    <t>Weighted time</t>
  </si>
  <si>
    <t>Weighted time for core vars</t>
  </si>
  <si>
    <t>start</t>
  </si>
  <si>
    <t>end</t>
  </si>
  <si>
    <t>today</t>
  </si>
  <si>
    <t>deviceid</t>
  </si>
  <si>
    <t>audit</t>
  </si>
  <si>
    <t>time</t>
  </si>
  <si>
    <t>Interview_start_Time</t>
  </si>
  <si>
    <t>وقت بداية المقابلة</t>
  </si>
  <si>
    <t>Interview Start Time</t>
  </si>
  <si>
    <t>true</t>
  </si>
  <si>
    <t>${resp_agree} = '1'</t>
  </si>
  <si>
    <t>no</t>
  </si>
  <si>
    <t>select_one enumteam</t>
  </si>
  <si>
    <t>enum_team</t>
  </si>
  <si>
    <t xml:space="preserve"> فريق جمع البيانات (حسب المنطقة)</t>
  </si>
  <si>
    <t>Enumerator team number or code (according to the district)</t>
  </si>
  <si>
    <t>dateTime</t>
  </si>
  <si>
    <t>First_update_time</t>
  </si>
  <si>
    <t>if(${First_update_time}='', now(), ${First_update_time})</t>
  </si>
  <si>
    <t>${enum_team}</t>
  </si>
  <si>
    <t>select_one enumerator</t>
  </si>
  <si>
    <t>enumerator</t>
  </si>
  <si>
    <t>رمز جامع البيانات</t>
  </si>
  <si>
    <t>Code of enumerator</t>
  </si>
  <si>
    <t>my_filter_admin=${enum_team}</t>
  </si>
  <si>
    <t>yes</t>
  </si>
  <si>
    <t>text</t>
  </si>
  <si>
    <t>enumerator_</t>
  </si>
  <si>
    <t>اسم جامع البيانات</t>
  </si>
  <si>
    <t>Name of enumerator</t>
  </si>
  <si>
    <t>string-length(.)&gt;=3</t>
  </si>
  <si>
    <t>عفوا، الرجاء تقديم نص و شرح اكثر وضوحا.</t>
  </si>
  <si>
    <t>Sorry, Please provide a much more meaningful text</t>
  </si>
  <si>
    <t>note</t>
  </si>
  <si>
    <t>introduction</t>
  </si>
  <si>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</si>
  <si>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</si>
  <si>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[INSTRUCTIONS: ADDRESS QUESTIONS FROM RESPONDENT, IF ANY.]</t>
  </si>
  <si>
    <t>[تعليمات: أجب عن أسئلة المُجيب ، إن وجدت]</t>
  </si>
  <si>
    <t>false</t>
  </si>
  <si>
    <t>select_one yesno</t>
  </si>
  <si>
    <t>resp_agree</t>
  </si>
  <si>
    <t>هل لديك رغبة في بالمشاركة في هذه الدراسة؟</t>
  </si>
  <si>
    <t>Are you interested in participating in this survey?</t>
  </si>
  <si>
    <t>Refusal</t>
  </si>
  <si>
    <t>شكراً جزيلاً على وقتك، سنقوم بحذف إسمك من دراسة اليوم.</t>
  </si>
  <si>
    <t>Thank you for your time, you will be removed from today's survey.</t>
  </si>
  <si>
    <t>${resp_agree} = '2'</t>
  </si>
  <si>
    <t>begin_group</t>
  </si>
  <si>
    <t>eligibility</t>
  </si>
  <si>
    <t>1. معايير الأهلية</t>
  </si>
  <si>
    <t>1. ELIGIBILITY CRITERIA</t>
  </si>
  <si>
    <t>resp_firstname</t>
  </si>
  <si>
    <t>1.1 ما اسمك؟</t>
  </si>
  <si>
    <t>1.1 What is your first name?</t>
  </si>
  <si>
    <t>[INSTRUCTIONS: RECORD THE RESPONDENT'S FIRST NAME. ENTER 999 FOR REFUSED]</t>
  </si>
  <si>
    <t>[تعليمات: سجل اسم المجيب. أدخل 999 في حالة الرفض]</t>
  </si>
  <si>
    <t>resp_lastname</t>
  </si>
  <si>
    <t>1.2 ما هو لقبك\كنيتك؟</t>
  </si>
  <si>
    <t>1.2 What is your last name?</t>
  </si>
  <si>
    <t>[INSTRUCTIONS: RECORD THE RESPONDENT'S LAST NAME. ENTER 999 FOR REFUSED]</t>
  </si>
  <si>
    <t>[تعليمات: سجل اسم عائلة المجيب. أدخل 999 في حالة الرفض]</t>
  </si>
  <si>
    <t>integer</t>
  </si>
  <si>
    <t>resp_age</t>
  </si>
  <si>
    <t>1.3 كم عمرك؟</t>
  </si>
  <si>
    <t>1.3 How old are you?</t>
  </si>
  <si>
    <t>[INSTRUCTIONS: RECORD AGE IN NUMBER OF YEARS. ROUND UP TO NEAREST WHOLE NUMBER. IF THE RESPONDENT GIVES BIRTH YEAR, REPEAT THE QUESTION. ENTER 888 FOR DON'T KNOW.]</t>
  </si>
  <si>
    <t>[تعليمات: سجل العمر في عدد السنوات. قم بالتقريب لأقرب رقم كامل. إذا أعطى المجيب سنة الميلاد ، فكرر السؤال. أدخل 888 إذا كان الجواب لا أعرف]</t>
  </si>
  <si>
    <t>(. &gt;= 16 and . &lt;= 100) or . = 888</t>
  </si>
  <si>
    <t>select_one gender</t>
  </si>
  <si>
    <t>resp_gender</t>
  </si>
  <si>
    <t>1.4 ما هو جنس المجيب؟</t>
  </si>
  <si>
    <t>1.4 What is the gender of the respondent?</t>
  </si>
  <si>
    <t>[INSTRUCTIONS: DO NOT ASK THIS QUESTION OUT LOUD. SELECT THE GENDER OF THE RESPONDENT.]</t>
  </si>
  <si>
    <t>[تعليمات: لا تطرح هذا السؤال. حدد جنس المجيب]</t>
  </si>
  <si>
    <t>phone_number_personal</t>
  </si>
  <si>
    <t>1.5 ما هو رقم هاتفك؟</t>
  </si>
  <si>
    <t>1.5 What is your phone number?</t>
  </si>
  <si>
    <t>numbers</t>
  </si>
  <si>
    <t>regex(.,'^(\+?( |-|\.)?\d{1,2}( |-|\.)?)?(\(?\d{3}\)?|\d{3})( |-|\.)?(\d{2,3}( |-|\.)?\d{4,6})$')</t>
  </si>
  <si>
    <t>Please enter a valid phone number</t>
  </si>
  <si>
    <t>الرجاء ادخال رقم هاتف صحيح</t>
  </si>
  <si>
    <t>yes - panel</t>
  </si>
  <si>
    <t>select_one contact_info</t>
  </si>
  <si>
    <t>contact_2</t>
  </si>
  <si>
    <t>1.6 هل يمكن أن تعطيني رقم هاتف إضافي يخصك ، أو يخص قريبًا أو صديقًا يمكن الوصول إليك من خلاله؟</t>
  </si>
  <si>
    <t>1.6 Can you give me an additional phone number belonging to you, a relative or a friend at which you can be reached?</t>
  </si>
  <si>
    <t>phone_number_2</t>
  </si>
  <si>
    <t>1.7 ما هو رقم الهاتف الإضافي؟</t>
  </si>
  <si>
    <t>1.7 What is the additional phone number?</t>
  </si>
  <si>
    <t xml:space="preserve">${contact_2} = '1' or ${contact_2} = '2' or ${contact_2} = '3' </t>
  </si>
  <si>
    <t>contact_2_name</t>
  </si>
  <si>
    <t>1.8 ما هو اسم صاحب رقم الهاتف الإضافي الذي قمت بمشاركته؟</t>
  </si>
  <si>
    <t>1.8 What is the name of the contact?</t>
  </si>
  <si>
    <t xml:space="preserve">${contact_2} = '2' or ${contact_2} = '3' </t>
  </si>
  <si>
    <t>select_one admin1</t>
  </si>
  <si>
    <t>adm1_pcode</t>
  </si>
  <si>
    <t>1.9 حاليًا ، في أي محافظة  تقيم أسرتك؟</t>
  </si>
  <si>
    <t>1.9 Currently, in which Governorate does your household reside?</t>
  </si>
  <si>
    <t>[HINT: HOUSEHOLD CONSISTS OF ALL MEMBERS LIVING TOGETHER, SHARING RESOURCES &amp; EATING FROM THE SAME POT.]</t>
  </si>
  <si>
    <t>[ملحوظة: تتكون الأسرة من جميع الأعضاء الذين يعيشون معًا ، ويتشاركون الموارد ويأكلون من نفس القدر]</t>
  </si>
  <si>
    <t>autocomplete</t>
  </si>
  <si>
    <t>calculate</t>
  </si>
  <si>
    <t>adm1_name</t>
  </si>
  <si>
    <t>jr:choice-name(${adm1_pcode},'${adm1_pcode}')</t>
  </si>
  <si>
    <t>select_one admin2</t>
  </si>
  <si>
    <t xml:space="preserve">adm2_pcode </t>
  </si>
  <si>
    <t>1.10 حاليًا ، في أي منطقة تقيم أسرتك؟</t>
  </si>
  <si>
    <t>1.10 Currently, in which District does your household reside?</t>
  </si>
  <si>
    <t>my_filter_admin=${adm1_pcode}</t>
  </si>
  <si>
    <t>adm2_name</t>
  </si>
  <si>
    <t>jr:choice-name(${adm2_pcode},'${adm2_pcode}')</t>
  </si>
  <si>
    <t>select_one admin3</t>
  </si>
  <si>
    <t>adm3_pcode</t>
  </si>
  <si>
    <t>1.11 حاليًا ، في أي ناحية تقيم أسرتك؟</t>
  </si>
  <si>
    <t>1.11 Currently, in which Sub-District does your household reside?</t>
  </si>
  <si>
    <t>my_filter_admin=${adm2_pcode}</t>
  </si>
  <si>
    <t>adm3_name</t>
  </si>
  <si>
    <t>jr:choice-name(${adm3_pcode},'${adm3_pcode}')</t>
  </si>
  <si>
    <t>select_one admin4</t>
  </si>
  <si>
    <t xml:space="preserve">adm4_pcode </t>
  </si>
  <si>
    <t>1.12 حاليًا ، في أي مجتمع تقيم أسرتك؟</t>
  </si>
  <si>
    <t>1.12 Currently, in which Community does your household reside?</t>
  </si>
  <si>
    <t>my_filter_admin=${adm3_pcode}</t>
  </si>
  <si>
    <t>adm4_name</t>
  </si>
  <si>
    <t>jr:choice-name(${adm4_pcode},'${adm4_pcode}')</t>
  </si>
  <si>
    <t>select_one agricactivity</t>
  </si>
  <si>
    <t>hh_agricactivity</t>
  </si>
  <si>
    <t>1.13 هل قام أي شخص في أسرتك بإنتاج المحاصيل أو الثروة الحيوانية أو الأسماك وتربية الأحياء المائية للاستهلاك المنزلي أو للبيع خلال الاثني عشر شهرًا الماضية ، بما في ذلك أفراد الأسرة الغير موجودين بغرض الرعي؟</t>
  </si>
  <si>
    <t>1.13 Have you or anyone in your household been producing vegetables, crops, livestock or fish and aquaculture for household consumption or for sale in the past 12 months, including household members currently away for transhumance?</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</si>
  <si>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</si>
  <si>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</si>
  <si>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select_one yes_no</t>
  </si>
  <si>
    <t>hh_agricactivity_conflict</t>
  </si>
  <si>
    <t>1.14 هل قام أي شخص في أسرتك بإنتاج المحاصيل أو الثروة الحيوانية أو الأسماك وتربية الأحياء المائية للاستهلاك المنزلي أو للبيع منذ بداية الصراع عام ٢٠١١؟</t>
  </si>
  <si>
    <t>1.14 Have you or anyone in your household been producing vegetables, crops, livestock or fish and aquaculture for household consumption or for sale since the start of the conflict in 2011?</t>
  </si>
  <si>
    <t>[HINT FOR PROBING: Did you cultivate any plants to sale or consume? Did you raise any animals with the intent of selling or consuming them or their products like meat, milk, wool or leather?]</t>
  </si>
  <si>
    <t>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t>
  </si>
  <si>
    <t>${hh_agricactivity}='4'</t>
  </si>
  <si>
    <t>hh_agricactivity_ever</t>
  </si>
  <si>
    <t>1.15 هل قام أي شخص في أسرتك بإنتاج المحاصيل أو الثروة الحيوانية أو الأسماك وتربية الأحياء المائية للاستهلاك المنزلي أو للبيع من قبل؟</t>
  </si>
  <si>
    <t>1.15 Have you or anyone in your household ever produced vegetables, crops, livestock or fish and aquaculture for household consumption or for sale?</t>
  </si>
  <si>
    <t>${hh_agricactivity_conflict}='2'</t>
  </si>
  <si>
    <t>select_one agric_checktime</t>
  </si>
  <si>
    <t>hh_agricactivity_stopduration</t>
  </si>
  <si>
    <t>1.16 منذ متى توقفت أسرتك عن الأنشطة الزراعية؟</t>
  </si>
  <si>
    <t>1.16 For how long has your household stopped agricultural activities?</t>
  </si>
  <si>
    <t>${hh_agricactivity}='4' and (${hh_agricactivity_conflict}='1' or  ${hh_agricactivity_ever}='1')</t>
  </si>
  <si>
    <t>select_one reason_stop</t>
  </si>
  <si>
    <t>hh_agricactivity_stopreason</t>
  </si>
  <si>
    <t>1.17 لماذا أوقفت أسرتك أنشطتها الزراعية؟</t>
  </si>
  <si>
    <t>1.17 Why has your household stopped agricultural activities?</t>
  </si>
  <si>
    <t>hh_agricactivity_stopreason_otherspecify</t>
  </si>
  <si>
    <t>1.18 إذا كانت الإجابة "آخر"، حدد</t>
  </si>
  <si>
    <t>1.18 If other, specify.</t>
  </si>
  <si>
    <t>[INSTRUCTIONS: RECORD THE OPEN RESPONSE GIVEN IN FEW WORDS. ENTER 888 FOR DON'T KNOW AND 999 FOR REFUSED]</t>
  </si>
  <si>
    <t>[تعليمات: سجل في بضع كلمات الاستجابة المفتوحة المعطاة . أدخل 888 للا أعرف و 999 في حالة الرفض]</t>
  </si>
  <si>
    <t>${hh_agricactivity_stopreason} = 'other'</t>
  </si>
  <si>
    <t>hh_agricactivity_resume_will</t>
  </si>
  <si>
    <t>1.19 هل تنوي استئناف النشاط الزراعي؟</t>
  </si>
  <si>
    <t>1.19 Are you willing to resume agricultural activity ?</t>
  </si>
  <si>
    <t>select_one agric_checkresume</t>
  </si>
  <si>
    <t>hh_agricactivity_resume_date</t>
  </si>
  <si>
    <t>1.20 متى تعتقد أن أسرتك ستكون قادر على استئناف الأنشطة الزراعية؟</t>
  </si>
  <si>
    <t>1.20 When do you think that your household will be able to resume agricultural activities?</t>
  </si>
  <si>
    <t>${hh_agricactivity}='4' and (${hh_agricactivity_conflict}='1' or  ${hh_agricactivity_ever}='1') and ${hh_agricactivity_resume_will}='1'</t>
  </si>
  <si>
    <t>end_group</t>
  </si>
  <si>
    <t>generalInfo</t>
  </si>
  <si>
    <t>2. معلومات عامة</t>
  </si>
  <si>
    <t>2. GENERAL INFORMATION</t>
  </si>
  <si>
    <t>${resp_agree} = '1' and ${hh_agricactivity} != 'ref' and ${hh_agricactivity} != 'dk'</t>
  </si>
  <si>
    <t>resp_id</t>
  </si>
  <si>
    <t>2.1 هل أنت رب الأسرة ؟</t>
  </si>
  <si>
    <t>2.1 Are you the head of household?</t>
  </si>
  <si>
    <t>[HINT: HOUSEHOLD CONSISTS OF ALL MEMBERS LIVING TOGETHER, SHARING RESOURCES &amp; EATING FROM THE SAME POT]</t>
  </si>
  <si>
    <t xml:space="preserve"> [.ملحوظة: تتكون الأسرة من جميع الأعضاء الذين يعيشون معًا ، ويتشاركون الموارد ويأكلون من نفس القدر] </t>
  </si>
  <si>
    <t>hh_gender</t>
  </si>
  <si>
    <t>2.2 هل رب أسرتك ذكر أم أنثى؟</t>
  </si>
  <si>
    <t xml:space="preserve">2.2 Is the head of your household male or female? </t>
  </si>
  <si>
    <t>${resp_id} != '1'</t>
  </si>
  <si>
    <t>select_one edu</t>
  </si>
  <si>
    <t>hh_education</t>
  </si>
  <si>
    <t>2.3 ما هو المستوى التعليمي الذي وصل إليه رب الأسرة؟</t>
  </si>
  <si>
    <t xml:space="preserve">2.3 What is the educational level attained by the head of household? </t>
  </si>
  <si>
    <t>select_one water</t>
  </si>
  <si>
    <t>hh_wealth_water</t>
  </si>
  <si>
    <t>من أين تأتي المياه التي تشربونها في المنزل؟</t>
  </si>
  <si>
    <t>Where does the water that you drink at home come from?</t>
  </si>
  <si>
    <t>HHSize_adultM</t>
  </si>
  <si>
    <t>2.4 كم عدد الذكور البالغين (بين ١٨ و ٦٠ سنة) الذين يعيشون في منزلك؟</t>
  </si>
  <si>
    <t>2.4 How many adult males (between 18 and 60) are living in your household?</t>
  </si>
  <si>
    <t>[HINT: HOUSEHOLD CONSISTS OF ALL MEMBERS LIVING TOGETHER, SHARING RESOURCES &amp; EATING FROM THE SAME POT. ENTER 888 FOR DON'T KNOW AND 999 FOR REFUSED]</t>
  </si>
  <si>
    <t xml:space="preserve"> [.ملحوظة: تتكون الأسرة من جميع الأعضاء الذين يعيشون معًا ، ويتشاركون الموارد ويأكلون من نفس القدر] [أدخل 888 للا أعرف و 999 في حالة الرفض]</t>
  </si>
  <si>
    <t>.&gt;=0 and .&lt;25</t>
  </si>
  <si>
    <t>HHSize_adultF</t>
  </si>
  <si>
    <t>2.5 كم عدد الإناث البالغات (بين ١٨ و ٦٠ سنة) اللواتي يعشن في منزلك؟</t>
  </si>
  <si>
    <t>2.5 How many adult females (between 18 and 60) are living in your household?</t>
  </si>
  <si>
    <t>HHSize_elderly</t>
  </si>
  <si>
    <t>2.6 كم عدد المسنين (فوق ٦٠ سنة) الذين يعيشون في منزلك؟</t>
  </si>
  <si>
    <t>2.6 How many elderly (above 60) are living in your household?</t>
  </si>
  <si>
    <t>HHSize_child</t>
  </si>
  <si>
    <t>2.7 كم عدد القاصرين (بين ٠ و ١٧ سنة) الذين يعيشون في منزلك؟</t>
  </si>
  <si>
    <t>2.7 How many minors (between 0 and 17) are living in your household?</t>
  </si>
  <si>
    <t>Dis_num</t>
  </si>
  <si>
    <t>2.8 هل يوجد في الأسرة أشخاص من ذوي الاحتياجات الخاصة؟ إذا كانت الإجابة بنعم ، فكم عددها؟</t>
  </si>
  <si>
    <t>2.8 Does your household include disabled persons? If yes how many disabled?</t>
  </si>
  <si>
    <t>select_one residence</t>
  </si>
  <si>
    <t>hh_residencetype</t>
  </si>
  <si>
    <t>2.9 أي من أنواع الإقامة التالية يصف إقامتك بشكل أفضل؟</t>
  </si>
  <si>
    <t>2.9 Which in the following types of residence best describes your residence?</t>
  </si>
  <si>
    <t>[INSTRUCTIONS: READ OUT THE OPTIONS.]
[HINT: IF RESPONDENT IS ONLY AWAY FROM THE HOUSEHOLD FOR SHORT SEASONAL WORK (&lt;6 MONTHS) OR TRANSHUMANCE, MAKE SURE TO REFER TO THEIR HOUSEHOLD BACK WHERE THEY TYPICALLY ARE LOCATED.]</t>
  </si>
  <si>
    <t>[تعليمات: اقرأ الخيارات] 
[ملحوظة: إذا كان المجيب بعيدًا فقط عن الأسرة للعمل الموسمي القصير (أقل من 6 أشهر) أو بغرض الرعي ، فتأكد من الرجوع إلى أسرته في المكان الذي يوجد فيه عادةً]</t>
  </si>
  <si>
    <t>Host_IDP</t>
  </si>
  <si>
    <t>2.10 هل تستضيف أسرتك حاليا أي عائلات أو أشخاص نازحين؟</t>
  </si>
  <si>
    <t>2.10 Are you presently hosting any displaced families or people?</t>
  </si>
  <si>
    <t>Host_IDP_num</t>
  </si>
  <si>
    <t>2.11 يرجى تحديد عدد النازحين الذين تستضيفهم أسرتك</t>
  </si>
  <si>
    <t>2.11 Please provide the number of IDPs hosted by your household.</t>
  </si>
  <si>
    <t>.&gt;=0 and .&lt;50</t>
  </si>
  <si>
    <t>${Host_IDP}='1'</t>
  </si>
  <si>
    <t>select_multiple asset_prod</t>
  </si>
  <si>
    <t>hh_asset_prod</t>
  </si>
  <si>
    <t>2.12 هل تمتلك أسرتك أي من الأصول الإنتاجية الآتية ؟</t>
  </si>
  <si>
    <t xml:space="preserve">2.12 Does your household own any of the following productive assets? </t>
  </si>
  <si>
    <t>[INSTRUCTIONS: MULTIPLE RESPONSES POSSIBLE. READ ANSWER OPTIONS OUT LOUD.]</t>
  </si>
  <si>
    <t>[تعليمات: عدة استجابات محتملة. يرجي قراءة اختيارات الإجابة بصوت مرتفع]</t>
  </si>
  <si>
    <t>if(selected(.,'none') or selected(.,'dk') or selected(.,'ref'), count-selected(.) = 1, count-selected(.) &gt;= 1)</t>
  </si>
  <si>
    <t>select_multiple asset_transp</t>
  </si>
  <si>
    <t>hh_asset_transp</t>
  </si>
  <si>
    <t>2.13 هل تمتلك انت أو اي فرد من أفراد أسرتك أي من أصول النقل التالية ؟</t>
  </si>
  <si>
    <t xml:space="preserve">2.13 Do you or any member of household own any of the following transportation assets? </t>
  </si>
  <si>
    <t>select_one sourceelec</t>
  </si>
  <si>
    <t>source_elecmain</t>
  </si>
  <si>
    <t>2.14 ما هو مصدر الكهرباء الذي تستخدمه معظم الوقت في منزلك؟</t>
  </si>
  <si>
    <t>2.14 What source of electricity is used most of the time in your household?</t>
  </si>
  <si>
    <t>[INSTRUCTIONS: READ OUT THE OPTIONS.]</t>
  </si>
  <si>
    <t>[تعليمات: اقرأ الخيارات]</t>
  </si>
  <si>
    <t>source_elecmain_other</t>
  </si>
  <si>
    <t>2.15 إذا كانت الإجابة "آخر"، حدد</t>
  </si>
  <si>
    <t>2.15 If other, specify</t>
  </si>
  <si>
    <t>${source_elecmain} = '8'</t>
  </si>
  <si>
    <t>source_elecmain_price</t>
  </si>
  <si>
    <t>2.16 كم تنفق شهرياً على هذا المصدر للكهرباء؟ (بالدولار الأمريكي)</t>
  </si>
  <si>
    <t>2.16 How much do you spend per month on this source of electricity? (in USD)</t>
  </si>
  <si>
    <t>.&gt;=0 and .&lt;=150</t>
  </si>
  <si>
    <t>select_one sourceelec2</t>
  </si>
  <si>
    <t>source_elec2</t>
  </si>
  <si>
    <t>2.17 ما هو ثاني أكثر مصدر للكهرباء استخدامًا في منزلك؟</t>
  </si>
  <si>
    <t>2.17 What is the second most used source of electricity in your household?</t>
  </si>
  <si>
    <t>${source_elecmain} != '1'</t>
  </si>
  <si>
    <t>source_elec2_other</t>
  </si>
  <si>
    <t>2.18 إذا كانت الإجابة "آخر"، حدد</t>
  </si>
  <si>
    <t>2.18 If other, specify</t>
  </si>
  <si>
    <t>${source_elecmain} != '1' and ${source_elec2} = '8'</t>
  </si>
  <si>
    <t>source_elec2_price</t>
  </si>
  <si>
    <t>2.19 كم تنفق شهرياً على هذا المصدر للكهرباء؟ (بالدولار الأمريكي)</t>
  </si>
  <si>
    <t>2.19 How much do you spend per month on this source of electricity? (in USD)</t>
  </si>
  <si>
    <t>${source_elecmain} != '1' and ${source_elec2} != '7'</t>
  </si>
  <si>
    <t>Income_Shocks_group</t>
  </si>
  <si>
    <t>3. مصادر الدخل وسبل العيش والصدمات</t>
  </si>
  <si>
    <t>3. INCOME SOURCES, LIVELIHOODS AND SHOCKS</t>
  </si>
  <si>
    <t>${resp_agree} = '1' and ${hh_agricactivity} != 'dk' and ${hh_agricactivity} != 'ref'</t>
  </si>
  <si>
    <t>select_one incomesource1</t>
  </si>
  <si>
    <t>income_main</t>
  </si>
  <si>
    <t>3.1 ما هو مصدر الدخل الرئيسي لأسرتك منذ الزلزال؟</t>
  </si>
  <si>
    <t>3.1 What has your household's main source of income been since the earthquake?</t>
  </si>
  <si>
    <t>[INSTRUCTIONS: REFUSED OPTIONS SHOULD BE AVOIDED AS MUCH AS POSSIBLE.]</t>
  </si>
  <si>
    <t>[تعليمات: يجب تجنب الخيار "رفض الإجابة" قدر الإمكان]</t>
  </si>
  <si>
    <t>minimal</t>
  </si>
  <si>
    <t>if(${hh_agricactivity}='1',agfilter1='1',if(${hh_agricactivity}='2',agfilter2='2',if(${hh_agricactivity}='3',agfilter3='3',agfilter4='4')))</t>
  </si>
  <si>
    <t>incomemain</t>
  </si>
  <si>
    <t>jr:choice-name(${income_main},'${income_main}')</t>
  </si>
  <si>
    <t>income_main_crop_check</t>
  </si>
  <si>
    <t>3.2 هل المحاصيل التي تبيعها هي من إنتاجك أنت أو أي شخص في أسرتك؟</t>
  </si>
  <si>
    <t xml:space="preserve">3.2 Are the crops that you sell produced by you or anyone in your household? </t>
  </si>
  <si>
    <t xml:space="preserve">${income_main} = '1' or ${income_main} = '2' or ${income_main} = '3' </t>
  </si>
  <si>
    <t>income_main_ls_check</t>
  </si>
  <si>
    <t>3.3 هل المواشي ومنتجاتها التي تبيعها هي من إنتاجك أنت أو أي شخص في أسرتك؟</t>
  </si>
  <si>
    <t xml:space="preserve">3.3 Are the livestock and livestock products that you sell produced by you or anyone in your household? </t>
  </si>
  <si>
    <t>${income_main} = '4'</t>
  </si>
  <si>
    <t>income_main_fish_check</t>
  </si>
  <si>
    <t>3.4 هل الأسماك/منتجات الأسماك التي تبيعها هي من إنتاجك أنت أو أي شخص في أسرتك؟</t>
  </si>
  <si>
    <t xml:space="preserve">3.4 Are the fish and/or fish products that you sell also captured or harvested by you or anyone in your household? </t>
  </si>
  <si>
    <t>${income_main} = '6'</t>
  </si>
  <si>
    <t>select_one gender_inc_1</t>
  </si>
  <si>
    <t>income_main_gender</t>
  </si>
  <si>
    <t xml:space="preserve">3.5 ما هو جنس الفرد ( الأفراد ) داخل الاسرة الذين يحصلون علي الدخل من هذا المصدر ؟ </t>
  </si>
  <si>
    <t xml:space="preserve">3.5 What is the gender of the household member(s) generating income from this source? </t>
  </si>
  <si>
    <t>${income_main} != '19' and ${income_main} != 'ref'</t>
  </si>
  <si>
    <t>select_one gender_inc_2</t>
  </si>
  <si>
    <t>income_main_control</t>
  </si>
  <si>
    <t>3.6 من هو المتحكم فى الدخل الذي تكسبه الاسرة من هذا المصدر ؟</t>
  </si>
  <si>
    <t xml:space="preserve">3.6 Who controls the revenue that is earned from this source? </t>
  </si>
  <si>
    <t>select_one change2</t>
  </si>
  <si>
    <t>income_main_comp</t>
  </si>
  <si>
    <t>3.7 هل تغير دخل أسرتك من ${incomemain} منذ الزلزال مقارنة بنفس الفترة من السنة العادية؟</t>
  </si>
  <si>
    <t>3.7 Has your household's income from ${incomemain} changed since the earthquake compared to the same period of a normal year?</t>
  </si>
  <si>
    <t>select_one incomesource2</t>
  </si>
  <si>
    <t>income_sec</t>
  </si>
  <si>
    <t>3.8 ما هو ثاني أهم مصدر دخل لأسرتك منذ الزلزال ؟</t>
  </si>
  <si>
    <t>3.8 What has your household's second most important source of income been since the earthquake?</t>
  </si>
  <si>
    <t>[INSTRUCTIONS: DON'T KNOW AND REFUSED OPTIONS SHOULD BE AVOIDED AS MUCH AS POSSIBLE.]</t>
  </si>
  <si>
    <t>[تعليمات: يجب تجنب خيارات الإجابة "لا أعرف" و "رفض الإجابة" قدر الإمكان]</t>
  </si>
  <si>
    <t>if(${hh_agricactivity}='1',agfilter1='1',if(${hh_agricactivity}='2',agfilter2='2',if(${hh_agricactivity}='3',agfilter3='3',agfilter4='4'))) and not(selected(${income_main}, name))</t>
  </si>
  <si>
    <t>incomesec</t>
  </si>
  <si>
    <t>jr:choice-name(${income_sec},'${income_sec}')</t>
  </si>
  <si>
    <t>income_sec_crop_check</t>
  </si>
  <si>
    <t>3.9 هل المحاصيل التي تبيعها هي من إنتاجك أنت أو أي شخص في أسرتك؟</t>
  </si>
  <si>
    <t xml:space="preserve">3.9 Are the crops that you sell produced by you or anyone in your household? </t>
  </si>
  <si>
    <t xml:space="preserve">${income_sec} = '1' or ${income_sec} = '2' or ${income_sec} = '3' </t>
  </si>
  <si>
    <t>income_sec_ls_check</t>
  </si>
  <si>
    <t>3.10 هل المواشي ومنتجاتها التي تبيعها هي من إنتاجك أنت أو أي شخص في أسرتك؟</t>
  </si>
  <si>
    <t xml:space="preserve">3.10 Are the livestock and livestock products that you sell produced by you or anyone in your household? </t>
  </si>
  <si>
    <t>${income_sec} = '4'</t>
  </si>
  <si>
    <t>income_sec_fish_check</t>
  </si>
  <si>
    <t>3.11 هل الأسماك/منتجات الأسماك التي تبيعها  هي من إنتاجك أنت أو أي شخص في أسرتك؟</t>
  </si>
  <si>
    <t xml:space="preserve">3.11 Are the fish products that you sell produced by you or anyone in your household? </t>
  </si>
  <si>
    <t>${income_sec} = '6'</t>
  </si>
  <si>
    <t>income_sec_comp</t>
  </si>
  <si>
    <t>3.12 هل تغير دخل أسرتك من ${incomesec} منذ الزلزال مقارنة بنفس الفترة من السنة العادية؟</t>
  </si>
  <si>
    <t>3.12 Has your household's income from ${incomesec} changed since the earthquake compared to the same period of a normal year?</t>
  </si>
  <si>
    <t xml:space="preserve">${income_main} != '19' and ${income_main} != 'ref' and ${income_sec} != '19' and ${income_sec} != 'dk' and ${income_sec} != 'ref' </t>
  </si>
  <si>
    <t>select_one incomesource3</t>
  </si>
  <si>
    <t>income_third</t>
  </si>
  <si>
    <t>3.13 ما هو ثالث أهم مصدر دخل لأسرتك منذ الزلزال؟</t>
  </si>
  <si>
    <t>3.13 What has your household's third most important source of income been since the earthquake?</t>
  </si>
  <si>
    <t xml:space="preserve">${income_main} != '19' and ${income_main} != 'ref' and ${income_sec} != '19' and ${income_sec} != 'ref' and ${income_sec} != 'dk' </t>
  </si>
  <si>
    <t>if(${hh_agricactivity}='1',agfilter1='1',if(${hh_agricactivity}='2',agfilter2='2',if(${hh_agricactivity}='3',agfilter3='3',agfilter4='4'))) and not(selected(${income_main}, name) or selected(${income_sec}, name))</t>
  </si>
  <si>
    <t>incomethird</t>
  </si>
  <si>
    <t>jr:choice-name(${income_third},'${income_third}')</t>
  </si>
  <si>
    <t>income_third_crop_check</t>
  </si>
  <si>
    <t>3.14 هل المحاصيل التي تبيعها هي من إنتاجك أنت أو أي شخص في أسرتك؟</t>
  </si>
  <si>
    <t xml:space="preserve">3.14 Are the crops that you sell produced by you or anyone in your household? </t>
  </si>
  <si>
    <t xml:space="preserve">${income_third} = '1' or ${income_third} = '2' or ${income_third} = '3' </t>
  </si>
  <si>
    <t>income_third_ls_check</t>
  </si>
  <si>
    <t>3.15 هل المواشي ومنتجاتها التي تبيعها هي من إنتاجك أنت أو أي شخص في أسرتك؟</t>
  </si>
  <si>
    <t xml:space="preserve">3.15 Are the livestock and livestock products that you sell produced by you or anyone in your household? </t>
  </si>
  <si>
    <t>${income_third} = '4'</t>
  </si>
  <si>
    <t>income_third_fish_check</t>
  </si>
  <si>
    <t>3.16 هل الأسماك/منتجات الأسماك التي تبيعها هي من إنتاجك أنت أو أي شخص في أسرتك؟</t>
  </si>
  <si>
    <t xml:space="preserve">3.16 Are the fish products that you sell produced by you or anyone in your household? </t>
  </si>
  <si>
    <t>${income_third} = '6'</t>
  </si>
  <si>
    <t>income_third_comp</t>
  </si>
  <si>
    <t>3.17 هل تغير دخل أسرتك من ${incomethird} منذ الزلزال مقارنة بنفس الفترة من السنة العادية؟</t>
  </si>
  <si>
    <t>3.17 Has your household's income from ${incomethird} changed since the earthquake compared to the same period of a normal year?</t>
  </si>
  <si>
    <t xml:space="preserve">${income_main} != '19' and ${income_main} != 'ref' and ${income_sec} != '19' and ${income_sec} != 'ref' and ${income_sec} != 'dk' and ${income_third} != '19' and ${income_third} != 'ref' and ${income_third} != 'dk' </t>
  </si>
  <si>
    <t>income_main_lastyear</t>
  </si>
  <si>
    <t>3.18 ماذا كان مصدر الدخل الرئيسي لأسرتك خلال نفس الفترة من العام الماضي؟</t>
  </si>
  <si>
    <t>3.18 What was your household's main source of income during the same period of last year?</t>
  </si>
  <si>
    <t>select_multiple shock</t>
  </si>
  <si>
    <t>shock</t>
  </si>
  <si>
    <t>3.19 هل واجهت أسرتك أو هل واجه مجتمعك أي كارثة أو أزمة معينة أثرت على قدرة أسرتك على توليد الدخل و / أو إنتاج الغذاء للاستهلاك الذاتي منذ الزلزال ، وإذا كان الأمر كذلك ، فما كانت؟</t>
  </si>
  <si>
    <t xml:space="preserve">3.19 Has your household or community faced any particular disaster or crisis affecting your household's ability to raise an income and/or to produce food for self consumption since the earthquake, and if so, which ones? </t>
  </si>
  <si>
    <t>[INSTRUCTIONS: SELECT RELEVANT SHOCKS EXPERIENCED BY THE HOUSEHOLD. MULTIPLE RESPONSES POSSIBLE. REFER TO ECONOMIC SHOCKS, CROP AND LIVESTOCK SHOCKS, INTRA-HOUSEHOLD SHOCK, NATURAL HAZARDS AND HUMAN-INDUCED HAZARDS.]</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</si>
  <si>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</si>
  <si>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if(selected(.,'noshock') or selected(.,'dk') or selected(.,'ref'), count-selected(.) = 1, count-selected(.) &gt;= 1)</t>
  </si>
  <si>
    <t>CropProduction_group</t>
  </si>
  <si>
    <t>4. إنتاج المحاصيل</t>
  </si>
  <si>
    <t>4. CROP PRODUCTION</t>
  </si>
  <si>
    <t>${resp_agree} = '1' and (${hh_agricactivity}='1' or ${hh_agricactivity} = '3' or ${income_main_crop_check}='1' or ${income_sec_crop_check}='1' or ${income_third_crop_check}='1')</t>
  </si>
  <si>
    <t>crp_intro</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</si>
  <si>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موسم الأمطار. </t>
  </si>
  <si>
    <t>We will now ask you some questions about crop production which apply to you and anyone in your household that is involved in crop production or sales. All questions refer to the crops grown during the wet season.</t>
  </si>
  <si>
    <t>decimal</t>
  </si>
  <si>
    <t>crp_landsize_num</t>
  </si>
  <si>
    <t>4.1 ما هو الحجم الإجمالي للأرض التي يمكنك الوصول إليها لإنتاج المحاصيل؟؟</t>
  </si>
  <si>
    <t>4.1 What is the total size of the land you have access to for crop production?</t>
  </si>
  <si>
    <t>[INSTRUCTIONS: RECORD THE TOTAL LAND SIZE PROVIDED BY THE RESPONDENT. WRITE 888 FOR DON'T KNOW AND 999 FOR REFUSED. MEASUREMENT UNIT WILL BE SPECIFIED IN THE FOLLOWING QUESTION.]</t>
  </si>
  <si>
    <t>[تعليمات: سجل إجمالي حجم الأرض الذي ذكره المجيب. اكتب 888 للا أعرف و 999 في حالة الرفض. سيتم تحديد وحدة القياس في السؤال التالي]</t>
  </si>
  <si>
    <t>. &gt;= 0</t>
  </si>
  <si>
    <t>select_one landsize_unit</t>
  </si>
  <si>
    <t>crp_landsize_unit</t>
  </si>
  <si>
    <t>4.2 وحدة قياس مساحة الارض:</t>
  </si>
  <si>
    <t xml:space="preserve">4.2 Unit of measurement for land size: </t>
  </si>
  <si>
    <t>[INSTRUCTIONS: DO NOT READ QUESTION. SELECT UNIT OF MEASUREMENT IN WHICH LAND SIZE WAS PROVIDED.]</t>
  </si>
  <si>
    <t>[تعليمات: لا تقرأ السؤال. حدد وحدة القياس لمساحة الأرض]</t>
  </si>
  <si>
    <t>${crp_landsize_num} != 888 and ${crp_landsize_num} != 999</t>
  </si>
  <si>
    <t>AreaPlanted</t>
  </si>
  <si>
    <t>4.3 ما هو الحجم الإجمالي للأرض التي زرعتها هذا العام؟</t>
  </si>
  <si>
    <t>4.3 What is the total size of land that you have planted this year?</t>
  </si>
  <si>
    <t>Using the same unit of measure that was chosen</t>
  </si>
  <si>
    <t>باستخدام نفس وحدة القياس التي تم اختيارها</t>
  </si>
  <si>
    <t>. &lt;= ${crp_landsize_num}</t>
  </si>
  <si>
    <t>select_one crop</t>
  </si>
  <si>
    <t>crp_main</t>
  </si>
  <si>
    <t>4.4 ما هو المحصول الرئيسي الذي تزرعه أسرتك من أجل الغذاء وتوليد الدخل في موسم الأمطار ، إن وجد؟</t>
  </si>
  <si>
    <t>4.4 What is the main crop that your household grows for food or income generation in wet season, if any?</t>
  </si>
  <si>
    <t>[INSTRUCTIONS: "NO CROP PRODUCTION" APPEARS AT THE END OF THE LIST OF OPTIONS.]</t>
  </si>
  <si>
    <t>[تعليمات: "لا إنتاج للمحصول" في آخر الخيارات في النهاية]</t>
  </si>
  <si>
    <t>crpmain</t>
  </si>
  <si>
    <t>jr:choice-name(${crp_main},'${crp_main}')</t>
  </si>
  <si>
    <t>select_one cropcheck</t>
  </si>
  <si>
    <t>crp_main_check</t>
  </si>
  <si>
    <t>لماذا لم تنتج أي محاصيل في الموسم  الحالي ؟</t>
  </si>
  <si>
    <t>Why did you not produce any crops in Current season?</t>
  </si>
  <si>
    <t>${crp_main}='777'</t>
  </si>
  <si>
    <t>cul_area</t>
  </si>
  <si>
    <t>المساحة المزروعة</t>
  </si>
  <si>
    <t>The cultivated area</t>
  </si>
  <si>
    <t>field-list</t>
  </si>
  <si>
    <t>crp_area_change</t>
  </si>
  <si>
    <t>هل يمكنك من فضلك تحديد المساحة التي قمت بزراعتها في الأشهر الثلاثة الماضية لكل مجموعة من المحاصيل أدناه:</t>
  </si>
  <si>
    <t>Can you please indicate the area you have cultivated in the past three months for each group of crops below</t>
  </si>
  <si>
    <t>${AreaPlanted} &gt; 0</t>
  </si>
  <si>
    <t>AreaPlantedGrains</t>
  </si>
  <si>
    <t>4.5 الحبوب والمحاصيل الزيتية (القمح والذرة و حبة البركة ، إلخ)</t>
  </si>
  <si>
    <t>4.5 Grains and oil crops (wheat, corn, black caraway, etc)</t>
  </si>
  <si>
    <t>.&lt;=${AreaPlanted} and .&gt;=0</t>
  </si>
  <si>
    <t xml:space="preserve">This a positive number that shouldn't exceed the total area planted </t>
  </si>
  <si>
    <t>هذا رقم موجب لا ينبغي أن يتجاوز إجمالي المساحة المزروعة</t>
  </si>
  <si>
    <t>AreaPlantedGrains_unit</t>
  </si>
  <si>
    <t>4.6 وحدة قياس مساحة الارض:</t>
  </si>
  <si>
    <t xml:space="preserve">4.6 Unit of measurement for land size: </t>
  </si>
  <si>
    <t>${AreaPlantedGrains} &gt; 0</t>
  </si>
  <si>
    <t>my_filter_admin=${crp_landsize_unit}</t>
  </si>
  <si>
    <t>select_one AreaPlantedcompare</t>
  </si>
  <si>
    <t>AreacompareGrains</t>
  </si>
  <si>
    <t>4.7 مقارنة بالعام الماضي ، حدد ما إذا كانت المساحة التي قمت بزراعتها هذا العام قد زادت أو انخفضت لنفس الفترة بالنسبة للحبوب والمحاصيل الزيتية؟</t>
  </si>
  <si>
    <t xml:space="preserve">4.7 Compared to last year, indicate if the area you have cultivated this year increased or decreased for the same period for grains and oil crops? </t>
  </si>
  <si>
    <t>select_one change_reason</t>
  </si>
  <si>
    <t>AreacompareGrains_reason</t>
  </si>
  <si>
    <t>4.8 ما هو سبب هذا التغيير؟</t>
  </si>
  <si>
    <t>4.8 What is the reason for this change?</t>
  </si>
  <si>
    <t>${AreacompareGrains} = '5' or ${AreacompareGrains} = '6' or ${AreacompareGrains} = '7'</t>
  </si>
  <si>
    <t>AreacompareGrains_reason_other</t>
  </si>
  <si>
    <t>4.9 إذا كانت الإجابة "آخر"، حدد</t>
  </si>
  <si>
    <t>4.9 If other, specify</t>
  </si>
  <si>
    <t>${AreacompareGrains_reason} = 'other'</t>
  </si>
  <si>
    <t>AreaPlantedVeg</t>
  </si>
  <si>
    <t>4.10 الخضار والفواكه السنوية (الطماطم والسبانخ والكوسا والفراولة والبطيخ وغيرها)</t>
  </si>
  <si>
    <t>4.10 Vegetables and annual fruits (tomatoes, spinach, squash, strawberries, melons etc)</t>
  </si>
  <si>
    <t>AreaPlantedVeg_unit</t>
  </si>
  <si>
    <t>4.11 وحدة قياس مساحة الارض:</t>
  </si>
  <si>
    <t xml:space="preserve">4.11 Unit of measurement for land size: </t>
  </si>
  <si>
    <t>${AreaPlantedVeg} &gt; 0</t>
  </si>
  <si>
    <t>AreacompareVeg</t>
  </si>
  <si>
    <t>4.12 مقارنة بالعام الماضي ، حدد ما إذا كانت المساحة التي قمت بزراعتها هذا العام قد زادت أو انخفضت لنفس الفترة بالنسبة للخضار و الفواكه السنوية؟</t>
  </si>
  <si>
    <t xml:space="preserve">4.12 Compared to last year, indicate if the area you have cultivated this year increased or decreased for the same period for vegetables and annual fruits? </t>
  </si>
  <si>
    <t>AreacompareVeg_reason</t>
  </si>
  <si>
    <t>4.13 ما هو سبب هذا التغيير؟</t>
  </si>
  <si>
    <t>4.13 What is the reason for this change?</t>
  </si>
  <si>
    <t>${AreacompareVeg} = '5' or ${AreacompareVeg} = '6' or ${AreacompareVeg} = '7'</t>
  </si>
  <si>
    <t>AreacompareVeg_reason_other</t>
  </si>
  <si>
    <t>4.14 إذا كانت الإجابة "آخر"، حدد</t>
  </si>
  <si>
    <t>4.14 If other, specify</t>
  </si>
  <si>
    <t>${AreacompareVeg_reason} = 'other'</t>
  </si>
  <si>
    <t>AreaPlantedPerennial</t>
  </si>
  <si>
    <t>4.15 المحاصيل المعمرة (الزيتون وأشجار الفاكهة والمكسرات)</t>
  </si>
  <si>
    <t xml:space="preserve">4.15 Perennial fruits (olives, fruit and nut trees) </t>
  </si>
  <si>
    <t>AreaPlantedPerennial_unit</t>
  </si>
  <si>
    <t>4.16 وحدة قياس مساحة الارض:</t>
  </si>
  <si>
    <t xml:space="preserve">4.16 Unit of measurement for land size: </t>
  </si>
  <si>
    <t>${AreaPlantedPerennial} &gt; 0</t>
  </si>
  <si>
    <t>AreacomparePerennial</t>
  </si>
  <si>
    <t>4.17 مقارنة بالعام الماضي ، حدد ما إذا كانت المساحة التي قمت بزراعتها هذا العام قد زادت أو انخفضت لنفس الفترة بالنسبة للمحاصيل المعمرة؟</t>
  </si>
  <si>
    <t xml:space="preserve">4.17 Compared to last year, indicate if the area planted with perennial fruits this year increased or decreased for the same period? </t>
  </si>
  <si>
    <t>AreacomparePerennial_reason</t>
  </si>
  <si>
    <t>4.18 ما هو سبب هذا التغيير؟</t>
  </si>
  <si>
    <t>4.18 What is the reason for this change?</t>
  </si>
  <si>
    <t>${AreacomparePerennial} = '5' or ${AreacomparePerennial} = '6' or ${AreacomparePerennial} = '7'</t>
  </si>
  <si>
    <t>AreacomparePerennial_reason_other</t>
  </si>
  <si>
    <t>4.19 إذا كانت الإجابة "آخر"، حدد</t>
  </si>
  <si>
    <t>4.19 If other, specify</t>
  </si>
  <si>
    <t>${AreacomparePerennial_reason} = 'other'</t>
  </si>
  <si>
    <t>AreaPlantedPulses</t>
  </si>
  <si>
    <t>4.20 البقول (الفول ، البازلاء ، الحمص ، العدس ، إلخ)</t>
  </si>
  <si>
    <t>4.20 Pulses (beans, peas, chickpeas, lentils, etc.)</t>
  </si>
  <si>
    <t>AreaPlantedPulses_unit</t>
  </si>
  <si>
    <t>4.21 وحدة قياس مساحة الارض:</t>
  </si>
  <si>
    <t xml:space="preserve">4.21 Unit of measurement for land size: </t>
  </si>
  <si>
    <t>${AreaPlantedPulses} &gt; 0</t>
  </si>
  <si>
    <t>AreacomparePulses</t>
  </si>
  <si>
    <t>4.22 مقارنة بالعام الماضي ، حدد ما إذا كانت المساحة التي قمت بزراعتها هذا العام قد زادت أو انخفضت لنفس الفترة بالنسبة للبقول؟</t>
  </si>
  <si>
    <t xml:space="preserve">4.22 Compared to last year, indicate if the area you have cultivated this year increased or decreased for the same period for pulses? </t>
  </si>
  <si>
    <t>AreacomparePulses_reason</t>
  </si>
  <si>
    <t>4.23 ما هو سبب هذا التغيير؟</t>
  </si>
  <si>
    <t>4.23 What is the reason for this change?</t>
  </si>
  <si>
    <t>${AreacomparePulses} = '5' or ${AreacomparePulses} = '6' or ${AreacomparePulses} = '7'</t>
  </si>
  <si>
    <t>AreacomparePulses_reason_other</t>
  </si>
  <si>
    <t>4.24 إذا كانت الإجابة "آخر"، حدد</t>
  </si>
  <si>
    <t>4.24 If other, specify</t>
  </si>
  <si>
    <t>${AreacomparePulses_reason} = 'other'</t>
  </si>
  <si>
    <t>AreaPlantedTuber</t>
  </si>
  <si>
    <t>4.25 الدرنات والمحاصيل الجذرية (البطاطا والجزر والفجل واللفت والشمندر وغيرها)</t>
  </si>
  <si>
    <t>4.25 Tubers and root crops (potatoes, carrots, radish, turnips, beetroots etc)</t>
  </si>
  <si>
    <t>AreaPlantedTuber_unit</t>
  </si>
  <si>
    <t>4.26 وحدة قياس مساحة الارض:</t>
  </si>
  <si>
    <t xml:space="preserve">4.26 Unit of measurement for land size: </t>
  </si>
  <si>
    <t>${AreaPlantedTuber} &gt; 0</t>
  </si>
  <si>
    <t>AreacompareTuber</t>
  </si>
  <si>
    <t>4.27 مقارنة بالعام الماضي ، حدد ما إذا كانت المساحة التي قمت بزراعتها هذا العام قد زادت أو انخفضت لنفس الفترة بالنسبة للدرنات والمحاصيل الجذرية؟</t>
  </si>
  <si>
    <t xml:space="preserve">4.27 Compared to last year, indicate if the area you have cultivated this year increased or decreased for the same period for tubers and root crops? </t>
  </si>
  <si>
    <t>AreacompareTuber_reason</t>
  </si>
  <si>
    <t>4.28 ما هو سبب هذا التغيير؟</t>
  </si>
  <si>
    <t>4.28 What is the reason for this change?</t>
  </si>
  <si>
    <t>${AreacompareTuber} = '5' or ${AreacompareTuber} = '6' or ${AreacompareTuber} = '7'</t>
  </si>
  <si>
    <t>AreacompareTuber_reason_other</t>
  </si>
  <si>
    <t>4.29 إذا كانت الإجابة "آخر"، حدد</t>
  </si>
  <si>
    <t>4.29 If other, specify</t>
  </si>
  <si>
    <t>${AreacompareTuber_reason} = 'other'</t>
  </si>
  <si>
    <t>AreaPlanted_</t>
  </si>
  <si>
    <t>${AreaPlantedGrains} + ${AreaPlantedVeg} + ${AreaPlantedPerennial} + ${AreaPlantedPulses} + ${AreaPlantedTuber}</t>
  </si>
  <si>
    <t>datacheck</t>
  </si>
  <si>
    <t>إذا ظهر لك هذا السؤال فيجب التأكد من المساحات المزروعة لأن مجموع مساحات الأراضي المزروعة  يجب أن يكون أصغر او يساوي مساحة الأرض الكلية التي تمت زراعتها هذا العام  و إلا فاذكر سببا منطقيا لذلك</t>
  </si>
  <si>
    <t>If this question appears to you, you must check the cultivated areas, because the total cultivated land area must be less than or equal to the total land area that was cultivated this year, otherwise, provide a logical reason for that.</t>
  </si>
  <si>
    <t>${AreaPlanted_} &gt; ${AreaPlanted}</t>
  </si>
  <si>
    <t>select_multiple AreaDamage</t>
  </si>
  <si>
    <t>AreaDamage</t>
  </si>
  <si>
    <t>4.30 هل تسبب الزلزال في الضرر  لأي من المحاصيل التي قمت بزراعتها؟</t>
  </si>
  <si>
    <t>4.30 Did the earthquake cause damage any of the crops that you cultivated?</t>
  </si>
  <si>
    <t>[INSTRUCTIONS: MULTIPLE RESPONSES POSSIBLE. SELECT OPTION(S) THAT BEST FIT THE INFORMATION PROVIDED BY THE RESPONDENTS.]</t>
  </si>
  <si>
    <t>[تعليمات: عدة استجابات محتملة. حدد الخيار (الخيارات) الأنسب للمعلومات المقدمة من المجيب]</t>
  </si>
  <si>
    <t xml:space="preserve">not(selected(.,'1') and count-selected(.) &gt;=  2) and  not(selected(.,'7') and count-selected(.) &gt;=  2) and not(selected(.,'8') and count-selected(.) &gt;=  2)   </t>
  </si>
  <si>
    <t>select_one prop_25</t>
  </si>
  <si>
    <t>Grain_damage</t>
  </si>
  <si>
    <t>4.31 ما هي نسبة الحبوب والمحاصيل الزيتية التي تضررت من جراء الزلزال؟</t>
  </si>
  <si>
    <t>4.31 How much of your grain and oil crops have been damaged by the earthquake?</t>
  </si>
  <si>
    <t>selected(${AreaDamage}, '2')</t>
  </si>
  <si>
    <t>VegAnnual_damage</t>
  </si>
  <si>
    <t>4.32 ما هي نسبة الخضراوات ومحاصيل الفاكهة السنوية التي تضررت من جراء الزلزال؟</t>
  </si>
  <si>
    <t>4.32 How much of your vegetables and annual fruit crops have been damaged by the earthquake?</t>
  </si>
  <si>
    <t>selected(${AreaDamage}, '3')</t>
  </si>
  <si>
    <t>Perennial_damage</t>
  </si>
  <si>
    <t>4.33 ما هي نسبة المحاصيل المعمرة التي تضررت من جراء الزلزال؟</t>
  </si>
  <si>
    <t>4.33 How much of your perennial fruit crops have been damaged by the earthquake?</t>
  </si>
  <si>
    <t>selected(${AreaDamage}, '4')</t>
  </si>
  <si>
    <t>Pulses_damage</t>
  </si>
  <si>
    <t>4.34 ما هي نسبة البقول التي تضررت من جراء الزلزال؟</t>
  </si>
  <si>
    <t>4.34 How much of your pulses have been damaged by the earthquake?</t>
  </si>
  <si>
    <t>selected(${AreaDamage}, '5')</t>
  </si>
  <si>
    <t>TubersRoots_Damage</t>
  </si>
  <si>
    <t>4.35 ما هي نسبة الدرنات والمحاصيل الجذرية التي تضررت من جراء الزلزال؟</t>
  </si>
  <si>
    <t>4.35 How much of your tubers and root crops have been damaged by the earthquake?</t>
  </si>
  <si>
    <t>selected(${AreaDamage}, '6')</t>
  </si>
  <si>
    <t>Harvest_level</t>
  </si>
  <si>
    <t>مقارنة مستوى الحصاد</t>
  </si>
  <si>
    <t>Harvest level comparison</t>
  </si>
  <si>
    <t>crp_harv_change</t>
  </si>
  <si>
    <t>لكل مجموعة من هذه المحاصيل التي تزرعها ، كيف يمكنك تقدير مستوى محصولك هذا العام ، مقارنة بما كنت تحصده في السنة العادية لنفس المساحة؟</t>
  </si>
  <si>
    <t>For each of these groups of crops you are cultivating, how would you estimate the level of your harvest this year, compared to what you would harvest in a normal  year for the same area?</t>
  </si>
  <si>
    <t>select_one harvest</t>
  </si>
  <si>
    <t>Cropharvest_Grains</t>
  </si>
  <si>
    <t>4.36 الحبوب والمحاصيل الزيتية (القمح والذرة وحبة البركة ، إلخ)</t>
  </si>
  <si>
    <t>4.36 Grains and oil crops (wheat, corn, black caraway, etc)</t>
  </si>
  <si>
    <t>Cropharvest_Grains_reason</t>
  </si>
  <si>
    <t>4.37 ما سبب هذا التغيير في محصول الحصاد؟</t>
  </si>
  <si>
    <t>4.37 What is the reason for this change in yield?</t>
  </si>
  <si>
    <t>${Cropharvest_Grains} = '5' or ${Cropharvest_Grains} = '6' or ${Cropharvest_Grains} = '7'</t>
  </si>
  <si>
    <t>Cropharvest_Grains_reason_other</t>
  </si>
  <si>
    <t>4.38 إذا كانت الإجابة "آخر"، حدد</t>
  </si>
  <si>
    <t>4.38 If other, specify</t>
  </si>
  <si>
    <t>${Cropharvest_Grains_reason} = 'other'</t>
  </si>
  <si>
    <t>Cropharvest_Veg</t>
  </si>
  <si>
    <t>4.39 الخضار والفواكه السنوية (الطماطم والسبانخ والكوسا والفراولة والبطيخ وغيرها)</t>
  </si>
  <si>
    <t>4.39 Vegetables and annual fruits (tomatoes, spinach, squash, strawberries, melons etc)</t>
  </si>
  <si>
    <t>Cropharvest_Veg_reason</t>
  </si>
  <si>
    <t>4.40 ما سبب هذا التغيير في محصول الحصاد؟</t>
  </si>
  <si>
    <t>4.40 What is the reason for this change in yield?</t>
  </si>
  <si>
    <t>${Cropharvest_Veg} = '5' or ${Cropharvest_Veg} = '6' or ${Cropharvest_Veg} = '7'</t>
  </si>
  <si>
    <t>Cropharvest_Veg_reason_other</t>
  </si>
  <si>
    <t>4.41 إذا كانت الإجابة "آخر"، حدد</t>
  </si>
  <si>
    <t>4.41 If other, specify</t>
  </si>
  <si>
    <t>${Cropharvest_Veg_reason} = 'other'</t>
  </si>
  <si>
    <t>Cropharvest_Perennial</t>
  </si>
  <si>
    <t>4.42 المحاصيل المعمرة (الزيتون وأشجار الفاكهة والمكسرات)</t>
  </si>
  <si>
    <t xml:space="preserve">4.42 Perennial crops (olives, fruit and nut trees) </t>
  </si>
  <si>
    <t>Cropharvest_Perennial_reason</t>
  </si>
  <si>
    <t>4.43 ما سبب هذا التغيير في محصول الحصاد؟</t>
  </si>
  <si>
    <t>4.43 What is the reason for this change in yield?</t>
  </si>
  <si>
    <t>${Cropharvest_Perennial} = '5' or ${Cropharvest_Perennial} = '6' or ${Cropharvest_Perennial} = '7'</t>
  </si>
  <si>
    <t>Cropharvest_Perennial_reason_other</t>
  </si>
  <si>
    <t>4.44 إذا كانت الإجابة "آخر"، حدد</t>
  </si>
  <si>
    <t>4.44 If other, specify</t>
  </si>
  <si>
    <t>${Cropharvest_Perennial_reason} = 'other'</t>
  </si>
  <si>
    <t>Cropharvest_Pulses</t>
  </si>
  <si>
    <t>4.45 البقول (الفول ، البازلاء ، الحمص ، العدس ، إلخ)</t>
  </si>
  <si>
    <t>4.45 Pulses (beans, peas, chickpeas, lentils, etc.)</t>
  </si>
  <si>
    <t>Cropharvest_Pulses_reason</t>
  </si>
  <si>
    <t>4.46 ما سبب هذا التغيير في محصول الحصاد؟</t>
  </si>
  <si>
    <t>4.46 What is the reason for this change in yield?</t>
  </si>
  <si>
    <t>${Cropharvest_Pulses} = '5' or ${Cropharvest_Pulses} = '6' or ${Cropharvest_Pulses} = '7'</t>
  </si>
  <si>
    <t>Cropharvest_Pulses_reason_other</t>
  </si>
  <si>
    <t>4.47 إذا كانت الإجابة "آخر"، حدد</t>
  </si>
  <si>
    <t>4.47 If other, specify</t>
  </si>
  <si>
    <t>${Cropharvest_Pulses_reason} = 'other'</t>
  </si>
  <si>
    <t>Cropharvest_Tuber</t>
  </si>
  <si>
    <t>4.48 الدرنات والمحاصيل الجذرية (البطاطا والجزر والفجل واللفت والشمندر وغيرها)</t>
  </si>
  <si>
    <t>4.48 Tubers and root crops (potatoes, carrots, radish, turnips, beetroots etc)</t>
  </si>
  <si>
    <t>Cropharvest_Tuber_reason</t>
  </si>
  <si>
    <t>4.49 ما سبب هذا التغيير في محصول الحصاد؟</t>
  </si>
  <si>
    <t>4.49 What is the reason for this change in yield?</t>
  </si>
  <si>
    <t>${Cropharvest_Tuber} = '5' or ${Cropharvest_Tuber} = '6' or ${Cropharvest_Tuber} = '7'</t>
  </si>
  <si>
    <t>Cropharvest_Tuber_reason_other</t>
  </si>
  <si>
    <t>4.50 إذا كانت الإجابة "آخر"، حدد</t>
  </si>
  <si>
    <t>4.50 If other, specify</t>
  </si>
  <si>
    <t>${Cropharvest_Tuber_reason} = 'other'</t>
  </si>
  <si>
    <t>crop_prodcost</t>
  </si>
  <si>
    <t>4.51 هل واجهت أي انخفاض أو زيادة في تكاليف إنتاج المحاصيل بشكل عام في عام ٢٠٢٣ حتى الآن مقارنة بالعام الماضي لنفس المحاصيل المزروعة والفترة نفسها - لأي سبب ، سواء كان ذلك بسبب التغيير في استخدام المدخلات أو تكاليف المدخلات؟ الرجاء تقدير نسبة الزيادة أو النقصان.</t>
  </si>
  <si>
    <t>4.51 Did you experience any reduction or increase in crop production costs overall in 2023 so far compared to last year for the same crops planted and same period - for any reason, be it due to change in use of inputs or costs of inputs? Please estimate the proportion of increase or decrease.</t>
  </si>
  <si>
    <t>select_one irrigation</t>
  </si>
  <si>
    <t>crp_irrig_source</t>
  </si>
  <si>
    <t>4.52 كيف كانت تحصل أسرتك عادة على الماء لري ${crpmain} بشكل رئيسي، قبل الزلزال؟</t>
  </si>
  <si>
    <t xml:space="preserve">4.52 Before the earthquake, where did you normally and mainly obtain water for the production of ${crpmain}? </t>
  </si>
  <si>
    <t>${crp_main} != '777' and ${crp_main} != '888' and ${crp_main} != '999'</t>
  </si>
  <si>
    <t>crp_irrig_source_otherspecify</t>
  </si>
  <si>
    <t>4.53 إذا كانت الإجابة "آخر"، حدد.</t>
  </si>
  <si>
    <t>4.53 If other, specify.</t>
  </si>
  <si>
    <t>${crp_irrig_source}='6' and (${crp_main} != '777' and ${crp_main} != '888' and ${crp_main} != '999')</t>
  </si>
  <si>
    <t>select_one irrig_source_status</t>
  </si>
  <si>
    <t>crp_irrig_source_status</t>
  </si>
  <si>
    <t>4.54 ما هو الوضع الحالي لمصدر الري الرئيسي هذا؟</t>
  </si>
  <si>
    <t>4.54 What is the current status of that main irrigation source?</t>
  </si>
  <si>
    <t>crp_irrig_source_now</t>
  </si>
  <si>
    <t>4.55 ما هو مصدر الري الرئيسي الحالي الذي تستخدمه؟</t>
  </si>
  <si>
    <t>4.55 What is your current main irrigation source?</t>
  </si>
  <si>
    <t>crp_irrig_source_nowotherspecify</t>
  </si>
  <si>
    <t>4.56 إذا كانت الإجابة "آخر"، حدد.</t>
  </si>
  <si>
    <t>4.56 If other, specify.</t>
  </si>
  <si>
    <t>${crp_irrig_source_now}='6' and (${crp_main} != '777' and ${crp_main} != '888' and ${crp_main} != '999')</t>
  </si>
  <si>
    <t>select_one irrigpump</t>
  </si>
  <si>
    <t>crp_irrig_system</t>
  </si>
  <si>
    <t>4.57 هل تستخدم (أو هل يستخدم المجتمع الذي تنتمي اليه) مضخة لنظام الري ؟</t>
  </si>
  <si>
    <t>4.57 Do you [your community] use a pump for your own [the communal] irrigation system?</t>
  </si>
  <si>
    <t>not(${crp_irrig_source}='7' or ${crp_irrig_source}='8') and (${crp_main} != '777' and ${crp_main} != '888' and ${crp_main} != '999')</t>
  </si>
  <si>
    <t xml:space="preserve">select_multiple seedsupply </t>
  </si>
  <si>
    <t>crp_seed</t>
  </si>
  <si>
    <t>4.58 من أين تحصل عادة على البذور/شتلات الأشجار؟</t>
  </si>
  <si>
    <t xml:space="preserve">4.58 Who do you normally procure your seeds/tree seedlings/saplings from? </t>
  </si>
  <si>
    <t>[INSTRUCTIONS: MULTIPLE RESPONSES POSSIBLE.]</t>
  </si>
  <si>
    <t>[تعليمات: احتمال وجود عدة استجابات]</t>
  </si>
  <si>
    <t>if(selected(., 'ref') or selected(., 'dk'), count-selected(.) = 1, count-selected(.) &gt;= 1)</t>
  </si>
  <si>
    <t>crp_proddif</t>
  </si>
  <si>
    <t>4.59 هل واجهت أسرتك أي صعوبة ***في إنتاج المحاصيل*** في موسم الأمطار؟</t>
  </si>
  <si>
    <t>4.59 Has your household faced any significant difficulty ***in terms of crop production*** in wet season?</t>
  </si>
  <si>
    <t>${crp_main} != '888' and ${crp_main} != '999'</t>
  </si>
  <si>
    <t>select_multiple cropproddiff</t>
  </si>
  <si>
    <t>crp_proddif_</t>
  </si>
  <si>
    <t>4.60 ما الصعوبات التي واجهتها أسرتك في إنتاج المحاصيل في موسم الأمطار؟</t>
  </si>
  <si>
    <t>4.60 Which difficulties has your household faced with crop production in wet season?</t>
  </si>
  <si>
    <t>${crp_proddif} = '1' and ${crp_main} != '888' and ${crp_main} != '999'</t>
  </si>
  <si>
    <t>select_one seeds_access_issue</t>
  </si>
  <si>
    <t>crp_proddif_seeds</t>
  </si>
  <si>
    <t>4.61 ما هي الصعوبة الرئيسية في الوصول إلى البذور [منذ الزلزال]؟</t>
  </si>
  <si>
    <t>4.61 What has been the main difficulty in accessing seeds [since the earthquake]?</t>
  </si>
  <si>
    <t>selected(${crp_proddif_}, 'seed_quality') or selected(${crp_proddif_}, 'seed_quantity')</t>
  </si>
  <si>
    <t>crp_proddif_seeds_other</t>
  </si>
  <si>
    <t>4.62 إذا كانت الإجابة "آخر"، حدد.</t>
  </si>
  <si>
    <t>4.62 If other, specify</t>
  </si>
  <si>
    <t>${crp_proddif_seeds} = 'other'</t>
  </si>
  <si>
    <t>select_one fertilizers_access_issue</t>
  </si>
  <si>
    <t>crp_proddif_fertilizer</t>
  </si>
  <si>
    <t>4.63 ما هي الصعوبة الرئيسية في الوصول إلى الأسمدة [منذ الزلزال]؟</t>
  </si>
  <si>
    <t>4.63 What has been the main difficulty in accessing fertilizers [since the earthquake]?</t>
  </si>
  <si>
    <t>selected(${crp_proddif_}, 'access_fertilize')</t>
  </si>
  <si>
    <t>crp_proddif_fertilizer_other</t>
  </si>
  <si>
    <t>4.64 إذا كانت الإجابة "آخر"، حدد.</t>
  </si>
  <si>
    <t>4.64 If other, specify</t>
  </si>
  <si>
    <t>${crp_proddif_fertilizer} = 'other'</t>
  </si>
  <si>
    <t>select_one labour_issue</t>
  </si>
  <si>
    <t>crp_proddif_labour</t>
  </si>
  <si>
    <t>4.65 ما هي الصعوبة الرئيسية في الوصول إلى اليد العاملة [منذ الزلزال]؟</t>
  </si>
  <si>
    <t>4.65 What has been the main difficulty in accessing manpower labour [since the earthquake]?</t>
  </si>
  <si>
    <t>selected(${crp_proddif_}, 'access_labour')</t>
  </si>
  <si>
    <t>crp_proddif_labour_other</t>
  </si>
  <si>
    <t>4.66 إذا كانت الإجابة "آخر"، حدد.</t>
  </si>
  <si>
    <t>4.66 If other, specify</t>
  </si>
  <si>
    <t>${crp_proddif_labour} = 'other'</t>
  </si>
  <si>
    <t>select_multiple damassets</t>
  </si>
  <si>
    <t>damassets</t>
  </si>
  <si>
    <t>4.67 هل تم تدمير أو إتلاف أي من أصولك الزراعية أثناء الزلزال؟</t>
  </si>
  <si>
    <t>4.67 Have any of your agricultural assets been destroyed or damaged during the earthquake?</t>
  </si>
  <si>
    <t>if(selected(., '9') or selected(., '10') or selected(., '11'), count-selected(.) = 1, count-selected(.) &gt;= 1)</t>
  </si>
  <si>
    <t>crp_loss_greenhouse</t>
  </si>
  <si>
    <t>4.68 ما هي نسبة البيوت البلاستيكية الخاصة بأسرتك التي تضررت أو دمرت بسبب الزلزال؟</t>
  </si>
  <si>
    <t>4.68 How much of your greenhouses have been damaged or destroyed by the earthquake?</t>
  </si>
  <si>
    <t>selected(${damassets},'2')</t>
  </si>
  <si>
    <t>select_one asset_status</t>
  </si>
  <si>
    <t>DamAssets_status_gh</t>
  </si>
  <si>
    <t>4.69 ما هو الوضع الحالي للبيوت البلاستيكية الخاصة بأسرتك؟</t>
  </si>
  <si>
    <t>4.69 What is the current status of your greenhouses?</t>
  </si>
  <si>
    <t>crp_loss_tools</t>
  </si>
  <si>
    <t>4.70 ما هي نسبة الأدوات اليدوية للزراعة الخاصة بأسرتك (مثل الرفش ، والشوكة ، و مرش الماء ، وما إلى ذلك) التي تضررت أو دمرت بسبب الزلزال؟</t>
  </si>
  <si>
    <t>4.70 How much of your farms hand tools (e.g. shovel, fork, watering can, etc.) have been damaged or destroyed by the earthquake?</t>
  </si>
  <si>
    <t>selected(${damassets},'3')</t>
  </si>
  <si>
    <t>DamAssets_status_tools</t>
  </si>
  <si>
    <t>4.71 ما هو الوضع الحالي للأدوات اليدوية للزراعة الخاصة بأسرتك (مثل الرفش ، والشوكة ، و مرش الماء ، وما إلى ذلك)؟</t>
  </si>
  <si>
    <t>4.71 What is the current status of your farm hand tools?</t>
  </si>
  <si>
    <t>crp_loss_machinery</t>
  </si>
  <si>
    <t>4.72 ما هي نسبة الآلات الخاصة بأسرتك (مثل الجرار، الدرّاسة ، والحصادة ، وما إلى ذلك) التي تضررت أو دمرت بسبب الزلزال؟</t>
  </si>
  <si>
    <t>4.72 How much of your machinery (e.g. tractor, harvester, etc.) has been damaged or destroyed by the earthquake?</t>
  </si>
  <si>
    <t>selected(${damassets},'4')</t>
  </si>
  <si>
    <t>DamAssets_status_machinery</t>
  </si>
  <si>
    <t>4.73 ما هو الوضع الحالي للآلات الخاصة بأسرتك؟</t>
  </si>
  <si>
    <t>4.73 What is the current status of your machinery?</t>
  </si>
  <si>
    <t>crp_loss_storedprod</t>
  </si>
  <si>
    <t>4.74 ما هي نسبة إنتاج المحاصيل المخزنة الخاصة بأسرتك (الحبوب ، البذور الزيتية ، إلخ) التي دمرها الزلزال؟</t>
  </si>
  <si>
    <t>4.74 How much of your stored crop production (grain, oil seed, etc.) has been destroyed by the earthquake?</t>
  </si>
  <si>
    <t>selected(${damassets},'7')</t>
  </si>
  <si>
    <t>select_one input_status</t>
  </si>
  <si>
    <t>4.75 ما هو الوضع الحالي للمحاصيل المخزنة الخاصة بأسرتك؟</t>
  </si>
  <si>
    <t>4.75 What is the current status of your stored crop production?</t>
  </si>
  <si>
    <t>crp_loss_storedseed</t>
  </si>
  <si>
    <t>4.76 ما هي نسبة البذور المخزنة الخاصة بأسرتك التي دمرها الزلزال؟</t>
  </si>
  <si>
    <t>4.76 How much of your stored seeds have been destroyed by the earthquake?</t>
  </si>
  <si>
    <t>selected(${damassets},'8')</t>
  </si>
  <si>
    <t>DamAssets_status_input</t>
  </si>
  <si>
    <t>4.77 ما هو الوضع الحالي للبذور المخزنة الخاصة بأسرتك؟</t>
  </si>
  <si>
    <t>4.77 What is the current status of your stored seeds?</t>
  </si>
  <si>
    <t>crp_loss_otherinput</t>
  </si>
  <si>
    <t>4.78 ما هي نسبة المدخلات المحاصيل الأخرى الخاصة بأسرتك (مثل الأسمدة ووقاية النباتات وما إلى ذلك) التي دمرها الزلزال؟</t>
  </si>
  <si>
    <t>4.78 How much of your other crop inputs (e.g. fertilizers, plant protection, etc.) have been destroyed by the earthquake?</t>
  </si>
  <si>
    <t>4.79 ما هو الوضع الحالي لمدخلات المحاصيل الأخرى الخاصة بأسرتك (مثل الأسمدة ووقاية النباتات وما إلى ذلك)؟</t>
  </si>
  <si>
    <t>4.79 What is the current status of your other crop inputs (fertilizers, etc.)?</t>
  </si>
  <si>
    <t>crp_storage</t>
  </si>
  <si>
    <t>4.80 في العام الماضي ، ما هي نسبة مخزونك التي خسرتها (بسبب الآفات ، والتعفن ، والعفن ، وما إلى ذلك) من إجمالي ${crpmain} المخزن؟</t>
  </si>
  <si>
    <t>4.80 Last year, what proportion of your ${crpmain} stock did you lose [to pests, rotting, mould, etc.] after the harvest?</t>
  </si>
  <si>
    <t>${crp_main} != '888' and ${crp_main} != '999' and ${crp_main} != '777'</t>
  </si>
  <si>
    <t>select_multiple cropdiff</t>
  </si>
  <si>
    <t>ProdDiff</t>
  </si>
  <si>
    <t>4.81 ما هي الصعوبات الثلاث الرئيسية التي تتوقع أن تواجهها في إنتاج المحاصيل خلال الأشهر الستة القادمة؟</t>
  </si>
  <si>
    <t>4.81 What are the three major difficulties that you expect to face with your crop production over the upcoming 6 months?</t>
  </si>
  <si>
    <t>count-selected(.) &lt;= 3</t>
  </si>
  <si>
    <t>Select a maximum of 3 responses for this questions</t>
  </si>
  <si>
    <t>حدد 3 إجابات كحد أقصى لهذه الأسئلة</t>
  </si>
  <si>
    <t>ProdDiff_other</t>
  </si>
  <si>
    <t>4.82 إذا كانت الإجابة "آخر"، حدد.</t>
  </si>
  <si>
    <t>4.82 If other, specify</t>
  </si>
  <si>
    <t>selected(${ProdDiff}, '20')</t>
  </si>
  <si>
    <t>CropSales_group</t>
  </si>
  <si>
    <t>5. تسويق المحاصيل</t>
  </si>
  <si>
    <t>5. CROP MARKETING</t>
  </si>
  <si>
    <t>${resp_agree} = '1' and (${income_main}='1' or ${income_sec}='1' or ${income_third}='1' or ${income_main}='2' or ${income_sec}='2' or ${income_third}='2' or ${income_main}='3' or ${income_sec}='3' or ${income_third}='3')</t>
  </si>
  <si>
    <t>crp_sales_main_1</t>
  </si>
  <si>
    <t>هل ${crpmain} هو المحصول الرئيسي الذي بعته خلال منذ الزلزال؟</t>
  </si>
  <si>
    <t xml:space="preserve">Was ${crpmain} the main crop that you sold since the earthquake? </t>
  </si>
  <si>
    <t>crp_sales_main_2</t>
  </si>
  <si>
    <t>5.1 ما هو المحصول الرئيسي الذي بعته منذ الزلزال؟</t>
  </si>
  <si>
    <t>5.1 What was the main crop that you sold since the earthquake?</t>
  </si>
  <si>
    <t>${crp_sales_main_1}='2'</t>
  </si>
  <si>
    <t>not(selected(${crp_main}, name))</t>
  </si>
  <si>
    <t>crp_salesmain</t>
  </si>
  <si>
    <t>jr:choice-name(${crp_sales_main_2},'${crp_sales_main_2}')</t>
  </si>
  <si>
    <t>crp_sales_main</t>
  </si>
  <si>
    <t>crp_salesdif</t>
  </si>
  <si>
    <t>5.2 هل واجهت أسرتك أي صعوبة منذ الزلزال في **بيع** ${crpsalesmain}؟</t>
  </si>
  <si>
    <t>5.2 Has your household faced any significant difficulty since the earthquake **selling** your ${crpsalesmain}?</t>
  </si>
  <si>
    <t xml:space="preserve">${crp_sales_main} != '29' </t>
  </si>
  <si>
    <t>select_multiple cropsalesdiff</t>
  </si>
  <si>
    <t>crp_saledif</t>
  </si>
  <si>
    <t>5.3 ما الصعوبات التي واجهتها أسرتك منذ الزلزال عند بيع ${crpsalesmain}؟</t>
  </si>
  <si>
    <t xml:space="preserve">5.3 Which difficulties has your household faced since the earthquake selling your ${crpsalesmain}? </t>
  </si>
  <si>
    <t>if(selected(., 'dk') or selected(., 'ref'), count-selected(.) = 1, count-selected(.) &gt;= 1)</t>
  </si>
  <si>
    <t xml:space="preserve">${crp_salesdif} = '1' </t>
  </si>
  <si>
    <t>crp_salesprice</t>
  </si>
  <si>
    <t>5.4 كيف تقارن السعر الحالي ل${crpsalesmain} لأسرتك بمتوسط ​​السعر في نفس الفترة من السنة العادية؟</t>
  </si>
  <si>
    <t>5.4 How does the current price of your household's ${crpsalesmain} compare to the average price in the same period of a normal year?</t>
  </si>
  <si>
    <t>[INSTRUCTIONS: INSIST ON THE MAIN PRODUCT MENTIONED.]</t>
  </si>
  <si>
    <t>[تعليمات: قم بالإصرار على المحصول الرئيسي المذكور]</t>
  </si>
  <si>
    <t>select_multiple processdiff</t>
  </si>
  <si>
    <t>processDiff</t>
  </si>
  <si>
    <t>5.5 ما هي الصعوبات الثلاث الرئيسية التي تتوقع أن تواجهها عند حصاد و / أو معالجة ${crpsalesmain} خلال الأشهر الستة القادمة؟</t>
  </si>
  <si>
    <t>5.5 What are the three major difficulties that you expect to face with the harvesting and/or processing of your ${crpsalesmain} over the upcoming 6 months?</t>
  </si>
  <si>
    <t>processDiff_other</t>
  </si>
  <si>
    <t>5.6 إذا كانت الإجابة "آخر"، حدد.</t>
  </si>
  <si>
    <t>5.6 If other, specify</t>
  </si>
  <si>
    <t>selected(${processDiff}, '8')</t>
  </si>
  <si>
    <t>marketDiff</t>
  </si>
  <si>
    <t>5.7 ما هي الصعوبات الثلاث الرئيسية التي تتوقع أن تواجهها عند بيع ${crpsalesmain} خلال الأشهر الستة القادمة؟</t>
  </si>
  <si>
    <t>5.7 What are the three major difficulties that you expect to face with the marketing of your ${crpsalesmain} over the upcoming 6 months?</t>
  </si>
  <si>
    <t>marketDiff_other</t>
  </si>
  <si>
    <t>5.8 إذا كانت الإجابة "آخر"، حدد.</t>
  </si>
  <si>
    <t>5.8 If other, specify</t>
  </si>
  <si>
    <t>selected(${marketDiff}, 'other')</t>
  </si>
  <si>
    <t>Livestock_group</t>
  </si>
  <si>
    <t>6. إنتاج الثروة الحيوانية</t>
  </si>
  <si>
    <t>6. LIVESTOCK PRODUCTION</t>
  </si>
  <si>
    <t>${resp_agree} = '1' and (${hh_agricactivity}='2' or ${hh_agricactivity} = '3' or ${income_main_ls_check}='1' or ${income_sec_ls_check}='1' or ${income_third_ls_check}='1')</t>
  </si>
  <si>
    <t>ls_intro</t>
  </si>
  <si>
    <t>سنطرح عليك الآن بعض الأسئلة حول إنتاج  الثروة الحيوانية التي تنطبق عليك وعلى أي شخص في أسرتك يشارك في إنتاج الثروة الحيوانية أو بيعها. يرجى تحديد أنواع وعدد الحيوانات التي تحتفظ بها في الوقت الحالي.</t>
  </si>
  <si>
    <t xml:space="preserve">We will now ask you some questions about livestock production which apply to you and anyone in your household that is involved in livestock production or sales. </t>
  </si>
  <si>
    <t>[INSTRUCTIONS: RECORD THE NUMBER OF ANIMALS. ENTER 888 FOR DON'T KNOW AND 999 FOR REFUSED.]</t>
  </si>
  <si>
    <t>[تعليمات: سجل عدد الحيوانات. أدخل 888 للا أعرف و 999 في حالة الرفض]</t>
  </si>
  <si>
    <t>kept_animals</t>
  </si>
  <si>
    <t>:</t>
  </si>
  <si>
    <t>select_one lsmain</t>
  </si>
  <si>
    <t>ls_main</t>
  </si>
  <si>
    <t>ما هو الحيوان الرئيسي الذي قامت أسرتك بتربيته من أجل الغذاء وتوليد الدخل خلال الاثني عشر شهرًا الماضية؟</t>
  </si>
  <si>
    <t>What was the main animal raised by your household for food and income generation in the last 12 months?</t>
  </si>
  <si>
    <t xml:space="preserve"> [OPERATOR: SINGLE RESPONSE. ASK ABOUT THE MOST IMPORTANT ANIMAL ONLY.] [HINT: DON'T FORGET TO PROBE ABOUT TRANSHUMANCE - MOVING LIVESTOCK FROM ONE GRAZING GROUND TO ANOTHER. SELECT "Other" IF RESPONDENT ANSWERS BEES.]</t>
  </si>
  <si>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</si>
  <si>
    <t>lsmain</t>
  </si>
  <si>
    <t>jr:choice-name(${ls_main},'${ls_main}')</t>
  </si>
  <si>
    <t>ls_num_lastyr</t>
  </si>
  <si>
    <t>كم ${lsmain} كان لديك في نفس الوقت من العام الماضي؟</t>
  </si>
  <si>
    <t>How many ${lsmain} did you have at the same time last year?</t>
  </si>
  <si>
    <t xml:space="preserve">. &gt;= 0 </t>
  </si>
  <si>
    <t>${ls_main} != '10' or ${ls_main} != '11'</t>
  </si>
  <si>
    <t>ls_num_now</t>
  </si>
  <si>
    <t>كم ${lsmain} لديك الآن؟</t>
  </si>
  <si>
    <t>How many ${lsmain} do you have now?</t>
  </si>
  <si>
    <t>ls_num_diff</t>
  </si>
  <si>
    <t xml:space="preserve">التغيير في ${lsmain}: </t>
  </si>
  <si>
    <t xml:space="preserve">Change in ${lsmain}: </t>
  </si>
  <si>
    <t>(${ls_main} != '10' or ${ls_main} != '11') and (${ls_num_lastyr} != '888' and ${ls_num_lastyr} != '999' and ${ls_num_now} != '888' and ${ls_num_now} != '999')</t>
  </si>
  <si>
    <t>${ls_num_now} - ${ls_num_lastyr}</t>
  </si>
  <si>
    <t>select_multiple lsnum</t>
  </si>
  <si>
    <t>ls_num</t>
  </si>
  <si>
    <t>لماذا تغير عدد الماشية؟</t>
  </si>
  <si>
    <t>Why did the number of livestock change?</t>
  </si>
  <si>
    <t>if(selected(., 'inc_dec_dk') or selected(., 'inc_dec_ref'), count-selected(.) = 1, count-selected(.) &gt;= 1)</t>
  </si>
  <si>
    <t>kept_animals_</t>
  </si>
  <si>
    <t xml:space="preserve"> يرجى تحديد أنواع وعدد الحيوانات التي تحتفظ بها في الوقت الحالي.</t>
  </si>
  <si>
    <t xml:space="preserve">Please list the types and the number of animals you keep at present. </t>
  </si>
  <si>
    <t xml:space="preserve">cattle </t>
  </si>
  <si>
    <t>6.1 الأبقار</t>
  </si>
  <si>
    <t>6.1 Cattle</t>
  </si>
  <si>
    <t>.&gt;=0</t>
  </si>
  <si>
    <t>ruminants</t>
  </si>
  <si>
    <t>6.2 الأغنام و الماعز</t>
  </si>
  <si>
    <t>6.2 Small ruminants (e.g. sheep, goats)</t>
  </si>
  <si>
    <t>poultry</t>
  </si>
  <si>
    <t>6.3 الدواجن</t>
  </si>
  <si>
    <t>6.3 Poultry</t>
  </si>
  <si>
    <t>beehives</t>
  </si>
  <si>
    <t>6.4 المناحل</t>
  </si>
  <si>
    <t>6.4 Beehives</t>
  </si>
  <si>
    <t>otherls</t>
  </si>
  <si>
    <t>6.5 آخر</t>
  </si>
  <si>
    <t>6.5 Others</t>
  </si>
  <si>
    <t>others_specify</t>
  </si>
  <si>
    <t>6.6 إذا كانت الإجابة "آخر"، حدد.</t>
  </si>
  <si>
    <t>6.6 please specify</t>
  </si>
  <si>
    <t>${otherls} &gt; 0</t>
  </si>
  <si>
    <t>animals_before</t>
  </si>
  <si>
    <t>animals_before_</t>
  </si>
  <si>
    <t>يرجى تحديد أنواع وعدد الحيوانات التي احتفظت بها قبل وقوع الزلزال.</t>
  </si>
  <si>
    <t>Please list the types and the number of animals you kept before the earthquake:</t>
  </si>
  <si>
    <t xml:space="preserve">cattle_before </t>
  </si>
  <si>
    <t>6.7 الأبقار</t>
  </si>
  <si>
    <t>6.7 Cattle</t>
  </si>
  <si>
    <t>6.8 ما هو سبب هذا التغيير منذ ذلك الحين؟</t>
  </si>
  <si>
    <t>6.8 What is the reason for this change since then?</t>
  </si>
  <si>
    <t>${cattle} != ${cattle_before}</t>
  </si>
  <si>
    <t>ruminants_before</t>
  </si>
  <si>
    <t>6.9 الأغنام و الماعز</t>
  </si>
  <si>
    <t>6.9 Small ruminants (e.g. sheep, goats)</t>
  </si>
  <si>
    <t>ruminants_changereason</t>
  </si>
  <si>
    <t>6.10 ما هو سبب هذا التغيير منذ ذلك الحين؟</t>
  </si>
  <si>
    <t>6.10 What is the reason for this change since then?</t>
  </si>
  <si>
    <t>${ruminants} != ${ruminants_before}</t>
  </si>
  <si>
    <t>poultry_before</t>
  </si>
  <si>
    <t>6.11 الدواجن</t>
  </si>
  <si>
    <t>6.11 Poultry</t>
  </si>
  <si>
    <t>poultry_changereason</t>
  </si>
  <si>
    <t>6.12 ما هو سبب هذا التغيير منذ ذلك الحين؟</t>
  </si>
  <si>
    <t>6.12 What is the reason for this change since then?</t>
  </si>
  <si>
    <t>${poultry} != ${poultry_before}</t>
  </si>
  <si>
    <t>beehives_before</t>
  </si>
  <si>
    <t>6.13 المناحل</t>
  </si>
  <si>
    <t>6.13 Beehives</t>
  </si>
  <si>
    <t>beehives_changereason</t>
  </si>
  <si>
    <t>6.14 ما هو سبب هذا التغيير منذ ذلك الحين؟</t>
  </si>
  <si>
    <t>6.14 What is the reason for this change since then?</t>
  </si>
  <si>
    <t>${beehives} != ${beehives_before}</t>
  </si>
  <si>
    <t>otherls_before</t>
  </si>
  <si>
    <t>6.15 آخر</t>
  </si>
  <si>
    <t>6.15 Others</t>
  </si>
  <si>
    <t>otherls_changereason</t>
  </si>
  <si>
    <t>6.16 ما هو سبب هذا التغيير منذ ذلك الحين؟</t>
  </si>
  <si>
    <t>6.16 What is the reason for this change since then?</t>
  </si>
  <si>
    <t>${otherls} != ${otherls_before}</t>
  </si>
  <si>
    <t>AnimalLoss_YN</t>
  </si>
  <si>
    <t>6.17 هل فقدت أي حيوانات بسبب الزلزال (بسبب موتها أو قتلها أو سرقتها أو هروبها)؟</t>
  </si>
  <si>
    <t xml:space="preserve">6.17 Have you lost any animal because of the earthquake (on account of animals dying, being killed, stolen or run away)? </t>
  </si>
  <si>
    <t xml:space="preserve">cattle_loss </t>
  </si>
  <si>
    <t>6.18 يرجى تحديد عدد الأبقار المفقودة</t>
  </si>
  <si>
    <t>6.18 Please indicate the number of cattle lost</t>
  </si>
  <si>
    <t xml:space="preserve"> .&gt;=0 and .&lt;= ${cattle_before}</t>
  </si>
  <si>
    <t>${AnimalLoss_YN} = '1' and ${cattle_before} &gt; 0</t>
  </si>
  <si>
    <t>ruminants_loss</t>
  </si>
  <si>
    <t>6.19 يرجى تحديد عدد الأغنام و الماعز المفقودة</t>
  </si>
  <si>
    <t>6.19 Please indicate the number of ruminants lost</t>
  </si>
  <si>
    <t xml:space="preserve"> .&gt;=0 and .&lt;= ${ruminants_before}</t>
  </si>
  <si>
    <t>${AnimalLoss_YN} = '1' and ${ruminants_before} &gt; 0</t>
  </si>
  <si>
    <t>Poultry_loss</t>
  </si>
  <si>
    <t>6.20 يرجى تحديد عدد الدواجن المفقودة</t>
  </si>
  <si>
    <t>6.20 Please indicate the number of poultry lost</t>
  </si>
  <si>
    <t xml:space="preserve"> .&gt;=0 and .&lt;= ${poultry_before}</t>
  </si>
  <si>
    <t>${AnimalLoss_YN} = '1' and ${poultry_before} &gt; 0</t>
  </si>
  <si>
    <t>Beehives_loss</t>
  </si>
  <si>
    <t>6.21 يرجى تحديد عدد المناحل المفقودة</t>
  </si>
  <si>
    <t>6.21 Please indicate the number of beehives lost</t>
  </si>
  <si>
    <t xml:space="preserve"> .&gt;=0 and .&lt;= ${beehives_before}</t>
  </si>
  <si>
    <t>${AnimalLoss_YN} = '1' and ${beehives_before} &gt; 0</t>
  </si>
  <si>
    <t>Others_loss</t>
  </si>
  <si>
    <t>6.22 يرجى تحديد عدد الحيوانات الأخرى المفقودة</t>
  </si>
  <si>
    <t>6.22 Please indicate the number of other animals lost</t>
  </si>
  <si>
    <t xml:space="preserve"> .&gt;=0 and .&lt;= ${otherls_before}</t>
  </si>
  <si>
    <t>${AnimalLoss_YN} = '1' and ${otherls_before} &gt; 0</t>
  </si>
  <si>
    <t>Animalsinjured_YN</t>
  </si>
  <si>
    <t>6.23 هل أصيبت أي حيوانات بسبب الزلزال؟</t>
  </si>
  <si>
    <t xml:space="preserve">6.23 Has any animal been injured because of the earthquake? </t>
  </si>
  <si>
    <t>cattle_injured</t>
  </si>
  <si>
    <t>6.24 يرجى تحديد عدد الأبقار المصابة</t>
  </si>
  <si>
    <t>6.24 Please indicate the number of cattle injured</t>
  </si>
  <si>
    <t>${Animalsinjured_YN} = '1' and ${cattle_before} &gt; 0</t>
  </si>
  <si>
    <t>ruminants_injured</t>
  </si>
  <si>
    <t>6.25 يرجى تحديد عدد الأغنام و الماعز المصابة</t>
  </si>
  <si>
    <t>6.25 Please indicate the number of ruminants injured</t>
  </si>
  <si>
    <t>${Animalsinjured_YN} = '1' and ${ruminants_before} &gt; 0</t>
  </si>
  <si>
    <t>Poultry_injured</t>
  </si>
  <si>
    <t>6.26 يرجى تحديد عدد الدواجن المصابة</t>
  </si>
  <si>
    <t>6.26 Please indicate the number of poultry injured</t>
  </si>
  <si>
    <t>${Animalsinjured_YN} = '1' and ${poultry_before} &gt; 0</t>
  </si>
  <si>
    <t>Beehives_injured</t>
  </si>
  <si>
    <t>6.27 يرجى تحديد عدد المناحل المصابة</t>
  </si>
  <si>
    <t>6.27 Please indicate the number of beehives injured</t>
  </si>
  <si>
    <t>${Animalsinjured_YN} = '1' and ${beehives_before} &gt; 0</t>
  </si>
  <si>
    <t>Others_injured</t>
  </si>
  <si>
    <t>6.28 يرجى تحديد عدد الحيوانات الأخرى المصابة</t>
  </si>
  <si>
    <t>6.28 Please indicate the number of other animals injured</t>
  </si>
  <si>
    <t>${Animalsinjured_YN} = '1' and ${otherls_before} &gt; 0</t>
  </si>
  <si>
    <t>Animalslaughter_YN</t>
  </si>
  <si>
    <t>6.29 هل أُجبرت على ذبح أو بيع أو التخلي عن حيوانات كنت تفضل الاحتفاظ بها لأنك لم تكن قادرًا على رعايتها منذ وقوع الزلزال (على سبيل المثال ، نقص الأعلاف أو المأوى أو النزوح القسري)؟</t>
  </si>
  <si>
    <t xml:space="preserve">6.29 Have you been forced to slaughter, sell or give away animals you would have preferred to keep because you were unable to care for them since the earthquake (e.g. lack of feed, shelter or forced displacement)? </t>
  </si>
  <si>
    <t>cattle_slaughter</t>
  </si>
  <si>
    <t>6.30 يرجى تحديد عدد الأبقار التي تم التخلص منها</t>
  </si>
  <si>
    <t>6.30 Please indicate the number of cattle destocked</t>
  </si>
  <si>
    <t>${Animalslaughter_YN} = '1' and ${cattle_before} &gt; 0</t>
  </si>
  <si>
    <t>ruminants_slaughter</t>
  </si>
  <si>
    <t>6.31 يرجى تحديد عدد الأغنام و الماعز التي تم التخلص منها</t>
  </si>
  <si>
    <t>6.31 Please indicate the number of ruminants destocked</t>
  </si>
  <si>
    <t>${Animalslaughter_YN} = '1' and ${ruminants_before} &gt; 0</t>
  </si>
  <si>
    <t>Poultry_slaughter</t>
  </si>
  <si>
    <t>6.32 يرجى تحديد عدد الدواجن التي تم التخلص منها</t>
  </si>
  <si>
    <t>6.32 Please indicate the number of poultry destocked</t>
  </si>
  <si>
    <t>${Animalslaughter_YN} = '1' and ${poultry_before} &gt; 0</t>
  </si>
  <si>
    <t>Beehives_slaughter</t>
  </si>
  <si>
    <t>6.33 يرجى تحديد عدد المناحل التي تم التخلص منها</t>
  </si>
  <si>
    <t>6.33 Please indicate the number of beehives destocked</t>
  </si>
  <si>
    <t>${Animalslaughter_YN} = '1' and ${beehives_before} &gt; 0</t>
  </si>
  <si>
    <t>Others_slaughter</t>
  </si>
  <si>
    <t>6.34 يرجى تحديد عدد الحيوانات الأخرى التي تم التخلص منها</t>
  </si>
  <si>
    <t>6.34 Please indicate the number of other animals destocked</t>
  </si>
  <si>
    <t>${Animalslaughter_YN} = '1' and ${otherls_before} &gt; 0</t>
  </si>
  <si>
    <t>ls_prodcost</t>
  </si>
  <si>
    <t>6.35 هل واجهت أي انخفاض أو زيادة في تكاليف إنتاج الثروة الحيوانية بشكل عام في عام ٢٠٢٣ حتى الآن مقارنة بالعام الماضي لنفس العدد من الحيوانات والفترة نفسها - لأي سبب ، سواء كان ذلك بسبب التغيير في استخدام المدخلات أو تكاليف المدخلات؟ الرجاء تقدير نسبة الزيادة أو النقصان.</t>
  </si>
  <si>
    <t>6.35 Did you experience any reduction or increase in livestock production costs overall in 2023 so far compared to last year for the same number of animals and same period - for any reason, be it due to change in use of inputs or costs of inputs? Please estimate the proportion of increase or decrease.</t>
  </si>
  <si>
    <t>ls_irrig_source</t>
  </si>
  <si>
    <t>6.36 من أين كنت تحصل عادة وبشكل رئيسي على المياه لإنتاج الثروة الحيوانية قبل الزلزال؟</t>
  </si>
  <si>
    <t xml:space="preserve">6.36 Where did you normally and mainly obtain water for livestock production before the earthquake? </t>
  </si>
  <si>
    <t>ls_irrig_source_otherspecify</t>
  </si>
  <si>
    <t>6.37 إذا كانت الإجابة "آخر"، حدد.</t>
  </si>
  <si>
    <t>6.37 If other, specify.</t>
  </si>
  <si>
    <t>${ls_irrig_source} = '6'</t>
  </si>
  <si>
    <t>ls_irrig_source_status</t>
  </si>
  <si>
    <t>6.38 ما هو الوضع الحالي لمصدر المياه الرئيسي هذا؟</t>
  </si>
  <si>
    <t>6.38 What is the current status of that main water source?</t>
  </si>
  <si>
    <t>ls_irrig_source_now</t>
  </si>
  <si>
    <t>6.39 ما هو مصدر المياه الرئيسي الحالي الذي تستخدمه اسرتك لإنتاج الثروة الحيوانية؟</t>
  </si>
  <si>
    <t>6.39 What is your current main water source for livestock production?</t>
  </si>
  <si>
    <t>ls_irrig_source_now_otherspecify</t>
  </si>
  <si>
    <t>6.40 إذا كانت الإجابة "آخر"، حدد.</t>
  </si>
  <si>
    <t>6.40 If other, specify.</t>
  </si>
  <si>
    <t>${ls_irrig_source_now} = '6'</t>
  </si>
  <si>
    <t>select_multiple lsfood</t>
  </si>
  <si>
    <t>ls_feed</t>
  </si>
  <si>
    <t>6.41 من أين تحصل عادة على العلف للحيوانات التي تملكها؟</t>
  </si>
  <si>
    <t xml:space="preserve">6.41 Where do you usually access feed for your livestock? </t>
  </si>
  <si>
    <t>ls_proddif</t>
  </si>
  <si>
    <t>6.42 هل واجهت أسرتك أي صعوبة في إنتاج  الثروة الحيوانية منذ الزلزال؟</t>
  </si>
  <si>
    <t>6.42 Has your household faced any significant difficulty with livestock production since the earthquake?</t>
  </si>
  <si>
    <t>select_multiple lsproddiff</t>
  </si>
  <si>
    <t>ls_proddif_</t>
  </si>
  <si>
    <t>6.43 ما الصعوبات التي واجهتها أسرتك في إنتاج  الثروة الحيوانية منذ الزلزال؟</t>
  </si>
  <si>
    <t>6.43 Which difficulties has your household faced with livestock production since the earthquake?</t>
  </si>
  <si>
    <t>${ls_proddif}='1'</t>
  </si>
  <si>
    <t>select_one feed_access_issue</t>
  </si>
  <si>
    <t>ls_diff_feed</t>
  </si>
  <si>
    <t>6.44 ما هي الصعوبة الرئيسية في الحصول على علف الحيوانات [منذ الزلزال]؟</t>
  </si>
  <si>
    <t>6.44 What has been the main difficulty in accessing animal feed [since the earthquake]?</t>
  </si>
  <si>
    <t>selected(${ls_proddif_},'feed_purchase')</t>
  </si>
  <si>
    <t>ls_diff_feed_other</t>
  </si>
  <si>
    <t>6.45 إذا كانت الإجابة "آخر"، حدد.</t>
  </si>
  <si>
    <t>6.45 If other, specify</t>
  </si>
  <si>
    <t>${ls_diff_feed} = 'other'</t>
  </si>
  <si>
    <t>select_one vet_access_issue</t>
  </si>
  <si>
    <t>ls_diff_vet</t>
  </si>
  <si>
    <t>6.46 ما هي الصعوبة الرئيسية في الوصول إلى الخدمات البيطرية و / أو الأدوية [منذ الزلزال]؟</t>
  </si>
  <si>
    <t>6.46 What has been the main difficulty in accessing veterinary services and/or drugs [since the earthquake]?</t>
  </si>
  <si>
    <t>selected(${ls_proddif_},'vet_serv') or selected(${ls_proddif_},'vet_input')</t>
  </si>
  <si>
    <t>ls_diff_vet_other</t>
  </si>
  <si>
    <t>6.47 إذا كانت الإجابة "آخر"، حدد.</t>
  </si>
  <si>
    <t>6.47 If other, specify</t>
  </si>
  <si>
    <t>${ls_diff_vet} = 'other'</t>
  </si>
  <si>
    <t>ls_diff_labour</t>
  </si>
  <si>
    <t>6.48 ما هي الصعوبة الرئيسية في الحصول على اليد العاملة [منذ الزلزال]؟</t>
  </si>
  <si>
    <t>6.48 What has been the main difficulty in accessing manpower labour [since the earthquake]?</t>
  </si>
  <si>
    <t>selected(${ls_proddif_},'access_labour')</t>
  </si>
  <si>
    <t>ls_diff_labour_other</t>
  </si>
  <si>
    <t>6.49 إذا كانت الإجابة "آخر"، حدد.</t>
  </si>
  <si>
    <t>6.49 If other, specify</t>
  </si>
  <si>
    <t>${ls_diff_labour} = 'other'</t>
  </si>
  <si>
    <t>select_multiple damassets_ls</t>
  </si>
  <si>
    <t>damassets_ls</t>
  </si>
  <si>
    <t>6.50 هل تم تدمير أو إتلاف أي من الأصول التالية الخاصة بتربية الثروة الحيوانية أثناء الزلزال؟</t>
  </si>
  <si>
    <t>6.50 Have any of your livestock production assets been destroyed or damaged during the earthquake?</t>
  </si>
  <si>
    <t>ls_loss_sheds</t>
  </si>
  <si>
    <t>6.51 ما هي نسبة حظائر الحيوانات التي دمرها الزلزال؟</t>
  </si>
  <si>
    <t>6.51 How much of your animal sheds have been destroyed by the earthquake?</t>
  </si>
  <si>
    <t>selected(${damassets_ls},'2')</t>
  </si>
  <si>
    <t>DamAssetsls_status_sheds</t>
  </si>
  <si>
    <t>6.52 ما هو الوضع الحالي لحظائر الحيوانات الخاصة بأسرتك؟</t>
  </si>
  <si>
    <t>6.52 What is the current status of your animal sheds?</t>
  </si>
  <si>
    <t>ls_loss_warehouses</t>
  </si>
  <si>
    <t>6.53 ما هي نسبة مستودعات علف الحيوانات و التبن التي دمرها الزلزال؟</t>
  </si>
  <si>
    <t>6.53 How much of your animal feed warehouses and hay barns have been destroyed by the earthquake?</t>
  </si>
  <si>
    <t>selected(${damassets_ls},'1')</t>
  </si>
  <si>
    <t>DamAssetsls_status_warehouses</t>
  </si>
  <si>
    <t>6.54 ما هو الوضع الحالي لمستودعات علف الحيوانات و التبن الخاصة بأسرتك؟</t>
  </si>
  <si>
    <t>6.54 What is the current status of your animal feed warehouses and hay barns?</t>
  </si>
  <si>
    <t>ls_loss_tools</t>
  </si>
  <si>
    <t>6.55 ما هي نسبة الأدوات اليدوية للزراعة الخاصة بأسرتك (مثل الرفش وما إلى ذلك) التي تضررت أو دمرت بسبب الزلزال؟</t>
  </si>
  <si>
    <t>6.55 How much of your farms hand tools (e.g. shovel, etc.) have been damaged or destroyed by the earthquake?</t>
  </si>
  <si>
    <t>selected(${damassets_ls},'3')</t>
  </si>
  <si>
    <t>DamAssetsls_status_tools</t>
  </si>
  <si>
    <t>6.56 ما هو الوضع الحالي للأدوات اليدوية للزراعة الخاصة بأسرتك؟</t>
  </si>
  <si>
    <t>6.56 What is the current status of your farm hand tools?</t>
  </si>
  <si>
    <t>ls_loss_machinery</t>
  </si>
  <si>
    <t>6.57 ما هي نسبة الآلات والمعدات الخاصة بأسرتك (مثل الجرارات وآلات الحلب/الحلابة وما إلى ذلك) التي تعرضت للتلف أو التدمير بسبب الزلزال؟</t>
  </si>
  <si>
    <t>6.57 How much of your machinery and equipment (e.g. tractor, milking machines, etc.) has been damaged or destroyed by the earthquake?</t>
  </si>
  <si>
    <t>selected(${damassets_ls},'4')</t>
  </si>
  <si>
    <t>DamAssetsls_status_machinery</t>
  </si>
  <si>
    <t>6.58 ما هو الوضع الحالي للآلات والمعدات الخاصة بأسرتك؟</t>
  </si>
  <si>
    <t>6.58 What is the current status of your machinery and equipment?</t>
  </si>
  <si>
    <t>ls_loss_vetsupplies</t>
  </si>
  <si>
    <t>6.59 ما هي نسبة المدخلات البيطرية (الأدوية ، إلخ) الخاصة بأسرتك التي تضررت أو دمرت بسبب الزلزال؟</t>
  </si>
  <si>
    <t>6.59 How much of your veterinary inputs (drugs, etc.) have been damaged or destroyed by the earthquake?</t>
  </si>
  <si>
    <t>selected(${damassets_ls},'5')</t>
  </si>
  <si>
    <t>DamAssetsls_status_vetsupplies</t>
  </si>
  <si>
    <t>6.60 ما هو الوضع الحالي للمدخلات البيطرية الخاصة بأسرتك؟</t>
  </si>
  <si>
    <t>6.60 What is the current status of your veterinary inputs?</t>
  </si>
  <si>
    <t>select_multiple lidiff</t>
  </si>
  <si>
    <t>ls_proddiff_expect</t>
  </si>
  <si>
    <t>6.61 ما هي الصعوبات الثلاث الرئيسية التي تتوقع أن تواجهها في إنتاج الثروة الحيوانية خلال الأشهر الستة القادمة؟</t>
  </si>
  <si>
    <t>6.61 What are the three major difficulties that you expect to face with your livestock production over the upcoming 6 months?</t>
  </si>
  <si>
    <t>ls_proddiff_other</t>
  </si>
  <si>
    <t>6.62 إذا كانت الإجابة "آخر"، حدد.</t>
  </si>
  <si>
    <t>6.62 If other, specify</t>
  </si>
  <si>
    <t>selected(${ls_proddiff_expect}, '20')</t>
  </si>
  <si>
    <t>LivestockSales_group</t>
  </si>
  <si>
    <t>7. تسويق الحيوانات و المنتجات الحيوانية</t>
  </si>
  <si>
    <t xml:space="preserve">7. LIVESTOCK &amp; LIVESTOCK PRODUCT MARKETING </t>
  </si>
  <si>
    <t>${resp_agree} = '1' and (${income_main}='4' or ${income_sec}='4' or ${income_third}='4')</t>
  </si>
  <si>
    <t>select_one salesmain</t>
  </si>
  <si>
    <t>ls_salesmain</t>
  </si>
  <si>
    <t>7.1 ما كان نوع الحيوان الأساسي أو المنتج الحيواني الرئيسي الذي باعته أسرتك منذ الزلزال؟</t>
  </si>
  <si>
    <t>7.1 What has been the main livestock or livestock product sold by the household since the earthquake?</t>
  </si>
  <si>
    <t>lssalesmain</t>
  </si>
  <si>
    <t>jr:choice-name(${ls_salesmain},'${ls_salesmain}')</t>
  </si>
  <si>
    <t>lssalesmain_change</t>
  </si>
  <si>
    <t>7.2 هل واجهت أسرتك تغيرًا في كمية ${lssalesmain} التي تم إنتاجها منذ وقوع الزلزال؟</t>
  </si>
  <si>
    <t>7.2 Has your household faced a change in quantity of ${lssalesmain} produced since the earthquake?</t>
  </si>
  <si>
    <t>select_one change</t>
  </si>
  <si>
    <t>lssalesmain_change_prop</t>
  </si>
  <si>
    <t>7.3 ما هي النسبة التي تغير فيها إنتاج ${lssalesmain}؟</t>
  </si>
  <si>
    <t>7.3 In what proportion has your ${lssalesmain} production changed?</t>
  </si>
  <si>
    <t xml:space="preserve">${lssalesmain_change} = '1' </t>
  </si>
  <si>
    <t>ls_salesdif</t>
  </si>
  <si>
    <t>7.4 هل واجهت أسرتك أي صعوبة منذ الزلزال في بيع ${lssalesmain}؟</t>
  </si>
  <si>
    <t>7.4 Has your household faced any significant difficulty since the earthquake in selling your ${lssalesmain}?</t>
  </si>
  <si>
    <t>select_multiple lssalesdif</t>
  </si>
  <si>
    <t>ls_salesdif_</t>
  </si>
  <si>
    <t>7.5  ما الصعوبات التي واجهتها أسرتك منذ الزلزال في بيع ${lssalesmain}؟</t>
  </si>
  <si>
    <t>7.5 What difficulties has your household faced since the earthquake in selling your ${lssalesmain}?</t>
  </si>
  <si>
    <t xml:space="preserve">${ls_salesdif} = '1' </t>
  </si>
  <si>
    <t>ls_salesprice</t>
  </si>
  <si>
    <t>7.6 كيف تقارن السعر الحالي ل ${lssalesmain} لأسرتك بمتوسط ​​السعر في نفس الفترة من السنة العادية؟</t>
  </si>
  <si>
    <t>7.6 How does the current price of your household's ${lssalesmain} compare to the average price in the same period of a normal  year?</t>
  </si>
  <si>
    <t>[تعليمات: قم بالإصرار على المنتج الرئيسي المذكور]</t>
  </si>
  <si>
    <t>Fishing_group</t>
  </si>
  <si>
    <t>8. إنتاج الأسماك وتربية الأحياء المائية</t>
  </si>
  <si>
    <t>8. FISHING / AQUACULTURE PRODUCTION</t>
  </si>
  <si>
    <t>${resp_agree} = '1' and (${income_main_fish_check}='1' or ${income_sec_fish_check}='1' or ${income_third_fish_check}='1')</t>
  </si>
  <si>
    <t>fish_intro</t>
  </si>
  <si>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t>
  </si>
  <si>
    <t>We will now ask you some questions about fishing and aquaculture production which apply to you and anyone in your household that is involved in the capture, culture, processing or sales of fish.</t>
  </si>
  <si>
    <t>select_multiple fishactivity</t>
  </si>
  <si>
    <t>fish_main</t>
  </si>
  <si>
    <t>8.1 ما نوع نشاط الصيد الذي تمارسه أسرتك بشكل عام؟</t>
  </si>
  <si>
    <t>8.1 What type of fishing activity does your household generally practice?</t>
  </si>
  <si>
    <t>[INSTRUCTIONS: MUTIPLE RESPONSES POSSIBLE.]</t>
  </si>
  <si>
    <t>fish_loss_prop</t>
  </si>
  <si>
    <t>8.2 ما هي نسبة الأحياء المائية التي فقدتها بسبب الزلزال؟</t>
  </si>
  <si>
    <t>8.2 How much of your acquaculture production was lost during the earthquake?</t>
  </si>
  <si>
    <t>fish_change</t>
  </si>
  <si>
    <t>8.3 كيف تقارن كمية صيد الأسماك [الصيد] منذ الزلزال [أو آخر حصاد] بنفس الفترة [الحصاد] في العام الماضي؟</t>
  </si>
  <si>
    <t>8.3 How does your fish catch [capture fishery] since the earthquake [or last harvest] compare to the same period [harvest] last year?</t>
  </si>
  <si>
    <t>fish_proddif</t>
  </si>
  <si>
    <t>8.4 هل واجهت أسرتك أي صعوبة في صيد الأسماك و / أو حصادها منذ الزلزال؟</t>
  </si>
  <si>
    <t>8.4 Has your household faced any significant difficulty with fish catch and/or harvest since the earthquake?</t>
  </si>
  <si>
    <t>select_multiple fishproddiff</t>
  </si>
  <si>
    <t>fish_proddif_</t>
  </si>
  <si>
    <t>8.5 ما الصعوبات التي واجهتها أسرتك في صيد الأسماك و / أو حصادها منذ الزلزال؟</t>
  </si>
  <si>
    <t>8.5 Which difficulties has your household faced with fish catch and/or harvest since the earthquake?</t>
  </si>
  <si>
    <t>${fish_proddif}='1'</t>
  </si>
  <si>
    <t>fish_proddif_otherspecify</t>
  </si>
  <si>
    <t>8.6 إذا كانت الإجابة "آخر"، حدد.</t>
  </si>
  <si>
    <t>8.6 If other, specify.</t>
  </si>
  <si>
    <t>${fish_proddif} = '1' and selected(${fish_proddif_}, 'other')</t>
  </si>
  <si>
    <t>select_multiple fishinput</t>
  </si>
  <si>
    <t>fish_inputdif</t>
  </si>
  <si>
    <t>8.7 ما هي مواد الصيد أو المدخلات التي واجهت أسرتك صعوبة في الوصول إليها منذ الزلزال؟</t>
  </si>
  <si>
    <t>8.7 Which fishing [culture] input material has your household had difficulties accessing since the earthquake?</t>
  </si>
  <si>
    <t>${fish_proddif} = '1' and selected(${fish_proddif_}, 'input_access')</t>
  </si>
  <si>
    <t>fish_inputdif_otherspecify</t>
  </si>
  <si>
    <t>8.8 إذا كانت الإجابة "آخر"، حدد.</t>
  </si>
  <si>
    <t>8.8 If other, specify.</t>
  </si>
  <si>
    <t>selected(${fish_inputdif}, 'other')</t>
  </si>
  <si>
    <t>select_multiple damassets_fish</t>
  </si>
  <si>
    <t>damassets_fish</t>
  </si>
  <si>
    <t>8.9 هل تم تدمير أو إتلاف أي من الأصول التالية الخاصة بإنتاج الأسماك و تربية الأحياء المائية  أثناء الزلزال؟</t>
  </si>
  <si>
    <t>8.9 Have any of your fishing/aquaculture production assets been destroyed or damaged during the earthquake?</t>
  </si>
  <si>
    <t>fish_loss_pond</t>
  </si>
  <si>
    <t>8.10 ما هي نسبة أحواض الأسماك التي تضررت أو دمرت بسبب الزلزال؟</t>
  </si>
  <si>
    <t>8.10 How much of your fish ponds have been damaged or destroyed by the earthquake?</t>
  </si>
  <si>
    <t>selected(${damassets_fish},'2')</t>
  </si>
  <si>
    <t>DamAssetsfish_status_pond</t>
  </si>
  <si>
    <t>8.11 ما هو الوضع الحالي لأحواض الأسماك الخاصة بأسرتك؟</t>
  </si>
  <si>
    <t>8.11 What is the current status of your fish ponds?</t>
  </si>
  <si>
    <t>fish_loss_refrig</t>
  </si>
  <si>
    <t>8.12 ما هي نسبة ثلاجات الأسماك وتربية الأحياء المائية التي تضررت أو دمرت بسبب الزلزال؟</t>
  </si>
  <si>
    <t>8.12 How much of your fish and aquaculture refrigerators have been damaged or destroyed by the earthquake?</t>
  </si>
  <si>
    <t>selected(${damassets_fish},'6')</t>
  </si>
  <si>
    <t>DamAssetsfish_status_refrig</t>
  </si>
  <si>
    <t>8.13 ما هو الوضع الحالي لثلاجات الأسماك وتربية الأحياء المائية الخاصة بأسرتك؟</t>
  </si>
  <si>
    <t>8.13 What is the current status of your fish and aquaculture refrigerators?</t>
  </si>
  <si>
    <t>fish_loss_tools</t>
  </si>
  <si>
    <t>8.14 ما هي نسبة معدات وأدوات إنتاج مصايد الأسماك وتربية الأحياء المائية التي تضررت أو دمرت بسبب الزلزال؟</t>
  </si>
  <si>
    <t>8.14 How much of your fishery and aquaculture production equipment and tools have been damaged or destroyed by the earthquake?</t>
  </si>
  <si>
    <t>selected(${damassets_fish},'3')</t>
  </si>
  <si>
    <t>DamAssetsfish_status_tools</t>
  </si>
  <si>
    <t>8.15 ما هو الوضع الحالي لمعدات وأدوات إنتاج مصايد الأسماك وتربية الأحياء المائية الخاصة بأسرتك؟</t>
  </si>
  <si>
    <t>8.15 What is the current status of your fishery and aquaculture production equipment and tools?</t>
  </si>
  <si>
    <t>fish_loss_feed</t>
  </si>
  <si>
    <t>8.16 ما هي نسبة أعلاف الأسماك التي تضررت أو دمرت بسبب الزلزال؟</t>
  </si>
  <si>
    <t>8.16 How much of your fish feed has been destroyed by the earthquake?</t>
  </si>
  <si>
    <t>selected(${damassets_fish},'8')</t>
  </si>
  <si>
    <t>DamAssetsfish_status_feed</t>
  </si>
  <si>
    <t>8.17 ما هو الوضع الحالي لأعلاف الأسماك الخاصة بأسرتك؟</t>
  </si>
  <si>
    <t>8.17 What is the current status of your fish feed?</t>
  </si>
  <si>
    <t>fish_loss_fingerlings</t>
  </si>
  <si>
    <t>8.18 ما هي نسبة الأسماك اليافعة (الأصبعيات) التي تضررت أو دمرت بسبب الزلزال؟</t>
  </si>
  <si>
    <t>8.18 How much of your fingerlings have been destroyed by the earthquake?</t>
  </si>
  <si>
    <t>DamAssetsfish_status_fingerlings</t>
  </si>
  <si>
    <t>8.19 ما هو الوضع الحالي للأسماك اليافعة (الأصبعيات) الخاصة بأسرتك؟</t>
  </si>
  <si>
    <t>8.19 What is the current status of your fingerlings?</t>
  </si>
  <si>
    <t>fish_proddiff_expect</t>
  </si>
  <si>
    <t>8.20 ما هي الصعوبات الثلاث الرئيسية التي تتوقع أن تواجهها في إنتاج الأسماك وتربية الأحياء المائية خلال الأشهر الستة القادمة؟</t>
  </si>
  <si>
    <t>8.20 What are the three major difficulties that you expect to face with your fishing and aquaculture production over the upcoming 6 months?</t>
  </si>
  <si>
    <t>fish_proddiff_other</t>
  </si>
  <si>
    <t>8.21 إذا كانت الإجابة "آخر"، حدد.</t>
  </si>
  <si>
    <t>8.21 If other, specify</t>
  </si>
  <si>
    <t>selected(${fish_proddiff_expect}, 'other')</t>
  </si>
  <si>
    <t>FishSales_group</t>
  </si>
  <si>
    <t>9. تسويق الأسماك وتربية الأحياء المائية</t>
  </si>
  <si>
    <t xml:space="preserve">9. FISHING / AQUACULTURE MARKETING </t>
  </si>
  <si>
    <t>${resp_agree} = '1' and (${income_main}='6' or ${income_sec}='6' or ${income_third}='6')</t>
  </si>
  <si>
    <t>select_one fishsales</t>
  </si>
  <si>
    <t>fish_salesmain</t>
  </si>
  <si>
    <t>9.1 ما هو المنتج السمكي الرئيسي الذي باعته أسرتك منذ الزلزال؟</t>
  </si>
  <si>
    <t>9.1 What was the main fish product sold by your household since the earthquake?</t>
  </si>
  <si>
    <t>fishsalesmain</t>
  </si>
  <si>
    <t>jr:choice-name(${fish_salesmain},'${fish_salesmain}')</t>
  </si>
  <si>
    <t>fish_salesmain_otherspecify</t>
  </si>
  <si>
    <t>9.2 إذا كانت الإجابة "آخر"، حدد.</t>
  </si>
  <si>
    <t>9.2 If other, specify.</t>
  </si>
  <si>
    <t>selected(${fish_salesmain} , 'other')</t>
  </si>
  <si>
    <t>fish_salesdif</t>
  </si>
  <si>
    <t>9.3 هل واجهت أسرتك أي صعوبة منذ الزلزال في بيع  و تسويق  ${fishsalesmain}؟</t>
  </si>
  <si>
    <t>9.3 Has your household faced any significant difficulty marketing / selling your ${fishsalesmain} since the earthquake?</t>
  </si>
  <si>
    <t>select_multiple fishsalesdif</t>
  </si>
  <si>
    <t>fish_saledif</t>
  </si>
  <si>
    <t>9.4 ما الصعوبات التي واجهتها أسرتك منذ الزلزال في بيع ${fishsalesmain}؟</t>
  </si>
  <si>
    <t>9.4 What difficulties has your household faced since the earthquake selling your ${fishsalesmain}?</t>
  </si>
  <si>
    <t xml:space="preserve">${fish_salesdif} = '1' </t>
  </si>
  <si>
    <t>fish_salesdif_otherspecify</t>
  </si>
  <si>
    <t>9.5 إذا كانت الإجابة "آخر"، حدد.</t>
  </si>
  <si>
    <t>9.5 If other, specify.</t>
  </si>
  <si>
    <t>selected(${fish_saledif}, 'other')</t>
  </si>
  <si>
    <t>fish_salesprice</t>
  </si>
  <si>
    <t>9.6 كيف تقارن السعر الحالي لبيع  ${fishsalesmain}  لأسرتك بمتوسط ​​السعر في نفس الفترة من السنة العادية؟</t>
  </si>
  <si>
    <t xml:space="preserve">9.6 How does the current price of your household's ${fishsalesmain} compare to the average price in the same period/harvest of a normal year? </t>
  </si>
  <si>
    <t>FSI</t>
  </si>
  <si>
    <t>10. مؤشرات الأمن الغذائي</t>
  </si>
  <si>
    <t>10. FOOD SECURITY INDICATORS</t>
  </si>
  <si>
    <t>intro_foodsec</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</si>
  <si>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</si>
  <si>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Now I would like to ask you some questions about food consumption, food utilization and coping mechanisms. Make sure to refer to the correct time period for each set of questions.</t>
  </si>
  <si>
    <t>grp_fies</t>
  </si>
  <si>
    <t>10.1. استراتيجيات المواجهة</t>
  </si>
  <si>
    <t>10.1. FIES</t>
  </si>
  <si>
    <t>fies_intro</t>
  </si>
  <si>
    <t>تشير المجموعة الأولى من الأسئلة إلى التجارب التي واجهتها أنت أو أي فرد من أفراد أسرتك خلال الثلاثين يومًا الماضية.</t>
  </si>
  <si>
    <t xml:space="preserve">The first set of questions refers to experiences faced by your or any of your household members over the past 30 days. </t>
  </si>
  <si>
    <t>fies_worried</t>
  </si>
  <si>
    <t>10.1.1 خلال *الثلاثين يومًا الماضية* ، هل كان هناك وقت شعرت فيه أنت أو غيرك من أفراد أسرتك **بالقلق من عدم وجود ما يكفي من الطعام للأكل** بسبب نقص المال أو الموارد الأخرى؟</t>
  </si>
  <si>
    <t>10.1.1 During the *last 30 days*, was there a time when you or others in your household were **worried about not having enough food to eat** because of lack of money or other resources?</t>
  </si>
  <si>
    <t>fies_healthy</t>
  </si>
  <si>
    <t>10.1.2 خلال *الثلاثين يومًا الماضية* ، هل كان هناك وقت **لم تتمكن فيه أنت أو غيرك من أفراد أسرتك من تناول طعام صحي ومغذي** بسبب نقص المال أو الموارد الأخرى؟</t>
  </si>
  <si>
    <t>10.1.2 During the *last 30 days*, was there a time when you or others in your household were **unable to eat healthy and nutritious food** because of lack of money or other resources?</t>
  </si>
  <si>
    <t>fies_fewfoods</t>
  </si>
  <si>
    <t>10.1.3 خلال *الثلاثين يومًا الماضية* ، هل كان هناك وقت كنت تأكل فيه أنت أو غيرك من أفراد أسرتك **أنواعًا قليلة فقط من الأطعمة** بسبب نقص المال أو الموارد الأخرى؟</t>
  </si>
  <si>
    <t>10.1.3 During the *last 30 days*, was there a time when you or others in your household **ate only a few kinds of foods** because of lack of money or other resources?</t>
  </si>
  <si>
    <t>fies_skipped</t>
  </si>
  <si>
    <t>10.1.4 خلال *الثلاثين يومًا الماضية* ، هل كان هناك وقت اضطررت فيه أنت أو غيرك من أفراد أسرتك إلى **تخطي وجبة** بسبب نقص المال أو الموارد الأخرى للحصول على الطعام؟</t>
  </si>
  <si>
    <t>10.1.4 During the *last 30 days*, was there a time when you or others in your household **had to skip a meal** because of lack of money or other resources to get food?</t>
  </si>
  <si>
    <t>fies_ateless</t>
  </si>
  <si>
    <t>10.1.5 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t>
  </si>
  <si>
    <t>10.1.5 During the *last 30 days*, was there a time when you or others in your household **ate less than you thought you should** because of lack of money or other resources?</t>
  </si>
  <si>
    <t>fies_ranout</t>
  </si>
  <si>
    <t>10.1.6 خلال *الثلاثين يومًا الماضية* ، هل كان هناك وقت **لم يكن فيه أي نوع طعام تأكله** في منزلك بسبب نقص الموارد للحصول على الطعام؟</t>
  </si>
  <si>
    <t>10.1.6 In the *past 30 days*, was there ever **no food to eat of any kind** in your house because of lack of resources to get food?</t>
  </si>
  <si>
    <t>select_one frequency</t>
  </si>
  <si>
    <t>fies_ranout_hhs</t>
  </si>
  <si>
    <t>10.1.7 كم مرة حدث ذلك؟</t>
  </si>
  <si>
    <t xml:space="preserve">10.1.7 How often did this happen? </t>
  </si>
  <si>
    <t>${fies_ranout} = '1'</t>
  </si>
  <si>
    <t>fies_hungry</t>
  </si>
  <si>
    <t>10.1.8 خلال *الثلاثين يومًا الماضية* ، هل سبق لك أو لأي فرد من أفراد أسرتك **أن تنام ليلاً وأنت جائع** بسبب عدم وجود طعام كافٍ؟</t>
  </si>
  <si>
    <t>10.1.8 In the *past 30 days*, did you or any household member ever **go to sleep at night hungry**because there was not enough food?</t>
  </si>
  <si>
    <t>fies_hungry_hhs</t>
  </si>
  <si>
    <t>10.1.9 كم مرة حدث ذلك؟</t>
  </si>
  <si>
    <t xml:space="preserve">10.1.9 How often did this happen? </t>
  </si>
  <si>
    <t>${fies_hungry} = '1'</t>
  </si>
  <si>
    <t>fies_whlday</t>
  </si>
  <si>
    <t>10.1.10 خلال *الثلاثين يومًا الماضية* ، هل قضيت أنت أو أي فرد من أفراد أسرتك **يومًا كاملاً ليلاً ونهارًا دون تناول أي شيء على الإطلاق** بسبب عدم وجود ما يكفي من الطعام؟</t>
  </si>
  <si>
    <t>10.1.10 In the *past 30 days*, did you or any household member ever **go a whole day and night without eating anything at all** because there was not enough food?</t>
  </si>
  <si>
    <t>fies_whlday_hhs</t>
  </si>
  <si>
    <t>10.1.11 كم مرة حدث ذلك؟</t>
  </si>
  <si>
    <t xml:space="preserve">10.1.11 How often did this happen? </t>
  </si>
  <si>
    <t>${fies_whlday} = '1'</t>
  </si>
  <si>
    <t>grp_hdds</t>
  </si>
  <si>
    <t>HDDS</t>
  </si>
  <si>
    <t>hdds_intro</t>
  </si>
  <si>
    <t>الآن أود أن أسألك عن المجموعة الثالثة من الأسئلة حول استهلاك الغذاء ، بالإشارة إلى*24 ساعة أمس*.</t>
  </si>
  <si>
    <t>Now I would like to ask you about a set of questions on food consumption, referring to the *24 hours of yesterday*.</t>
  </si>
  <si>
    <t>select_multiple hdds</t>
  </si>
  <si>
    <t>hdds</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</si>
  <si>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</si>
  <si>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</si>
  <si>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</si>
  <si>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[تعليمات: حدد كل المجموعات الغذائية المستهلكة خلال الـ 24 ساعة الماضية كإجابة للمُجيب. ردود متعددة ممكنة]</t>
  </si>
  <si>
    <t>hdds_confirmation</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</si>
  <si>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</si>
  <si>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[INSTRUCTIONS: Remember to probe for snacks, special foods given to children or pregnant women, ingredients in mixed dishes. At the end, probe for any food groups not specified.]</t>
  </si>
  <si>
    <t>grp_lcsi</t>
  </si>
  <si>
    <t>10.1. LCSI</t>
  </si>
  <si>
    <t>copingstrategies</t>
  </si>
  <si>
    <t>الآن أود أن أسألك عن المجموعة الثانية من الأسئلة حول استراتيجيات المواجهة ، بالإشارة إلى *الثلاثين يومًا الماضية*. فكر فيما إذا كان عليك أنت أو أي شخص في أسرتك اللجوء إلى الاستراتيجيات التالية التي قد تتجنبها لولا ذلك لأنك * لم يكن لديك ما يكفي من الطعام أو المال لإطعام أفراد الأسرة *</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</si>
  <si>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to buy food*. </t>
  </si>
  <si>
    <t>select_one coping</t>
  </si>
  <si>
    <t>cs_stress_sale_assets</t>
  </si>
  <si>
    <t>10.2.1 بيع أصول / سلع منزلية (راديو ، أثاث ، ثلاجة ، تلفزيون ، إلخ)</t>
  </si>
  <si>
    <t>10.2.1 **Sell household assets/goods** (radio, furniture, refrigerator, television, etc.)</t>
  </si>
  <si>
    <t>cs_stress_spend_savings</t>
  </si>
  <si>
    <t>10.2.2 إنفاق مدخرات</t>
  </si>
  <si>
    <t>10.2.2 **Spend savings**</t>
  </si>
  <si>
    <t>cs_stress_sale_more_ls</t>
  </si>
  <si>
    <t>10.2.3 بيع حيوانات (غير منتجة) أكثر من المعتاد</t>
  </si>
  <si>
    <t>10.2.3 **Sell more animals (non-reproductive) than usual**</t>
  </si>
  <si>
    <t>cs_stress_borrow</t>
  </si>
  <si>
    <t>10.2.4 اقتراض المال/الطعام من البنك أو مقرض</t>
  </si>
  <si>
    <t>10.2.4 **Borrow money/food from a formal lender/bank **</t>
  </si>
  <si>
    <t>cs_crisis_sale_prod_assets</t>
  </si>
  <si>
    <t>10.2.5 بيع أصول منتجة أو وسائل نقل (ماكينة خياطة ، عربة يد ، دراجة ، سيارة ، معدات الري ، آلة اللحام ، الماشية ، إلخ)</t>
  </si>
  <si>
    <t>10.2.5 **Sell productive assets or means of transport** (sewing machine, wheelbarrow, bicycle, car, irrigation equipment, welding machine, livestock, etc.)</t>
  </si>
  <si>
    <t>cs_crisis_withdraw_school</t>
  </si>
  <si>
    <t>10.2.6 سحب أطفاله من المدرسة</t>
  </si>
  <si>
    <t>10.2.6 **Withdraw children from school**</t>
  </si>
  <si>
    <t>cs_crisis_reduce_healtheduc</t>
  </si>
  <si>
    <t>10.2.7 تقليل النفقات  (غير الغذائية) على الصحة والتعليم</t>
  </si>
  <si>
    <t>10.2.7 **Reduce (non-food) expenses on health and education**</t>
  </si>
  <si>
    <t>cs_emergency_migrate</t>
  </si>
  <si>
    <t>10.2.8 الهجرة</t>
  </si>
  <si>
    <t>10.2.8 **Migrate**</t>
  </si>
  <si>
    <t>cs_emergency_sale_house_land</t>
  </si>
  <si>
    <t>10.2.9 بيع منزل أو أرض</t>
  </si>
  <si>
    <t>10.2.9 **Sell a house or land**</t>
  </si>
  <si>
    <t>cs_emergency_beg</t>
  </si>
  <si>
    <t>10.2.10 التسول (بيع المناديل والعلكة في الشارع)</t>
  </si>
  <si>
    <t>10.2.10 **Beg (sell tissues and chewing gum in the street)**</t>
  </si>
  <si>
    <t>cs_emergency_sale_last_female_ls</t>
  </si>
  <si>
    <t>10.2.11 بيع آخر إناث الحيوانات</t>
  </si>
  <si>
    <t>10.2.11 **Sell your last female animals**</t>
  </si>
  <si>
    <t>cs_emergency_early_marriage</t>
  </si>
  <si>
    <t>10.2.12 تزويج الابنة (البنات) مبكرًا (قبل ١٥ عامًا)</t>
  </si>
  <si>
    <t>10.2.12 **Marry off daughter(s) early (before 15 years old)**</t>
  </si>
  <si>
    <t>Assisstance_group</t>
  </si>
  <si>
    <t>11. مساعدة لتلبية الإحتياجات</t>
  </si>
  <si>
    <t>11. NEEDS ASSISTANCE</t>
  </si>
  <si>
    <t>${resp_agree} = 1 and (${hh_agricactivity} &lt; 4 or ${income_main_crop_check} = 1 or ${income_main_ls_check} = 1 or ${income_main_fish_check} = 1 or ${income_sec_crop_check} = 1 or ${income_sec_ls_check} = 1 or ${income_sec_fish_check} = 1 or ${income_third_crop_check} = 1 or ${income_third_ls_check} = 1 or ${income_third_fish_check} = 1 )</t>
  </si>
  <si>
    <t>need</t>
  </si>
  <si>
    <t>11.1 هل تحتاج أسرتك إلى مساعدة للقيام بالأنشطة الزراعية [بما فى ذلك انتاج المحاصيل أو الثروة الحيوانية أو مصايد الأسماك / أنشطة تربية الأحياء المائية] خلال الأشهر الثلاثة إلى الستة المقبلة؟</t>
  </si>
  <si>
    <t>11.1 Does your household need assistance for agricultural activities [including crop, livestock or fisheries/aquaculture activities] over the next 3 to 6 months?</t>
  </si>
  <si>
    <t>select_multiple needs</t>
  </si>
  <si>
    <t>need_</t>
  </si>
  <si>
    <t>11.2 ما هي أكبر احتياجات أسرتك للمساعدة في إنتاج المحاصيل أو الثروة الحيوانية أو مصايد الأسماك / تربية الأحياء المائية خلال الأشهر الثلاثة إلى الستة المقبلة؟</t>
  </si>
  <si>
    <t>11.2 What are your household's greatest needs for assistance for your household's agricultural activities [including crop, livestock or fisheries/aquaculture production activities] over the next 3 to 6 months?</t>
  </si>
  <si>
    <t>[INSTRUCTIONS: MULTIPLE RESPONSE. DO NOT READ THE OPTIONS.]</t>
  </si>
  <si>
    <t>[تعليمات: عدة استجابات محتملة. لا تقرأ الخيارات إذا كان ذلك ممكنًا]</t>
  </si>
  <si>
    <t>${need} = 1</t>
  </si>
  <si>
    <t>need_otherspecify</t>
  </si>
  <si>
    <t>11.3 إذا كانت الإجابة "آخر"، حدد.</t>
  </si>
  <si>
    <t>11.3 If other, specify.</t>
  </si>
  <si>
    <t>selected(${need_}, 'other')</t>
  </si>
  <si>
    <t>select_multiple needreceived</t>
  </si>
  <si>
    <t>need_received</t>
  </si>
  <si>
    <t>11.4 هل تلقت أسرتك أي مساعدة خلال الأشهر الثلاثة الماضية ، وإذا كان الأمر كذلك ، فمن أي نوع؟</t>
  </si>
  <si>
    <t>11.4 Has your household received any assistance in the last 3 months, and if so, which kind?</t>
  </si>
  <si>
    <t>[INSTRUCTIONS: READ OUT ANSWER OPTIONS. MULTIPLE RESPONSES POSSIBLE.]</t>
  </si>
  <si>
    <t>[تعليمات: اقرأ الخيارات. إمكانية الاستجابة المتعددة]</t>
  </si>
  <si>
    <t>if(selected(., 'dk') or selected(., 'ref') or selected(., 'none'), count-selected(.) = 1, count-selected(.) &gt;= 1)</t>
  </si>
  <si>
    <t>need_received_otherspecify</t>
  </si>
  <si>
    <t>11.5 إذا كانت الإجابة "آخر"، حدد.</t>
  </si>
  <si>
    <t>11.5 If other, specify.</t>
  </si>
  <si>
    <t>selected(${need_received}, 'other')</t>
  </si>
  <si>
    <t>select_one assist_quality</t>
  </si>
  <si>
    <t>assistance_quality</t>
  </si>
  <si>
    <t xml:space="preserve">11.6 هل كنت راضيا عن جودة المساعدة التي قدمت لكم ؟ </t>
  </si>
  <si>
    <t xml:space="preserve">11.6 Were you satisfied with the quality of the assistance provided? </t>
  </si>
  <si>
    <t>[INSTRUCTIONS: QUALITY OF ASSISTANCE IN TERMS OF SUFFICIENT ASSISTANCE FOR PRODUCTION OR SALES DIFFICULTY TO BE OVERCOME.]</t>
  </si>
  <si>
    <t>[تعليمات: جودة المساعدة من حيث كفاية المساعدة للتغلب على صعوبات الانتاج أو البيع]</t>
  </si>
  <si>
    <t>${need_received} != 'dk' and ${need_received} != 'ref' and ${need_received} != 'none'</t>
  </si>
  <si>
    <t>select_multiple provider</t>
  </si>
  <si>
    <t>assistance</t>
  </si>
  <si>
    <t xml:space="preserve">11.7 من قام بتقديم تلك المساعدة لاسرتك ؟ </t>
  </si>
  <si>
    <t>11.7 Who provided your household with this assistance?</t>
  </si>
  <si>
    <t>[INSTRUCTIONS: MULTIPLE RESPONSES.]</t>
  </si>
  <si>
    <t>assistance_otherspecify</t>
  </si>
  <si>
    <t>11.8 إذا كانت الإجابة "آخر"، حدد.</t>
  </si>
  <si>
    <t>11.8 If other, specify.</t>
  </si>
  <si>
    <t>selected(${assistance}, 'other')</t>
  </si>
  <si>
    <t>closing</t>
  </si>
  <si>
    <t>12. إغلاق</t>
  </si>
  <si>
    <t>12. CLOSING</t>
  </si>
  <si>
    <t>callback</t>
  </si>
  <si>
    <t>12.1 ستساعدنا إجاباتك على فهم احتياجات مجتمعك والاستجابة لها. هل يمكننا الاتصال بك مرة أخرى في غضون بضعة أشهر؟</t>
  </si>
  <si>
    <t>12.1 Your answers will help us to understand and respond to your community needs. May we call you in a few months?</t>
  </si>
  <si>
    <t>select_multiple week</t>
  </si>
  <si>
    <t>future_int_day</t>
  </si>
  <si>
    <t>12.2 للمقابلات المستقبلية ، في أي يوم (أيام) يمكنني الاتصال بك؟</t>
  </si>
  <si>
    <t>12.2 For future interviews, in which day(s) can I call you?</t>
  </si>
  <si>
    <t>[INSTRUCTIONS: MULTIPLE ANSWERS POSSIBLE.]</t>
  </si>
  <si>
    <t>${callback} = '1'</t>
  </si>
  <si>
    <t>select_multiple time</t>
  </si>
  <si>
    <t>future_int_time</t>
  </si>
  <si>
    <t>12.3 للمقابلات المستقبلية ، في أي وقت (أوقات) يمكنني الاتصال بك؟</t>
  </si>
  <si>
    <t>12.3 For future interviews, at what time(s) can I call you?</t>
  </si>
  <si>
    <t>select_one language</t>
  </si>
  <si>
    <t>language2</t>
  </si>
  <si>
    <t>حدد اللغة التي تم استخدامها في الغالب لإكمال المقابلة.</t>
  </si>
  <si>
    <t xml:space="preserve">Select the language that was mostly used to complete the interview. </t>
  </si>
  <si>
    <t>closeout</t>
  </si>
  <si>
    <t>شكرا لك على وقتك. انتهت المقابلة.</t>
  </si>
  <si>
    <t xml:space="preserve">Thank you for your time. The interview has come to an end. </t>
  </si>
  <si>
    <t>Interview_End_Time</t>
  </si>
  <si>
    <t>وقت انتهاء المقابلة</t>
  </si>
  <si>
    <t>Interview End Time</t>
  </si>
  <si>
    <t>geopoint</t>
  </si>
  <si>
    <t>gps_2</t>
  </si>
  <si>
    <t>تعليمات GPS: لم تأخذ القياس في وقت سابق. تجول الآن في المنزل أو اقترب من الطريق الرئيسي وحاول إجراء قياس GPS.</t>
  </si>
  <si>
    <t>GPS INSTRUCTION: You didn't take a measurement earlier. Now walk around the household or go near the main road and try to take a GPS measurement.</t>
  </si>
  <si>
    <t>string-length(.)=0 or int(selected-at(.,3))&lt;=30</t>
  </si>
  <si>
    <t>Accuracy must be 30 meters or less</t>
  </si>
  <si>
    <t>يجب أن تكون الدقة 30 مترًا أو أقل</t>
  </si>
  <si>
    <t>last_update_time</t>
  </si>
  <si>
    <t>if(${last_update_time}='', now(), ${First_update_time})</t>
  </si>
  <si>
    <t>${gps_2}</t>
  </si>
  <si>
    <t>enum_notes</t>
  </si>
  <si>
    <t>أدخل أي ملاحظات أو ملاحظات من هذا الاستطلاع:</t>
  </si>
  <si>
    <t>Enter any notes or feedback from this survey:</t>
  </si>
  <si>
    <t xml:space="preserve">Leave empty if there are no comments. </t>
  </si>
  <si>
    <t>اتركه فارغا إذا لم تكن هناك تعليقات.</t>
  </si>
  <si>
    <t>__version__</t>
  </si>
  <si>
    <t>'vfVbKi5bfYAnEzqoBsXTzQ'</t>
  </si>
  <si>
    <t xml:space="preserve">AVERAGE ESTIMATED DURATION </t>
  </si>
  <si>
    <t>list_name</t>
  </si>
  <si>
    <t>my_filter_admin</t>
  </si>
  <si>
    <t>agfilter1</t>
  </si>
  <si>
    <t>agfilter2</t>
  </si>
  <si>
    <t>agfilter3</t>
  </si>
  <si>
    <t>agfilter4</t>
  </si>
  <si>
    <t>enumteam</t>
  </si>
  <si>
    <t>1. Al Bab</t>
  </si>
  <si>
    <t>1. الباب</t>
  </si>
  <si>
    <t>2. Afrin</t>
  </si>
  <si>
    <t>2. عفرين</t>
  </si>
  <si>
    <t>3. A'zaz</t>
  </si>
  <si>
    <t>3. اعزاز</t>
  </si>
  <si>
    <t>4. Jarablus</t>
  </si>
  <si>
    <t>4. جرابلس</t>
  </si>
  <si>
    <t>5. Harim</t>
  </si>
  <si>
    <t>5. حارم</t>
  </si>
  <si>
    <t>6. Idleb</t>
  </si>
  <si>
    <t>6. إدلب</t>
  </si>
  <si>
    <t>7. Jebel Saman</t>
  </si>
  <si>
    <t>7. جبل سمعان</t>
  </si>
  <si>
    <t>C1202AS009</t>
  </si>
  <si>
    <t>C1202BS020</t>
  </si>
  <si>
    <t>C1202TT013</t>
  </si>
  <si>
    <t>C1202ME002</t>
  </si>
  <si>
    <t>C1202BA010</t>
  </si>
  <si>
    <t>C1202FA003</t>
  </si>
  <si>
    <t>SY020304MI002</t>
  </si>
  <si>
    <t>C1366MM015</t>
  </si>
  <si>
    <t>C6115FA001</t>
  </si>
  <si>
    <t>SY020301MI003</t>
  </si>
  <si>
    <t>SY020301LA002</t>
  </si>
  <si>
    <t>C6287MS002</t>
  </si>
  <si>
    <t>C6287HF004</t>
  </si>
  <si>
    <t>C1031AA001</t>
  </si>
  <si>
    <t>C1031AM010</t>
  </si>
  <si>
    <t>SY020305TR002</t>
  </si>
  <si>
    <t>SY020305RS001</t>
  </si>
  <si>
    <t>SY020304SS003</t>
  </si>
  <si>
    <t>AFHR004</t>
  </si>
  <si>
    <t>C1036AK001</t>
  </si>
  <si>
    <t>C1564RQ045</t>
  </si>
  <si>
    <t>C1643AH003</t>
  </si>
  <si>
    <t>C1564YA040</t>
  </si>
  <si>
    <t>C1564MK008</t>
  </si>
  <si>
    <t>C1664LM001</t>
  </si>
  <si>
    <t>SY0208MM011</t>
  </si>
  <si>
    <t>SY0208MJ016</t>
  </si>
  <si>
    <t>SY0208SO02</t>
  </si>
  <si>
    <t>C4278MH001</t>
  </si>
  <si>
    <t>C4115RB002</t>
  </si>
  <si>
    <t>C3985SS006</t>
  </si>
  <si>
    <t>C3987HH002</t>
  </si>
  <si>
    <t>C4126AA001</t>
  </si>
  <si>
    <t>C4121MK002</t>
  </si>
  <si>
    <t>C3916FI001</t>
  </si>
  <si>
    <t>C4068NA003</t>
  </si>
  <si>
    <t>C4199AA001</t>
  </si>
  <si>
    <t>C4068AA004</t>
  </si>
  <si>
    <t>C3985AS005</t>
  </si>
  <si>
    <t>C2541HH001</t>
  </si>
  <si>
    <t>C2882IR003</t>
  </si>
  <si>
    <t>C4157DS001</t>
  </si>
  <si>
    <t>C3871HJ0010</t>
  </si>
  <si>
    <t>C1058AB001</t>
  </si>
  <si>
    <t>C3871MK008</t>
  </si>
  <si>
    <t>C3916MS003</t>
  </si>
  <si>
    <t>C4068FD002</t>
  </si>
  <si>
    <t>C1022YR002</t>
  </si>
  <si>
    <t>C1139BN009</t>
  </si>
  <si>
    <t>C1036AH002</t>
  </si>
  <si>
    <t>C1139OR008</t>
  </si>
  <si>
    <t>C1022BE023</t>
  </si>
  <si>
    <t>yes_no</t>
  </si>
  <si>
    <t>Yes</t>
  </si>
  <si>
    <t>نعم</t>
  </si>
  <si>
    <t>No</t>
  </si>
  <si>
    <t>لا</t>
  </si>
  <si>
    <t>dk</t>
  </si>
  <si>
    <t>Don't know</t>
  </si>
  <si>
    <t>لا أعرف</t>
  </si>
  <si>
    <t>ref</t>
  </si>
  <si>
    <t>Refused</t>
  </si>
  <si>
    <t>رفض الإجابة</t>
  </si>
  <si>
    <t>continue</t>
  </si>
  <si>
    <t>تابع</t>
  </si>
  <si>
    <t>yesno</t>
  </si>
  <si>
    <t>language</t>
  </si>
  <si>
    <t>en</t>
  </si>
  <si>
    <t>English</t>
  </si>
  <si>
    <t xml:space="preserve">الإنجليزية </t>
  </si>
  <si>
    <t>ar</t>
  </si>
  <si>
    <t>Arabic</t>
  </si>
  <si>
    <t>العربية</t>
  </si>
  <si>
    <t>gender</t>
  </si>
  <si>
    <t>Male</t>
  </si>
  <si>
    <t>ذكر</t>
  </si>
  <si>
    <t>Female</t>
  </si>
  <si>
    <t>أنثى</t>
  </si>
  <si>
    <t>contact_info</t>
  </si>
  <si>
    <t>YES - mine</t>
  </si>
  <si>
    <t>نعم - لي</t>
  </si>
  <si>
    <t>YES - other household member</t>
  </si>
  <si>
    <t>نعم - فرد اخر من أفراد الأسرة</t>
  </si>
  <si>
    <t>YES - friend or relative (non-household member)</t>
  </si>
  <si>
    <t>نعم - أحد الأقارب او الاصدقاء [ ليس فردا من أفراد الأسرة]</t>
  </si>
  <si>
    <t>NO</t>
  </si>
  <si>
    <t>crop</t>
  </si>
  <si>
    <t>Wheat</t>
  </si>
  <si>
    <t>القمح</t>
  </si>
  <si>
    <t>Maize</t>
  </si>
  <si>
    <t>الذرة</t>
  </si>
  <si>
    <t>Barley</t>
  </si>
  <si>
    <t>الشعير</t>
  </si>
  <si>
    <t>Potatoe</t>
  </si>
  <si>
    <t>البطاطا</t>
  </si>
  <si>
    <t>Beans</t>
  </si>
  <si>
    <t>الفاصوليا</t>
  </si>
  <si>
    <t>Lentils</t>
  </si>
  <si>
    <t>العدس</t>
  </si>
  <si>
    <t>Peas</t>
  </si>
  <si>
    <t>البازيلاء</t>
  </si>
  <si>
    <t>Soybeans</t>
  </si>
  <si>
    <t>فول الصويا</t>
  </si>
  <si>
    <t>Chickpeas</t>
  </si>
  <si>
    <t>الحمص</t>
  </si>
  <si>
    <t>Fava beans</t>
  </si>
  <si>
    <t>الفول</t>
  </si>
  <si>
    <t>Lettuce</t>
  </si>
  <si>
    <t>الخس</t>
  </si>
  <si>
    <t>Green salad herbs (thyme, parsley, mint, rocca, other)</t>
  </si>
  <si>
    <t>أعشاب السلطة الخضراء [زعتر ، بقدونس ، نعناع ، جرجير ، أنواع أخرى]</t>
  </si>
  <si>
    <t>Tomatoes</t>
  </si>
  <si>
    <t>الطماطم</t>
  </si>
  <si>
    <t>Cucumber</t>
  </si>
  <si>
    <t>الخيار</t>
  </si>
  <si>
    <t>Eggplant/aubergine</t>
  </si>
  <si>
    <t>الباذنجان</t>
  </si>
  <si>
    <t>Zucchini</t>
  </si>
  <si>
    <t>الكوسة</t>
  </si>
  <si>
    <t>Okra</t>
  </si>
  <si>
    <t>البامية</t>
  </si>
  <si>
    <t>Bell pepper</t>
  </si>
  <si>
    <t>فلفل حلو</t>
  </si>
  <si>
    <t>Onions</t>
  </si>
  <si>
    <t>بصل</t>
  </si>
  <si>
    <t>Green peas</t>
  </si>
  <si>
    <t>البازلاء الخضراء</t>
  </si>
  <si>
    <t>Fava beans green</t>
  </si>
  <si>
    <t>الفول الأخضر</t>
  </si>
  <si>
    <t>Water Melon</t>
  </si>
  <si>
    <t>البطيخ الأحمر</t>
  </si>
  <si>
    <t>Grapes</t>
  </si>
  <si>
    <t>العنب</t>
  </si>
  <si>
    <t>Olives</t>
  </si>
  <si>
    <t>الزيتون</t>
  </si>
  <si>
    <t>Cherries</t>
  </si>
  <si>
    <t>الكرز</t>
  </si>
  <si>
    <t>Sesame</t>
  </si>
  <si>
    <t>السمسم</t>
  </si>
  <si>
    <t>Almond</t>
  </si>
  <si>
    <t>اللوز</t>
  </si>
  <si>
    <t>other</t>
  </si>
  <si>
    <t>Other crop</t>
  </si>
  <si>
    <t>آخر [حدد]</t>
  </si>
  <si>
    <t>No crop production</t>
  </si>
  <si>
    <t>لا شيء</t>
  </si>
  <si>
    <t>agricactivity</t>
  </si>
  <si>
    <t xml:space="preserve">Yes - crop production </t>
  </si>
  <si>
    <t>نعم - إنتاج المحاصيل</t>
  </si>
  <si>
    <t>Yes - livestock production</t>
  </si>
  <si>
    <t>نعم - إنتاج الماشية</t>
  </si>
  <si>
    <t xml:space="preserve">Yes - both crop and livestock production </t>
  </si>
  <si>
    <t>نعم - كل من إنتاج المحاصيل والماشية</t>
  </si>
  <si>
    <t>edu</t>
  </si>
  <si>
    <t>None or did not complete primary school</t>
  </si>
  <si>
    <t>لا شيء أو لم يكمل المرحلة الابتدائية</t>
  </si>
  <si>
    <t>Completed primary school</t>
  </si>
  <si>
    <t>أكمل المرحلة الابتدائية</t>
  </si>
  <si>
    <t>Completed secondary school</t>
  </si>
  <si>
    <t>أكمل المرحلة الثانوية</t>
  </si>
  <si>
    <t>Completed higher education [University / College] degree</t>
  </si>
  <si>
    <t>أكمل درجة تعليم عالي [جامعة / كلية]</t>
  </si>
  <si>
    <t>Religious or informal education only</t>
  </si>
  <si>
    <t>تربية دينية أو غير رسمية فقط</t>
  </si>
  <si>
    <t>residence</t>
  </si>
  <si>
    <t>Permanent Resident - you have been living in your village / town for longer than two years and this is what you consider your habitual residence</t>
  </si>
  <si>
    <t>مقيم دائم - تعيش في قريتك / بلدتك لمدة تزيد عن عامين وهذا ما تعتبره مكان إقامتك المعتاد</t>
  </si>
  <si>
    <t>Recent migrant not forcefully displaced - you have been living in your current place of residence for less than two years and you moved there voluntarily for work / family or other reasons that are not related to conflict or natural disaster</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</si>
  <si>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</si>
  <si>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Returnee (from within country) - you have only come back to this residence in the last two years after having been forced to move to another location having fled conflict or natural disaster [if return was over 2 years ago the respondent is considered a permanent resident]</t>
  </si>
  <si>
    <t>عائد (من داخل البلد)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</si>
  <si>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Returnee (from outside country) - you have only come back to this residence in the last two years after having been forced to move to another location having fled conflict or natural disaster [if return was over 2 years ago the respondent is considered a permanent resident]</t>
  </si>
  <si>
    <t>عائد (من خارج البلد)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</si>
  <si>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 xml:space="preserve">Internally displaced person [IDP] - you were forced to flee your village or town because of conflict or natural disaster and you are now an internally displaced person in your current place of residence </t>
  </si>
  <si>
    <t>شخص نازح داخليًا [IDP] - لقد أُجبرت على الفرار من قريتك أو بلدتك بسبب نزاع أو كارثة طبيعية وأنت الآن نازح داخليًا في مكان إقامتك الحالي</t>
  </si>
  <si>
    <t>Refugee - you were forced to flee your country because of conflict or natural disaster and you are now a refugee in your current place of residence</t>
  </si>
  <si>
    <t>لاجئ - لقد أُجبرت على الفرار من بلدك بسبب نزاع أو كارثة طبيعية وأنت الآن لاجئ في مكان إقامتك الحالي</t>
  </si>
  <si>
    <t>asset_prod</t>
  </si>
  <si>
    <t>land</t>
  </si>
  <si>
    <t>Productive agricultural land</t>
  </si>
  <si>
    <t>أرض زراعية منتجة</t>
  </si>
  <si>
    <t>livestock</t>
  </si>
  <si>
    <t>Productive animals</t>
  </si>
  <si>
    <t>حيوانات منتجة</t>
  </si>
  <si>
    <t>process</t>
  </si>
  <si>
    <t>Processing assets (e.g. grinding/crushing machine, mill, oil press)</t>
  </si>
  <si>
    <t>أصول المعالجة (على سبيل المثال ماكينات الطحن و العصر)</t>
  </si>
  <si>
    <t>farmmach</t>
  </si>
  <si>
    <t>Farm machinery (e.g. tractor, plough, sickle, etc.)</t>
  </si>
  <si>
    <t>آلات زراعية ( جرار زراعي ، محراث، منجل ، غيرها)</t>
  </si>
  <si>
    <t>sewing</t>
  </si>
  <si>
    <t>Sewing machine or weaving tool</t>
  </si>
  <si>
    <t>ماكينات الخياطة و حياكة الصوف</t>
  </si>
  <si>
    <t>taxi</t>
  </si>
  <si>
    <t>Taxi</t>
  </si>
  <si>
    <t>تاكسي (سيارة أجرة)</t>
  </si>
  <si>
    <t>truck</t>
  </si>
  <si>
    <t>Truck</t>
  </si>
  <si>
    <t>شاحنة</t>
  </si>
  <si>
    <t>Other productive machines or assets</t>
  </si>
  <si>
    <t>آلات و معدات انتاجية أخرى</t>
  </si>
  <si>
    <t>none</t>
  </si>
  <si>
    <t>No productive machines or assets</t>
  </si>
  <si>
    <t xml:space="preserve">لا تمتلك أي آلات أو أصول انتاجية </t>
  </si>
  <si>
    <t>asset_transp</t>
  </si>
  <si>
    <t>bici</t>
  </si>
  <si>
    <t>Bicycle</t>
  </si>
  <si>
    <t>دراجة</t>
  </si>
  <si>
    <t>cart</t>
  </si>
  <si>
    <t>Cart (animal drawn)</t>
  </si>
  <si>
    <t>عربة تسوق</t>
  </si>
  <si>
    <t>boat</t>
  </si>
  <si>
    <t>Boat / canoe</t>
  </si>
  <si>
    <t>قارب</t>
  </si>
  <si>
    <t>motorbike</t>
  </si>
  <si>
    <t>Motorbike / scooter / auto rickshaw</t>
  </si>
  <si>
    <t>دراجة نارية / سكوتر / عربة الريكاشة الآلية القيادة (توك توك)</t>
  </si>
  <si>
    <t>car</t>
  </si>
  <si>
    <t>Car</t>
  </si>
  <si>
    <t>سيارة</t>
  </si>
  <si>
    <t>van</t>
  </si>
  <si>
    <t>Van or small truck</t>
  </si>
  <si>
    <t>سيارة نقل أو شاحنة صغيرة</t>
  </si>
  <si>
    <t>Other motor vehicle</t>
  </si>
  <si>
    <t>مركبة أخرى</t>
  </si>
  <si>
    <t>None of the above</t>
  </si>
  <si>
    <t>لا شيء مما سبق</t>
  </si>
  <si>
    <t>incomesource1</t>
  </si>
  <si>
    <t>Production and sale of staple crops</t>
  </si>
  <si>
    <t>إنتاج وبيع المحاصيل الأساسية</t>
  </si>
  <si>
    <t xml:space="preserve">Production and sale of vegetables or fruit </t>
  </si>
  <si>
    <t>إنتاج وبيع الخضار أو الفاكهة</t>
  </si>
  <si>
    <t>Production and sale of cashcrops</t>
  </si>
  <si>
    <t>إنتاج وبيع المحاصيل النقدية</t>
  </si>
  <si>
    <t xml:space="preserve">Production and sale of livestock and livestock products </t>
  </si>
  <si>
    <t>إنتاج وبيع المواشي ومنتجاتها</t>
  </si>
  <si>
    <t>Production and sale of honey and bee products</t>
  </si>
  <si>
    <t xml:space="preserve">انتاج و بيع العسل أو منتجات النحل </t>
  </si>
  <si>
    <t xml:space="preserve">Production and sale of fish </t>
  </si>
  <si>
    <t>إنتاج وبيع الأسماك</t>
  </si>
  <si>
    <t>Collection and sale of natural resources (including forestry or bush products)</t>
  </si>
  <si>
    <t>جمع وبيع منتجات الغابات أو الأحراش</t>
  </si>
  <si>
    <t>Agricultural trade EXCLUDING producers (formal or informal)</t>
  </si>
  <si>
    <t>التجارة الزراعية الرسمية و غير الرسمية باستثناء المنتجين</t>
  </si>
  <si>
    <t xml:space="preserve">Daily wage on farms and other casual employment in agricultural sector </t>
  </si>
  <si>
    <t>الأجر اليومي في المزارع وغيرها من العمالة العرضية في قطاع الزراعة</t>
  </si>
  <si>
    <t xml:space="preserve">Stable employment in agricultural sector </t>
  </si>
  <si>
    <t>العمالة المستقرة في القطاع الزراعي</t>
  </si>
  <si>
    <t>Non-agricultural self-employed or liberal profession, doctor, architect, lawyer, including restaurant</t>
  </si>
  <si>
    <t>العاملين لحسابهم الخاص غير الزراعيين أو المهنة الحرة / طبيب / مهندس معماري / محامٍ / بما في ذلك مطعم</t>
  </si>
  <si>
    <t>Off-farm daily wages and other non-agricultural casual employment</t>
  </si>
  <si>
    <t>الأجور اليومية خارج المزرعة وغيرها من العمالة العرضية غير الزراعية</t>
  </si>
  <si>
    <t>Stable employment in non-agricultural sector</t>
  </si>
  <si>
    <t>العمالة المستقرة في القطاع غير الزراعي</t>
  </si>
  <si>
    <t xml:space="preserve">Public employment </t>
  </si>
  <si>
    <t>الوظائف العامة</t>
  </si>
  <si>
    <t>Income not derived from work / Charity</t>
  </si>
  <si>
    <t xml:space="preserve">الدخل غير المستمد من العمل / الاعمال الخيرية </t>
  </si>
  <si>
    <t>Income not derived from work / Welfare transfer, pension, humanitarian aid</t>
  </si>
  <si>
    <t>الدخل غير المستمد من العمل / المدفوعات التحويلية ، المعاش التقاعدي ، المساعدات الإنسانية</t>
  </si>
  <si>
    <t>Income not derived from work / Remittances</t>
  </si>
  <si>
    <t>الدخل غير المستمد من العمل / التحويلات</t>
  </si>
  <si>
    <t xml:space="preserve">Income not derived from work / Income from other rents                                                                                                                                              </t>
  </si>
  <si>
    <t>الدخل غير المستمد من العمل / الدخل من الإيجارات الأخرى</t>
  </si>
  <si>
    <t>No income source in the last 3 months and used exclusively savings / debts</t>
  </si>
  <si>
    <t>لم يكن هناك مصدر دخل خلال الأشهر الثلاثة الماضية واستخدمت المدخرات أو الدين حصريًا</t>
  </si>
  <si>
    <t>gender_inc_1</t>
  </si>
  <si>
    <t>Joint (both male &amp; female)</t>
  </si>
  <si>
    <t>مختلط ( ذكر و أنثى )</t>
  </si>
  <si>
    <t>gender_inc_2</t>
  </si>
  <si>
    <t>Male household member(s)</t>
  </si>
  <si>
    <t>الافراد الذكور</t>
  </si>
  <si>
    <t>Female household member(s)</t>
  </si>
  <si>
    <t>الافراد الاناث</t>
  </si>
  <si>
    <t>Joint household members (both female &amp; male)</t>
  </si>
  <si>
    <t>كلا من الذكور و الاناث</t>
  </si>
  <si>
    <t>change</t>
  </si>
  <si>
    <t>A lot more [increased by more than 50%]</t>
  </si>
  <si>
    <t>أكثر بكثير [زاد بنسبة تزيد عن ٥٠٪]</t>
  </si>
  <si>
    <t>Moderately more [increased by 25-50%]</t>
  </si>
  <si>
    <t>أكثر باعتدال [زاد بنسبة ما بين ٢٥-٥٠ ٪]</t>
  </si>
  <si>
    <t>Slightly more [increased by up to 25%]</t>
  </si>
  <si>
    <t>أكثر قليلا [زاد بنسبة تصل إلى ٢٥ ٪]</t>
  </si>
  <si>
    <t>Slightly less [decreased by up to 25%]</t>
  </si>
  <si>
    <t>أقل قليلاً [إنخفض بنسبة تصل إلى ٢٥ ٪]</t>
  </si>
  <si>
    <t>Moderately less [decreased by 25-50%]</t>
  </si>
  <si>
    <t>أقل باعتدال [إنخفض بنسبة ما بين ٢٥-٥٠ ٪]</t>
  </si>
  <si>
    <t xml:space="preserve">A lot less [decreased by more than 50%] </t>
  </si>
  <si>
    <t>أقل بكثير [إنخفض بنسبة تزيد عن ٥٠٪]</t>
  </si>
  <si>
    <t>change2</t>
  </si>
  <si>
    <t>Same</t>
  </si>
  <si>
    <t>نفس الشيء</t>
  </si>
  <si>
    <t>DON'T KNOW</t>
  </si>
  <si>
    <t>REFUSED</t>
  </si>
  <si>
    <t>incomesource2</t>
  </si>
  <si>
    <t>Income not derived from work / Income from other rents</t>
  </si>
  <si>
    <t>No second most important source of income</t>
  </si>
  <si>
    <t xml:space="preserve">لم يكن هناك مصدر دخل ثانٍ </t>
  </si>
  <si>
    <t>incomesource3</t>
  </si>
  <si>
    <t xml:space="preserve">Income not derived from work / Income from other rents                                </t>
  </si>
  <si>
    <t>No third most important source of income</t>
  </si>
  <si>
    <t>لم يكن هناك مصدر دخل ثالث</t>
  </si>
  <si>
    <t>noshock</t>
  </si>
  <si>
    <t>No shock</t>
  </si>
  <si>
    <t>لا صدمة</t>
  </si>
  <si>
    <t>sicknessordeathofhh</t>
  </si>
  <si>
    <t>Sickness or accident or death of household member[s] [sickness of breadwinner / unusually high medical expenditure / funeral expenses / death of breadwinner]</t>
  </si>
  <si>
    <t>مرض أو حادث أو وفاة أحد أفراد الأسرة [مرض العائل / النفقات الطبية المرتفعة بشكل غير عادي / نفقات الجنازة / وفاة العائل]</t>
  </si>
  <si>
    <t>lostemplorwork</t>
  </si>
  <si>
    <t>Lost employment or working opportunities [not due to illness/accident]</t>
  </si>
  <si>
    <t>فرص العمل أو العمل المفقودة [ليس بسبب مرض / حادث]</t>
  </si>
  <si>
    <t>otherintrahhshock</t>
  </si>
  <si>
    <t>Other intra-household shock</t>
  </si>
  <si>
    <t>صدمة أخرى داخل الأسرة</t>
  </si>
  <si>
    <t>higherfoodprices</t>
  </si>
  <si>
    <t>Unusually high food prices</t>
  </si>
  <si>
    <t>أسعار المواد الغذائية أعلى بكثير من المعتاد</t>
  </si>
  <si>
    <t>higherfuelprices</t>
  </si>
  <si>
    <t>Unusually high l fuel prices or transport prices</t>
  </si>
  <si>
    <t>أسعار الوقود  أو أسعار النقل أعلى بكثير من المعتاد</t>
  </si>
  <si>
    <t>mvtrestrict</t>
  </si>
  <si>
    <t>Population movement restrictions [e.g. due to epidemic or infrastructure damage]</t>
  </si>
  <si>
    <t>القيود المفروضة على حركة السكان [على سبيل المثال بسبب الوباء أو تلف البنية التحتية]</t>
  </si>
  <si>
    <t>othereconomicshock</t>
  </si>
  <si>
    <t xml:space="preserve">Other economic shock </t>
  </si>
  <si>
    <t>صدمة اقتصادية أخرى</t>
  </si>
  <si>
    <t>pestoutbreak</t>
  </si>
  <si>
    <t>Pest outbreak</t>
  </si>
  <si>
    <t>تفشي الآفات</t>
  </si>
  <si>
    <t>plantdisease</t>
  </si>
  <si>
    <t>Plant disease</t>
  </si>
  <si>
    <t>أمراض نباتية</t>
  </si>
  <si>
    <t>animaldisease</t>
  </si>
  <si>
    <t>Animal disease [affecting many animals] or death</t>
  </si>
  <si>
    <t>أمراض حيوانية تصيب العديد من الحيوانات أو تتسبب بنفقها</t>
  </si>
  <si>
    <t>napasture</t>
  </si>
  <si>
    <t>Lack of physical access to pasture</t>
  </si>
  <si>
    <t xml:space="preserve">عدم إمكانية الوصول للمراعي </t>
  </si>
  <si>
    <t>othercropandlivests</t>
  </si>
  <si>
    <t>Other crop and livestock shock</t>
  </si>
  <si>
    <t>صدمة أخرى للمحاصيل والماشية</t>
  </si>
  <si>
    <t>coldtemporhail</t>
  </si>
  <si>
    <t>Cold temperatures or hail</t>
  </si>
  <si>
    <t>درجات الحرارة الباردة أو البرد</t>
  </si>
  <si>
    <t>flood</t>
  </si>
  <si>
    <t>Flood / riverbank erosion</t>
  </si>
  <si>
    <t>الفيضانات / تآكل ضفاف الأنهار</t>
  </si>
  <si>
    <t>hurricane</t>
  </si>
  <si>
    <t>Hurricane / cyclone / tornado</t>
  </si>
  <si>
    <t xml:space="preserve">إعصار </t>
  </si>
  <si>
    <t>drought</t>
  </si>
  <si>
    <t>Drought / heat stress</t>
  </si>
  <si>
    <t>الجفاف / الإجهاد الحراري</t>
  </si>
  <si>
    <t>earthquake</t>
  </si>
  <si>
    <t>Earthquake</t>
  </si>
  <si>
    <t>زلزال</t>
  </si>
  <si>
    <t>landslides</t>
  </si>
  <si>
    <t>Landslides</t>
  </si>
  <si>
    <t>الانهيارات الارضية</t>
  </si>
  <si>
    <t>firenatural</t>
  </si>
  <si>
    <t>Fire from natural disaster</t>
  </si>
  <si>
    <t>حريق مسبب من كارثة طبيعية</t>
  </si>
  <si>
    <t>othernathazard</t>
  </si>
  <si>
    <t>Other natural hazard</t>
  </si>
  <si>
    <t>مخاطر طبيعية أخرى</t>
  </si>
  <si>
    <t>violenceinsecconf</t>
  </si>
  <si>
    <t>Violence and insecurity / conflict</t>
  </si>
  <si>
    <t>العنف وانعدام الأمن / النزاع</t>
  </si>
  <si>
    <t>theftofprodassets</t>
  </si>
  <si>
    <t>Theft of production assets [land / livestock / tools / etc]</t>
  </si>
  <si>
    <t>سرقة أصول الإنتاج [الأرض / الماشية / الأدوات / إلخ]</t>
  </si>
  <si>
    <t>firemanmade</t>
  </si>
  <si>
    <t>Fire from man-made disaster</t>
  </si>
  <si>
    <t>حريق مسبب من كارثة من صنع الإنسان</t>
  </si>
  <si>
    <t>othermanmadehazard</t>
  </si>
  <si>
    <t>Other human-induced hazard</t>
  </si>
  <si>
    <t>مخاطر أخرى من صنع الإنسان</t>
  </si>
  <si>
    <t>landsize_unit</t>
  </si>
  <si>
    <t>Dunum</t>
  </si>
  <si>
    <t>دونم</t>
  </si>
  <si>
    <t>Acres</t>
  </si>
  <si>
    <t>فدان</t>
  </si>
  <si>
    <t>Hectares</t>
  </si>
  <si>
    <t>هكتار</t>
  </si>
  <si>
    <t>Square meters</t>
  </si>
  <si>
    <t>متر مربع</t>
  </si>
  <si>
    <t>Square feet</t>
  </si>
  <si>
    <t>قدم مربع</t>
  </si>
  <si>
    <t>cropcheck</t>
  </si>
  <si>
    <t xml:space="preserve">Don’t usually produce during this season </t>
  </si>
  <si>
    <t>لا أنتج عادة محاصيل خلال هذا الموسم</t>
  </si>
  <si>
    <t>Wasn't able to produce (e.g. due to difficulties)</t>
  </si>
  <si>
    <t>لم أتمكن من إنتاج المحاصيل (على سبيل المثال بسبب الصعوبات)</t>
  </si>
  <si>
    <t>irrigation</t>
  </si>
  <si>
    <t>Rainfed</t>
  </si>
  <si>
    <t>بعلي (لا يوجد نظام ري)</t>
  </si>
  <si>
    <t>Groundwater</t>
  </si>
  <si>
    <t>مياه جوفية</t>
  </si>
  <si>
    <t>Natural surface water [river, lake, stream, pond, etc.]</t>
  </si>
  <si>
    <t>مياه سطحية طبيعية ( نهر / بحيرة / بركة مياه / إلخ )</t>
  </si>
  <si>
    <t>Constructed water point [canal, dam, etc.]</t>
  </si>
  <si>
    <t>نقطة مياه منشأة ( قناة / سد / إلخ)</t>
  </si>
  <si>
    <t>Public water supply system [e.g. tap water]</t>
  </si>
  <si>
    <t>نظام تزويد مياه عام ( ماء الصنبور علي سبيل المثال )</t>
  </si>
  <si>
    <t>Other [specify]</t>
  </si>
  <si>
    <t>irrigpump</t>
  </si>
  <si>
    <t>No, everything works on gravity</t>
  </si>
  <si>
    <t>لا ، كل شيء يعمل علي الجاذبية</t>
  </si>
  <si>
    <t>Yes, there is a communal diesel/gas pump</t>
  </si>
  <si>
    <t>نعم ، توجد مضخة مشتركة تعمل علي الديزل أو الغاز</t>
  </si>
  <si>
    <t>Yes, there is a communal manual pump</t>
  </si>
  <si>
    <t>نعم، توجد مضخة يدوية مشتركة</t>
  </si>
  <si>
    <t>Yes, there is a manual pump in my field</t>
  </si>
  <si>
    <t xml:space="preserve">نعم ، توجد مضخة يدوية فى حقلي </t>
  </si>
  <si>
    <t>Yes, there is a diesel pump in my field</t>
  </si>
  <si>
    <t>نعم، توجد مضخة تعمل بالديزل فى حقلي</t>
  </si>
  <si>
    <t>Yes, there is an electric pump in my field</t>
  </si>
  <si>
    <t>نعم، توجد مضخة تعمل بالكهرباء فى حقلي</t>
  </si>
  <si>
    <t>seedsupply</t>
  </si>
  <si>
    <t>ownprod</t>
  </si>
  <si>
    <t>Own production</t>
  </si>
  <si>
    <t>الإنتاج الخاص</t>
  </si>
  <si>
    <t>market</t>
  </si>
  <si>
    <t>Local market or agro-input shop / dealer</t>
  </si>
  <si>
    <t>اشتريها من السوق أو متجر المدخلات الزراعية</t>
  </si>
  <si>
    <t>company</t>
  </si>
  <si>
    <t>Private company</t>
  </si>
  <si>
    <t>اشتريها  من شركة خاصة</t>
  </si>
  <si>
    <t>ngo</t>
  </si>
  <si>
    <t>NGOs</t>
  </si>
  <si>
    <t>المنظمات الغير حكومية</t>
  </si>
  <si>
    <t>organized_community</t>
  </si>
  <si>
    <t>Community seed banks / farmer networks / farmers' association / etc.</t>
  </si>
  <si>
    <t>بنوك البذور أو شتلات الأشجار المجتمعية / شبكات المزارعين / إلخ</t>
  </si>
  <si>
    <t>gov</t>
  </si>
  <si>
    <t>Government [e.g. MoA]</t>
  </si>
  <si>
    <t>الحكومة ( وزارة الزراعة علي سبيل المثال )</t>
  </si>
  <si>
    <t>relatives_friends</t>
  </si>
  <si>
    <t>Relatives or friends</t>
  </si>
  <si>
    <t>الاقارب أو الاصدقاء</t>
  </si>
  <si>
    <t>Other</t>
  </si>
  <si>
    <t>آخر</t>
  </si>
  <si>
    <t>cropproddiff</t>
  </si>
  <si>
    <t>plant_disease</t>
  </si>
  <si>
    <t xml:space="preserve">Plant disease </t>
  </si>
  <si>
    <t>مرض نباتي</t>
  </si>
  <si>
    <t>pest_outbreak</t>
  </si>
  <si>
    <t>Pest outbreak [including birds]</t>
  </si>
  <si>
    <t>تفشي الافات ( بما في ذلك الطيور )</t>
  </si>
  <si>
    <t>animal_grazing</t>
  </si>
  <si>
    <t>Uncontrolled animal grazing</t>
  </si>
  <si>
    <t>رعي الحيوانات الغير منضبط</t>
  </si>
  <si>
    <t>access_plot</t>
  </si>
  <si>
    <t>Access to plot</t>
  </si>
  <si>
    <t>الوصول إلى قطعة الأرض</t>
  </si>
  <si>
    <t>access_fertilize</t>
  </si>
  <si>
    <t>Access to fertilizer [not available on markets or prices too high]</t>
  </si>
  <si>
    <t>الوصول إلى الأسمدة [غير متوفرة في الأسواق أو أن اسعارها مرتفعة جداً]</t>
  </si>
  <si>
    <t>seed_quality</t>
  </si>
  <si>
    <t>Access to quality seeds</t>
  </si>
  <si>
    <t>الوصول الي البذور الجيدة</t>
  </si>
  <si>
    <t>seed_quantity</t>
  </si>
  <si>
    <t>Access to enough seeds [not available on markets or prices too high]</t>
  </si>
  <si>
    <t>الوصول إلى ما يكفي من البذور [غير متوفرة في الأسواق أو أن اسعارها مرتفعة جداً]</t>
  </si>
  <si>
    <t>access_pesticide</t>
  </si>
  <si>
    <t>Access to pesticides</t>
  </si>
  <si>
    <t>الوصول إلى المبيدات الحشرية</t>
  </si>
  <si>
    <t>access_labour</t>
  </si>
  <si>
    <t>Access to manpower labour</t>
  </si>
  <si>
    <t>الوصول إلى العمالة أو القوى العاملة</t>
  </si>
  <si>
    <t>access_machinery</t>
  </si>
  <si>
    <t>Access to machinery, tools or animals for ploughing</t>
  </si>
  <si>
    <t>الوصول إلى آلات أو أدوات أو حيوانات للحراثة</t>
  </si>
  <si>
    <t>access_fuel</t>
  </si>
  <si>
    <t>Access to fuel or electricity to power agricultural equipment</t>
  </si>
  <si>
    <t>الحصول على الوقود أو الكهرباء لتشغيل المعدات الزراعية</t>
  </si>
  <si>
    <t>soil_erosion</t>
  </si>
  <si>
    <t>Soil erosion</t>
  </si>
  <si>
    <t>تعرية التربة</t>
  </si>
  <si>
    <t>lack_irrigation</t>
  </si>
  <si>
    <t xml:space="preserve">Not enough irrigation or rainfall water </t>
  </si>
  <si>
    <t>عدم كفاية مياه الري أو مياه الأمطار</t>
  </si>
  <si>
    <t>excess_water</t>
  </si>
  <si>
    <t>Too much irrigation or water (from dam rupture or heavy rainfall)</t>
  </si>
  <si>
    <t>زيادة مياه الري (من فيضان السد أو هطول الأمطار الغزيرة)</t>
  </si>
  <si>
    <t>access_credit</t>
  </si>
  <si>
    <t>Access to credit/lack of financial capacity</t>
  </si>
  <si>
    <t>الحصول على تمويل/نقص القدرة المالية</t>
  </si>
  <si>
    <t>lack_timeinterest</t>
  </si>
  <si>
    <t>Lack of time or interest (because the household is coping with more urgent recovery from the earthquake)</t>
  </si>
  <si>
    <t>قلة الوقت أو الاهتمام (لأن الأسرة تتعامل مع أولويات أكثر إلحاحًا من بعد الزلزال)</t>
  </si>
  <si>
    <t>climatic_cold</t>
  </si>
  <si>
    <t>Climatic shocks (such as cold waves)</t>
  </si>
  <si>
    <t>الصدمات المناخية (مثل الموجات الباردة)</t>
  </si>
  <si>
    <t>cropsalesdiff</t>
  </si>
  <si>
    <t>marketing_cost</t>
  </si>
  <si>
    <t>High transportation or other marketing costs</t>
  </si>
  <si>
    <t>ارتفاع تكاليف النقل أو تكاليف التسويق الأخرى</t>
  </si>
  <si>
    <t>damage_losses</t>
  </si>
  <si>
    <t>Damages and losses due to storage difficulties and/or difficulty accessing the market [e.g. insecurity, poor infrastructure, etc.]</t>
  </si>
  <si>
    <t>الاضرار و الخسائر نتيجة صعوبات التخزين و صعوبة الوصول الي السوق ( انعدام الامن / البنية التحتية الفقيرة و غيرها )</t>
  </si>
  <si>
    <t>low_demand</t>
  </si>
  <si>
    <t xml:space="preserve">Lack of demand from usual traders or buyers </t>
  </si>
  <si>
    <t>قلة الطلب من المشترين و التجار المعتادين</t>
  </si>
  <si>
    <t>pay_delay</t>
  </si>
  <si>
    <t>Payment delays from traders / buyers</t>
  </si>
  <si>
    <t>تأخر المدفوعات من التجار و المشترين</t>
  </si>
  <si>
    <t>low_price</t>
  </si>
  <si>
    <t>Low selling prices [e.g. compared to input prices / inflation]</t>
  </si>
  <si>
    <t>انخفاض أسعار البيع ( مقارنة باسعار المدخلات / التضخم علي سبيل المثال )</t>
  </si>
  <si>
    <t>processing</t>
  </si>
  <si>
    <t>Difficulty processing product [lack of processing inputs / equipment / etc]</t>
  </si>
  <si>
    <t xml:space="preserve">صعوبة معالجة المنتج (قلة مدخلات المعالجة ، المعدات و غيرها ) </t>
  </si>
  <si>
    <t>competition</t>
  </si>
  <si>
    <t>Market flooded with products</t>
  </si>
  <si>
    <t>تشبع السوق بالمنتجات</t>
  </si>
  <si>
    <t>lsnum</t>
  </si>
  <si>
    <t>no_change</t>
  </si>
  <si>
    <t>No significant change in livestock number</t>
  </si>
  <si>
    <t>لا تغيير ملحوظ في عدد الماشية</t>
  </si>
  <si>
    <t>inc_less_sales</t>
  </si>
  <si>
    <t>Did not sell as many</t>
  </si>
  <si>
    <t>لم نتمكن البيع بنفس المقدار</t>
  </si>
  <si>
    <t>inc_more_birth</t>
  </si>
  <si>
    <t>Many more were born</t>
  </si>
  <si>
    <t>زيادة عدد المواليد</t>
  </si>
  <si>
    <t>inc_more_acquired</t>
  </si>
  <si>
    <t>Purchased or bartered more animals this year</t>
  </si>
  <si>
    <t>شراء أو مقايضة المزيد من الحيوانات هذا العام</t>
  </si>
  <si>
    <t>inc_received_free</t>
  </si>
  <si>
    <t>Received animals for free [restocking, gift]</t>
  </si>
  <si>
    <t>إستلام حيوانات مجانًا [إعادة تخزين / هدية]</t>
  </si>
  <si>
    <t>dec_poor_health</t>
  </si>
  <si>
    <t>Animal death due to malnutrition, drought, lack of feed</t>
  </si>
  <si>
    <t>وفاة الحيوانات نتيجة سوء التغذية / الجفاف / قلة الغذاء</t>
  </si>
  <si>
    <t>dec_death</t>
  </si>
  <si>
    <t>Animal death due to other factors [e.g. diseases, parasites, injury]</t>
  </si>
  <si>
    <t>وفاة الحيوانات نتيجة عوامل أخرى ( الامراض / الطفيليات / الإصابات علي سبيل المثال )</t>
  </si>
  <si>
    <t>dec_sales_good_price</t>
  </si>
  <si>
    <t>Sold more than usual because of good prices</t>
  </si>
  <si>
    <t>بيعت أكثر من المعتاد بسبب الأسعار الجيدة</t>
  </si>
  <si>
    <t>dec_sales_distress</t>
  </si>
  <si>
    <t>Sold more than usual because of distress sales [unable to feed animal, need money urgently for household basic needs even if sales were unsustainable]</t>
  </si>
  <si>
    <t>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t>
  </si>
  <si>
    <t>dec_escape_stolen</t>
  </si>
  <si>
    <t>Animal escaped or was lost or stolen</t>
  </si>
  <si>
    <t>هروب الحيوانات أو فقدانها أو سرقتها</t>
  </si>
  <si>
    <t>dec_consumed</t>
  </si>
  <si>
    <t>Killed or gave away more animals than usual for household consumption or celebrations [marriage, funerals, etc]</t>
  </si>
  <si>
    <t>قتل أو توزيع حيوانات أكثر من المعتاد للاستهلاك المنزلي أو للاحتفالات [زواج / جنازات / إلخ]</t>
  </si>
  <si>
    <t>inc_dec_other</t>
  </si>
  <si>
    <t>inc_dec_dk</t>
  </si>
  <si>
    <t>inc_dec_ref</t>
  </si>
  <si>
    <t>lsfood</t>
  </si>
  <si>
    <t>open_pasture</t>
  </si>
  <si>
    <t>Open pasture</t>
  </si>
  <si>
    <t>المرعى المفتوح</t>
  </si>
  <si>
    <t>common_pasture</t>
  </si>
  <si>
    <t>Community-managed pasture land</t>
  </si>
  <si>
    <t>أراضي المراعي التي يديرها المجتمع</t>
  </si>
  <si>
    <t>self_produced</t>
  </si>
  <si>
    <t>Owned or rented field or self-produced fodder</t>
  </si>
  <si>
    <t>الحقول المملوكة أو المؤجرة أو الأعلاف المنتجة ذاتيا</t>
  </si>
  <si>
    <t>purchased</t>
  </si>
  <si>
    <t>Purchase feed or fodder at the market</t>
  </si>
  <si>
    <t>شراء العلف من الأسواق</t>
  </si>
  <si>
    <t>free_dist</t>
  </si>
  <si>
    <t>Free distribution</t>
  </si>
  <si>
    <t>التوزيع المجاني</t>
  </si>
  <si>
    <t xml:space="preserve">Other </t>
  </si>
  <si>
    <t>lsproddiff</t>
  </si>
  <si>
    <t>feed_purchase</t>
  </si>
  <si>
    <t>Difficulty to purchase feed [prices or access to market]</t>
  </si>
  <si>
    <t>صعوبة شراء العلف [الأسعار أو الوصول إلى السوق]</t>
  </si>
  <si>
    <t>access_pasture</t>
  </si>
  <si>
    <t>Access to pasture</t>
  </si>
  <si>
    <t>الوصول إلى المراعي</t>
  </si>
  <si>
    <t>access_water</t>
  </si>
  <si>
    <t>Access to water</t>
  </si>
  <si>
    <t>الحصول على الماء</t>
  </si>
  <si>
    <t>vet_serv</t>
  </si>
  <si>
    <t>Access to veterinary services [vaccinations, treatments, spraying, advisory etc]</t>
  </si>
  <si>
    <t>الحصول على الخدمات البيطرية ( التطعيمات / العلاج / نصائح الرش و غيرها )</t>
  </si>
  <si>
    <t>vet_input</t>
  </si>
  <si>
    <t>Access to veterinary inputs [medicine for animals / tools for animal health / etc]</t>
  </si>
  <si>
    <t>الوصول إلى المدخلات البيطرية [أدوية للحيوانات / أدوات لصحة الحيوان / إلخ]</t>
  </si>
  <si>
    <t>diseases</t>
  </si>
  <si>
    <t>Livestock diseases or injury</t>
  </si>
  <si>
    <t>أمراض الماشية أو الموت</t>
  </si>
  <si>
    <t>theft</t>
  </si>
  <si>
    <t>Livestock theft</t>
  </si>
  <si>
    <t>سرقة المواشي</t>
  </si>
  <si>
    <t>access_market</t>
  </si>
  <si>
    <t>Access to livestock market to buy young animals</t>
  </si>
  <si>
    <t>الوصول إلى سوق المواشي لشراء الحيوانات الصغيرة العمر</t>
  </si>
  <si>
    <t>Access to credit</t>
  </si>
  <si>
    <t>الحصول على الائتمان</t>
  </si>
  <si>
    <t>الوصول إلى القوى العاملة</t>
  </si>
  <si>
    <t>shelter</t>
  </si>
  <si>
    <t>Lack of shelter</t>
  </si>
  <si>
    <t>عدم وجود المأوى (تدمر في الزلزال)</t>
  </si>
  <si>
    <t>salesmain</t>
  </si>
  <si>
    <t>Cattle [cow / beef / veal / buffalo]</t>
  </si>
  <si>
    <t>البقر [بقرة / ثور / عجل/ جاموس]</t>
  </si>
  <si>
    <t>Goat</t>
  </si>
  <si>
    <t>الماعز</t>
  </si>
  <si>
    <t>Sheep</t>
  </si>
  <si>
    <t>الأغنام</t>
  </si>
  <si>
    <t>Equine [donkey / horse / etc.]</t>
  </si>
  <si>
    <t>الحمير/ الأحصنة</t>
  </si>
  <si>
    <t>Small domesticated mammals [rabbits / etc]</t>
  </si>
  <si>
    <t>الثدييات المستأنسة الصغيرة [الأرانب/ إلخ]</t>
  </si>
  <si>
    <t>Poultry [chicken /duck / quail / turkey / etc.]</t>
  </si>
  <si>
    <t>دواجن [دجاج/ بطة / سمان / ديك رومي / إلخ]</t>
  </si>
  <si>
    <t>Camelids</t>
  </si>
  <si>
    <t>الإبل</t>
  </si>
  <si>
    <t>Eggs</t>
  </si>
  <si>
    <t>البيض</t>
  </si>
  <si>
    <t>Milk or dairy products</t>
  </si>
  <si>
    <t>الحليب أو مشتقاته</t>
  </si>
  <si>
    <t>Skin or leather or wool</t>
  </si>
  <si>
    <t>الجلد أو الصوف</t>
  </si>
  <si>
    <t>lssalesdif</t>
  </si>
  <si>
    <t xml:space="preserve">Damage and losses during transportation or difficulty accessing the market </t>
  </si>
  <si>
    <t>الأضرار والخسائر أثناء النقل أو صعوبة الوصول إلى السوق</t>
  </si>
  <si>
    <t>Lack of demand from usual traders or buyers</t>
  </si>
  <si>
    <t>انخفاض الطلب من التجار و المشترين المعتادين</t>
  </si>
  <si>
    <t>أسعار بيع منخفضة [على سبيل المثال مقارنة بأسعار المدخلات / التضخم]</t>
  </si>
  <si>
    <t>slaughterhouse</t>
  </si>
  <si>
    <t>Closure of slaughterhouses or difficulties accessing slaughterhouses</t>
  </si>
  <si>
    <t>إغلاق المسالخ أو صعوبة الوصول إلى المسالخ</t>
  </si>
  <si>
    <t>Difficulties processing product other than closure of slaughterhouse [lack of access to processing inputs / equipment / etc]</t>
  </si>
  <si>
    <t>صعوبات في معالجة المنتج بخلاف إغلاق المسلخ [تعثر الوصول إلى مدخلات المعالجة / المعدات / إلخ]</t>
  </si>
  <si>
    <t>fishactivity</t>
  </si>
  <si>
    <t>coastal</t>
  </si>
  <si>
    <t>Near coastal, delta, lagoon fishing</t>
  </si>
  <si>
    <t>الصيد الساحلي بالقرب من الساحل و الدلتا و البحيرات</t>
  </si>
  <si>
    <t>offshore_sea</t>
  </si>
  <si>
    <t>Offshore sea fishing</t>
  </si>
  <si>
    <t>الصيد البحري المفتوح</t>
  </si>
  <si>
    <t>freshwater</t>
  </si>
  <si>
    <t>Freshwater fishing [in lakes, reservoirs, ponds, rivers, or wetlands]</t>
  </si>
  <si>
    <t>صيد الأسماك في المياه العذبة [على سبيل المثال البحيرات والبرك والأنهار]</t>
  </si>
  <si>
    <t>aquaculture</t>
  </si>
  <si>
    <t>Aquaculture</t>
  </si>
  <si>
    <t>تربية الأحياء المائية</t>
  </si>
  <si>
    <t>fishproddiff</t>
  </si>
  <si>
    <t>find_fish</t>
  </si>
  <si>
    <t>Fish is more difficult to find than in previous years in the same season [fishing]</t>
  </si>
  <si>
    <t>يصعب العثور على الأسماك مقارنة بالسنوات السابقة في نفس الموسم</t>
  </si>
  <si>
    <t>pests</t>
  </si>
  <si>
    <t>Fish pests and diseases [aquaculture]</t>
  </si>
  <si>
    <t>الآفات و الامراض السمكية ( تربية الاحياء السمكية)</t>
  </si>
  <si>
    <t>access_area</t>
  </si>
  <si>
    <t>Access to fishing or aquaculture area [e.g. due to weather conditions]</t>
  </si>
  <si>
    <t>الوصول الي الاسماك أو مناطق تربية الاحياء المائية ( بسبب الطقس أو مشاكل امنية علي سبيل المثال)</t>
  </si>
  <si>
    <t>fuel</t>
  </si>
  <si>
    <t>Access to fuel [prices higher or not available]</t>
  </si>
  <si>
    <t>الحصول على الوقود [أسعار أعلى أو غير متوفرة]</t>
  </si>
  <si>
    <t>input_access</t>
  </si>
  <si>
    <t>Access to other fishing or culture inputs [prices higher or not available]</t>
  </si>
  <si>
    <t>الوصول إلى مواد الصيد و- أو غيرها من المدخلات [أسعار أعلى أو غير متوفرة]</t>
  </si>
  <si>
    <t>labour</t>
  </si>
  <si>
    <t>Access to labour or crew labour [prices higher or not available]</t>
  </si>
  <si>
    <t>الوصول إلى العمالة أو طاقم العمل [أسعار أعلى أو غير متوفرة]</t>
  </si>
  <si>
    <t>infrastructure</t>
  </si>
  <si>
    <t>Damage or destruction of infrastructure [ponds, cages, ports, landing sites]</t>
  </si>
  <si>
    <t>إتلاف أو تدمير البنية التحتية [الأحواض والأقفاص والموانئ ومواقع الإنزال]</t>
  </si>
  <si>
    <t>damage_equip</t>
  </si>
  <si>
    <t>Damage or destruction of boats or gears</t>
  </si>
  <si>
    <t>إتلاف أو تدمير القوارب و المعدات</t>
  </si>
  <si>
    <t>fishinput</t>
  </si>
  <si>
    <t>bait_feed</t>
  </si>
  <si>
    <t>Feed or bait</t>
  </si>
  <si>
    <t>العلف أو الطعم</t>
  </si>
  <si>
    <t>fingerling</t>
  </si>
  <si>
    <t>Fingerling</t>
  </si>
  <si>
    <t>الاسماك اليافعة ( صغار الاسماك )</t>
  </si>
  <si>
    <t>gear</t>
  </si>
  <si>
    <t>Fishing gear [e.g. rods, hooks, nets]</t>
  </si>
  <si>
    <t>معدات الصيد [الشبك ، الخطاف ، القضبان علي سبيل المثال]</t>
  </si>
  <si>
    <t>ice</t>
  </si>
  <si>
    <t>Ice</t>
  </si>
  <si>
    <t>الجليد (الثلج)</t>
  </si>
  <si>
    <t>Fuel</t>
  </si>
  <si>
    <t>الوقود</t>
  </si>
  <si>
    <t>boatrepairs</t>
  </si>
  <si>
    <t>Equipment repairs [including boats] or spare parts</t>
  </si>
  <si>
    <t>اصلاح المعدات بما فيها القوارب و قطع الغيار</t>
  </si>
  <si>
    <t>Labour</t>
  </si>
  <si>
    <t>العمالة</t>
  </si>
  <si>
    <t>fishsales</t>
  </si>
  <si>
    <t>Fresh fish [any kind, including invertebrates]</t>
  </si>
  <si>
    <t>السمك الطازج [أي نوع بما في ذلك اللافقاريات]</t>
  </si>
  <si>
    <t>Preserved fish [including dry fish, smoked fish, fermented fish, salt fish]</t>
  </si>
  <si>
    <t>الاسماك المحفوظة [بما في ذلك الاسماك الجافة / الاسماك المدخنة / الاسماك المملحة]</t>
  </si>
  <si>
    <t>Frozen fish</t>
  </si>
  <si>
    <t>الاسماك المجمدة</t>
  </si>
  <si>
    <t>Canned fish</t>
  </si>
  <si>
    <t>الاسماك المعلبة</t>
  </si>
  <si>
    <t>fishsalesdif</t>
  </si>
  <si>
    <t>Deterioration and losses due to storage difficulties or delays or inability to physically access markets</t>
  </si>
  <si>
    <t>الأضرار والخسائر الناتجة عن صعوبات في التخزين أو التأخير أو عدم القدرة على الوصول  إلى الأسواق</t>
  </si>
  <si>
    <t>Lack of demand from usual buyers/traders</t>
  </si>
  <si>
    <t>قلة الطلب من التجار أو المشترين المعتادين</t>
  </si>
  <si>
    <t xml:space="preserve">Payment delays from traders/buyers </t>
  </si>
  <si>
    <t xml:space="preserve">تأخر المدفوعات من التجار و المشترين </t>
  </si>
  <si>
    <t>low_prices</t>
  </si>
  <si>
    <t>Difficulties processing product [lack of access to processing inputs / equipment / etc]</t>
  </si>
  <si>
    <t>صعوبات في معالجة المنتج [تعثر الوصول إلى مدخلات المعالجة / المعدات / إلخ]</t>
  </si>
  <si>
    <t>Market flooded with product</t>
  </si>
  <si>
    <t xml:space="preserve">آخر </t>
  </si>
  <si>
    <t>frequency</t>
  </si>
  <si>
    <t>Rarely (1-2 times in the past 30 days)</t>
  </si>
  <si>
    <t>نادرًا (مرة إلى مرتين في الثلاثين يومًا الماضية)</t>
  </si>
  <si>
    <t>Sometimes (3-10 times in the past 30 days)</t>
  </si>
  <si>
    <t>في بعض الأحيان (3-10 مرات في الثلاثين يومًا الماضية)</t>
  </si>
  <si>
    <t>Often (more than 10 times in the last 30 days)</t>
  </si>
  <si>
    <t>في كثير من الأحيان (أكثر من 10 مرات في آخر 30 يومًا)</t>
  </si>
  <si>
    <t xml:space="preserve">Don't know </t>
  </si>
  <si>
    <t>coping</t>
  </si>
  <si>
    <t>No - because it wasn’t necessary</t>
  </si>
  <si>
    <t>لا - لأنه لم يكن ذلك ضرورياً</t>
  </si>
  <si>
    <t>No - because you already sold those assets or did this activity within the last 12 months and you cannot continue to do it</t>
  </si>
  <si>
    <t>لا - لأننا بعنا تلك الأصول من قبل أو لجأنا إلى هذه الإستراتيجية خلال الـ 12 شهرًا الماضية ولا يمكننا الاستمرار في القيام بذلك</t>
  </si>
  <si>
    <t>Not applicable</t>
  </si>
  <si>
    <t>لا ينطبق</t>
  </si>
  <si>
    <t>needs</t>
  </si>
  <si>
    <t>food</t>
  </si>
  <si>
    <t>Food</t>
  </si>
  <si>
    <t>الطعام</t>
  </si>
  <si>
    <t>cash</t>
  </si>
  <si>
    <t>Cash</t>
  </si>
  <si>
    <t xml:space="preserve">المساعدة النقدية </t>
  </si>
  <si>
    <t>vouchers_fair</t>
  </si>
  <si>
    <t>Vouchers or input trade fairs</t>
  </si>
  <si>
    <t xml:space="preserve">قسائم المشتريات </t>
  </si>
  <si>
    <t>crop_inputs</t>
  </si>
  <si>
    <t>Inputs for crop and/or vegetable production [e.g. seeds, fertilizer, tools]</t>
  </si>
  <si>
    <t xml:space="preserve">مدخلات انتاج المحاصيل و الخضروات [على سبيل المثال البذور و الاسمدة و المعدات] </t>
  </si>
  <si>
    <t>crop_infrastructure</t>
  </si>
  <si>
    <t>Infrastructure for crop and/or vegetable production [e.g. irrigation, canal rehabilitation, pumps]</t>
  </si>
  <si>
    <t>البنية التحتية لانتاج المحاصيل و الخضروات [على سبيل المثال الري، اعادة تأهيل قنوات الري و المضخات]</t>
  </si>
  <si>
    <t>crop_knowledge</t>
  </si>
  <si>
    <t>Training &amp; technical knowledge/advice for crop production</t>
  </si>
  <si>
    <t xml:space="preserve">التدريبات المهنية و المعرفة / النصائح التقنية لإنتاج المحاصيل </t>
  </si>
  <si>
    <t>Livestock feed [fodder or supplementary feed]</t>
  </si>
  <si>
    <t>أعلاف أو متممات عذائية</t>
  </si>
  <si>
    <t>ls_vet_service</t>
  </si>
  <si>
    <t>Veterinary services [e.g. vaccination, dips, deworming]</t>
  </si>
  <si>
    <t>الخدمات البيطرية [على سبيل المثال التطعيم والتخلص من الديدان]</t>
  </si>
  <si>
    <t>ls_infrastructure</t>
  </si>
  <si>
    <t>Infrastructure for livestock [e.g. water points, transhumance corridors, shelter, health points]</t>
  </si>
  <si>
    <t>البنية التحتية لانتاج الماشية [على سبيل المثال نقاط المياه ، ممرات التنقل الرعوي ، المأوى ، النقاط الصحية]</t>
  </si>
  <si>
    <t>ls_knowledge</t>
  </si>
  <si>
    <t>Training &amp; technical knowledge/advice for livestock production</t>
  </si>
  <si>
    <t xml:space="preserve">التدريبات المهنية و المعرفة / النصائح التقنية لانتاج الماشية </t>
  </si>
  <si>
    <t>fish_inputs</t>
  </si>
  <si>
    <t>Inputs for fishing or aquaculture production</t>
  </si>
  <si>
    <t xml:space="preserve"> المدخلات لانتاج الاسماك و تربية الاحياء المائية</t>
  </si>
  <si>
    <t>fish_infrastructure</t>
  </si>
  <si>
    <t>Infrastructure for fisheries or aquaculture production [e.g. rehabilitation of port; repair of ponds]</t>
  </si>
  <si>
    <t>البنية التحتية لانتاج مصايد الاسماك و تربية الاحياء المائية  [اعادة تأهيل الموانيء و اصلاح البرك علي سبيل المثال]</t>
  </si>
  <si>
    <t>fish_knowledge</t>
  </si>
  <si>
    <t>Training &amp; technical knowledge/advice for fisheries or aquaculture production</t>
  </si>
  <si>
    <t>التدريبات المهنية و المعرفة / النصائح التقنية لانتاج مصايد الاسماك و تربية الاحياء المائية</t>
  </si>
  <si>
    <t>env_infra_rehab</t>
  </si>
  <si>
    <t>Environmental or infrastructure rehabilitation [community-wide]</t>
  </si>
  <si>
    <t xml:space="preserve">اعادة ترميم البنية التحتية و البيئية ( علي نطاق مجتمعي ) </t>
  </si>
  <si>
    <t>cold_storage</t>
  </si>
  <si>
    <t>Cold storage</t>
  </si>
  <si>
    <t>التخزين البارد</t>
  </si>
  <si>
    <t>marketing_supp</t>
  </si>
  <si>
    <t>Marketing or sales support [e.g. public procurement]</t>
  </si>
  <si>
    <t>دعم المبيعات أو التسويق [المشتريات العامة علي سبيل المثال]</t>
  </si>
  <si>
    <t>needreceived</t>
  </si>
  <si>
    <t>الغذاء</t>
  </si>
  <si>
    <t xml:space="preserve">Cash </t>
  </si>
  <si>
    <t xml:space="preserve">مساعدة نقدية </t>
  </si>
  <si>
    <t>Vouchers/input trade fairs</t>
  </si>
  <si>
    <t>قسائم المشتريات</t>
  </si>
  <si>
    <t>crop_assist</t>
  </si>
  <si>
    <t>Crop and/or vegetable production assistance</t>
  </si>
  <si>
    <t>مساعدة لانتاج المحاصيل و الخضروات</t>
  </si>
  <si>
    <t>ls_assist</t>
  </si>
  <si>
    <t>Livestock assistance</t>
  </si>
  <si>
    <t xml:space="preserve">مساعدة لانتاج الماشية </t>
  </si>
  <si>
    <t>fish_assist</t>
  </si>
  <si>
    <t>Fisheries and/or aquaculture assistance</t>
  </si>
  <si>
    <t xml:space="preserve">مساعدة لانتاج مصايد الاسماك و تربية الاحياء المائية </t>
  </si>
  <si>
    <t>rehabilitation</t>
  </si>
  <si>
    <t xml:space="preserve">اعادة تأهيل البنية التحتية و البيئية علي نطاق مجتمعي </t>
  </si>
  <si>
    <t>sales_support</t>
  </si>
  <si>
    <t>دعم المبيعات أو التسويق [المشتريات العامة على سبيل المثال]</t>
  </si>
  <si>
    <t>No assistance received</t>
  </si>
  <si>
    <t>لم تتلق المساعدة</t>
  </si>
  <si>
    <t>assist_quality</t>
  </si>
  <si>
    <t>No - not received on time</t>
  </si>
  <si>
    <t>لا - لم يتم استلامها في الوقت المحدد</t>
  </si>
  <si>
    <t>No - did not meet my needs</t>
  </si>
  <si>
    <t>لا - لم تلبي احتياجاتي</t>
  </si>
  <si>
    <t>No - quantity was not sufficient</t>
  </si>
  <si>
    <t>لا - الكمية لم تكن كافية</t>
  </si>
  <si>
    <t>No - there was a problem with the provider</t>
  </si>
  <si>
    <t>لا - حدثت مشكلة مع المزود</t>
  </si>
  <si>
    <t>No - there was a malfunction of the in-kind assistance provided [e.g. poor quality tools]</t>
  </si>
  <si>
    <t>لا - حدث خلل في المساعدة العينية المقدمة [على سبيل المثال أدوات ذات جودة رديئة]</t>
  </si>
  <si>
    <t>provider</t>
  </si>
  <si>
    <t>fao</t>
  </si>
  <si>
    <t>FAO</t>
  </si>
  <si>
    <t>منطمة الاغذية و الزراعة للأمم المتحدة  FAO</t>
  </si>
  <si>
    <t>wfp</t>
  </si>
  <si>
    <t>WFP</t>
  </si>
  <si>
    <t>برنامج الغذاء العالمي WFP</t>
  </si>
  <si>
    <t>otherun</t>
  </si>
  <si>
    <t>Other UN agencies</t>
  </si>
  <si>
    <t>منظمات أخرى تابعة للامم المتحدة</t>
  </si>
  <si>
    <t>Government</t>
  </si>
  <si>
    <t>جهات حكومية</t>
  </si>
  <si>
    <t>Non-governmental/local organization</t>
  </si>
  <si>
    <t xml:space="preserve">منظمة محلية / غير حكومية </t>
  </si>
  <si>
    <t>Other (specify)</t>
  </si>
  <si>
    <t>آخر (حدد)</t>
  </si>
  <si>
    <t>week</t>
  </si>
  <si>
    <t>mon</t>
  </si>
  <si>
    <t>Monday</t>
  </si>
  <si>
    <t>الاثنين</t>
  </si>
  <si>
    <t>tues</t>
  </si>
  <si>
    <t>Tuesday</t>
  </si>
  <si>
    <t>الثلاثاء</t>
  </si>
  <si>
    <t>wed</t>
  </si>
  <si>
    <t>Wednesday</t>
  </si>
  <si>
    <t>الأربعاء</t>
  </si>
  <si>
    <t>thurs</t>
  </si>
  <si>
    <t>Thursday</t>
  </si>
  <si>
    <t>الخميس</t>
  </si>
  <si>
    <t>fri</t>
  </si>
  <si>
    <t>Friday</t>
  </si>
  <si>
    <t>الجمعة</t>
  </si>
  <si>
    <t>sat</t>
  </si>
  <si>
    <t>Saturday</t>
  </si>
  <si>
    <t>السبت</t>
  </si>
  <si>
    <t>sun</t>
  </si>
  <si>
    <t>Sunday</t>
  </si>
  <si>
    <t>الأحد</t>
  </si>
  <si>
    <t>morn</t>
  </si>
  <si>
    <t>Mornings</t>
  </si>
  <si>
    <t>الصباح</t>
  </si>
  <si>
    <t>aft</t>
  </si>
  <si>
    <t>Afternoons</t>
  </si>
  <si>
    <t>بعد الظهر</t>
  </si>
  <si>
    <t>eve</t>
  </si>
  <si>
    <t>Evenings</t>
  </si>
  <si>
    <t>المساء</t>
  </si>
  <si>
    <t>seeds_access_issue</t>
  </si>
  <si>
    <t>Seeds are not available in usual shops</t>
  </si>
  <si>
    <t>البذور غير متوفرة من المتاجر المعتادة أو التجار</t>
  </si>
  <si>
    <t>Seeds are available in limited quantities</t>
  </si>
  <si>
    <t>البذور متوفرة بكميات محدودة</t>
  </si>
  <si>
    <t>Seed varieties usually purchased are not available now</t>
  </si>
  <si>
    <t>نوع البذور الذي يتم شراؤها عادة غير متوفر الآن</t>
  </si>
  <si>
    <t>Prices of seeds are much higher than usual</t>
  </si>
  <si>
    <t>أسعار البذور أعلى بكثير من المعتاد</t>
  </si>
  <si>
    <t>Lack the financial capacity to purchase seeds</t>
  </si>
  <si>
    <t>عدم توفر القدرة المالية لشراء البذور</t>
  </si>
  <si>
    <t>No issue</t>
  </si>
  <si>
    <t>fertilizers_access_issue</t>
  </si>
  <si>
    <t>Fertilizers are not available in usual shops</t>
  </si>
  <si>
    <t>الاسمدة غير متوفرة من المتاجر المعتادة أو التجار</t>
  </si>
  <si>
    <t>Fertilizers are available in limited quantities</t>
  </si>
  <si>
    <t>الاسمدة متوفرة بكميات محدودة</t>
  </si>
  <si>
    <t>Fertilizer types usually purchased are not available now</t>
  </si>
  <si>
    <t>نوع الاسمدة الذي يتم شراؤها عادة غير متوفر الآن</t>
  </si>
  <si>
    <t>Prices of fertilizers are much higher than usual</t>
  </si>
  <si>
    <t>أسعار الاسمدة أعلى بكثير من المعتاد</t>
  </si>
  <si>
    <t>Lack the financial capacity to purchase fertilizers</t>
  </si>
  <si>
    <t xml:space="preserve">عدم توفر القدرة المالية لشراء الاسمدة </t>
  </si>
  <si>
    <t>feed_access_issue</t>
  </si>
  <si>
    <t xml:space="preserve">Animal feed is not available from usual shops or traders </t>
  </si>
  <si>
    <t>علف الحيوانات غير متوفر من المتاجر المعتادة أو التجار</t>
  </si>
  <si>
    <t xml:space="preserve">Animal feed is available in limited quantities </t>
  </si>
  <si>
    <t>علف الحيوانات متوفر بكميات محدودة</t>
  </si>
  <si>
    <t>Type of animal feed usually purchased is not available now</t>
  </si>
  <si>
    <t>نوع علف الحيوانات الذي يتم شراؤه عادة غير متوفر الآن</t>
  </si>
  <si>
    <t>Prices of animal feed are much higher than usual</t>
  </si>
  <si>
    <t>أسعار علف الحيوانات أعلى بكثير من المعتاد</t>
  </si>
  <si>
    <t>Lack the financial capacity to purchase animal feed</t>
  </si>
  <si>
    <t>عدم توفر القدرة المالية لشراء علف الحيوانات</t>
  </si>
  <si>
    <t>vet_access_issue</t>
  </si>
  <si>
    <t>Veterinary services and/or drugs are not available from usual service providers or shops</t>
  </si>
  <si>
    <t>لا تتوفر خدمات الصحة الحيوانية أو المدخلات البيطرية من مزودي الخدمات أو المحلات المعتادة</t>
  </si>
  <si>
    <t xml:space="preserve">Veterinary services and/or drugs are available in limited quantities </t>
  </si>
  <si>
    <t>خدمات الصحة الحيوانية متوفرة بكميات محدودة</t>
  </si>
  <si>
    <t>The types of veterinary services and/or drugs usually accessed are not available now</t>
  </si>
  <si>
    <t>أنواع خدمات الصحة الحيوانية التي يتم الوصول إليها عادة غير متوفرة الآن</t>
  </si>
  <si>
    <t>Prices of veterinary services and/or drugs are much higher than usual</t>
  </si>
  <si>
    <t>أسعار خدمات الصحة الحيوانية أعلى بكثير من المعتاد</t>
  </si>
  <si>
    <t>Lack the financial capacity to access veterinary services and/or drugs</t>
  </si>
  <si>
    <t>عدم توفر القدرة المالية للوصول إلى خدمات الصحة الحيوانية</t>
  </si>
  <si>
    <t>irrig_source_status</t>
  </si>
  <si>
    <t xml:space="preserve">Functional </t>
  </si>
  <si>
    <t>وظيفي (شغال)</t>
  </si>
  <si>
    <t xml:space="preserve">Partially functional </t>
  </si>
  <si>
    <t>وظيفي جزئيا (شغال جزئيا)</t>
  </si>
  <si>
    <t xml:space="preserve">Not functional </t>
  </si>
  <si>
    <t>غير وظيفي (غير شغال)</t>
  </si>
  <si>
    <t>prop_25</t>
  </si>
  <si>
    <t>a minor part (up to 25%)</t>
  </si>
  <si>
    <t>جزء صغير (حتى ٢٥ ٪)</t>
  </si>
  <si>
    <t>a moderate part (25 to 50%)</t>
  </si>
  <si>
    <t>جزء معتدل (٢٥ إلى ٥٠ ٪)</t>
  </si>
  <si>
    <t>a major part (50 to 75%)</t>
  </si>
  <si>
    <t>جزء كبير (٥٠ إلى ٧٥ ٪)</t>
  </si>
  <si>
    <t>massive part or total (over 75%)</t>
  </si>
  <si>
    <t>جزء كبير جداً أو إجمالي (أكثر من ٧٥ ٪)</t>
  </si>
  <si>
    <t>لا ينطبق (غير موجود/ة قبل الزلزال)</t>
  </si>
  <si>
    <t>prop_26</t>
  </si>
  <si>
    <t>labour_issue</t>
  </si>
  <si>
    <t>Work offer is insufficient due to interrupted agricultural production</t>
  </si>
  <si>
    <t>عرض العمل غير كافٍ بسبب توقف الإنتاج الزراعي</t>
  </si>
  <si>
    <t>Labour is insufficient due to population displacement</t>
  </si>
  <si>
    <t>العمالة غير كافية بسبب نزوح السكان</t>
  </si>
  <si>
    <t>Labour is insufficient due to workers not being able or willing to resume work</t>
  </si>
  <si>
    <t>العمالة غير كافية بسبب عدم قدرة العمال أو استعدادهم لاستئناف العمل</t>
  </si>
  <si>
    <t>Labour is insufficient as workers are seeking work in other sectors (for example debris management, reconstruction)</t>
  </si>
  <si>
    <t>العمالة غير كافية لأن العمال يبحثون عن عمل في قطاعات أخرى (على سبيل المثال التخلص من الأنقاض وإعادة الإعمار)</t>
  </si>
  <si>
    <t>agric_checktime</t>
  </si>
  <si>
    <t>1-3 months ago</t>
  </si>
  <si>
    <t>منذ 1-3 أشهر</t>
  </si>
  <si>
    <t>3-6 months ago</t>
  </si>
  <si>
    <t>منذ 3-6 أشهر</t>
  </si>
  <si>
    <t>6-12 months ago</t>
  </si>
  <si>
    <t>منذ 6-12 شهرًا</t>
  </si>
  <si>
    <t>More than 1 year ago</t>
  </si>
  <si>
    <t>منذ أكثر من عام</t>
  </si>
  <si>
    <t>reason_stop</t>
  </si>
  <si>
    <t xml:space="preserve">Lost/sold animals </t>
  </si>
  <si>
    <t>بيعت/فقدت الحيوانات</t>
  </si>
  <si>
    <t xml:space="preserve">Land no longer fit for cultivation </t>
  </si>
  <si>
    <t>لم تعد الأرض صالحة للزراعة</t>
  </si>
  <si>
    <t>Difficulty to access to agricultural land</t>
  </si>
  <si>
    <t>صعوبة في الوصول إلى الأراضي الزراعية</t>
  </si>
  <si>
    <t>Agricultural activities were not profitable anymore</t>
  </si>
  <si>
    <t>لم تعد الأنشطة الزراعية مربحة</t>
  </si>
  <si>
    <t>Involvement in other economic activities</t>
  </si>
  <si>
    <t xml:space="preserve">تعتمد الأسرة على أنشطة اقتصادية أخرى </t>
  </si>
  <si>
    <t xml:space="preserve">Agricultural land is used to host temporary shelter for displaced people </t>
  </si>
  <si>
    <t>تستخدم الأراضي الزراعية لاستضافة النازحين</t>
  </si>
  <si>
    <t>Household was displaced</t>
  </si>
  <si>
    <t>تم تهجير الأسرة</t>
  </si>
  <si>
    <t>agric_checkresume</t>
  </si>
  <si>
    <t xml:space="preserve">In 1-3 months </t>
  </si>
  <si>
    <t>في غضون 1-3 أشهر</t>
  </si>
  <si>
    <t>In 3-6 months</t>
  </si>
  <si>
    <t>في غضون 3-6 أشهر</t>
  </si>
  <si>
    <t>In 6-12 months</t>
  </si>
  <si>
    <t>في غضون 6-12 شهرًا</t>
  </si>
  <si>
    <t>After 1 year</t>
  </si>
  <si>
    <t>بعد عام</t>
  </si>
  <si>
    <t>change_reason</t>
  </si>
  <si>
    <t>Displacement</t>
  </si>
  <si>
    <t>التهجير</t>
  </si>
  <si>
    <t>Difficulty to access necessary inputs</t>
  </si>
  <si>
    <t>صعوبة الوصول إلى المدخلات اللازمة</t>
  </si>
  <si>
    <t>Difficulty to access to sufficient irrigation water</t>
  </si>
  <si>
    <t xml:space="preserve">صعوبة الوصول إلى كمية كافية من مياه ري </t>
  </si>
  <si>
    <t>Land cracks</t>
  </si>
  <si>
    <t>شقوق في الأرض</t>
  </si>
  <si>
    <t>Presence of debris and rubbles brought by the earthquake</t>
  </si>
  <si>
    <t>وجود الأنقاض التي سببها الزلزال</t>
  </si>
  <si>
    <t>Presence of debris and waste removed from constructions and stored on agricultural land since the earthquake</t>
  </si>
  <si>
    <t>وجود الأنقاض والنفايات التي تمت إزالتها من المنشآت والمخزنة على الأراضي الزراعية منذ وقوع الزلزال</t>
  </si>
  <si>
    <t>Agricultural land being used to host temporary shelter for people affected by the earthquake</t>
  </si>
  <si>
    <t>استخدام الأراضي الزراعية لاستضافة ملاجئ مؤقتة للمتضررين من الزلزال</t>
  </si>
  <si>
    <t>Landslides or land shifts</t>
  </si>
  <si>
    <t>الانهيارات الأرضية أو التحولات الأرضية</t>
  </si>
  <si>
    <t>Floods</t>
  </si>
  <si>
    <t>الفيضانات</t>
  </si>
  <si>
    <t>AreaPlantedcompare</t>
  </si>
  <si>
    <t>Drastically larger area this year (over 50%)</t>
  </si>
  <si>
    <t xml:space="preserve"> مساحة أكبر بشكل كبير هذا العام (أكثر من ٥٠ ٪)</t>
  </si>
  <si>
    <t>Significantly larger area this year (25% to 50%)</t>
  </si>
  <si>
    <t>مساحة أكبر بشكل ملحوظ هذا العام (٢٥ ٪ إلى ٥٠ ٪)</t>
  </si>
  <si>
    <t>Slightly larger area this year (up to 25%)  </t>
  </si>
  <si>
    <t>مساحة أكبر قليلاً هذا العام (حتى ٢٥ ٪)</t>
  </si>
  <si>
    <t>Same area </t>
  </si>
  <si>
    <t>نفس المساحة</t>
  </si>
  <si>
    <t>Slightly smaller area this year (up to 25%) </t>
  </si>
  <si>
    <t>مساحة أصغر قليلاً هذا العام (حتى ٢٥ ٪)</t>
  </si>
  <si>
    <t>Significantly smaller area this year (25 to 50%) </t>
  </si>
  <si>
    <t>مساحة أصغر بشكل ملحوظ هذا العام (٢٥ ٪ إلى ٥٠ ٪)</t>
  </si>
  <si>
    <t>Drastically smaller area this year (over 50%) </t>
  </si>
  <si>
    <t xml:space="preserve"> مساحة أصغر بشكل كبير هذا العام (أكثر من ٥٠ ٪)</t>
  </si>
  <si>
    <t>Refused </t>
  </si>
  <si>
    <t>Yes, grain and oil crops</t>
  </si>
  <si>
    <t>نعم، الحبوب والمحاصيل الزيتية</t>
  </si>
  <si>
    <t>Yes, vegetables and annual fruit crops</t>
  </si>
  <si>
    <t>نعم، الخضار والفواكه السنوية</t>
  </si>
  <si>
    <t>Yes, perennial fruits</t>
  </si>
  <si>
    <t xml:space="preserve">نعم، المحاصيل المعمرة </t>
  </si>
  <si>
    <t>Yes, pulses</t>
  </si>
  <si>
    <t>نعم، البقول</t>
  </si>
  <si>
    <t>Yes, tubers and root crops</t>
  </si>
  <si>
    <t>نعم، الدرنات والمحاصيل الجذرية</t>
  </si>
  <si>
    <t>Don't know </t>
  </si>
  <si>
    <t>harvest</t>
  </si>
  <si>
    <t>Harvest drastically higher this year than usual (over 50%)</t>
  </si>
  <si>
    <t xml:space="preserve"> حصاد أكبر بشكل كبير هذا العام (أكثر من ٥٠ ٪)</t>
  </si>
  <si>
    <t>Harvest significantly higher this year than usual (25% to 50%)</t>
  </si>
  <si>
    <t>حصاد أكبر بشكل ملحوظ هذا العام (٢٥ ٪ إلى ٥٠ ٪)</t>
  </si>
  <si>
    <t xml:space="preserve">Harvest slightly higher this year than usual (up to 25%) </t>
  </si>
  <si>
    <t>حصاد أكبر قليلاً هذا العام (حتى ٢٥ ٪)</t>
  </si>
  <si>
    <t>Similar harvest as usual</t>
  </si>
  <si>
    <t>نفس الحصاد كالمعتاد</t>
  </si>
  <si>
    <t>Harvest slightly lower this year than usual (up to 25%)</t>
  </si>
  <si>
    <t>حصاد أصغر قليلاً هذا العام (حتى ٢٥ ٪)</t>
  </si>
  <si>
    <t>Harvest significantly lower this year than usual (25 to 50%)</t>
  </si>
  <si>
    <t>حصاد أصغر بشكل ملحوظ هذا العام (٢٥ ٪ إلى ٥٠ ٪)</t>
  </si>
  <si>
    <t>Harvest drastically lower this year than usual (over 50%)</t>
  </si>
  <si>
    <t xml:space="preserve"> حصاد أصغر بشكل كبير هذا العام (أكثر من ٥٠ ٪)</t>
  </si>
  <si>
    <t>lidiff</t>
  </si>
  <si>
    <t>Outbreak of diseases</t>
  </si>
  <si>
    <t>تفشي الأمراض</t>
  </si>
  <si>
    <t>Difficulty to access feed</t>
  </si>
  <si>
    <t>صعوبة الوصول إلى علف الحيوانات</t>
  </si>
  <si>
    <t xml:space="preserve">Constrained access to pasture </t>
  </si>
  <si>
    <t>صعوبة الوصول إلى المراعي</t>
  </si>
  <si>
    <t>Insufficient pasture</t>
  </si>
  <si>
    <t xml:space="preserve"> المراعي الغير الكافية</t>
  </si>
  <si>
    <t>Constrained access to water</t>
  </si>
  <si>
    <t>صعوبة الوصول إلى المياه</t>
  </si>
  <si>
    <t>Lack of/insufficient shelter for animals</t>
  </si>
  <si>
    <t>عدم وجود / عدم كفاية حظائر الحيوانات</t>
  </si>
  <si>
    <t>Difficulty to access veterinary services / medicines</t>
  </si>
  <si>
    <t>صعوبة الوصول إلى الخدمات البيطرية / الأدوية</t>
  </si>
  <si>
    <t>Difficulty to access fuel for transportation</t>
  </si>
  <si>
    <t>صعوبة الوصول إلى الوقود للمواصلات</t>
  </si>
  <si>
    <t>Difficulty to access fuel or electricity to power equipment</t>
  </si>
  <si>
    <t xml:space="preserve">صعوبة الوصول إلى الوقود أو الكهرباء لتشغيل المعدات </t>
  </si>
  <si>
    <t>Difficulty to access necessary machinery or equipment</t>
  </si>
  <si>
    <t>صعوبة الوصول إلى الآلات أو المعدات اللازمة</t>
  </si>
  <si>
    <t>Difficulty to access manpower labour</t>
  </si>
  <si>
    <t>صعوبة الوصول إلى اليد العاملة</t>
  </si>
  <si>
    <t>Lack of/Insufficient storage spaces</t>
  </si>
  <si>
    <t>نقص / عدم كفاية مساحات التخزين</t>
  </si>
  <si>
    <t>Household displaced</t>
  </si>
  <si>
    <t>نزوح الأسرة</t>
  </si>
  <si>
    <t>Lack of time or will of household to continue keeping animals</t>
  </si>
  <si>
    <t>ضيق الوقت أو عدم توفر الإرادة لمواصلة تربية الحيوانات</t>
  </si>
  <si>
    <t>Difficulty to access market or traders to sell production</t>
  </si>
  <si>
    <t xml:space="preserve">صعوبة الوصول إلى السوق أو التجار لبيع الإنتاج </t>
  </si>
  <si>
    <t>Low benefits from the sale of products (production costs too high or sale prices too low)</t>
  </si>
  <si>
    <t>عوائد منخفضة من بيع المنتجات (تكاليف الإنتاج مرتفعة للغاية أو أسعار البيع منخفضة للغاية)</t>
  </si>
  <si>
    <t>Death of animals or destruction of assets (machines, equipment, infrastructure, etc.) as a result of the conflict</t>
  </si>
  <si>
    <t>موت الحيوانات أو تدمير الأصول (الآلات والمعدات والبنية التحتية ، إلخ.) نتيجة النزاع</t>
  </si>
  <si>
    <t>Theft</t>
  </si>
  <si>
    <t>السرقة</t>
  </si>
  <si>
    <t>Do not expect to face unusual difficulties</t>
  </si>
  <si>
    <t>لا اتوقع أن أواجه صعوبات غير عادية</t>
  </si>
  <si>
    <t xml:space="preserve">Other (specify) </t>
  </si>
  <si>
    <t>asset_status</t>
  </si>
  <si>
    <t>Damaged and not repaired</t>
  </si>
  <si>
    <t>تضررت ولم يتم إصلاحها</t>
  </si>
  <si>
    <t>Damaged and partially/temporarily repaired</t>
  </si>
  <si>
    <t>تضررت و تم إصلاحها جزئيًا / مؤقتًا</t>
  </si>
  <si>
    <t>Damaged and fully repaired</t>
  </si>
  <si>
    <t>تضررت و تم إصلاحها بالكامل</t>
  </si>
  <si>
    <t>Destroyed and not replaced</t>
  </si>
  <si>
    <t>دمرت ولم تستبدل</t>
  </si>
  <si>
    <t>Destroyed and partially/temporarily replaced</t>
  </si>
  <si>
    <t>دمرت و تم استبدالها جزئيًا / مؤقتًا</t>
  </si>
  <si>
    <t>Destroyed and fully replaced</t>
  </si>
  <si>
    <t>دمرت و تم استبدالها بالكامل</t>
  </si>
  <si>
    <t>Don’t know</t>
  </si>
  <si>
    <t>input_status</t>
  </si>
  <si>
    <t>Damaged and not replaced</t>
  </si>
  <si>
    <t>تضررت ولم تستبدل</t>
  </si>
  <si>
    <t>Damaged and partially/temporarily replaced</t>
  </si>
  <si>
    <t>تضررت و تم استبدالها جزئيًا / مؤقتًا</t>
  </si>
  <si>
    <t>Damaged and fully replaced</t>
  </si>
  <si>
    <t>تضررت و تم استبدالها بالكامل</t>
  </si>
  <si>
    <t>sourceelec</t>
  </si>
  <si>
    <t>No electricity in household</t>
  </si>
  <si>
    <t>لا كهرباء في المنزل</t>
  </si>
  <si>
    <t>Turkish grid connection</t>
  </si>
  <si>
    <t>شبكة الكهرباء التركية</t>
  </si>
  <si>
    <t>Local mini grid</t>
  </si>
  <si>
    <t>شبكة كهرباء صغيرة محلية</t>
  </si>
  <si>
    <t>Solar home system</t>
  </si>
  <si>
    <t>نظام الطاقة الشمسية المنزلية</t>
  </si>
  <si>
    <t>Diesel generator</t>
  </si>
  <si>
    <t>مولد ديزل</t>
  </si>
  <si>
    <t>Rechargeable battery</t>
  </si>
  <si>
    <t>بطارية قابلة لإعادة الشحن</t>
  </si>
  <si>
    <t>Dry cell battery</t>
  </si>
  <si>
    <t>بطارية خلية جافة</t>
  </si>
  <si>
    <t>sourceelec2</t>
  </si>
  <si>
    <t>None</t>
  </si>
  <si>
    <t>لا يوجد مصدر ثانٍ</t>
  </si>
  <si>
    <t>cropdiff</t>
  </si>
  <si>
    <t>Outbreak of pests or diseases</t>
  </si>
  <si>
    <t>تفشي الآفات أو الأمراض</t>
  </si>
  <si>
    <t>Bad weather (drought, heavy rains, hail, frost...)</t>
  </si>
  <si>
    <t>سوء الأحوال الجوية (جفاف ، أمطار غزيرة ، بَرَد ، صقيع ...)</t>
  </si>
  <si>
    <t>Difficulty to access seeds</t>
  </si>
  <si>
    <t>صعوبة الوصول إلى البذور</t>
  </si>
  <si>
    <t>Difficulty to access fertilizers or pesticides</t>
  </si>
  <si>
    <t>صعوبة الوصول إلى الأسمدة أو المبيدات</t>
  </si>
  <si>
    <t xml:space="preserve"> Constrained access to land </t>
  </si>
  <si>
    <t xml:space="preserve">صعوبة الوصول إلى الأرض للزراعة </t>
  </si>
  <si>
    <t>Land unfit for cultivation</t>
  </si>
  <si>
    <t>أرض غير صالحة للزراعة</t>
  </si>
  <si>
    <t>Constrained access to water for irrigation</t>
  </si>
  <si>
    <t>صعوبة الوصول إلى المياه للري</t>
  </si>
  <si>
    <t>Lack of time or will of household to continue producing crops</t>
  </si>
  <si>
    <t>ضيق الوقت أو عدم توفر الإرادة لمواصلة إنتاج المحاصيل</t>
  </si>
  <si>
    <t>Destruction of production assets (machines, equipment, irrigation infrastructure, etc.) as a result of the conflict</t>
  </si>
  <si>
    <t>تدمير الأصول (الآلات والمعدات والبنية التحتية للري ، إلخ.) نتيجة النزاع</t>
  </si>
  <si>
    <t>Don't expect to face unusual difficulties</t>
  </si>
  <si>
    <t>processdiff</t>
  </si>
  <si>
    <t>Lack of/Insufficient refrigeration facilities</t>
  </si>
  <si>
    <t>نقص / عدم كفاية مرافق التبريد</t>
  </si>
  <si>
    <t>Lower yields than usual</t>
  </si>
  <si>
    <t>عوائد أقل من المعتاد</t>
  </si>
  <si>
    <t>Storage facility</t>
  </si>
  <si>
    <t>منشأة تخزين</t>
  </si>
  <si>
    <t>Greenhouses</t>
  </si>
  <si>
    <t>البيوت البلاستيكية</t>
  </si>
  <si>
    <t>Tools and Equipment (e.g. trough...)</t>
  </si>
  <si>
    <t>الأدوات والمعدات (مثل الحوض الصغير ...)</t>
  </si>
  <si>
    <t>Machinery (e.g. tractor, combine harvester...)</t>
  </si>
  <si>
    <t>الآلات (مثل الجرارات ، والحصادات ...)</t>
  </si>
  <si>
    <t>Irrigation</t>
  </si>
  <si>
    <t>الري</t>
  </si>
  <si>
    <t>Other infrastructure</t>
  </si>
  <si>
    <t>البنية التحتية الأخرى</t>
  </si>
  <si>
    <t>Stored products</t>
  </si>
  <si>
    <t>المنتجات المخزنة</t>
  </si>
  <si>
    <t>Inputs (seeds, fertilizers etc.)</t>
  </si>
  <si>
    <t>المدخلات (البذور ، الأسمدة ، إلخ)</t>
  </si>
  <si>
    <t>No asset damaged</t>
  </si>
  <si>
    <t>لا يوجد أصل تالف</t>
  </si>
  <si>
    <t>منشأة تخزين/مستودعات علف</t>
  </si>
  <si>
    <t>Livestock pens/holdings</t>
  </si>
  <si>
    <t>حظائر الحيوانات</t>
  </si>
  <si>
    <t>Tools and Equipment</t>
  </si>
  <si>
    <t>الادوات و المعدات</t>
  </si>
  <si>
    <t>Machinery</t>
  </si>
  <si>
    <t xml:space="preserve"> الآلات والمعدات (مثل الجرارات وآلات الحلب/الحلابة وما إلى ذلك)</t>
  </si>
  <si>
    <t>Veterinary supplies</t>
  </si>
  <si>
    <t xml:space="preserve"> المدخلات البيطرية (الأدوية ، إلخ)</t>
  </si>
  <si>
    <t>Infrastructure</t>
  </si>
  <si>
    <t>بنية تحتية</t>
  </si>
  <si>
    <t>Inputs (e.g. animal feed, etc.)</t>
  </si>
  <si>
    <t>المدخلات (مثل علف الحيوانات ، إلخ)</t>
  </si>
  <si>
    <t>Fish ponds</t>
  </si>
  <si>
    <t>احواض السمك</t>
  </si>
  <si>
    <t>آلات</t>
  </si>
  <si>
    <t>المستلزمات البيطرية</t>
  </si>
  <si>
    <t>Infrastructure (e.g. refrigerators)</t>
  </si>
  <si>
    <t>البنية التحتية (مثل الثلاجات)</t>
  </si>
  <si>
    <t>admin1</t>
  </si>
  <si>
    <t>SY02</t>
  </si>
  <si>
    <t>Aleppo</t>
  </si>
  <si>
    <t>حلب</t>
  </si>
  <si>
    <t>SY07</t>
  </si>
  <si>
    <t>Idleb</t>
  </si>
  <si>
    <t>إدلب</t>
  </si>
  <si>
    <t>admin2</t>
  </si>
  <si>
    <t>SY0200</t>
  </si>
  <si>
    <t>Jebel Saman</t>
  </si>
  <si>
    <t>جبل سمعان</t>
  </si>
  <si>
    <t>SY0202</t>
  </si>
  <si>
    <t>Al Bab</t>
  </si>
  <si>
    <t>الباب</t>
  </si>
  <si>
    <t>SY0203</t>
  </si>
  <si>
    <t>Afrin</t>
  </si>
  <si>
    <t>عفرين</t>
  </si>
  <si>
    <t>SY0204</t>
  </si>
  <si>
    <t>Azaz</t>
  </si>
  <si>
    <t>اعزاز</t>
  </si>
  <si>
    <t>SY0208</t>
  </si>
  <si>
    <t>Jarablus</t>
  </si>
  <si>
    <t>جرابلس</t>
  </si>
  <si>
    <t>SY0700</t>
  </si>
  <si>
    <t>مركز إدلب</t>
  </si>
  <si>
    <t>SY0703</t>
  </si>
  <si>
    <t>Harim</t>
  </si>
  <si>
    <t>حارم</t>
  </si>
  <si>
    <t>admin3</t>
  </si>
  <si>
    <t>SY020001</t>
  </si>
  <si>
    <t>Atareb</t>
  </si>
  <si>
    <t>أتارب</t>
  </si>
  <si>
    <t>SY020200</t>
  </si>
  <si>
    <t>مركز الباب</t>
  </si>
  <si>
    <t>SY020203</t>
  </si>
  <si>
    <t>Ar-Ra'ee</t>
  </si>
  <si>
    <t>الراعي</t>
  </si>
  <si>
    <t>SY020300</t>
  </si>
  <si>
    <t>مركز عفرين</t>
  </si>
  <si>
    <t>SY020301</t>
  </si>
  <si>
    <t>Bulbul</t>
  </si>
  <si>
    <t>بلبل</t>
  </si>
  <si>
    <t>SY020302</t>
  </si>
  <si>
    <t>Jandairis</t>
  </si>
  <si>
    <t>جنديرس</t>
  </si>
  <si>
    <t>SY020303</t>
  </si>
  <si>
    <t>Raju</t>
  </si>
  <si>
    <t>راجو</t>
  </si>
  <si>
    <t>SY020305</t>
  </si>
  <si>
    <t>Sheikh El-Hadid</t>
  </si>
  <si>
    <t>شيخ الحديد</t>
  </si>
  <si>
    <t>SY020306</t>
  </si>
  <si>
    <t>Ma'btali</t>
  </si>
  <si>
    <t>معبطلي</t>
  </si>
  <si>
    <t>SY020401</t>
  </si>
  <si>
    <t>Aghtrin</t>
  </si>
  <si>
    <t>اخترين</t>
  </si>
  <si>
    <t>SY020403</t>
  </si>
  <si>
    <t>Mare'</t>
  </si>
  <si>
    <t>مارع</t>
  </si>
  <si>
    <t>SY020405</t>
  </si>
  <si>
    <t>Suran</t>
  </si>
  <si>
    <t>صوران</t>
  </si>
  <si>
    <t>SY020800</t>
  </si>
  <si>
    <t>مركز جرابلس</t>
  </si>
  <si>
    <t>SY070000</t>
  </si>
  <si>
    <t>SY070300</t>
  </si>
  <si>
    <t>مركز حارم</t>
  </si>
  <si>
    <t>SY070301</t>
  </si>
  <si>
    <t>Dana</t>
  </si>
  <si>
    <t>دانا</t>
  </si>
  <si>
    <t>SY070302</t>
  </si>
  <si>
    <t>Salqin</t>
  </si>
  <si>
    <t>سلقين</t>
  </si>
  <si>
    <t>admin4</t>
  </si>
  <si>
    <t>C1020</t>
  </si>
  <si>
    <t>Tuwama</t>
  </si>
  <si>
    <t>التوامة</t>
  </si>
  <si>
    <t>C1022</t>
  </si>
  <si>
    <t>الأتارب</t>
  </si>
  <si>
    <t>C1023</t>
  </si>
  <si>
    <t>Sahara</t>
  </si>
  <si>
    <t>السحارة</t>
  </si>
  <si>
    <t>C1024</t>
  </si>
  <si>
    <t>Oweijel</t>
  </si>
  <si>
    <t>عويجل</t>
  </si>
  <si>
    <t>C1025</t>
  </si>
  <si>
    <t>Batbu</t>
  </si>
  <si>
    <t>باتبو</t>
  </si>
  <si>
    <t>C1026</t>
  </si>
  <si>
    <t>Abin Samaan</t>
  </si>
  <si>
    <t>ابين سمعان</t>
  </si>
  <si>
    <t>C1027</t>
  </si>
  <si>
    <t>Little Orm</t>
  </si>
  <si>
    <t>أورم الصغرى</t>
  </si>
  <si>
    <t>C1029</t>
  </si>
  <si>
    <t>Big Orm</t>
  </si>
  <si>
    <t>أورم الكبرى</t>
  </si>
  <si>
    <t>C1031</t>
  </si>
  <si>
    <t>Sheikh Ali</t>
  </si>
  <si>
    <t>الشيخ علي</t>
  </si>
  <si>
    <t>C1033</t>
  </si>
  <si>
    <t>Kafr Amma</t>
  </si>
  <si>
    <t>كفر عمة</t>
  </si>
  <si>
    <t>C1035</t>
  </si>
  <si>
    <t>Kafr Karmin</t>
  </si>
  <si>
    <t>كفر كرمين</t>
  </si>
  <si>
    <t>C1037</t>
  </si>
  <si>
    <t>Kafr Taal</t>
  </si>
  <si>
    <t>كفر تعال</t>
  </si>
  <si>
    <t>C1038</t>
  </si>
  <si>
    <t>Maaret Atarib</t>
  </si>
  <si>
    <t>معارة اتارب</t>
  </si>
  <si>
    <t>C1039</t>
  </si>
  <si>
    <t>Kafr Aleppo</t>
  </si>
  <si>
    <t>كفر حلب</t>
  </si>
  <si>
    <t>C1040</t>
  </si>
  <si>
    <t>Western Kafr Jum</t>
  </si>
  <si>
    <t>كفر جوم غربية</t>
  </si>
  <si>
    <t>C6424</t>
  </si>
  <si>
    <t>Halazon</t>
  </si>
  <si>
    <t>الحلزون</t>
  </si>
  <si>
    <t>C6679</t>
  </si>
  <si>
    <t>Mezanaz</t>
  </si>
  <si>
    <t>ميزناز</t>
  </si>
  <si>
    <t>C7348</t>
  </si>
  <si>
    <t>Al Radwan</t>
  </si>
  <si>
    <t>الرضوان</t>
  </si>
  <si>
    <t>C7359</t>
  </si>
  <si>
    <t>Jamiyat al Rahal</t>
  </si>
  <si>
    <t>جمعية الرحال</t>
  </si>
  <si>
    <t>C8065</t>
  </si>
  <si>
    <t>Jameyt Al-Arman</t>
  </si>
  <si>
    <t>جمعية الأرمن</t>
  </si>
  <si>
    <t>C1041</t>
  </si>
  <si>
    <t>Kafr Noran</t>
  </si>
  <si>
    <t>كفر نوران</t>
  </si>
  <si>
    <t>C1036</t>
  </si>
  <si>
    <t>Kafr Naseh Elatareb</t>
  </si>
  <si>
    <t>كفر ناصح الاتارب</t>
  </si>
  <si>
    <t>C1028</t>
  </si>
  <si>
    <t>Tadil</t>
  </si>
  <si>
    <t>تديل</t>
  </si>
  <si>
    <t>C1019</t>
  </si>
  <si>
    <t>Qanater</t>
  </si>
  <si>
    <t>القناطر</t>
  </si>
  <si>
    <t>C1021</t>
  </si>
  <si>
    <t>Babka</t>
  </si>
  <si>
    <t>بابكة</t>
  </si>
  <si>
    <t>C1030</t>
  </si>
  <si>
    <t>Abzemo</t>
  </si>
  <si>
    <t>الابزمو</t>
  </si>
  <si>
    <t>C1032</t>
  </si>
  <si>
    <t>Jeineh</t>
  </si>
  <si>
    <t>الجينة</t>
  </si>
  <si>
    <t>C1034</t>
  </si>
  <si>
    <t>Kafr Naha</t>
  </si>
  <si>
    <t>كفر ناها</t>
  </si>
  <si>
    <t>C6680</t>
  </si>
  <si>
    <t>Arnaz</t>
  </si>
  <si>
    <t>أرناز</t>
  </si>
  <si>
    <t>C6753</t>
  </si>
  <si>
    <t>Ajel</t>
  </si>
  <si>
    <t>عاجل</t>
  </si>
  <si>
    <t>C1194</t>
  </si>
  <si>
    <t>Aabad</t>
  </si>
  <si>
    <t>اعبد</t>
  </si>
  <si>
    <t>C8126</t>
  </si>
  <si>
    <t>Abu Zendin</t>
  </si>
  <si>
    <t>أبو الزندين</t>
  </si>
  <si>
    <t>C7466</t>
  </si>
  <si>
    <t>Al Azraq</t>
  </si>
  <si>
    <t>الازرق</t>
  </si>
  <si>
    <t>C1202</t>
  </si>
  <si>
    <t>C8108</t>
  </si>
  <si>
    <t>Al Dourea</t>
  </si>
  <si>
    <t>الدرعية</t>
  </si>
  <si>
    <t>C7468</t>
  </si>
  <si>
    <t>Al Khashkashat</t>
  </si>
  <si>
    <t>الخشخشات</t>
  </si>
  <si>
    <t>C7484</t>
  </si>
  <si>
    <t>Ash Sharqiyat</t>
  </si>
  <si>
    <t>شرقيات</t>
  </si>
  <si>
    <t>C1188</t>
  </si>
  <si>
    <t>Bazagha</t>
  </si>
  <si>
    <t>بزاعة</t>
  </si>
  <si>
    <t>C1203</t>
  </si>
  <si>
    <t>Big Sarja</t>
  </si>
  <si>
    <t>سرجة كبيرة</t>
  </si>
  <si>
    <t>C1192</t>
  </si>
  <si>
    <t>Borj</t>
  </si>
  <si>
    <t>البرج</t>
  </si>
  <si>
    <t>C8149</t>
  </si>
  <si>
    <t>Brat</t>
  </si>
  <si>
    <t>برات</t>
  </si>
  <si>
    <t>C8154</t>
  </si>
  <si>
    <t>C7446</t>
  </si>
  <si>
    <t>Darkale</t>
  </si>
  <si>
    <t>الداكرلي</t>
  </si>
  <si>
    <t>C7456</t>
  </si>
  <si>
    <t>Dayr Antah</t>
  </si>
  <si>
    <t>دير انطة</t>
  </si>
  <si>
    <t>C8132</t>
  </si>
  <si>
    <t>Ghuz</t>
  </si>
  <si>
    <t>غوز</t>
  </si>
  <si>
    <t>C1198</t>
  </si>
  <si>
    <t>Hadath</t>
  </si>
  <si>
    <t>حدث</t>
  </si>
  <si>
    <t>C7443</t>
  </si>
  <si>
    <t>Hajj Hassan</t>
  </si>
  <si>
    <t>حج حسان</t>
  </si>
  <si>
    <t>C7442</t>
  </si>
  <si>
    <t>Halisah</t>
  </si>
  <si>
    <t>حليسة</t>
  </si>
  <si>
    <t>C1191</t>
  </si>
  <si>
    <t>Hazwan</t>
  </si>
  <si>
    <t>حزوان</t>
  </si>
  <si>
    <t>C8163</t>
  </si>
  <si>
    <t>Khalilieyh</t>
  </si>
  <si>
    <t>خليلية</t>
  </si>
  <si>
    <t>C7450</t>
  </si>
  <si>
    <t>Khan Hufrah</t>
  </si>
  <si>
    <t>خان حفرة</t>
  </si>
  <si>
    <t>C8127</t>
  </si>
  <si>
    <t>Kharbashieh</t>
  </si>
  <si>
    <t>خربشية</t>
  </si>
  <si>
    <t>C7470</t>
  </si>
  <si>
    <t>Khirbet Duwayr</t>
  </si>
  <si>
    <t>خربة الدوير</t>
  </si>
  <si>
    <t>C8143</t>
  </si>
  <si>
    <t>Kufair</t>
  </si>
  <si>
    <t>الكفير</t>
  </si>
  <si>
    <t>C8106</t>
  </si>
  <si>
    <t>Little Sarja</t>
  </si>
  <si>
    <t>سرجة صغيرة</t>
  </si>
  <si>
    <t>C6412</t>
  </si>
  <si>
    <t>Madyuneh</t>
  </si>
  <si>
    <t>مديونة</t>
  </si>
  <si>
    <t>C1193</t>
  </si>
  <si>
    <t>Maqri</t>
  </si>
  <si>
    <t>المقري</t>
  </si>
  <si>
    <t>C7514</t>
  </si>
  <si>
    <t>Mezraat Hemmo</t>
  </si>
  <si>
    <t>مزرعة حمو</t>
  </si>
  <si>
    <t>C1210</t>
  </si>
  <si>
    <t>Mran</t>
  </si>
  <si>
    <t>مران</t>
  </si>
  <si>
    <t>C1186</t>
  </si>
  <si>
    <t>Nayrabiyeh</t>
  </si>
  <si>
    <t>النيربية</t>
  </si>
  <si>
    <t>C1213</t>
  </si>
  <si>
    <t>Noman</t>
  </si>
  <si>
    <t>نعمان</t>
  </si>
  <si>
    <t>C1204</t>
  </si>
  <si>
    <t>Olan</t>
  </si>
  <si>
    <t>عولان</t>
  </si>
  <si>
    <t>C1209</t>
  </si>
  <si>
    <t>Qabasin</t>
  </si>
  <si>
    <t>قباسين</t>
  </si>
  <si>
    <t>C1211</t>
  </si>
  <si>
    <t>Qdeiran</t>
  </si>
  <si>
    <t>قديران</t>
  </si>
  <si>
    <t>C1208</t>
  </si>
  <si>
    <t>Qemmet Daghelbash</t>
  </si>
  <si>
    <t>قمة داغلباش</t>
  </si>
  <si>
    <t>C1214</t>
  </si>
  <si>
    <t>Qubbet Elsheikh</t>
  </si>
  <si>
    <t>قبة الشيخ</t>
  </si>
  <si>
    <t>C1200</t>
  </si>
  <si>
    <t>Saflaniyeh</t>
  </si>
  <si>
    <t>سفلانية</t>
  </si>
  <si>
    <t>C1189</t>
  </si>
  <si>
    <t>Shaala</t>
  </si>
  <si>
    <t>شعالة</t>
  </si>
  <si>
    <t>C8196</t>
  </si>
  <si>
    <t>Shbiran</t>
  </si>
  <si>
    <t>شابيران</t>
  </si>
  <si>
    <t>C1206</t>
  </si>
  <si>
    <t>Shdud</t>
  </si>
  <si>
    <t>شدود</t>
  </si>
  <si>
    <t>C1196</t>
  </si>
  <si>
    <t>Sheikh Elwan</t>
  </si>
  <si>
    <t>شيخ علوان</t>
  </si>
  <si>
    <t>C1195</t>
  </si>
  <si>
    <t>Sheikh Jarrah</t>
  </si>
  <si>
    <t>شيخ جراح</t>
  </si>
  <si>
    <t>C1207</t>
  </si>
  <si>
    <t>Sheikh Kif</t>
  </si>
  <si>
    <t>الشيخ كيف</t>
  </si>
  <si>
    <t>C1187</t>
  </si>
  <si>
    <t>Sosyan</t>
  </si>
  <si>
    <t>سوسيان</t>
  </si>
  <si>
    <t>C1190</t>
  </si>
  <si>
    <t>Su Sinbat</t>
  </si>
  <si>
    <t>سو سنباط</t>
  </si>
  <si>
    <t>C1197</t>
  </si>
  <si>
    <t>C1199</t>
  </si>
  <si>
    <t>Tal Jerji</t>
  </si>
  <si>
    <t>تل جرجي</t>
  </si>
  <si>
    <t>C1205</t>
  </si>
  <si>
    <t>Tal Rahhal</t>
  </si>
  <si>
    <t>تل رحال</t>
  </si>
  <si>
    <t>C7473</t>
  </si>
  <si>
    <t>Talal Al-Enab</t>
  </si>
  <si>
    <t>تلال العنب</t>
  </si>
  <si>
    <t>C8101</t>
  </si>
  <si>
    <t>Tanbor</t>
  </si>
  <si>
    <t>طنبور</t>
  </si>
  <si>
    <t>C1201</t>
  </si>
  <si>
    <t>Um Elamad Elbab</t>
  </si>
  <si>
    <t>أم العمد الباب</t>
  </si>
  <si>
    <t>C1212</t>
  </si>
  <si>
    <t>Waqqah</t>
  </si>
  <si>
    <t>وقاح</t>
  </si>
  <si>
    <t>C7438</t>
  </si>
  <si>
    <t>Wuradaya</t>
  </si>
  <si>
    <t>ورودية</t>
  </si>
  <si>
    <t>C8157</t>
  </si>
  <si>
    <t>Zarzur</t>
  </si>
  <si>
    <t>زرزور</t>
  </si>
  <si>
    <t>C8155</t>
  </si>
  <si>
    <t>Zwaian</t>
  </si>
  <si>
    <t>زويان</t>
  </si>
  <si>
    <t>C8203</t>
  </si>
  <si>
    <t>Al-Oun</t>
  </si>
  <si>
    <t>العون</t>
  </si>
  <si>
    <t>C1260</t>
  </si>
  <si>
    <t>Ameriyeh</t>
  </si>
  <si>
    <t>العامرية</t>
  </si>
  <si>
    <t>C1250</t>
  </si>
  <si>
    <t>C1264</t>
  </si>
  <si>
    <t>Atharia</t>
  </si>
  <si>
    <t>الأثرية</t>
  </si>
  <si>
    <t>C8218</t>
  </si>
  <si>
    <t>Ayubiyeh (Ar-Ra'ee)</t>
  </si>
  <si>
    <t>الايوبية</t>
  </si>
  <si>
    <t>C1270</t>
  </si>
  <si>
    <t>Ayyasha</t>
  </si>
  <si>
    <t>عياشة</t>
  </si>
  <si>
    <t>C7605</t>
  </si>
  <si>
    <t>Az Zahrah</t>
  </si>
  <si>
    <t>الزهرة</t>
  </si>
  <si>
    <t>C1272</t>
  </si>
  <si>
    <t>Bab Laymun</t>
  </si>
  <si>
    <t>باب ليمون</t>
  </si>
  <si>
    <t>C1273</t>
  </si>
  <si>
    <t>Hadabat</t>
  </si>
  <si>
    <t>هضبات</t>
  </si>
  <si>
    <t>C1253</t>
  </si>
  <si>
    <t>Haji Kusa</t>
  </si>
  <si>
    <t>حاجي كوسة</t>
  </si>
  <si>
    <t>C1252</t>
  </si>
  <si>
    <t>Haji Wali</t>
  </si>
  <si>
    <t>حاجي ولي</t>
  </si>
  <si>
    <t>C1251</t>
  </si>
  <si>
    <t>Hleisa</t>
  </si>
  <si>
    <t>حليصة</t>
  </si>
  <si>
    <t>C1256</t>
  </si>
  <si>
    <t>Jbine</t>
  </si>
  <si>
    <t>جبين</t>
  </si>
  <si>
    <t>C1274</t>
  </si>
  <si>
    <t>Karsanli</t>
  </si>
  <si>
    <t>كرسنلي</t>
  </si>
  <si>
    <t>C1262</t>
  </si>
  <si>
    <t>C7607</t>
  </si>
  <si>
    <t>Khirbet Bashir</t>
  </si>
  <si>
    <t>خربة بشير</t>
  </si>
  <si>
    <t>C1249</t>
  </si>
  <si>
    <t>Matmana</t>
  </si>
  <si>
    <t>المتمنة</t>
  </si>
  <si>
    <t>C1254</t>
  </si>
  <si>
    <t>Misannah Bab</t>
  </si>
  <si>
    <t>المسنة الباب</t>
  </si>
  <si>
    <t>C1257</t>
  </si>
  <si>
    <t>Nahda</t>
  </si>
  <si>
    <t>النهضة</t>
  </si>
  <si>
    <t>C1275</t>
  </si>
  <si>
    <t>Qantaret Elbab</t>
  </si>
  <si>
    <t>قنطرة الباب</t>
  </si>
  <si>
    <t>C8241</t>
  </si>
  <si>
    <t>Raghibiyah</t>
  </si>
  <si>
    <t>راغبية</t>
  </si>
  <si>
    <t>C1248</t>
  </si>
  <si>
    <t>Sandi</t>
  </si>
  <si>
    <t>صندي</t>
  </si>
  <si>
    <t>C1255</t>
  </si>
  <si>
    <t>Shawa</t>
  </si>
  <si>
    <t>شاوة</t>
  </si>
  <si>
    <t>C1261</t>
  </si>
  <si>
    <t>Silsileh</t>
  </si>
  <si>
    <t>سلسلة</t>
  </si>
  <si>
    <t>C8238</t>
  </si>
  <si>
    <t>Tal Ahmar</t>
  </si>
  <si>
    <t>تل احمر</t>
  </si>
  <si>
    <t>C1271</t>
  </si>
  <si>
    <t>Tal Atieh</t>
  </si>
  <si>
    <t>تل عطية</t>
  </si>
  <si>
    <t>C1267</t>
  </si>
  <si>
    <t>Tal Eisheh</t>
  </si>
  <si>
    <t>تل عيشة</t>
  </si>
  <si>
    <t>C1269</t>
  </si>
  <si>
    <t>Tal Elhawa</t>
  </si>
  <si>
    <t>تل الهوى</t>
  </si>
  <si>
    <t>C1258</t>
  </si>
  <si>
    <t>Tal Mizab</t>
  </si>
  <si>
    <t>تل ميزاب</t>
  </si>
  <si>
    <t>C8227</t>
  </si>
  <si>
    <t>Tal Sfir</t>
  </si>
  <si>
    <t>تل صفير</t>
  </si>
  <si>
    <t>C8245</t>
  </si>
  <si>
    <t>Thlaija Gharbi</t>
  </si>
  <si>
    <t>ثليجة غربي</t>
  </si>
  <si>
    <t>C1263</t>
  </si>
  <si>
    <t>Tlilet Elbab</t>
  </si>
  <si>
    <t>تليلة الباب</t>
  </si>
  <si>
    <t>C1259</t>
  </si>
  <si>
    <t>Tweiran</t>
  </si>
  <si>
    <t>طويران</t>
  </si>
  <si>
    <t>C1265</t>
  </si>
  <si>
    <t>Um Elthadaya Mamli</t>
  </si>
  <si>
    <t>أم الثدايا_ماملي</t>
  </si>
  <si>
    <t>C1247</t>
  </si>
  <si>
    <t>Waqf</t>
  </si>
  <si>
    <t>الوقف</t>
  </si>
  <si>
    <t>C1266</t>
  </si>
  <si>
    <t>Zalaf</t>
  </si>
  <si>
    <t>زلف</t>
  </si>
  <si>
    <t>C1268</t>
  </si>
  <si>
    <t>Zyaret Elbab</t>
  </si>
  <si>
    <t>زيارة الباب</t>
  </si>
  <si>
    <t>C1353</t>
  </si>
  <si>
    <t>Abin - Efrin</t>
  </si>
  <si>
    <t>ابين- عفرين</t>
  </si>
  <si>
    <t>C1366</t>
  </si>
  <si>
    <t>C7515</t>
  </si>
  <si>
    <t>Al Jumaliyah</t>
  </si>
  <si>
    <t>الجميلة</t>
  </si>
  <si>
    <t>C1351</t>
  </si>
  <si>
    <t>Bablit</t>
  </si>
  <si>
    <t>بابليت</t>
  </si>
  <si>
    <t>C1373</t>
  </si>
  <si>
    <t>Baee</t>
  </si>
  <si>
    <t>باعي</t>
  </si>
  <si>
    <t>C1371</t>
  </si>
  <si>
    <t>Baselhaya</t>
  </si>
  <si>
    <t>باصلحايا</t>
  </si>
  <si>
    <t>C1374</t>
  </si>
  <si>
    <t>Basufan</t>
  </si>
  <si>
    <t>باصوفان</t>
  </si>
  <si>
    <t>C1376</t>
  </si>
  <si>
    <t>Basuta</t>
  </si>
  <si>
    <t>باسوطة</t>
  </si>
  <si>
    <t>C1375</t>
  </si>
  <si>
    <t>Brad</t>
  </si>
  <si>
    <t>براد</t>
  </si>
  <si>
    <t>C1369</t>
  </si>
  <si>
    <t>Bseileh</t>
  </si>
  <si>
    <t>البصلية</t>
  </si>
  <si>
    <t>C1372</t>
  </si>
  <si>
    <t>Bteita</t>
  </si>
  <si>
    <t>بتيتة</t>
  </si>
  <si>
    <t>C1377</t>
  </si>
  <si>
    <t>Burj Abdallah</t>
  </si>
  <si>
    <t>برج عبد الله</t>
  </si>
  <si>
    <t>C1354</t>
  </si>
  <si>
    <t>Burj Haydar</t>
  </si>
  <si>
    <t>برج حيدر</t>
  </si>
  <si>
    <t>C8123</t>
  </si>
  <si>
    <t>Burj Slaiman</t>
  </si>
  <si>
    <t>برج سليمان</t>
  </si>
  <si>
    <t>C8178</t>
  </si>
  <si>
    <t>Deir Meshmesh</t>
  </si>
  <si>
    <t>دير مشمش</t>
  </si>
  <si>
    <t>C1370</t>
  </si>
  <si>
    <t>Ein Dara</t>
  </si>
  <si>
    <t>عين دارة</t>
  </si>
  <si>
    <t>C1367</t>
  </si>
  <si>
    <t>Enab</t>
  </si>
  <si>
    <t>اناب</t>
  </si>
  <si>
    <t>C1352</t>
  </si>
  <si>
    <t>Eskan</t>
  </si>
  <si>
    <t>اسكان</t>
  </si>
  <si>
    <t>C1383</t>
  </si>
  <si>
    <t>Fafertein</t>
  </si>
  <si>
    <t>فافرتين</t>
  </si>
  <si>
    <t>C1378</t>
  </si>
  <si>
    <t>Ghazawiyet Afrin</t>
  </si>
  <si>
    <t>غزاوية عفرين</t>
  </si>
  <si>
    <t>C1362</t>
  </si>
  <si>
    <t>Hawa</t>
  </si>
  <si>
    <t>الهوى</t>
  </si>
  <si>
    <t>C1360</t>
  </si>
  <si>
    <t>Jalbal</t>
  </si>
  <si>
    <t>جلبل</t>
  </si>
  <si>
    <t>C1380</t>
  </si>
  <si>
    <t>Kabashin</t>
  </si>
  <si>
    <t>كباشين</t>
  </si>
  <si>
    <t>C1390</t>
  </si>
  <si>
    <t>Kafir</t>
  </si>
  <si>
    <t>كفير</t>
  </si>
  <si>
    <t>C1388</t>
  </si>
  <si>
    <t>Kafr Batra</t>
  </si>
  <si>
    <t>كفر بطرة</t>
  </si>
  <si>
    <t>C1389</t>
  </si>
  <si>
    <t>Kafr Zeid</t>
  </si>
  <si>
    <t>كفر زيد</t>
  </si>
  <si>
    <t>C6395</t>
  </si>
  <si>
    <t>Kafrmeez</t>
  </si>
  <si>
    <t>كفرميز</t>
  </si>
  <si>
    <t>C1385</t>
  </si>
  <si>
    <t>Kafrshil</t>
  </si>
  <si>
    <t>كفرشيل</t>
  </si>
  <si>
    <t>C7465</t>
  </si>
  <si>
    <t>Kaft Nabu</t>
  </si>
  <si>
    <t>كفر نبو</t>
  </si>
  <si>
    <t>C1381</t>
  </si>
  <si>
    <t>Kawkabeh</t>
  </si>
  <si>
    <t>كوكبة</t>
  </si>
  <si>
    <t>C1365</t>
  </si>
  <si>
    <t>Khadraa</t>
  </si>
  <si>
    <t>الخضراء</t>
  </si>
  <si>
    <t>C1364</t>
  </si>
  <si>
    <t>Khaldiyet Afrin</t>
  </si>
  <si>
    <t>خالدية عفرين</t>
  </si>
  <si>
    <t>C1382</t>
  </si>
  <si>
    <t>Kimar</t>
  </si>
  <si>
    <t>كيمار</t>
  </si>
  <si>
    <t>C1384</t>
  </si>
  <si>
    <t>Marata</t>
  </si>
  <si>
    <t>معراتة</t>
  </si>
  <si>
    <t>C1386</t>
  </si>
  <si>
    <t>Mreimin Afrin</t>
  </si>
  <si>
    <t>مريمين عفرين</t>
  </si>
  <si>
    <t>C6394</t>
  </si>
  <si>
    <t>Muarset Khateeb</t>
  </si>
  <si>
    <t>معرستة الخطيب</t>
  </si>
  <si>
    <t>C1368</t>
  </si>
  <si>
    <t>Nireh</t>
  </si>
  <si>
    <t>النيرة</t>
  </si>
  <si>
    <t>C1361</t>
  </si>
  <si>
    <t>Oqayba</t>
  </si>
  <si>
    <t>عقيبة</t>
  </si>
  <si>
    <t>C1387</t>
  </si>
  <si>
    <t>Qarzihel</t>
  </si>
  <si>
    <t>قرزيحل</t>
  </si>
  <si>
    <t>C1357</t>
  </si>
  <si>
    <t>Shawarghet Elarz</t>
  </si>
  <si>
    <t>شوارغة الأرز</t>
  </si>
  <si>
    <t>C1356</t>
  </si>
  <si>
    <t>Shawarghet Eljoz</t>
  </si>
  <si>
    <t>شوارغة الجوز</t>
  </si>
  <si>
    <t>C1359</t>
  </si>
  <si>
    <t>Sheikh Eldeir</t>
  </si>
  <si>
    <t>شيخ الدير</t>
  </si>
  <si>
    <t>C6333</t>
  </si>
  <si>
    <t>Tal Tawil</t>
  </si>
  <si>
    <t>تل طويل</t>
  </si>
  <si>
    <t>C1355</t>
  </si>
  <si>
    <t>Tellef</t>
  </si>
  <si>
    <t>تللف</t>
  </si>
  <si>
    <t>C1363</t>
  </si>
  <si>
    <t>Tharifa</t>
  </si>
  <si>
    <t>الظريفة</t>
  </si>
  <si>
    <t>C1379</t>
  </si>
  <si>
    <t>Zahrat Elhayat</t>
  </si>
  <si>
    <t>زهرةالحياة</t>
  </si>
  <si>
    <t>C1358</t>
  </si>
  <si>
    <t>Ziyara Afrin</t>
  </si>
  <si>
    <t>الزيارة عفرين</t>
  </si>
  <si>
    <t>C6393</t>
  </si>
  <si>
    <t>Zuraikat</t>
  </si>
  <si>
    <t>الزريقات</t>
  </si>
  <si>
    <t>C1397</t>
  </si>
  <si>
    <t>Abel</t>
  </si>
  <si>
    <t>أبل</t>
  </si>
  <si>
    <t>C1408</t>
  </si>
  <si>
    <t>Ali Elatrash - Olikar</t>
  </si>
  <si>
    <t>علي الأطرش_عليكار</t>
  </si>
  <si>
    <t>C8286</t>
  </si>
  <si>
    <t>Ali Jaru</t>
  </si>
  <si>
    <t>علي جارو</t>
  </si>
  <si>
    <t>C1411</t>
  </si>
  <si>
    <t>Ashani</t>
  </si>
  <si>
    <t>عشاني</t>
  </si>
  <si>
    <t>C1407</t>
  </si>
  <si>
    <t>Bali - Koy</t>
  </si>
  <si>
    <t>بالي_كوي</t>
  </si>
  <si>
    <t>C8263</t>
  </si>
  <si>
    <t>Beylan</t>
  </si>
  <si>
    <t>بيلان</t>
  </si>
  <si>
    <t>C1391</t>
  </si>
  <si>
    <t>C1399</t>
  </si>
  <si>
    <t>Deir Hasan</t>
  </si>
  <si>
    <t>دير حسن</t>
  </si>
  <si>
    <t>C1398</t>
  </si>
  <si>
    <t>Dik</t>
  </si>
  <si>
    <t>الديك</t>
  </si>
  <si>
    <t>C8285</t>
  </si>
  <si>
    <t>Dobera</t>
  </si>
  <si>
    <t>دوبيرة</t>
  </si>
  <si>
    <t>C8289</t>
  </si>
  <si>
    <t>Hafatro</t>
  </si>
  <si>
    <t>حفتارو</t>
  </si>
  <si>
    <t>C1402</t>
  </si>
  <si>
    <t>Hajeb - Qash Ogli</t>
  </si>
  <si>
    <t>الحاجب_قاش أوغلي</t>
  </si>
  <si>
    <t>C8293</t>
  </si>
  <si>
    <t>Hayamli</t>
  </si>
  <si>
    <t>هياملي</t>
  </si>
  <si>
    <t>C1417</t>
  </si>
  <si>
    <t>Hozan</t>
  </si>
  <si>
    <t>هوزان</t>
  </si>
  <si>
    <t>C7640</t>
  </si>
  <si>
    <t>Jolaqi</t>
  </si>
  <si>
    <t>جولاقي</t>
  </si>
  <si>
    <t>C1394</t>
  </si>
  <si>
    <t>Khader</t>
  </si>
  <si>
    <t>خضر</t>
  </si>
  <si>
    <t>C1404</t>
  </si>
  <si>
    <t>Khalil - Khleilak</t>
  </si>
  <si>
    <t>الخليل_خليلاك</t>
  </si>
  <si>
    <t>C8278</t>
  </si>
  <si>
    <t>Kurazli</t>
  </si>
  <si>
    <t>قورزلي</t>
  </si>
  <si>
    <t>C1414</t>
  </si>
  <si>
    <t>Marwiyeh</t>
  </si>
  <si>
    <t>المروية</t>
  </si>
  <si>
    <t>C1413</t>
  </si>
  <si>
    <t>Mudallala Afrin - Eastern Kotanly</t>
  </si>
  <si>
    <t>المدللة عفرين_كوتانلي شرقي</t>
  </si>
  <si>
    <t>C1393</t>
  </si>
  <si>
    <t>Oba Beik Oba Basi</t>
  </si>
  <si>
    <t>أوبة_بيك أوبه باسي</t>
  </si>
  <si>
    <t>C1395</t>
  </si>
  <si>
    <t>Obudan</t>
  </si>
  <si>
    <t>عبودان</t>
  </si>
  <si>
    <t>C1409</t>
  </si>
  <si>
    <t>Okan</t>
  </si>
  <si>
    <t>عوكان</t>
  </si>
  <si>
    <t>C1416</t>
  </si>
  <si>
    <t>Qastal Miqdad</t>
  </si>
  <si>
    <t>قسطل مقداد</t>
  </si>
  <si>
    <t>C1418</t>
  </si>
  <si>
    <t>Qorna</t>
  </si>
  <si>
    <t>قورنة</t>
  </si>
  <si>
    <t>C1415</t>
  </si>
  <si>
    <t>Qotan</t>
  </si>
  <si>
    <t>قوطان</t>
  </si>
  <si>
    <t>C1403</t>
  </si>
  <si>
    <t>Ras Ahmar</t>
  </si>
  <si>
    <t>الرأس الأحمر</t>
  </si>
  <si>
    <t>C1405</t>
  </si>
  <si>
    <t>Sagher - Sagher Oba Si</t>
  </si>
  <si>
    <t>صاغر_صاغر أوبه سي</t>
  </si>
  <si>
    <t>C1392</t>
  </si>
  <si>
    <t>Samha Kilani</t>
  </si>
  <si>
    <t>السمحة_كيلانلي</t>
  </si>
  <si>
    <t>C1400</t>
  </si>
  <si>
    <t>Sara</t>
  </si>
  <si>
    <t>السعرة</t>
  </si>
  <si>
    <t>C1396</t>
  </si>
  <si>
    <t>Sharqan</t>
  </si>
  <si>
    <t>شرقان</t>
  </si>
  <si>
    <t>C1410</t>
  </si>
  <si>
    <t>Sheikh Khoraz</t>
  </si>
  <si>
    <t>شيخ خورز</t>
  </si>
  <si>
    <t>C1412</t>
  </si>
  <si>
    <t>Tafla</t>
  </si>
  <si>
    <t>الطفلة</t>
  </si>
  <si>
    <t>C1401</t>
  </si>
  <si>
    <t>Yabseh</t>
  </si>
  <si>
    <t>اليابسة</t>
  </si>
  <si>
    <t>C1406</t>
  </si>
  <si>
    <t>Za'ra</t>
  </si>
  <si>
    <t>زعرة</t>
  </si>
  <si>
    <t>C6396</t>
  </si>
  <si>
    <t>Zfnek</t>
  </si>
  <si>
    <t>زفنك</t>
  </si>
  <si>
    <t>C8151</t>
  </si>
  <si>
    <t>Abu Ka'ab</t>
  </si>
  <si>
    <t>أبو كعب</t>
  </si>
  <si>
    <t>C8156</t>
  </si>
  <si>
    <t>Baflur</t>
  </si>
  <si>
    <t>بفلور</t>
  </si>
  <si>
    <t>C1434</t>
  </si>
  <si>
    <t>Bayada - Jendris</t>
  </si>
  <si>
    <t>البياضة - جنديرس</t>
  </si>
  <si>
    <t>C1428</t>
  </si>
  <si>
    <t>Burj Kmush</t>
  </si>
  <si>
    <t>برج كموش</t>
  </si>
  <si>
    <t>C1423</t>
  </si>
  <si>
    <t>Dakhm</t>
  </si>
  <si>
    <t>الضخم</t>
  </si>
  <si>
    <t>C1435</t>
  </si>
  <si>
    <t>Deir Ballut</t>
  </si>
  <si>
    <t>دير بلوط</t>
  </si>
  <si>
    <t>C8130</t>
  </si>
  <si>
    <t>Dukan</t>
  </si>
  <si>
    <t>دوكان</t>
  </si>
  <si>
    <t>C1441</t>
  </si>
  <si>
    <t>Eastern Eshkan</t>
  </si>
  <si>
    <t>اشكان شرقي</t>
  </si>
  <si>
    <t>C1440</t>
  </si>
  <si>
    <t>Fasha</t>
  </si>
  <si>
    <t>الفسحة</t>
  </si>
  <si>
    <t>C1446</t>
  </si>
  <si>
    <t>Freiriyeh</t>
  </si>
  <si>
    <t>فريرية</t>
  </si>
  <si>
    <t>C1420</t>
  </si>
  <si>
    <t>Haj Eskandar</t>
  </si>
  <si>
    <t>حاج اسكندر</t>
  </si>
  <si>
    <t>C8184</t>
  </si>
  <si>
    <t>Haji Hasanli</t>
  </si>
  <si>
    <t>حجي حسنلي</t>
  </si>
  <si>
    <t>C8150</t>
  </si>
  <si>
    <t>Hajilar</t>
  </si>
  <si>
    <t>حجلار</t>
  </si>
  <si>
    <t>C1427</t>
  </si>
  <si>
    <t>Hamam</t>
  </si>
  <si>
    <t>الحمام</t>
  </si>
  <si>
    <t>C8166</t>
  </si>
  <si>
    <t>Hikageh</t>
  </si>
  <si>
    <t>هيكجة</t>
  </si>
  <si>
    <t>C6397</t>
  </si>
  <si>
    <t>Hmlak-Hmelek</t>
  </si>
  <si>
    <t>حملك-حميلك</t>
  </si>
  <si>
    <t>C1425</t>
  </si>
  <si>
    <t>Jalaq</t>
  </si>
  <si>
    <t>جلق</t>
  </si>
  <si>
    <t>C1424</t>
  </si>
  <si>
    <t>Jalma</t>
  </si>
  <si>
    <t>جلمة</t>
  </si>
  <si>
    <t>C1426</t>
  </si>
  <si>
    <t>C1421</t>
  </si>
  <si>
    <t>Jum Afrin</t>
  </si>
  <si>
    <t>جوم عفرين</t>
  </si>
  <si>
    <t>C1449</t>
  </si>
  <si>
    <t>Kafr Safra</t>
  </si>
  <si>
    <t>كفر صفرة</t>
  </si>
  <si>
    <t>C1432</t>
  </si>
  <si>
    <t>Kharzan</t>
  </si>
  <si>
    <t>خرزان</t>
  </si>
  <si>
    <t>C8161</t>
  </si>
  <si>
    <t>Khureibah/Qurbe</t>
  </si>
  <si>
    <t>خريبة / قربة</t>
  </si>
  <si>
    <t>C7490</t>
  </si>
  <si>
    <t>Koban</t>
  </si>
  <si>
    <t>كوبان</t>
  </si>
  <si>
    <t>C1447</t>
  </si>
  <si>
    <t>Koran Jandris</t>
  </si>
  <si>
    <t>كوران جنديرس</t>
  </si>
  <si>
    <t>C1445</t>
  </si>
  <si>
    <t>Kordan</t>
  </si>
  <si>
    <t>كوردان</t>
  </si>
  <si>
    <t>C1448</t>
  </si>
  <si>
    <t>Lower Kafardali</t>
  </si>
  <si>
    <t>كفردلي تحتاني</t>
  </si>
  <si>
    <t>C6399</t>
  </si>
  <si>
    <t>Lower-Marwana</t>
  </si>
  <si>
    <t>مروانة تحتاني</t>
  </si>
  <si>
    <t>C8135</t>
  </si>
  <si>
    <t>Mhamadia</t>
  </si>
  <si>
    <t>محمودية</t>
  </si>
  <si>
    <t>C1439</t>
  </si>
  <si>
    <t>Nisriyeh</t>
  </si>
  <si>
    <t>النسرية</t>
  </si>
  <si>
    <t>C8160</t>
  </si>
  <si>
    <t>Qila</t>
  </si>
  <si>
    <t>قيلة</t>
  </si>
  <si>
    <t>C1422</t>
  </si>
  <si>
    <t>Ramadiyeh</t>
  </si>
  <si>
    <t>رمادية</t>
  </si>
  <si>
    <t>C1429</t>
  </si>
  <si>
    <t>Ras Elosud - Qarablish</t>
  </si>
  <si>
    <t>راس الأسود_قراباش</t>
  </si>
  <si>
    <t>C1419</t>
  </si>
  <si>
    <t>Sheikh Abel Rahman</t>
  </si>
  <si>
    <t>شيخ عبد الرحمن</t>
  </si>
  <si>
    <t>C1430</t>
  </si>
  <si>
    <t>Tal Hamo</t>
  </si>
  <si>
    <t>تل حمو</t>
  </si>
  <si>
    <t>C1433</t>
  </si>
  <si>
    <t>Tal Slur</t>
  </si>
  <si>
    <t>تل سلور</t>
  </si>
  <si>
    <t>C6398</t>
  </si>
  <si>
    <t>Tatara-Tataranli</t>
  </si>
  <si>
    <t>تاتارا-تاتارانلي</t>
  </si>
  <si>
    <t>C1431</t>
  </si>
  <si>
    <t>Upper Diwan</t>
  </si>
  <si>
    <t>ديوان فوقاني</t>
  </si>
  <si>
    <t>C1442</t>
  </si>
  <si>
    <t>Upper Kafardali</t>
  </si>
  <si>
    <t>كفردلي فوقاني</t>
  </si>
  <si>
    <t>C1443</t>
  </si>
  <si>
    <t>Upper Marwana</t>
  </si>
  <si>
    <t>مروانة فوقاني</t>
  </si>
  <si>
    <t>C1444</t>
  </si>
  <si>
    <t>Upper Maskeh</t>
  </si>
  <si>
    <t>مسكة فوقاني</t>
  </si>
  <si>
    <t>C1437</t>
  </si>
  <si>
    <t>Western Eshkab</t>
  </si>
  <si>
    <t>اشكان غربي</t>
  </si>
  <si>
    <t>C1436</t>
  </si>
  <si>
    <t>Western Khaltan</t>
  </si>
  <si>
    <t>خلطان غربي</t>
  </si>
  <si>
    <t>C8146</t>
  </si>
  <si>
    <t>Zalaqah</t>
  </si>
  <si>
    <t>زلقة</t>
  </si>
  <si>
    <t>C1438</t>
  </si>
  <si>
    <t>Zanda</t>
  </si>
  <si>
    <t>زندة</t>
  </si>
  <si>
    <t>C1458</t>
  </si>
  <si>
    <t>Aaliaa - Ali Baski</t>
  </si>
  <si>
    <t>العلياء_علي بسكي</t>
  </si>
  <si>
    <t>C1479</t>
  </si>
  <si>
    <t>Ada</t>
  </si>
  <si>
    <t>ادة</t>
  </si>
  <si>
    <t>C1467</t>
  </si>
  <si>
    <t>Almadar</t>
  </si>
  <si>
    <t>علمدار</t>
  </si>
  <si>
    <t>C1481</t>
  </si>
  <si>
    <t>Atman</t>
  </si>
  <si>
    <t>عطمان</t>
  </si>
  <si>
    <t>C1465</t>
  </si>
  <si>
    <t>Barband</t>
  </si>
  <si>
    <t>بربند</t>
  </si>
  <si>
    <t>C1459</t>
  </si>
  <si>
    <t>Batra</t>
  </si>
  <si>
    <t>البتراء</t>
  </si>
  <si>
    <t>C1473</t>
  </si>
  <si>
    <t>Beit Adin</t>
  </si>
  <si>
    <t>بيت عدين</t>
  </si>
  <si>
    <t>C1478</t>
  </si>
  <si>
    <t>Big Siwan</t>
  </si>
  <si>
    <t>الصوان الكبير</t>
  </si>
  <si>
    <t>C1468</t>
  </si>
  <si>
    <t>Bilaliyeh - Blaliko</t>
  </si>
  <si>
    <t>بلالية_بلاليكو</t>
  </si>
  <si>
    <t>C1471</t>
  </si>
  <si>
    <t>Birein - Jtal Qoyo</t>
  </si>
  <si>
    <t>البئرين_جتال قويو</t>
  </si>
  <si>
    <t>C1456</t>
  </si>
  <si>
    <t>Darwishiyeh</t>
  </si>
  <si>
    <t>الدرويشية</t>
  </si>
  <si>
    <t>C1454</t>
  </si>
  <si>
    <t>Dawdaw</t>
  </si>
  <si>
    <t>ضوضو</t>
  </si>
  <si>
    <t>C1451</t>
  </si>
  <si>
    <t>Ghizlan - Jilani</t>
  </si>
  <si>
    <t>الغزلان_جيلاني</t>
  </si>
  <si>
    <t>C6403</t>
  </si>
  <si>
    <t>Haidar Obasi</t>
  </si>
  <si>
    <t>حيدر أوبه سي</t>
  </si>
  <si>
    <t>C1455</t>
  </si>
  <si>
    <t>Haj Khalil</t>
  </si>
  <si>
    <t>حاج خليل</t>
  </si>
  <si>
    <t>C1463</t>
  </si>
  <si>
    <t>Hajman</t>
  </si>
  <si>
    <t>حجمان</t>
  </si>
  <si>
    <t>C1489</t>
  </si>
  <si>
    <t>Halil - Holilo</t>
  </si>
  <si>
    <t>هليل_هوليلو</t>
  </si>
  <si>
    <t>C1452</t>
  </si>
  <si>
    <t>Hamshu - Hamashtlak</t>
  </si>
  <si>
    <t>حمشو_حمشتلك</t>
  </si>
  <si>
    <t>C6404</t>
  </si>
  <si>
    <t>Hasan Klkawi</t>
  </si>
  <si>
    <t>حسن كلكاوي</t>
  </si>
  <si>
    <t>C1485</t>
  </si>
  <si>
    <t>Hjeij - Haji Kanli</t>
  </si>
  <si>
    <t>الحجيج_حجي كانلي</t>
  </si>
  <si>
    <t>C8257</t>
  </si>
  <si>
    <t>Hopkan</t>
  </si>
  <si>
    <t>هوبكان</t>
  </si>
  <si>
    <t>C1475</t>
  </si>
  <si>
    <t>Jablieh - Tag Obeh Si</t>
  </si>
  <si>
    <t>الجبلية_طاغ أوبه سي</t>
  </si>
  <si>
    <t>C8280</t>
  </si>
  <si>
    <t>Jainka</t>
  </si>
  <si>
    <t>جعنكا</t>
  </si>
  <si>
    <t>C1477</t>
  </si>
  <si>
    <t>Jalqama</t>
  </si>
  <si>
    <t>جلقمة</t>
  </si>
  <si>
    <t>C1476</t>
  </si>
  <si>
    <t>Janjaleh</t>
  </si>
  <si>
    <t>جنجلة</t>
  </si>
  <si>
    <t>C7567</t>
  </si>
  <si>
    <t>Karri</t>
  </si>
  <si>
    <t>كري</t>
  </si>
  <si>
    <t>C8283</t>
  </si>
  <si>
    <t>Kharab Suluq</t>
  </si>
  <si>
    <t>خربة سلوك</t>
  </si>
  <si>
    <t>C1492</t>
  </si>
  <si>
    <t>Koran Afrin</t>
  </si>
  <si>
    <t>كوران عفرين</t>
  </si>
  <si>
    <t>C1490</t>
  </si>
  <si>
    <t>Kusan</t>
  </si>
  <si>
    <t>كوسان</t>
  </si>
  <si>
    <t>C1470</t>
  </si>
  <si>
    <t>Little Siwan - Little Jaqmaq</t>
  </si>
  <si>
    <t>الصوان الصغير_جقمق صغير</t>
  </si>
  <si>
    <t>C1474</t>
  </si>
  <si>
    <t>Lower Dhak - Kolyan</t>
  </si>
  <si>
    <t>الضحاك التحتاني_كوليان</t>
  </si>
  <si>
    <t>C1457</t>
  </si>
  <si>
    <t>Maamel - Oshagi</t>
  </si>
  <si>
    <t>المعامل_أوشاغي</t>
  </si>
  <si>
    <t>C1491</t>
  </si>
  <si>
    <t>Masikan</t>
  </si>
  <si>
    <t>ماسيكان</t>
  </si>
  <si>
    <t>C1488</t>
  </si>
  <si>
    <t>Meidan Ekbis</t>
  </si>
  <si>
    <t>ميدان أكبس</t>
  </si>
  <si>
    <t>C1460</t>
  </si>
  <si>
    <t>Murtafiah</t>
  </si>
  <si>
    <t>المرتفعة_قودة كوي</t>
  </si>
  <si>
    <t>C1487</t>
  </si>
  <si>
    <t>Musiyeh - Oba Si</t>
  </si>
  <si>
    <t>موسيه_أوبه سي</t>
  </si>
  <si>
    <t>C1461</t>
  </si>
  <si>
    <t>Omar - Omar Oshaghi</t>
  </si>
  <si>
    <t>عمر_عمر أوشاغي</t>
  </si>
  <si>
    <t>C1486</t>
  </si>
  <si>
    <t>Omsiya - Donbaly</t>
  </si>
  <si>
    <t>الأمسية_دونبللي</t>
  </si>
  <si>
    <t>C1480</t>
  </si>
  <si>
    <t>Qalam - Bandrak</t>
  </si>
  <si>
    <t>القلم_بندرك</t>
  </si>
  <si>
    <t>C8287</t>
  </si>
  <si>
    <t>Qarah Baba</t>
  </si>
  <si>
    <t>قرة بابا</t>
  </si>
  <si>
    <t>C1462</t>
  </si>
  <si>
    <t>Raee - Jobanli</t>
  </si>
  <si>
    <t>الراعي_جوبانلي</t>
  </si>
  <si>
    <t>C1484</t>
  </si>
  <si>
    <t>C8237</t>
  </si>
  <si>
    <t>Shadiah</t>
  </si>
  <si>
    <t>شاديا</t>
  </si>
  <si>
    <t>C1482</t>
  </si>
  <si>
    <t>Shankal</t>
  </si>
  <si>
    <t>شنكل</t>
  </si>
  <si>
    <t>C1453</t>
  </si>
  <si>
    <t>Sheikh Mohammed</t>
  </si>
  <si>
    <t>شيخ محمد</t>
  </si>
  <si>
    <t>C6402</t>
  </si>
  <si>
    <t>Shekh Bilal</t>
  </si>
  <si>
    <t>شيخ بلال</t>
  </si>
  <si>
    <t>C8249</t>
  </si>
  <si>
    <t>Sherbanli</t>
  </si>
  <si>
    <t>شربانلي</t>
  </si>
  <si>
    <t>C1450</t>
  </si>
  <si>
    <t>Shyukh - Sheikh Oba Si</t>
  </si>
  <si>
    <t>الشيوخ_شيخ أوبه سي</t>
  </si>
  <si>
    <t>C1483</t>
  </si>
  <si>
    <t>Talleh - Zarkani</t>
  </si>
  <si>
    <t>الطلة_زركانلي</t>
  </si>
  <si>
    <t>C1464</t>
  </si>
  <si>
    <t>Taqiyeh - Kamrash</t>
  </si>
  <si>
    <t>الطاقية_كمرش</t>
  </si>
  <si>
    <t>C1472</t>
  </si>
  <si>
    <t>Thadi - Mamali</t>
  </si>
  <si>
    <t>الثدي_مامالي</t>
  </si>
  <si>
    <t>C1469</t>
  </si>
  <si>
    <t>Tholathiyeh</t>
  </si>
  <si>
    <t>الثلاثية</t>
  </si>
  <si>
    <t>C1466</t>
  </si>
  <si>
    <t>Upper Dhak - Upper Kolyan</t>
  </si>
  <si>
    <t>الضحاك فوقاني_كوليان فوقاني</t>
  </si>
  <si>
    <t>C6405</t>
  </si>
  <si>
    <t>Alwardya</t>
  </si>
  <si>
    <t>الوردية</t>
  </si>
  <si>
    <t>C1528</t>
  </si>
  <si>
    <t>Anqala</t>
  </si>
  <si>
    <t>انقلة</t>
  </si>
  <si>
    <t>C1531</t>
  </si>
  <si>
    <t>Darmash - Darmashkanli</t>
  </si>
  <si>
    <t>درمش_درمشكانلي</t>
  </si>
  <si>
    <t>C8208</t>
  </si>
  <si>
    <t>Haj Belal</t>
  </si>
  <si>
    <t>حاج بلال</t>
  </si>
  <si>
    <t>C6406</t>
  </si>
  <si>
    <t>Kalanli</t>
  </si>
  <si>
    <t>كلانلي</t>
  </si>
  <si>
    <t>C1527</t>
  </si>
  <si>
    <t>Khazafiyeh - Qorret Matlaq</t>
  </si>
  <si>
    <t>خزفية_قرة متلق</t>
  </si>
  <si>
    <t>C1533</t>
  </si>
  <si>
    <t>Maghar - Maghar Jeq</t>
  </si>
  <si>
    <t>مغار_مغار جق</t>
  </si>
  <si>
    <t>C1530</t>
  </si>
  <si>
    <t>Mazineh - Aranda</t>
  </si>
  <si>
    <t>المزينة_أرندة</t>
  </si>
  <si>
    <t>C1534</t>
  </si>
  <si>
    <t>Mostakan</t>
  </si>
  <si>
    <t>مستكان</t>
  </si>
  <si>
    <t>C7524</t>
  </si>
  <si>
    <t>Sahuljuk</t>
  </si>
  <si>
    <t>سحولجك</t>
  </si>
  <si>
    <t>C1525</t>
  </si>
  <si>
    <t>C8212</t>
  </si>
  <si>
    <t>Sheikh Khalil</t>
  </si>
  <si>
    <t>الشيخ خليل</t>
  </si>
  <si>
    <t>C1529</t>
  </si>
  <si>
    <t>Sinnara</t>
  </si>
  <si>
    <t>سنارة</t>
  </si>
  <si>
    <t>C1526</t>
  </si>
  <si>
    <t>Tal Elthaaleb - Sheikh Jqali</t>
  </si>
  <si>
    <t>تل الثعالب_شيخ جقاللي</t>
  </si>
  <si>
    <t>C1532</t>
  </si>
  <si>
    <t>Wadi Elthaalab - Lower Jqal</t>
  </si>
  <si>
    <t>وادي الثعالب_جقال تحتاني</t>
  </si>
  <si>
    <t>C1547</t>
  </si>
  <si>
    <t>Abraz</t>
  </si>
  <si>
    <t>أبرز</t>
  </si>
  <si>
    <t>C8216</t>
  </si>
  <si>
    <t>Al-Rahmaniyah</t>
  </si>
  <si>
    <t>الرحمانية</t>
  </si>
  <si>
    <t>C1543</t>
  </si>
  <si>
    <t>Amiriya - Meirkan</t>
  </si>
  <si>
    <t>الأميرية_ميركان</t>
  </si>
  <si>
    <t>C1549</t>
  </si>
  <si>
    <t>Anbar</t>
  </si>
  <si>
    <t>أنبار</t>
  </si>
  <si>
    <t>C6401</t>
  </si>
  <si>
    <t>Arab-Shekho</t>
  </si>
  <si>
    <t>عرب شيخو</t>
  </si>
  <si>
    <t>C1537</t>
  </si>
  <si>
    <t>Ashur</t>
  </si>
  <si>
    <t>عاشور</t>
  </si>
  <si>
    <t>C1548</t>
  </si>
  <si>
    <t>Awlad El Arab - Arab Oshagi</t>
  </si>
  <si>
    <t>أولاد العرب_عرب أوشاغي</t>
  </si>
  <si>
    <t>C8209</t>
  </si>
  <si>
    <t>Ayn Al-Hajar</t>
  </si>
  <si>
    <t>عين الحجر</t>
  </si>
  <si>
    <t>C8201</t>
  </si>
  <si>
    <t>Barakeh</t>
  </si>
  <si>
    <t>بركة</t>
  </si>
  <si>
    <t>C1535</t>
  </si>
  <si>
    <t>Bermaja</t>
  </si>
  <si>
    <t>برماجة</t>
  </si>
  <si>
    <t>C1542</t>
  </si>
  <si>
    <t>Big Dar</t>
  </si>
  <si>
    <t>دار كبير</t>
  </si>
  <si>
    <t>C8200</t>
  </si>
  <si>
    <t>Gumazanli</t>
  </si>
  <si>
    <t>جومازانلي</t>
  </si>
  <si>
    <t>C1541</t>
  </si>
  <si>
    <t>Haj Qassem</t>
  </si>
  <si>
    <t>حاج قاسم</t>
  </si>
  <si>
    <t>C1538</t>
  </si>
  <si>
    <t>Hamu Raju</t>
  </si>
  <si>
    <t>حمو راجو</t>
  </si>
  <si>
    <t>C1551</t>
  </si>
  <si>
    <t>Jazruniyeh</t>
  </si>
  <si>
    <t>الجزرونية</t>
  </si>
  <si>
    <t>C1544</t>
  </si>
  <si>
    <t>Jomrokiyeh</t>
  </si>
  <si>
    <t>الجمركية</t>
  </si>
  <si>
    <t>C7522</t>
  </si>
  <si>
    <t>Kantara Ma'abatli</t>
  </si>
  <si>
    <t>القنطرة معبطلي</t>
  </si>
  <si>
    <t>C8220</t>
  </si>
  <si>
    <t>Lower Al-Thahrah</t>
  </si>
  <si>
    <t>الظاهرة الدنبا</t>
  </si>
  <si>
    <t>C1546</t>
  </si>
  <si>
    <t>Maasara - Maasaret Jaq</t>
  </si>
  <si>
    <t>المعصرة_معصرةجق</t>
  </si>
  <si>
    <t>C1552</t>
  </si>
  <si>
    <t>المعبطلي</t>
  </si>
  <si>
    <t>C6400</t>
  </si>
  <si>
    <t>Mazraet Shlu</t>
  </si>
  <si>
    <t>مزرعة شلو</t>
  </si>
  <si>
    <t>C1553</t>
  </si>
  <si>
    <t>Mazuleh - Rotanli</t>
  </si>
  <si>
    <t>المعزولة_روطانلي</t>
  </si>
  <si>
    <t>C1554</t>
  </si>
  <si>
    <t>Sheikh Aqraa - Kilo</t>
  </si>
  <si>
    <t>الشيخ الأقرع_كيلو</t>
  </si>
  <si>
    <t>C1540</t>
  </si>
  <si>
    <t>Sherkan - Sherkanli</t>
  </si>
  <si>
    <t>شيركان_شيركانلي</t>
  </si>
  <si>
    <t>C1539</t>
  </si>
  <si>
    <t>Shorba</t>
  </si>
  <si>
    <t>الشوربة</t>
  </si>
  <si>
    <t>C1550</t>
  </si>
  <si>
    <t>Smal</t>
  </si>
  <si>
    <t>السمال</t>
  </si>
  <si>
    <t>C1536</t>
  </si>
  <si>
    <t>Surra - Kobak</t>
  </si>
  <si>
    <t>الصرة_كوباك</t>
  </si>
  <si>
    <t>C8219</t>
  </si>
  <si>
    <t>Upper Al-Thahrah</t>
  </si>
  <si>
    <t>الظاهرة العليا</t>
  </si>
  <si>
    <t>C8207</t>
  </si>
  <si>
    <t>Upper Khazian</t>
  </si>
  <si>
    <t>خزيان فوقاني</t>
  </si>
  <si>
    <t>C1555</t>
  </si>
  <si>
    <t>Yakhur - Ayki Yakhur</t>
  </si>
  <si>
    <t>ياخور_أيكي أخور</t>
  </si>
  <si>
    <t>C1545</t>
  </si>
  <si>
    <t>Yatimeh - Oksozli</t>
  </si>
  <si>
    <t>اليتيمة_أوكسوزلي</t>
  </si>
  <si>
    <t>C1584</t>
  </si>
  <si>
    <t>Abla</t>
  </si>
  <si>
    <t>عبلة</t>
  </si>
  <si>
    <t>C8247</t>
  </si>
  <si>
    <t>Ahmadiyha</t>
  </si>
  <si>
    <t>الاحمدية</t>
  </si>
  <si>
    <t>C1581</t>
  </si>
  <si>
    <t>Akhtrein</t>
  </si>
  <si>
    <t>أخترين</t>
  </si>
  <si>
    <t>C7478</t>
  </si>
  <si>
    <t>Al Kharab</t>
  </si>
  <si>
    <t>الخراب</t>
  </si>
  <si>
    <t>C7502</t>
  </si>
  <si>
    <t>Al Salihiyah Maree</t>
  </si>
  <si>
    <t>الصالحية مارع</t>
  </si>
  <si>
    <t>C8228</t>
  </si>
  <si>
    <t>Al-Kamaliya</t>
  </si>
  <si>
    <t>كمالية</t>
  </si>
  <si>
    <t>C6334</t>
  </si>
  <si>
    <t>Arshaf</t>
  </si>
  <si>
    <t>ارشاف</t>
  </si>
  <si>
    <t>C1578</t>
  </si>
  <si>
    <t>Aziziyeh</t>
  </si>
  <si>
    <t>العزيزية</t>
  </si>
  <si>
    <t>C1582</t>
  </si>
  <si>
    <t>Baruz</t>
  </si>
  <si>
    <t>باروزة</t>
  </si>
  <si>
    <t>C1580</t>
  </si>
  <si>
    <t>Bayada - Aq Burhan</t>
  </si>
  <si>
    <t>البياضية_آق برهان</t>
  </si>
  <si>
    <t>C7492</t>
  </si>
  <si>
    <t>Beit Misto</t>
  </si>
  <si>
    <t>بيت مستو</t>
  </si>
  <si>
    <t>C1593</t>
  </si>
  <si>
    <t>Bgheidine</t>
  </si>
  <si>
    <t>بغيدين</t>
  </si>
  <si>
    <t>C1577</t>
  </si>
  <si>
    <t>Bhorta</t>
  </si>
  <si>
    <t>بحورته</t>
  </si>
  <si>
    <t>C1583</t>
  </si>
  <si>
    <t>Bleikha</t>
  </si>
  <si>
    <t>بليخة</t>
  </si>
  <si>
    <t>C1597</t>
  </si>
  <si>
    <t>Dabeq</t>
  </si>
  <si>
    <t>دابق</t>
  </si>
  <si>
    <t>C1591</t>
  </si>
  <si>
    <t>Dweidan</t>
  </si>
  <si>
    <t>دوديان</t>
  </si>
  <si>
    <t>C1586</t>
  </si>
  <si>
    <t>Dweir Elhawa</t>
  </si>
  <si>
    <t>دوير الهوا</t>
  </si>
  <si>
    <t>C1594</t>
  </si>
  <si>
    <t>Eastern Tal Aar</t>
  </si>
  <si>
    <t>تل عار شرقية</t>
  </si>
  <si>
    <t>C1601</t>
  </si>
  <si>
    <t>Eastern Tal Battal</t>
  </si>
  <si>
    <t>تل بطال شرقي</t>
  </si>
  <si>
    <t>C1604</t>
  </si>
  <si>
    <t>Ein Elosud</t>
  </si>
  <si>
    <t>عين الاسود</t>
  </si>
  <si>
    <t>C1598</t>
  </si>
  <si>
    <t>Eskar</t>
  </si>
  <si>
    <t>اكسار</t>
  </si>
  <si>
    <t>C1614</t>
  </si>
  <si>
    <t>Ghaytun</t>
  </si>
  <si>
    <t>غيطون</t>
  </si>
  <si>
    <t>C1608</t>
  </si>
  <si>
    <t>Gheilaniyeh</t>
  </si>
  <si>
    <t>الغيلانية</t>
  </si>
  <si>
    <t>C1603</t>
  </si>
  <si>
    <t>Ghorur</t>
  </si>
  <si>
    <t>غرور</t>
  </si>
  <si>
    <t>C1607</t>
  </si>
  <si>
    <t>Ghoz</t>
  </si>
  <si>
    <t>الغوز</t>
  </si>
  <si>
    <t>C1585</t>
  </si>
  <si>
    <t>Hardana</t>
  </si>
  <si>
    <t>الحردانة</t>
  </si>
  <si>
    <t>C1600</t>
  </si>
  <si>
    <t>Jakkeh</t>
  </si>
  <si>
    <t>جكة</t>
  </si>
  <si>
    <t>C8173</t>
  </si>
  <si>
    <t>Jubb Al-Asi</t>
  </si>
  <si>
    <t>جب العاصي</t>
  </si>
  <si>
    <t>C1609</t>
  </si>
  <si>
    <t>Kaeebeh</t>
  </si>
  <si>
    <t>كعيبة</t>
  </si>
  <si>
    <t>C1610</t>
  </si>
  <si>
    <t>Kardish</t>
  </si>
  <si>
    <t>كدريش</t>
  </si>
  <si>
    <t>C1576</t>
  </si>
  <si>
    <t>Khalfatli</t>
  </si>
  <si>
    <t>خلفتلي</t>
  </si>
  <si>
    <t>C7559</t>
  </si>
  <si>
    <t>Khirbet tall Shair</t>
  </si>
  <si>
    <t>خربة تل شعير</t>
  </si>
  <si>
    <t>C1599</t>
  </si>
  <si>
    <t>Masudiyeh</t>
  </si>
  <si>
    <t>المسعودية</t>
  </si>
  <si>
    <t>C7572</t>
  </si>
  <si>
    <t>Mezraat Shahin</t>
  </si>
  <si>
    <t>مزرعة شاهين</t>
  </si>
  <si>
    <t>C7476</t>
  </si>
  <si>
    <t>Miserefe</t>
  </si>
  <si>
    <t>مصيرفة</t>
  </si>
  <si>
    <t>C1587</t>
  </si>
  <si>
    <t>Oweilin</t>
  </si>
  <si>
    <t>عويلين</t>
  </si>
  <si>
    <t>C1616</t>
  </si>
  <si>
    <t>Qaar Kalbein</t>
  </si>
  <si>
    <t>قعر كلبين</t>
  </si>
  <si>
    <t>C1611</t>
  </si>
  <si>
    <t>Qabtan</t>
  </si>
  <si>
    <t>قبتان</t>
  </si>
  <si>
    <t>C1613</t>
  </si>
  <si>
    <t>Qazam - Qesset Jak</t>
  </si>
  <si>
    <t>قزم_قصه جك</t>
  </si>
  <si>
    <t>C1612</t>
  </si>
  <si>
    <t>Qorra Mazraa</t>
  </si>
  <si>
    <t>قره مزرعة</t>
  </si>
  <si>
    <t>C1596</t>
  </si>
  <si>
    <t>Samuqet Aazaz</t>
  </si>
  <si>
    <t>سموقة اعزاز</t>
  </si>
  <si>
    <t>C1588</t>
  </si>
  <si>
    <t>Sandara</t>
  </si>
  <si>
    <t>صندرة</t>
  </si>
  <si>
    <t>C8244</t>
  </si>
  <si>
    <t>Shabanyiha</t>
  </si>
  <si>
    <t>الشعبانية</t>
  </si>
  <si>
    <t>C1590</t>
  </si>
  <si>
    <t>Taanah</t>
  </si>
  <si>
    <t>طعانة</t>
  </si>
  <si>
    <t>C8250</t>
  </si>
  <si>
    <t>Tal Battal</t>
  </si>
  <si>
    <t>تل بطال</t>
  </si>
  <si>
    <t>C8158</t>
  </si>
  <si>
    <t>Tal Jijan</t>
  </si>
  <si>
    <t>تل جيجان</t>
  </si>
  <si>
    <t>C1592</t>
  </si>
  <si>
    <t>Tal Sheer Aazaz</t>
  </si>
  <si>
    <t>تل شعير اعزاز</t>
  </si>
  <si>
    <t>C8179</t>
  </si>
  <si>
    <t>Talatayna </t>
  </si>
  <si>
    <t>تلاتينة</t>
  </si>
  <si>
    <t>C1602</t>
  </si>
  <si>
    <t>Tat Hims</t>
  </si>
  <si>
    <t>طاط حمس</t>
  </si>
  <si>
    <t>C1606</t>
  </si>
  <si>
    <t>Teltana</t>
  </si>
  <si>
    <t>تلتانة</t>
  </si>
  <si>
    <t>C1605</t>
  </si>
  <si>
    <t>Turkman Bareh</t>
  </si>
  <si>
    <t>تركمان بارح</t>
  </si>
  <si>
    <t>C7487</t>
  </si>
  <si>
    <t>Tuwainiyah</t>
  </si>
  <si>
    <t>طويحينة</t>
  </si>
  <si>
    <t>C1589</t>
  </si>
  <si>
    <t>Tweis</t>
  </si>
  <si>
    <t>طويس</t>
  </si>
  <si>
    <t>C1615</t>
  </si>
  <si>
    <t>Wash</t>
  </si>
  <si>
    <t>واش</t>
  </si>
  <si>
    <t>C1595</t>
  </si>
  <si>
    <t>Western Tal Aar</t>
  </si>
  <si>
    <t>تل عار غربية</t>
  </si>
  <si>
    <t>C1579</t>
  </si>
  <si>
    <t>Zayadiyeh</t>
  </si>
  <si>
    <t>زيادية</t>
  </si>
  <si>
    <t>C1630</t>
  </si>
  <si>
    <t>Saed - Qlsroj</t>
  </si>
  <si>
    <t>الساعد_قولسروج</t>
  </si>
  <si>
    <t>C1632</t>
  </si>
  <si>
    <t>Tlaline</t>
  </si>
  <si>
    <t>تلالين</t>
  </si>
  <si>
    <t>C1634</t>
  </si>
  <si>
    <t>Hosniyeh - Hsajek</t>
  </si>
  <si>
    <t>الحسنية_حساجك</t>
  </si>
  <si>
    <t>C1636</t>
  </si>
  <si>
    <t>Hiwar Elnahr</t>
  </si>
  <si>
    <t>حوار النهر</t>
  </si>
  <si>
    <t>C1637</t>
  </si>
  <si>
    <t>Hissiyeh</t>
  </si>
  <si>
    <t>الحصية</t>
  </si>
  <si>
    <t>C1640</t>
  </si>
  <si>
    <t>Fafin</t>
  </si>
  <si>
    <t>فافين</t>
  </si>
  <si>
    <t>C1641</t>
  </si>
  <si>
    <t>Maratet Um Hosh</t>
  </si>
  <si>
    <t>معراتة أم حوش</t>
  </si>
  <si>
    <t>C1643</t>
  </si>
  <si>
    <t>C6419</t>
  </si>
  <si>
    <t>Sandaf</t>
  </si>
  <si>
    <t>صندف</t>
  </si>
  <si>
    <t>C6420</t>
  </si>
  <si>
    <t>Em Al-Qura</t>
  </si>
  <si>
    <t>أم القرى</t>
  </si>
  <si>
    <t>C7480</t>
  </si>
  <si>
    <t>Mezraat Hewarin</t>
  </si>
  <si>
    <t>مزرعة حوارين</t>
  </si>
  <si>
    <t>C1633</t>
  </si>
  <si>
    <t>Alsayed Ali</t>
  </si>
  <si>
    <t>السيد علي</t>
  </si>
  <si>
    <t>C1629</t>
  </si>
  <si>
    <t>Asanbal</t>
  </si>
  <si>
    <t>اسنبل</t>
  </si>
  <si>
    <t>C1631</t>
  </si>
  <si>
    <t>Harbal</t>
  </si>
  <si>
    <t>حربل</t>
  </si>
  <si>
    <t>C8140</t>
  </si>
  <si>
    <t>Hasin</t>
  </si>
  <si>
    <t>حاسين</t>
  </si>
  <si>
    <t>C1642</t>
  </si>
  <si>
    <t>Kafr Elward</t>
  </si>
  <si>
    <t>كفر الورد</t>
  </si>
  <si>
    <t>C1639</t>
  </si>
  <si>
    <t>Qaramel</t>
  </si>
  <si>
    <t>قرامل</t>
  </si>
  <si>
    <t>C6418</t>
  </si>
  <si>
    <t>Tal Maled</t>
  </si>
  <si>
    <t>تل مالد</t>
  </si>
  <si>
    <t>C1638</t>
  </si>
  <si>
    <t>Telqraq</t>
  </si>
  <si>
    <t>تلقراح</t>
  </si>
  <si>
    <t>C1644</t>
  </si>
  <si>
    <t>Wahshiyeh</t>
  </si>
  <si>
    <t>وحشية</t>
  </si>
  <si>
    <t>C8152</t>
  </si>
  <si>
    <t>Wardyah</t>
  </si>
  <si>
    <t>وردية</t>
  </si>
  <si>
    <t>C7474</t>
  </si>
  <si>
    <t>Wasitiyah Maree</t>
  </si>
  <si>
    <t>وسيطية مارع</t>
  </si>
  <si>
    <t>C1657</t>
  </si>
  <si>
    <t>Yarobiyeh</t>
  </si>
  <si>
    <t>اليعربية</t>
  </si>
  <si>
    <t>C1658</t>
  </si>
  <si>
    <t>Zayzafun - Ekdeh</t>
  </si>
  <si>
    <t>الزيزفون_إيكدة</t>
  </si>
  <si>
    <t>C1660</t>
  </si>
  <si>
    <t>Shweirin</t>
  </si>
  <si>
    <t>شويرين</t>
  </si>
  <si>
    <t>C1662</t>
  </si>
  <si>
    <t>Jdideh</t>
  </si>
  <si>
    <t>الجديدة</t>
  </si>
  <si>
    <t>C1665</t>
  </si>
  <si>
    <t>Rael</t>
  </si>
  <si>
    <t>راعل</t>
  </si>
  <si>
    <t>C1667</t>
  </si>
  <si>
    <t>Ehteimlat</t>
  </si>
  <si>
    <t>احتيملات</t>
  </si>
  <si>
    <t>C1670</t>
  </si>
  <si>
    <t>Mreigel</t>
  </si>
  <si>
    <t>مريغل</t>
  </si>
  <si>
    <t>C1672</t>
  </si>
  <si>
    <t>Kafra</t>
  </si>
  <si>
    <t>كفرة</t>
  </si>
  <si>
    <t>C6421</t>
  </si>
  <si>
    <t>Qazal</t>
  </si>
  <si>
    <t>قزل/غزل</t>
  </si>
  <si>
    <t>C6423</t>
  </si>
  <si>
    <t>Dalha</t>
  </si>
  <si>
    <t>دلحة</t>
  </si>
  <si>
    <t>C8222</t>
  </si>
  <si>
    <t>Al-Sheikh Rih</t>
  </si>
  <si>
    <t>شيخ ريح</t>
  </si>
  <si>
    <t>C8239</t>
  </si>
  <si>
    <t>Qara Kubri</t>
  </si>
  <si>
    <t>قرة كبري</t>
  </si>
  <si>
    <t>C1669</t>
  </si>
  <si>
    <t>Albil</t>
  </si>
  <si>
    <t>البل</t>
  </si>
  <si>
    <t>C8253</t>
  </si>
  <si>
    <t>Al-Maraa Al-Sawda</t>
  </si>
  <si>
    <t>المرعة السودا</t>
  </si>
  <si>
    <t>C1663</t>
  </si>
  <si>
    <t>Baraghideh</t>
  </si>
  <si>
    <t>براغيدة</t>
  </si>
  <si>
    <t>C1659</t>
  </si>
  <si>
    <t>Dweibeq</t>
  </si>
  <si>
    <t>دويبق</t>
  </si>
  <si>
    <t>C6422</t>
  </si>
  <si>
    <t>Harjalah</t>
  </si>
  <si>
    <t>حرجلة</t>
  </si>
  <si>
    <t>C1661</t>
  </si>
  <si>
    <t>Hiwar Kalas</t>
  </si>
  <si>
    <t>حوار كلس</t>
  </si>
  <si>
    <t>C1671</t>
  </si>
  <si>
    <t>Kafr Barja</t>
  </si>
  <si>
    <t>كفر بارجة</t>
  </si>
  <si>
    <t>C6781</t>
  </si>
  <si>
    <t>Kafr Ghan</t>
  </si>
  <si>
    <t>كفرغان</t>
  </si>
  <si>
    <t>C1673</t>
  </si>
  <si>
    <t>Kafrshush</t>
  </si>
  <si>
    <t>كفرشوش</t>
  </si>
  <si>
    <t>C1668</t>
  </si>
  <si>
    <t>Odaya</t>
  </si>
  <si>
    <t>العدية</t>
  </si>
  <si>
    <t>C8231</t>
  </si>
  <si>
    <t>Tall Husson</t>
  </si>
  <si>
    <t>تل الحصن</t>
  </si>
  <si>
    <t>C1666</t>
  </si>
  <si>
    <t>Thaheriya Azaz</t>
  </si>
  <si>
    <t>الظاهرية أعزاز</t>
  </si>
  <si>
    <t>C8223</t>
  </si>
  <si>
    <t>Touqi</t>
  </si>
  <si>
    <t>الطوقي</t>
  </si>
  <si>
    <t>C1664</t>
  </si>
  <si>
    <t>C7554</t>
  </si>
  <si>
    <t>Al Muwass</t>
  </si>
  <si>
    <t>المواس</t>
  </si>
  <si>
    <t>C7629</t>
  </si>
  <si>
    <t>Ayn Al Bayda</t>
  </si>
  <si>
    <t>عين البيضا</t>
  </si>
  <si>
    <t>C8264</t>
  </si>
  <si>
    <t>Bablan</t>
  </si>
  <si>
    <t>ببلان</t>
  </si>
  <si>
    <t>C8274</t>
  </si>
  <si>
    <t>Bait Hussain</t>
  </si>
  <si>
    <t>بيت حسين</t>
  </si>
  <si>
    <t>C2235</t>
  </si>
  <si>
    <t>Big Majra</t>
  </si>
  <si>
    <t>مجرى كبير</t>
  </si>
  <si>
    <t>C2217</t>
  </si>
  <si>
    <t>Dabis</t>
  </si>
  <si>
    <t>الدابس</t>
  </si>
  <si>
    <t>C7593</t>
  </si>
  <si>
    <t>Dulaym</t>
  </si>
  <si>
    <t>الدليم</t>
  </si>
  <si>
    <t>C2231</t>
  </si>
  <si>
    <t>Hadra - Big Baldaq</t>
  </si>
  <si>
    <t>الحاضرة_بلدق كبير</t>
  </si>
  <si>
    <t>C2219</t>
  </si>
  <si>
    <t>Halawaniyeh</t>
  </si>
  <si>
    <t>الحلوانية</t>
  </si>
  <si>
    <t>C2214</t>
  </si>
  <si>
    <t>Halawanji</t>
  </si>
  <si>
    <t>حلونجي</t>
  </si>
  <si>
    <t>C2229</t>
  </si>
  <si>
    <t>Himar</t>
  </si>
  <si>
    <t>حيمر</t>
  </si>
  <si>
    <t>C2215</t>
  </si>
  <si>
    <t>Hjeileh - Jrables</t>
  </si>
  <si>
    <t>الحجلية - جرابلس</t>
  </si>
  <si>
    <t>C2224</t>
  </si>
  <si>
    <t>Jamel</t>
  </si>
  <si>
    <t>الجامل</t>
  </si>
  <si>
    <t>C2227</t>
  </si>
  <si>
    <t>C8243</t>
  </si>
  <si>
    <t>Jat</t>
  </si>
  <si>
    <t>جات</t>
  </si>
  <si>
    <t>C8265</t>
  </si>
  <si>
    <t>Jubb Al-Kusa</t>
  </si>
  <si>
    <t>جب الكوسا</t>
  </si>
  <si>
    <t>C2239</t>
  </si>
  <si>
    <t>Little Majra</t>
  </si>
  <si>
    <t>مجرى صغير</t>
  </si>
  <si>
    <t>C2216</t>
  </si>
  <si>
    <t>Lower Bir</t>
  </si>
  <si>
    <t>البير التحتاني</t>
  </si>
  <si>
    <t>C2226</t>
  </si>
  <si>
    <t>Lower Jrables</t>
  </si>
  <si>
    <t>جرابلس تحتاني</t>
  </si>
  <si>
    <t>C2223</t>
  </si>
  <si>
    <t>Lower Um Rotha</t>
  </si>
  <si>
    <t>أم روثة تحتاني</t>
  </si>
  <si>
    <t>C2218</t>
  </si>
  <si>
    <t>Maghayer - Qorq Mghar</t>
  </si>
  <si>
    <t>المغاير_قرق مغار</t>
  </si>
  <si>
    <t>C2232</t>
  </si>
  <si>
    <t>Mahsana - Mahsanli</t>
  </si>
  <si>
    <t>المحسنة_محسنلي</t>
  </si>
  <si>
    <t>C2238</t>
  </si>
  <si>
    <t>Marma Elhajar</t>
  </si>
  <si>
    <t>مرمى الحجر</t>
  </si>
  <si>
    <t>C2240</t>
  </si>
  <si>
    <t>Mazaalah</t>
  </si>
  <si>
    <t>مزعلة</t>
  </si>
  <si>
    <t>C2241</t>
  </si>
  <si>
    <t>Qandariya</t>
  </si>
  <si>
    <t>قندرية</t>
  </si>
  <si>
    <t>C2237</t>
  </si>
  <si>
    <t>Qirata</t>
  </si>
  <si>
    <t>قيراطة</t>
  </si>
  <si>
    <t>C2230</t>
  </si>
  <si>
    <t>Sreisat</t>
  </si>
  <si>
    <t>صريصات</t>
  </si>
  <si>
    <t>C2213</t>
  </si>
  <si>
    <t>Tal Elamara</t>
  </si>
  <si>
    <t>تل العمارة</t>
  </si>
  <si>
    <t>C7665</t>
  </si>
  <si>
    <t>Tall Shair</t>
  </si>
  <si>
    <t>تل شعير</t>
  </si>
  <si>
    <t>C2221</t>
  </si>
  <si>
    <t>Thahr Elmaghayer</t>
  </si>
  <si>
    <t>ظهر المغاير</t>
  </si>
  <si>
    <t>C2222</t>
  </si>
  <si>
    <t>Treikhem</t>
  </si>
  <si>
    <t>طريخم</t>
  </si>
  <si>
    <t>C2228</t>
  </si>
  <si>
    <t>Um Sosa</t>
  </si>
  <si>
    <t>أم سوسة</t>
  </si>
  <si>
    <t>C2225</t>
  </si>
  <si>
    <t>Upper Um Rotha</t>
  </si>
  <si>
    <t>أم روثة فوقاني</t>
  </si>
  <si>
    <t>C2236</t>
  </si>
  <si>
    <t>Yusef Elbeik</t>
  </si>
  <si>
    <t>يوسف بك</t>
  </si>
  <si>
    <t>C2220</t>
  </si>
  <si>
    <t>Zoghra</t>
  </si>
  <si>
    <t>زوغرة</t>
  </si>
  <si>
    <t>C3866</t>
  </si>
  <si>
    <t>Aqrabat</t>
  </si>
  <si>
    <t>عقربات</t>
  </si>
  <si>
    <t>C3867</t>
  </si>
  <si>
    <t>Nayrab</t>
  </si>
  <si>
    <t>النيرب</t>
  </si>
  <si>
    <t>C3868</t>
  </si>
  <si>
    <t>Ein Shib</t>
  </si>
  <si>
    <t>عين شيب</t>
  </si>
  <si>
    <t>C3869</t>
  </si>
  <si>
    <t>Kreiz</t>
  </si>
  <si>
    <t>الكريز</t>
  </si>
  <si>
    <t>C3870</t>
  </si>
  <si>
    <t>Tab Issa - Eastern And Western</t>
  </si>
  <si>
    <t>تب عيسى_شرقية وغربية</t>
  </si>
  <si>
    <t>C3871</t>
  </si>
  <si>
    <t>C3872</t>
  </si>
  <si>
    <t>Mastumeh</t>
  </si>
  <si>
    <t>المسطومة</t>
  </si>
  <si>
    <t>C3873</t>
  </si>
  <si>
    <t>Sijer - Bqesemtoh</t>
  </si>
  <si>
    <t>سيجر - بقسمته</t>
  </si>
  <si>
    <t>C3874</t>
  </si>
  <si>
    <t>Northern Ora</t>
  </si>
  <si>
    <t>عرى الشمالية</t>
  </si>
  <si>
    <t>C3875</t>
  </si>
  <si>
    <t>Arshani</t>
  </si>
  <si>
    <t>عرشاني</t>
  </si>
  <si>
    <t>C3876</t>
  </si>
  <si>
    <t>Qminas</t>
  </si>
  <si>
    <t>قميناس</t>
  </si>
  <si>
    <t>C3877</t>
  </si>
  <si>
    <t>Falyun</t>
  </si>
  <si>
    <t>فيلون</t>
  </si>
  <si>
    <t>C3878</t>
  </si>
  <si>
    <t>Martein</t>
  </si>
  <si>
    <t>مرتين</t>
  </si>
  <si>
    <t>C3879</t>
  </si>
  <si>
    <t>Kafruhin</t>
  </si>
  <si>
    <t>كفروحين</t>
  </si>
  <si>
    <t>C6689</t>
  </si>
  <si>
    <t>Bshmaron</t>
  </si>
  <si>
    <t>بشمارون</t>
  </si>
  <si>
    <t>C8014</t>
  </si>
  <si>
    <t>Deir Al-Zaghab</t>
  </si>
  <si>
    <t>دير الزغب</t>
  </si>
  <si>
    <t>C8021</t>
  </si>
  <si>
    <t>Bruma</t>
  </si>
  <si>
    <t>بروما</t>
  </si>
  <si>
    <t>C4114</t>
  </si>
  <si>
    <t>Ariba</t>
  </si>
  <si>
    <t>عريبا</t>
  </si>
  <si>
    <t>C4115</t>
  </si>
  <si>
    <t>C4116</t>
  </si>
  <si>
    <t>Besnaya - Bseineh</t>
  </si>
  <si>
    <t>بسنيا_بسينة</t>
  </si>
  <si>
    <t>C4117</t>
  </si>
  <si>
    <t>Kafr Hum</t>
  </si>
  <si>
    <t>كفرحوم</t>
  </si>
  <si>
    <t>C4118</t>
  </si>
  <si>
    <t>Mira Shaq</t>
  </si>
  <si>
    <t>ميرا سحاق</t>
  </si>
  <si>
    <t>C4119</t>
  </si>
  <si>
    <t>Kafr Mu</t>
  </si>
  <si>
    <t>كفر مو</t>
  </si>
  <si>
    <t>C4120</t>
  </si>
  <si>
    <t>Hezreh - Hezri</t>
  </si>
  <si>
    <t>حزرة_حرزي</t>
  </si>
  <si>
    <t>C4121</t>
  </si>
  <si>
    <t>Sarmada</t>
  </si>
  <si>
    <t>سرمدا</t>
  </si>
  <si>
    <t>C4122</t>
  </si>
  <si>
    <t>Tal Elkaramej</t>
  </si>
  <si>
    <t>تل الكرامة</t>
  </si>
  <si>
    <t>C4123</t>
  </si>
  <si>
    <t>Selwa</t>
  </si>
  <si>
    <t>صلوة</t>
  </si>
  <si>
    <t>C4124</t>
  </si>
  <si>
    <t>Tilaada</t>
  </si>
  <si>
    <t>تلعادة</t>
  </si>
  <si>
    <t>C4125</t>
  </si>
  <si>
    <t>Termanin</t>
  </si>
  <si>
    <t>ترمانين</t>
  </si>
  <si>
    <t>C4126</t>
  </si>
  <si>
    <t>الدانا</t>
  </si>
  <si>
    <t>C4127</t>
  </si>
  <si>
    <t>C4128</t>
  </si>
  <si>
    <t>Burj Elnumra</t>
  </si>
  <si>
    <t>برج النمرة</t>
  </si>
  <si>
    <t>C4129</t>
  </si>
  <si>
    <t>Deir Hassan - Darhashan</t>
  </si>
  <si>
    <t>دير حسان_درحشان</t>
  </si>
  <si>
    <t>C4130</t>
  </si>
  <si>
    <t>Atma</t>
  </si>
  <si>
    <t>اطمه</t>
  </si>
  <si>
    <t>C4131</t>
  </si>
  <si>
    <t>Qah</t>
  </si>
  <si>
    <t>قاح</t>
  </si>
  <si>
    <t>C4132</t>
  </si>
  <si>
    <t>Kafr Deryan</t>
  </si>
  <si>
    <t>كفردريان</t>
  </si>
  <si>
    <t>C6389</t>
  </si>
  <si>
    <t>Bab El Hawa</t>
  </si>
  <si>
    <t>باب الهوى</t>
  </si>
  <si>
    <t>C6692</t>
  </si>
  <si>
    <t>Mashhad Ruhin</t>
  </si>
  <si>
    <t>مشهد روحين</t>
  </si>
  <si>
    <t>C6693</t>
  </si>
  <si>
    <t>Burdaqly</t>
  </si>
  <si>
    <t>بردقلي</t>
  </si>
  <si>
    <t>C6755</t>
  </si>
  <si>
    <t>Babisqa</t>
  </si>
  <si>
    <t>بابيسقا</t>
  </si>
  <si>
    <t>C7407</t>
  </si>
  <si>
    <t>Al Kufir</t>
  </si>
  <si>
    <t>الكفير حارم</t>
  </si>
  <si>
    <t>C7427</t>
  </si>
  <si>
    <t>Sarjableh</t>
  </si>
  <si>
    <t>سرجبلة</t>
  </si>
  <si>
    <t>C8092</t>
  </si>
  <si>
    <t>Kafr Kafaldin</t>
  </si>
  <si>
    <t>كفر كفلدين</t>
  </si>
  <si>
    <t>C4133</t>
  </si>
  <si>
    <t>Abu Talha</t>
  </si>
  <si>
    <t>ابو طلحة</t>
  </si>
  <si>
    <t>C6694</t>
  </si>
  <si>
    <t>Aljib</t>
  </si>
  <si>
    <t>الجب</t>
  </si>
  <si>
    <t>C4142</t>
  </si>
  <si>
    <t>Allani</t>
  </si>
  <si>
    <t>العلاني</t>
  </si>
  <si>
    <t>C4143</t>
  </si>
  <si>
    <t>Azmarin</t>
  </si>
  <si>
    <t>عزمارين</t>
  </si>
  <si>
    <t>C4147</t>
  </si>
  <si>
    <t>Betiya</t>
  </si>
  <si>
    <t>بتيا</t>
  </si>
  <si>
    <t>C4141</t>
  </si>
  <si>
    <t>Big Hir Jamus</t>
  </si>
  <si>
    <t>حير جاموس كبير</t>
  </si>
  <si>
    <t>C4144</t>
  </si>
  <si>
    <t>Bozanti</t>
  </si>
  <si>
    <t>بوزانطي</t>
  </si>
  <si>
    <t>C4146</t>
  </si>
  <si>
    <t>Delbiya</t>
  </si>
  <si>
    <t>دلبيا</t>
  </si>
  <si>
    <t>C4136</t>
  </si>
  <si>
    <t>Ein Elbikara</t>
  </si>
  <si>
    <t>عين البكارة</t>
  </si>
  <si>
    <t>C4145</t>
  </si>
  <si>
    <t>Eskat</t>
  </si>
  <si>
    <t>اسقاط</t>
  </si>
  <si>
    <t>C6619</t>
  </si>
  <si>
    <t>Faroukiyeh</t>
  </si>
  <si>
    <t>الفاروقية</t>
  </si>
  <si>
    <t>C4135</t>
  </si>
  <si>
    <t>Foziyeh</t>
  </si>
  <si>
    <t>الفوزية</t>
  </si>
  <si>
    <t>C6621</t>
  </si>
  <si>
    <t>Hamra</t>
  </si>
  <si>
    <t>الحمرة</t>
  </si>
  <si>
    <t>C4134</t>
  </si>
  <si>
    <t>Hamziyeh</t>
  </si>
  <si>
    <t>الحمزية</t>
  </si>
  <si>
    <t>C6622</t>
  </si>
  <si>
    <t>Jakara</t>
  </si>
  <si>
    <t>جكارة</t>
  </si>
  <si>
    <t>C6618</t>
  </si>
  <si>
    <t>Jeser Maksour</t>
  </si>
  <si>
    <t>الجسر المكسور</t>
  </si>
  <si>
    <t>C4149</t>
  </si>
  <si>
    <t>Kafarna</t>
  </si>
  <si>
    <t>كفرنه</t>
  </si>
  <si>
    <t>C4151</t>
  </si>
  <si>
    <t>Kafr Hind</t>
  </si>
  <si>
    <t>كفر هند</t>
  </si>
  <si>
    <t>C4150</t>
  </si>
  <si>
    <t>Kafrahlat Jallad</t>
  </si>
  <si>
    <t>كفرحات جلاد</t>
  </si>
  <si>
    <t>C4139</t>
  </si>
  <si>
    <t>Little Hir Jamus</t>
  </si>
  <si>
    <t>حير جاموس صغير</t>
  </si>
  <si>
    <t>C6620</t>
  </si>
  <si>
    <t>Msheirfeh</t>
  </si>
  <si>
    <t>المشيرفة</t>
  </si>
  <si>
    <t>C4138</t>
  </si>
  <si>
    <t>Saidiyeh</t>
  </si>
  <si>
    <t>السعيدية</t>
  </si>
  <si>
    <t>C4140</t>
  </si>
  <si>
    <t>C6617</t>
  </si>
  <si>
    <t>Sayed Khalil</t>
  </si>
  <si>
    <t>السيد خليل</t>
  </si>
  <si>
    <t>C6750</t>
  </si>
  <si>
    <t>Set Aateka</t>
  </si>
  <si>
    <t>ست عاتكة</t>
  </si>
  <si>
    <t>C6364</t>
  </si>
  <si>
    <t>Shyukh</t>
  </si>
  <si>
    <t>الشيوخ</t>
  </si>
  <si>
    <t>C4148</t>
  </si>
  <si>
    <t>Tellemar</t>
  </si>
  <si>
    <t>تلعمار</t>
  </si>
  <si>
    <t>C4137</t>
  </si>
  <si>
    <t>Tlul</t>
  </si>
  <si>
    <t>التلول</t>
  </si>
  <si>
    <t>cereals</t>
  </si>
  <si>
    <t>Cereals [wheat / rice /barley/ spaghetti /burgul/ bread or any other locally available grain]</t>
  </si>
  <si>
    <t>الحبوب [ القمح / الأرز/شعير / السباغيتي/البرغل / الخبز أو أي حبوب أخرى متوفرة محليًا]</t>
  </si>
  <si>
    <t>rootstubers</t>
  </si>
  <si>
    <t>Roots and tubers [sugar beets/ white sweet potato / potato or other tubers]</t>
  </si>
  <si>
    <t>الجذور والدرنات [الشمندر/ البطاطا الحلوة البيضاء / البطاطا أو درنات أخرى]</t>
  </si>
  <si>
    <t>vegetables</t>
  </si>
  <si>
    <t>Vegetables [all]</t>
  </si>
  <si>
    <t>الخضار [الكل]</t>
  </si>
  <si>
    <t>fruits</t>
  </si>
  <si>
    <t>Fruit [all]</t>
  </si>
  <si>
    <t>الفواكه [الكل]</t>
  </si>
  <si>
    <t>meat</t>
  </si>
  <si>
    <t>Meat, poultry and offal [beef / pork / lamb /goat / chicken /wild game/ birds / liver / kidney / heart / or other organ meats]</t>
  </si>
  <si>
    <t>اللحوم / الدواجن ومخلفاتها [لحم البقر / لحم الخنزير / لحم الغنم / لحم الماعز  / الدجاج /الطرائد البريّة/ العصافير / الكبد / الكلى / القلب / أو غيرها من لحوم الأعضاء]</t>
  </si>
  <si>
    <t>eggs</t>
  </si>
  <si>
    <t>fish</t>
  </si>
  <si>
    <t>Fish or shellfish [fresh/canned or other seafood]</t>
  </si>
  <si>
    <t>الأسماك أو المحار [الأسماك الطازجة/المعلّبة او  غيرها]</t>
  </si>
  <si>
    <t>legumes</t>
  </si>
  <si>
    <t>Legumes, nuts and seeds [beans/favabeans/chickpeas/ peas / peanut / lentils / almond / and/or other nuts]</t>
  </si>
  <si>
    <t>البقوليات والمكسرات [الفول / الفاصوليا/الحمص/ البازلاء / الفول السوداني / العدس / اللوز / المكسرات الأخرى]</t>
  </si>
  <si>
    <t>milkdairy</t>
  </si>
  <si>
    <t>Milk and other dairy products [fresh milk / yogurt / cheese / other dairy products]</t>
  </si>
  <si>
    <t>الحليب ومنتجات الألبان الأخرى [حليب طازج / لبن رائب / جبن / منتجات ألبان أخرى]</t>
  </si>
  <si>
    <t>oils</t>
  </si>
  <si>
    <t>Oil/fat / butter [cooking / butter / margarine / fat/oil / other oil]</t>
  </si>
  <si>
    <t>الزيوت والدهون [ الزبدة / المارجرين / الدهون / الزيت / الزيوت الأخرى]</t>
  </si>
  <si>
    <t>sugar</t>
  </si>
  <si>
    <t>Sugar or sugary products [honey / jam / candy / biscuits / pastries / cakes and other sweet products]</t>
  </si>
  <si>
    <t>السكر أو المنتجات السكرية [عسل / مربى / حلوى / شوكولاتة / بسكويت / حلو / كيك ومنتجات حلوة أخرى]</t>
  </si>
  <si>
    <t>condiments</t>
  </si>
  <si>
    <t>Condiments [salt / Chicken or meat stock/garlic /zaatar (with sesame and sumac) spices / yeast or baking powder / tomato or tomato sauce], coffee, tea</t>
  </si>
  <si>
    <t>التوابل [ الملح /مرقة الدجاج أو اللّحم/ الثوم/ زعتر(مع السمسم و السمّاق) / البهارات / الخميرة / مسحوق الخبز (بكنج باودر) / الطماطم أو صلصة الطماطم] والقهوة و الشاي</t>
  </si>
  <si>
    <t>water</t>
  </si>
  <si>
    <t>Private tap from piped water</t>
  </si>
  <si>
    <t>صنبور خاص من مياه الأنابيب</t>
  </si>
  <si>
    <t>Public tap</t>
  </si>
  <si>
    <t>صنبور عام</t>
  </si>
  <si>
    <t>Protected well</t>
  </si>
  <si>
    <t>بئر محمي</t>
  </si>
  <si>
    <t>Bottled water</t>
  </si>
  <si>
    <t>المياه المعبأة</t>
  </si>
  <si>
    <t>Other safe source</t>
  </si>
  <si>
    <t>مصدر آمن آخر</t>
  </si>
  <si>
    <t>River</t>
  </si>
  <si>
    <t>نهر</t>
  </si>
  <si>
    <t>Unprotected well</t>
  </si>
  <si>
    <t>بئر غير محمي</t>
  </si>
  <si>
    <t>Spring water</t>
  </si>
  <si>
    <t>مياه الينابيع</t>
  </si>
  <si>
    <t>Surface water [e.g. canal, ponds, dams]</t>
  </si>
  <si>
    <t>قناة أو مياه سطحية أخرى</t>
  </si>
  <si>
    <t>Other unsafe source</t>
  </si>
  <si>
    <t>مصدر آخر غير آمن</t>
  </si>
  <si>
    <t>1.2</t>
  </si>
  <si>
    <t>1.5</t>
  </si>
  <si>
    <t>1.6</t>
  </si>
  <si>
    <t>2.2</t>
  </si>
  <si>
    <t>3.1</t>
  </si>
  <si>
    <t>3.2</t>
  </si>
  <si>
    <t>3.3</t>
  </si>
  <si>
    <t>3.4</t>
  </si>
  <si>
    <t>3.5</t>
  </si>
  <si>
    <t>3.6</t>
  </si>
  <si>
    <t>4.2</t>
  </si>
  <si>
    <t>4.9</t>
  </si>
  <si>
    <t>5.1</t>
  </si>
  <si>
    <t>5.101</t>
  </si>
  <si>
    <t>5.11</t>
  </si>
  <si>
    <t>5.2</t>
  </si>
  <si>
    <t>5.4</t>
  </si>
  <si>
    <t>5.5</t>
  </si>
  <si>
    <t>5.6</t>
  </si>
  <si>
    <t>5.7</t>
  </si>
  <si>
    <t>الفلفل حلو</t>
  </si>
  <si>
    <t>5.8</t>
  </si>
  <si>
    <t>7.11</t>
  </si>
  <si>
    <t>7.12</t>
  </si>
  <si>
    <t>7.15</t>
  </si>
  <si>
    <t>7.8</t>
  </si>
  <si>
    <t>8.5</t>
  </si>
  <si>
    <t>8.7</t>
  </si>
  <si>
    <t>1.1</t>
  </si>
  <si>
    <t>Rice</t>
  </si>
  <si>
    <t>الرز</t>
  </si>
  <si>
    <t>1.3</t>
  </si>
  <si>
    <t>Millet</t>
  </si>
  <si>
    <t>الدخن</t>
  </si>
  <si>
    <t>1.4</t>
  </si>
  <si>
    <t>Sorghum</t>
  </si>
  <si>
    <t>الذرة الرفيعة</t>
  </si>
  <si>
    <t>1.99</t>
  </si>
  <si>
    <t>Other Cereal</t>
  </si>
  <si>
    <t>الحبوب الأخرى</t>
  </si>
  <si>
    <t>2.1</t>
  </si>
  <si>
    <t>Cassava</t>
  </si>
  <si>
    <t>الكسافا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</si>
  <si>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</si>
  <si>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</si>
  <si>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</si>
  <si>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</si>
  <si>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</si>
  <si>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</si>
  <si>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</si>
  <si>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</si>
  <si>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</si>
  <si>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</si>
  <si>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</si>
  <si>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</si>
  <si>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</si>
  <si>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</si>
  <si>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</si>
  <si>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3.7</t>
  </si>
  <si>
    <t>Broad beans</t>
  </si>
  <si>
    <t>الفاصوليا العريضة</t>
  </si>
  <si>
    <t>3.99</t>
  </si>
  <si>
    <t>Other pulses</t>
  </si>
  <si>
    <t>البقول الاخرى</t>
  </si>
  <si>
    <t>4.1</t>
  </si>
  <si>
    <t>Cabbage</t>
  </si>
  <si>
    <t>الملفوف</t>
  </si>
  <si>
    <t>4.101</t>
  </si>
  <si>
    <t>Cauliflower</t>
  </si>
  <si>
    <t>القرنبيط</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</si>
  <si>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</si>
  <si>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</si>
  <si>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</si>
  <si>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</si>
  <si>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</si>
  <si>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</si>
  <si>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</si>
  <si>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</si>
  <si>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</si>
  <si>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</si>
  <si>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</si>
  <si>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</si>
  <si>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</si>
  <si>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</si>
  <si>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</si>
  <si>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4.99</t>
  </si>
  <si>
    <t>Other leafy vegetables</t>
  </si>
  <si>
    <t>الخضار الورقية الأخرى</t>
  </si>
  <si>
    <t>5.3</t>
  </si>
  <si>
    <t>Pumpkin</t>
  </si>
  <si>
    <t>اليقطين</t>
  </si>
  <si>
    <t>5.9</t>
  </si>
  <si>
    <t>Haricot</t>
  </si>
  <si>
    <t>اللوبياء</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</si>
  <si>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</si>
  <si>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</si>
  <si>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</si>
  <si>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</si>
  <si>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</si>
  <si>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</si>
  <si>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</si>
  <si>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</si>
  <si>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</si>
  <si>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</si>
  <si>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</si>
  <si>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</si>
  <si>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</si>
  <si>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</si>
  <si>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</si>
  <si>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</si>
  <si>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</si>
  <si>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</si>
  <si>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</si>
  <si>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</si>
  <si>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</si>
  <si>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7.101</t>
  </si>
  <si>
    <t>Figs</t>
  </si>
  <si>
    <t>التين</t>
  </si>
  <si>
    <t>7.13</t>
  </si>
  <si>
    <t>Apple</t>
  </si>
  <si>
    <t>التفاح</t>
  </si>
  <si>
    <t>7.14</t>
  </si>
  <si>
    <t>Apricot</t>
  </si>
  <si>
    <t>المشمش</t>
  </si>
  <si>
    <t>7.16</t>
  </si>
  <si>
    <t>Peach/nectarine</t>
  </si>
  <si>
    <t>الدراق / النكتارين</t>
  </si>
  <si>
    <t>7.17</t>
  </si>
  <si>
    <t>Strawberries</t>
  </si>
  <si>
    <t>الفراولة</t>
  </si>
  <si>
    <t>7.18</t>
  </si>
  <si>
    <t>Melon (Cantaloupe)</t>
  </si>
  <si>
    <t>الشمام</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</si>
  <si>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</si>
  <si>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</si>
  <si>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</si>
  <si>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</si>
  <si>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</si>
  <si>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</si>
  <si>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</si>
  <si>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</si>
  <si>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</si>
  <si>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</si>
  <si>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</si>
  <si>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</si>
  <si>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</si>
  <si>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</si>
  <si>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</si>
  <si>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</si>
  <si>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</si>
  <si>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</si>
  <si>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7.9</t>
  </si>
  <si>
    <t>Dates</t>
  </si>
  <si>
    <t>التمر</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</si>
  <si>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</si>
  <si>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</si>
  <si>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</si>
  <si>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</si>
  <si>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</si>
  <si>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</si>
  <si>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</si>
  <si>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</si>
  <si>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</si>
  <si>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</si>
  <si>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</si>
  <si>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</si>
  <si>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</si>
  <si>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</si>
  <si>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</si>
  <si>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8.6</t>
  </si>
  <si>
    <t>Bambara nut</t>
  </si>
  <si>
    <t>جوز البامبارا</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</si>
  <si>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</si>
  <si>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</si>
  <si>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</si>
  <si>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</si>
  <si>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</si>
  <si>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</si>
  <si>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</si>
  <si>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</si>
  <si>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</si>
  <si>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</si>
  <si>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</si>
  <si>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</si>
  <si>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</si>
  <si>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</si>
  <si>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</si>
  <si>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</si>
  <si>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</si>
  <si>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</si>
  <si>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</si>
  <si>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</si>
  <si>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</si>
  <si>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</si>
  <si>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</si>
  <si>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</si>
  <si>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</si>
  <si>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</si>
  <si>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</si>
  <si>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</si>
  <si>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</si>
  <si>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</si>
  <si>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</si>
  <si>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</si>
  <si>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</si>
  <si>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</si>
  <si>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</si>
  <si>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</si>
  <si>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</si>
  <si>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</si>
  <si>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</si>
  <si>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</si>
  <si>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</si>
  <si>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</si>
  <si>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</si>
  <si>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</si>
  <si>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</si>
  <si>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777</t>
  </si>
  <si>
    <t>لا إنتاج للمحصول</t>
  </si>
  <si>
    <t>888</t>
  </si>
  <si>
    <t>999</t>
  </si>
  <si>
    <t>crop2</t>
  </si>
  <si>
    <t>666</t>
  </si>
  <si>
    <t>No other crop</t>
  </si>
  <si>
    <t>لا محاصيل أخرى</t>
  </si>
  <si>
    <t>crop3</t>
  </si>
  <si>
    <t>version</t>
  </si>
  <si>
    <t>default_language</t>
  </si>
  <si>
    <t>allow_choice_duplicates</t>
  </si>
  <si>
    <t>style</t>
  </si>
  <si>
    <t>vM6cWXyHNhR3djPbARkHWi</t>
  </si>
  <si>
    <t>Arabic (ar)</t>
  </si>
  <si>
    <t>theme-grid no-text-transform</t>
  </si>
  <si>
    <t xml:space="preserve">Select top 10 crops / حدد أكبر 10 محاصيل </t>
  </si>
  <si>
    <t>Dataset code</t>
  </si>
  <si>
    <t>Label (EN)</t>
  </si>
  <si>
    <t>Label (AR)</t>
  </si>
  <si>
    <t>x</t>
  </si>
  <si>
    <t xml:space="preserve">Original </t>
  </si>
  <si>
    <t>Replacement (AR)</t>
  </si>
  <si>
    <t>Replacement (EN)</t>
  </si>
  <si>
    <t>Comment (AR)</t>
  </si>
  <si>
    <t>Comment (EN)</t>
  </si>
  <si>
    <t>Exemple (AR)</t>
  </si>
  <si>
    <t>Example(EN)</t>
  </si>
  <si>
    <t>age</t>
  </si>
  <si>
    <t xml:space="preserve">الحد الأدنى لسن المجيب (يفضل أن يكون عمره 18 عامًا على الأقل).  يرجى إدخال الأرقام في الأبجدية اللاتينية (...3, 2, 1). </t>
  </si>
  <si>
    <t>Minimum age of respondent (recommend 18 years old). Only digits in Latin numbers should be inputted.</t>
  </si>
  <si>
    <t>ADMIN1</t>
  </si>
  <si>
    <t>المحافظة</t>
  </si>
  <si>
    <t>Governorate</t>
  </si>
  <si>
    <t>التقسيم الأول للبلاد ، بعد المستوى الوطني ؛ منطقة؛ محافظة؛ ولاية ؛ إلخ. يجب إدخال كلمة واحدة فقط - لا تقم بتضمين مسافات.</t>
  </si>
  <si>
    <t>The first subdivision of the country, after national level; region; province; governorate; etc. Only one word should be inputted - Do not include spaces.</t>
  </si>
  <si>
    <t>منطقة</t>
  </si>
  <si>
    <t>region</t>
  </si>
  <si>
    <t>ADMIN2</t>
  </si>
  <si>
    <t>المنطقة</t>
  </si>
  <si>
    <t>District</t>
  </si>
  <si>
    <t>التقسيم الثاني للبلاد ؛ قضاء؛ بلدية؛ إلخ. يجب إدخال كلمة واحدة فقط - لا تقم بتضمين مسافات.</t>
  </si>
  <si>
    <t>The second subdivision of the country; district; municipality; LGA; etc. Only one word should be inputted - Do not include spaces.</t>
  </si>
  <si>
    <t>قضاء</t>
  </si>
  <si>
    <t>district</t>
  </si>
  <si>
    <t>ADMIN 3</t>
  </si>
  <si>
    <t>الناحية</t>
  </si>
  <si>
    <t>Sub-District</t>
  </si>
  <si>
    <t>ADMIN 4</t>
  </si>
  <si>
    <t>القرية</t>
  </si>
  <si>
    <t>Community</t>
  </si>
  <si>
    <t>reference year</t>
  </si>
  <si>
    <t>العام العادي</t>
  </si>
  <si>
    <t>Normal year</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</si>
  <si>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</si>
  <si>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</si>
  <si>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</si>
  <si>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</si>
  <si>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الموسم الجاري</t>
  </si>
  <si>
    <t>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</si>
  <si>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</si>
  <si>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Name the crop season(s) of interest if there are several cropping seasons in the country (e.g. Meher and Belg in Ethiopia, rainy season / flood-recession cropping / irrigated dry season in the Sahel). You can refer to the “last season” or “ongoing season".</t>
  </si>
  <si>
    <t>موسم الأمطار</t>
  </si>
  <si>
    <t>wet season</t>
  </si>
  <si>
    <t>local measurement unit</t>
  </si>
  <si>
    <t>دنم</t>
  </si>
  <si>
    <t>donum</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</si>
  <si>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</si>
  <si>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 xml:space="preserve">Specify the local measurement unit for land size, other than acres, hectares, square meters and square feet. If no other unit of measurement is needed, keep this cell blank. </t>
  </si>
  <si>
    <t>جريب</t>
  </si>
  <si>
    <t>Jeribs</t>
  </si>
  <si>
    <t>local measurement unit conversion</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</si>
  <si>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</si>
  <si>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Include the conversion of the local measurement unit to hectares. In other words, how many local measurement units are in 1 ha. Only digits in Latin numbers should be inputted.</t>
  </si>
  <si>
    <t>currency</t>
  </si>
  <si>
    <t>دولار أمريكي</t>
  </si>
  <si>
    <t>USD</t>
  </si>
  <si>
    <t>اسم العملة الرئيسية المستخدمة وطنيا ؛ دولار أمريكي؛ نيرة؛ الريال؛ بيزو؛ إلخ.</t>
  </si>
  <si>
    <t xml:space="preserve">The name of the main currency used nationally; USD; Naira; Rial; Pesos; etc. </t>
  </si>
  <si>
    <t>نيرة</t>
  </si>
  <si>
    <t>Naira</t>
  </si>
  <si>
    <t>Expected percentage of respondents cultivating crops</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</si>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</sst>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_-* #,##0.00_-;\-* #,##0.00_-;_-* &quot;-&quot;??_-;_-@_-"/>
  </numFmts>
  <fonts count="4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i/>
      <sz val="11"/>
      <color rgb="FF000000"/>
      <name val="Calibri"/>
      <family val="2"/>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i/>
      <sz val="11"/>
      <color theme="0" tint="-0.34998626667073579"/>
      <name val="Calibri"/>
      <family val="2"/>
    </font>
    <font>
      <i/>
      <sz val="11"/>
      <color theme="0" tint="-0.34998626667073579"/>
      <name val="Calibri (Body)"/>
    </font>
    <font>
      <sz val="11"/>
      <color theme="1"/>
      <name val="Calibri"/>
      <family val="2"/>
    </font>
    <font>
      <sz val="8"/>
      <color theme="1"/>
      <name val="Ubuntu Mono"/>
      <family val="3"/>
    </font>
    <font>
      <sz val="11"/>
      <color theme="1"/>
      <name val="Ubuntu Mono"/>
      <family val="3"/>
    </font>
    <font>
      <i/>
      <sz val="11"/>
      <color theme="1"/>
      <name val="Calibri"/>
      <family val="2"/>
    </font>
    <font>
      <sz val="11"/>
      <color theme="1"/>
      <name val="Ubuntu Mono"/>
      <family val="3"/>
    </font>
    <font>
      <sz val="11"/>
      <name val="Ubuntu Mono"/>
      <family val="3"/>
    </font>
    <font>
      <sz val="11"/>
      <color theme="5"/>
      <name val="Ubuntu Mono"/>
      <family val="3"/>
    </font>
    <font>
      <b/>
      <sz val="12"/>
      <color theme="1"/>
      <name val="Calibri"/>
      <family val="2"/>
      <scheme val="minor"/>
    </font>
    <font>
      <sz val="12"/>
      <name val="Calibri"/>
      <family val="2"/>
      <scheme val="minor"/>
    </font>
    <font>
      <i/>
      <sz val="11"/>
      <color theme="1"/>
      <name val="Calibri"/>
      <family val="2"/>
      <scheme val="minor"/>
    </font>
    <font>
      <i/>
      <sz val="11"/>
      <name val="Calibri"/>
      <family val="2"/>
      <scheme val="minor"/>
    </font>
    <font>
      <b/>
      <sz val="11"/>
      <color rgb="FF0070C0"/>
      <name val="Calibri"/>
      <family val="2"/>
      <scheme val="minor"/>
    </font>
    <font>
      <sz val="10.5"/>
      <color theme="1"/>
      <name val="Calibri"/>
      <family val="2"/>
      <scheme val="minor"/>
    </font>
  </fonts>
  <fills count="15">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rgb="FFFF0000"/>
        <bgColor indexed="64"/>
      </patternFill>
    </fill>
  </fills>
  <borders count="54">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thin">
        <color theme="1"/>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style="thin">
        <color theme="1"/>
      </left>
      <right style="thin">
        <color indexed="64"/>
      </right>
      <top/>
      <bottom style="medium">
        <color indexed="64"/>
      </bottom>
      <diagonal/>
    </border>
    <border>
      <left style="medium">
        <color indexed="64"/>
      </left>
      <right style="thin">
        <color auto="1"/>
      </right>
      <top style="thin">
        <color auto="1"/>
      </top>
      <bottom style="thin">
        <color rgb="FF000000"/>
      </bottom>
      <diagonal/>
    </border>
    <border>
      <left style="medium">
        <color indexed="64"/>
      </left>
      <right style="thin">
        <color rgb="FF000000"/>
      </right>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9">
    <xf numFmtId="0" fontId="0" fillId="0" borderId="0"/>
    <xf numFmtId="0" fontId="6" fillId="0" borderId="0"/>
    <xf numFmtId="0" fontId="9" fillId="0" borderId="0"/>
    <xf numFmtId="0" fontId="14" fillId="0" borderId="0"/>
    <xf numFmtId="0" fontId="6" fillId="0" borderId="0"/>
    <xf numFmtId="0" fontId="6" fillId="0" borderId="0"/>
    <xf numFmtId="0" fontId="19" fillId="4" borderId="14"/>
    <xf numFmtId="9" fontId="9" fillId="0" borderId="0"/>
    <xf numFmtId="0" fontId="6" fillId="0" borderId="0"/>
    <xf numFmtId="0" fontId="6" fillId="0" borderId="0"/>
    <xf numFmtId="0" fontId="6" fillId="0" borderId="0"/>
    <xf numFmtId="0" fontId="6" fillId="0" borderId="0"/>
    <xf numFmtId="0" fontId="9" fillId="0" borderId="0"/>
    <xf numFmtId="0" fontId="6" fillId="0" borderId="0"/>
    <xf numFmtId="0" fontId="9" fillId="0" borderId="0"/>
    <xf numFmtId="0" fontId="6" fillId="0" borderId="0"/>
    <xf numFmtId="0" fontId="9" fillId="0" borderId="0"/>
    <xf numFmtId="0" fontId="6" fillId="0" borderId="0"/>
    <xf numFmtId="166" fontId="9" fillId="0" borderId="0"/>
  </cellStyleXfs>
  <cellXfs count="398">
    <xf numFmtId="0" fontId="0" fillId="0" borderId="0" xfId="0"/>
    <xf numFmtId="0" fontId="8" fillId="2" borderId="0" xfId="0" applyFont="1" applyFill="1" applyProtection="1">
      <protection locked="0"/>
    </xf>
    <xf numFmtId="0" fontId="8" fillId="0" borderId="0" xfId="0" applyFont="1" applyProtection="1">
      <protection locked="0"/>
    </xf>
    <xf numFmtId="0" fontId="0" fillId="0" borderId="0" xfId="0" applyProtection="1">
      <protection locked="0"/>
    </xf>
    <xf numFmtId="0" fontId="0" fillId="2" borderId="0" xfId="0" applyFill="1" applyProtection="1">
      <protection locked="0"/>
    </xf>
    <xf numFmtId="0" fontId="10" fillId="2" borderId="0" xfId="0" applyFont="1" applyFill="1" applyProtection="1">
      <protection locked="0"/>
    </xf>
    <xf numFmtId="0" fontId="8" fillId="0" borderId="0" xfId="0" applyFont="1"/>
    <xf numFmtId="0" fontId="20" fillId="2" borderId="7" xfId="6" applyFont="1" applyFill="1" applyBorder="1" applyAlignment="1" applyProtection="1">
      <alignment horizontal="center" vertical="center"/>
      <protection locked="0"/>
    </xf>
    <xf numFmtId="0" fontId="10" fillId="0" borderId="0" xfId="0" applyFont="1" applyProtection="1">
      <protection locked="0"/>
    </xf>
    <xf numFmtId="0" fontId="4" fillId="0" borderId="2" xfId="10" applyFont="1" applyBorder="1"/>
    <xf numFmtId="0" fontId="4" fillId="0" borderId="13" xfId="10" applyFont="1" applyBorder="1"/>
    <xf numFmtId="0" fontId="4" fillId="0" borderId="6" xfId="10" applyFont="1" applyBorder="1"/>
    <xf numFmtId="0" fontId="4" fillId="0" borderId="23" xfId="10" applyFont="1" applyBorder="1"/>
    <xf numFmtId="0" fontId="17" fillId="0" borderId="26" xfId="10" applyFont="1" applyBorder="1" applyAlignment="1">
      <alignment horizontal="center" vertical="center" wrapText="1"/>
    </xf>
    <xf numFmtId="0" fontId="17" fillId="0" borderId="31" xfId="10" applyFont="1" applyBorder="1" applyAlignment="1">
      <alignment vertical="center" wrapText="1"/>
    </xf>
    <xf numFmtId="0" fontId="17" fillId="0" borderId="19" xfId="10" applyFont="1" applyBorder="1" applyAlignment="1">
      <alignment vertical="center" wrapText="1"/>
    </xf>
    <xf numFmtId="0" fontId="4" fillId="0" borderId="3" xfId="10" applyFont="1" applyBorder="1"/>
    <xf numFmtId="0" fontId="16" fillId="0" borderId="10" xfId="5" applyFont="1" applyBorder="1" applyAlignment="1">
      <alignment horizontal="left" vertical="center"/>
    </xf>
    <xf numFmtId="0" fontId="16" fillId="0" borderId="10" xfId="10" applyFont="1" applyBorder="1" applyAlignment="1">
      <alignment horizontal="left" vertical="center"/>
    </xf>
    <xf numFmtId="0" fontId="22" fillId="0" borderId="8" xfId="10" applyFont="1" applyBorder="1" applyAlignment="1">
      <alignment horizontal="center" vertical="center" wrapText="1"/>
    </xf>
    <xf numFmtId="0" fontId="22" fillId="0" borderId="5" xfId="10" applyFont="1" applyBorder="1" applyAlignment="1">
      <alignment horizontal="center" vertical="center" wrapText="1"/>
    </xf>
    <xf numFmtId="0" fontId="21" fillId="0" borderId="35" xfId="0" applyFont="1" applyBorder="1" applyAlignment="1" applyProtection="1">
      <alignment horizontal="center" vertical="center" wrapText="1"/>
      <protection locked="0"/>
    </xf>
    <xf numFmtId="0" fontId="4" fillId="0" borderId="13" xfId="10" applyFont="1" applyBorder="1" applyAlignment="1">
      <alignment vertical="center"/>
    </xf>
    <xf numFmtId="0" fontId="18" fillId="0" borderId="25" xfId="10" applyFont="1" applyBorder="1" applyAlignment="1">
      <alignment horizontal="center" vertical="center"/>
    </xf>
    <xf numFmtId="0" fontId="4" fillId="0" borderId="3" xfId="10" applyFont="1" applyBorder="1" applyAlignment="1">
      <alignment vertical="center"/>
    </xf>
    <xf numFmtId="0" fontId="4"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0" fillId="0" borderId="0" xfId="0" applyFont="1" applyAlignment="1" applyProtection="1">
      <alignment vertical="top" wrapText="1"/>
      <protection locked="0"/>
    </xf>
    <xf numFmtId="0" fontId="22" fillId="0" borderId="15" xfId="10" applyFont="1" applyBorder="1" applyAlignment="1">
      <alignment horizontal="center" vertical="center" wrapText="1"/>
    </xf>
    <xf numFmtId="0" fontId="25" fillId="0" borderId="16" xfId="10" applyFont="1" applyBorder="1" applyAlignment="1">
      <alignment vertical="center" wrapText="1"/>
    </xf>
    <xf numFmtId="0" fontId="25" fillId="0" borderId="7" xfId="10" applyFont="1" applyBorder="1" applyAlignment="1">
      <alignment vertical="center" wrapText="1"/>
    </xf>
    <xf numFmtId="0" fontId="25" fillId="0" borderId="4" xfId="10" applyFont="1" applyBorder="1" applyAlignment="1">
      <alignment vertical="center" wrapText="1"/>
    </xf>
    <xf numFmtId="0" fontId="4" fillId="5" borderId="6" xfId="10" applyFont="1" applyFill="1" applyBorder="1"/>
    <xf numFmtId="0" fontId="16" fillId="5" borderId="30" xfId="10" applyFont="1" applyFill="1" applyBorder="1" applyAlignment="1">
      <alignment vertical="center"/>
    </xf>
    <xf numFmtId="0" fontId="17" fillId="5" borderId="31" xfId="10" applyFont="1" applyFill="1" applyBorder="1" applyAlignment="1">
      <alignment vertical="center" wrapText="1"/>
    </xf>
    <xf numFmtId="0" fontId="17" fillId="5" borderId="32" xfId="10" applyFont="1" applyFill="1" applyBorder="1" applyAlignment="1">
      <alignment horizontal="center" vertical="center" wrapText="1"/>
    </xf>
    <xf numFmtId="0" fontId="4" fillId="5" borderId="23" xfId="10" applyFont="1" applyFill="1" applyBorder="1"/>
    <xf numFmtId="0" fontId="4" fillId="5" borderId="2" xfId="10" applyFont="1" applyFill="1" applyBorder="1"/>
    <xf numFmtId="0" fontId="4" fillId="0" borderId="6" xfId="10" applyFont="1" applyBorder="1" applyAlignment="1">
      <alignment vertical="center"/>
    </xf>
    <xf numFmtId="0" fontId="18" fillId="0" borderId="12" xfId="10" applyFont="1" applyBorder="1" applyAlignment="1">
      <alignment horizontal="center" vertical="center" wrapText="1"/>
    </xf>
    <xf numFmtId="0" fontId="18" fillId="0" borderId="11" xfId="10" applyFont="1" applyBorder="1" applyAlignment="1">
      <alignment horizontal="center" vertical="center"/>
    </xf>
    <xf numFmtId="0" fontId="18" fillId="0" borderId="18" xfId="10" applyFont="1" applyBorder="1" applyAlignment="1">
      <alignment horizontal="center" vertical="center"/>
    </xf>
    <xf numFmtId="0" fontId="4" fillId="0" borderId="23" xfId="10" applyFont="1" applyBorder="1" applyAlignment="1">
      <alignment vertical="center"/>
    </xf>
    <xf numFmtId="0" fontId="8" fillId="0" borderId="0" xfId="0" applyFont="1" applyAlignment="1">
      <alignment vertical="top"/>
    </xf>
    <xf numFmtId="0" fontId="8" fillId="2" borderId="0" xfId="0" applyFont="1" applyFill="1" applyAlignment="1" applyProtection="1">
      <alignment vertical="top" wrapText="1"/>
      <protection locked="0"/>
    </xf>
    <xf numFmtId="0" fontId="8" fillId="2" borderId="0" xfId="0" applyFont="1" applyFill="1" applyAlignment="1" applyProtection="1">
      <alignment vertical="top"/>
      <protection locked="0"/>
    </xf>
    <xf numFmtId="0" fontId="8" fillId="0" borderId="0" xfId="0" applyFont="1" applyAlignment="1" applyProtection="1">
      <alignment vertical="top"/>
      <protection locked="0"/>
    </xf>
    <xf numFmtId="0" fontId="21" fillId="0" borderId="0" xfId="0" applyFont="1" applyAlignment="1" applyProtection="1">
      <alignment vertical="top"/>
      <protection locked="0"/>
    </xf>
    <xf numFmtId="0" fontId="0" fillId="0" borderId="0" xfId="0" applyAlignment="1">
      <alignment vertical="top"/>
    </xf>
    <xf numFmtId="0" fontId="10" fillId="0" borderId="0" xfId="0" applyFont="1" applyAlignment="1" applyProtection="1">
      <alignment vertical="top"/>
      <protection locked="0"/>
    </xf>
    <xf numFmtId="0" fontId="11" fillId="0" borderId="0" xfId="0" applyFont="1" applyAlignment="1" applyProtection="1">
      <alignment vertical="top"/>
      <protection locked="0"/>
    </xf>
    <xf numFmtId="0" fontId="11" fillId="2" borderId="0" xfId="0" applyFont="1" applyFill="1" applyAlignment="1" applyProtection="1">
      <alignment vertical="top" wrapText="1"/>
      <protection locked="0"/>
    </xf>
    <xf numFmtId="0" fontId="10" fillId="0" borderId="0" xfId="0" applyFont="1" applyAlignment="1">
      <alignment vertical="top"/>
    </xf>
    <xf numFmtId="0" fontId="10" fillId="0" borderId="0" xfId="0" applyFont="1" applyAlignment="1">
      <alignment vertical="top" wrapText="1"/>
    </xf>
    <xf numFmtId="0" fontId="21" fillId="0" borderId="0" xfId="0" applyFont="1" applyAlignment="1">
      <alignment vertical="top"/>
    </xf>
    <xf numFmtId="0" fontId="11" fillId="2" borderId="0" xfId="0" applyFont="1" applyFill="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23" fillId="0" borderId="0" xfId="0" applyFont="1" applyAlignment="1" applyProtection="1">
      <alignment vertical="top"/>
      <protection locked="0"/>
    </xf>
    <xf numFmtId="0" fontId="10" fillId="0" borderId="1" xfId="0" applyFont="1" applyBorder="1" applyAlignment="1">
      <alignment vertical="top"/>
    </xf>
    <xf numFmtId="0" fontId="10" fillId="2" borderId="0" xfId="0" applyFont="1" applyFill="1" applyAlignment="1" applyProtection="1">
      <alignment vertical="top" wrapText="1"/>
      <protection locked="0"/>
    </xf>
    <xf numFmtId="0" fontId="12" fillId="0" borderId="0" xfId="0" applyFont="1" applyAlignment="1" applyProtection="1">
      <alignment vertical="top"/>
      <protection locked="0"/>
    </xf>
    <xf numFmtId="0" fontId="10" fillId="2" borderId="0" xfId="0" applyFont="1" applyFill="1" applyAlignment="1" applyProtection="1">
      <alignment vertical="top"/>
      <protection locked="0"/>
    </xf>
    <xf numFmtId="0" fontId="0" fillId="0" borderId="1" xfId="0" applyBorder="1" applyAlignment="1">
      <alignment vertical="top"/>
    </xf>
    <xf numFmtId="0" fontId="12" fillId="2" borderId="0" xfId="0" applyFont="1" applyFill="1" applyAlignment="1" applyProtection="1">
      <alignment vertical="top"/>
      <protection locked="0"/>
    </xf>
    <xf numFmtId="0" fontId="12" fillId="0" borderId="0" xfId="0" applyFont="1" applyAlignment="1">
      <alignment vertical="top"/>
    </xf>
    <xf numFmtId="164" fontId="10" fillId="0" borderId="0" xfId="0" applyNumberFormat="1" applyFont="1" applyAlignment="1" applyProtection="1">
      <alignment vertical="top"/>
      <protection locked="0"/>
    </xf>
    <xf numFmtId="9" fontId="10" fillId="0" borderId="0" xfId="0" applyNumberFormat="1" applyFont="1" applyAlignment="1" applyProtection="1">
      <alignment vertical="top"/>
      <protection locked="0"/>
    </xf>
    <xf numFmtId="0" fontId="0" fillId="2" borderId="1" xfId="0" applyFill="1" applyBorder="1" applyAlignment="1" applyProtection="1">
      <alignment vertical="top"/>
      <protection locked="0"/>
    </xf>
    <xf numFmtId="0" fontId="8" fillId="0" borderId="0" xfId="0" applyFont="1" applyAlignment="1">
      <alignment horizontal="center" vertical="center"/>
    </xf>
    <xf numFmtId="0" fontId="8" fillId="0" borderId="0" xfId="0" applyFont="1" applyAlignment="1">
      <alignment horizontal="center" vertical="center" wrapText="1"/>
    </xf>
    <xf numFmtId="0" fontId="8" fillId="2" borderId="0" xfId="0" applyFont="1" applyFill="1" applyAlignment="1" applyProtection="1">
      <alignment horizontal="center" vertical="center" wrapText="1"/>
      <protection locked="0"/>
    </xf>
    <xf numFmtId="0" fontId="8" fillId="2" borderId="0" xfId="0" applyFont="1" applyFill="1" applyAlignment="1" applyProtection="1">
      <alignment horizontal="center" vertical="center"/>
      <protection locked="0"/>
    </xf>
    <xf numFmtId="0" fontId="8"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11" fillId="0" borderId="0" xfId="0" applyFont="1" applyAlignment="1" applyProtection="1">
      <alignment vertical="center"/>
      <protection locked="0"/>
    </xf>
    <xf numFmtId="0" fontId="10" fillId="0" borderId="0" xfId="0" applyFont="1" applyAlignment="1">
      <alignment vertical="center"/>
    </xf>
    <xf numFmtId="0" fontId="8" fillId="0" borderId="0" xfId="0" applyFont="1" applyAlignment="1">
      <alignment vertical="center"/>
    </xf>
    <xf numFmtId="0" fontId="23" fillId="0" borderId="0" xfId="0" applyFont="1" applyAlignment="1">
      <alignment vertical="center"/>
    </xf>
    <xf numFmtId="0" fontId="11" fillId="0" borderId="0" xfId="0" applyFont="1" applyAlignment="1">
      <alignment vertical="center"/>
    </xf>
    <xf numFmtId="0" fontId="10" fillId="0" borderId="1" xfId="0" applyFont="1" applyBorder="1" applyAlignment="1">
      <alignment vertical="center"/>
    </xf>
    <xf numFmtId="0" fontId="10" fillId="0" borderId="0" xfId="0" applyFont="1" applyAlignment="1" applyProtection="1">
      <alignment vertical="center"/>
      <protection locked="0"/>
    </xf>
    <xf numFmtId="0" fontId="21" fillId="0" borderId="0" xfId="0" applyFont="1" applyAlignment="1">
      <alignment vertical="center"/>
    </xf>
    <xf numFmtId="0" fontId="4" fillId="5" borderId="24" xfId="10" applyFont="1" applyFill="1" applyBorder="1" applyAlignment="1">
      <alignment horizontal="center" vertical="center"/>
    </xf>
    <xf numFmtId="0" fontId="0" fillId="0" borderId="2" xfId="0" applyBorder="1"/>
    <xf numFmtId="0" fontId="10"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8" fillId="0" borderId="7" xfId="0" applyFont="1" applyBorder="1" applyAlignment="1">
      <alignment horizontal="center" vertical="center" wrapText="1"/>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wrapText="1"/>
    </xf>
    <xf numFmtId="0" fontId="21" fillId="0" borderId="7" xfId="0" applyFont="1" applyBorder="1" applyAlignment="1">
      <alignment wrapText="1"/>
    </xf>
    <xf numFmtId="0" fontId="10"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0"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6" fillId="0" borderId="0" xfId="0" applyFont="1" applyAlignment="1">
      <alignment vertical="center"/>
    </xf>
    <xf numFmtId="0" fontId="26" fillId="0" borderId="0" xfId="0" applyFont="1" applyAlignment="1">
      <alignment vertical="top"/>
    </xf>
    <xf numFmtId="0" fontId="26" fillId="0" borderId="0" xfId="0" applyFont="1" applyAlignment="1" applyProtection="1">
      <alignment vertical="top"/>
      <protection locked="0"/>
    </xf>
    <xf numFmtId="0" fontId="26" fillId="2" borderId="0" xfId="0" applyFont="1" applyFill="1" applyAlignment="1" applyProtection="1">
      <alignment vertical="top" wrapText="1"/>
      <protection locked="0"/>
    </xf>
    <xf numFmtId="0" fontId="26" fillId="2" borderId="0" xfId="0" applyFont="1" applyFill="1" applyAlignment="1" applyProtection="1">
      <alignment vertical="top"/>
      <protection locked="0"/>
    </xf>
    <xf numFmtId="9" fontId="11" fillId="0" borderId="0" xfId="0" applyNumberFormat="1" applyFont="1" applyAlignment="1" applyProtection="1">
      <alignment vertical="top"/>
      <protection locked="0"/>
    </xf>
    <xf numFmtId="0" fontId="15" fillId="0" borderId="0" xfId="0" applyFont="1" applyAlignment="1" applyProtection="1">
      <alignment vertical="top"/>
      <protection locked="0"/>
    </xf>
    <xf numFmtId="0" fontId="15" fillId="0" borderId="0" xfId="0" applyFont="1" applyAlignment="1" applyProtection="1">
      <alignment vertical="center"/>
      <protection locked="0"/>
    </xf>
    <xf numFmtId="9" fontId="10" fillId="0" borderId="0" xfId="7" applyFont="1" applyAlignment="1" applyProtection="1">
      <alignment vertical="top"/>
      <protection locked="0"/>
    </xf>
    <xf numFmtId="165" fontId="10" fillId="0" borderId="0" xfId="0" applyNumberFormat="1" applyFont="1" applyAlignment="1" applyProtection="1">
      <alignment vertical="top"/>
      <protection locked="0"/>
    </xf>
    <xf numFmtId="165" fontId="10" fillId="0" borderId="0" xfId="0" applyNumberFormat="1" applyFont="1" applyAlignment="1" applyProtection="1">
      <alignment vertical="top" wrapText="1"/>
      <protection locked="0"/>
    </xf>
    <xf numFmtId="9" fontId="10" fillId="0" borderId="0" xfId="7" applyFont="1" applyAlignment="1" applyProtection="1">
      <alignment vertical="top" wrapText="1"/>
      <protection locked="0"/>
    </xf>
    <xf numFmtId="165" fontId="11" fillId="0" borderId="0" xfId="0" applyNumberFormat="1" applyFont="1" applyAlignment="1" applyProtection="1">
      <alignment vertical="top"/>
      <protection locked="0"/>
    </xf>
    <xf numFmtId="9" fontId="21" fillId="0" borderId="17" xfId="7" applyFont="1" applyBorder="1" applyAlignment="1" applyProtection="1">
      <alignment vertical="top"/>
      <protection locked="0"/>
    </xf>
    <xf numFmtId="0" fontId="21" fillId="0" borderId="18" xfId="0" applyFont="1" applyBorder="1" applyAlignment="1" applyProtection="1">
      <alignment vertical="top"/>
      <protection locked="0"/>
    </xf>
    <xf numFmtId="0" fontId="21" fillId="2" borderId="0" xfId="0" applyFont="1" applyFill="1" applyAlignment="1" applyProtection="1">
      <alignment vertical="top" wrapText="1"/>
      <protection locked="0"/>
    </xf>
    <xf numFmtId="0" fontId="21" fillId="2" borderId="0" xfId="0" applyFont="1" applyFill="1" applyAlignment="1" applyProtection="1">
      <alignment vertical="top"/>
      <protection locked="0"/>
    </xf>
    <xf numFmtId="164" fontId="4" fillId="2" borderId="16" xfId="10" applyNumberFormat="1" applyFont="1" applyFill="1" applyBorder="1" applyAlignment="1">
      <alignment horizontal="center" vertical="center"/>
    </xf>
    <xf numFmtId="164" fontId="4" fillId="2" borderId="7" xfId="10" applyNumberFormat="1" applyFont="1" applyFill="1" applyBorder="1" applyAlignment="1">
      <alignment horizontal="center" vertical="center"/>
    </xf>
    <xf numFmtId="164" fontId="4" fillId="2" borderId="4" xfId="10" applyNumberFormat="1" applyFont="1" applyFill="1" applyBorder="1" applyAlignment="1">
      <alignment horizontal="center" vertical="center"/>
    </xf>
    <xf numFmtId="1" fontId="24" fillId="2" borderId="7" xfId="5" applyNumberFormat="1" applyFont="1" applyFill="1" applyBorder="1" applyAlignment="1" applyProtection="1">
      <alignment horizontal="center" vertical="center"/>
      <protection locked="0"/>
    </xf>
    <xf numFmtId="0" fontId="16" fillId="0" borderId="9" xfId="5" applyFont="1" applyBorder="1" applyAlignment="1">
      <alignment vertical="center" wrapText="1"/>
    </xf>
    <xf numFmtId="0" fontId="16" fillId="0" borderId="7" xfId="5" applyFont="1" applyBorder="1" applyAlignment="1">
      <alignment vertical="center" wrapText="1"/>
    </xf>
    <xf numFmtId="0" fontId="0" fillId="3" borderId="0" xfId="0" applyFill="1" applyAlignment="1" applyProtection="1">
      <alignment vertical="top"/>
      <protection locked="0"/>
    </xf>
    <xf numFmtId="0" fontId="20" fillId="0" borderId="7" xfId="6" applyFont="1" applyFill="1" applyBorder="1" applyAlignment="1">
      <alignment horizontal="center" vertical="center"/>
    </xf>
    <xf numFmtId="0" fontId="10" fillId="0" borderId="0" xfId="0" applyFont="1" applyAlignment="1" applyProtection="1">
      <alignment horizontal="right" vertical="top"/>
      <protection locked="0"/>
    </xf>
    <xf numFmtId="165" fontId="10" fillId="0" borderId="0" xfId="0" applyNumberFormat="1" applyFont="1" applyAlignment="1" applyProtection="1">
      <alignment horizontal="right" vertical="top"/>
      <protection locked="0"/>
    </xf>
    <xf numFmtId="165" fontId="10" fillId="0" borderId="0" xfId="0" applyNumberFormat="1" applyFont="1" applyAlignment="1">
      <alignment horizontal="right" vertical="top"/>
    </xf>
    <xf numFmtId="0" fontId="21" fillId="0" borderId="17" xfId="0" applyFont="1" applyBorder="1" applyAlignment="1" applyProtection="1">
      <alignment horizontal="right" vertical="top"/>
      <protection locked="0"/>
    </xf>
    <xf numFmtId="165" fontId="10" fillId="0" borderId="0" xfId="0" applyNumberFormat="1" applyFont="1" applyAlignment="1" applyProtection="1">
      <alignment horizontal="right" vertical="top" wrapText="1"/>
      <protection locked="0"/>
    </xf>
    <xf numFmtId="165" fontId="11" fillId="0" borderId="0" xfId="0" applyNumberFormat="1" applyFont="1" applyAlignment="1" applyProtection="1">
      <alignment horizontal="right" vertical="top"/>
      <protection locked="0"/>
    </xf>
    <xf numFmtId="0" fontId="8" fillId="0" borderId="29" xfId="0" applyFont="1" applyBorder="1" applyAlignment="1" applyProtection="1">
      <alignment horizontal="center" vertical="center" wrapText="1"/>
      <protection locked="0"/>
    </xf>
    <xf numFmtId="0" fontId="21" fillId="6" borderId="12" xfId="0" applyFont="1" applyFill="1" applyBorder="1" applyAlignment="1" applyProtection="1">
      <alignment horizontal="center" vertical="center" wrapText="1"/>
      <protection locked="0"/>
    </xf>
    <xf numFmtId="9" fontId="21" fillId="6" borderId="11" xfId="7" applyFont="1" applyFill="1" applyBorder="1" applyAlignment="1" applyProtection="1">
      <alignment horizontal="center" vertical="center" wrapText="1"/>
      <protection locked="0"/>
    </xf>
    <xf numFmtId="0" fontId="21" fillId="6" borderId="11" xfId="0" applyFont="1" applyFill="1" applyBorder="1" applyAlignment="1" applyProtection="1">
      <alignment horizontal="center" vertical="center" wrapText="1"/>
      <protection locked="0"/>
    </xf>
    <xf numFmtId="0" fontId="20" fillId="0" borderId="20" xfId="0" applyFont="1" applyBorder="1" applyProtection="1">
      <protection locked="0"/>
    </xf>
    <xf numFmtId="0" fontId="0" fillId="0" borderId="17" xfId="0" applyBorder="1" applyAlignment="1" applyProtection="1">
      <alignment vertical="top"/>
      <protection locked="0"/>
    </xf>
    <xf numFmtId="0" fontId="5" fillId="0" borderId="6" xfId="5" applyFont="1" applyBorder="1"/>
    <xf numFmtId="0" fontId="16" fillId="0" borderId="8" xfId="5" applyFont="1" applyBorder="1" applyAlignment="1">
      <alignment vertical="center"/>
    </xf>
    <xf numFmtId="0" fontId="16" fillId="0" borderId="19" xfId="5" applyFont="1" applyBorder="1" applyAlignment="1">
      <alignment horizontal="left" vertical="center" wrapText="1"/>
    </xf>
    <xf numFmtId="0" fontId="5" fillId="0" borderId="23" xfId="5" applyFont="1" applyBorder="1"/>
    <xf numFmtId="0" fontId="5" fillId="0" borderId="2" xfId="5" applyFont="1" applyBorder="1"/>
    <xf numFmtId="0" fontId="17" fillId="0" borderId="26" xfId="5" applyFont="1" applyBorder="1" applyAlignment="1">
      <alignment horizontal="center" vertical="center" wrapText="1"/>
    </xf>
    <xf numFmtId="165" fontId="10" fillId="7" borderId="0" xfId="0" applyNumberFormat="1" applyFont="1" applyFill="1" applyAlignment="1" applyProtection="1">
      <alignment horizontal="right" vertical="top"/>
      <protection locked="0"/>
    </xf>
    <xf numFmtId="9" fontId="10" fillId="7" borderId="0" xfId="7" applyFont="1" applyFill="1" applyAlignment="1" applyProtection="1">
      <alignment vertical="top"/>
      <protection locked="0"/>
    </xf>
    <xf numFmtId="9" fontId="10" fillId="0" borderId="0" xfId="7" applyFont="1" applyAlignment="1">
      <alignment vertical="top"/>
    </xf>
    <xf numFmtId="165" fontId="10" fillId="0" borderId="0" xfId="0" applyNumberFormat="1" applyFont="1" applyAlignment="1">
      <alignment vertical="top"/>
    </xf>
    <xf numFmtId="0" fontId="10" fillId="0" borderId="0" xfId="0" applyFont="1" applyAlignment="1">
      <alignment horizontal="left" vertical="top"/>
    </xf>
    <xf numFmtId="0" fontId="0" fillId="0" borderId="1" xfId="0" applyBorder="1" applyAlignment="1" applyProtection="1">
      <alignment vertical="top"/>
      <protection locked="0"/>
    </xf>
    <xf numFmtId="0" fontId="18" fillId="0" borderId="38" xfId="10" applyFont="1" applyBorder="1" applyAlignment="1">
      <alignment horizontal="center" vertical="center"/>
    </xf>
    <xf numFmtId="0" fontId="4" fillId="5" borderId="39" xfId="10" applyFont="1" applyFill="1" applyBorder="1" applyAlignment="1">
      <alignment horizontal="center" vertical="center"/>
    </xf>
    <xf numFmtId="0" fontId="18" fillId="0" borderId="40" xfId="10" applyFont="1" applyBorder="1" applyAlignment="1">
      <alignment horizontal="center" vertical="center"/>
    </xf>
    <xf numFmtId="0" fontId="17" fillId="0" borderId="33" xfId="17" applyFont="1" applyBorder="1" applyAlignment="1">
      <alignment vertical="center" wrapText="1"/>
    </xf>
    <xf numFmtId="0" fontId="17" fillId="5" borderId="42" xfId="10" applyFont="1" applyFill="1" applyBorder="1" applyAlignment="1">
      <alignment vertical="center" wrapText="1"/>
    </xf>
    <xf numFmtId="0" fontId="3" fillId="0" borderId="13" xfId="17" applyFont="1" applyBorder="1"/>
    <xf numFmtId="0" fontId="3" fillId="0" borderId="3" xfId="17" applyFont="1" applyBorder="1"/>
    <xf numFmtId="0" fontId="3" fillId="0" borderId="2" xfId="17" applyFont="1" applyBorder="1"/>
    <xf numFmtId="0" fontId="18" fillId="0" borderId="40" xfId="17" applyFont="1" applyBorder="1" applyAlignment="1">
      <alignment horizontal="center" vertical="center"/>
    </xf>
    <xf numFmtId="2" fontId="17" fillId="0" borderId="42" xfId="17" applyNumberFormat="1" applyFont="1" applyBorder="1" applyAlignment="1">
      <alignment horizontal="center" vertical="center" wrapText="1"/>
    </xf>
    <xf numFmtId="0" fontId="17" fillId="5" borderId="42" xfId="17" applyFont="1" applyFill="1" applyBorder="1" applyAlignment="1">
      <alignment horizontal="center" vertical="center" wrapText="1"/>
    </xf>
    <xf numFmtId="0" fontId="3" fillId="5" borderId="7" xfId="17" applyFont="1" applyFill="1" applyBorder="1" applyAlignment="1">
      <alignment horizontal="center" vertical="center"/>
    </xf>
    <xf numFmtId="0" fontId="3" fillId="3" borderId="7" xfId="17" applyFont="1" applyFill="1" applyBorder="1" applyAlignment="1" applyProtection="1">
      <alignment horizontal="center" vertical="center"/>
      <protection locked="0"/>
    </xf>
    <xf numFmtId="4" fontId="3" fillId="5" borderId="4" xfId="17" applyNumberFormat="1" applyFont="1" applyFill="1" applyBorder="1" applyAlignment="1">
      <alignment horizontal="center" vertical="center"/>
    </xf>
    <xf numFmtId="164" fontId="17" fillId="0" borderId="44" xfId="7" applyNumberFormat="1" applyFont="1" applyBorder="1" applyAlignment="1">
      <alignment horizontal="center" vertical="center" wrapText="1"/>
    </xf>
    <xf numFmtId="164" fontId="17" fillId="0" borderId="36" xfId="7" applyNumberFormat="1" applyFont="1" applyBorder="1" applyAlignment="1">
      <alignment horizontal="center" vertical="center" wrapText="1"/>
    </xf>
    <xf numFmtId="164" fontId="17" fillId="0" borderId="45" xfId="7" applyNumberFormat="1" applyFont="1" applyBorder="1" applyAlignment="1">
      <alignment horizontal="center" vertical="center" wrapText="1"/>
    </xf>
    <xf numFmtId="164" fontId="17" fillId="0" borderId="21" xfId="7" applyNumberFormat="1" applyFont="1" applyBorder="1" applyAlignment="1">
      <alignment horizontal="center" vertical="center" wrapText="1"/>
    </xf>
    <xf numFmtId="164" fontId="17" fillId="0" borderId="43" xfId="7" applyNumberFormat="1" applyFont="1" applyBorder="1" applyAlignment="1">
      <alignment horizontal="center" vertical="center" wrapText="1"/>
    </xf>
    <xf numFmtId="164" fontId="17" fillId="0" borderId="22" xfId="7" applyNumberFormat="1" applyFont="1" applyBorder="1" applyAlignment="1">
      <alignment horizontal="center" vertical="center" wrapText="1"/>
    </xf>
    <xf numFmtId="0" fontId="27" fillId="0" borderId="28" xfId="10" applyFont="1" applyBorder="1" applyAlignment="1">
      <alignment horizontal="center" vertical="center" wrapText="1"/>
    </xf>
    <xf numFmtId="0" fontId="28" fillId="0" borderId="32" xfId="5" applyFont="1" applyBorder="1" applyAlignment="1">
      <alignment horizontal="center" vertical="center" wrapText="1"/>
    </xf>
    <xf numFmtId="0" fontId="28" fillId="0" borderId="26" xfId="10" applyFont="1" applyBorder="1" applyAlignment="1">
      <alignment horizontal="center" vertical="center" wrapText="1"/>
    </xf>
    <xf numFmtId="0" fontId="28" fillId="0" borderId="26" xfId="5" applyFont="1" applyBorder="1" applyAlignment="1">
      <alignment horizontal="center" vertical="center" wrapText="1"/>
    </xf>
    <xf numFmtId="0" fontId="28" fillId="0" borderId="37" xfId="5" applyFont="1" applyBorder="1" applyAlignment="1">
      <alignment horizontal="center" vertical="center"/>
    </xf>
    <xf numFmtId="0" fontId="28" fillId="0" borderId="28" xfId="10" applyFont="1" applyBorder="1" applyAlignment="1">
      <alignment horizontal="center" vertical="center" wrapText="1"/>
    </xf>
    <xf numFmtId="0" fontId="17" fillId="0" borderId="19" xfId="5" applyFont="1" applyBorder="1" applyAlignment="1">
      <alignment horizontal="left" vertical="center" wrapText="1"/>
    </xf>
    <xf numFmtId="0" fontId="16" fillId="0" borderId="7" xfId="17" applyFont="1" applyBorder="1" applyAlignment="1">
      <alignment vertical="center" wrapText="1"/>
    </xf>
    <xf numFmtId="0" fontId="17" fillId="0" borderId="7" xfId="17" applyFont="1" applyBorder="1" applyAlignment="1">
      <alignment vertical="center" wrapText="1"/>
    </xf>
    <xf numFmtId="0" fontId="17" fillId="0" borderId="46" xfId="5" applyFont="1" applyBorder="1" applyAlignment="1">
      <alignment vertical="center" wrapText="1"/>
    </xf>
    <xf numFmtId="0" fontId="16" fillId="0" borderId="34" xfId="5" applyFont="1" applyBorder="1" applyAlignment="1">
      <alignment wrapText="1"/>
    </xf>
    <xf numFmtId="0" fontId="17" fillId="0" borderId="43" xfId="5" applyFont="1" applyBorder="1" applyAlignment="1">
      <alignment vertical="center" wrapText="1"/>
    </xf>
    <xf numFmtId="0" fontId="16" fillId="0" borderId="27" xfId="5" applyFont="1" applyBorder="1" applyAlignment="1">
      <alignment horizontal="left" vertical="center" wrapText="1"/>
    </xf>
    <xf numFmtId="0" fontId="16" fillId="0" borderId="41" xfId="5" applyFont="1" applyBorder="1" applyAlignment="1">
      <alignment horizontal="center" vertical="center" wrapText="1"/>
    </xf>
    <xf numFmtId="0" fontId="16" fillId="0" borderId="33" xfId="5" applyFont="1" applyBorder="1" applyAlignment="1">
      <alignment horizontal="center" vertical="center" wrapText="1"/>
    </xf>
    <xf numFmtId="0" fontId="17" fillId="0" borderId="33" xfId="5" applyFont="1" applyBorder="1" applyAlignment="1">
      <alignment horizontal="center" vertical="center" wrapText="1"/>
    </xf>
    <xf numFmtId="0" fontId="17" fillId="0" borderId="7" xfId="5" applyFont="1" applyBorder="1" applyAlignment="1">
      <alignment horizontal="center" vertical="center" wrapText="1"/>
    </xf>
    <xf numFmtId="0" fontId="16" fillId="0" borderId="34" xfId="5" applyFont="1" applyBorder="1" applyAlignment="1">
      <alignment horizontal="center" vertical="center" wrapText="1"/>
    </xf>
    <xf numFmtId="0" fontId="9" fillId="0" borderId="7" xfId="17" applyFont="1" applyBorder="1" applyAlignment="1">
      <alignment horizontal="center" vertical="center"/>
    </xf>
    <xf numFmtId="0" fontId="10" fillId="0" borderId="7" xfId="0" applyFont="1" applyBorder="1" applyAlignment="1">
      <alignment readingOrder="2"/>
    </xf>
    <xf numFmtId="0" fontId="10" fillId="0" borderId="9" xfId="0" applyFont="1" applyBorder="1" applyAlignment="1">
      <alignment readingOrder="2"/>
    </xf>
    <xf numFmtId="0" fontId="21" fillId="0" borderId="9" xfId="0" applyFont="1" applyBorder="1" applyAlignment="1">
      <alignment readingOrder="2"/>
    </xf>
    <xf numFmtId="0" fontId="10" fillId="0" borderId="0" xfId="3" applyFont="1" applyAlignment="1">
      <alignment horizontal="right" vertical="top" wrapText="1"/>
    </xf>
    <xf numFmtId="0" fontId="17" fillId="0" borderId="44" xfId="5" applyFont="1" applyBorder="1" applyAlignment="1">
      <alignment vertical="center" wrapText="1"/>
    </xf>
    <xf numFmtId="0" fontId="17" fillId="0" borderId="45" xfId="5" applyFont="1" applyBorder="1" applyAlignment="1">
      <alignment vertical="center" wrapText="1"/>
    </xf>
    <xf numFmtId="0" fontId="10" fillId="0" borderId="0" xfId="0" applyFont="1"/>
    <xf numFmtId="0" fontId="16" fillId="0" borderId="47" xfId="5" applyFont="1" applyBorder="1" applyAlignment="1">
      <alignment vertical="center"/>
    </xf>
    <xf numFmtId="0" fontId="16" fillId="0" borderId="48" xfId="5" applyFont="1" applyBorder="1" applyAlignment="1">
      <alignment vertical="center" wrapText="1"/>
    </xf>
    <xf numFmtId="0" fontId="2" fillId="0" borderId="2" xfId="10" applyFont="1" applyBorder="1"/>
    <xf numFmtId="2" fontId="2" fillId="3" borderId="42" xfId="5" applyNumberFormat="1" applyFont="1" applyFill="1" applyBorder="1" applyAlignment="1" applyProtection="1">
      <alignment horizontal="center" vertical="center"/>
      <protection locked="0"/>
    </xf>
    <xf numFmtId="164" fontId="2" fillId="5" borderId="16" xfId="7" applyNumberFormat="1" applyFont="1" applyFill="1" applyBorder="1" applyAlignment="1">
      <alignment horizontal="center" vertical="center"/>
    </xf>
    <xf numFmtId="164" fontId="2" fillId="5" borderId="7" xfId="7" applyNumberFormat="1" applyFont="1" applyFill="1" applyBorder="1" applyAlignment="1">
      <alignment horizontal="center" vertical="center"/>
    </xf>
    <xf numFmtId="164" fontId="2" fillId="5" borderId="4" xfId="7" applyNumberFormat="1" applyFont="1" applyFill="1" applyBorder="1" applyAlignment="1">
      <alignment horizontal="center" vertical="center"/>
    </xf>
    <xf numFmtId="0" fontId="10" fillId="5" borderId="0" xfId="0" applyFont="1" applyFill="1" applyAlignment="1">
      <alignment vertical="top"/>
    </xf>
    <xf numFmtId="0" fontId="10" fillId="5" borderId="0" xfId="0" applyFont="1" applyFill="1" applyAlignment="1">
      <alignment vertical="top" wrapText="1"/>
    </xf>
    <xf numFmtId="0" fontId="10" fillId="5" borderId="0" xfId="0" applyFont="1" applyFill="1" applyAlignment="1" applyProtection="1">
      <alignment vertical="top"/>
      <protection locked="0"/>
    </xf>
    <xf numFmtId="0" fontId="10" fillId="5" borderId="0" xfId="0" applyFont="1" applyFill="1" applyAlignment="1">
      <alignment vertical="center"/>
    </xf>
    <xf numFmtId="165" fontId="10" fillId="5" borderId="0" xfId="0" applyNumberFormat="1" applyFont="1" applyFill="1" applyAlignment="1" applyProtection="1">
      <alignment horizontal="right" vertical="top"/>
      <protection locked="0"/>
    </xf>
    <xf numFmtId="165" fontId="10" fillId="5" borderId="0" xfId="0" applyNumberFormat="1" applyFont="1" applyFill="1" applyAlignment="1" applyProtection="1">
      <alignment vertical="top"/>
      <protection locked="0"/>
    </xf>
    <xf numFmtId="0" fontId="0" fillId="5" borderId="0" xfId="0" applyFill="1" applyAlignment="1" applyProtection="1">
      <alignment vertical="top"/>
      <protection locked="0"/>
    </xf>
    <xf numFmtId="9" fontId="10" fillId="5" borderId="0" xfId="7" applyFont="1" applyFill="1" applyAlignment="1" applyProtection="1">
      <alignment vertical="top"/>
      <protection locked="0"/>
    </xf>
    <xf numFmtId="0" fontId="0" fillId="5" borderId="0" xfId="0" applyFill="1" applyProtection="1">
      <protection locked="0"/>
    </xf>
    <xf numFmtId="0" fontId="30" fillId="0" borderId="0" xfId="0" applyFont="1"/>
    <xf numFmtId="0" fontId="30" fillId="8" borderId="7" xfId="0" applyFont="1" applyFill="1" applyBorder="1"/>
    <xf numFmtId="0" fontId="30" fillId="8" borderId="33" xfId="0" applyFont="1" applyFill="1" applyBorder="1"/>
    <xf numFmtId="0" fontId="30" fillId="0" borderId="49" xfId="0" applyFont="1" applyBorder="1"/>
    <xf numFmtId="0" fontId="0" fillId="0" borderId="0" xfId="0" applyAlignment="1">
      <alignment wrapText="1"/>
    </xf>
    <xf numFmtId="0" fontId="31" fillId="0" borderId="49" xfId="0" applyFont="1" applyBorder="1"/>
    <xf numFmtId="0" fontId="0" fillId="0" borderId="49" xfId="0" applyBorder="1"/>
    <xf numFmtId="0" fontId="0" fillId="0" borderId="49" xfId="0" applyBorder="1" applyAlignment="1">
      <alignment vertical="top"/>
    </xf>
    <xf numFmtId="0" fontId="29" fillId="0" borderId="0" xfId="0" applyFont="1"/>
    <xf numFmtId="0" fontId="31" fillId="0" borderId="0" xfId="0" applyFont="1"/>
    <xf numFmtId="0" fontId="31" fillId="8" borderId="33" xfId="0" applyFont="1" applyFill="1" applyBorder="1"/>
    <xf numFmtId="0" fontId="31" fillId="8" borderId="7" xfId="0" applyFont="1" applyFill="1" applyBorder="1"/>
    <xf numFmtId="0" fontId="29" fillId="0" borderId="49" xfId="0" applyFont="1" applyBorder="1"/>
    <xf numFmtId="0" fontId="32" fillId="0" borderId="49" xfId="0" applyFont="1" applyBorder="1"/>
    <xf numFmtId="0" fontId="29" fillId="0" borderId="49" xfId="0" applyFont="1" applyBorder="1" applyAlignment="1">
      <alignment wrapText="1"/>
    </xf>
    <xf numFmtId="0" fontId="29" fillId="8" borderId="33" xfId="0" applyFont="1" applyFill="1" applyBorder="1"/>
    <xf numFmtId="0" fontId="29" fillId="8" borderId="7" xfId="0" applyFont="1" applyFill="1" applyBorder="1"/>
    <xf numFmtId="0" fontId="21" fillId="0" borderId="0" xfId="0" applyFont="1" applyProtection="1">
      <protection locked="0"/>
    </xf>
    <xf numFmtId="0" fontId="0" fillId="5" borderId="0" xfId="0" applyFill="1"/>
    <xf numFmtId="0" fontId="16" fillId="0" borderId="51" xfId="5" applyFont="1" applyBorder="1" applyAlignment="1">
      <alignment vertical="center" wrapText="1"/>
    </xf>
    <xf numFmtId="0" fontId="1" fillId="3" borderId="7" xfId="10" applyFont="1" applyFill="1" applyBorder="1" applyAlignment="1" applyProtection="1">
      <alignment horizontal="center" vertical="center"/>
      <protection locked="0"/>
    </xf>
    <xf numFmtId="0" fontId="1" fillId="3" borderId="9" xfId="10" applyFont="1" applyFill="1" applyBorder="1" applyAlignment="1" applyProtection="1">
      <alignment horizontal="center" vertical="center"/>
      <protection locked="0"/>
    </xf>
    <xf numFmtId="0" fontId="1" fillId="2" borderId="7" xfId="17" applyFont="1" applyFill="1" applyBorder="1" applyAlignment="1" applyProtection="1">
      <alignment horizontal="center" vertical="center"/>
      <protection locked="0"/>
    </xf>
    <xf numFmtId="0" fontId="1" fillId="0" borderId="7" xfId="5" applyFont="1" applyBorder="1" applyAlignment="1">
      <alignment horizontal="center" vertical="center"/>
    </xf>
    <xf numFmtId="0" fontId="1" fillId="3" borderId="7" xfId="5" applyFont="1" applyFill="1" applyBorder="1" applyAlignment="1" applyProtection="1">
      <alignment horizontal="center" vertical="center"/>
      <protection locked="0"/>
    </xf>
    <xf numFmtId="0" fontId="33" fillId="0" borderId="0" xfId="0" applyFont="1"/>
    <xf numFmtId="0" fontId="0" fillId="0" borderId="0" xfId="0" applyAlignment="1">
      <alignment vertical="center"/>
    </xf>
    <xf numFmtId="0" fontId="0" fillId="2" borderId="1" xfId="0" applyFill="1" applyBorder="1" applyAlignment="1" applyProtection="1">
      <alignment vertical="top" wrapText="1"/>
      <protection locked="0"/>
    </xf>
    <xf numFmtId="0" fontId="0" fillId="3" borderId="0" xfId="0" applyFill="1" applyAlignment="1" applyProtection="1">
      <alignment vertical="top" wrapText="1"/>
      <protection locked="0"/>
    </xf>
    <xf numFmtId="0" fontId="0" fillId="0" borderId="0" xfId="0" applyAlignment="1" applyProtection="1">
      <alignment vertical="center"/>
      <protection locked="0"/>
    </xf>
    <xf numFmtId="0" fontId="0" fillId="0" borderId="1" xfId="0" applyBorder="1" applyAlignment="1">
      <alignment vertical="center"/>
    </xf>
    <xf numFmtId="0" fontId="34" fillId="0" borderId="0" xfId="0" applyFont="1"/>
    <xf numFmtId="0" fontId="0" fillId="0" borderId="0" xfId="0" applyAlignment="1">
      <alignment horizontal="right" vertical="top"/>
    </xf>
    <xf numFmtId="0" fontId="10" fillId="0" borderId="50" xfId="0" applyFont="1" applyBorder="1"/>
    <xf numFmtId="0" fontId="12" fillId="0" borderId="0" xfId="0" applyFont="1" applyProtection="1">
      <protection locked="0"/>
    </xf>
    <xf numFmtId="0" fontId="12" fillId="0" borderId="0" xfId="0" applyFont="1"/>
    <xf numFmtId="0" fontId="13" fillId="0" borderId="0" xfId="0" applyFont="1" applyProtection="1">
      <protection locked="0"/>
    </xf>
    <xf numFmtId="0" fontId="12" fillId="0" borderId="0" xfId="0" applyFont="1" applyAlignment="1">
      <alignment vertical="center" wrapText="1" readingOrder="2"/>
    </xf>
    <xf numFmtId="0" fontId="10" fillId="0" borderId="0" xfId="0" applyFont="1" applyAlignment="1">
      <alignment readingOrder="2"/>
    </xf>
    <xf numFmtId="0" fontId="11" fillId="0" borderId="0" xfId="0" applyFont="1" applyProtection="1">
      <protection locked="0"/>
    </xf>
    <xf numFmtId="0" fontId="17" fillId="0" borderId="0" xfId="0" applyFont="1"/>
    <xf numFmtId="0" fontId="29" fillId="0" borderId="0" xfId="0" applyFont="1" applyAlignment="1" applyProtection="1">
      <alignment vertical="top"/>
      <protection locked="0"/>
    </xf>
    <xf numFmtId="0" fontId="29" fillId="0" borderId="0" xfId="0" applyFont="1" applyAlignment="1">
      <alignment vertical="center"/>
    </xf>
    <xf numFmtId="165" fontId="17" fillId="0" borderId="0" xfId="0" applyNumberFormat="1" applyFont="1" applyAlignment="1" applyProtection="1">
      <alignment horizontal="right" vertical="top"/>
      <protection locked="0"/>
    </xf>
    <xf numFmtId="9" fontId="17" fillId="0" borderId="0" xfId="7" applyFont="1" applyAlignment="1" applyProtection="1">
      <alignment vertical="top"/>
      <protection locked="0"/>
    </xf>
    <xf numFmtId="165" fontId="17" fillId="0" borderId="0" xfId="0" applyNumberFormat="1" applyFont="1" applyAlignment="1" applyProtection="1">
      <alignment vertical="top"/>
      <protection locked="0"/>
    </xf>
    <xf numFmtId="0" fontId="37" fillId="0" borderId="7" xfId="18" applyNumberFormat="1" applyFont="1" applyBorder="1" applyAlignment="1">
      <alignment horizontal="left" vertical="center"/>
    </xf>
    <xf numFmtId="0" fontId="37" fillId="0" borderId="4" xfId="18" applyNumberFormat="1" applyFont="1" applyBorder="1" applyAlignment="1">
      <alignment horizontal="left" vertical="center"/>
    </xf>
    <xf numFmtId="49" fontId="0" fillId="0" borderId="0" xfId="0" applyNumberFormat="1" applyAlignment="1" applyProtection="1">
      <alignment vertical="top" wrapText="1"/>
      <protection locked="0"/>
    </xf>
    <xf numFmtId="0" fontId="10" fillId="0" borderId="0" xfId="0" applyFont="1" applyAlignment="1" applyProtection="1">
      <alignment vertical="center" wrapText="1"/>
      <protection locked="0"/>
    </xf>
    <xf numFmtId="0" fontId="10" fillId="0" borderId="0" xfId="0" applyFont="1" applyAlignment="1">
      <alignment vertical="center" wrapText="1"/>
    </xf>
    <xf numFmtId="0" fontId="23" fillId="0" borderId="0" xfId="0" applyFont="1" applyAlignment="1" applyProtection="1">
      <alignment vertical="top" wrapText="1"/>
      <protection locked="0"/>
    </xf>
    <xf numFmtId="0" fontId="10" fillId="0" borderId="1" xfId="0" applyFont="1" applyBorder="1" applyAlignment="1">
      <alignment vertical="center" wrapText="1"/>
    </xf>
    <xf numFmtId="0" fontId="8" fillId="7" borderId="0" xfId="0" applyFont="1" applyFill="1" applyAlignment="1">
      <alignment vertical="center" wrapText="1"/>
    </xf>
    <xf numFmtId="0" fontId="31" fillId="0" borderId="49" xfId="0" applyFont="1" applyBorder="1" applyAlignment="1">
      <alignment wrapText="1"/>
    </xf>
    <xf numFmtId="0" fontId="0" fillId="0" borderId="0" xfId="0" applyAlignment="1" applyProtection="1">
      <alignment vertical="center" wrapText="1"/>
      <protection locked="0"/>
    </xf>
    <xf numFmtId="0" fontId="0" fillId="0" borderId="1" xfId="0" applyBorder="1" applyAlignment="1">
      <alignment vertical="center" wrapText="1"/>
    </xf>
    <xf numFmtId="0" fontId="10" fillId="5" borderId="0" xfId="0" applyFont="1" applyFill="1" applyAlignment="1">
      <alignment vertical="center" wrapText="1"/>
    </xf>
    <xf numFmtId="0" fontId="8" fillId="0" borderId="0" xfId="0" applyFont="1" applyAlignment="1">
      <alignment vertical="center" wrapText="1"/>
    </xf>
    <xf numFmtId="0" fontId="17" fillId="0" borderId="0" xfId="0" applyFont="1" applyAlignment="1">
      <alignment wrapText="1"/>
    </xf>
    <xf numFmtId="0" fontId="7" fillId="0" borderId="0" xfId="0" applyFont="1" applyAlignment="1">
      <alignment vertical="center" wrapText="1"/>
    </xf>
    <xf numFmtId="0" fontId="8" fillId="0" borderId="0" xfId="0" applyFont="1" applyAlignment="1" applyProtection="1">
      <alignment vertical="center" wrapText="1"/>
      <protection locked="0"/>
    </xf>
    <xf numFmtId="0" fontId="11" fillId="0" borderId="0" xfId="0" applyFont="1" applyAlignment="1" applyProtection="1">
      <alignment vertical="center" wrapText="1"/>
      <protection locked="0"/>
    </xf>
    <xf numFmtId="0" fontId="15" fillId="0" borderId="0" xfId="0" applyFont="1" applyAlignment="1" applyProtection="1">
      <alignment vertical="center" wrapText="1"/>
      <protection locked="0"/>
    </xf>
    <xf numFmtId="0" fontId="26" fillId="0" borderId="0" xfId="0" applyFont="1" applyAlignment="1">
      <alignment vertical="center" wrapText="1"/>
    </xf>
    <xf numFmtId="0" fontId="8" fillId="10" borderId="0" xfId="0" applyFont="1" applyFill="1" applyAlignment="1">
      <alignment vertical="top"/>
    </xf>
    <xf numFmtId="0" fontId="21" fillId="10" borderId="0" xfId="0" applyFont="1" applyFill="1" applyAlignment="1">
      <alignment vertical="top"/>
    </xf>
    <xf numFmtId="0" fontId="21" fillId="10" borderId="0" xfId="0" applyFont="1" applyFill="1" applyAlignment="1" applyProtection="1">
      <alignment vertical="top"/>
      <protection locked="0"/>
    </xf>
    <xf numFmtId="0" fontId="36" fillId="0" borderId="16" xfId="0" applyFont="1" applyBorder="1" applyAlignment="1">
      <alignment vertical="center"/>
    </xf>
    <xf numFmtId="0" fontId="36" fillId="0" borderId="52" xfId="0" applyFont="1" applyBorder="1" applyAlignment="1">
      <alignment vertical="center"/>
    </xf>
    <xf numFmtId="0" fontId="36" fillId="0" borderId="7" xfId="0" applyFont="1" applyBorder="1" applyAlignment="1">
      <alignment vertical="center"/>
    </xf>
    <xf numFmtId="0" fontId="36" fillId="0" borderId="9" xfId="0" applyFont="1" applyBorder="1" applyAlignment="1">
      <alignment vertical="center"/>
    </xf>
    <xf numFmtId="0" fontId="37" fillId="0" borderId="16" xfId="0" applyFont="1" applyBorder="1" applyAlignment="1">
      <alignment horizontal="left" vertical="center"/>
    </xf>
    <xf numFmtId="0" fontId="1" fillId="0" borderId="7" xfId="0" applyFont="1" applyBorder="1" applyAlignment="1">
      <alignment vertical="center"/>
    </xf>
    <xf numFmtId="0" fontId="37" fillId="0" borderId="7" xfId="0" applyFont="1" applyBorder="1" applyAlignment="1">
      <alignment horizontal="left" vertical="center"/>
    </xf>
    <xf numFmtId="0" fontId="37" fillId="0" borderId="4" xfId="0" applyFont="1" applyBorder="1" applyAlignment="1">
      <alignment horizontal="left" vertical="center"/>
    </xf>
    <xf numFmtId="0" fontId="38" fillId="0" borderId="0" xfId="0" applyFont="1" applyAlignment="1">
      <alignment vertical="top"/>
    </xf>
    <xf numFmtId="0" fontId="38" fillId="0" borderId="0" xfId="0" applyFont="1" applyAlignment="1" applyProtection="1">
      <alignment vertical="top"/>
      <protection locked="0"/>
    </xf>
    <xf numFmtId="0" fontId="38" fillId="0" borderId="0" xfId="0" applyFont="1" applyAlignment="1">
      <alignment vertical="center"/>
    </xf>
    <xf numFmtId="0" fontId="38" fillId="0" borderId="0" xfId="0" applyFont="1" applyAlignment="1">
      <alignment vertical="center" wrapText="1"/>
    </xf>
    <xf numFmtId="165" fontId="39" fillId="0" borderId="0" xfId="0" applyNumberFormat="1" applyFont="1" applyAlignment="1" applyProtection="1">
      <alignment horizontal="right" vertical="top"/>
      <protection locked="0"/>
    </xf>
    <xf numFmtId="9" fontId="39" fillId="0" borderId="0" xfId="7" applyFont="1" applyAlignment="1" applyProtection="1">
      <alignment vertical="top"/>
      <protection locked="0"/>
    </xf>
    <xf numFmtId="165" fontId="39" fillId="0" borderId="0" xfId="0" applyNumberFormat="1" applyFont="1" applyAlignment="1" applyProtection="1">
      <alignment vertical="top"/>
      <protection locked="0"/>
    </xf>
    <xf numFmtId="0" fontId="39" fillId="0" borderId="0" xfId="0" applyFont="1" applyAlignment="1" applyProtection="1">
      <alignment vertical="top"/>
      <protection locked="0"/>
    </xf>
    <xf numFmtId="0" fontId="0" fillId="0" borderId="0" xfId="0" applyAlignment="1" applyProtection="1">
      <alignment horizontal="left" vertical="center" wrapText="1"/>
      <protection locked="0"/>
    </xf>
    <xf numFmtId="0" fontId="21" fillId="0" borderId="0" xfId="0" applyFont="1" applyAlignment="1">
      <alignment vertical="center" wrapText="1"/>
    </xf>
    <xf numFmtId="0" fontId="35" fillId="0" borderId="0" xfId="0" applyFont="1" applyAlignment="1">
      <alignment wrapText="1"/>
    </xf>
    <xf numFmtId="0" fontId="34" fillId="0" borderId="0" xfId="0" applyFont="1" applyAlignment="1">
      <alignment wrapText="1"/>
    </xf>
    <xf numFmtId="0" fontId="17" fillId="11" borderId="0" xfId="0" applyFont="1" applyFill="1" applyAlignment="1">
      <alignment wrapText="1"/>
    </xf>
    <xf numFmtId="0" fontId="0" fillId="11" borderId="0" xfId="0" applyFill="1" applyAlignment="1">
      <alignment vertical="center"/>
    </xf>
    <xf numFmtId="0" fontId="40" fillId="0" borderId="0" xfId="0" applyFont="1"/>
    <xf numFmtId="0" fontId="40" fillId="0" borderId="0" xfId="0" applyFont="1" applyAlignment="1">
      <alignment vertical="center" wrapText="1"/>
    </xf>
    <xf numFmtId="0" fontId="10" fillId="7" borderId="0" xfId="0" applyFont="1" applyFill="1"/>
    <xf numFmtId="49" fontId="37" fillId="12" borderId="16" xfId="0" applyNumberFormat="1" applyFont="1" applyFill="1" applyBorder="1" applyAlignment="1">
      <alignment horizontal="left" vertical="center"/>
    </xf>
    <xf numFmtId="49" fontId="37" fillId="12" borderId="7" xfId="0" applyNumberFormat="1" applyFont="1" applyFill="1" applyBorder="1" applyAlignment="1">
      <alignment horizontal="left" vertical="center"/>
    </xf>
    <xf numFmtId="49" fontId="37" fillId="12" borderId="4" xfId="0" applyNumberFormat="1" applyFont="1" applyFill="1" applyBorder="1" applyAlignment="1">
      <alignment horizontal="left" vertical="center"/>
    </xf>
    <xf numFmtId="49" fontId="37" fillId="0" borderId="9" xfId="0" applyNumberFormat="1" applyFont="1" applyBorder="1" applyAlignment="1">
      <alignment horizontal="left" vertical="center"/>
    </xf>
    <xf numFmtId="49" fontId="37" fillId="0" borderId="7" xfId="0" applyNumberFormat="1" applyFont="1" applyBorder="1" applyAlignment="1">
      <alignment horizontal="left" vertical="center"/>
    </xf>
    <xf numFmtId="49" fontId="37" fillId="5" borderId="7" xfId="0" applyNumberFormat="1" applyFont="1" applyFill="1" applyBorder="1" applyAlignment="1">
      <alignment horizontal="left" vertical="center"/>
    </xf>
    <xf numFmtId="49" fontId="24" fillId="0" borderId="24" xfId="0" applyNumberFormat="1" applyFont="1" applyBorder="1" applyAlignment="1">
      <alignment vertical="center"/>
    </xf>
    <xf numFmtId="49" fontId="37" fillId="12" borderId="9" xfId="0" applyNumberFormat="1" applyFont="1" applyFill="1" applyBorder="1" applyAlignment="1">
      <alignment horizontal="left" vertical="center"/>
    </xf>
    <xf numFmtId="49" fontId="37" fillId="12" borderId="52" xfId="0" applyNumberFormat="1" applyFont="1" applyFill="1" applyBorder="1" applyAlignment="1">
      <alignment horizontal="left" vertical="center"/>
    </xf>
    <xf numFmtId="49" fontId="37" fillId="0" borderId="16" xfId="0" applyNumberFormat="1" applyFont="1" applyBorder="1" applyAlignment="1">
      <alignment horizontal="left" vertical="center"/>
    </xf>
    <xf numFmtId="49" fontId="37" fillId="0" borderId="4" xfId="0" applyNumberFormat="1" applyFont="1" applyBorder="1" applyAlignment="1">
      <alignment horizontal="left" vertical="center"/>
    </xf>
    <xf numFmtId="0" fontId="37" fillId="13" borderId="16" xfId="0" applyFont="1" applyFill="1" applyBorder="1" applyAlignment="1">
      <alignment horizontal="left" vertical="center"/>
    </xf>
    <xf numFmtId="0" fontId="37" fillId="13" borderId="7" xfId="0" applyFont="1" applyFill="1" applyBorder="1" applyAlignment="1">
      <alignment horizontal="left" vertical="center"/>
    </xf>
    <xf numFmtId="0" fontId="37" fillId="13" borderId="52" xfId="0" applyFont="1" applyFill="1" applyBorder="1" applyAlignment="1">
      <alignment horizontal="left" vertical="center"/>
    </xf>
    <xf numFmtId="0" fontId="37" fillId="13" borderId="9" xfId="0" applyFont="1" applyFill="1" applyBorder="1" applyAlignment="1">
      <alignment horizontal="left" vertical="center"/>
    </xf>
    <xf numFmtId="0" fontId="0" fillId="11" borderId="0" xfId="0" applyFill="1" applyAlignment="1">
      <alignment vertical="center" wrapText="1"/>
    </xf>
    <xf numFmtId="0" fontId="23" fillId="0" borderId="0" xfId="0" applyFont="1" applyAlignment="1">
      <alignment vertical="center" wrapText="1"/>
    </xf>
    <xf numFmtId="0" fontId="15" fillId="0" borderId="0" xfId="0" applyFont="1" applyAlignment="1">
      <alignment vertical="center" wrapText="1"/>
    </xf>
    <xf numFmtId="0" fontId="41" fillId="0" borderId="0" xfId="0" applyFont="1"/>
    <xf numFmtId="0" fontId="21" fillId="7" borderId="0" xfId="0" applyFont="1" applyFill="1" applyAlignment="1">
      <alignment vertical="center" wrapText="1"/>
    </xf>
    <xf numFmtId="0" fontId="10" fillId="7" borderId="0" xfId="0" applyFont="1" applyFill="1" applyAlignment="1">
      <alignment vertical="top" wrapText="1"/>
    </xf>
    <xf numFmtId="0" fontId="0" fillId="7" borderId="0" xfId="0" applyFill="1" applyAlignment="1">
      <alignment vertical="top"/>
    </xf>
    <xf numFmtId="0" fontId="0" fillId="7" borderId="0" xfId="0" applyFill="1" applyAlignment="1" applyProtection="1">
      <alignment vertical="top"/>
      <protection locked="0"/>
    </xf>
    <xf numFmtId="165" fontId="10" fillId="7" borderId="0" xfId="0" applyNumberFormat="1" applyFont="1" applyFill="1" applyAlignment="1" applyProtection="1">
      <alignment vertical="top"/>
      <protection locked="0"/>
    </xf>
    <xf numFmtId="0" fontId="0" fillId="7" borderId="0" xfId="0" applyFill="1" applyAlignment="1" applyProtection="1">
      <alignment vertical="top" wrapText="1"/>
      <protection locked="0"/>
    </xf>
    <xf numFmtId="0" fontId="10" fillId="7" borderId="0" xfId="0" applyFont="1" applyFill="1" applyAlignment="1">
      <alignment vertical="center"/>
    </xf>
    <xf numFmtId="0" fontId="0" fillId="7" borderId="0" xfId="0" applyFill="1" applyAlignment="1" applyProtection="1">
      <alignment vertical="center"/>
      <protection locked="0"/>
    </xf>
    <xf numFmtId="0" fontId="10" fillId="7" borderId="0" xfId="0" applyFont="1" applyFill="1" applyAlignment="1">
      <alignment vertical="top"/>
    </xf>
    <xf numFmtId="0" fontId="10" fillId="7" borderId="0" xfId="0" applyFont="1" applyFill="1" applyAlignment="1" applyProtection="1">
      <alignment vertical="top"/>
      <protection locked="0"/>
    </xf>
    <xf numFmtId="0" fontId="0" fillId="7" borderId="0" xfId="0" applyFill="1" applyAlignment="1">
      <alignment vertical="center"/>
    </xf>
    <xf numFmtId="0" fontId="10" fillId="0" borderId="0" xfId="2" applyFont="1" applyAlignment="1">
      <alignment horizontal="left" vertical="center" wrapText="1"/>
    </xf>
    <xf numFmtId="0" fontId="10" fillId="7" borderId="0" xfId="0" applyFont="1" applyFill="1" applyAlignment="1" applyProtection="1">
      <alignment vertical="center"/>
      <protection locked="0"/>
    </xf>
    <xf numFmtId="164" fontId="10" fillId="7" borderId="0" xfId="0" applyNumberFormat="1" applyFont="1" applyFill="1" applyAlignment="1" applyProtection="1">
      <alignment vertical="top"/>
      <protection locked="0"/>
    </xf>
    <xf numFmtId="0" fontId="10" fillId="7" borderId="0" xfId="2" applyFont="1" applyFill="1" applyAlignment="1">
      <alignment horizontal="left" vertical="center" wrapText="1"/>
    </xf>
    <xf numFmtId="0" fontId="0" fillId="7" borderId="53" xfId="0" applyFill="1" applyBorder="1" applyAlignment="1">
      <alignment vertical="top"/>
    </xf>
    <xf numFmtId="0" fontId="0" fillId="7" borderId="53" xfId="0" applyFill="1" applyBorder="1" applyAlignment="1" applyProtection="1">
      <alignment vertical="top" wrapText="1"/>
      <protection locked="0"/>
    </xf>
    <xf numFmtId="0" fontId="0" fillId="7" borderId="53" xfId="0" applyFill="1" applyBorder="1" applyAlignment="1" applyProtection="1">
      <alignment horizontal="right" vertical="top" wrapText="1"/>
      <protection locked="0"/>
    </xf>
    <xf numFmtId="0" fontId="0" fillId="7" borderId="53" xfId="0" applyFill="1" applyBorder="1" applyAlignment="1" applyProtection="1">
      <alignment vertical="top"/>
      <protection locked="0"/>
    </xf>
    <xf numFmtId="0" fontId="0" fillId="7" borderId="53" xfId="0" applyFill="1" applyBorder="1" applyAlignment="1">
      <alignment vertical="center"/>
    </xf>
    <xf numFmtId="165" fontId="10" fillId="7" borderId="53" xfId="0" applyNumberFormat="1" applyFont="1" applyFill="1" applyBorder="1" applyAlignment="1" applyProtection="1">
      <alignment horizontal="right" vertical="top"/>
      <protection locked="0"/>
    </xf>
    <xf numFmtId="164" fontId="10" fillId="7" borderId="53" xfId="0" applyNumberFormat="1" applyFont="1" applyFill="1" applyBorder="1" applyAlignment="1" applyProtection="1">
      <alignment vertical="top"/>
      <protection locked="0"/>
    </xf>
    <xf numFmtId="165" fontId="10" fillId="7" borderId="53" xfId="0" applyNumberFormat="1" applyFont="1" applyFill="1" applyBorder="1" applyAlignment="1" applyProtection="1">
      <alignment vertical="top"/>
      <protection locked="0"/>
    </xf>
    <xf numFmtId="0" fontId="10" fillId="7" borderId="53" xfId="0" applyFont="1" applyFill="1" applyBorder="1" applyAlignment="1" applyProtection="1">
      <alignment vertical="top"/>
      <protection locked="0"/>
    </xf>
    <xf numFmtId="9" fontId="10" fillId="7" borderId="0" xfId="0" applyNumberFormat="1" applyFont="1" applyFill="1" applyAlignment="1" applyProtection="1">
      <alignment vertical="top"/>
      <protection locked="0"/>
    </xf>
    <xf numFmtId="0" fontId="0" fillId="7" borderId="0" xfId="0" applyFill="1" applyProtection="1">
      <protection locked="0"/>
    </xf>
    <xf numFmtId="0" fontId="0" fillId="7" borderId="0" xfId="0" applyFill="1" applyAlignment="1" applyProtection="1">
      <alignment horizontal="left" vertical="top"/>
      <protection locked="0"/>
    </xf>
    <xf numFmtId="0" fontId="10" fillId="7" borderId="0" xfId="0" applyFont="1" applyFill="1" applyAlignment="1">
      <alignment horizontal="left" vertical="top"/>
    </xf>
    <xf numFmtId="0" fontId="13" fillId="7" borderId="0" xfId="0" applyFont="1" applyFill="1" applyProtection="1">
      <protection locked="0"/>
    </xf>
    <xf numFmtId="0" fontId="10" fillId="7" borderId="0" xfId="0" applyFont="1" applyFill="1" applyAlignment="1" applyProtection="1">
      <alignment vertical="top" wrapText="1"/>
      <protection locked="0"/>
    </xf>
    <xf numFmtId="0" fontId="12" fillId="7" borderId="0" xfId="0" applyFont="1" applyFill="1" applyAlignment="1" applyProtection="1">
      <alignment vertical="top"/>
      <protection locked="0"/>
    </xf>
    <xf numFmtId="0" fontId="0" fillId="7" borderId="0" xfId="0" applyFill="1"/>
    <xf numFmtId="0" fontId="12" fillId="7" borderId="0" xfId="0" applyFont="1" applyFill="1" applyAlignment="1">
      <alignment horizontal="left" vertical="top"/>
    </xf>
    <xf numFmtId="0" fontId="38" fillId="0" borderId="0" xfId="0" applyFont="1" applyAlignment="1">
      <alignment horizontal="left" vertical="top" wrapText="1"/>
    </xf>
    <xf numFmtId="0" fontId="0" fillId="0" borderId="0" xfId="0" applyAlignment="1">
      <alignment horizontal="left" wrapText="1"/>
    </xf>
    <xf numFmtId="0" fontId="0" fillId="0" borderId="0" xfId="0" applyAlignment="1">
      <alignment horizontal="left" vertical="top" wrapText="1"/>
    </xf>
    <xf numFmtId="0" fontId="10" fillId="0" borderId="0" xfId="0" applyFont="1" applyAlignment="1" applyProtection="1">
      <alignment horizontal="left" vertical="top" wrapText="1"/>
      <protection locked="0"/>
    </xf>
    <xf numFmtId="0" fontId="10" fillId="0" borderId="0" xfId="0" applyFont="1" applyAlignment="1">
      <alignment horizontal="left" vertical="top" wrapText="1"/>
    </xf>
    <xf numFmtId="0" fontId="8" fillId="10" borderId="0" xfId="0" applyFont="1" applyFill="1" applyAlignment="1">
      <alignment horizontal="left" vertical="top" wrapText="1"/>
    </xf>
    <xf numFmtId="0" fontId="10" fillId="0" borderId="1" xfId="0" applyFont="1" applyBorder="1" applyAlignment="1">
      <alignment horizontal="left" vertical="top" wrapText="1"/>
    </xf>
    <xf numFmtId="0" fontId="10" fillId="0" borderId="0" xfId="0" applyFont="1" applyAlignment="1" applyProtection="1">
      <alignment horizontal="left" vertical="top"/>
      <protection locked="0"/>
    </xf>
    <xf numFmtId="0" fontId="10" fillId="7" borderId="0" xfId="0" applyFont="1" applyFill="1" applyAlignment="1" applyProtection="1">
      <alignment horizontal="left" vertical="top" wrapText="1"/>
      <protection locked="0"/>
    </xf>
    <xf numFmtId="0" fontId="0" fillId="0" borderId="1" xfId="0" applyBorder="1" applyAlignment="1">
      <alignment horizontal="left" vertical="top" wrapText="1"/>
    </xf>
    <xf numFmtId="0" fontId="10" fillId="0" borderId="0" xfId="2" applyFont="1" applyAlignment="1">
      <alignment horizontal="left" vertical="top" wrapText="1"/>
    </xf>
    <xf numFmtId="0" fontId="0" fillId="0" borderId="0" xfId="0" applyAlignment="1" applyProtection="1">
      <alignment horizontal="left" vertical="top" wrapText="1"/>
      <protection locked="0"/>
    </xf>
    <xf numFmtId="49" fontId="0" fillId="0" borderId="0" xfId="0" applyNumberFormat="1" applyAlignment="1" applyProtection="1">
      <alignment horizontal="left" vertical="top" wrapText="1"/>
      <protection locked="0"/>
    </xf>
    <xf numFmtId="0" fontId="10" fillId="7" borderId="0" xfId="2" applyFont="1" applyFill="1" applyAlignment="1">
      <alignment horizontal="left" vertical="top" wrapText="1"/>
    </xf>
    <xf numFmtId="0" fontId="0" fillId="7" borderId="0" xfId="0" applyFill="1" applyAlignment="1">
      <alignment horizontal="left" vertical="top" wrapText="1"/>
    </xf>
    <xf numFmtId="0" fontId="8" fillId="10" borderId="0" xfId="0" applyFont="1" applyFill="1" applyAlignment="1">
      <alignment horizontal="left" vertical="top"/>
    </xf>
    <xf numFmtId="0" fontId="10" fillId="0" borderId="0" xfId="3" applyFont="1" applyAlignment="1">
      <alignment horizontal="left" vertical="top" wrapText="1"/>
    </xf>
    <xf numFmtId="0" fontId="10" fillId="0" borderId="0" xfId="0" applyFont="1" applyAlignment="1">
      <alignment horizontal="left" wrapText="1"/>
    </xf>
    <xf numFmtId="0" fontId="0" fillId="9" borderId="0" xfId="0" applyFill="1" applyAlignment="1">
      <alignment horizontal="left" vertical="top" wrapText="1"/>
    </xf>
    <xf numFmtId="0" fontId="0" fillId="14" borderId="0" xfId="0" applyFill="1" applyAlignment="1">
      <alignment horizontal="left" vertical="top" wrapText="1"/>
    </xf>
    <xf numFmtId="0" fontId="21" fillId="0" borderId="0" xfId="0" applyFont="1" applyAlignment="1">
      <alignment horizontal="left" vertical="top" wrapText="1"/>
    </xf>
    <xf numFmtId="0" fontId="21" fillId="0" borderId="0" xfId="0" applyFont="1" applyAlignment="1">
      <alignment horizontal="left" vertical="center" wrapText="1"/>
    </xf>
    <xf numFmtId="0" fontId="10" fillId="9" borderId="0" xfId="0" applyFont="1" applyFill="1" applyAlignment="1">
      <alignment horizontal="left" vertical="top" wrapText="1"/>
    </xf>
    <xf numFmtId="0" fontId="10" fillId="7" borderId="0" xfId="0" applyFont="1" applyFill="1" applyAlignment="1">
      <alignment horizontal="left" vertical="top" wrapText="1"/>
    </xf>
    <xf numFmtId="0" fontId="0" fillId="0" borderId="0" xfId="0" applyAlignment="1">
      <alignment horizontal="left" wrapText="1" readingOrder="2"/>
    </xf>
    <xf numFmtId="0" fontId="0" fillId="0" borderId="0" xfId="0" applyAlignment="1">
      <alignment horizontal="left" wrapText="1" readingOrder="1"/>
    </xf>
    <xf numFmtId="0" fontId="0" fillId="0" borderId="0" xfId="0" applyAlignment="1">
      <alignment horizontal="left" vertical="center" wrapText="1"/>
    </xf>
    <xf numFmtId="0" fontId="10" fillId="7" borderId="53" xfId="3" applyFont="1" applyFill="1" applyBorder="1" applyAlignment="1">
      <alignment horizontal="left" vertical="center" wrapText="1"/>
    </xf>
    <xf numFmtId="0" fontId="0" fillId="7" borderId="53" xfId="0" applyFill="1" applyBorder="1" applyAlignment="1">
      <alignment horizontal="left" vertical="top" wrapText="1"/>
    </xf>
    <xf numFmtId="0" fontId="0" fillId="7" borderId="0" xfId="0" applyFill="1" applyAlignment="1" applyProtection="1">
      <alignment horizontal="left" vertical="top" wrapText="1"/>
      <protection locked="0"/>
    </xf>
    <xf numFmtId="0" fontId="10" fillId="7" borderId="0" xfId="3" applyFont="1" applyFill="1" applyAlignment="1">
      <alignment horizontal="left" vertical="center" wrapText="1"/>
    </xf>
    <xf numFmtId="0" fontId="0" fillId="7" borderId="0" xfId="0" applyFill="1" applyAlignment="1">
      <alignment horizontal="left" vertical="top"/>
    </xf>
    <xf numFmtId="0" fontId="9" fillId="0" borderId="0" xfId="2" applyAlignment="1">
      <alignment horizontal="left" vertical="center" wrapText="1"/>
    </xf>
    <xf numFmtId="0" fontId="8" fillId="7" borderId="0" xfId="0" applyFont="1" applyFill="1" applyAlignment="1">
      <alignment horizontal="left" vertical="top" wrapText="1"/>
    </xf>
    <xf numFmtId="0" fontId="10" fillId="0" borderId="0" xfId="3" applyFont="1" applyAlignment="1" applyProtection="1">
      <alignment horizontal="left" vertical="center" wrapText="1"/>
      <protection locked="0"/>
    </xf>
    <xf numFmtId="0" fontId="0" fillId="7" borderId="0" xfId="2" applyFont="1" applyFill="1" applyAlignment="1">
      <alignment horizontal="left" vertical="center" wrapText="1"/>
    </xf>
  </cellXfs>
  <cellStyles count="19">
    <cellStyle name="Check Cell" xfId="6" builtinId="23"/>
    <cellStyle name="Comma" xfId="18" builtinId="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60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row r="19">
          <cell r="D19">
            <v>0.09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87"/>
  <sheetViews>
    <sheetView zoomScale="91" zoomScaleNormal="40" workbookViewId="0">
      <pane ySplit="1" topLeftCell="A128" activePane="bottomLeft" state="frozen"/>
      <selection activeCell="D1" sqref="D1"/>
      <selection pane="bottomLeft" activeCell="Q186" sqref="Q186"/>
    </sheetView>
  </sheetViews>
  <sheetFormatPr baseColWidth="10" defaultColWidth="8.83203125" defaultRowHeight="15" x14ac:dyDescent="0.2"/>
  <cols>
    <col min="1" max="1" width="29.6640625" style="28" customWidth="1"/>
    <col min="2" max="2" width="26.6640625" style="28" customWidth="1"/>
    <col min="3" max="3" width="103" style="29" customWidth="1"/>
    <col min="4" max="4" width="110.1640625" style="265" customWidth="1"/>
    <col min="5" max="5" width="8.83203125" style="29" customWidth="1"/>
    <col min="6" max="7" width="28.83203125" style="28" hidden="1" customWidth="1"/>
    <col min="8" max="8" width="8.83203125" style="28" hidden="1" customWidth="1"/>
    <col min="9" max="9" width="8.5" style="246" customWidth="1"/>
    <col min="10" max="10" width="11.5" style="246" customWidth="1"/>
    <col min="11" max="11" width="14.33203125" style="272" customWidth="1"/>
    <col min="12" max="13" width="20.1640625" style="246" customWidth="1"/>
    <col min="14" max="14" width="31" style="272" customWidth="1"/>
    <col min="15" max="15" width="30.1640625" style="246" customWidth="1"/>
    <col min="16" max="16" width="21.33203125" style="246" customWidth="1"/>
    <col min="17" max="17" width="41.1640625" style="246" customWidth="1"/>
    <col min="18" max="21" width="8.83203125" style="28" customWidth="1"/>
    <col min="22" max="22" width="15.1640625" style="28" hidden="1" customWidth="1"/>
    <col min="23" max="23" width="16.33203125" style="28" hidden="1" customWidth="1"/>
    <col min="24" max="24" width="17.33203125" style="131" hidden="1" customWidth="1"/>
    <col min="25" max="25" width="8.5" style="114" hidden="1" customWidth="1"/>
    <col min="26" max="26" width="14.1640625" style="52" customWidth="1"/>
    <col min="27" max="27" width="16.83203125" style="52" hidden="1" customWidth="1"/>
    <col min="28" max="28" width="8.83203125" style="52" customWidth="1"/>
    <col min="29" max="29" width="8.83203125" style="28" customWidth="1"/>
    <col min="30" max="16384" width="8.83203125" style="28"/>
  </cols>
  <sheetData>
    <row r="1" spans="1:28" s="78" customFormat="1" ht="97" customHeight="1" thickBot="1" x14ac:dyDescent="0.25">
      <c r="A1" s="74" t="s">
        <v>0</v>
      </c>
      <c r="B1" s="74" t="s">
        <v>1</v>
      </c>
      <c r="C1" s="75" t="s">
        <v>2</v>
      </c>
      <c r="D1" s="75" t="s">
        <v>3</v>
      </c>
      <c r="E1" s="76" t="s">
        <v>4</v>
      </c>
      <c r="F1" s="74" t="s">
        <v>5</v>
      </c>
      <c r="G1" s="74" t="s">
        <v>6</v>
      </c>
      <c r="H1" s="77" t="s">
        <v>7</v>
      </c>
      <c r="I1" s="74" t="s">
        <v>8</v>
      </c>
      <c r="J1" s="74" t="s">
        <v>9</v>
      </c>
      <c r="K1" s="75" t="s">
        <v>10</v>
      </c>
      <c r="L1" s="74" t="s">
        <v>11</v>
      </c>
      <c r="M1" s="74" t="s">
        <v>12</v>
      </c>
      <c r="N1" s="75" t="s">
        <v>13</v>
      </c>
      <c r="O1" s="74" t="s">
        <v>14</v>
      </c>
      <c r="P1" s="74" t="s">
        <v>15</v>
      </c>
      <c r="Q1" s="74" t="s">
        <v>16</v>
      </c>
      <c r="R1" s="78" t="s">
        <v>17</v>
      </c>
      <c r="V1" s="137" t="s">
        <v>18</v>
      </c>
      <c r="X1" s="138" t="s">
        <v>19</v>
      </c>
      <c r="Y1" s="139" t="s">
        <v>20</v>
      </c>
      <c r="Z1" s="140" t="s">
        <v>21</v>
      </c>
      <c r="AA1" s="21" t="s">
        <v>22</v>
      </c>
      <c r="AB1" s="79"/>
    </row>
    <row r="2" spans="1:28" s="294" customFormat="1" x14ac:dyDescent="0.2">
      <c r="A2" s="293" t="s">
        <v>23</v>
      </c>
      <c r="B2" s="293" t="s">
        <v>23</v>
      </c>
      <c r="C2" s="362"/>
      <c r="D2" s="362"/>
      <c r="E2" s="65"/>
      <c r="F2" s="293"/>
      <c r="G2" s="293"/>
      <c r="H2" s="65"/>
      <c r="I2" s="295"/>
      <c r="J2" s="295"/>
      <c r="K2" s="296"/>
      <c r="L2" s="295"/>
      <c r="M2" s="295"/>
      <c r="N2" s="296"/>
      <c r="O2" s="295"/>
      <c r="P2" s="295"/>
      <c r="Q2" s="295"/>
      <c r="X2" s="297"/>
      <c r="Y2" s="298"/>
      <c r="Z2" s="299" t="str">
        <f>IF(X2&lt;&gt;"",X2*Y2,"")</f>
        <v/>
      </c>
      <c r="AA2" s="299" t="str">
        <f>IF(AND(X2&lt;&gt;"",V2="yes"),X2*Y2,"")</f>
        <v/>
      </c>
      <c r="AB2" s="300"/>
    </row>
    <row r="3" spans="1:28" s="294" customFormat="1" x14ac:dyDescent="0.2">
      <c r="A3" s="293" t="s">
        <v>24</v>
      </c>
      <c r="B3" s="293" t="s">
        <v>24</v>
      </c>
      <c r="C3" s="362"/>
      <c r="D3" s="362"/>
      <c r="E3" s="65"/>
      <c r="F3" s="293"/>
      <c r="G3" s="293"/>
      <c r="H3" s="65"/>
      <c r="I3" s="295"/>
      <c r="J3" s="295"/>
      <c r="K3" s="296"/>
      <c r="L3" s="295"/>
      <c r="M3" s="295"/>
      <c r="N3" s="296"/>
      <c r="O3" s="295"/>
      <c r="P3" s="295"/>
      <c r="Q3" s="295"/>
      <c r="X3" s="297"/>
      <c r="Y3" s="298"/>
      <c r="Z3" s="299" t="str">
        <f>IF(X3&lt;&gt;"",X3*Y3,"")</f>
        <v/>
      </c>
      <c r="AA3" s="299" t="str">
        <f>IF(AND(X3&lt;&gt;"",V3="yes"),X3*Y3,"")</f>
        <v/>
      </c>
      <c r="AB3" s="300"/>
    </row>
    <row r="4" spans="1:28" s="294" customFormat="1" x14ac:dyDescent="0.2">
      <c r="A4" s="293" t="s">
        <v>25</v>
      </c>
      <c r="B4" s="293" t="s">
        <v>25</v>
      </c>
      <c r="C4" s="362"/>
      <c r="D4" s="362"/>
      <c r="E4" s="65"/>
      <c r="F4" s="293"/>
      <c r="G4" s="293"/>
      <c r="H4" s="65"/>
      <c r="I4" s="295"/>
      <c r="J4" s="295"/>
      <c r="K4" s="296"/>
      <c r="L4" s="295"/>
      <c r="M4" s="295"/>
      <c r="N4" s="296"/>
      <c r="O4" s="295"/>
      <c r="P4" s="295"/>
      <c r="Q4" s="295"/>
      <c r="X4" s="297"/>
      <c r="Y4" s="298"/>
      <c r="Z4" s="299" t="str">
        <f>IF(X4&lt;&gt;"",X4*Y4,"")</f>
        <v/>
      </c>
      <c r="AA4" s="299" t="str">
        <f>IF(AND(X4&lt;&gt;"",V4="yes"),X4*Y4,"")</f>
        <v/>
      </c>
      <c r="AB4" s="300"/>
    </row>
    <row r="5" spans="1:28" s="294" customFormat="1" x14ac:dyDescent="0.2">
      <c r="A5" s="293" t="s">
        <v>26</v>
      </c>
      <c r="B5" s="293" t="s">
        <v>26</v>
      </c>
      <c r="C5" s="362"/>
      <c r="D5" s="362"/>
      <c r="E5" s="65"/>
      <c r="F5" s="293"/>
      <c r="G5" s="293"/>
      <c r="H5" s="65"/>
      <c r="I5" s="295"/>
      <c r="J5" s="295"/>
      <c r="K5" s="296"/>
      <c r="L5" s="295"/>
      <c r="M5" s="295"/>
      <c r="N5" s="296"/>
      <c r="O5" s="295"/>
      <c r="P5" s="295"/>
      <c r="Q5" s="295"/>
      <c r="X5" s="297"/>
      <c r="Y5" s="298"/>
      <c r="Z5" s="299" t="str">
        <f>IF(X5&lt;&gt;"",X5*Y5,"")</f>
        <v/>
      </c>
      <c r="AA5" s="299" t="str">
        <f>IF(AND(X5&lt;&gt;"",V5="yes"),X5*Y5,"")</f>
        <v/>
      </c>
      <c r="AB5" s="300"/>
    </row>
    <row r="6" spans="1:28" s="294" customFormat="1" x14ac:dyDescent="0.2">
      <c r="A6" s="293" t="s">
        <v>27</v>
      </c>
      <c r="B6" s="293" t="s">
        <v>27</v>
      </c>
      <c r="C6" s="362"/>
      <c r="D6" s="362"/>
      <c r="E6" s="65"/>
      <c r="F6" s="293"/>
      <c r="G6" s="293"/>
      <c r="H6" s="65"/>
      <c r="I6" s="295"/>
      <c r="J6" s="295"/>
      <c r="K6" s="296"/>
      <c r="L6" s="295"/>
      <c r="M6" s="295"/>
      <c r="N6" s="296"/>
      <c r="O6" s="295"/>
      <c r="P6" s="295"/>
      <c r="Q6" s="295"/>
      <c r="X6" s="297"/>
      <c r="Y6" s="298"/>
      <c r="Z6" s="299"/>
      <c r="AA6" s="299"/>
      <c r="AB6" s="300"/>
    </row>
    <row r="7" spans="1:28" ht="16" customHeight="1" x14ac:dyDescent="0.2">
      <c r="A7" s="51" t="s">
        <v>28</v>
      </c>
      <c r="B7" s="51" t="s">
        <v>29</v>
      </c>
      <c r="C7" s="363" t="s">
        <v>30</v>
      </c>
      <c r="D7" s="364" t="s">
        <v>31</v>
      </c>
      <c r="E7" s="47"/>
      <c r="F7" s="51"/>
      <c r="G7" s="51"/>
      <c r="H7" s="48"/>
      <c r="I7" s="243" t="s">
        <v>32</v>
      </c>
      <c r="J7" s="243"/>
      <c r="K7" s="26"/>
      <c r="L7" s="243"/>
      <c r="M7" s="243"/>
      <c r="N7" s="26" t="s">
        <v>33</v>
      </c>
      <c r="O7" s="243"/>
      <c r="P7" s="243"/>
      <c r="Q7" s="243"/>
      <c r="V7" s="28" t="s">
        <v>34</v>
      </c>
      <c r="X7" s="132"/>
      <c r="Z7" s="115"/>
    </row>
    <row r="8" spans="1:28" s="52" customFormat="1" ht="16" customHeight="1" x14ac:dyDescent="0.2">
      <c r="A8" s="52" t="s">
        <v>35</v>
      </c>
      <c r="B8" s="52" t="s">
        <v>36</v>
      </c>
      <c r="C8" s="365" t="s">
        <v>37</v>
      </c>
      <c r="D8" s="365" t="s">
        <v>38</v>
      </c>
      <c r="E8" s="65"/>
      <c r="H8" s="67"/>
      <c r="I8" s="86" t="s">
        <v>32</v>
      </c>
      <c r="J8" s="86"/>
      <c r="K8" s="30"/>
      <c r="L8" s="86"/>
      <c r="M8" s="86"/>
      <c r="N8" s="266"/>
      <c r="O8" s="86"/>
      <c r="P8" s="86"/>
      <c r="Q8" s="86"/>
      <c r="X8" s="132"/>
      <c r="Y8" s="114"/>
      <c r="Z8" s="115"/>
      <c r="AA8" s="115"/>
    </row>
    <row r="9" spans="1:28" s="52" customFormat="1" x14ac:dyDescent="0.2">
      <c r="A9" t="s">
        <v>39</v>
      </c>
      <c r="B9" s="328" t="s">
        <v>40</v>
      </c>
      <c r="C9" s="365"/>
      <c r="D9" s="365"/>
      <c r="E9" s="65"/>
      <c r="H9" s="67"/>
      <c r="I9" s="86"/>
      <c r="J9" s="86"/>
      <c r="K9" s="30"/>
      <c r="L9" s="86"/>
      <c r="M9" s="86"/>
      <c r="N9" s="266"/>
      <c r="O9" s="86"/>
      <c r="P9" s="86"/>
      <c r="Q9" s="328" t="s">
        <v>41</v>
      </c>
      <c r="R9" s="328" t="s">
        <v>42</v>
      </c>
      <c r="X9" s="132"/>
      <c r="Y9" s="114"/>
      <c r="Z9" s="115"/>
      <c r="AA9" s="115"/>
    </row>
    <row r="10" spans="1:28" s="52" customFormat="1" ht="16" customHeight="1" x14ac:dyDescent="0.2">
      <c r="A10" s="55" t="s">
        <v>43</v>
      </c>
      <c r="B10" s="55" t="s">
        <v>44</v>
      </c>
      <c r="C10" s="366" t="s">
        <v>45</v>
      </c>
      <c r="D10" s="366" t="s">
        <v>46</v>
      </c>
      <c r="E10" s="65"/>
      <c r="F10" s="55"/>
      <c r="G10" s="55"/>
      <c r="H10" s="67"/>
      <c r="I10" s="81" t="s">
        <v>32</v>
      </c>
      <c r="J10" s="81"/>
      <c r="K10" s="267"/>
      <c r="L10" s="81"/>
      <c r="M10" s="81"/>
      <c r="N10" s="267"/>
      <c r="O10" s="86" t="s">
        <v>47</v>
      </c>
      <c r="P10" s="81"/>
      <c r="Q10" s="81"/>
      <c r="V10" s="52" t="s">
        <v>48</v>
      </c>
      <c r="X10" s="132"/>
      <c r="Y10" s="114"/>
      <c r="Z10" s="115" t="str">
        <f t="shared" ref="Z10:Z32" si="0">IF(X10&lt;&gt;"",X10*Y10,"")</f>
        <v/>
      </c>
      <c r="AA10" s="115" t="str">
        <f t="shared" ref="AA10:AA32" si="1">IF(AND(X10&lt;&gt;"",V10="yes"),X10*Y10,"")</f>
        <v/>
      </c>
    </row>
    <row r="11" spans="1:28" ht="32" customHeight="1" x14ac:dyDescent="0.2">
      <c r="A11" s="51" t="s">
        <v>49</v>
      </c>
      <c r="B11" s="51" t="s">
        <v>50</v>
      </c>
      <c r="C11" s="364" t="s">
        <v>51</v>
      </c>
      <c r="D11" s="364" t="s">
        <v>52</v>
      </c>
      <c r="E11" s="59"/>
      <c r="F11" s="51"/>
      <c r="G11" s="51"/>
      <c r="H11" s="60"/>
      <c r="I11" s="81" t="s">
        <v>32</v>
      </c>
      <c r="J11" s="243"/>
      <c r="K11" s="325" t="s">
        <v>53</v>
      </c>
      <c r="L11" s="306" t="s">
        <v>54</v>
      </c>
      <c r="M11" s="306" t="s">
        <v>55</v>
      </c>
      <c r="N11" s="26"/>
      <c r="O11" s="243"/>
      <c r="P11" s="243"/>
      <c r="Q11" s="243"/>
      <c r="V11" s="28" t="s">
        <v>48</v>
      </c>
      <c r="X11" s="132"/>
      <c r="Z11" s="115" t="str">
        <f t="shared" si="0"/>
        <v/>
      </c>
      <c r="AA11" s="115" t="str">
        <f t="shared" si="1"/>
        <v/>
      </c>
    </row>
    <row r="12" spans="1:28" ht="105.75" customHeight="1" x14ac:dyDescent="0.2">
      <c r="A12" s="51" t="s">
        <v>56</v>
      </c>
      <c r="B12" s="51" t="s">
        <v>57</v>
      </c>
      <c r="C12" s="301" t="s">
        <v>58</v>
      </c>
      <c r="D12" s="301" t="s">
        <v>59</v>
      </c>
      <c r="E12" s="59"/>
      <c r="F12" s="51" t="s">
        <v>60</v>
      </c>
      <c r="G12" s="51" t="s">
        <v>61</v>
      </c>
      <c r="H12" s="60"/>
      <c r="I12" s="243" t="s">
        <v>62</v>
      </c>
      <c r="J12" s="243"/>
      <c r="K12" s="26"/>
      <c r="L12" s="243"/>
      <c r="M12" s="243"/>
      <c r="N12" s="26"/>
      <c r="O12" s="243"/>
      <c r="P12" s="243"/>
      <c r="Q12" s="243"/>
      <c r="V12" s="28" t="s">
        <v>34</v>
      </c>
      <c r="X12" s="132">
        <v>50.822540283203118</v>
      </c>
      <c r="Z12" s="115">
        <f t="shared" si="0"/>
        <v>0</v>
      </c>
      <c r="AA12" s="115" t="str">
        <f t="shared" si="1"/>
        <v/>
      </c>
    </row>
    <row r="13" spans="1:28" ht="16" customHeight="1" x14ac:dyDescent="0.2">
      <c r="A13" s="51" t="s">
        <v>63</v>
      </c>
      <c r="B13" s="51" t="s">
        <v>64</v>
      </c>
      <c r="C13" s="364" t="s">
        <v>65</v>
      </c>
      <c r="D13" s="364" t="s">
        <v>66</v>
      </c>
      <c r="E13" s="59"/>
      <c r="F13" s="51"/>
      <c r="G13" s="51"/>
      <c r="H13" s="60"/>
      <c r="I13" s="243" t="s">
        <v>32</v>
      </c>
      <c r="J13" s="243"/>
      <c r="K13" s="26"/>
      <c r="L13" s="243"/>
      <c r="M13" s="243"/>
      <c r="N13" s="26"/>
      <c r="O13" s="243"/>
      <c r="P13" s="243"/>
      <c r="Q13" s="243"/>
      <c r="V13" s="28" t="s">
        <v>48</v>
      </c>
      <c r="X13" s="132">
        <v>3.5</v>
      </c>
      <c r="Y13" s="114">
        <f>1</f>
        <v>1</v>
      </c>
      <c r="Z13" s="115">
        <f t="shared" si="0"/>
        <v>3.5</v>
      </c>
      <c r="AA13" s="115">
        <f t="shared" si="1"/>
        <v>3.5</v>
      </c>
    </row>
    <row r="14" spans="1:28" s="52" customFormat="1" ht="16" customHeight="1" x14ac:dyDescent="0.2">
      <c r="A14" s="55" t="s">
        <v>56</v>
      </c>
      <c r="B14" s="55" t="s">
        <v>67</v>
      </c>
      <c r="C14" s="366" t="s">
        <v>68</v>
      </c>
      <c r="D14" s="366" t="s">
        <v>69</v>
      </c>
      <c r="E14" s="65"/>
      <c r="F14" s="55"/>
      <c r="G14" s="55"/>
      <c r="H14" s="67"/>
      <c r="I14" s="81" t="s">
        <v>62</v>
      </c>
      <c r="J14" s="81"/>
      <c r="K14" s="267"/>
      <c r="L14" s="81"/>
      <c r="M14" s="81"/>
      <c r="N14" s="267" t="s">
        <v>70</v>
      </c>
      <c r="O14" s="81"/>
      <c r="P14" s="81"/>
      <c r="Q14" s="81"/>
      <c r="V14" s="52" t="s">
        <v>34</v>
      </c>
      <c r="X14" s="132">
        <v>0</v>
      </c>
      <c r="Y14" s="114">
        <v>1</v>
      </c>
      <c r="Z14" s="115">
        <f t="shared" si="0"/>
        <v>0</v>
      </c>
      <c r="AA14" s="115" t="str">
        <f t="shared" si="1"/>
        <v/>
      </c>
    </row>
    <row r="15" spans="1:28" s="49" customFormat="1" ht="16" customHeight="1" x14ac:dyDescent="0.2">
      <c r="A15" s="282" t="s">
        <v>71</v>
      </c>
      <c r="B15" s="282" t="s">
        <v>72</v>
      </c>
      <c r="C15" s="367" t="s">
        <v>73</v>
      </c>
      <c r="D15" s="367" t="s">
        <v>74</v>
      </c>
      <c r="E15" s="47"/>
      <c r="F15" s="46"/>
      <c r="G15" s="46"/>
      <c r="H15" s="48"/>
      <c r="I15" s="243" t="s">
        <v>62</v>
      </c>
      <c r="J15" s="243"/>
      <c r="K15" s="26"/>
      <c r="L15" s="243"/>
      <c r="M15" s="243"/>
      <c r="N15" s="26" t="s">
        <v>33</v>
      </c>
      <c r="O15" s="82"/>
      <c r="P15" s="82"/>
      <c r="Q15" s="82"/>
      <c r="V15" s="28" t="s">
        <v>48</v>
      </c>
      <c r="X15" s="132"/>
      <c r="Y15" s="114"/>
      <c r="Z15" s="115" t="str">
        <f t="shared" si="0"/>
        <v/>
      </c>
      <c r="AA15" s="115" t="str">
        <f t="shared" si="1"/>
        <v/>
      </c>
      <c r="AB15" s="50"/>
    </row>
    <row r="16" spans="1:28" s="53" customFormat="1" ht="32" customHeight="1" x14ac:dyDescent="0.2">
      <c r="A16" s="55" t="s">
        <v>49</v>
      </c>
      <c r="B16" s="55" t="s">
        <v>75</v>
      </c>
      <c r="C16" s="364" t="s">
        <v>76</v>
      </c>
      <c r="D16" s="364" t="s">
        <v>77</v>
      </c>
      <c r="E16" s="54"/>
      <c r="F16" s="52" t="s">
        <v>78</v>
      </c>
      <c r="G16" s="52" t="s">
        <v>79</v>
      </c>
      <c r="H16" s="58"/>
      <c r="I16" s="81" t="s">
        <v>32</v>
      </c>
      <c r="J16" s="81"/>
      <c r="K16" s="325" t="s">
        <v>53</v>
      </c>
      <c r="L16" s="306" t="s">
        <v>54</v>
      </c>
      <c r="M16" s="306" t="s">
        <v>55</v>
      </c>
      <c r="N16" s="267"/>
      <c r="O16" s="81"/>
      <c r="P16" s="81"/>
      <c r="Q16" s="81"/>
      <c r="V16" s="52" t="s">
        <v>48</v>
      </c>
      <c r="X16" s="132">
        <v>10</v>
      </c>
      <c r="Y16" s="114">
        <f>1</f>
        <v>1</v>
      </c>
      <c r="Z16" s="115">
        <f t="shared" si="0"/>
        <v>10</v>
      </c>
      <c r="AA16" s="115">
        <f t="shared" si="1"/>
        <v>10</v>
      </c>
      <c r="AB16" s="52"/>
    </row>
    <row r="17" spans="1:28" s="53" customFormat="1" ht="32" customHeight="1" x14ac:dyDescent="0.2">
      <c r="A17" s="55" t="s">
        <v>49</v>
      </c>
      <c r="B17" s="55" t="s">
        <v>80</v>
      </c>
      <c r="C17" s="364" t="s">
        <v>81</v>
      </c>
      <c r="D17" s="364" t="s">
        <v>82</v>
      </c>
      <c r="E17" s="54"/>
      <c r="F17" s="52" t="s">
        <v>83</v>
      </c>
      <c r="G17" s="52" t="s">
        <v>84</v>
      </c>
      <c r="H17" s="58"/>
      <c r="I17" s="81" t="s">
        <v>32</v>
      </c>
      <c r="J17" s="81"/>
      <c r="K17" s="325" t="s">
        <v>53</v>
      </c>
      <c r="L17" s="306" t="s">
        <v>54</v>
      </c>
      <c r="M17" s="306" t="s">
        <v>55</v>
      </c>
      <c r="N17" s="267"/>
      <c r="O17" s="81"/>
      <c r="P17" s="81"/>
      <c r="Q17" s="81"/>
      <c r="V17" s="52" t="s">
        <v>48</v>
      </c>
      <c r="X17" s="132">
        <v>10</v>
      </c>
      <c r="Y17" s="114">
        <f>1</f>
        <v>1</v>
      </c>
      <c r="Z17" s="115">
        <f t="shared" si="0"/>
        <v>10</v>
      </c>
      <c r="AA17" s="115">
        <f t="shared" si="1"/>
        <v>10</v>
      </c>
      <c r="AB17" s="52"/>
    </row>
    <row r="18" spans="1:28" ht="32" customHeight="1" x14ac:dyDescent="0.2">
      <c r="A18" s="51" t="s">
        <v>85</v>
      </c>
      <c r="B18" s="51" t="s">
        <v>86</v>
      </c>
      <c r="C18" s="364" t="s">
        <v>87</v>
      </c>
      <c r="D18" s="364" t="s">
        <v>88</v>
      </c>
      <c r="E18" s="65"/>
      <c r="F18" s="55" t="s">
        <v>89</v>
      </c>
      <c r="G18" s="51" t="s">
        <v>90</v>
      </c>
      <c r="H18" s="60"/>
      <c r="I18" s="243" t="s">
        <v>32</v>
      </c>
      <c r="J18" s="243"/>
      <c r="K18" s="26" t="s">
        <v>91</v>
      </c>
      <c r="L18" s="243"/>
      <c r="M18" s="243"/>
      <c r="N18" s="26"/>
      <c r="O18" s="243"/>
      <c r="P18" s="243"/>
      <c r="Q18" s="243"/>
      <c r="V18" s="28" t="s">
        <v>48</v>
      </c>
      <c r="X18" s="132">
        <v>13.753072738647459</v>
      </c>
      <c r="Y18" s="114">
        <f>1</f>
        <v>1</v>
      </c>
      <c r="Z18" s="115">
        <f t="shared" si="0"/>
        <v>13.753072738647459</v>
      </c>
      <c r="AA18" s="115">
        <f t="shared" si="1"/>
        <v>13.753072738647459</v>
      </c>
    </row>
    <row r="19" spans="1:28" s="52" customFormat="1" ht="16" customHeight="1" x14ac:dyDescent="0.2">
      <c r="A19" s="52" t="s">
        <v>92</v>
      </c>
      <c r="B19" s="52" t="s">
        <v>93</v>
      </c>
      <c r="C19" s="364" t="s">
        <v>94</v>
      </c>
      <c r="D19" s="364" t="s">
        <v>95</v>
      </c>
      <c r="E19" s="65"/>
      <c r="F19" s="52" t="s">
        <v>96</v>
      </c>
      <c r="G19" s="52" t="s">
        <v>97</v>
      </c>
      <c r="H19" s="67"/>
      <c r="I19" s="86" t="s">
        <v>32</v>
      </c>
      <c r="J19" s="86"/>
      <c r="K19" s="266"/>
      <c r="L19" s="86"/>
      <c r="M19" s="86"/>
      <c r="N19" s="266"/>
      <c r="O19" s="86"/>
      <c r="P19" s="86"/>
      <c r="Q19" s="86"/>
      <c r="V19" s="52" t="s">
        <v>34</v>
      </c>
      <c r="X19" s="132">
        <v>2.1173560619354248</v>
      </c>
      <c r="Y19" s="114">
        <f>1</f>
        <v>1</v>
      </c>
      <c r="Z19" s="115">
        <f t="shared" si="0"/>
        <v>2.1173560619354248</v>
      </c>
      <c r="AA19" s="115" t="str">
        <f t="shared" si="1"/>
        <v/>
      </c>
    </row>
    <row r="20" spans="1:28" s="63" customFormat="1" ht="96" customHeight="1" x14ac:dyDescent="0.2">
      <c r="A20" s="55" t="s">
        <v>49</v>
      </c>
      <c r="B20" s="55" t="s">
        <v>98</v>
      </c>
      <c r="C20" s="364" t="s">
        <v>99</v>
      </c>
      <c r="D20" s="364" t="s">
        <v>100</v>
      </c>
      <c r="E20" s="65"/>
      <c r="F20" s="52"/>
      <c r="G20" s="52"/>
      <c r="H20" s="67"/>
      <c r="I20" s="81" t="s">
        <v>62</v>
      </c>
      <c r="J20" s="81" t="s">
        <v>101</v>
      </c>
      <c r="K20" s="221" t="s">
        <v>102</v>
      </c>
      <c r="L20" t="s">
        <v>103</v>
      </c>
      <c r="M20" t="s">
        <v>104</v>
      </c>
      <c r="N20" s="268"/>
      <c r="O20" s="106"/>
      <c r="P20" s="106"/>
      <c r="Q20" s="83"/>
      <c r="V20" s="108" t="s">
        <v>105</v>
      </c>
      <c r="X20" s="132">
        <v>10</v>
      </c>
      <c r="Y20" s="114">
        <f>1</f>
        <v>1</v>
      </c>
      <c r="Z20" s="115">
        <f t="shared" si="0"/>
        <v>10</v>
      </c>
      <c r="AA20" s="115" t="str">
        <f t="shared" si="1"/>
        <v/>
      </c>
    </row>
    <row r="21" spans="1:28" s="63" customFormat="1" ht="16" customHeight="1" x14ac:dyDescent="0.2">
      <c r="A21" s="55" t="s">
        <v>106</v>
      </c>
      <c r="B21" s="55" t="s">
        <v>107</v>
      </c>
      <c r="C21" s="364" t="s">
        <v>108</v>
      </c>
      <c r="D21" s="364" t="s">
        <v>109</v>
      </c>
      <c r="E21" s="65"/>
      <c r="F21" s="52"/>
      <c r="G21" s="52"/>
      <c r="H21" s="67"/>
      <c r="I21" s="81" t="s">
        <v>62</v>
      </c>
      <c r="J21" s="81"/>
      <c r="K21" s="326"/>
      <c r="L21" s="81"/>
      <c r="M21" s="81"/>
      <c r="N21" s="267"/>
      <c r="O21" s="106"/>
      <c r="P21" s="106"/>
      <c r="Q21" s="83"/>
      <c r="V21" s="108" t="s">
        <v>105</v>
      </c>
      <c r="X21" s="132">
        <v>10</v>
      </c>
      <c r="Y21" s="114">
        <f>1</f>
        <v>1</v>
      </c>
      <c r="Z21" s="115">
        <f t="shared" si="0"/>
        <v>10</v>
      </c>
      <c r="AA21" s="115" t="str">
        <f t="shared" si="1"/>
        <v/>
      </c>
    </row>
    <row r="22" spans="1:28" s="63" customFormat="1" ht="96" customHeight="1" x14ac:dyDescent="0.2">
      <c r="A22" s="55" t="s">
        <v>49</v>
      </c>
      <c r="B22" s="55" t="s">
        <v>110</v>
      </c>
      <c r="C22" s="364" t="s">
        <v>111</v>
      </c>
      <c r="D22" s="364" t="s">
        <v>112</v>
      </c>
      <c r="E22" s="65"/>
      <c r="F22" s="52"/>
      <c r="G22" s="52"/>
      <c r="H22" s="67"/>
      <c r="I22" s="81" t="s">
        <v>62</v>
      </c>
      <c r="J22" s="81" t="s">
        <v>101</v>
      </c>
      <c r="K22" s="221" t="s">
        <v>102</v>
      </c>
      <c r="L22" t="s">
        <v>103</v>
      </c>
      <c r="M22" t="s">
        <v>104</v>
      </c>
      <c r="N22" s="267" t="s">
        <v>113</v>
      </c>
      <c r="O22" s="106"/>
      <c r="P22" s="106"/>
      <c r="Q22" s="83"/>
      <c r="V22" s="108" t="s">
        <v>105</v>
      </c>
      <c r="X22" s="132">
        <v>10</v>
      </c>
      <c r="Y22" s="114">
        <f>1</f>
        <v>1</v>
      </c>
      <c r="Z22" s="115">
        <f t="shared" si="0"/>
        <v>10</v>
      </c>
      <c r="AA22" s="115" t="str">
        <f t="shared" si="1"/>
        <v/>
      </c>
    </row>
    <row r="23" spans="1:28" s="63" customFormat="1" ht="32" customHeight="1" x14ac:dyDescent="0.2">
      <c r="A23" s="55" t="s">
        <v>49</v>
      </c>
      <c r="B23" s="55" t="s">
        <v>114</v>
      </c>
      <c r="C23" s="364" t="s">
        <v>115</v>
      </c>
      <c r="D23" s="364" t="s">
        <v>116</v>
      </c>
      <c r="E23" s="65"/>
      <c r="F23" s="52"/>
      <c r="G23" s="52"/>
      <c r="H23" s="67"/>
      <c r="I23" s="81" t="s">
        <v>62</v>
      </c>
      <c r="J23" s="81"/>
      <c r="K23" s="325" t="s">
        <v>53</v>
      </c>
      <c r="L23" s="306" t="s">
        <v>54</v>
      </c>
      <c r="M23" s="306" t="s">
        <v>55</v>
      </c>
      <c r="N23" s="267" t="s">
        <v>117</v>
      </c>
      <c r="O23" s="106"/>
      <c r="P23" s="106"/>
      <c r="Q23" s="83"/>
      <c r="V23" s="108" t="s">
        <v>105</v>
      </c>
      <c r="X23" s="132">
        <v>10</v>
      </c>
      <c r="Y23" s="114">
        <f>1</f>
        <v>1</v>
      </c>
      <c r="Z23" s="115">
        <f t="shared" si="0"/>
        <v>10</v>
      </c>
      <c r="AA23" s="115" t="str">
        <f t="shared" si="1"/>
        <v/>
      </c>
    </row>
    <row r="24" spans="1:28" ht="16" customHeight="1" x14ac:dyDescent="0.2">
      <c r="A24" s="51" t="s">
        <v>118</v>
      </c>
      <c r="B24" s="51" t="s">
        <v>119</v>
      </c>
      <c r="C24" s="364" t="s">
        <v>120</v>
      </c>
      <c r="D24" s="364" t="s">
        <v>121</v>
      </c>
      <c r="E24" s="59"/>
      <c r="F24" s="51" t="s">
        <v>122</v>
      </c>
      <c r="G24" s="51" t="s">
        <v>123</v>
      </c>
      <c r="H24" s="60"/>
      <c r="I24" s="243" t="s">
        <v>32</v>
      </c>
      <c r="J24" s="243" t="s">
        <v>124</v>
      </c>
      <c r="K24" s="26"/>
      <c r="L24" s="83"/>
      <c r="M24" s="83"/>
      <c r="N24" s="26"/>
      <c r="O24" s="243"/>
      <c r="P24" s="243"/>
      <c r="Q24" s="243"/>
      <c r="V24" s="28" t="s">
        <v>48</v>
      </c>
      <c r="X24" s="132">
        <v>8.8000000000000007</v>
      </c>
      <c r="Y24" s="114">
        <f>1</f>
        <v>1</v>
      </c>
      <c r="Z24" s="115">
        <f t="shared" si="0"/>
        <v>8.8000000000000007</v>
      </c>
      <c r="AA24" s="115">
        <f t="shared" si="1"/>
        <v>8.8000000000000007</v>
      </c>
    </row>
    <row r="25" spans="1:28" x14ac:dyDescent="0.2">
      <c r="A25" s="51" t="s">
        <v>125</v>
      </c>
      <c r="B25" s="51" t="s">
        <v>126</v>
      </c>
      <c r="C25" s="364"/>
      <c r="D25" s="364"/>
      <c r="E25" s="59"/>
      <c r="F25" s="51"/>
      <c r="G25" s="51"/>
      <c r="H25" s="60"/>
      <c r="I25" s="243"/>
      <c r="J25" s="243"/>
      <c r="K25" s="26"/>
      <c r="L25" s="243"/>
      <c r="M25" s="243"/>
      <c r="N25" s="26"/>
      <c r="O25" s="243"/>
      <c r="P25" s="243"/>
      <c r="Q25" s="243" t="s">
        <v>127</v>
      </c>
      <c r="V25" s="28" t="s">
        <v>48</v>
      </c>
      <c r="X25" s="132"/>
      <c r="Y25" s="114">
        <f>1</f>
        <v>1</v>
      </c>
      <c r="Z25" s="115" t="str">
        <f t="shared" si="0"/>
        <v/>
      </c>
      <c r="AA25" s="115" t="str">
        <f t="shared" si="1"/>
        <v/>
      </c>
    </row>
    <row r="26" spans="1:28" ht="16" customHeight="1" x14ac:dyDescent="0.2">
      <c r="A26" s="51" t="s">
        <v>128</v>
      </c>
      <c r="B26" s="51" t="s">
        <v>129</v>
      </c>
      <c r="C26" s="364" t="s">
        <v>130</v>
      </c>
      <c r="D26" s="364" t="s">
        <v>131</v>
      </c>
      <c r="E26" s="59"/>
      <c r="F26" s="51" t="s">
        <v>122</v>
      </c>
      <c r="G26" s="51" t="s">
        <v>123</v>
      </c>
      <c r="H26" s="60"/>
      <c r="I26" s="243" t="s">
        <v>32</v>
      </c>
      <c r="J26" s="243" t="s">
        <v>124</v>
      </c>
      <c r="K26" s="26"/>
      <c r="L26" s="243"/>
      <c r="M26" s="243"/>
      <c r="N26" s="26"/>
      <c r="O26" s="243" t="s">
        <v>132</v>
      </c>
      <c r="P26" s="243"/>
      <c r="Q26" s="243"/>
      <c r="V26" s="28" t="s">
        <v>48</v>
      </c>
      <c r="X26" s="132">
        <v>10.4</v>
      </c>
      <c r="Y26" s="114">
        <f>1</f>
        <v>1</v>
      </c>
      <c r="Z26" s="115">
        <f t="shared" si="0"/>
        <v>10.4</v>
      </c>
      <c r="AA26" s="115">
        <f t="shared" si="1"/>
        <v>10.4</v>
      </c>
    </row>
    <row r="27" spans="1:28" x14ac:dyDescent="0.2">
      <c r="A27" s="51" t="s">
        <v>125</v>
      </c>
      <c r="B27" s="51" t="s">
        <v>133</v>
      </c>
      <c r="C27" s="364"/>
      <c r="D27" s="364"/>
      <c r="E27" s="59"/>
      <c r="F27" s="51"/>
      <c r="G27" s="51"/>
      <c r="H27" s="60"/>
      <c r="I27" s="243"/>
      <c r="J27" s="243"/>
      <c r="K27" s="26"/>
      <c r="L27" s="243"/>
      <c r="M27" s="243"/>
      <c r="N27" s="26"/>
      <c r="O27" s="243"/>
      <c r="P27" s="243"/>
      <c r="Q27" s="243" t="s">
        <v>134</v>
      </c>
      <c r="V27" s="28" t="s">
        <v>48</v>
      </c>
      <c r="X27" s="132"/>
      <c r="Y27" s="114">
        <f>1</f>
        <v>1</v>
      </c>
      <c r="Z27" s="115" t="str">
        <f t="shared" si="0"/>
        <v/>
      </c>
      <c r="AA27" s="115" t="str">
        <f t="shared" si="1"/>
        <v/>
      </c>
    </row>
    <row r="28" spans="1:28" ht="16" customHeight="1" x14ac:dyDescent="0.2">
      <c r="A28" s="51" t="s">
        <v>135</v>
      </c>
      <c r="B28" s="51" t="s">
        <v>136</v>
      </c>
      <c r="C28" s="364" t="s">
        <v>137</v>
      </c>
      <c r="D28" s="364" t="s">
        <v>138</v>
      </c>
      <c r="E28" s="59"/>
      <c r="F28" s="51" t="s">
        <v>122</v>
      </c>
      <c r="G28" s="51" t="s">
        <v>123</v>
      </c>
      <c r="H28" s="60"/>
      <c r="I28" s="243" t="s">
        <v>32</v>
      </c>
      <c r="J28" s="243" t="s">
        <v>124</v>
      </c>
      <c r="K28" s="26"/>
      <c r="L28" s="83"/>
      <c r="M28" s="83"/>
      <c r="N28" s="26"/>
      <c r="O28" s="243" t="s">
        <v>139</v>
      </c>
      <c r="P28" s="243"/>
      <c r="Q28" s="243"/>
      <c r="V28" s="28" t="s">
        <v>48</v>
      </c>
      <c r="X28" s="132">
        <v>8.8000000000000007</v>
      </c>
      <c r="Y28" s="114">
        <f>1</f>
        <v>1</v>
      </c>
      <c r="Z28" s="115">
        <f t="shared" si="0"/>
        <v>8.8000000000000007</v>
      </c>
      <c r="AA28" s="115">
        <f t="shared" si="1"/>
        <v>8.8000000000000007</v>
      </c>
    </row>
    <row r="29" spans="1:28" x14ac:dyDescent="0.2">
      <c r="A29" s="51" t="s">
        <v>125</v>
      </c>
      <c r="B29" s="51" t="s">
        <v>140</v>
      </c>
      <c r="C29" s="364"/>
      <c r="D29" s="364"/>
      <c r="E29" s="59"/>
      <c r="F29" s="51"/>
      <c r="G29" s="51"/>
      <c r="H29" s="60"/>
      <c r="I29" s="243"/>
      <c r="J29" s="243"/>
      <c r="K29" s="26"/>
      <c r="L29" s="243"/>
      <c r="M29" s="243"/>
      <c r="N29" s="26"/>
      <c r="O29" s="243"/>
      <c r="P29" s="243"/>
      <c r="Q29" s="243" t="s">
        <v>141</v>
      </c>
      <c r="V29" s="28" t="s">
        <v>48</v>
      </c>
      <c r="X29" s="132"/>
      <c r="Y29" s="114">
        <f>1</f>
        <v>1</v>
      </c>
      <c r="Z29" s="115" t="str">
        <f t="shared" si="0"/>
        <v/>
      </c>
      <c r="AA29" s="115" t="str">
        <f t="shared" si="1"/>
        <v/>
      </c>
    </row>
    <row r="30" spans="1:28" ht="16" customHeight="1" x14ac:dyDescent="0.2">
      <c r="A30" s="51" t="s">
        <v>142</v>
      </c>
      <c r="B30" s="51" t="s">
        <v>143</v>
      </c>
      <c r="C30" s="364" t="s">
        <v>144</v>
      </c>
      <c r="D30" s="364" t="s">
        <v>145</v>
      </c>
      <c r="E30" s="59"/>
      <c r="F30" s="51" t="s">
        <v>122</v>
      </c>
      <c r="G30" s="51" t="s">
        <v>123</v>
      </c>
      <c r="H30" s="60"/>
      <c r="I30" s="243" t="s">
        <v>32</v>
      </c>
      <c r="J30" s="243" t="s">
        <v>124</v>
      </c>
      <c r="K30" s="26"/>
      <c r="L30" s="243"/>
      <c r="M30" s="243"/>
      <c r="N30" s="26"/>
      <c r="O30" s="243" t="s">
        <v>146</v>
      </c>
      <c r="P30" s="243"/>
      <c r="Q30" s="243"/>
      <c r="V30" s="28" t="s">
        <v>48</v>
      </c>
      <c r="X30" s="132">
        <v>10.4</v>
      </c>
      <c r="Y30" s="114">
        <f>1</f>
        <v>1</v>
      </c>
      <c r="Z30" s="115">
        <f t="shared" si="0"/>
        <v>10.4</v>
      </c>
      <c r="AA30" s="115">
        <f t="shared" si="1"/>
        <v>10.4</v>
      </c>
    </row>
    <row r="31" spans="1:28" x14ac:dyDescent="0.2">
      <c r="A31" s="51" t="s">
        <v>125</v>
      </c>
      <c r="B31" s="51" t="s">
        <v>147</v>
      </c>
      <c r="C31" s="364"/>
      <c r="D31" s="364"/>
      <c r="E31" s="59"/>
      <c r="F31" s="51"/>
      <c r="G31" s="51"/>
      <c r="H31" s="60"/>
      <c r="I31" s="243"/>
      <c r="J31" s="243"/>
      <c r="K31" s="26"/>
      <c r="L31" s="243"/>
      <c r="M31" s="243"/>
      <c r="N31" s="26"/>
      <c r="O31" s="243"/>
      <c r="P31" s="243"/>
      <c r="Q31" s="243" t="s">
        <v>148</v>
      </c>
      <c r="V31" s="28" t="s">
        <v>48</v>
      </c>
      <c r="X31" s="132"/>
      <c r="Y31" s="114">
        <f>1</f>
        <v>1</v>
      </c>
      <c r="Z31" s="115" t="str">
        <f t="shared" si="0"/>
        <v/>
      </c>
      <c r="AA31" s="115" t="str">
        <f t="shared" si="1"/>
        <v/>
      </c>
    </row>
    <row r="32" spans="1:28" s="29" customFormat="1" ht="76.25" customHeight="1" x14ac:dyDescent="0.2">
      <c r="A32" s="27" t="s">
        <v>149</v>
      </c>
      <c r="B32" s="27" t="s">
        <v>150</v>
      </c>
      <c r="C32" s="364" t="s">
        <v>151</v>
      </c>
      <c r="D32" s="364" t="s">
        <v>152</v>
      </c>
      <c r="E32" s="59"/>
      <c r="F32" s="27" t="s">
        <v>153</v>
      </c>
      <c r="G32" s="27" t="s">
        <v>154</v>
      </c>
      <c r="H32" s="59"/>
      <c r="I32" s="26" t="s">
        <v>32</v>
      </c>
      <c r="J32" s="26"/>
      <c r="K32" s="26"/>
      <c r="L32" s="26"/>
      <c r="M32" s="26"/>
      <c r="N32" s="26"/>
      <c r="O32" s="26"/>
      <c r="P32" s="26"/>
      <c r="Q32" s="26"/>
      <c r="V32" s="29" t="s">
        <v>48</v>
      </c>
      <c r="X32" s="135">
        <v>31.372377395629879</v>
      </c>
      <c r="Y32" s="114">
        <f>1</f>
        <v>1</v>
      </c>
      <c r="Z32" s="116">
        <f t="shared" si="0"/>
        <v>31.372377395629879</v>
      </c>
      <c r="AA32" s="116">
        <f t="shared" si="1"/>
        <v>31.372377395629879</v>
      </c>
      <c r="AB32" s="30"/>
    </row>
    <row r="33" spans="1:28" s="29" customFormat="1" ht="54.75" customHeight="1" x14ac:dyDescent="0.2">
      <c r="A33" s="51" t="s">
        <v>155</v>
      </c>
      <c r="B33" s="27" t="s">
        <v>156</v>
      </c>
      <c r="C33" s="364" t="s">
        <v>157</v>
      </c>
      <c r="D33" s="364" t="s">
        <v>158</v>
      </c>
      <c r="E33" s="59"/>
      <c r="F33" s="27" t="s">
        <v>159</v>
      </c>
      <c r="G33" s="27" t="s">
        <v>160</v>
      </c>
      <c r="H33" s="59"/>
      <c r="I33" s="26" t="s">
        <v>32</v>
      </c>
      <c r="J33" s="26"/>
      <c r="K33" s="26"/>
      <c r="L33" s="26"/>
      <c r="M33" s="26"/>
      <c r="N33" s="26" t="s">
        <v>161</v>
      </c>
      <c r="O33" s="26"/>
      <c r="P33" s="26"/>
      <c r="Q33" s="26"/>
      <c r="X33" s="135"/>
      <c r="Y33" s="114"/>
      <c r="Z33" s="116"/>
      <c r="AA33" s="116"/>
      <c r="AB33" s="30"/>
    </row>
    <row r="34" spans="1:28" s="29" customFormat="1" ht="54.75" customHeight="1" x14ac:dyDescent="0.2">
      <c r="A34" s="51" t="s">
        <v>155</v>
      </c>
      <c r="B34" s="27" t="s">
        <v>162</v>
      </c>
      <c r="C34" s="364" t="s">
        <v>163</v>
      </c>
      <c r="D34" s="364" t="s">
        <v>164</v>
      </c>
      <c r="E34" s="59"/>
      <c r="F34" s="27" t="s">
        <v>159</v>
      </c>
      <c r="G34" s="27" t="s">
        <v>160</v>
      </c>
      <c r="H34" s="59"/>
      <c r="I34" s="26" t="s">
        <v>32</v>
      </c>
      <c r="J34" s="26"/>
      <c r="K34" s="26"/>
      <c r="L34" s="26"/>
      <c r="M34" s="26"/>
      <c r="N34" s="26" t="s">
        <v>165</v>
      </c>
      <c r="O34" s="26"/>
      <c r="P34" s="26"/>
      <c r="Q34" s="26"/>
      <c r="X34" s="135"/>
      <c r="Y34" s="114"/>
      <c r="Z34" s="116"/>
      <c r="AA34" s="116"/>
      <c r="AB34" s="30"/>
    </row>
    <row r="35" spans="1:28" s="29" customFormat="1" ht="48" customHeight="1" x14ac:dyDescent="0.2">
      <c r="A35" s="27" t="s">
        <v>166</v>
      </c>
      <c r="B35" s="27" t="s">
        <v>167</v>
      </c>
      <c r="C35" s="364" t="s">
        <v>168</v>
      </c>
      <c r="D35" s="364" t="s">
        <v>169</v>
      </c>
      <c r="E35" s="59"/>
      <c r="F35" s="51"/>
      <c r="G35" s="27"/>
      <c r="H35" s="59"/>
      <c r="I35" s="26" t="s">
        <v>32</v>
      </c>
      <c r="J35" s="26"/>
      <c r="K35" s="26"/>
      <c r="L35" s="26"/>
      <c r="M35" s="26"/>
      <c r="N35" s="26" t="s">
        <v>170</v>
      </c>
      <c r="O35" s="26"/>
      <c r="P35" s="26"/>
      <c r="Q35" s="26"/>
      <c r="X35" s="135"/>
      <c r="Y35" s="114"/>
      <c r="Z35" s="116"/>
      <c r="AA35" s="116"/>
      <c r="AB35" s="30"/>
    </row>
    <row r="36" spans="1:28" s="29" customFormat="1" ht="48" customHeight="1" x14ac:dyDescent="0.2">
      <c r="A36" s="27" t="s">
        <v>171</v>
      </c>
      <c r="B36" s="27" t="s">
        <v>172</v>
      </c>
      <c r="C36" s="364" t="s">
        <v>173</v>
      </c>
      <c r="D36" s="364" t="s">
        <v>174</v>
      </c>
      <c r="E36" s="59"/>
      <c r="F36" s="51"/>
      <c r="G36" s="27"/>
      <c r="H36" s="59"/>
      <c r="I36" s="26" t="s">
        <v>32</v>
      </c>
      <c r="J36" s="26"/>
      <c r="K36" s="26"/>
      <c r="L36" s="26"/>
      <c r="M36" s="26"/>
      <c r="N36" s="26" t="s">
        <v>170</v>
      </c>
      <c r="O36" s="26"/>
      <c r="P36" s="26"/>
      <c r="Q36" s="26"/>
      <c r="X36" s="135"/>
      <c r="Y36" s="114"/>
      <c r="Z36" s="116"/>
      <c r="AA36" s="116"/>
      <c r="AB36" s="30"/>
    </row>
    <row r="37" spans="1:28" ht="32" customHeight="1" x14ac:dyDescent="0.2">
      <c r="A37" s="51" t="s">
        <v>49</v>
      </c>
      <c r="B37" s="27" t="s">
        <v>175</v>
      </c>
      <c r="C37" s="364" t="s">
        <v>176</v>
      </c>
      <c r="D37" s="364" t="s">
        <v>177</v>
      </c>
      <c r="E37" s="65"/>
      <c r="F37" s="52" t="s">
        <v>178</v>
      </c>
      <c r="G37" s="52" t="s">
        <v>179</v>
      </c>
      <c r="H37" s="60"/>
      <c r="I37" s="243" t="s">
        <v>32</v>
      </c>
      <c r="J37" s="243"/>
      <c r="K37" s="325" t="s">
        <v>53</v>
      </c>
      <c r="L37" s="306" t="s">
        <v>54</v>
      </c>
      <c r="M37" s="306" t="s">
        <v>55</v>
      </c>
      <c r="N37" s="266" t="s">
        <v>180</v>
      </c>
      <c r="O37" s="243"/>
      <c r="P37" s="243"/>
      <c r="Q37" s="243"/>
      <c r="V37" s="28" t="s">
        <v>48</v>
      </c>
      <c r="X37" s="132"/>
      <c r="Y37" s="114">
        <f>'Additional information'!$C$14</f>
        <v>0.91</v>
      </c>
      <c r="Z37" s="115" t="str">
        <f>IF(X37&lt;&gt;"",X37*Y37,"")</f>
        <v/>
      </c>
      <c r="AA37" s="115" t="str">
        <f>IF(AND(X37&lt;&gt;"",V37="yes"),X37*Y37,"")</f>
        <v/>
      </c>
    </row>
    <row r="38" spans="1:28" s="29" customFormat="1" ht="48" customHeight="1" x14ac:dyDescent="0.2">
      <c r="A38" s="27" t="s">
        <v>155</v>
      </c>
      <c r="B38" s="27" t="s">
        <v>181</v>
      </c>
      <c r="C38" s="364" t="s">
        <v>182</v>
      </c>
      <c r="D38" s="364" t="s">
        <v>183</v>
      </c>
      <c r="E38" s="59"/>
      <c r="F38" s="51"/>
      <c r="G38" s="27"/>
      <c r="H38" s="59"/>
      <c r="I38" s="26" t="s">
        <v>32</v>
      </c>
      <c r="J38" s="26"/>
      <c r="K38" s="26"/>
      <c r="L38" s="26"/>
      <c r="M38" s="26"/>
      <c r="N38" s="26" t="s">
        <v>170</v>
      </c>
      <c r="O38" s="26"/>
      <c r="P38" s="26"/>
      <c r="Q38" s="26"/>
      <c r="X38" s="135"/>
      <c r="Y38" s="114"/>
      <c r="Z38" s="116"/>
      <c r="AA38" s="116"/>
      <c r="AB38" s="30"/>
    </row>
    <row r="39" spans="1:28" ht="64" customHeight="1" x14ac:dyDescent="0.2">
      <c r="A39" s="28" t="s">
        <v>184</v>
      </c>
      <c r="B39" s="27" t="s">
        <v>185</v>
      </c>
      <c r="C39" s="364" t="s">
        <v>186</v>
      </c>
      <c r="D39" s="364" t="s">
        <v>187</v>
      </c>
      <c r="E39" s="59"/>
      <c r="H39" s="60"/>
      <c r="I39" s="246" t="s">
        <v>32</v>
      </c>
      <c r="N39" s="26" t="s">
        <v>188</v>
      </c>
      <c r="X39" s="132"/>
      <c r="Y39" s="114">
        <f>1</f>
        <v>1</v>
      </c>
      <c r="Z39" s="115" t="str">
        <f>IF(X39&lt;&gt;"",X39*Y39,"")</f>
        <v/>
      </c>
      <c r="AA39" s="115" t="str">
        <f>IF(AND(X39&lt;&gt;"",V39="yes"),X39*Y39,"")</f>
        <v/>
      </c>
    </row>
    <row r="40" spans="1:28" s="52" customFormat="1" ht="22.75" customHeight="1" thickBot="1" x14ac:dyDescent="0.25">
      <c r="A40" s="64" t="s">
        <v>189</v>
      </c>
      <c r="B40" s="64"/>
      <c r="C40" s="368"/>
      <c r="D40" s="369"/>
      <c r="E40" s="61"/>
      <c r="F40" s="64"/>
      <c r="G40" s="64"/>
      <c r="H40" s="62"/>
      <c r="I40" s="85"/>
      <c r="J40" s="85"/>
      <c r="K40" s="269"/>
      <c r="L40" s="85"/>
      <c r="M40" s="85"/>
      <c r="N40" s="269"/>
      <c r="O40" s="85"/>
      <c r="P40" s="85"/>
      <c r="Q40" s="85"/>
      <c r="X40" s="132"/>
      <c r="Y40" s="114"/>
      <c r="Z40" s="115" t="str">
        <f>IF(X40&lt;&gt;"",X40*Y40,"")</f>
        <v/>
      </c>
      <c r="AA40" s="115" t="str">
        <f>IF(AND(X40&lt;&gt;"",V40="yes"),X40*Y40,"")</f>
        <v/>
      </c>
    </row>
    <row r="41" spans="1:28" s="49" customFormat="1" ht="57.75" customHeight="1" thickTop="1" x14ac:dyDescent="0.2">
      <c r="A41" s="282" t="s">
        <v>71</v>
      </c>
      <c r="B41" s="282" t="s">
        <v>190</v>
      </c>
      <c r="C41" s="367" t="s">
        <v>191</v>
      </c>
      <c r="D41" s="367" t="s">
        <v>192</v>
      </c>
      <c r="E41" s="47"/>
      <c r="F41" s="46"/>
      <c r="G41" s="46"/>
      <c r="H41" s="48"/>
      <c r="I41" s="82" t="s">
        <v>62</v>
      </c>
      <c r="J41" s="82"/>
      <c r="K41" s="275"/>
      <c r="L41" s="82"/>
      <c r="M41" s="82"/>
      <c r="N41" s="270" t="s">
        <v>193</v>
      </c>
      <c r="O41" s="82"/>
      <c r="P41" s="82"/>
      <c r="Q41" s="82"/>
      <c r="V41" s="28" t="s">
        <v>48</v>
      </c>
      <c r="X41" s="132"/>
      <c r="Y41" s="114"/>
      <c r="Z41" s="115" t="str">
        <f>IF(X41&lt;&gt;"",X41*Y41,"")</f>
        <v/>
      </c>
      <c r="AA41" s="115" t="str">
        <f>IF(AND(X41&lt;&gt;"",V41="yes"),X41*Y41,"")</f>
        <v/>
      </c>
      <c r="AB41" s="50"/>
    </row>
    <row r="42" spans="1:28" ht="16" customHeight="1" x14ac:dyDescent="0.2">
      <c r="A42" s="51" t="s">
        <v>155</v>
      </c>
      <c r="B42" s="51" t="s">
        <v>194</v>
      </c>
      <c r="C42" s="364" t="s">
        <v>195</v>
      </c>
      <c r="D42" s="364" t="s">
        <v>196</v>
      </c>
      <c r="E42" s="59"/>
      <c r="F42" s="51" t="s">
        <v>197</v>
      </c>
      <c r="G42" s="249" t="s">
        <v>198</v>
      </c>
      <c r="H42" s="60"/>
      <c r="I42" s="243" t="s">
        <v>32</v>
      </c>
      <c r="J42" s="243"/>
      <c r="K42" s="26"/>
      <c r="L42" s="243"/>
      <c r="M42" s="243"/>
      <c r="N42" s="26"/>
      <c r="O42" s="243"/>
      <c r="P42" s="243"/>
      <c r="Q42" s="243"/>
      <c r="V42" s="28" t="s">
        <v>48</v>
      </c>
      <c r="X42" s="149"/>
      <c r="Y42" s="150"/>
      <c r="Z42" s="115"/>
      <c r="AA42" s="115"/>
    </row>
    <row r="43" spans="1:28" ht="16" customHeight="1" x14ac:dyDescent="0.2">
      <c r="A43" s="51" t="s">
        <v>92</v>
      </c>
      <c r="B43" s="51" t="s">
        <v>199</v>
      </c>
      <c r="C43" s="364" t="s">
        <v>200</v>
      </c>
      <c r="D43" s="364" t="s">
        <v>201</v>
      </c>
      <c r="E43" s="59"/>
      <c r="F43" s="51" t="s">
        <v>197</v>
      </c>
      <c r="G43" s="249" t="s">
        <v>198</v>
      </c>
      <c r="H43" s="60"/>
      <c r="I43" s="243" t="s">
        <v>32</v>
      </c>
      <c r="J43" s="243"/>
      <c r="K43" s="26"/>
      <c r="L43" s="243"/>
      <c r="M43" s="243"/>
      <c r="N43" s="26" t="s">
        <v>202</v>
      </c>
      <c r="O43" s="243"/>
      <c r="P43" s="243"/>
      <c r="Q43" s="243"/>
      <c r="V43" s="28" t="s">
        <v>48</v>
      </c>
      <c r="X43" s="132">
        <v>10.08573150634766</v>
      </c>
      <c r="Y43" s="114">
        <f>1</f>
        <v>1</v>
      </c>
      <c r="Z43" s="115">
        <f>IF(X43&lt;&gt;"",X43*Y43,"")</f>
        <v>10.08573150634766</v>
      </c>
      <c r="AA43" s="115">
        <f>IF(AND(X43&lt;&gt;"",V43="yes"),X43*Y43,"")</f>
        <v>10.08573150634766</v>
      </c>
    </row>
    <row r="44" spans="1:28" ht="16" customHeight="1" x14ac:dyDescent="0.2">
      <c r="A44" s="51" t="s">
        <v>203</v>
      </c>
      <c r="B44" s="51" t="s">
        <v>204</v>
      </c>
      <c r="C44" s="364" t="s">
        <v>205</v>
      </c>
      <c r="D44" s="364" t="s">
        <v>206</v>
      </c>
      <c r="E44" s="59"/>
      <c r="F44" s="51" t="s">
        <v>197</v>
      </c>
      <c r="G44" s="249" t="s">
        <v>198</v>
      </c>
      <c r="H44" s="60"/>
      <c r="I44" s="243" t="s">
        <v>32</v>
      </c>
      <c r="J44" s="243"/>
      <c r="K44" s="26"/>
      <c r="L44" s="243"/>
      <c r="M44" s="243"/>
      <c r="N44" s="26"/>
      <c r="O44" s="243"/>
      <c r="P44" s="243"/>
      <c r="Q44" s="243"/>
      <c r="V44" s="28" t="s">
        <v>48</v>
      </c>
      <c r="X44" s="132">
        <v>12.894034385681151</v>
      </c>
      <c r="Y44" s="114">
        <f>1</f>
        <v>1</v>
      </c>
      <c r="Z44" s="115">
        <f>IF(X44&lt;&gt;"",X44*Y44,"")</f>
        <v>12.894034385681151</v>
      </c>
      <c r="AA44" s="115">
        <f>IF(AND(X44&lt;&gt;"",V44="yes"),X44*Y44,"")</f>
        <v>12.894034385681151</v>
      </c>
    </row>
    <row r="45" spans="1:28" s="338" customFormat="1" ht="16" customHeight="1" x14ac:dyDescent="0.2">
      <c r="A45" s="338" t="s">
        <v>207</v>
      </c>
      <c r="B45" s="338" t="s">
        <v>208</v>
      </c>
      <c r="C45" s="370" t="s">
        <v>209</v>
      </c>
      <c r="D45" s="370" t="s">
        <v>210</v>
      </c>
      <c r="E45" s="358"/>
      <c r="F45" s="359"/>
      <c r="G45" s="359"/>
      <c r="I45" s="336" t="s">
        <v>32</v>
      </c>
      <c r="J45" s="341"/>
      <c r="K45" s="341"/>
      <c r="L45" s="341"/>
      <c r="M45" s="341"/>
      <c r="N45" s="341"/>
      <c r="O45" s="341"/>
      <c r="P45" s="341"/>
      <c r="U45" s="338" t="s">
        <v>48</v>
      </c>
      <c r="W45" s="149">
        <v>15.265829086303709</v>
      </c>
      <c r="X45" s="150">
        <f>1</f>
        <v>1</v>
      </c>
      <c r="Y45" s="333">
        <f>IF(W45&lt;&gt;"",W45*X45,"")</f>
        <v>15.265829086303709</v>
      </c>
      <c r="Z45" s="333">
        <f>IF(AND(W45&lt;&gt;"",U45="yes"),W45*X45,"")</f>
        <v>15.265829086303709</v>
      </c>
    </row>
    <row r="46" spans="1:28" s="217" customFormat="1" ht="16" customHeight="1" x14ac:dyDescent="0.2">
      <c r="A46" s="51" t="s">
        <v>85</v>
      </c>
      <c r="B46" s="223" t="s">
        <v>211</v>
      </c>
      <c r="C46" s="364" t="s">
        <v>212</v>
      </c>
      <c r="D46" s="364" t="s">
        <v>213</v>
      </c>
      <c r="E46" s="59"/>
      <c r="F46" s="51" t="s">
        <v>214</v>
      </c>
      <c r="G46" s="249" t="s">
        <v>215</v>
      </c>
      <c r="H46" s="60"/>
      <c r="I46" s="243" t="s">
        <v>32</v>
      </c>
      <c r="J46" s="222"/>
      <c r="K46" s="271" t="s">
        <v>216</v>
      </c>
      <c r="L46" s="222"/>
      <c r="M46" s="222"/>
      <c r="N46" s="271"/>
      <c r="O46" s="222"/>
      <c r="P46" s="222"/>
      <c r="Q46" s="222"/>
      <c r="R46" s="220"/>
      <c r="S46" s="220"/>
      <c r="T46" s="220"/>
      <c r="U46" s="220"/>
      <c r="V46" s="219"/>
      <c r="W46" s="218"/>
      <c r="X46" s="218"/>
      <c r="Y46" s="218"/>
    </row>
    <row r="47" spans="1:28" s="217" customFormat="1" ht="16" customHeight="1" x14ac:dyDescent="0.2">
      <c r="A47" s="51" t="s">
        <v>85</v>
      </c>
      <c r="B47" s="223" t="s">
        <v>217</v>
      </c>
      <c r="C47" s="364" t="s">
        <v>218</v>
      </c>
      <c r="D47" s="364" t="s">
        <v>219</v>
      </c>
      <c r="E47" s="59"/>
      <c r="F47" s="51" t="s">
        <v>214</v>
      </c>
      <c r="G47" s="249" t="s">
        <v>215</v>
      </c>
      <c r="H47" s="60"/>
      <c r="I47" s="243" t="s">
        <v>32</v>
      </c>
      <c r="J47" s="222"/>
      <c r="K47" s="271" t="s">
        <v>216</v>
      </c>
      <c r="L47" s="222"/>
      <c r="M47" s="222"/>
      <c r="N47" s="271"/>
      <c r="O47" s="222"/>
      <c r="P47" s="222"/>
      <c r="Q47" s="222"/>
      <c r="R47" s="220"/>
      <c r="S47" s="220"/>
      <c r="T47" s="220"/>
      <c r="U47" s="220"/>
      <c r="V47" s="219"/>
      <c r="W47" s="218"/>
      <c r="X47" s="218"/>
      <c r="Y47" s="218"/>
    </row>
    <row r="48" spans="1:28" s="217" customFormat="1" ht="16" customHeight="1" x14ac:dyDescent="0.2">
      <c r="A48" s="51" t="s">
        <v>85</v>
      </c>
      <c r="B48" s="223" t="s">
        <v>220</v>
      </c>
      <c r="C48" s="364" t="s">
        <v>221</v>
      </c>
      <c r="D48" s="364" t="s">
        <v>222</v>
      </c>
      <c r="E48" s="59"/>
      <c r="F48" s="51" t="s">
        <v>214</v>
      </c>
      <c r="G48" s="249" t="s">
        <v>215</v>
      </c>
      <c r="H48" s="60"/>
      <c r="I48" s="243" t="s">
        <v>32</v>
      </c>
      <c r="J48" s="222"/>
      <c r="K48" s="271" t="s">
        <v>216</v>
      </c>
      <c r="L48" s="222"/>
      <c r="M48" s="222"/>
      <c r="N48" s="271"/>
      <c r="O48" s="222"/>
      <c r="P48" s="222"/>
      <c r="Q48" s="222"/>
      <c r="R48" s="220"/>
      <c r="S48" s="220"/>
      <c r="T48" s="220"/>
      <c r="U48" s="220"/>
      <c r="V48" s="219"/>
      <c r="W48" s="218"/>
      <c r="X48" s="218"/>
      <c r="Y48" s="218"/>
    </row>
    <row r="49" spans="1:28" s="226" customFormat="1" ht="16" customHeight="1" x14ac:dyDescent="0.2">
      <c r="A49" s="51" t="s">
        <v>85</v>
      </c>
      <c r="B49" s="223" t="s">
        <v>223</v>
      </c>
      <c r="C49" s="364" t="s">
        <v>224</v>
      </c>
      <c r="D49" s="364" t="s">
        <v>225</v>
      </c>
      <c r="E49" s="59"/>
      <c r="F49" s="51" t="s">
        <v>214</v>
      </c>
      <c r="G49" s="249" t="s">
        <v>215</v>
      </c>
      <c r="H49" s="60"/>
      <c r="I49" s="243" t="s">
        <v>32</v>
      </c>
      <c r="J49" s="222"/>
      <c r="K49" s="271" t="s">
        <v>216</v>
      </c>
      <c r="L49" s="222"/>
      <c r="M49" s="222"/>
      <c r="N49" s="271"/>
      <c r="O49" s="222"/>
      <c r="P49" s="222"/>
      <c r="Q49" s="222"/>
      <c r="R49" s="222"/>
      <c r="S49" s="222"/>
      <c r="T49" s="222"/>
      <c r="U49" s="222"/>
      <c r="V49" s="227"/>
      <c r="W49" s="228"/>
      <c r="X49" s="228"/>
      <c r="Y49" s="228"/>
    </row>
    <row r="50" spans="1:28" s="226" customFormat="1" ht="16" customHeight="1" x14ac:dyDescent="0.2">
      <c r="A50" s="51" t="s">
        <v>85</v>
      </c>
      <c r="B50" s="223" t="s">
        <v>226</v>
      </c>
      <c r="C50" s="364" t="s">
        <v>227</v>
      </c>
      <c r="D50" s="364" t="s">
        <v>228</v>
      </c>
      <c r="E50" s="59"/>
      <c r="F50" s="51" t="s">
        <v>214</v>
      </c>
      <c r="G50" s="249" t="s">
        <v>215</v>
      </c>
      <c r="H50" s="60"/>
      <c r="I50" s="243" t="s">
        <v>32</v>
      </c>
      <c r="J50" s="222"/>
      <c r="K50" s="271" t="s">
        <v>216</v>
      </c>
      <c r="L50" s="222"/>
      <c r="M50" s="222"/>
      <c r="N50" s="271"/>
      <c r="O50" s="222"/>
      <c r="P50" s="222"/>
      <c r="Q50" s="222"/>
      <c r="R50" s="222"/>
      <c r="S50" s="222"/>
      <c r="T50" s="222"/>
      <c r="U50" s="222"/>
      <c r="V50" s="227"/>
      <c r="W50" s="228"/>
      <c r="X50" s="228"/>
      <c r="Y50" s="228"/>
    </row>
    <row r="51" spans="1:28" s="52" customFormat="1" ht="90.75" customHeight="1" x14ac:dyDescent="0.2">
      <c r="A51" s="52" t="s">
        <v>229</v>
      </c>
      <c r="B51" s="224" t="s">
        <v>230</v>
      </c>
      <c r="C51" s="364" t="s">
        <v>231</v>
      </c>
      <c r="D51" s="364" t="s">
        <v>232</v>
      </c>
      <c r="E51" s="59"/>
      <c r="F51" s="30" t="s">
        <v>233</v>
      </c>
      <c r="G51" s="30" t="s">
        <v>234</v>
      </c>
      <c r="H51" s="60"/>
      <c r="I51" s="86" t="s">
        <v>32</v>
      </c>
      <c r="J51" s="86"/>
      <c r="K51" s="266"/>
      <c r="L51" s="86"/>
      <c r="M51" s="86"/>
      <c r="N51" s="266"/>
      <c r="O51" s="86"/>
      <c r="P51" s="86"/>
      <c r="Q51" s="86"/>
      <c r="V51" s="52" t="s">
        <v>34</v>
      </c>
      <c r="X51" s="132">
        <v>30.646188735961911</v>
      </c>
      <c r="Y51" s="114">
        <f>1</f>
        <v>1</v>
      </c>
      <c r="Z51" s="115">
        <f>IF(X51&lt;&gt;"",X51*Y51,"")</f>
        <v>30.646188735961911</v>
      </c>
      <c r="AA51" s="115" t="str">
        <f>IF(AND(X51&lt;&gt;"",V51="yes"),X51*Y51,"")</f>
        <v/>
      </c>
    </row>
    <row r="52" spans="1:28" s="225" customFormat="1" ht="16" customHeight="1" x14ac:dyDescent="0.2">
      <c r="A52" s="229" t="s">
        <v>155</v>
      </c>
      <c r="B52" s="229" t="s">
        <v>235</v>
      </c>
      <c r="C52" s="364" t="s">
        <v>236</v>
      </c>
      <c r="D52" s="364" t="s">
        <v>237</v>
      </c>
      <c r="E52" s="59"/>
      <c r="F52" s="230"/>
      <c r="G52" s="231"/>
      <c r="H52" s="60"/>
      <c r="I52" s="86" t="s">
        <v>32</v>
      </c>
      <c r="J52" s="229"/>
      <c r="K52" s="231"/>
      <c r="L52" s="229"/>
      <c r="M52" s="229"/>
      <c r="N52" s="231"/>
      <c r="O52" s="229"/>
      <c r="P52" s="229"/>
      <c r="Q52" s="229"/>
      <c r="R52" s="229"/>
      <c r="S52" s="229"/>
      <c r="T52" s="229"/>
      <c r="U52" s="229"/>
      <c r="V52" s="232"/>
      <c r="W52" s="233"/>
      <c r="X52" s="233"/>
      <c r="Y52" s="233"/>
    </row>
    <row r="53" spans="1:28" s="225" customFormat="1" ht="16" customHeight="1" x14ac:dyDescent="0.2">
      <c r="A53" s="229" t="s">
        <v>85</v>
      </c>
      <c r="B53" s="229" t="s">
        <v>238</v>
      </c>
      <c r="C53" s="364" t="s">
        <v>239</v>
      </c>
      <c r="D53" s="364" t="s">
        <v>240</v>
      </c>
      <c r="E53" s="59"/>
      <c r="F53" s="230"/>
      <c r="G53" s="231"/>
      <c r="H53" s="60"/>
      <c r="I53" s="86" t="s">
        <v>32</v>
      </c>
      <c r="J53" s="229"/>
      <c r="K53" s="271" t="s">
        <v>241</v>
      </c>
      <c r="L53" s="86"/>
      <c r="M53" s="229"/>
      <c r="N53" s="231" t="s">
        <v>242</v>
      </c>
      <c r="O53" s="229"/>
      <c r="P53" s="229"/>
      <c r="Q53" s="229"/>
      <c r="R53" s="229"/>
      <c r="S53" s="229"/>
      <c r="T53" s="229"/>
      <c r="U53" s="229"/>
      <c r="V53" s="232"/>
      <c r="W53" s="233"/>
      <c r="X53" s="233"/>
      <c r="Y53" s="233"/>
    </row>
    <row r="54" spans="1:28" s="52" customFormat="1" ht="112" customHeight="1" x14ac:dyDescent="0.2">
      <c r="A54" s="52" t="s">
        <v>243</v>
      </c>
      <c r="B54" s="52" t="s">
        <v>244</v>
      </c>
      <c r="C54" s="364" t="s">
        <v>245</v>
      </c>
      <c r="D54" s="364" t="s">
        <v>246</v>
      </c>
      <c r="E54" s="65"/>
      <c r="F54" s="52" t="s">
        <v>247</v>
      </c>
      <c r="G54" s="52" t="s">
        <v>248</v>
      </c>
      <c r="H54" s="67"/>
      <c r="I54" s="86" t="s">
        <v>32</v>
      </c>
      <c r="J54" s="86"/>
      <c r="K54" s="266" t="s">
        <v>249</v>
      </c>
      <c r="L54" s="86"/>
      <c r="M54" s="86"/>
      <c r="N54" s="266"/>
      <c r="O54" s="86"/>
      <c r="P54" s="86"/>
      <c r="Q54" s="86"/>
      <c r="V54" s="52" t="s">
        <v>34</v>
      </c>
      <c r="X54" s="132">
        <v>17</v>
      </c>
      <c r="Y54" s="114">
        <f>1</f>
        <v>1</v>
      </c>
      <c r="Z54" s="115">
        <f>IF(X54&lt;&gt;"",X54*Y54,"")</f>
        <v>17</v>
      </c>
      <c r="AA54" s="115" t="str">
        <f>IF(AND(X54&lt;&gt;"",V54="yes"),X54*Y54,"")</f>
        <v/>
      </c>
    </row>
    <row r="55" spans="1:28" s="52" customFormat="1" ht="112" customHeight="1" x14ac:dyDescent="0.2">
      <c r="A55" s="52" t="s">
        <v>250</v>
      </c>
      <c r="B55" s="52" t="s">
        <v>251</v>
      </c>
      <c r="C55" s="364" t="s">
        <v>252</v>
      </c>
      <c r="D55" s="364" t="s">
        <v>253</v>
      </c>
      <c r="E55" s="65"/>
      <c r="F55" s="52" t="s">
        <v>247</v>
      </c>
      <c r="G55" s="52" t="s">
        <v>248</v>
      </c>
      <c r="H55" s="67"/>
      <c r="I55" s="86" t="s">
        <v>32</v>
      </c>
      <c r="J55" s="86"/>
      <c r="K55" s="266" t="s">
        <v>249</v>
      </c>
      <c r="L55" s="86"/>
      <c r="M55" s="86"/>
      <c r="N55" s="266"/>
      <c r="O55" s="86"/>
      <c r="P55" s="86"/>
      <c r="Q55" s="86"/>
      <c r="V55" s="52" t="s">
        <v>34</v>
      </c>
      <c r="X55" s="132">
        <v>17</v>
      </c>
      <c r="Y55" s="114">
        <f>1</f>
        <v>1</v>
      </c>
      <c r="Z55" s="115">
        <f>IF(X55&lt;&gt;"",X55*Y55,"")</f>
        <v>17</v>
      </c>
      <c r="AA55" s="115" t="str">
        <f>IF(AND(X55&lt;&gt;"",V55="yes"),X55*Y55,"")</f>
        <v/>
      </c>
    </row>
    <row r="56" spans="1:28" ht="32" customHeight="1" x14ac:dyDescent="0.2">
      <c r="A56" s="52" t="s">
        <v>254</v>
      </c>
      <c r="B56" s="55" t="s">
        <v>255</v>
      </c>
      <c r="C56" s="364" t="s">
        <v>256</v>
      </c>
      <c r="D56" s="364" t="s">
        <v>257</v>
      </c>
      <c r="E56" s="65"/>
      <c r="F56" s="30" t="s">
        <v>258</v>
      </c>
      <c r="G56" s="55" t="s">
        <v>259</v>
      </c>
      <c r="H56" s="67"/>
      <c r="I56" s="86" t="s">
        <v>32</v>
      </c>
      <c r="J56" s="81"/>
      <c r="K56" s="267"/>
      <c r="L56" s="81"/>
      <c r="M56" s="81"/>
      <c r="N56" s="267"/>
      <c r="O56" s="81"/>
      <c r="P56" s="81"/>
      <c r="Q56" s="81"/>
      <c r="X56" s="132"/>
      <c r="Z56" s="115"/>
      <c r="AA56" s="115"/>
    </row>
    <row r="57" spans="1:28" ht="32" customHeight="1" x14ac:dyDescent="0.2">
      <c r="A57" s="52" t="s">
        <v>49</v>
      </c>
      <c r="B57" s="55" t="s">
        <v>260</v>
      </c>
      <c r="C57" s="364" t="s">
        <v>261</v>
      </c>
      <c r="D57" s="364" t="s">
        <v>262</v>
      </c>
      <c r="E57" s="59"/>
      <c r="F57" s="55" t="s">
        <v>178</v>
      </c>
      <c r="G57" s="52" t="s">
        <v>179</v>
      </c>
      <c r="H57" s="60"/>
      <c r="I57" s="86" t="s">
        <v>32</v>
      </c>
      <c r="K57" s="325" t="s">
        <v>53</v>
      </c>
      <c r="L57" s="306" t="s">
        <v>54</v>
      </c>
      <c r="M57" s="306" t="s">
        <v>55</v>
      </c>
      <c r="N57" s="272" t="s">
        <v>263</v>
      </c>
      <c r="X57" s="132"/>
      <c r="Y57" s="114">
        <f>1</f>
        <v>1</v>
      </c>
      <c r="Z57" s="115" t="str">
        <f>IF(X57&lt;&gt;"",X57*Y57,"")</f>
        <v/>
      </c>
      <c r="AA57" s="115" t="str">
        <f>IF(AND(X57&lt;&gt;"",V57="yes"),X57*Y57,"")</f>
        <v/>
      </c>
    </row>
    <row r="58" spans="1:28" ht="28" customHeight="1" x14ac:dyDescent="0.2">
      <c r="A58" s="52" t="s">
        <v>85</v>
      </c>
      <c r="B58" s="55" t="s">
        <v>264</v>
      </c>
      <c r="C58" s="364" t="s">
        <v>265</v>
      </c>
      <c r="D58" s="364" t="s">
        <v>266</v>
      </c>
      <c r="E58" s="59"/>
      <c r="H58" s="60"/>
      <c r="I58" s="86" t="s">
        <v>32</v>
      </c>
      <c r="K58" s="271" t="s">
        <v>267</v>
      </c>
      <c r="X58" s="132"/>
      <c r="Z58" s="115"/>
      <c r="AA58" s="115"/>
    </row>
    <row r="59" spans="1:28" ht="32" customHeight="1" x14ac:dyDescent="0.2">
      <c r="A59" s="52" t="s">
        <v>268</v>
      </c>
      <c r="B59" s="55" t="s">
        <v>269</v>
      </c>
      <c r="C59" s="364" t="s">
        <v>270</v>
      </c>
      <c r="D59" s="364" t="s">
        <v>271</v>
      </c>
      <c r="E59" s="59"/>
      <c r="F59" s="30" t="s">
        <v>258</v>
      </c>
      <c r="G59" s="28" t="s">
        <v>259</v>
      </c>
      <c r="H59" s="60"/>
      <c r="I59" s="86" t="s">
        <v>32</v>
      </c>
      <c r="N59" s="272" t="s">
        <v>272</v>
      </c>
      <c r="X59" s="132"/>
      <c r="Z59" s="115"/>
      <c r="AA59" s="115"/>
    </row>
    <row r="60" spans="1:28" ht="32" customHeight="1" x14ac:dyDescent="0.2">
      <c r="A60" s="52" t="s">
        <v>49</v>
      </c>
      <c r="B60" s="55" t="s">
        <v>273</v>
      </c>
      <c r="C60" s="364" t="s">
        <v>274</v>
      </c>
      <c r="D60" s="364" t="s">
        <v>275</v>
      </c>
      <c r="E60" s="59"/>
      <c r="F60" s="55" t="s">
        <v>178</v>
      </c>
      <c r="G60" s="52" t="s">
        <v>179</v>
      </c>
      <c r="H60" s="60"/>
      <c r="I60" s="86" t="s">
        <v>32</v>
      </c>
      <c r="K60" s="325" t="s">
        <v>53</v>
      </c>
      <c r="L60" s="306" t="s">
        <v>54</v>
      </c>
      <c r="M60" s="306" t="s">
        <v>55</v>
      </c>
      <c r="N60" s="272" t="s">
        <v>276</v>
      </c>
      <c r="X60" s="132"/>
      <c r="Z60" s="115"/>
      <c r="AA60" s="115"/>
    </row>
    <row r="61" spans="1:28" ht="32" customHeight="1" x14ac:dyDescent="0.2">
      <c r="A61" s="52" t="s">
        <v>85</v>
      </c>
      <c r="B61" s="55" t="s">
        <v>277</v>
      </c>
      <c r="C61" s="364" t="s">
        <v>278</v>
      </c>
      <c r="D61" s="364" t="s">
        <v>279</v>
      </c>
      <c r="E61" s="59"/>
      <c r="H61" s="60"/>
      <c r="I61" s="86" t="s">
        <v>32</v>
      </c>
      <c r="K61" s="271" t="s">
        <v>267</v>
      </c>
      <c r="N61" s="272" t="s">
        <v>280</v>
      </c>
      <c r="X61" s="132"/>
      <c r="Z61" s="115"/>
      <c r="AA61" s="115"/>
    </row>
    <row r="62" spans="1:28" ht="16" customHeight="1" thickBot="1" x14ac:dyDescent="0.25">
      <c r="A62" s="68" t="s">
        <v>189</v>
      </c>
      <c r="B62" s="68"/>
      <c r="C62" s="371"/>
      <c r="D62" s="371"/>
      <c r="E62" s="244"/>
      <c r="F62" s="68"/>
      <c r="G62" s="68"/>
      <c r="H62" s="73"/>
      <c r="I62" s="247"/>
      <c r="J62" s="247"/>
      <c r="K62" s="273"/>
      <c r="L62" s="247"/>
      <c r="M62" s="247"/>
      <c r="N62" s="273"/>
      <c r="O62" s="247"/>
      <c r="P62" s="247"/>
      <c r="Q62" s="247"/>
      <c r="X62" s="132"/>
      <c r="Y62" s="114">
        <f>1</f>
        <v>1</v>
      </c>
      <c r="Z62" s="115" t="str">
        <f t="shared" ref="Z62:Z68" si="2">IF(X62&lt;&gt;"",X62*Y62,"")</f>
        <v/>
      </c>
      <c r="AA62" s="115" t="str">
        <f t="shared" ref="AA62:AA68" si="3">IF(AND(X62&lt;&gt;"",V62="yes"),X62*Y62,"")</f>
        <v/>
      </c>
    </row>
    <row r="63" spans="1:28" s="49" customFormat="1" ht="54" customHeight="1" thickTop="1" x14ac:dyDescent="0.2">
      <c r="A63" s="283" t="s">
        <v>71</v>
      </c>
      <c r="B63" s="283" t="s">
        <v>281</v>
      </c>
      <c r="C63" s="367" t="s">
        <v>282</v>
      </c>
      <c r="D63" s="367" t="s">
        <v>283</v>
      </c>
      <c r="E63" s="121"/>
      <c r="F63" s="57"/>
      <c r="G63" s="57"/>
      <c r="H63" s="122"/>
      <c r="I63" s="87" t="s">
        <v>62</v>
      </c>
      <c r="J63" s="87"/>
      <c r="K63" s="302"/>
      <c r="L63" s="87"/>
      <c r="M63" s="87"/>
      <c r="N63" s="329" t="s">
        <v>284</v>
      </c>
      <c r="O63" s="87"/>
      <c r="P63" s="87"/>
      <c r="Q63" s="87"/>
      <c r="V63" s="28" t="s">
        <v>48</v>
      </c>
      <c r="X63" s="132"/>
      <c r="Y63" s="114">
        <f>1</f>
        <v>1</v>
      </c>
      <c r="Z63" s="115" t="str">
        <f t="shared" si="2"/>
        <v/>
      </c>
      <c r="AA63" s="115" t="str">
        <f t="shared" si="3"/>
        <v/>
      </c>
      <c r="AB63" s="50"/>
    </row>
    <row r="64" spans="1:28" s="214" customFormat="1" ht="64" customHeight="1" x14ac:dyDescent="0.2">
      <c r="A64" s="208" t="s">
        <v>285</v>
      </c>
      <c r="B64" s="208" t="s">
        <v>286</v>
      </c>
      <c r="C64" s="364" t="s">
        <v>287</v>
      </c>
      <c r="D64" s="364" t="s">
        <v>288</v>
      </c>
      <c r="E64" s="65"/>
      <c r="F64" s="210" t="s">
        <v>289</v>
      </c>
      <c r="G64" s="214" t="s">
        <v>290</v>
      </c>
      <c r="H64" s="67"/>
      <c r="I64" s="211" t="s">
        <v>32</v>
      </c>
      <c r="J64" s="211" t="s">
        <v>291</v>
      </c>
      <c r="K64" s="267"/>
      <c r="L64" s="211"/>
      <c r="M64" s="81"/>
      <c r="N64" s="274"/>
      <c r="O64" s="26" t="s">
        <v>292</v>
      </c>
      <c r="P64" s="211"/>
      <c r="Q64" s="211"/>
      <c r="V64" s="214" t="s">
        <v>48</v>
      </c>
      <c r="X64" s="212">
        <v>36.928733825683587</v>
      </c>
      <c r="Y64" s="215">
        <f>1</f>
        <v>1</v>
      </c>
      <c r="Z64" s="213">
        <f t="shared" si="2"/>
        <v>36.928733825683587</v>
      </c>
      <c r="AA64" s="213">
        <f t="shared" si="3"/>
        <v>36.928733825683587</v>
      </c>
      <c r="AB64" s="210"/>
    </row>
    <row r="65" spans="1:28" x14ac:dyDescent="0.2">
      <c r="A65" s="55" t="s">
        <v>125</v>
      </c>
      <c r="B65" s="55" t="s">
        <v>293</v>
      </c>
      <c r="C65" s="366"/>
      <c r="D65" s="366"/>
      <c r="E65" s="65"/>
      <c r="F65" s="52"/>
      <c r="G65" s="52"/>
      <c r="H65" s="67"/>
      <c r="I65" s="81"/>
      <c r="J65" s="81"/>
      <c r="L65" s="81"/>
      <c r="M65" s="81"/>
      <c r="N65" s="267"/>
      <c r="O65" s="81"/>
      <c r="P65" s="81"/>
      <c r="Q65" s="81" t="s">
        <v>294</v>
      </c>
      <c r="V65" s="28" t="s">
        <v>48</v>
      </c>
      <c r="X65" s="132"/>
      <c r="Y65" s="114">
        <f>1</f>
        <v>1</v>
      </c>
      <c r="Z65" s="115" t="str">
        <f t="shared" si="2"/>
        <v/>
      </c>
      <c r="AA65" s="115" t="str">
        <f t="shared" si="3"/>
        <v/>
      </c>
    </row>
    <row r="66" spans="1:28" ht="48" customHeight="1" x14ac:dyDescent="0.2">
      <c r="A66" s="55" t="s">
        <v>155</v>
      </c>
      <c r="B66" s="55" t="s">
        <v>295</v>
      </c>
      <c r="C66" s="364" t="s">
        <v>296</v>
      </c>
      <c r="D66" s="364" t="s">
        <v>297</v>
      </c>
      <c r="E66" s="65"/>
      <c r="F66" s="52"/>
      <c r="G66" s="52"/>
      <c r="H66" s="67"/>
      <c r="I66" s="81" t="s">
        <v>32</v>
      </c>
      <c r="J66" s="81"/>
      <c r="K66" s="267"/>
      <c r="L66" s="81"/>
      <c r="M66" s="81"/>
      <c r="N66" s="267" t="s">
        <v>298</v>
      </c>
      <c r="O66" s="81"/>
      <c r="P66" s="81"/>
      <c r="Q66" s="81"/>
      <c r="V66" s="28" t="s">
        <v>48</v>
      </c>
      <c r="X66" s="132">
        <v>0</v>
      </c>
      <c r="Y66" s="114">
        <f>1</f>
        <v>1</v>
      </c>
      <c r="Z66" s="115">
        <f t="shared" si="2"/>
        <v>0</v>
      </c>
      <c r="AA66" s="115">
        <f t="shared" si="3"/>
        <v>0</v>
      </c>
    </row>
    <row r="67" spans="1:28" ht="16" customHeight="1" x14ac:dyDescent="0.2">
      <c r="A67" s="55" t="s">
        <v>155</v>
      </c>
      <c r="B67" s="55" t="s">
        <v>299</v>
      </c>
      <c r="C67" s="364" t="s">
        <v>300</v>
      </c>
      <c r="D67" s="364" t="s">
        <v>301</v>
      </c>
      <c r="E67" s="65"/>
      <c r="F67" s="52"/>
      <c r="G67" s="52"/>
      <c r="H67" s="67"/>
      <c r="I67" s="81" t="s">
        <v>32</v>
      </c>
      <c r="J67" s="81"/>
      <c r="K67" s="267"/>
      <c r="L67" s="81"/>
      <c r="M67" s="81"/>
      <c r="N67" s="267" t="s">
        <v>302</v>
      </c>
      <c r="O67" s="81"/>
      <c r="P67" s="81"/>
      <c r="Q67" s="81"/>
      <c r="V67" s="28" t="s">
        <v>48</v>
      </c>
      <c r="X67" s="132">
        <v>0</v>
      </c>
      <c r="Y67" s="114">
        <f>1</f>
        <v>1</v>
      </c>
      <c r="Z67" s="115">
        <f t="shared" si="2"/>
        <v>0</v>
      </c>
      <c r="AA67" s="115">
        <f t="shared" si="3"/>
        <v>0</v>
      </c>
    </row>
    <row r="68" spans="1:28" ht="16" customHeight="1" x14ac:dyDescent="0.2">
      <c r="A68" s="55" t="s">
        <v>155</v>
      </c>
      <c r="B68" s="55" t="s">
        <v>303</v>
      </c>
      <c r="C68" s="364" t="s">
        <v>304</v>
      </c>
      <c r="D68" s="364" t="s">
        <v>305</v>
      </c>
      <c r="E68" s="65"/>
      <c r="F68" s="52"/>
      <c r="G68" s="52"/>
      <c r="H68" s="67"/>
      <c r="I68" s="81" t="s">
        <v>32</v>
      </c>
      <c r="J68" s="81"/>
      <c r="K68" s="267"/>
      <c r="L68" s="81"/>
      <c r="M68" s="81"/>
      <c r="N68" s="267" t="s">
        <v>306</v>
      </c>
      <c r="O68" s="81"/>
      <c r="P68" s="81"/>
      <c r="Q68" s="81"/>
      <c r="V68" s="28" t="s">
        <v>48</v>
      </c>
      <c r="X68" s="132">
        <v>0</v>
      </c>
      <c r="Y68" s="114">
        <f>1</f>
        <v>1</v>
      </c>
      <c r="Z68" s="115">
        <f t="shared" si="2"/>
        <v>0</v>
      </c>
      <c r="AA68" s="115">
        <f t="shared" si="3"/>
        <v>0</v>
      </c>
    </row>
    <row r="69" spans="1:28" s="55" customFormat="1" ht="32" customHeight="1" x14ac:dyDescent="0.2">
      <c r="A69" s="55" t="s">
        <v>307</v>
      </c>
      <c r="B69" s="55" t="s">
        <v>308</v>
      </c>
      <c r="C69" s="364" t="s">
        <v>309</v>
      </c>
      <c r="D69" s="364" t="s">
        <v>310</v>
      </c>
      <c r="E69" s="67"/>
      <c r="H69" s="67"/>
      <c r="I69" s="81" t="s">
        <v>32</v>
      </c>
      <c r="J69" s="81"/>
      <c r="K69" s="267"/>
      <c r="L69" s="81"/>
      <c r="M69" s="81"/>
      <c r="N69" s="267" t="s">
        <v>311</v>
      </c>
      <c r="O69" s="81"/>
      <c r="P69" s="81"/>
      <c r="Q69" s="81"/>
      <c r="X69" s="133"/>
      <c r="Y69" s="151"/>
      <c r="Z69" s="152"/>
      <c r="AA69" s="152"/>
    </row>
    <row r="70" spans="1:28" s="55" customFormat="1" ht="32" customHeight="1" x14ac:dyDescent="0.2">
      <c r="A70" s="55" t="s">
        <v>312</v>
      </c>
      <c r="B70" s="55" t="s">
        <v>313</v>
      </c>
      <c r="C70" s="364" t="s">
        <v>314</v>
      </c>
      <c r="D70" s="364" t="s">
        <v>315</v>
      </c>
      <c r="E70" s="67"/>
      <c r="H70" s="67"/>
      <c r="I70" s="81" t="s">
        <v>32</v>
      </c>
      <c r="J70" s="81"/>
      <c r="K70" s="267"/>
      <c r="L70" s="81"/>
      <c r="M70" s="81"/>
      <c r="N70" s="267" t="s">
        <v>311</v>
      </c>
      <c r="O70" s="81"/>
      <c r="P70" s="81"/>
      <c r="Q70" s="81"/>
      <c r="X70" s="133"/>
      <c r="Y70" s="151"/>
      <c r="Z70" s="152"/>
      <c r="AA70" s="152"/>
    </row>
    <row r="71" spans="1:28" ht="32" customHeight="1" x14ac:dyDescent="0.2">
      <c r="A71" s="55" t="s">
        <v>316</v>
      </c>
      <c r="B71" s="55" t="s">
        <v>317</v>
      </c>
      <c r="C71" s="364" t="s">
        <v>318</v>
      </c>
      <c r="D71" s="364" t="s">
        <v>319</v>
      </c>
      <c r="E71" s="67"/>
      <c r="H71" s="67"/>
      <c r="I71" s="81" t="s">
        <v>32</v>
      </c>
      <c r="J71" s="81"/>
      <c r="K71" s="267"/>
      <c r="L71" s="81"/>
      <c r="M71" s="81"/>
      <c r="N71" s="267" t="s">
        <v>311</v>
      </c>
      <c r="Q71" s="81"/>
      <c r="V71" s="28" t="s">
        <v>48</v>
      </c>
      <c r="X71" s="132">
        <v>27.242166519165039</v>
      </c>
      <c r="Y71" s="114">
        <f>1</f>
        <v>1</v>
      </c>
      <c r="Z71" s="115">
        <f t="shared" ref="Z71:Z82" si="4">IF(X71&lt;&gt;"",X71*Y71,"")</f>
        <v>27.242166519165039</v>
      </c>
      <c r="AA71" s="115">
        <f t="shared" ref="AA71:AA82" si="5">IF(AND(X71&lt;&gt;"",V71="yes"),X71*Y71,"")</f>
        <v>27.242166519165039</v>
      </c>
    </row>
    <row r="72" spans="1:28" s="214" customFormat="1" ht="80" customHeight="1" x14ac:dyDescent="0.2">
      <c r="A72" s="208" t="s">
        <v>320</v>
      </c>
      <c r="B72" s="208" t="s">
        <v>321</v>
      </c>
      <c r="C72" s="364" t="s">
        <v>322</v>
      </c>
      <c r="D72" s="364" t="s">
        <v>323</v>
      </c>
      <c r="E72" s="67"/>
      <c r="F72" s="210" t="s">
        <v>324</v>
      </c>
      <c r="G72" s="214" t="s">
        <v>325</v>
      </c>
      <c r="H72" s="67"/>
      <c r="I72" s="211" t="s">
        <v>32</v>
      </c>
      <c r="J72" s="211" t="s">
        <v>291</v>
      </c>
      <c r="K72" s="274"/>
      <c r="L72" s="211"/>
      <c r="M72" s="81"/>
      <c r="N72" s="267" t="s">
        <v>311</v>
      </c>
      <c r="O72" s="267" t="s">
        <v>326</v>
      </c>
      <c r="P72" s="211"/>
      <c r="Q72" s="211"/>
      <c r="V72" s="214" t="s">
        <v>48</v>
      </c>
      <c r="X72" s="212">
        <v>25.308004379272461</v>
      </c>
      <c r="Y72" s="215">
        <f>1</f>
        <v>1</v>
      </c>
      <c r="Z72" s="213">
        <f t="shared" si="4"/>
        <v>25.308004379272461</v>
      </c>
      <c r="AA72" s="213">
        <f t="shared" si="5"/>
        <v>25.308004379272461</v>
      </c>
      <c r="AB72" s="210"/>
    </row>
    <row r="73" spans="1:28" x14ac:dyDescent="0.2">
      <c r="A73" s="55" t="s">
        <v>125</v>
      </c>
      <c r="B73" s="55" t="s">
        <v>327</v>
      </c>
      <c r="C73" s="366"/>
      <c r="D73" s="366"/>
      <c r="E73" s="65"/>
      <c r="F73" s="52"/>
      <c r="G73" s="52"/>
      <c r="H73" s="67"/>
      <c r="I73" s="81"/>
      <c r="J73" s="81"/>
      <c r="K73" s="267"/>
      <c r="L73" s="81"/>
      <c r="M73" s="81"/>
      <c r="N73" s="267"/>
      <c r="O73" s="81"/>
      <c r="P73" s="81"/>
      <c r="Q73" s="81" t="s">
        <v>328</v>
      </c>
      <c r="V73" s="28" t="s">
        <v>48</v>
      </c>
      <c r="X73" s="132"/>
      <c r="Y73" s="114">
        <f>1</f>
        <v>1</v>
      </c>
      <c r="Z73" s="115" t="str">
        <f t="shared" si="4"/>
        <v/>
      </c>
      <c r="AA73" s="115" t="str">
        <f t="shared" si="5"/>
        <v/>
      </c>
    </row>
    <row r="74" spans="1:28" ht="32" customHeight="1" x14ac:dyDescent="0.2">
      <c r="A74" s="55" t="s">
        <v>155</v>
      </c>
      <c r="B74" s="55" t="s">
        <v>329</v>
      </c>
      <c r="C74" s="364" t="s">
        <v>330</v>
      </c>
      <c r="D74" s="364" t="s">
        <v>331</v>
      </c>
      <c r="E74" s="65"/>
      <c r="F74" s="52"/>
      <c r="G74" s="52"/>
      <c r="H74" s="67"/>
      <c r="I74" s="81" t="s">
        <v>32</v>
      </c>
      <c r="J74" s="81"/>
      <c r="K74" s="267"/>
      <c r="L74" s="81"/>
      <c r="M74" s="81"/>
      <c r="N74" s="267" t="s">
        <v>332</v>
      </c>
      <c r="O74" s="81"/>
      <c r="P74" s="81"/>
      <c r="Q74" s="81"/>
      <c r="V74" s="28" t="s">
        <v>48</v>
      </c>
      <c r="X74" s="132">
        <v>0</v>
      </c>
      <c r="Y74" s="114">
        <f>1</f>
        <v>1</v>
      </c>
      <c r="Z74" s="115">
        <f t="shared" si="4"/>
        <v>0</v>
      </c>
      <c r="AA74" s="115">
        <f t="shared" si="5"/>
        <v>0</v>
      </c>
    </row>
    <row r="75" spans="1:28" ht="16" customHeight="1" x14ac:dyDescent="0.2">
      <c r="A75" s="55" t="s">
        <v>155</v>
      </c>
      <c r="B75" s="55" t="s">
        <v>333</v>
      </c>
      <c r="C75" s="364" t="s">
        <v>334</v>
      </c>
      <c r="D75" s="364" t="s">
        <v>335</v>
      </c>
      <c r="E75" s="65"/>
      <c r="F75" s="52"/>
      <c r="G75" s="52"/>
      <c r="H75" s="67"/>
      <c r="I75" s="81" t="s">
        <v>32</v>
      </c>
      <c r="J75" s="81"/>
      <c r="K75" s="267"/>
      <c r="L75" s="81"/>
      <c r="M75" s="81"/>
      <c r="N75" s="267" t="s">
        <v>336</v>
      </c>
      <c r="O75" s="81"/>
      <c r="P75" s="81"/>
      <c r="Q75" s="81"/>
      <c r="V75" s="28" t="s">
        <v>48</v>
      </c>
      <c r="X75" s="132">
        <v>0</v>
      </c>
      <c r="Y75" s="114">
        <f>1</f>
        <v>1</v>
      </c>
      <c r="Z75" s="115">
        <f t="shared" si="4"/>
        <v>0</v>
      </c>
      <c r="AA75" s="115">
        <f t="shared" si="5"/>
        <v>0</v>
      </c>
    </row>
    <row r="76" spans="1:28" ht="16" customHeight="1" x14ac:dyDescent="0.2">
      <c r="A76" s="55" t="s">
        <v>155</v>
      </c>
      <c r="B76" s="55" t="s">
        <v>337</v>
      </c>
      <c r="C76" s="364" t="s">
        <v>338</v>
      </c>
      <c r="D76" s="364" t="s">
        <v>339</v>
      </c>
      <c r="E76" s="65"/>
      <c r="F76" s="52"/>
      <c r="G76" s="52"/>
      <c r="H76" s="67"/>
      <c r="I76" s="81" t="s">
        <v>32</v>
      </c>
      <c r="J76" s="81"/>
      <c r="K76" s="267"/>
      <c r="L76" s="81"/>
      <c r="M76" s="81"/>
      <c r="N76" s="267" t="s">
        <v>340</v>
      </c>
      <c r="O76" s="81"/>
      <c r="P76" s="81"/>
      <c r="Q76" s="81"/>
      <c r="V76" s="28" t="s">
        <v>48</v>
      </c>
      <c r="X76" s="132">
        <v>0</v>
      </c>
      <c r="Y76" s="114">
        <f>1</f>
        <v>1</v>
      </c>
      <c r="Z76" s="115">
        <f t="shared" si="4"/>
        <v>0</v>
      </c>
      <c r="AA76" s="115">
        <f t="shared" si="5"/>
        <v>0</v>
      </c>
    </row>
    <row r="77" spans="1:28" ht="80" customHeight="1" x14ac:dyDescent="0.2">
      <c r="A77" s="55" t="s">
        <v>316</v>
      </c>
      <c r="B77" s="55" t="s">
        <v>341</v>
      </c>
      <c r="C77" s="364" t="s">
        <v>342</v>
      </c>
      <c r="D77" s="364" t="s">
        <v>343</v>
      </c>
      <c r="E77" s="67"/>
      <c r="H77" s="67"/>
      <c r="I77" s="81" t="s">
        <v>32</v>
      </c>
      <c r="J77" s="81"/>
      <c r="K77" s="267"/>
      <c r="L77" s="81"/>
      <c r="M77" s="81"/>
      <c r="N77" s="267" t="s">
        <v>344</v>
      </c>
      <c r="O77" s="267"/>
      <c r="P77" s="81"/>
      <c r="Q77" s="81"/>
      <c r="V77" s="28" t="s">
        <v>48</v>
      </c>
      <c r="X77" s="132">
        <v>21.193256378173832</v>
      </c>
      <c r="Y77" s="114">
        <f>1</f>
        <v>1</v>
      </c>
      <c r="Z77" s="115">
        <f t="shared" si="4"/>
        <v>21.193256378173832</v>
      </c>
      <c r="AA77" s="115">
        <f t="shared" si="5"/>
        <v>21.193256378173832</v>
      </c>
    </row>
    <row r="78" spans="1:28" s="214" customFormat="1" ht="96" customHeight="1" x14ac:dyDescent="0.2">
      <c r="A78" s="208" t="s">
        <v>345</v>
      </c>
      <c r="B78" s="208" t="s">
        <v>346</v>
      </c>
      <c r="C78" s="364" t="s">
        <v>347</v>
      </c>
      <c r="D78" s="364" t="s">
        <v>348</v>
      </c>
      <c r="E78" s="67"/>
      <c r="F78" s="210" t="s">
        <v>324</v>
      </c>
      <c r="G78" s="210" t="s">
        <v>325</v>
      </c>
      <c r="H78" s="67"/>
      <c r="I78" s="211" t="s">
        <v>32</v>
      </c>
      <c r="J78" s="211" t="s">
        <v>291</v>
      </c>
      <c r="K78" s="274"/>
      <c r="L78" s="211"/>
      <c r="M78" s="81"/>
      <c r="N78" s="267" t="s">
        <v>349</v>
      </c>
      <c r="O78" s="267" t="s">
        <v>350</v>
      </c>
      <c r="P78" s="211"/>
      <c r="Q78" s="211"/>
      <c r="V78" s="214" t="s">
        <v>48</v>
      </c>
      <c r="X78" s="212">
        <v>20.229927062988281</v>
      </c>
      <c r="Y78" s="215">
        <f>1</f>
        <v>1</v>
      </c>
      <c r="Z78" s="213">
        <f t="shared" si="4"/>
        <v>20.229927062988281</v>
      </c>
      <c r="AA78" s="213">
        <f t="shared" si="5"/>
        <v>20.229927062988281</v>
      </c>
      <c r="AB78" s="210"/>
    </row>
    <row r="79" spans="1:28" x14ac:dyDescent="0.2">
      <c r="A79" s="55" t="s">
        <v>125</v>
      </c>
      <c r="B79" s="55" t="s">
        <v>351</v>
      </c>
      <c r="C79" s="366"/>
      <c r="D79" s="366"/>
      <c r="E79" s="67"/>
      <c r="F79" s="52"/>
      <c r="G79" s="52"/>
      <c r="H79" s="67"/>
      <c r="I79" s="81"/>
      <c r="J79" s="81"/>
      <c r="K79" s="267"/>
      <c r="L79" s="81"/>
      <c r="M79" s="81"/>
      <c r="N79" s="267"/>
      <c r="O79" s="81"/>
      <c r="P79" s="81"/>
      <c r="Q79" s="81" t="s">
        <v>352</v>
      </c>
      <c r="V79" s="28" t="s">
        <v>48</v>
      </c>
      <c r="X79" s="132"/>
      <c r="Y79" s="114">
        <f>1</f>
        <v>1</v>
      </c>
      <c r="Z79" s="115" t="str">
        <f t="shared" si="4"/>
        <v/>
      </c>
      <c r="AA79" s="115" t="str">
        <f t="shared" si="5"/>
        <v/>
      </c>
    </row>
    <row r="80" spans="1:28" ht="48" customHeight="1" x14ac:dyDescent="0.2">
      <c r="A80" s="55" t="s">
        <v>155</v>
      </c>
      <c r="B80" s="55" t="s">
        <v>353</v>
      </c>
      <c r="C80" s="364" t="s">
        <v>354</v>
      </c>
      <c r="D80" s="364" t="s">
        <v>355</v>
      </c>
      <c r="E80" s="67"/>
      <c r="F80" s="52"/>
      <c r="G80" s="52"/>
      <c r="H80" s="67"/>
      <c r="I80" s="81" t="s">
        <v>32</v>
      </c>
      <c r="J80" s="81"/>
      <c r="K80" s="267"/>
      <c r="L80" s="81"/>
      <c r="M80" s="81"/>
      <c r="N80" s="267" t="s">
        <v>356</v>
      </c>
      <c r="O80" s="81"/>
      <c r="P80" s="81"/>
      <c r="Q80" s="81"/>
      <c r="V80" s="28" t="s">
        <v>48</v>
      </c>
      <c r="X80" s="132">
        <v>0</v>
      </c>
      <c r="Y80" s="114">
        <f>1</f>
        <v>1</v>
      </c>
      <c r="Z80" s="115">
        <f t="shared" si="4"/>
        <v>0</v>
      </c>
      <c r="AA80" s="115">
        <f t="shared" si="5"/>
        <v>0</v>
      </c>
    </row>
    <row r="81" spans="1:28" ht="16" customHeight="1" x14ac:dyDescent="0.2">
      <c r="A81" s="55" t="s">
        <v>155</v>
      </c>
      <c r="B81" s="55" t="s">
        <v>357</v>
      </c>
      <c r="C81" s="364" t="s">
        <v>358</v>
      </c>
      <c r="D81" s="364" t="s">
        <v>359</v>
      </c>
      <c r="E81" s="67"/>
      <c r="F81" s="52"/>
      <c r="G81" s="52"/>
      <c r="H81" s="67"/>
      <c r="I81" s="81" t="s">
        <v>32</v>
      </c>
      <c r="J81" s="81"/>
      <c r="K81" s="267"/>
      <c r="L81" s="81"/>
      <c r="M81" s="81"/>
      <c r="N81" s="267" t="s">
        <v>360</v>
      </c>
      <c r="O81" s="81"/>
      <c r="P81" s="81"/>
      <c r="Q81" s="81"/>
      <c r="V81" s="28" t="s">
        <v>48</v>
      </c>
      <c r="X81" s="132">
        <v>0</v>
      </c>
      <c r="Y81" s="114">
        <f>1</f>
        <v>1</v>
      </c>
      <c r="Z81" s="115">
        <f t="shared" si="4"/>
        <v>0</v>
      </c>
      <c r="AA81" s="115">
        <f t="shared" si="5"/>
        <v>0</v>
      </c>
    </row>
    <row r="82" spans="1:28" ht="16" customHeight="1" x14ac:dyDescent="0.2">
      <c r="A82" s="55" t="s">
        <v>155</v>
      </c>
      <c r="B82" s="55" t="s">
        <v>361</v>
      </c>
      <c r="C82" s="364" t="s">
        <v>362</v>
      </c>
      <c r="D82" s="364" t="s">
        <v>363</v>
      </c>
      <c r="E82" s="67"/>
      <c r="F82" s="52"/>
      <c r="G82" s="52"/>
      <c r="H82" s="67"/>
      <c r="I82" s="81" t="s">
        <v>32</v>
      </c>
      <c r="J82" s="81"/>
      <c r="K82" s="267"/>
      <c r="L82" s="81"/>
      <c r="M82" s="81"/>
      <c r="N82" s="267" t="s">
        <v>364</v>
      </c>
      <c r="O82" s="81"/>
      <c r="P82" s="81"/>
      <c r="Q82" s="81"/>
      <c r="V82" s="28" t="s">
        <v>48</v>
      </c>
      <c r="X82" s="132">
        <v>0</v>
      </c>
      <c r="Y82" s="114">
        <f>1</f>
        <v>1</v>
      </c>
      <c r="Z82" s="115">
        <f t="shared" si="4"/>
        <v>0</v>
      </c>
      <c r="AA82" s="115">
        <f t="shared" si="5"/>
        <v>0</v>
      </c>
    </row>
    <row r="83" spans="1:28" ht="128" customHeight="1" x14ac:dyDescent="0.2">
      <c r="A83" s="55" t="s">
        <v>316</v>
      </c>
      <c r="B83" s="55" t="s">
        <v>365</v>
      </c>
      <c r="C83" s="364" t="s">
        <v>366</v>
      </c>
      <c r="D83" s="364" t="s">
        <v>367</v>
      </c>
      <c r="E83" s="67"/>
      <c r="H83" s="67"/>
      <c r="I83" s="81" t="s">
        <v>32</v>
      </c>
      <c r="J83" s="81"/>
      <c r="K83" s="267"/>
      <c r="L83" s="81"/>
      <c r="M83" s="81"/>
      <c r="N83" s="267" t="s">
        <v>368</v>
      </c>
      <c r="O83" s="81"/>
      <c r="P83" s="81"/>
      <c r="Q83" s="81"/>
      <c r="V83" s="28" t="s">
        <v>48</v>
      </c>
      <c r="X83" s="132">
        <v>16.348396301269531</v>
      </c>
      <c r="Y83" s="52"/>
      <c r="Z83" s="28"/>
      <c r="AA83" s="28"/>
      <c r="AB83" s="28"/>
    </row>
    <row r="84" spans="1:28" s="214" customFormat="1" ht="16" customHeight="1" x14ac:dyDescent="0.2">
      <c r="A84" s="208" t="s">
        <v>285</v>
      </c>
      <c r="B84" s="208" t="s">
        <v>369</v>
      </c>
      <c r="C84" s="364" t="s">
        <v>370</v>
      </c>
      <c r="D84" s="364" t="s">
        <v>371</v>
      </c>
      <c r="E84" s="67"/>
      <c r="F84" s="210" t="s">
        <v>289</v>
      </c>
      <c r="G84" s="214" t="s">
        <v>290</v>
      </c>
      <c r="H84" s="67"/>
      <c r="I84" s="211" t="s">
        <v>32</v>
      </c>
      <c r="J84" s="211" t="s">
        <v>291</v>
      </c>
      <c r="K84" s="274"/>
      <c r="L84" s="211"/>
      <c r="M84" s="81"/>
      <c r="N84" s="274"/>
      <c r="O84" s="211"/>
      <c r="P84" s="211"/>
      <c r="Q84" s="211"/>
      <c r="V84" s="214" t="s">
        <v>48</v>
      </c>
      <c r="X84" s="212">
        <v>36.928733825683587</v>
      </c>
      <c r="Y84" s="215">
        <f>1</f>
        <v>1</v>
      </c>
      <c r="Z84" s="213">
        <f t="shared" ref="Z84:Z90" si="6">IF(X84&lt;&gt;"",X84*Y84,"")</f>
        <v>36.928733825683587</v>
      </c>
      <c r="AA84" s="213">
        <f t="shared" ref="AA84:AA90" si="7">IF(AND(X84&lt;&gt;"",V84="yes"),X84*Y84,"")</f>
        <v>36.928733825683587</v>
      </c>
      <c r="AB84" s="210"/>
    </row>
    <row r="85" spans="1:28" ht="112" customHeight="1" x14ac:dyDescent="0.2">
      <c r="A85" s="55" t="s">
        <v>372</v>
      </c>
      <c r="B85" s="55" t="s">
        <v>373</v>
      </c>
      <c r="C85" s="364" t="s">
        <v>374</v>
      </c>
      <c r="D85" s="364" t="s">
        <v>375</v>
      </c>
      <c r="E85" s="65"/>
      <c r="F85" s="55" t="s">
        <v>376</v>
      </c>
      <c r="G85" s="55" t="s">
        <v>377</v>
      </c>
      <c r="H85" s="67"/>
      <c r="I85" s="81" t="s">
        <v>32</v>
      </c>
      <c r="J85" s="81"/>
      <c r="K85" s="267" t="s">
        <v>378</v>
      </c>
      <c r="L85" s="81"/>
      <c r="M85" s="81"/>
      <c r="N85" s="267"/>
      <c r="O85" s="81"/>
      <c r="P85" s="81"/>
      <c r="Q85" s="81"/>
      <c r="V85" s="28" t="s">
        <v>48</v>
      </c>
      <c r="X85" s="132">
        <v>46.247528076171882</v>
      </c>
      <c r="Y85" s="114">
        <f>1</f>
        <v>1</v>
      </c>
      <c r="Z85" s="115">
        <f t="shared" si="6"/>
        <v>46.247528076171882</v>
      </c>
      <c r="AA85" s="115">
        <f t="shared" si="7"/>
        <v>46.247528076171882</v>
      </c>
    </row>
    <row r="86" spans="1:28" ht="16" customHeight="1" thickBot="1" x14ac:dyDescent="0.25">
      <c r="A86" s="64" t="s">
        <v>189</v>
      </c>
      <c r="B86" s="64"/>
      <c r="C86" s="368"/>
      <c r="D86" s="368"/>
      <c r="E86" s="61"/>
      <c r="F86" s="64"/>
      <c r="G86" s="64"/>
      <c r="H86" s="62"/>
      <c r="I86" s="85"/>
      <c r="J86" s="85"/>
      <c r="K86" s="269"/>
      <c r="L86" s="85"/>
      <c r="M86" s="85"/>
      <c r="N86" s="269"/>
      <c r="O86" s="85"/>
      <c r="P86" s="85"/>
      <c r="Q86" s="85"/>
      <c r="X86" s="132"/>
      <c r="Y86" s="52"/>
      <c r="Z86" s="115" t="str">
        <f t="shared" si="6"/>
        <v/>
      </c>
      <c r="AA86" s="115" t="str">
        <f t="shared" si="7"/>
        <v/>
      </c>
    </row>
    <row r="87" spans="1:28" s="49" customFormat="1" ht="97" customHeight="1" thickTop="1" x14ac:dyDescent="0.2">
      <c r="A87" s="282" t="s">
        <v>71</v>
      </c>
      <c r="B87" s="282" t="s">
        <v>379</v>
      </c>
      <c r="C87" s="367" t="s">
        <v>380</v>
      </c>
      <c r="D87" s="367" t="s">
        <v>381</v>
      </c>
      <c r="E87" s="47"/>
      <c r="F87" s="46"/>
      <c r="G87" s="46"/>
      <c r="H87" s="48"/>
      <c r="I87" s="82" t="s">
        <v>62</v>
      </c>
      <c r="J87" s="82"/>
      <c r="K87" s="275"/>
      <c r="L87" s="82"/>
      <c r="M87" s="82"/>
      <c r="N87" s="275" t="s">
        <v>382</v>
      </c>
      <c r="P87" s="82"/>
      <c r="Q87" s="82"/>
      <c r="V87" s="28" t="s">
        <v>48</v>
      </c>
      <c r="X87" s="132"/>
      <c r="Y87" s="50"/>
      <c r="Z87" s="115" t="str">
        <f t="shared" si="6"/>
        <v/>
      </c>
      <c r="AA87" s="115" t="str">
        <f t="shared" si="7"/>
        <v/>
      </c>
      <c r="AB87" s="50"/>
    </row>
    <row r="88" spans="1:28" s="29" customFormat="1" ht="32" customHeight="1" x14ac:dyDescent="0.2">
      <c r="A88" s="27" t="s">
        <v>56</v>
      </c>
      <c r="B88" s="27" t="s">
        <v>383</v>
      </c>
      <c r="C88" s="372" t="s">
        <v>384</v>
      </c>
      <c r="D88" s="364" t="s">
        <v>385</v>
      </c>
      <c r="E88" s="59"/>
      <c r="F88" s="27"/>
      <c r="G88" s="27"/>
      <c r="H88" s="59"/>
      <c r="I88" s="26" t="s">
        <v>62</v>
      </c>
      <c r="J88" s="26"/>
      <c r="K88" s="26"/>
      <c r="L88" s="26"/>
      <c r="M88" s="26"/>
      <c r="N88" s="26"/>
      <c r="O88" s="26"/>
      <c r="P88" s="26"/>
      <c r="Q88" s="26"/>
      <c r="V88" s="29" t="s">
        <v>48</v>
      </c>
      <c r="X88" s="135">
        <v>7.5</v>
      </c>
      <c r="Y88" s="117">
        <f>'Additional information'!$C$14</f>
        <v>0.91</v>
      </c>
      <c r="Z88" s="116">
        <f t="shared" si="6"/>
        <v>6.8250000000000002</v>
      </c>
      <c r="AA88" s="116">
        <f t="shared" si="7"/>
        <v>6.8250000000000002</v>
      </c>
      <c r="AB88" s="30"/>
    </row>
    <row r="89" spans="1:28" s="52" customFormat="1" ht="16" customHeight="1" x14ac:dyDescent="0.2">
      <c r="A89" s="55" t="s">
        <v>386</v>
      </c>
      <c r="B89" s="55" t="s">
        <v>387</v>
      </c>
      <c r="C89" s="364" t="s">
        <v>388</v>
      </c>
      <c r="D89" s="364" t="s">
        <v>389</v>
      </c>
      <c r="E89" s="65"/>
      <c r="F89" s="55" t="s">
        <v>390</v>
      </c>
      <c r="G89" s="55" t="s">
        <v>391</v>
      </c>
      <c r="H89" s="67"/>
      <c r="I89" s="81" t="s">
        <v>32</v>
      </c>
      <c r="J89" s="81"/>
      <c r="K89" s="267" t="s">
        <v>392</v>
      </c>
      <c r="L89" s="81"/>
      <c r="M89" s="81"/>
      <c r="N89" s="267"/>
      <c r="O89" s="81"/>
      <c r="P89" s="81"/>
      <c r="Q89" s="81"/>
      <c r="V89" s="52" t="s">
        <v>48</v>
      </c>
      <c r="X89" s="132">
        <v>17</v>
      </c>
      <c r="Y89" s="114">
        <f>'Additional information'!$C$14</f>
        <v>0.91</v>
      </c>
      <c r="Z89" s="115">
        <f t="shared" si="6"/>
        <v>15.47</v>
      </c>
      <c r="AA89" s="115">
        <f t="shared" si="7"/>
        <v>15.47</v>
      </c>
    </row>
    <row r="90" spans="1:28" s="52" customFormat="1" ht="32" customHeight="1" x14ac:dyDescent="0.2">
      <c r="A90" s="55" t="s">
        <v>393</v>
      </c>
      <c r="B90" s="55" t="s">
        <v>394</v>
      </c>
      <c r="C90" s="364" t="s">
        <v>395</v>
      </c>
      <c r="D90" s="364" t="s">
        <v>396</v>
      </c>
      <c r="E90" s="65"/>
      <c r="F90" s="55" t="s">
        <v>397</v>
      </c>
      <c r="G90" s="153" t="s">
        <v>398</v>
      </c>
      <c r="H90" s="67"/>
      <c r="I90" s="81" t="s">
        <v>32</v>
      </c>
      <c r="J90" s="81"/>
      <c r="K90" s="267"/>
      <c r="L90" s="81"/>
      <c r="M90" s="81"/>
      <c r="N90" s="267" t="s">
        <v>399</v>
      </c>
      <c r="O90" s="81"/>
      <c r="P90" s="81"/>
      <c r="Q90" s="81"/>
      <c r="V90" s="52" t="s">
        <v>48</v>
      </c>
      <c r="X90" s="132">
        <v>0</v>
      </c>
      <c r="Y90" s="114">
        <f>'Additional information'!$C$14</f>
        <v>0.91</v>
      </c>
      <c r="Z90" s="115">
        <f t="shared" si="6"/>
        <v>0</v>
      </c>
      <c r="AA90" s="115">
        <f t="shared" si="7"/>
        <v>0</v>
      </c>
    </row>
    <row r="91" spans="1:28" s="52" customFormat="1" ht="48" customHeight="1" x14ac:dyDescent="0.2">
      <c r="A91" s="55" t="s">
        <v>386</v>
      </c>
      <c r="B91" s="56" t="s">
        <v>400</v>
      </c>
      <c r="C91" s="364" t="s">
        <v>401</v>
      </c>
      <c r="D91" s="364" t="s">
        <v>402</v>
      </c>
      <c r="E91" s="65"/>
      <c r="F91" s="55" t="s">
        <v>403</v>
      </c>
      <c r="G91" s="153" t="s">
        <v>404</v>
      </c>
      <c r="H91" s="67"/>
      <c r="I91" s="81" t="s">
        <v>32</v>
      </c>
      <c r="J91" s="81"/>
      <c r="K91" s="267" t="s">
        <v>405</v>
      </c>
      <c r="L91" s="81"/>
      <c r="M91" s="81"/>
      <c r="N91" s="267"/>
      <c r="O91" s="81"/>
      <c r="P91" s="81"/>
      <c r="Q91" s="81"/>
      <c r="X91" s="132"/>
      <c r="Y91" s="114"/>
      <c r="Z91" s="115"/>
      <c r="AA91" s="115"/>
    </row>
    <row r="92" spans="1:28" ht="32" customHeight="1" x14ac:dyDescent="0.2">
      <c r="A92" s="51" t="s">
        <v>406</v>
      </c>
      <c r="B92" s="51" t="s">
        <v>407</v>
      </c>
      <c r="C92" s="364" t="s">
        <v>408</v>
      </c>
      <c r="D92" s="364" t="s">
        <v>409</v>
      </c>
      <c r="E92" s="59"/>
      <c r="F92" s="51" t="s">
        <v>410</v>
      </c>
      <c r="G92" s="27" t="s">
        <v>411</v>
      </c>
      <c r="H92" s="60"/>
      <c r="I92" s="243" t="s">
        <v>32</v>
      </c>
      <c r="J92" s="243" t="s">
        <v>124</v>
      </c>
      <c r="K92" s="26"/>
      <c r="L92" s="243"/>
      <c r="M92" s="243"/>
      <c r="N92" s="26"/>
      <c r="O92" s="243"/>
      <c r="P92" s="243"/>
      <c r="Q92" s="243"/>
      <c r="V92" s="28" t="s">
        <v>48</v>
      </c>
      <c r="X92" s="132">
        <v>27.057552337646481</v>
      </c>
      <c r="Y92" s="114">
        <f>'Additional information'!$C$14</f>
        <v>0.91</v>
      </c>
      <c r="Z92" s="115">
        <f>IF(X92&lt;&gt;"",X92*Y92,"")</f>
        <v>24.622372627258297</v>
      </c>
      <c r="AA92" s="115">
        <f>IF(AND(X92&lt;&gt;"",V92="yes"),X92*Y92,"")</f>
        <v>24.622372627258297</v>
      </c>
    </row>
    <row r="93" spans="1:28" x14ac:dyDescent="0.2">
      <c r="A93" s="51" t="s">
        <v>125</v>
      </c>
      <c r="B93" s="51" t="s">
        <v>412</v>
      </c>
      <c r="C93" s="373"/>
      <c r="D93" s="374"/>
      <c r="E93" s="59"/>
      <c r="H93" s="60"/>
      <c r="I93" s="243"/>
      <c r="J93" s="243"/>
      <c r="K93" s="26"/>
      <c r="L93" s="243"/>
      <c r="M93" s="243"/>
      <c r="N93" s="26"/>
      <c r="O93" s="243"/>
      <c r="P93" s="243"/>
      <c r="Q93" s="243" t="s">
        <v>413</v>
      </c>
      <c r="V93" s="28" t="s">
        <v>48</v>
      </c>
      <c r="X93" s="132"/>
      <c r="Y93" s="114">
        <f>'Additional information'!$C$14</f>
        <v>0.91</v>
      </c>
      <c r="Z93" s="115" t="str">
        <f>IF(X93&lt;&gt;"",X93*Y93,"")</f>
        <v/>
      </c>
      <c r="AA93" s="115" t="str">
        <f>IF(AND(X93&lt;&gt;"",V93="yes"),X93*Y93,"")</f>
        <v/>
      </c>
    </row>
    <row r="94" spans="1:28" s="332" customFormat="1" ht="16" customHeight="1" x14ac:dyDescent="0.2">
      <c r="A94" s="331" t="s">
        <v>414</v>
      </c>
      <c r="B94" s="331" t="s">
        <v>415</v>
      </c>
      <c r="C94" s="375" t="s">
        <v>416</v>
      </c>
      <c r="D94" s="376" t="s">
        <v>417</v>
      </c>
      <c r="E94" s="59"/>
      <c r="I94" s="339" t="s">
        <v>32</v>
      </c>
      <c r="J94" s="339"/>
      <c r="K94" s="339"/>
      <c r="L94" s="339"/>
      <c r="M94" s="339" t="s">
        <v>418</v>
      </c>
      <c r="N94" s="339"/>
      <c r="O94" s="339"/>
      <c r="P94" s="339"/>
      <c r="U94" s="332" t="s">
        <v>48</v>
      </c>
      <c r="W94" s="149">
        <v>0</v>
      </c>
      <c r="X94" s="150">
        <f>'[1]Additional information'!$D$18</f>
        <v>0.91</v>
      </c>
      <c r="Y94" s="333">
        <f>IF(W94&lt;&gt;"",W94*X94,"")</f>
        <v>0</v>
      </c>
      <c r="Z94" s="333">
        <f>IF(AND(W94&lt;&gt;"",U94="yes"),W94*X94,"")</f>
        <v>0</v>
      </c>
      <c r="AA94" s="338"/>
    </row>
    <row r="95" spans="1:28" x14ac:dyDescent="0.2">
      <c r="A95" s="282" t="s">
        <v>71</v>
      </c>
      <c r="B95" s="282" t="s">
        <v>419</v>
      </c>
      <c r="C95" s="377" t="s">
        <v>420</v>
      </c>
      <c r="D95" s="377" t="s">
        <v>421</v>
      </c>
      <c r="E95" s="59"/>
      <c r="H95" s="60"/>
      <c r="I95" s="243"/>
      <c r="J95" s="243" t="s">
        <v>422</v>
      </c>
      <c r="K95" s="26"/>
      <c r="L95" s="243"/>
      <c r="M95" s="243"/>
      <c r="N95" s="26"/>
      <c r="O95" s="243"/>
      <c r="P95" s="243"/>
      <c r="Q95" s="243"/>
      <c r="X95" s="132"/>
      <c r="Z95" s="115"/>
      <c r="AA95" s="115"/>
    </row>
    <row r="96" spans="1:28" ht="16" customHeight="1" x14ac:dyDescent="0.2">
      <c r="A96" s="56" t="s">
        <v>56</v>
      </c>
      <c r="B96" s="330" t="s">
        <v>423</v>
      </c>
      <c r="C96" s="378" t="s">
        <v>424</v>
      </c>
      <c r="D96" s="379" t="s">
        <v>425</v>
      </c>
      <c r="E96" s="59"/>
      <c r="F96" s="51"/>
      <c r="G96" s="27"/>
      <c r="H96" s="60"/>
      <c r="I96" s="81" t="s">
        <v>62</v>
      </c>
      <c r="J96" s="243"/>
      <c r="K96" s="276"/>
      <c r="L96" s="257"/>
      <c r="M96" s="257"/>
      <c r="N96" s="276" t="s">
        <v>426</v>
      </c>
      <c r="O96" s="258"/>
      <c r="P96" s="258"/>
      <c r="Q96" s="259"/>
      <c r="R96" s="258"/>
      <c r="S96" s="258"/>
      <c r="T96" s="258"/>
      <c r="U96" s="258"/>
      <c r="V96" s="258"/>
      <c r="W96" s="258"/>
      <c r="X96" s="260"/>
      <c r="Y96" s="261"/>
      <c r="Z96" s="262"/>
      <c r="AA96" s="115"/>
    </row>
    <row r="97" spans="1:27" ht="32" customHeight="1" x14ac:dyDescent="0.2">
      <c r="A97" s="56" t="s">
        <v>386</v>
      </c>
      <c r="B97" s="56" t="s">
        <v>427</v>
      </c>
      <c r="C97" s="380" t="s">
        <v>428</v>
      </c>
      <c r="D97" s="364" t="s">
        <v>429</v>
      </c>
      <c r="E97" s="59"/>
      <c r="F97" s="51"/>
      <c r="G97" s="27"/>
      <c r="H97" s="60"/>
      <c r="I97" s="81" t="s">
        <v>32</v>
      </c>
      <c r="J97" s="243"/>
      <c r="K97" s="276" t="s">
        <v>430</v>
      </c>
      <c r="L97" s="257" t="s">
        <v>431</v>
      </c>
      <c r="M97" s="257" t="s">
        <v>432</v>
      </c>
      <c r="N97" s="276" t="s">
        <v>426</v>
      </c>
      <c r="O97" s="258"/>
      <c r="P97" s="258"/>
      <c r="Q97" s="259"/>
      <c r="R97" s="258"/>
      <c r="S97" s="258"/>
      <c r="T97" s="258"/>
      <c r="U97" s="258"/>
      <c r="V97" s="258"/>
      <c r="W97" s="258"/>
      <c r="X97" s="260"/>
      <c r="Y97" s="261"/>
      <c r="Z97" s="262"/>
      <c r="AA97" s="115"/>
    </row>
    <row r="98" spans="1:27" ht="16" customHeight="1" x14ac:dyDescent="0.2">
      <c r="A98" s="55" t="s">
        <v>393</v>
      </c>
      <c r="B98" s="56" t="s">
        <v>433</v>
      </c>
      <c r="C98" s="364" t="s">
        <v>434</v>
      </c>
      <c r="D98" s="364" t="s">
        <v>435</v>
      </c>
      <c r="E98" s="59"/>
      <c r="F98" s="51"/>
      <c r="G98" s="27"/>
      <c r="H98" s="60"/>
      <c r="I98" s="81" t="s">
        <v>32</v>
      </c>
      <c r="J98" s="211" t="s">
        <v>291</v>
      </c>
      <c r="K98" s="276"/>
      <c r="L98" s="257"/>
      <c r="M98" s="257"/>
      <c r="N98" s="276" t="s">
        <v>436</v>
      </c>
      <c r="O98" s="86" t="s">
        <v>437</v>
      </c>
      <c r="P98" s="258"/>
      <c r="Q98" s="259"/>
      <c r="R98" s="258"/>
      <c r="S98" s="258"/>
      <c r="T98" s="258"/>
      <c r="U98" s="258"/>
      <c r="V98" s="258"/>
      <c r="W98" s="258"/>
      <c r="X98" s="260"/>
      <c r="Y98" s="261"/>
      <c r="Z98" s="262"/>
      <c r="AA98" s="115"/>
    </row>
    <row r="99" spans="1:27" ht="16" customHeight="1" x14ac:dyDescent="0.2">
      <c r="A99" s="56" t="s">
        <v>438</v>
      </c>
      <c r="B99" s="56" t="s">
        <v>439</v>
      </c>
      <c r="C99" s="381" t="s">
        <v>440</v>
      </c>
      <c r="D99" s="381" t="s">
        <v>441</v>
      </c>
      <c r="E99" s="59"/>
      <c r="F99" s="51"/>
      <c r="G99" s="27"/>
      <c r="H99" s="60"/>
      <c r="I99" s="81" t="s">
        <v>32</v>
      </c>
      <c r="J99" s="211" t="s">
        <v>291</v>
      </c>
      <c r="K99" s="276"/>
      <c r="L99" s="257"/>
      <c r="M99" s="257"/>
      <c r="N99" s="276" t="s">
        <v>436</v>
      </c>
      <c r="O99" s="258"/>
      <c r="P99" s="258"/>
      <c r="Q99" s="259"/>
      <c r="R99" s="258"/>
      <c r="S99" s="258"/>
      <c r="T99" s="258"/>
      <c r="U99" s="258"/>
      <c r="V99" s="258"/>
      <c r="W99" s="258"/>
      <c r="X99" s="260"/>
      <c r="Y99" s="261"/>
      <c r="Z99" s="262"/>
      <c r="AA99" s="115"/>
    </row>
    <row r="100" spans="1:27" ht="48" customHeight="1" x14ac:dyDescent="0.2">
      <c r="A100" s="55" t="s">
        <v>442</v>
      </c>
      <c r="B100" s="56" t="s">
        <v>443</v>
      </c>
      <c r="C100" s="364" t="s">
        <v>444</v>
      </c>
      <c r="D100" s="364" t="s">
        <v>445</v>
      </c>
      <c r="E100" s="59"/>
      <c r="F100" s="51"/>
      <c r="G100" s="27"/>
      <c r="H100" s="60"/>
      <c r="I100" s="81" t="s">
        <v>32</v>
      </c>
      <c r="J100" s="211" t="s">
        <v>291</v>
      </c>
      <c r="K100" s="276"/>
      <c r="L100" s="257"/>
      <c r="M100" s="257"/>
      <c r="N100" s="276" t="s">
        <v>446</v>
      </c>
      <c r="O100" s="258"/>
      <c r="P100" s="258"/>
      <c r="Q100" s="259"/>
      <c r="R100" s="258"/>
      <c r="S100" s="258"/>
      <c r="T100" s="258"/>
      <c r="U100" s="258"/>
      <c r="V100" s="258"/>
      <c r="W100" s="258"/>
      <c r="X100" s="260"/>
      <c r="Y100" s="261"/>
      <c r="Z100" s="262"/>
      <c r="AA100" s="115"/>
    </row>
    <row r="101" spans="1:27" ht="32" customHeight="1" x14ac:dyDescent="0.2">
      <c r="A101" s="52" t="s">
        <v>49</v>
      </c>
      <c r="B101" s="56" t="s">
        <v>447</v>
      </c>
      <c r="C101" s="364" t="s">
        <v>448</v>
      </c>
      <c r="D101" s="364" t="s">
        <v>449</v>
      </c>
      <c r="E101" s="59"/>
      <c r="F101" s="55" t="s">
        <v>178</v>
      </c>
      <c r="G101" s="52" t="s">
        <v>179</v>
      </c>
      <c r="H101" s="60"/>
      <c r="I101" s="81" t="s">
        <v>32</v>
      </c>
      <c r="J101" s="243"/>
      <c r="K101" s="325" t="s">
        <v>53</v>
      </c>
      <c r="L101" s="306" t="s">
        <v>54</v>
      </c>
      <c r="M101" s="306" t="s">
        <v>55</v>
      </c>
      <c r="N101" s="276" t="s">
        <v>450</v>
      </c>
      <c r="O101" s="258"/>
      <c r="P101" s="258"/>
      <c r="Q101" s="259"/>
      <c r="R101" s="258"/>
      <c r="S101" s="258"/>
      <c r="T101" s="258"/>
      <c r="U101" s="258"/>
      <c r="V101" s="258"/>
      <c r="W101" s="258"/>
      <c r="X101" s="260"/>
      <c r="Y101" s="261"/>
      <c r="Z101" s="262"/>
      <c r="AA101" s="115"/>
    </row>
    <row r="102" spans="1:27" ht="32" customHeight="1" x14ac:dyDescent="0.2">
      <c r="A102" s="56" t="s">
        <v>386</v>
      </c>
      <c r="B102" s="56" t="s">
        <v>451</v>
      </c>
      <c r="C102" s="380" t="s">
        <v>452</v>
      </c>
      <c r="D102" s="364" t="s">
        <v>453</v>
      </c>
      <c r="E102" s="59"/>
      <c r="F102" s="51"/>
      <c r="G102" s="27"/>
      <c r="H102" s="60"/>
      <c r="I102" s="81" t="s">
        <v>32</v>
      </c>
      <c r="J102" s="243"/>
      <c r="K102" s="276" t="s">
        <v>430</v>
      </c>
      <c r="L102" s="257" t="s">
        <v>431</v>
      </c>
      <c r="M102" s="257" t="s">
        <v>432</v>
      </c>
      <c r="N102" s="276" t="s">
        <v>426</v>
      </c>
      <c r="O102" s="258"/>
      <c r="P102" s="258"/>
      <c r="Q102" s="259"/>
      <c r="R102" s="258"/>
      <c r="S102" s="258"/>
      <c r="T102" s="258"/>
      <c r="U102" s="258"/>
      <c r="V102" s="258"/>
      <c r="W102" s="258"/>
      <c r="X102" s="260"/>
      <c r="Y102" s="261"/>
      <c r="Z102" s="262"/>
      <c r="AA102" s="115"/>
    </row>
    <row r="103" spans="1:27" ht="16" customHeight="1" x14ac:dyDescent="0.2">
      <c r="A103" s="55" t="s">
        <v>393</v>
      </c>
      <c r="B103" s="56" t="s">
        <v>454</v>
      </c>
      <c r="C103" s="364" t="s">
        <v>455</v>
      </c>
      <c r="D103" s="364" t="s">
        <v>456</v>
      </c>
      <c r="E103" s="59"/>
      <c r="F103" s="51"/>
      <c r="G103" s="27"/>
      <c r="H103" s="60"/>
      <c r="I103" s="81" t="s">
        <v>32</v>
      </c>
      <c r="J103" s="211" t="s">
        <v>291</v>
      </c>
      <c r="K103" s="304"/>
      <c r="L103" s="248"/>
      <c r="M103" s="248"/>
      <c r="N103" s="276" t="s">
        <v>457</v>
      </c>
      <c r="O103" s="86" t="s">
        <v>437</v>
      </c>
      <c r="P103" s="28"/>
      <c r="Q103" s="243"/>
      <c r="X103" s="132"/>
      <c r="Z103" s="115"/>
      <c r="AA103" s="115"/>
    </row>
    <row r="104" spans="1:27" ht="32" customHeight="1" x14ac:dyDescent="0.2">
      <c r="A104" s="56" t="s">
        <v>438</v>
      </c>
      <c r="B104" s="56" t="s">
        <v>458</v>
      </c>
      <c r="C104" s="364" t="s">
        <v>459</v>
      </c>
      <c r="D104" s="364" t="s">
        <v>460</v>
      </c>
      <c r="E104" s="59"/>
      <c r="F104" s="51"/>
      <c r="G104" s="27"/>
      <c r="H104" s="60"/>
      <c r="I104" s="81" t="s">
        <v>32</v>
      </c>
      <c r="J104" s="211" t="s">
        <v>291</v>
      </c>
      <c r="K104" s="276"/>
      <c r="L104" s="257"/>
      <c r="M104" s="257"/>
      <c r="N104" s="276" t="s">
        <v>457</v>
      </c>
      <c r="O104" s="258"/>
      <c r="P104" s="28"/>
      <c r="Q104" s="243"/>
      <c r="X104" s="132"/>
      <c r="Z104" s="115"/>
      <c r="AA104" s="115"/>
    </row>
    <row r="105" spans="1:27" ht="48" customHeight="1" x14ac:dyDescent="0.2">
      <c r="A105" s="55" t="s">
        <v>442</v>
      </c>
      <c r="B105" s="56" t="s">
        <v>461</v>
      </c>
      <c r="C105" s="364" t="s">
        <v>462</v>
      </c>
      <c r="D105" s="364" t="s">
        <v>463</v>
      </c>
      <c r="E105" s="59"/>
      <c r="F105" s="51"/>
      <c r="G105" s="27"/>
      <c r="H105" s="60"/>
      <c r="I105" s="81" t="s">
        <v>32</v>
      </c>
      <c r="J105" s="211" t="s">
        <v>291</v>
      </c>
      <c r="K105" s="276"/>
      <c r="L105" s="257"/>
      <c r="M105" s="257"/>
      <c r="N105" s="276" t="s">
        <v>464</v>
      </c>
      <c r="O105" s="258"/>
      <c r="P105" s="28"/>
      <c r="Q105" s="243"/>
      <c r="X105" s="132"/>
      <c r="Z105" s="115"/>
      <c r="AA105" s="115"/>
    </row>
    <row r="106" spans="1:27" ht="32" customHeight="1" x14ac:dyDescent="0.2">
      <c r="A106" s="52" t="s">
        <v>49</v>
      </c>
      <c r="B106" s="56" t="s">
        <v>465</v>
      </c>
      <c r="C106" s="364" t="s">
        <v>466</v>
      </c>
      <c r="D106" s="364" t="s">
        <v>467</v>
      </c>
      <c r="E106" s="59"/>
      <c r="F106" s="55" t="s">
        <v>178</v>
      </c>
      <c r="G106" s="52" t="s">
        <v>179</v>
      </c>
      <c r="H106" s="60"/>
      <c r="I106" s="81" t="s">
        <v>32</v>
      </c>
      <c r="J106" s="243"/>
      <c r="K106" s="325" t="s">
        <v>53</v>
      </c>
      <c r="L106" s="306" t="s">
        <v>54</v>
      </c>
      <c r="M106" s="306" t="s">
        <v>55</v>
      </c>
      <c r="N106" s="276" t="s">
        <v>468</v>
      </c>
      <c r="O106" s="258"/>
      <c r="P106" s="28"/>
      <c r="Q106" s="243"/>
      <c r="X106" s="132"/>
      <c r="Z106" s="115"/>
      <c r="AA106" s="115"/>
    </row>
    <row r="107" spans="1:27" ht="32" customHeight="1" x14ac:dyDescent="0.2">
      <c r="A107" s="56" t="s">
        <v>386</v>
      </c>
      <c r="B107" s="56" t="s">
        <v>469</v>
      </c>
      <c r="C107" s="380" t="s">
        <v>470</v>
      </c>
      <c r="D107" s="364" t="s">
        <v>471</v>
      </c>
      <c r="E107" s="59"/>
      <c r="F107" s="51"/>
      <c r="G107" s="27"/>
      <c r="H107" s="60"/>
      <c r="I107" s="81" t="s">
        <v>32</v>
      </c>
      <c r="J107" s="243"/>
      <c r="K107" s="276" t="s">
        <v>430</v>
      </c>
      <c r="L107" s="257" t="s">
        <v>431</v>
      </c>
      <c r="M107" s="257" t="s">
        <v>432</v>
      </c>
      <c r="N107" s="276" t="s">
        <v>426</v>
      </c>
      <c r="O107" s="258"/>
      <c r="P107" s="28"/>
      <c r="Q107" s="243"/>
      <c r="X107" s="132"/>
      <c r="Z107" s="115"/>
      <c r="AA107" s="115"/>
    </row>
    <row r="108" spans="1:27" ht="16" customHeight="1" x14ac:dyDescent="0.2">
      <c r="A108" s="55" t="s">
        <v>393</v>
      </c>
      <c r="B108" s="56" t="s">
        <v>472</v>
      </c>
      <c r="C108" s="364" t="s">
        <v>473</v>
      </c>
      <c r="D108" s="364" t="s">
        <v>474</v>
      </c>
      <c r="E108" s="59"/>
      <c r="F108" s="51"/>
      <c r="G108" s="27"/>
      <c r="H108" s="60"/>
      <c r="I108" s="81" t="s">
        <v>32</v>
      </c>
      <c r="J108" s="211" t="s">
        <v>291</v>
      </c>
      <c r="K108" s="276"/>
      <c r="L108" s="257"/>
      <c r="M108" s="257"/>
      <c r="N108" s="276" t="s">
        <v>475</v>
      </c>
      <c r="O108" s="86" t="s">
        <v>437</v>
      </c>
      <c r="P108" s="28"/>
      <c r="Q108" s="243"/>
      <c r="X108" s="132"/>
      <c r="Z108" s="115"/>
      <c r="AA108" s="115"/>
    </row>
    <row r="109" spans="1:27" ht="16" customHeight="1" x14ac:dyDescent="0.2">
      <c r="A109" s="56" t="s">
        <v>438</v>
      </c>
      <c r="B109" s="56" t="s">
        <v>476</v>
      </c>
      <c r="C109" s="364" t="s">
        <v>477</v>
      </c>
      <c r="D109" s="364" t="s">
        <v>478</v>
      </c>
      <c r="E109" s="59"/>
      <c r="F109" s="51"/>
      <c r="G109" s="27"/>
      <c r="H109" s="60"/>
      <c r="I109" s="81" t="s">
        <v>32</v>
      </c>
      <c r="J109" s="211" t="s">
        <v>291</v>
      </c>
      <c r="K109" s="276"/>
      <c r="L109" s="257"/>
      <c r="M109" s="257"/>
      <c r="N109" s="276" t="s">
        <v>475</v>
      </c>
      <c r="O109" s="258"/>
      <c r="P109" s="258"/>
      <c r="Q109" s="243"/>
      <c r="X109" s="132"/>
      <c r="Z109" s="115"/>
      <c r="AA109" s="115"/>
    </row>
    <row r="110" spans="1:27" ht="48" customHeight="1" x14ac:dyDescent="0.2">
      <c r="A110" s="55" t="s">
        <v>442</v>
      </c>
      <c r="B110" s="56" t="s">
        <v>479</v>
      </c>
      <c r="C110" s="364" t="s">
        <v>480</v>
      </c>
      <c r="D110" s="364" t="s">
        <v>481</v>
      </c>
      <c r="E110" s="59"/>
      <c r="F110" s="51"/>
      <c r="G110" s="27"/>
      <c r="H110" s="60"/>
      <c r="I110" s="81" t="s">
        <v>32</v>
      </c>
      <c r="J110" s="211" t="s">
        <v>291</v>
      </c>
      <c r="K110" s="276"/>
      <c r="L110" s="257"/>
      <c r="M110" s="257"/>
      <c r="N110" s="276" t="s">
        <v>482</v>
      </c>
      <c r="O110" s="258"/>
      <c r="P110" s="258"/>
      <c r="Q110" s="243"/>
      <c r="X110" s="132"/>
      <c r="Z110" s="115"/>
      <c r="AA110" s="115"/>
    </row>
    <row r="111" spans="1:27" ht="32" customHeight="1" x14ac:dyDescent="0.2">
      <c r="A111" s="52" t="s">
        <v>49</v>
      </c>
      <c r="B111" s="56" t="s">
        <v>483</v>
      </c>
      <c r="C111" s="364" t="s">
        <v>484</v>
      </c>
      <c r="D111" s="364" t="s">
        <v>485</v>
      </c>
      <c r="E111" s="59"/>
      <c r="F111" s="55" t="s">
        <v>178</v>
      </c>
      <c r="G111" s="52" t="s">
        <v>179</v>
      </c>
      <c r="H111" s="60"/>
      <c r="I111" s="81" t="s">
        <v>32</v>
      </c>
      <c r="J111" s="243"/>
      <c r="K111" s="325" t="s">
        <v>53</v>
      </c>
      <c r="L111" s="306" t="s">
        <v>54</v>
      </c>
      <c r="M111" s="306" t="s">
        <v>55</v>
      </c>
      <c r="N111" s="276" t="s">
        <v>486</v>
      </c>
      <c r="O111" s="258"/>
      <c r="P111" s="258"/>
      <c r="Q111" s="243"/>
      <c r="X111" s="132"/>
      <c r="Z111" s="115"/>
      <c r="AA111" s="115"/>
    </row>
    <row r="112" spans="1:27" ht="32" customHeight="1" x14ac:dyDescent="0.2">
      <c r="A112" s="56" t="s">
        <v>386</v>
      </c>
      <c r="B112" s="56" t="s">
        <v>487</v>
      </c>
      <c r="C112" s="380" t="s">
        <v>488</v>
      </c>
      <c r="D112" s="364" t="s">
        <v>489</v>
      </c>
      <c r="E112" s="59"/>
      <c r="F112" s="51"/>
      <c r="G112" s="27"/>
      <c r="H112" s="60"/>
      <c r="I112" s="81" t="s">
        <v>32</v>
      </c>
      <c r="J112" s="243"/>
      <c r="K112" s="276" t="s">
        <v>430</v>
      </c>
      <c r="L112" s="257" t="s">
        <v>431</v>
      </c>
      <c r="M112" s="257" t="s">
        <v>432</v>
      </c>
      <c r="N112" s="276" t="s">
        <v>426</v>
      </c>
      <c r="O112" s="258"/>
      <c r="P112" s="258"/>
      <c r="Q112" s="243"/>
      <c r="X112" s="132"/>
      <c r="Z112" s="115"/>
      <c r="AA112" s="115"/>
    </row>
    <row r="113" spans="1:27" ht="16" customHeight="1" x14ac:dyDescent="0.2">
      <c r="A113" s="55" t="s">
        <v>393</v>
      </c>
      <c r="B113" s="56" t="s">
        <v>490</v>
      </c>
      <c r="C113" s="364" t="s">
        <v>491</v>
      </c>
      <c r="D113" s="364" t="s">
        <v>492</v>
      </c>
      <c r="E113" s="59"/>
      <c r="F113" s="51"/>
      <c r="G113" s="27"/>
      <c r="H113" s="60"/>
      <c r="I113" s="81" t="s">
        <v>32</v>
      </c>
      <c r="J113" s="243"/>
      <c r="K113" s="304"/>
      <c r="L113" s="248"/>
      <c r="M113" s="248"/>
      <c r="N113" s="276" t="s">
        <v>493</v>
      </c>
      <c r="O113" s="86" t="s">
        <v>437</v>
      </c>
      <c r="P113" s="28"/>
      <c r="Q113" s="243"/>
      <c r="X113" s="132"/>
      <c r="Z113" s="115"/>
      <c r="AA113" s="115"/>
    </row>
    <row r="114" spans="1:27" ht="16" customHeight="1" x14ac:dyDescent="0.2">
      <c r="A114" s="56" t="s">
        <v>438</v>
      </c>
      <c r="B114" s="56" t="s">
        <v>494</v>
      </c>
      <c r="C114" s="364" t="s">
        <v>495</v>
      </c>
      <c r="D114" s="364" t="s">
        <v>496</v>
      </c>
      <c r="E114" s="59"/>
      <c r="F114" s="51"/>
      <c r="G114" s="27"/>
      <c r="H114" s="60"/>
      <c r="I114" s="81" t="s">
        <v>32</v>
      </c>
      <c r="J114" s="211" t="s">
        <v>291</v>
      </c>
      <c r="K114" s="276"/>
      <c r="L114" s="257"/>
      <c r="M114" s="257"/>
      <c r="N114" s="276" t="s">
        <v>493</v>
      </c>
      <c r="O114" s="258"/>
      <c r="P114" s="258"/>
      <c r="Q114" s="259"/>
      <c r="R114" s="258"/>
      <c r="S114" s="258"/>
      <c r="X114" s="132"/>
      <c r="Z114" s="115"/>
      <c r="AA114" s="115"/>
    </row>
    <row r="115" spans="1:27" ht="48" customHeight="1" x14ac:dyDescent="0.2">
      <c r="A115" s="55" t="s">
        <v>442</v>
      </c>
      <c r="B115" s="56" t="s">
        <v>497</v>
      </c>
      <c r="C115" s="364" t="s">
        <v>498</v>
      </c>
      <c r="D115" s="364" t="s">
        <v>499</v>
      </c>
      <c r="E115" s="59"/>
      <c r="F115" s="51"/>
      <c r="G115" s="27"/>
      <c r="H115" s="60"/>
      <c r="I115" s="81" t="s">
        <v>32</v>
      </c>
      <c r="J115" s="211" t="s">
        <v>291</v>
      </c>
      <c r="K115" s="276"/>
      <c r="L115" s="257"/>
      <c r="M115" s="257"/>
      <c r="N115" s="276" t="s">
        <v>500</v>
      </c>
      <c r="O115" s="258"/>
      <c r="P115" s="258"/>
      <c r="Q115" s="259"/>
      <c r="R115" s="258"/>
      <c r="S115" s="258"/>
      <c r="X115" s="132"/>
      <c r="Z115" s="115"/>
      <c r="AA115" s="115"/>
    </row>
    <row r="116" spans="1:27" ht="32" customHeight="1" x14ac:dyDescent="0.2">
      <c r="A116" s="52" t="s">
        <v>49</v>
      </c>
      <c r="B116" s="56" t="s">
        <v>501</v>
      </c>
      <c r="C116" s="364" t="s">
        <v>502</v>
      </c>
      <c r="D116" s="364" t="s">
        <v>503</v>
      </c>
      <c r="E116" s="59"/>
      <c r="F116" s="55" t="s">
        <v>178</v>
      </c>
      <c r="G116" s="52" t="s">
        <v>179</v>
      </c>
      <c r="H116" s="60"/>
      <c r="I116" s="81" t="s">
        <v>32</v>
      </c>
      <c r="J116" s="211" t="s">
        <v>291</v>
      </c>
      <c r="K116" s="325" t="s">
        <v>53</v>
      </c>
      <c r="L116" s="306" t="s">
        <v>54</v>
      </c>
      <c r="M116" s="306" t="s">
        <v>55</v>
      </c>
      <c r="N116" s="276" t="s">
        <v>504</v>
      </c>
      <c r="O116" s="258"/>
      <c r="P116" s="258"/>
      <c r="Q116" s="259"/>
      <c r="R116" s="258"/>
      <c r="S116" s="258"/>
      <c r="X116" s="132"/>
      <c r="Z116" s="115"/>
      <c r="AA116" s="115"/>
    </row>
    <row r="117" spans="1:27" ht="32" customHeight="1" x14ac:dyDescent="0.2">
      <c r="A117" s="56" t="s">
        <v>386</v>
      </c>
      <c r="B117" s="56" t="s">
        <v>505</v>
      </c>
      <c r="C117" s="380" t="s">
        <v>506</v>
      </c>
      <c r="D117" s="364" t="s">
        <v>507</v>
      </c>
      <c r="E117" s="59"/>
      <c r="F117" s="51"/>
      <c r="G117" s="27"/>
      <c r="H117" s="60"/>
      <c r="I117" s="81" t="s">
        <v>32</v>
      </c>
      <c r="J117" s="243"/>
      <c r="K117" s="276" t="s">
        <v>430</v>
      </c>
      <c r="L117" s="257" t="s">
        <v>431</v>
      </c>
      <c r="M117" s="257" t="s">
        <v>432</v>
      </c>
      <c r="N117" s="276" t="s">
        <v>426</v>
      </c>
      <c r="O117" s="258"/>
      <c r="P117" s="258"/>
      <c r="Q117" s="259"/>
      <c r="R117" s="258"/>
      <c r="S117" s="258"/>
      <c r="X117" s="132"/>
      <c r="Z117" s="115"/>
      <c r="AA117" s="115"/>
    </row>
    <row r="118" spans="1:27" ht="16" customHeight="1" x14ac:dyDescent="0.2">
      <c r="A118" s="55" t="s">
        <v>393</v>
      </c>
      <c r="B118" s="56" t="s">
        <v>508</v>
      </c>
      <c r="C118" s="364" t="s">
        <v>509</v>
      </c>
      <c r="D118" s="364" t="s">
        <v>510</v>
      </c>
      <c r="E118" s="59"/>
      <c r="F118" s="51"/>
      <c r="G118" s="27"/>
      <c r="H118" s="60"/>
      <c r="I118" s="81" t="s">
        <v>32</v>
      </c>
      <c r="J118" s="211" t="s">
        <v>291</v>
      </c>
      <c r="K118" s="276"/>
      <c r="L118" s="257"/>
      <c r="M118" s="257"/>
      <c r="N118" s="276" t="s">
        <v>511</v>
      </c>
      <c r="O118" s="86" t="s">
        <v>437</v>
      </c>
      <c r="P118" s="258"/>
      <c r="Q118" s="259"/>
      <c r="R118" s="258"/>
      <c r="S118" s="258"/>
      <c r="X118" s="132"/>
      <c r="Z118" s="115"/>
      <c r="AA118" s="115"/>
    </row>
    <row r="119" spans="1:27" ht="32" customHeight="1" x14ac:dyDescent="0.2">
      <c r="A119" s="56" t="s">
        <v>438</v>
      </c>
      <c r="B119" s="56" t="s">
        <v>512</v>
      </c>
      <c r="C119" s="364" t="s">
        <v>513</v>
      </c>
      <c r="D119" s="364" t="s">
        <v>514</v>
      </c>
      <c r="E119" s="59"/>
      <c r="F119" s="51"/>
      <c r="G119" s="27"/>
      <c r="H119" s="60"/>
      <c r="I119" s="81" t="s">
        <v>32</v>
      </c>
      <c r="J119" s="211" t="s">
        <v>291</v>
      </c>
      <c r="K119" s="276"/>
      <c r="L119" s="257"/>
      <c r="M119" s="257"/>
      <c r="N119" s="276" t="s">
        <v>511</v>
      </c>
      <c r="O119" s="258"/>
      <c r="P119" s="258"/>
      <c r="Q119" s="259"/>
      <c r="R119" s="258"/>
      <c r="S119" s="258"/>
      <c r="X119" s="132"/>
      <c r="Z119" s="115"/>
      <c r="AA119" s="115"/>
    </row>
    <row r="120" spans="1:27" ht="48" customHeight="1" x14ac:dyDescent="0.2">
      <c r="A120" s="55" t="s">
        <v>442</v>
      </c>
      <c r="B120" s="56" t="s">
        <v>515</v>
      </c>
      <c r="C120" s="364" t="s">
        <v>516</v>
      </c>
      <c r="D120" s="364" t="s">
        <v>517</v>
      </c>
      <c r="E120" s="59"/>
      <c r="F120" s="51"/>
      <c r="G120" s="27"/>
      <c r="H120" s="60"/>
      <c r="I120" s="81" t="s">
        <v>32</v>
      </c>
      <c r="J120" s="211" t="s">
        <v>291</v>
      </c>
      <c r="K120" s="276"/>
      <c r="L120" s="257"/>
      <c r="M120" s="257"/>
      <c r="N120" s="276" t="s">
        <v>518</v>
      </c>
      <c r="O120" s="258"/>
      <c r="P120" s="258"/>
      <c r="Q120" s="259"/>
      <c r="R120" s="258"/>
      <c r="S120" s="258"/>
      <c r="X120" s="132"/>
      <c r="Z120" s="115"/>
      <c r="AA120" s="115"/>
    </row>
    <row r="121" spans="1:27" ht="32" customHeight="1" x14ac:dyDescent="0.2">
      <c r="A121" s="52" t="s">
        <v>49</v>
      </c>
      <c r="B121" s="56" t="s">
        <v>519</v>
      </c>
      <c r="C121" s="364" t="s">
        <v>520</v>
      </c>
      <c r="D121" s="364" t="s">
        <v>521</v>
      </c>
      <c r="E121" s="59"/>
      <c r="F121" s="55" t="s">
        <v>178</v>
      </c>
      <c r="G121" s="52" t="s">
        <v>179</v>
      </c>
      <c r="H121" s="60"/>
      <c r="I121" s="81" t="s">
        <v>32</v>
      </c>
      <c r="J121" s="243"/>
      <c r="K121" s="325" t="s">
        <v>53</v>
      </c>
      <c r="L121" s="306" t="s">
        <v>54</v>
      </c>
      <c r="M121" s="306" t="s">
        <v>55</v>
      </c>
      <c r="N121" s="276" t="s">
        <v>522</v>
      </c>
      <c r="O121" s="258"/>
      <c r="P121" s="258"/>
      <c r="Q121" s="259"/>
      <c r="R121" s="258"/>
      <c r="S121" s="258"/>
      <c r="X121" s="132"/>
      <c r="Z121" s="115"/>
      <c r="AA121" s="115"/>
    </row>
    <row r="122" spans="1:27" ht="16" customHeight="1" x14ac:dyDescent="0.2">
      <c r="A122" s="50" t="s">
        <v>125</v>
      </c>
      <c r="B122" s="56" t="s">
        <v>523</v>
      </c>
      <c r="C122" s="364"/>
      <c r="D122" s="364"/>
      <c r="E122" s="59"/>
      <c r="F122" s="55"/>
      <c r="G122" s="52"/>
      <c r="H122" s="60"/>
      <c r="I122" s="81"/>
      <c r="J122" s="243"/>
      <c r="K122" s="276"/>
      <c r="L122" s="257"/>
      <c r="M122" s="257"/>
      <c r="N122" s="276"/>
      <c r="O122" s="258"/>
      <c r="P122" s="258"/>
      <c r="Q122" s="222" t="s">
        <v>524</v>
      </c>
      <c r="R122" s="258"/>
      <c r="S122" s="258"/>
      <c r="X122" s="132"/>
      <c r="Z122" s="115"/>
      <c r="AA122" s="115"/>
    </row>
    <row r="123" spans="1:27" ht="32" customHeight="1" x14ac:dyDescent="0.2">
      <c r="A123" s="52" t="s">
        <v>49</v>
      </c>
      <c r="B123" s="56" t="s">
        <v>525</v>
      </c>
      <c r="C123" s="382" t="s">
        <v>526</v>
      </c>
      <c r="D123" s="383" t="s">
        <v>527</v>
      </c>
      <c r="E123" s="59"/>
      <c r="F123" s="55"/>
      <c r="G123" s="52"/>
      <c r="H123" s="60"/>
      <c r="I123" s="81" t="s">
        <v>32</v>
      </c>
      <c r="J123" s="243"/>
      <c r="K123" s="325" t="s">
        <v>53</v>
      </c>
      <c r="L123" s="306" t="s">
        <v>54</v>
      </c>
      <c r="M123" s="306" t="s">
        <v>55</v>
      </c>
      <c r="N123" s="276" t="s">
        <v>528</v>
      </c>
      <c r="O123" s="258"/>
      <c r="P123" s="258"/>
      <c r="Q123" s="226"/>
      <c r="R123" s="258"/>
      <c r="S123" s="258"/>
      <c r="X123" s="132"/>
      <c r="Z123" s="115"/>
      <c r="AA123" s="115"/>
    </row>
    <row r="124" spans="1:27" ht="16" customHeight="1" thickBot="1" x14ac:dyDescent="0.25">
      <c r="A124" s="68" t="s">
        <v>189</v>
      </c>
      <c r="B124" s="56"/>
      <c r="C124" s="364"/>
      <c r="D124" s="364"/>
      <c r="E124" s="59"/>
      <c r="F124" s="55"/>
      <c r="G124" s="52"/>
      <c r="H124" s="60"/>
      <c r="I124" s="81"/>
      <c r="J124" s="243"/>
      <c r="K124" s="276"/>
      <c r="L124" s="257"/>
      <c r="M124" s="257"/>
      <c r="N124" s="276"/>
      <c r="O124" s="258"/>
      <c r="P124" s="258"/>
      <c r="Q124" s="259"/>
      <c r="R124" s="258"/>
      <c r="S124" s="258"/>
      <c r="X124" s="132"/>
      <c r="Z124" s="115"/>
      <c r="AA124" s="115"/>
    </row>
    <row r="125" spans="1:27" ht="177" customHeight="1" thickTop="1" x14ac:dyDescent="0.2">
      <c r="A125" s="209" t="s">
        <v>529</v>
      </c>
      <c r="B125" s="56" t="s">
        <v>530</v>
      </c>
      <c r="C125" s="364" t="s">
        <v>531</v>
      </c>
      <c r="D125" s="364" t="s">
        <v>532</v>
      </c>
      <c r="E125" s="59"/>
      <c r="F125" s="28" t="s">
        <v>533</v>
      </c>
      <c r="G125" s="28" t="s">
        <v>534</v>
      </c>
      <c r="H125" s="60"/>
      <c r="I125" s="81" t="s">
        <v>32</v>
      </c>
      <c r="J125" s="243"/>
      <c r="K125" s="276" t="s">
        <v>535</v>
      </c>
      <c r="L125" s="257"/>
      <c r="M125" s="257"/>
      <c r="N125" s="276" t="s">
        <v>426</v>
      </c>
      <c r="O125" s="258"/>
      <c r="P125" s="258"/>
      <c r="Q125" s="259"/>
      <c r="R125" s="258"/>
      <c r="S125" s="258"/>
      <c r="X125" s="132"/>
      <c r="Z125" s="115"/>
      <c r="AA125" s="115"/>
    </row>
    <row r="126" spans="1:27" ht="16" customHeight="1" x14ac:dyDescent="0.2">
      <c r="A126" s="55" t="s">
        <v>536</v>
      </c>
      <c r="B126" s="56" t="s">
        <v>537</v>
      </c>
      <c r="C126" s="364" t="s">
        <v>538</v>
      </c>
      <c r="D126" s="364" t="s">
        <v>539</v>
      </c>
      <c r="E126" s="59"/>
      <c r="F126" s="51"/>
      <c r="G126" s="27"/>
      <c r="H126" s="60"/>
      <c r="I126" s="81" t="s">
        <v>32</v>
      </c>
      <c r="J126" s="243"/>
      <c r="K126" s="276"/>
      <c r="L126" s="257"/>
      <c r="M126" s="257"/>
      <c r="N126" s="276" t="s">
        <v>540</v>
      </c>
      <c r="O126" s="258"/>
      <c r="P126" s="258"/>
      <c r="Q126" s="259"/>
      <c r="R126" s="258"/>
      <c r="S126" s="258"/>
      <c r="X126" s="132"/>
      <c r="Z126" s="115"/>
      <c r="AA126" s="115"/>
    </row>
    <row r="127" spans="1:27" ht="16" customHeight="1" x14ac:dyDescent="0.2">
      <c r="A127" s="55" t="s">
        <v>536</v>
      </c>
      <c r="B127" s="56" t="s">
        <v>541</v>
      </c>
      <c r="C127" s="364" t="s">
        <v>542</v>
      </c>
      <c r="D127" s="364" t="s">
        <v>543</v>
      </c>
      <c r="E127" s="59"/>
      <c r="F127" s="51"/>
      <c r="G127" s="27"/>
      <c r="H127" s="60"/>
      <c r="I127" s="81" t="s">
        <v>32</v>
      </c>
      <c r="J127" s="243"/>
      <c r="K127" s="276"/>
      <c r="L127" s="257"/>
      <c r="M127" s="257"/>
      <c r="N127" s="276" t="s">
        <v>544</v>
      </c>
      <c r="O127" s="258"/>
      <c r="P127" s="258"/>
      <c r="Q127" s="259"/>
      <c r="R127" s="258"/>
      <c r="S127" s="258"/>
      <c r="X127" s="132"/>
      <c r="Z127" s="115"/>
      <c r="AA127" s="115"/>
    </row>
    <row r="128" spans="1:27" ht="16" customHeight="1" x14ac:dyDescent="0.2">
      <c r="A128" s="55" t="s">
        <v>536</v>
      </c>
      <c r="B128" s="56" t="s">
        <v>545</v>
      </c>
      <c r="C128" s="364" t="s">
        <v>546</v>
      </c>
      <c r="D128" s="364" t="s">
        <v>547</v>
      </c>
      <c r="E128" s="59"/>
      <c r="F128" s="51"/>
      <c r="G128" s="27"/>
      <c r="H128" s="60"/>
      <c r="I128" s="81" t="s">
        <v>32</v>
      </c>
      <c r="J128" s="243"/>
      <c r="K128" s="304"/>
      <c r="L128" s="248"/>
      <c r="M128" s="248"/>
      <c r="N128" s="276" t="s">
        <v>548</v>
      </c>
      <c r="O128" s="28"/>
      <c r="P128" s="28"/>
      <c r="Q128" s="243"/>
      <c r="X128" s="132"/>
      <c r="Z128" s="115"/>
      <c r="AA128" s="115"/>
    </row>
    <row r="129" spans="1:27" ht="16" customHeight="1" x14ac:dyDescent="0.2">
      <c r="A129" s="55" t="s">
        <v>536</v>
      </c>
      <c r="B129" s="56" t="s">
        <v>549</v>
      </c>
      <c r="C129" s="364" t="s">
        <v>550</v>
      </c>
      <c r="D129" s="364" t="s">
        <v>551</v>
      </c>
      <c r="E129" s="59"/>
      <c r="F129" s="51"/>
      <c r="G129" s="27"/>
      <c r="H129" s="60"/>
      <c r="I129" s="81" t="s">
        <v>32</v>
      </c>
      <c r="J129" s="243"/>
      <c r="K129" s="304"/>
      <c r="L129" s="248"/>
      <c r="M129" s="248"/>
      <c r="N129" s="276" t="s">
        <v>552</v>
      </c>
      <c r="O129" s="28"/>
      <c r="P129" s="28"/>
      <c r="Q129" s="243"/>
      <c r="X129" s="132"/>
      <c r="Z129" s="115"/>
      <c r="AA129" s="115"/>
    </row>
    <row r="130" spans="1:27" ht="16" customHeight="1" x14ac:dyDescent="0.2">
      <c r="A130" s="55" t="s">
        <v>536</v>
      </c>
      <c r="B130" s="56" t="s">
        <v>553</v>
      </c>
      <c r="C130" s="364" t="s">
        <v>554</v>
      </c>
      <c r="D130" s="364" t="s">
        <v>555</v>
      </c>
      <c r="E130" s="59"/>
      <c r="F130" s="51"/>
      <c r="G130" s="27"/>
      <c r="H130" s="60"/>
      <c r="I130" s="81" t="s">
        <v>32</v>
      </c>
      <c r="J130" s="243"/>
      <c r="K130" s="304"/>
      <c r="L130" s="248"/>
      <c r="M130" s="248"/>
      <c r="N130" s="276" t="s">
        <v>556</v>
      </c>
      <c r="O130" s="28"/>
      <c r="P130" s="28"/>
      <c r="Q130" s="243"/>
      <c r="X130" s="132"/>
      <c r="Z130" s="115"/>
      <c r="AA130" s="115"/>
    </row>
    <row r="131" spans="1:27" x14ac:dyDescent="0.2">
      <c r="A131" s="282" t="s">
        <v>71</v>
      </c>
      <c r="B131" s="282" t="s">
        <v>557</v>
      </c>
      <c r="C131" s="377" t="s">
        <v>558</v>
      </c>
      <c r="D131" s="377" t="s">
        <v>559</v>
      </c>
      <c r="E131" s="59"/>
      <c r="F131" s="51"/>
      <c r="G131" s="27"/>
      <c r="H131" s="60"/>
      <c r="I131" s="81"/>
      <c r="J131" s="243" t="s">
        <v>422</v>
      </c>
      <c r="K131" s="304"/>
      <c r="L131" s="248"/>
      <c r="M131" s="248"/>
      <c r="N131" s="304"/>
      <c r="O131" s="28"/>
      <c r="P131" s="28"/>
      <c r="Q131" s="243"/>
      <c r="X131" s="132"/>
      <c r="Z131" s="115"/>
      <c r="AA131" s="115"/>
    </row>
    <row r="132" spans="1:27" ht="32" customHeight="1" x14ac:dyDescent="0.2">
      <c r="A132" s="56" t="s">
        <v>56</v>
      </c>
      <c r="B132" s="330" t="s">
        <v>560</v>
      </c>
      <c r="C132" s="378" t="s">
        <v>561</v>
      </c>
      <c r="D132" s="379" t="s">
        <v>562</v>
      </c>
      <c r="E132" s="59"/>
      <c r="F132" s="51"/>
      <c r="G132" s="27"/>
      <c r="H132" s="60"/>
      <c r="I132" s="81" t="s">
        <v>62</v>
      </c>
      <c r="J132" s="243"/>
      <c r="K132" s="304"/>
      <c r="L132" s="248"/>
      <c r="M132" s="248"/>
      <c r="N132" s="276" t="s">
        <v>426</v>
      </c>
      <c r="O132" s="28"/>
      <c r="P132" s="28"/>
      <c r="Q132" s="243"/>
      <c r="X132" s="132"/>
      <c r="Z132" s="115"/>
      <c r="AA132" s="115"/>
    </row>
    <row r="133" spans="1:27" ht="16" customHeight="1" x14ac:dyDescent="0.2">
      <c r="A133" s="56" t="s">
        <v>563</v>
      </c>
      <c r="B133" s="56" t="s">
        <v>564</v>
      </c>
      <c r="C133" s="384" t="s">
        <v>565</v>
      </c>
      <c r="D133" s="366" t="s">
        <v>566</v>
      </c>
      <c r="E133" s="59"/>
      <c r="F133" s="51"/>
      <c r="G133" s="27"/>
      <c r="H133" s="60"/>
      <c r="I133" s="81" t="s">
        <v>32</v>
      </c>
      <c r="J133" s="243" t="s">
        <v>291</v>
      </c>
      <c r="K133" s="304"/>
      <c r="L133" s="248"/>
      <c r="M133" s="248"/>
      <c r="N133" s="305" t="s">
        <v>426</v>
      </c>
      <c r="O133" s="28"/>
      <c r="P133" s="28"/>
      <c r="Q133" s="243"/>
      <c r="X133" s="132"/>
      <c r="Z133" s="115"/>
      <c r="AA133" s="115"/>
    </row>
    <row r="134" spans="1:27" ht="48" customHeight="1" x14ac:dyDescent="0.2">
      <c r="A134" s="55" t="s">
        <v>442</v>
      </c>
      <c r="B134" s="56" t="s">
        <v>567</v>
      </c>
      <c r="C134" s="364" t="s">
        <v>568</v>
      </c>
      <c r="D134" s="364" t="s">
        <v>569</v>
      </c>
      <c r="E134" s="59"/>
      <c r="F134" s="51"/>
      <c r="G134" s="27"/>
      <c r="H134" s="60"/>
      <c r="I134" s="81" t="s">
        <v>32</v>
      </c>
      <c r="J134" s="243" t="s">
        <v>291</v>
      </c>
      <c r="K134" s="304"/>
      <c r="L134" s="248"/>
      <c r="M134" s="248"/>
      <c r="N134" s="276" t="s">
        <v>570</v>
      </c>
      <c r="O134" s="28"/>
      <c r="P134" s="28"/>
      <c r="Q134" s="243"/>
      <c r="X134" s="132"/>
      <c r="Z134" s="115"/>
      <c r="AA134" s="115"/>
    </row>
    <row r="135" spans="1:27" ht="32" customHeight="1" x14ac:dyDescent="0.2">
      <c r="A135" s="52" t="s">
        <v>49</v>
      </c>
      <c r="B135" s="56" t="s">
        <v>571</v>
      </c>
      <c r="C135" s="364" t="s">
        <v>572</v>
      </c>
      <c r="D135" s="364" t="s">
        <v>573</v>
      </c>
      <c r="E135" s="59"/>
      <c r="F135" s="55" t="s">
        <v>178</v>
      </c>
      <c r="G135" s="52" t="s">
        <v>179</v>
      </c>
      <c r="H135" s="60"/>
      <c r="I135" s="81" t="s">
        <v>32</v>
      </c>
      <c r="J135" s="243"/>
      <c r="K135" s="325" t="s">
        <v>53</v>
      </c>
      <c r="L135" s="306" t="s">
        <v>54</v>
      </c>
      <c r="M135" s="306" t="s">
        <v>55</v>
      </c>
      <c r="N135" s="276" t="s">
        <v>574</v>
      </c>
      <c r="O135" s="28"/>
      <c r="P135" s="28"/>
      <c r="Q135" s="243"/>
      <c r="X135" s="132"/>
      <c r="Z135" s="115"/>
      <c r="AA135" s="115"/>
    </row>
    <row r="136" spans="1:27" ht="16" customHeight="1" x14ac:dyDescent="0.2">
      <c r="A136" s="56" t="s">
        <v>563</v>
      </c>
      <c r="B136" s="56" t="s">
        <v>575</v>
      </c>
      <c r="C136" s="380" t="s">
        <v>576</v>
      </c>
      <c r="D136" s="364" t="s">
        <v>577</v>
      </c>
      <c r="E136" s="59"/>
      <c r="F136" s="51"/>
      <c r="G136" s="27"/>
      <c r="H136" s="60"/>
      <c r="I136" s="81" t="s">
        <v>32</v>
      </c>
      <c r="J136" s="243" t="s">
        <v>291</v>
      </c>
      <c r="K136" s="304"/>
      <c r="L136" s="248"/>
      <c r="M136" s="248"/>
      <c r="N136" s="305" t="s">
        <v>426</v>
      </c>
      <c r="O136" s="28"/>
      <c r="P136" s="28"/>
      <c r="Q136" s="243"/>
      <c r="X136" s="132"/>
      <c r="Z136" s="115"/>
      <c r="AA136" s="115"/>
    </row>
    <row r="137" spans="1:27" ht="48" customHeight="1" x14ac:dyDescent="0.2">
      <c r="A137" s="55" t="s">
        <v>442</v>
      </c>
      <c r="B137" s="56" t="s">
        <v>578</v>
      </c>
      <c r="C137" s="364" t="s">
        <v>579</v>
      </c>
      <c r="D137" s="364" t="s">
        <v>580</v>
      </c>
      <c r="E137" s="59"/>
      <c r="F137" s="51"/>
      <c r="G137" s="27"/>
      <c r="H137" s="60"/>
      <c r="I137" s="81" t="s">
        <v>32</v>
      </c>
      <c r="J137" s="243" t="s">
        <v>291</v>
      </c>
      <c r="K137" s="304"/>
      <c r="L137" s="248"/>
      <c r="M137" s="248"/>
      <c r="N137" s="276" t="s">
        <v>581</v>
      </c>
      <c r="O137" s="28"/>
      <c r="P137" s="28"/>
      <c r="Q137" s="243"/>
      <c r="X137" s="132"/>
      <c r="Z137" s="115"/>
      <c r="AA137" s="115"/>
    </row>
    <row r="138" spans="1:27" ht="32" customHeight="1" x14ac:dyDescent="0.2">
      <c r="A138" s="52" t="s">
        <v>49</v>
      </c>
      <c r="B138" s="56" t="s">
        <v>582</v>
      </c>
      <c r="C138" s="364" t="s">
        <v>583</v>
      </c>
      <c r="D138" s="364" t="s">
        <v>584</v>
      </c>
      <c r="E138" s="59"/>
      <c r="F138" s="55" t="s">
        <v>178</v>
      </c>
      <c r="G138" s="52" t="s">
        <v>179</v>
      </c>
      <c r="H138" s="60"/>
      <c r="I138" s="81" t="s">
        <v>32</v>
      </c>
      <c r="J138" s="243"/>
      <c r="K138" s="325" t="s">
        <v>53</v>
      </c>
      <c r="L138" s="306" t="s">
        <v>54</v>
      </c>
      <c r="M138" s="306" t="s">
        <v>55</v>
      </c>
      <c r="N138" s="276" t="s">
        <v>585</v>
      </c>
      <c r="O138" s="28"/>
      <c r="P138" s="28"/>
      <c r="Q138" s="243"/>
      <c r="X138" s="132"/>
      <c r="Z138" s="115"/>
      <c r="AA138" s="115"/>
    </row>
    <row r="139" spans="1:27" ht="16" customHeight="1" x14ac:dyDescent="0.2">
      <c r="A139" s="56" t="s">
        <v>563</v>
      </c>
      <c r="B139" s="56" t="s">
        <v>586</v>
      </c>
      <c r="C139" s="380" t="s">
        <v>587</v>
      </c>
      <c r="D139" s="364" t="s">
        <v>588</v>
      </c>
      <c r="E139" s="59"/>
      <c r="F139" s="51"/>
      <c r="G139" s="27"/>
      <c r="H139" s="60"/>
      <c r="I139" s="81" t="s">
        <v>32</v>
      </c>
      <c r="J139" s="243" t="s">
        <v>291</v>
      </c>
      <c r="K139" s="304"/>
      <c r="L139" s="248"/>
      <c r="M139" s="248"/>
      <c r="N139" s="305" t="s">
        <v>426</v>
      </c>
      <c r="O139" s="28"/>
      <c r="P139" s="28"/>
      <c r="Q139" s="243"/>
      <c r="X139" s="132"/>
      <c r="Z139" s="115"/>
      <c r="AA139" s="115"/>
    </row>
    <row r="140" spans="1:27" ht="48" customHeight="1" x14ac:dyDescent="0.2">
      <c r="A140" s="55" t="s">
        <v>442</v>
      </c>
      <c r="B140" s="56" t="s">
        <v>589</v>
      </c>
      <c r="C140" s="364" t="s">
        <v>590</v>
      </c>
      <c r="D140" s="364" t="s">
        <v>591</v>
      </c>
      <c r="E140" s="59"/>
      <c r="F140" s="51"/>
      <c r="G140" s="27"/>
      <c r="H140" s="60"/>
      <c r="I140" s="81" t="s">
        <v>32</v>
      </c>
      <c r="J140" s="243" t="s">
        <v>291</v>
      </c>
      <c r="K140" s="304"/>
      <c r="L140" s="248"/>
      <c r="M140" s="248"/>
      <c r="N140" s="276" t="s">
        <v>592</v>
      </c>
      <c r="O140" s="28"/>
      <c r="P140" s="28"/>
      <c r="Q140" s="243"/>
      <c r="X140" s="132"/>
      <c r="Z140" s="115"/>
      <c r="AA140" s="115"/>
    </row>
    <row r="141" spans="1:27" ht="32" customHeight="1" x14ac:dyDescent="0.2">
      <c r="A141" s="52" t="s">
        <v>49</v>
      </c>
      <c r="B141" s="56" t="s">
        <v>593</v>
      </c>
      <c r="C141" s="364" t="s">
        <v>594</v>
      </c>
      <c r="D141" s="364" t="s">
        <v>595</v>
      </c>
      <c r="E141" s="59"/>
      <c r="F141" s="55" t="s">
        <v>178</v>
      </c>
      <c r="G141" s="52" t="s">
        <v>179</v>
      </c>
      <c r="H141" s="60"/>
      <c r="I141" s="81" t="s">
        <v>32</v>
      </c>
      <c r="J141" s="243"/>
      <c r="K141" s="325" t="s">
        <v>53</v>
      </c>
      <c r="L141" s="306" t="s">
        <v>54</v>
      </c>
      <c r="M141" s="306" t="s">
        <v>55</v>
      </c>
      <c r="N141" s="276" t="s">
        <v>596</v>
      </c>
      <c r="O141" s="28"/>
      <c r="P141" s="28"/>
      <c r="Q141" s="243"/>
      <c r="X141" s="132"/>
      <c r="Z141" s="115"/>
      <c r="AA141" s="115"/>
    </row>
    <row r="142" spans="1:27" ht="16" customHeight="1" x14ac:dyDescent="0.2">
      <c r="A142" s="56" t="s">
        <v>563</v>
      </c>
      <c r="B142" s="56" t="s">
        <v>597</v>
      </c>
      <c r="C142" s="380" t="s">
        <v>598</v>
      </c>
      <c r="D142" s="364" t="s">
        <v>599</v>
      </c>
      <c r="E142" s="59"/>
      <c r="F142" s="51"/>
      <c r="G142" s="27"/>
      <c r="H142" s="60"/>
      <c r="I142" s="81" t="s">
        <v>32</v>
      </c>
      <c r="J142" s="243" t="s">
        <v>291</v>
      </c>
      <c r="K142" s="304"/>
      <c r="L142" s="248"/>
      <c r="M142" s="248"/>
      <c r="N142" s="305" t="s">
        <v>426</v>
      </c>
      <c r="O142" s="28"/>
      <c r="P142" s="28"/>
      <c r="Q142" s="243"/>
      <c r="X142" s="132"/>
      <c r="Z142" s="115"/>
      <c r="AA142" s="115"/>
    </row>
    <row r="143" spans="1:27" ht="48" customHeight="1" x14ac:dyDescent="0.2">
      <c r="A143" s="55" t="s">
        <v>442</v>
      </c>
      <c r="B143" s="56" t="s">
        <v>600</v>
      </c>
      <c r="C143" s="364" t="s">
        <v>601</v>
      </c>
      <c r="D143" s="364" t="s">
        <v>602</v>
      </c>
      <c r="E143" s="59"/>
      <c r="F143" s="51"/>
      <c r="G143" s="27"/>
      <c r="H143" s="60"/>
      <c r="I143" s="81" t="s">
        <v>32</v>
      </c>
      <c r="J143" s="243" t="s">
        <v>291</v>
      </c>
      <c r="K143" s="304"/>
      <c r="L143" s="248"/>
      <c r="M143" s="248"/>
      <c r="N143" s="276" t="s">
        <v>603</v>
      </c>
      <c r="O143" s="28"/>
      <c r="P143" s="28"/>
      <c r="Q143" s="243"/>
      <c r="X143" s="132"/>
      <c r="Z143" s="115"/>
      <c r="AA143" s="115"/>
    </row>
    <row r="144" spans="1:27" ht="32" customHeight="1" x14ac:dyDescent="0.2">
      <c r="A144" s="52" t="s">
        <v>49</v>
      </c>
      <c r="B144" s="56" t="s">
        <v>604</v>
      </c>
      <c r="C144" s="364" t="s">
        <v>605</v>
      </c>
      <c r="D144" s="364" t="s">
        <v>606</v>
      </c>
      <c r="E144" s="59"/>
      <c r="F144" s="55" t="s">
        <v>178</v>
      </c>
      <c r="G144" s="52" t="s">
        <v>179</v>
      </c>
      <c r="H144" s="60"/>
      <c r="I144" s="81" t="s">
        <v>32</v>
      </c>
      <c r="J144" s="243"/>
      <c r="K144" s="325" t="s">
        <v>53</v>
      </c>
      <c r="L144" s="306" t="s">
        <v>54</v>
      </c>
      <c r="M144" s="306" t="s">
        <v>55</v>
      </c>
      <c r="N144" s="276" t="s">
        <v>607</v>
      </c>
      <c r="O144" s="28"/>
      <c r="P144" s="28"/>
      <c r="Q144" s="243"/>
      <c r="X144" s="132"/>
      <c r="Z144" s="115"/>
      <c r="AA144" s="115"/>
    </row>
    <row r="145" spans="1:27" ht="16" customHeight="1" x14ac:dyDescent="0.2">
      <c r="A145" s="56" t="s">
        <v>563</v>
      </c>
      <c r="B145" s="56" t="s">
        <v>608</v>
      </c>
      <c r="C145" s="380" t="s">
        <v>609</v>
      </c>
      <c r="D145" s="364" t="s">
        <v>610</v>
      </c>
      <c r="E145" s="59"/>
      <c r="F145" s="51"/>
      <c r="G145" s="27"/>
      <c r="H145" s="60"/>
      <c r="I145" s="81" t="s">
        <v>32</v>
      </c>
      <c r="J145" s="243" t="s">
        <v>291</v>
      </c>
      <c r="K145" s="304"/>
      <c r="L145" s="248"/>
      <c r="M145" s="248"/>
      <c r="N145" s="305" t="s">
        <v>426</v>
      </c>
      <c r="O145" s="28"/>
      <c r="P145" s="28"/>
      <c r="Q145" s="243"/>
      <c r="X145" s="132"/>
      <c r="Z145" s="115"/>
      <c r="AA145" s="115"/>
    </row>
    <row r="146" spans="1:27" ht="48" customHeight="1" x14ac:dyDescent="0.2">
      <c r="A146" s="55" t="s">
        <v>442</v>
      </c>
      <c r="B146" s="56" t="s">
        <v>611</v>
      </c>
      <c r="C146" s="364" t="s">
        <v>612</v>
      </c>
      <c r="D146" s="364" t="s">
        <v>613</v>
      </c>
      <c r="E146" s="59"/>
      <c r="F146" s="51"/>
      <c r="G146" s="27"/>
      <c r="H146" s="60"/>
      <c r="I146" s="81" t="s">
        <v>32</v>
      </c>
      <c r="J146" s="243" t="s">
        <v>291</v>
      </c>
      <c r="K146" s="304"/>
      <c r="L146" s="248"/>
      <c r="M146" s="248"/>
      <c r="N146" s="276" t="s">
        <v>614</v>
      </c>
      <c r="O146" s="28"/>
      <c r="P146" s="28"/>
      <c r="Q146" s="243"/>
      <c r="X146" s="132"/>
      <c r="Z146" s="115"/>
      <c r="AA146" s="115"/>
    </row>
    <row r="147" spans="1:27" ht="32" customHeight="1" x14ac:dyDescent="0.2">
      <c r="A147" s="52" t="s">
        <v>49</v>
      </c>
      <c r="B147" s="56" t="s">
        <v>615</v>
      </c>
      <c r="C147" s="364" t="s">
        <v>616</v>
      </c>
      <c r="D147" s="364" t="s">
        <v>617</v>
      </c>
      <c r="E147" s="59"/>
      <c r="F147" s="55" t="s">
        <v>178</v>
      </c>
      <c r="G147" s="52" t="s">
        <v>179</v>
      </c>
      <c r="H147" s="60"/>
      <c r="I147" s="81" t="s">
        <v>32</v>
      </c>
      <c r="J147" s="243"/>
      <c r="K147" s="325" t="s">
        <v>53</v>
      </c>
      <c r="L147" s="306" t="s">
        <v>54</v>
      </c>
      <c r="M147" s="306" t="s">
        <v>55</v>
      </c>
      <c r="N147" s="276" t="s">
        <v>618</v>
      </c>
      <c r="O147" s="28"/>
      <c r="P147" s="28"/>
      <c r="Q147" s="243"/>
      <c r="X147" s="132"/>
      <c r="Z147" s="115"/>
      <c r="AA147" s="115"/>
    </row>
    <row r="148" spans="1:27" x14ac:dyDescent="0.2">
      <c r="A148" s="52" t="s">
        <v>189</v>
      </c>
      <c r="B148" s="56"/>
      <c r="C148" s="364"/>
      <c r="D148" s="364"/>
      <c r="E148" s="59"/>
      <c r="F148" s="55"/>
      <c r="G148" s="52"/>
      <c r="H148" s="60"/>
      <c r="I148" s="81"/>
      <c r="J148" s="243"/>
      <c r="K148" s="276"/>
      <c r="L148" s="257"/>
      <c r="M148" s="257"/>
      <c r="N148" s="276"/>
      <c r="O148" s="28"/>
      <c r="P148" s="28"/>
      <c r="Q148" s="243"/>
      <c r="X148" s="132"/>
      <c r="Z148" s="115"/>
      <c r="AA148" s="115"/>
    </row>
    <row r="149" spans="1:27" ht="48" customHeight="1" x14ac:dyDescent="0.2">
      <c r="A149" s="55" t="s">
        <v>316</v>
      </c>
      <c r="B149" s="55" t="s">
        <v>619</v>
      </c>
      <c r="C149" s="364" t="s">
        <v>620</v>
      </c>
      <c r="D149" s="364" t="s">
        <v>621</v>
      </c>
      <c r="E149" s="59"/>
      <c r="H149" s="60"/>
      <c r="I149" s="81" t="s">
        <v>32</v>
      </c>
      <c r="J149" s="243"/>
      <c r="K149" s="277"/>
      <c r="L149" s="243"/>
      <c r="M149" s="243"/>
      <c r="N149" s="277"/>
      <c r="O149" s="243"/>
      <c r="P149" s="243"/>
      <c r="Q149" s="243"/>
      <c r="V149" s="28" t="s">
        <v>48</v>
      </c>
      <c r="X149" s="132">
        <v>8.9158916473388672</v>
      </c>
      <c r="Y149" s="71">
        <f>'Additional information'!$C$15</f>
        <v>0.91</v>
      </c>
      <c r="Z149" s="115">
        <f>IF(X149&lt;&gt;"",X149*Y149,"")</f>
        <v>8.1134613990783695</v>
      </c>
      <c r="AA149" s="115">
        <f>IF(AND(X149&lt;&gt;"",V149="yes"),X149*Y149,"")</f>
        <v>8.1134613990783695</v>
      </c>
    </row>
    <row r="150" spans="1:27" ht="32" customHeight="1" x14ac:dyDescent="0.2">
      <c r="A150" s="51" t="s">
        <v>622</v>
      </c>
      <c r="B150" s="51" t="s">
        <v>623</v>
      </c>
      <c r="C150" s="364" t="s">
        <v>624</v>
      </c>
      <c r="D150" s="364" t="s">
        <v>625</v>
      </c>
      <c r="E150" s="60"/>
      <c r="H150" s="60"/>
      <c r="I150" s="243" t="s">
        <v>32</v>
      </c>
      <c r="J150" s="243"/>
      <c r="K150" s="26"/>
      <c r="L150" s="243"/>
      <c r="M150" s="243"/>
      <c r="N150" s="26" t="s">
        <v>626</v>
      </c>
      <c r="O150" s="243"/>
      <c r="P150" s="243"/>
      <c r="Q150" s="243"/>
      <c r="V150" s="28" t="s">
        <v>48</v>
      </c>
      <c r="X150" s="132">
        <v>15.95429515838623</v>
      </c>
      <c r="Y150" s="114">
        <f>'Additional information'!$C$14</f>
        <v>0.91</v>
      </c>
      <c r="Z150" s="115">
        <f>IF(X150&lt;&gt;"",X150*Y150,"")</f>
        <v>14.51840859413147</v>
      </c>
      <c r="AA150" s="115">
        <f>IF(AND(X150&lt;&gt;"",V150="yes"),X150*Y150,"")</f>
        <v>14.51840859413147</v>
      </c>
    </row>
    <row r="151" spans="1:27" ht="48" customHeight="1" x14ac:dyDescent="0.2">
      <c r="A151" s="51" t="s">
        <v>49</v>
      </c>
      <c r="B151" s="51" t="s">
        <v>627</v>
      </c>
      <c r="C151" s="364" t="s">
        <v>628</v>
      </c>
      <c r="D151" s="364" t="s">
        <v>629</v>
      </c>
      <c r="E151" s="65"/>
      <c r="F151" s="52" t="s">
        <v>178</v>
      </c>
      <c r="G151" s="52" t="s">
        <v>179</v>
      </c>
      <c r="H151" s="60"/>
      <c r="I151" s="243" t="s">
        <v>32</v>
      </c>
      <c r="J151" s="243"/>
      <c r="K151" s="325" t="s">
        <v>53</v>
      </c>
      <c r="L151" s="306" t="s">
        <v>54</v>
      </c>
      <c r="M151" s="306" t="s">
        <v>55</v>
      </c>
      <c r="N151" s="26" t="s">
        <v>630</v>
      </c>
      <c r="O151" s="243"/>
      <c r="P151" s="243"/>
      <c r="Q151" s="243"/>
      <c r="V151" s="28" t="s">
        <v>48</v>
      </c>
      <c r="X151" s="132"/>
      <c r="Y151" s="114">
        <f>'Additional information'!$C$14</f>
        <v>0.91</v>
      </c>
      <c r="Z151" s="115" t="str">
        <f>IF(X151&lt;&gt;"",X151*Y151,"")</f>
        <v/>
      </c>
      <c r="AA151" s="115" t="str">
        <f>IF(AND(X151&lt;&gt;"",V151="yes"),X151*Y151,"")</f>
        <v/>
      </c>
    </row>
    <row r="152" spans="1:27" ht="16" customHeight="1" x14ac:dyDescent="0.2">
      <c r="A152" s="51" t="s">
        <v>631</v>
      </c>
      <c r="B152" s="51" t="s">
        <v>632</v>
      </c>
      <c r="C152" s="364" t="s">
        <v>633</v>
      </c>
      <c r="D152" s="364" t="s">
        <v>634</v>
      </c>
      <c r="E152" s="65"/>
      <c r="F152" s="52"/>
      <c r="G152" s="52"/>
      <c r="H152" s="60"/>
      <c r="I152" s="81" t="s">
        <v>32</v>
      </c>
      <c r="J152" s="243"/>
      <c r="K152" s="26"/>
      <c r="L152" s="243"/>
      <c r="M152" s="243"/>
      <c r="N152" s="26"/>
      <c r="O152" s="243"/>
      <c r="P152" s="243"/>
      <c r="Q152" s="243"/>
      <c r="X152" s="132"/>
      <c r="Z152" s="115"/>
      <c r="AA152" s="115"/>
    </row>
    <row r="153" spans="1:27" ht="16" customHeight="1" x14ac:dyDescent="0.2">
      <c r="A153" s="51" t="s">
        <v>622</v>
      </c>
      <c r="B153" s="51" t="s">
        <v>635</v>
      </c>
      <c r="C153" s="364" t="s">
        <v>636</v>
      </c>
      <c r="D153" s="364" t="s">
        <v>637</v>
      </c>
      <c r="E153" s="65"/>
      <c r="F153" s="52"/>
      <c r="G153" s="52"/>
      <c r="H153" s="60"/>
      <c r="I153" s="81" t="s">
        <v>32</v>
      </c>
      <c r="J153" s="243"/>
      <c r="K153" s="26"/>
      <c r="L153" s="243"/>
      <c r="M153" s="243"/>
      <c r="N153" s="26"/>
      <c r="O153" s="243"/>
      <c r="P153" s="243"/>
      <c r="Q153" s="243"/>
      <c r="X153" s="132"/>
      <c r="Z153" s="115"/>
      <c r="AA153" s="115"/>
    </row>
    <row r="154" spans="1:27" ht="48" customHeight="1" x14ac:dyDescent="0.2">
      <c r="A154" s="51" t="s">
        <v>49</v>
      </c>
      <c r="B154" s="51" t="s">
        <v>638</v>
      </c>
      <c r="C154" s="364" t="s">
        <v>639</v>
      </c>
      <c r="D154" s="364" t="s">
        <v>640</v>
      </c>
      <c r="E154" s="65"/>
      <c r="F154" s="52" t="s">
        <v>178</v>
      </c>
      <c r="G154" s="52" t="s">
        <v>179</v>
      </c>
      <c r="H154" s="60"/>
      <c r="I154" s="243" t="s">
        <v>32</v>
      </c>
      <c r="J154" s="243"/>
      <c r="K154" s="325" t="s">
        <v>53</v>
      </c>
      <c r="L154" s="306" t="s">
        <v>54</v>
      </c>
      <c r="M154" s="306" t="s">
        <v>55</v>
      </c>
      <c r="N154" s="26" t="s">
        <v>641</v>
      </c>
      <c r="O154" s="243"/>
      <c r="P154" s="243"/>
      <c r="Q154" s="243"/>
      <c r="X154" s="132"/>
      <c r="Z154" s="115"/>
      <c r="AA154" s="115"/>
    </row>
    <row r="155" spans="1:27" s="52" customFormat="1" ht="64" customHeight="1" x14ac:dyDescent="0.2">
      <c r="A155" s="52" t="s">
        <v>642</v>
      </c>
      <c r="B155" s="52" t="s">
        <v>643</v>
      </c>
      <c r="C155" s="364" t="s">
        <v>644</v>
      </c>
      <c r="D155" s="364" t="s">
        <v>645</v>
      </c>
      <c r="E155" s="65"/>
      <c r="H155" s="67"/>
      <c r="I155" s="81" t="s">
        <v>32</v>
      </c>
      <c r="J155" s="86"/>
      <c r="K155" s="266"/>
      <c r="L155" s="86"/>
      <c r="M155" s="86"/>
      <c r="N155" s="266" t="s">
        <v>646</v>
      </c>
      <c r="O155" s="86"/>
      <c r="P155" s="86"/>
      <c r="Q155" s="86"/>
      <c r="X155" s="132"/>
      <c r="Y155" s="114"/>
      <c r="Z155" s="115"/>
      <c r="AA155" s="115"/>
    </row>
    <row r="156" spans="1:27" s="52" customFormat="1" ht="96" customHeight="1" x14ac:dyDescent="0.2">
      <c r="A156" s="52" t="s">
        <v>647</v>
      </c>
      <c r="B156" s="52" t="s">
        <v>648</v>
      </c>
      <c r="C156" s="364" t="s">
        <v>649</v>
      </c>
      <c r="D156" s="364" t="s">
        <v>650</v>
      </c>
      <c r="E156" s="65"/>
      <c r="F156" s="52" t="s">
        <v>651</v>
      </c>
      <c r="G156" s="52" t="s">
        <v>652</v>
      </c>
      <c r="H156" s="67"/>
      <c r="I156" s="86" t="s">
        <v>32</v>
      </c>
      <c r="J156" s="86"/>
      <c r="K156" s="266" t="s">
        <v>653</v>
      </c>
      <c r="L156" s="86"/>
      <c r="M156" s="86"/>
      <c r="N156" s="266" t="s">
        <v>626</v>
      </c>
      <c r="O156" s="86"/>
      <c r="P156" s="86"/>
      <c r="Q156" s="86"/>
      <c r="V156" s="52" t="s">
        <v>34</v>
      </c>
      <c r="X156" s="132">
        <v>17.928909301757809</v>
      </c>
      <c r="Y156" s="114">
        <f>'Additional information'!$C$14</f>
        <v>0.91</v>
      </c>
      <c r="Z156" s="115">
        <f>IF(X156&lt;&gt;"",X156*Y156,"")</f>
        <v>16.315307464599606</v>
      </c>
      <c r="AA156" s="115" t="str">
        <f>IF(AND(X156&lt;&gt;"",V156="yes"),X156*Y156,"")</f>
        <v/>
      </c>
    </row>
    <row r="157" spans="1:27" ht="32" customHeight="1" x14ac:dyDescent="0.2">
      <c r="A157" s="51" t="s">
        <v>155</v>
      </c>
      <c r="B157" s="51" t="s">
        <v>654</v>
      </c>
      <c r="C157" s="364" t="s">
        <v>655</v>
      </c>
      <c r="D157" s="364" t="s">
        <v>656</v>
      </c>
      <c r="E157" s="59"/>
      <c r="H157" s="60"/>
      <c r="I157" s="243" t="s">
        <v>32</v>
      </c>
      <c r="J157" s="243"/>
      <c r="K157" s="26"/>
      <c r="L157" s="243"/>
      <c r="M157" s="243"/>
      <c r="N157" s="267" t="s">
        <v>657</v>
      </c>
      <c r="O157" s="243"/>
      <c r="P157" s="243"/>
      <c r="Q157" s="243"/>
      <c r="V157" s="28" t="s">
        <v>48</v>
      </c>
      <c r="X157" s="132">
        <v>13.458864212036129</v>
      </c>
      <c r="Y157" s="114">
        <f>'Additional information'!$C$14</f>
        <v>0.91</v>
      </c>
      <c r="Z157" s="115">
        <f>IF(X157&lt;&gt;"",X157*Y157,"")</f>
        <v>12.247566432952878</v>
      </c>
      <c r="AA157" s="115">
        <f>IF(AND(X157&lt;&gt;"",V157="yes"),X157*Y157,"")</f>
        <v>12.247566432952878</v>
      </c>
    </row>
    <row r="158" spans="1:27" ht="96" customHeight="1" x14ac:dyDescent="0.2">
      <c r="A158" s="51" t="s">
        <v>658</v>
      </c>
      <c r="B158" s="51" t="s">
        <v>659</v>
      </c>
      <c r="C158" s="364" t="s">
        <v>660</v>
      </c>
      <c r="D158" s="364" t="s">
        <v>661</v>
      </c>
      <c r="E158" s="59"/>
      <c r="F158" s="28" t="s">
        <v>533</v>
      </c>
      <c r="G158" s="28" t="s">
        <v>534</v>
      </c>
      <c r="H158" s="60"/>
      <c r="I158" s="243" t="s">
        <v>32</v>
      </c>
      <c r="J158" s="243"/>
      <c r="K158" s="267" t="s">
        <v>653</v>
      </c>
      <c r="L158" s="243"/>
      <c r="M158" s="243"/>
      <c r="N158" s="267" t="s">
        <v>662</v>
      </c>
      <c r="O158" s="243"/>
      <c r="P158" s="243"/>
      <c r="Q158" s="243"/>
      <c r="V158" s="28" t="s">
        <v>48</v>
      </c>
      <c r="X158" s="132">
        <v>37.523288726806641</v>
      </c>
      <c r="Y158" s="114">
        <f>'Additional information'!$C$14</f>
        <v>0.91</v>
      </c>
      <c r="Z158" s="115">
        <f>IF(X158&lt;&gt;"",X158*Y158,"")</f>
        <v>34.146192741394046</v>
      </c>
      <c r="AA158" s="115">
        <f>IF(AND(X158&lt;&gt;"",V158="yes"),X158*Y158,"")</f>
        <v>34.146192741394046</v>
      </c>
    </row>
    <row r="159" spans="1:27" ht="64" customHeight="1" x14ac:dyDescent="0.2">
      <c r="A159" s="51" t="s">
        <v>663</v>
      </c>
      <c r="B159" s="51" t="s">
        <v>664</v>
      </c>
      <c r="C159" s="364" t="s">
        <v>665</v>
      </c>
      <c r="D159" s="364" t="s">
        <v>666</v>
      </c>
      <c r="E159" s="59"/>
      <c r="H159" s="60"/>
      <c r="I159" s="81" t="s">
        <v>32</v>
      </c>
      <c r="J159" s="243"/>
      <c r="K159" s="267"/>
      <c r="L159" s="243"/>
      <c r="M159" s="243"/>
      <c r="N159" s="308" t="s">
        <v>667</v>
      </c>
      <c r="O159" s="243"/>
      <c r="P159" s="243"/>
      <c r="Q159" s="243"/>
      <c r="X159" s="132"/>
      <c r="Z159" s="115"/>
      <c r="AA159" s="115"/>
    </row>
    <row r="160" spans="1:27" ht="32" customHeight="1" x14ac:dyDescent="0.2">
      <c r="A160" s="28" t="s">
        <v>49</v>
      </c>
      <c r="B160" s="51" t="s">
        <v>668</v>
      </c>
      <c r="C160" s="364" t="s">
        <v>669</v>
      </c>
      <c r="D160" s="364" t="s">
        <v>670</v>
      </c>
      <c r="E160" s="59"/>
      <c r="F160" s="55" t="s">
        <v>178</v>
      </c>
      <c r="G160" s="52" t="s">
        <v>179</v>
      </c>
      <c r="H160" s="60"/>
      <c r="I160" s="81" t="s">
        <v>32</v>
      </c>
      <c r="K160" s="325" t="s">
        <v>53</v>
      </c>
      <c r="L160" s="306" t="s">
        <v>54</v>
      </c>
      <c r="M160" s="306" t="s">
        <v>55</v>
      </c>
      <c r="N160" s="266" t="s">
        <v>671</v>
      </c>
      <c r="X160" s="132"/>
      <c r="Y160" s="114">
        <f>'Additional information'!$C$14</f>
        <v>0.91</v>
      </c>
      <c r="Z160" s="115" t="str">
        <f>IF(X160&lt;&gt;"",X160*Y160,"")</f>
        <v/>
      </c>
      <c r="AA160" s="115" t="str">
        <f>IF(AND(X160&lt;&gt;"",V160="yes"),X160*Y160,"")</f>
        <v/>
      </c>
    </row>
    <row r="161" spans="1:28" ht="32" customHeight="1" x14ac:dyDescent="0.2">
      <c r="A161" s="28" t="s">
        <v>672</v>
      </c>
      <c r="B161" s="28" t="s">
        <v>673</v>
      </c>
      <c r="C161" s="364" t="s">
        <v>674</v>
      </c>
      <c r="D161" s="364" t="s">
        <v>675</v>
      </c>
      <c r="E161" s="59"/>
      <c r="G161" s="53"/>
      <c r="H161" s="60"/>
      <c r="I161" s="81" t="s">
        <v>32</v>
      </c>
      <c r="N161" s="308" t="s">
        <v>676</v>
      </c>
      <c r="X161" s="132"/>
      <c r="Z161" s="115"/>
      <c r="AA161" s="115"/>
    </row>
    <row r="162" spans="1:28" ht="32" customHeight="1" x14ac:dyDescent="0.2">
      <c r="A162" s="28" t="s">
        <v>49</v>
      </c>
      <c r="B162" s="28" t="s">
        <v>677</v>
      </c>
      <c r="C162" s="364" t="s">
        <v>678</v>
      </c>
      <c r="D162" s="364" t="s">
        <v>679</v>
      </c>
      <c r="E162" s="59"/>
      <c r="F162" s="55" t="s">
        <v>178</v>
      </c>
      <c r="G162" s="52" t="s">
        <v>179</v>
      </c>
      <c r="H162" s="60"/>
      <c r="I162" s="81" t="s">
        <v>32</v>
      </c>
      <c r="K162" s="325" t="s">
        <v>53</v>
      </c>
      <c r="L162" s="306" t="s">
        <v>54</v>
      </c>
      <c r="M162" s="306" t="s">
        <v>55</v>
      </c>
      <c r="N162" s="266" t="s">
        <v>680</v>
      </c>
      <c r="X162" s="132"/>
      <c r="Z162" s="115"/>
      <c r="AA162" s="115"/>
    </row>
    <row r="163" spans="1:28" ht="32" customHeight="1" x14ac:dyDescent="0.2">
      <c r="A163" s="28" t="s">
        <v>681</v>
      </c>
      <c r="B163" s="28" t="s">
        <v>682</v>
      </c>
      <c r="C163" s="364" t="s">
        <v>683</v>
      </c>
      <c r="D163" s="364" t="s">
        <v>684</v>
      </c>
      <c r="E163" s="59"/>
      <c r="G163" s="53"/>
      <c r="H163" s="60"/>
      <c r="I163" s="81" t="s">
        <v>32</v>
      </c>
      <c r="N163" s="308" t="s">
        <v>685</v>
      </c>
      <c r="X163" s="132"/>
      <c r="Z163" s="115"/>
      <c r="AA163" s="115"/>
    </row>
    <row r="164" spans="1:28" ht="32" customHeight="1" x14ac:dyDescent="0.2">
      <c r="A164" s="28" t="s">
        <v>49</v>
      </c>
      <c r="B164" s="28" t="s">
        <v>686</v>
      </c>
      <c r="C164" s="364" t="s">
        <v>687</v>
      </c>
      <c r="D164" s="364" t="s">
        <v>688</v>
      </c>
      <c r="E164" s="59"/>
      <c r="F164" s="55" t="s">
        <v>178</v>
      </c>
      <c r="G164" s="52" t="s">
        <v>179</v>
      </c>
      <c r="H164" s="60"/>
      <c r="I164" s="81" t="s">
        <v>32</v>
      </c>
      <c r="K164" s="325" t="s">
        <v>53</v>
      </c>
      <c r="L164" s="306" t="s">
        <v>54</v>
      </c>
      <c r="M164" s="306" t="s">
        <v>55</v>
      </c>
      <c r="N164" s="266" t="s">
        <v>689</v>
      </c>
      <c r="X164" s="132"/>
      <c r="Z164" s="115"/>
      <c r="AA164" s="115"/>
    </row>
    <row r="165" spans="1:28" ht="112" customHeight="1" x14ac:dyDescent="0.2">
      <c r="A165" s="28" t="s">
        <v>690</v>
      </c>
      <c r="B165" s="210" t="s">
        <v>691</v>
      </c>
      <c r="C165" s="364" t="s">
        <v>692</v>
      </c>
      <c r="D165" s="364" t="s">
        <v>693</v>
      </c>
      <c r="E165" s="59"/>
      <c r="F165" s="55"/>
      <c r="G165" s="52"/>
      <c r="H165" s="60"/>
      <c r="I165" s="81" t="s">
        <v>32</v>
      </c>
      <c r="K165" s="272" t="s">
        <v>694</v>
      </c>
      <c r="N165" s="266"/>
      <c r="X165" s="132"/>
      <c r="Z165" s="115"/>
      <c r="AA165" s="115"/>
    </row>
    <row r="166" spans="1:28" ht="16" customHeight="1" x14ac:dyDescent="0.2">
      <c r="A166" s="52" t="s">
        <v>536</v>
      </c>
      <c r="B166" s="210" t="s">
        <v>695</v>
      </c>
      <c r="C166" s="364" t="s">
        <v>696</v>
      </c>
      <c r="D166" s="364" t="s">
        <v>697</v>
      </c>
      <c r="E166" s="59"/>
      <c r="G166" s="53"/>
      <c r="H166" s="60"/>
      <c r="I166" s="81" t="s">
        <v>32</v>
      </c>
      <c r="N166" s="266" t="s">
        <v>698</v>
      </c>
      <c r="X166" s="132"/>
      <c r="Z166" s="115"/>
      <c r="AA166" s="115"/>
    </row>
    <row r="167" spans="1:28" s="53" customFormat="1" ht="16" customHeight="1" x14ac:dyDescent="0.2">
      <c r="A167" s="55" t="s">
        <v>699</v>
      </c>
      <c r="B167" s="55" t="s">
        <v>700</v>
      </c>
      <c r="C167" s="364" t="s">
        <v>701</v>
      </c>
      <c r="D167" s="364" t="s">
        <v>702</v>
      </c>
      <c r="E167" s="54"/>
      <c r="H167" s="58"/>
      <c r="I167" s="81" t="s">
        <v>32</v>
      </c>
      <c r="J167" s="80"/>
      <c r="K167" s="279"/>
      <c r="L167" s="80"/>
      <c r="M167" s="80"/>
      <c r="N167" s="266" t="s">
        <v>698</v>
      </c>
      <c r="O167" s="80"/>
      <c r="P167" s="80"/>
      <c r="Q167" s="80"/>
      <c r="X167" s="132"/>
      <c r="Y167" s="114"/>
      <c r="Z167" s="115"/>
      <c r="AA167" s="115"/>
      <c r="AB167" s="52"/>
    </row>
    <row r="168" spans="1:28" ht="16" customHeight="1" x14ac:dyDescent="0.2">
      <c r="A168" s="52" t="s">
        <v>536</v>
      </c>
      <c r="B168" s="210" t="s">
        <v>703</v>
      </c>
      <c r="C168" s="364" t="s">
        <v>704</v>
      </c>
      <c r="D168" s="364" t="s">
        <v>705</v>
      </c>
      <c r="E168" s="59"/>
      <c r="G168" s="53"/>
      <c r="H168" s="60"/>
      <c r="I168" s="81" t="s">
        <v>32</v>
      </c>
      <c r="N168" s="266" t="s">
        <v>706</v>
      </c>
      <c r="X168" s="132"/>
      <c r="Z168" s="115"/>
      <c r="AA168" s="115"/>
    </row>
    <row r="169" spans="1:28" s="53" customFormat="1" ht="16" customHeight="1" x14ac:dyDescent="0.2">
      <c r="A169" s="55" t="s">
        <v>699</v>
      </c>
      <c r="B169" s="55" t="s">
        <v>707</v>
      </c>
      <c r="C169" s="364" t="s">
        <v>708</v>
      </c>
      <c r="D169" s="364" t="s">
        <v>709</v>
      </c>
      <c r="E169" s="54"/>
      <c r="H169" s="58"/>
      <c r="I169" s="81" t="s">
        <v>32</v>
      </c>
      <c r="J169" s="80"/>
      <c r="K169" s="279"/>
      <c r="L169" s="80"/>
      <c r="M169" s="80"/>
      <c r="N169" s="266" t="s">
        <v>706</v>
      </c>
      <c r="O169" s="80"/>
      <c r="P169" s="80"/>
      <c r="Q169" s="80"/>
      <c r="X169" s="132"/>
      <c r="Y169" s="114"/>
      <c r="Z169" s="115"/>
      <c r="AA169" s="115"/>
      <c r="AB169" s="52"/>
    </row>
    <row r="170" spans="1:28" ht="16" customHeight="1" x14ac:dyDescent="0.2">
      <c r="A170" s="52" t="s">
        <v>536</v>
      </c>
      <c r="B170" s="210" t="s">
        <v>710</v>
      </c>
      <c r="C170" s="364" t="s">
        <v>711</v>
      </c>
      <c r="D170" s="364" t="s">
        <v>712</v>
      </c>
      <c r="E170" s="59"/>
      <c r="G170" s="53"/>
      <c r="H170" s="60"/>
      <c r="I170" s="81" t="s">
        <v>32</v>
      </c>
      <c r="N170" s="266" t="s">
        <v>713</v>
      </c>
      <c r="X170" s="132"/>
      <c r="Z170" s="115"/>
      <c r="AA170" s="115"/>
    </row>
    <row r="171" spans="1:28" s="53" customFormat="1" ht="16" customHeight="1" x14ac:dyDescent="0.2">
      <c r="A171" s="55" t="s">
        <v>699</v>
      </c>
      <c r="B171" s="55" t="s">
        <v>714</v>
      </c>
      <c r="C171" s="364" t="s">
        <v>715</v>
      </c>
      <c r="D171" s="364" t="s">
        <v>716</v>
      </c>
      <c r="E171" s="54"/>
      <c r="H171" s="58"/>
      <c r="I171" s="81" t="s">
        <v>32</v>
      </c>
      <c r="J171" s="80"/>
      <c r="K171" s="279"/>
      <c r="L171" s="80"/>
      <c r="M171" s="80"/>
      <c r="N171" s="266" t="s">
        <v>713</v>
      </c>
      <c r="O171" s="80"/>
      <c r="P171" s="80"/>
      <c r="Q171" s="80"/>
      <c r="X171" s="132"/>
      <c r="Y171" s="114"/>
      <c r="Z171" s="115"/>
      <c r="AA171" s="115"/>
      <c r="AB171" s="52"/>
    </row>
    <row r="172" spans="1:28" ht="16" customHeight="1" x14ac:dyDescent="0.2">
      <c r="A172" s="52" t="s">
        <v>536</v>
      </c>
      <c r="B172" s="210" t="s">
        <v>717</v>
      </c>
      <c r="C172" s="364" t="s">
        <v>718</v>
      </c>
      <c r="D172" s="364" t="s">
        <v>719</v>
      </c>
      <c r="E172" s="59"/>
      <c r="G172" s="53"/>
      <c r="H172" s="60"/>
      <c r="I172" s="81" t="s">
        <v>32</v>
      </c>
      <c r="N172" s="266" t="s">
        <v>720</v>
      </c>
      <c r="X172" s="132"/>
      <c r="Z172" s="115"/>
      <c r="AA172" s="115"/>
    </row>
    <row r="173" spans="1:28" s="53" customFormat="1" ht="16" customHeight="1" x14ac:dyDescent="0.2">
      <c r="A173" s="55" t="s">
        <v>721</v>
      </c>
      <c r="B173" s="55" t="s">
        <v>700</v>
      </c>
      <c r="C173" s="364" t="s">
        <v>722</v>
      </c>
      <c r="D173" s="364" t="s">
        <v>723</v>
      </c>
      <c r="E173" s="54"/>
      <c r="H173" s="58"/>
      <c r="I173" s="81" t="s">
        <v>32</v>
      </c>
      <c r="J173" s="80"/>
      <c r="K173" s="279"/>
      <c r="L173" s="80"/>
      <c r="M173" s="80"/>
      <c r="N173" s="266" t="s">
        <v>720</v>
      </c>
      <c r="O173" s="80"/>
      <c r="P173" s="80"/>
      <c r="Q173" s="80"/>
      <c r="X173" s="132"/>
      <c r="Y173" s="114"/>
      <c r="Z173" s="115"/>
      <c r="AA173" s="115"/>
      <c r="AB173" s="52"/>
    </row>
    <row r="174" spans="1:28" ht="16" customHeight="1" x14ac:dyDescent="0.2">
      <c r="A174" s="52" t="s">
        <v>536</v>
      </c>
      <c r="B174" s="210" t="s">
        <v>724</v>
      </c>
      <c r="C174" s="364" t="s">
        <v>725</v>
      </c>
      <c r="D174" s="364" t="s">
        <v>726</v>
      </c>
      <c r="E174" s="59"/>
      <c r="G174" s="53"/>
      <c r="H174" s="60"/>
      <c r="I174" s="81" t="s">
        <v>32</v>
      </c>
      <c r="N174" s="266" t="s">
        <v>727</v>
      </c>
      <c r="X174" s="132"/>
      <c r="Z174" s="115"/>
      <c r="AA174" s="115"/>
    </row>
    <row r="175" spans="1:28" s="53" customFormat="1" ht="16" customHeight="1" x14ac:dyDescent="0.2">
      <c r="A175" s="55" t="s">
        <v>721</v>
      </c>
      <c r="B175" s="55" t="s">
        <v>728</v>
      </c>
      <c r="C175" s="364" t="s">
        <v>729</v>
      </c>
      <c r="D175" s="364" t="s">
        <v>730</v>
      </c>
      <c r="E175" s="54"/>
      <c r="H175" s="58"/>
      <c r="I175" s="81" t="s">
        <v>32</v>
      </c>
      <c r="J175" s="80"/>
      <c r="K175" s="279"/>
      <c r="L175" s="80"/>
      <c r="M175" s="80"/>
      <c r="N175" s="266" t="s">
        <v>727</v>
      </c>
      <c r="O175" s="80"/>
      <c r="P175" s="80"/>
      <c r="Q175" s="80"/>
      <c r="X175" s="132"/>
      <c r="Y175" s="114"/>
      <c r="Z175" s="115"/>
      <c r="AA175" s="115"/>
      <c r="AB175" s="52"/>
    </row>
    <row r="176" spans="1:28" ht="16" customHeight="1" x14ac:dyDescent="0.2">
      <c r="A176" s="52" t="s">
        <v>536</v>
      </c>
      <c r="B176" s="210" t="s">
        <v>731</v>
      </c>
      <c r="C176" s="364" t="s">
        <v>732</v>
      </c>
      <c r="D176" s="364" t="s">
        <v>733</v>
      </c>
      <c r="E176" s="59"/>
      <c r="G176" s="53"/>
      <c r="H176" s="60"/>
      <c r="I176" s="81" t="s">
        <v>32</v>
      </c>
      <c r="N176" s="266" t="s">
        <v>727</v>
      </c>
      <c r="X176" s="132"/>
      <c r="Z176" s="115"/>
      <c r="AA176" s="115"/>
    </row>
    <row r="177" spans="1:28" s="53" customFormat="1" ht="16" customHeight="1" x14ac:dyDescent="0.2">
      <c r="A177" s="55" t="s">
        <v>721</v>
      </c>
      <c r="B177" s="55" t="s">
        <v>728</v>
      </c>
      <c r="C177" s="364" t="s">
        <v>734</v>
      </c>
      <c r="D177" s="364" t="s">
        <v>735</v>
      </c>
      <c r="E177" s="54"/>
      <c r="H177" s="58"/>
      <c r="I177" s="81" t="s">
        <v>32</v>
      </c>
      <c r="J177" s="80"/>
      <c r="K177" s="279"/>
      <c r="L177" s="80"/>
      <c r="M177" s="80"/>
      <c r="N177" s="266" t="s">
        <v>727</v>
      </c>
      <c r="O177" s="80"/>
      <c r="P177" s="80"/>
      <c r="Q177" s="80"/>
      <c r="X177" s="132"/>
      <c r="Y177" s="114"/>
      <c r="Z177" s="115"/>
      <c r="AA177" s="115"/>
      <c r="AB177" s="52"/>
    </row>
    <row r="178" spans="1:28" s="53" customFormat="1" ht="32" customHeight="1" x14ac:dyDescent="0.2">
      <c r="A178" s="55" t="s">
        <v>536</v>
      </c>
      <c r="B178" s="210" t="s">
        <v>736</v>
      </c>
      <c r="C178" s="364" t="s">
        <v>737</v>
      </c>
      <c r="D178" s="364" t="s">
        <v>738</v>
      </c>
      <c r="E178" s="54"/>
      <c r="H178" s="58"/>
      <c r="I178" s="81" t="s">
        <v>32</v>
      </c>
      <c r="J178" s="80"/>
      <c r="K178" s="279"/>
      <c r="L178" s="80"/>
      <c r="M178" s="80"/>
      <c r="N178" s="266" t="s">
        <v>739</v>
      </c>
      <c r="O178" s="80"/>
      <c r="P178" s="80"/>
      <c r="Q178" s="80"/>
      <c r="V178" s="53" t="s">
        <v>34</v>
      </c>
      <c r="X178" s="132">
        <v>17</v>
      </c>
      <c r="Y178" s="114">
        <f>'Additional information'!$C$14</f>
        <v>0.91</v>
      </c>
      <c r="Z178" s="115">
        <f>IF(X178&lt;&gt;"",X178*Y178,"")</f>
        <v>15.47</v>
      </c>
      <c r="AA178" s="115" t="str">
        <f>IF(AND(X178&lt;&gt;"",V178="yes"),X178*Y178,"")</f>
        <v/>
      </c>
      <c r="AB178" s="52"/>
    </row>
    <row r="179" spans="1:28" ht="32" customHeight="1" x14ac:dyDescent="0.2">
      <c r="A179" s="28" t="s">
        <v>740</v>
      </c>
      <c r="B179" s="28" t="s">
        <v>741</v>
      </c>
      <c r="C179" s="364" t="s">
        <v>742</v>
      </c>
      <c r="D179" s="364" t="s">
        <v>743</v>
      </c>
      <c r="E179" s="59"/>
      <c r="F179" s="28" t="s">
        <v>533</v>
      </c>
      <c r="G179" s="28" t="s">
        <v>534</v>
      </c>
      <c r="H179" s="60"/>
      <c r="I179" s="81" t="s">
        <v>32</v>
      </c>
      <c r="K179" s="272" t="s">
        <v>744</v>
      </c>
      <c r="L179" s="243" t="s">
        <v>745</v>
      </c>
      <c r="M179" s="243" t="s">
        <v>746</v>
      </c>
      <c r="N179" s="266"/>
      <c r="X179" s="132"/>
      <c r="Y179" s="114">
        <f>'Additional information'!$C$14</f>
        <v>0.91</v>
      </c>
      <c r="Z179" s="115" t="str">
        <f>IF(X179&lt;&gt;"",X179*Y179,"")</f>
        <v/>
      </c>
      <c r="AA179" s="115" t="str">
        <f>IF(AND(X179&lt;&gt;"",V179="yes"),X179*Y179,"")</f>
        <v/>
      </c>
    </row>
    <row r="180" spans="1:28" ht="32" customHeight="1" x14ac:dyDescent="0.2">
      <c r="A180" s="28" t="s">
        <v>49</v>
      </c>
      <c r="B180" s="28" t="s">
        <v>747</v>
      </c>
      <c r="C180" s="364" t="s">
        <v>748</v>
      </c>
      <c r="D180" s="364" t="s">
        <v>749</v>
      </c>
      <c r="E180" s="65"/>
      <c r="F180" s="55" t="s">
        <v>178</v>
      </c>
      <c r="G180" s="52" t="s">
        <v>179</v>
      </c>
      <c r="H180" s="69"/>
      <c r="I180" s="81" t="s">
        <v>32</v>
      </c>
      <c r="K180" s="325" t="s">
        <v>53</v>
      </c>
      <c r="L180" s="306" t="s">
        <v>54</v>
      </c>
      <c r="M180" s="306" t="s">
        <v>55</v>
      </c>
      <c r="N180" s="266" t="s">
        <v>750</v>
      </c>
      <c r="X180" s="132"/>
      <c r="Z180" s="115"/>
      <c r="AA180" s="115"/>
    </row>
    <row r="181" spans="1:28" ht="16" customHeight="1" thickBot="1" x14ac:dyDescent="0.25">
      <c r="A181" s="68" t="s">
        <v>189</v>
      </c>
      <c r="B181" s="68"/>
      <c r="C181" s="364"/>
      <c r="D181" s="374"/>
      <c r="E181" s="244"/>
      <c r="F181" s="154"/>
      <c r="G181" s="154"/>
      <c r="H181" s="73"/>
      <c r="I181" s="247"/>
      <c r="J181" s="247"/>
      <c r="K181" s="273"/>
      <c r="L181" s="247"/>
      <c r="M181" s="247"/>
      <c r="N181" s="273"/>
      <c r="O181" s="247"/>
      <c r="P181" s="247"/>
      <c r="Q181" s="247"/>
      <c r="X181" s="132"/>
      <c r="Z181" s="115" t="str">
        <f>IF(X181&lt;&gt;"",X181*Y181,"")</f>
        <v/>
      </c>
      <c r="AA181" s="115" t="str">
        <f>IF(AND(X181&lt;&gt;"",V181="yes"),X181*Y181,"")</f>
        <v/>
      </c>
    </row>
    <row r="182" spans="1:28" s="49" customFormat="1" ht="161" customHeight="1" thickTop="1" x14ac:dyDescent="0.2">
      <c r="A182" s="282" t="s">
        <v>71</v>
      </c>
      <c r="B182" s="282" t="s">
        <v>751</v>
      </c>
      <c r="C182" s="367" t="s">
        <v>752</v>
      </c>
      <c r="D182" s="367" t="s">
        <v>753</v>
      </c>
      <c r="E182" s="47"/>
      <c r="F182" s="46"/>
      <c r="G182" s="46"/>
      <c r="H182" s="48"/>
      <c r="I182" s="82" t="s">
        <v>62</v>
      </c>
      <c r="J182" s="82"/>
      <c r="K182" s="275"/>
      <c r="L182" s="82"/>
      <c r="M182" s="82"/>
      <c r="N182" s="275" t="s">
        <v>754</v>
      </c>
      <c r="O182" s="82"/>
      <c r="P182" s="82"/>
      <c r="Q182" s="82"/>
      <c r="V182" s="28" t="s">
        <v>48</v>
      </c>
      <c r="X182" s="132"/>
      <c r="Y182" s="114"/>
      <c r="Z182" s="115" t="str">
        <f>IF(X182&lt;&gt;"",X182*Y182,"")</f>
        <v/>
      </c>
      <c r="AA182" s="115" t="str">
        <f>IF(AND(X182&lt;&gt;"",V182="yes"),X182*Y182,"")</f>
        <v/>
      </c>
      <c r="AB182" s="50"/>
    </row>
    <row r="183" spans="1:28" s="332" customFormat="1" ht="16" customHeight="1" x14ac:dyDescent="0.2">
      <c r="A183" s="331" t="s">
        <v>155</v>
      </c>
      <c r="B183" s="331" t="s">
        <v>755</v>
      </c>
      <c r="C183" s="376" t="s">
        <v>756</v>
      </c>
      <c r="D183" s="385" t="s">
        <v>757</v>
      </c>
      <c r="E183" s="334"/>
      <c r="I183" s="335" t="s">
        <v>32</v>
      </c>
      <c r="J183" s="336"/>
      <c r="K183" s="335"/>
      <c r="L183" s="335"/>
      <c r="M183" s="335"/>
      <c r="N183" s="337"/>
      <c r="O183" s="335"/>
      <c r="P183" s="335"/>
      <c r="U183" s="332" t="s">
        <v>48</v>
      </c>
      <c r="W183" s="149">
        <v>13.55</v>
      </c>
      <c r="X183" s="150">
        <f>'[1]Additional information'!$D$18</f>
        <v>0.91</v>
      </c>
      <c r="Y183" s="333">
        <f>IF(W183&lt;&gt;"",W183*X183,"")</f>
        <v>12.330500000000001</v>
      </c>
      <c r="Z183" s="333"/>
      <c r="AA183" s="338"/>
    </row>
    <row r="184" spans="1:28" ht="16" customHeight="1" x14ac:dyDescent="0.2">
      <c r="A184" s="51" t="s">
        <v>406</v>
      </c>
      <c r="B184" s="331" t="s">
        <v>758</v>
      </c>
      <c r="C184" s="386" t="s">
        <v>759</v>
      </c>
      <c r="D184" s="387" t="s">
        <v>760</v>
      </c>
      <c r="E184" s="59"/>
      <c r="H184" s="60"/>
      <c r="I184" s="81" t="s">
        <v>32</v>
      </c>
      <c r="J184" s="243" t="s">
        <v>124</v>
      </c>
      <c r="K184" s="81"/>
      <c r="L184" s="81"/>
      <c r="M184" s="335" t="s">
        <v>761</v>
      </c>
      <c r="N184" s="335" t="s">
        <v>762</v>
      </c>
      <c r="O184" s="81"/>
      <c r="P184" s="81"/>
      <c r="Q184" s="81"/>
      <c r="V184" s="28" t="s">
        <v>48</v>
      </c>
      <c r="X184" s="132">
        <v>13.55</v>
      </c>
      <c r="Y184" s="114">
        <f>'Additional information'!$C$14</f>
        <v>0.91</v>
      </c>
      <c r="Z184" s="115">
        <f>IF(X184&lt;&gt;"",X184*Y184,"")</f>
        <v>12.330500000000001</v>
      </c>
      <c r="AA184" s="115"/>
    </row>
    <row r="185" spans="1:28" x14ac:dyDescent="0.2">
      <c r="A185" s="51" t="s">
        <v>125</v>
      </c>
      <c r="B185" s="331" t="s">
        <v>763</v>
      </c>
      <c r="C185" s="373"/>
      <c r="D185" s="374"/>
      <c r="E185" s="59"/>
      <c r="H185" s="60"/>
      <c r="I185" s="81"/>
      <c r="J185" s="243"/>
      <c r="K185" s="267"/>
      <c r="L185" s="81"/>
      <c r="M185" s="81"/>
      <c r="N185" s="267"/>
      <c r="O185" s="81"/>
      <c r="P185" s="81"/>
      <c r="Q185" s="81" t="s">
        <v>764</v>
      </c>
      <c r="X185" s="132"/>
      <c r="Z185" s="115"/>
      <c r="AA185" s="115"/>
    </row>
    <row r="186" spans="1:28" x14ac:dyDescent="0.2">
      <c r="A186" s="51" t="s">
        <v>125</v>
      </c>
      <c r="B186" s="331" t="s">
        <v>765</v>
      </c>
      <c r="C186" s="373"/>
      <c r="D186" s="374"/>
      <c r="E186" s="59"/>
      <c r="H186" s="60"/>
      <c r="I186" s="81"/>
      <c r="J186" s="243"/>
      <c r="K186" s="267"/>
      <c r="L186" s="81"/>
      <c r="M186" s="81"/>
      <c r="N186" s="267"/>
      <c r="O186" s="81"/>
      <c r="P186" s="81"/>
      <c r="Q186" s="81" t="s">
        <v>764</v>
      </c>
      <c r="X186" s="132"/>
      <c r="Z186" s="115"/>
      <c r="AA186" s="115"/>
    </row>
    <row r="187" spans="1:28" ht="16" customHeight="1" x14ac:dyDescent="0.2">
      <c r="A187" s="51" t="s">
        <v>155</v>
      </c>
      <c r="B187" s="51" t="s">
        <v>766</v>
      </c>
      <c r="C187" s="386" t="s">
        <v>767</v>
      </c>
      <c r="D187" s="387" t="s">
        <v>768</v>
      </c>
      <c r="E187" s="59"/>
      <c r="F187" s="66"/>
      <c r="G187" s="66"/>
      <c r="H187" s="69"/>
      <c r="I187" s="243" t="s">
        <v>32</v>
      </c>
      <c r="J187" s="243"/>
      <c r="K187" s="26"/>
      <c r="L187" s="243"/>
      <c r="M187" s="243"/>
      <c r="N187" s="267" t="s">
        <v>769</v>
      </c>
      <c r="O187" s="243"/>
      <c r="P187" s="243"/>
      <c r="Q187" s="243"/>
      <c r="V187" s="28" t="s">
        <v>48</v>
      </c>
      <c r="X187" s="132">
        <v>12.68148708343506</v>
      </c>
      <c r="Y187" s="114">
        <f>'Additional information'!$C$14</f>
        <v>0.91</v>
      </c>
      <c r="Z187" s="115">
        <f>IF(X187&lt;&gt;"",X187*Y187,"")</f>
        <v>11.540153245925906</v>
      </c>
      <c r="AA187" s="115">
        <f>IF(AND(X187&lt;&gt;"",V187="yes"),X187*Y187,"")</f>
        <v>11.540153245925906</v>
      </c>
    </row>
    <row r="188" spans="1:28" ht="96" customHeight="1" x14ac:dyDescent="0.2">
      <c r="A188" s="51" t="s">
        <v>770</v>
      </c>
      <c r="B188" s="51" t="s">
        <v>771</v>
      </c>
      <c r="C188" s="386" t="s">
        <v>772</v>
      </c>
      <c r="D188" s="387" t="s">
        <v>773</v>
      </c>
      <c r="E188" s="65"/>
      <c r="F188" s="28" t="s">
        <v>533</v>
      </c>
      <c r="G188" s="28" t="s">
        <v>534</v>
      </c>
      <c r="H188" s="60"/>
      <c r="I188" s="243" t="s">
        <v>32</v>
      </c>
      <c r="J188" s="243"/>
      <c r="K188" s="267" t="s">
        <v>774</v>
      </c>
      <c r="L188" s="243"/>
      <c r="M188" s="243"/>
      <c r="N188" s="267" t="s">
        <v>775</v>
      </c>
      <c r="O188" s="243"/>
      <c r="P188" s="243"/>
      <c r="Q188" s="243"/>
      <c r="V188" s="28" t="s">
        <v>48</v>
      </c>
      <c r="X188" s="132">
        <v>22.61360931396484</v>
      </c>
      <c r="Y188" s="114">
        <f>'Additional information'!$C$14</f>
        <v>0.91</v>
      </c>
      <c r="Z188" s="115">
        <f>IF(X188&lt;&gt;"",X188*Y188,"")</f>
        <v>20.578384475708006</v>
      </c>
      <c r="AA188" s="115">
        <f>IF(AND(X188&lt;&gt;"",V188="yes"),X188*Y188,"")</f>
        <v>20.578384475708006</v>
      </c>
    </row>
    <row r="189" spans="1:28" ht="16" customHeight="1" x14ac:dyDescent="0.2">
      <c r="A189" s="51" t="s">
        <v>316</v>
      </c>
      <c r="B189" s="51" t="s">
        <v>776</v>
      </c>
      <c r="C189" s="386" t="s">
        <v>777</v>
      </c>
      <c r="D189" s="387" t="s">
        <v>778</v>
      </c>
      <c r="E189" s="65"/>
      <c r="F189" s="70" t="s">
        <v>779</v>
      </c>
      <c r="G189" s="70" t="s">
        <v>780</v>
      </c>
      <c r="H189" s="69"/>
      <c r="I189" s="243" t="s">
        <v>32</v>
      </c>
      <c r="J189" s="243"/>
      <c r="K189" s="26"/>
      <c r="L189" s="243"/>
      <c r="M189" s="243"/>
      <c r="N189" s="267" t="s">
        <v>769</v>
      </c>
      <c r="O189" s="243"/>
      <c r="P189" s="243"/>
      <c r="Q189" s="243"/>
      <c r="V189" s="28" t="s">
        <v>48</v>
      </c>
      <c r="X189" s="132">
        <v>21.701908111572269</v>
      </c>
      <c r="Y189" s="114">
        <f>'Additional information'!$C$14</f>
        <v>0.91</v>
      </c>
      <c r="Z189" s="115">
        <f>IF(X189&lt;&gt;"",X189*Y189,"")</f>
        <v>19.748736381530765</v>
      </c>
      <c r="AA189" s="115">
        <f>IF(AND(X189&lt;&gt;"",V189="yes"),X189*Y189,"")</f>
        <v>19.748736381530765</v>
      </c>
    </row>
    <row r="190" spans="1:28" ht="32" customHeight="1" x14ac:dyDescent="0.2">
      <c r="A190" s="51" t="s">
        <v>781</v>
      </c>
      <c r="B190" s="51" t="s">
        <v>782</v>
      </c>
      <c r="C190" s="386" t="s">
        <v>783</v>
      </c>
      <c r="D190" s="387" t="s">
        <v>784</v>
      </c>
      <c r="E190" s="65"/>
      <c r="F190" s="28" t="s">
        <v>533</v>
      </c>
      <c r="G190" s="28" t="s">
        <v>534</v>
      </c>
      <c r="H190" s="69"/>
      <c r="I190" s="81" t="s">
        <v>32</v>
      </c>
      <c r="J190" s="243"/>
      <c r="K190" s="26" t="s">
        <v>744</v>
      </c>
      <c r="L190" s="243" t="s">
        <v>745</v>
      </c>
      <c r="M190" s="243" t="s">
        <v>746</v>
      </c>
      <c r="N190" s="267" t="s">
        <v>769</v>
      </c>
      <c r="O190" s="243"/>
      <c r="P190" s="243"/>
      <c r="Q190" s="243"/>
      <c r="X190" s="132"/>
      <c r="Z190" s="115"/>
      <c r="AA190" s="115"/>
    </row>
    <row r="191" spans="1:28" ht="32" customHeight="1" x14ac:dyDescent="0.2">
      <c r="A191" s="51" t="s">
        <v>49</v>
      </c>
      <c r="B191" s="51" t="s">
        <v>785</v>
      </c>
      <c r="C191" s="386" t="s">
        <v>786</v>
      </c>
      <c r="D191" s="387" t="s">
        <v>787</v>
      </c>
      <c r="E191" s="65"/>
      <c r="F191" s="55" t="s">
        <v>178</v>
      </c>
      <c r="G191" s="52" t="s">
        <v>179</v>
      </c>
      <c r="H191" s="69"/>
      <c r="I191" s="81" t="s">
        <v>32</v>
      </c>
      <c r="J191" s="243"/>
      <c r="K191" s="325" t="s">
        <v>53</v>
      </c>
      <c r="L191" s="306" t="s">
        <v>54</v>
      </c>
      <c r="M191" s="306" t="s">
        <v>55</v>
      </c>
      <c r="N191" s="267" t="s">
        <v>788</v>
      </c>
      <c r="O191" s="243"/>
      <c r="P191" s="243"/>
      <c r="Q191" s="243"/>
      <c r="X191" s="132"/>
      <c r="Z191" s="115"/>
      <c r="AA191" s="115"/>
    </row>
    <row r="192" spans="1:28" ht="32" customHeight="1" x14ac:dyDescent="0.2">
      <c r="A192" s="51" t="s">
        <v>770</v>
      </c>
      <c r="B192" s="51" t="s">
        <v>789</v>
      </c>
      <c r="C192" s="386" t="s">
        <v>790</v>
      </c>
      <c r="D192" s="387" t="s">
        <v>791</v>
      </c>
      <c r="E192" s="65"/>
      <c r="F192" s="28" t="s">
        <v>533</v>
      </c>
      <c r="G192" s="28" t="s">
        <v>534</v>
      </c>
      <c r="H192" s="69"/>
      <c r="I192" s="81" t="s">
        <v>32</v>
      </c>
      <c r="J192" s="243"/>
      <c r="K192" s="26" t="s">
        <v>744</v>
      </c>
      <c r="L192" s="243" t="s">
        <v>745</v>
      </c>
      <c r="M192" s="243" t="s">
        <v>746</v>
      </c>
      <c r="N192" s="267" t="s">
        <v>769</v>
      </c>
      <c r="O192" s="243"/>
      <c r="P192" s="243"/>
      <c r="Q192" s="243"/>
      <c r="X192" s="132"/>
      <c r="Z192" s="115"/>
      <c r="AA192" s="115"/>
    </row>
    <row r="193" spans="1:28" ht="32" customHeight="1" x14ac:dyDescent="0.2">
      <c r="A193" s="51" t="s">
        <v>49</v>
      </c>
      <c r="B193" s="51" t="s">
        <v>792</v>
      </c>
      <c r="C193" s="386" t="s">
        <v>793</v>
      </c>
      <c r="D193" s="387" t="s">
        <v>794</v>
      </c>
      <c r="E193" s="65"/>
      <c r="F193" s="55" t="s">
        <v>178</v>
      </c>
      <c r="G193" s="52" t="s">
        <v>179</v>
      </c>
      <c r="H193" s="69"/>
      <c r="I193" s="81" t="s">
        <v>32</v>
      </c>
      <c r="J193" s="243"/>
      <c r="K193" s="325" t="s">
        <v>53</v>
      </c>
      <c r="L193" s="306" t="s">
        <v>54</v>
      </c>
      <c r="M193" s="306" t="s">
        <v>55</v>
      </c>
      <c r="N193" s="267" t="s">
        <v>795</v>
      </c>
      <c r="O193" s="243"/>
      <c r="P193" s="243"/>
      <c r="Q193" s="243"/>
      <c r="X193" s="132"/>
      <c r="Z193" s="115"/>
      <c r="AA193" s="115"/>
    </row>
    <row r="194" spans="1:28" ht="16" customHeight="1" thickBot="1" x14ac:dyDescent="0.25">
      <c r="A194" s="68" t="s">
        <v>189</v>
      </c>
      <c r="B194" s="68"/>
      <c r="C194" s="371"/>
      <c r="D194" s="374"/>
      <c r="E194" s="244"/>
      <c r="F194" s="68"/>
      <c r="G194" s="68"/>
      <c r="H194" s="73"/>
      <c r="I194" s="247"/>
      <c r="J194" s="247"/>
      <c r="K194" s="273"/>
      <c r="L194" s="247"/>
      <c r="M194" s="247"/>
      <c r="N194" s="273"/>
      <c r="O194" s="247"/>
      <c r="P194" s="247"/>
      <c r="Q194" s="247"/>
      <c r="X194" s="132"/>
      <c r="Z194" s="115" t="str">
        <f>IF(X194&lt;&gt;"",X194*Y194,"")</f>
        <v/>
      </c>
      <c r="AA194" s="115" t="str">
        <f>IF(AND(X194&lt;&gt;"",V194="yes"),X194*Y194,"")</f>
        <v/>
      </c>
    </row>
    <row r="195" spans="1:28" s="49" customFormat="1" ht="97" customHeight="1" thickTop="1" x14ac:dyDescent="0.2">
      <c r="A195" s="282" t="s">
        <v>71</v>
      </c>
      <c r="B195" s="282" t="s">
        <v>796</v>
      </c>
      <c r="C195" s="367" t="s">
        <v>797</v>
      </c>
      <c r="D195" s="367" t="s">
        <v>798</v>
      </c>
      <c r="E195" s="47"/>
      <c r="F195" s="46"/>
      <c r="G195" s="46"/>
      <c r="H195" s="48"/>
      <c r="I195" s="82" t="s">
        <v>62</v>
      </c>
      <c r="J195" s="82"/>
      <c r="K195" s="275"/>
      <c r="L195" s="82"/>
      <c r="M195" s="82"/>
      <c r="N195" s="275" t="s">
        <v>799</v>
      </c>
      <c r="O195" s="82"/>
      <c r="P195" s="82"/>
      <c r="Q195" s="82"/>
      <c r="V195" s="28" t="s">
        <v>48</v>
      </c>
      <c r="X195" s="132"/>
      <c r="Y195" s="50"/>
      <c r="Z195" s="115" t="str">
        <f>IF(X195&lt;&gt;"",X195*Y195,"")</f>
        <v/>
      </c>
      <c r="AA195" s="115" t="str">
        <f>IF(AND(X195&lt;&gt;"",V195="yes"),X195*Y195,"")</f>
        <v/>
      </c>
      <c r="AB195" s="50"/>
    </row>
    <row r="196" spans="1:28" ht="32" customHeight="1" x14ac:dyDescent="0.2">
      <c r="A196" s="55" t="s">
        <v>56</v>
      </c>
      <c r="B196" s="55" t="s">
        <v>800</v>
      </c>
      <c r="C196" s="388" t="s">
        <v>801</v>
      </c>
      <c r="D196" s="366" t="s">
        <v>802</v>
      </c>
      <c r="E196" s="59"/>
      <c r="F196" s="51" t="s">
        <v>803</v>
      </c>
      <c r="G196" s="51" t="s">
        <v>804</v>
      </c>
      <c r="H196" s="60"/>
      <c r="I196" s="243" t="s">
        <v>62</v>
      </c>
      <c r="J196" s="243"/>
      <c r="K196" s="26"/>
      <c r="L196" s="243"/>
      <c r="M196" s="243"/>
      <c r="N196" s="26"/>
      <c r="O196" s="243"/>
      <c r="P196" s="243"/>
      <c r="Q196" s="243"/>
      <c r="V196" s="28" t="s">
        <v>48</v>
      </c>
      <c r="X196" s="132">
        <v>7.5</v>
      </c>
      <c r="Y196" s="71">
        <f>'Additional information'!$C$15</f>
        <v>0.91</v>
      </c>
      <c r="Z196" s="115">
        <f>IF(X196&lt;&gt;"",X196*Y196,"")</f>
        <v>6.8250000000000002</v>
      </c>
      <c r="AA196" s="115">
        <f>IF(AND(X196&lt;&gt;"",V196="yes"),X196*Y196,"")</f>
        <v>6.8250000000000002</v>
      </c>
    </row>
    <row r="197" spans="1:28" x14ac:dyDescent="0.2">
      <c r="A197" s="282" t="s">
        <v>71</v>
      </c>
      <c r="B197" s="282" t="s">
        <v>805</v>
      </c>
      <c r="C197" s="377" t="s">
        <v>806</v>
      </c>
      <c r="D197" s="377" t="s">
        <v>806</v>
      </c>
      <c r="E197" s="59"/>
      <c r="F197" s="51"/>
      <c r="G197" s="51"/>
      <c r="H197" s="60"/>
      <c r="I197" s="243"/>
      <c r="J197" s="243" t="s">
        <v>422</v>
      </c>
      <c r="K197" s="26"/>
      <c r="L197" s="243"/>
      <c r="M197" s="243"/>
      <c r="N197" s="26"/>
      <c r="O197" s="243"/>
      <c r="P197" s="243"/>
      <c r="Q197" s="243"/>
      <c r="X197" s="132"/>
      <c r="Y197" s="71"/>
      <c r="Z197" s="115"/>
      <c r="AA197" s="115"/>
    </row>
    <row r="198" spans="1:28" s="347" customFormat="1" ht="25" customHeight="1" x14ac:dyDescent="0.2">
      <c r="A198" s="344" t="s">
        <v>807</v>
      </c>
      <c r="B198" s="344" t="s">
        <v>808</v>
      </c>
      <c r="C198" s="389" t="s">
        <v>809</v>
      </c>
      <c r="D198" s="390" t="s">
        <v>810</v>
      </c>
      <c r="E198" s="345"/>
      <c r="F198" s="345" t="s">
        <v>811</v>
      </c>
      <c r="G198" s="346" t="s">
        <v>812</v>
      </c>
      <c r="I198" s="348" t="s">
        <v>32</v>
      </c>
      <c r="J198" s="348" t="s">
        <v>291</v>
      </c>
      <c r="K198" s="348"/>
      <c r="L198" s="348"/>
      <c r="M198" s="348"/>
      <c r="N198" s="348"/>
      <c r="O198" s="348"/>
      <c r="P198" s="348"/>
      <c r="U198" s="347" t="s">
        <v>48</v>
      </c>
      <c r="W198" s="349">
        <v>20.2944221496582</v>
      </c>
      <c r="X198" s="350">
        <f>'[1]Additional information'!$D$19</f>
        <v>0.09</v>
      </c>
      <c r="Y198" s="351">
        <f t="shared" ref="Y198:Y205" si="8">IF(W198&lt;&gt;"",W198*X198,"")</f>
        <v>1.8264979934692378</v>
      </c>
      <c r="Z198" s="351">
        <f t="shared" ref="Z198:Z205" si="9">IF(AND(W198&lt;&gt;"",U198="yes"),W198*X198,"")</f>
        <v>1.8264979934692378</v>
      </c>
      <c r="AA198" s="352"/>
    </row>
    <row r="199" spans="1:28" s="332" customFormat="1" x14ac:dyDescent="0.2">
      <c r="A199" s="331" t="s">
        <v>125</v>
      </c>
      <c r="B199" s="331" t="s">
        <v>813</v>
      </c>
      <c r="C199" s="343"/>
      <c r="D199" s="376"/>
      <c r="E199" s="334"/>
      <c r="I199" s="339"/>
      <c r="J199" s="339"/>
      <c r="K199" s="339"/>
      <c r="L199" s="339"/>
      <c r="M199" s="339"/>
      <c r="N199" s="339"/>
      <c r="O199" s="339"/>
      <c r="P199" s="339" t="s">
        <v>814</v>
      </c>
      <c r="U199" s="332" t="s">
        <v>48</v>
      </c>
      <c r="W199" s="149"/>
      <c r="X199" s="342">
        <f>'[1]Additional information'!$D$19</f>
        <v>0.09</v>
      </c>
      <c r="Y199" s="333" t="str">
        <f t="shared" si="8"/>
        <v/>
      </c>
      <c r="Z199" s="333" t="str">
        <f t="shared" si="9"/>
        <v/>
      </c>
      <c r="AA199" s="338"/>
    </row>
    <row r="200" spans="1:28" s="332" customFormat="1" x14ac:dyDescent="0.2">
      <c r="C200" s="355"/>
      <c r="D200" s="391"/>
      <c r="E200" s="334"/>
      <c r="I200" s="336"/>
      <c r="J200" s="336"/>
      <c r="K200" s="336"/>
      <c r="L200" s="336"/>
      <c r="M200" s="341"/>
      <c r="N200" s="336"/>
      <c r="O200" s="336"/>
      <c r="P200" s="336"/>
      <c r="W200" s="149"/>
      <c r="X200" s="342">
        <f>'[1]Additional information'!$D$19</f>
        <v>0.09</v>
      </c>
      <c r="Y200" s="333" t="str">
        <f t="shared" si="8"/>
        <v/>
      </c>
      <c r="Z200" s="333" t="str">
        <f t="shared" si="9"/>
        <v/>
      </c>
      <c r="AA200" s="338"/>
    </row>
    <row r="201" spans="1:28" s="332" customFormat="1" ht="16" customHeight="1" x14ac:dyDescent="0.2">
      <c r="A201" s="331" t="s">
        <v>85</v>
      </c>
      <c r="B201" s="331" t="s">
        <v>815</v>
      </c>
      <c r="C201" s="392" t="s">
        <v>816</v>
      </c>
      <c r="D201" s="376" t="s">
        <v>817</v>
      </c>
      <c r="E201" s="334"/>
      <c r="F201" s="331" t="s">
        <v>803</v>
      </c>
      <c r="G201" s="331" t="s">
        <v>804</v>
      </c>
      <c r="I201" s="339" t="s">
        <v>32</v>
      </c>
      <c r="J201" s="339"/>
      <c r="K201" s="339" t="s">
        <v>818</v>
      </c>
      <c r="L201" s="339"/>
      <c r="M201" s="339" t="s">
        <v>819</v>
      </c>
      <c r="N201" s="339"/>
      <c r="O201" s="339"/>
      <c r="P201" s="339"/>
      <c r="U201" s="332" t="s">
        <v>48</v>
      </c>
      <c r="W201" s="149">
        <v>18.539077758789059</v>
      </c>
      <c r="X201" s="342">
        <f>'[1]Additional information'!$D$19</f>
        <v>0.09</v>
      </c>
      <c r="Y201" s="333">
        <f t="shared" si="8"/>
        <v>1.6685169982910153</v>
      </c>
      <c r="Z201" s="333">
        <f t="shared" si="9"/>
        <v>1.6685169982910153</v>
      </c>
      <c r="AA201" s="338"/>
    </row>
    <row r="202" spans="1:28" s="332" customFormat="1" ht="16" customHeight="1" x14ac:dyDescent="0.2">
      <c r="A202" s="331" t="s">
        <v>85</v>
      </c>
      <c r="B202" s="331" t="s">
        <v>820</v>
      </c>
      <c r="C202" s="392" t="s">
        <v>821</v>
      </c>
      <c r="D202" s="376" t="s">
        <v>822</v>
      </c>
      <c r="E202" s="334"/>
      <c r="F202" s="331" t="s">
        <v>803</v>
      </c>
      <c r="G202" s="331" t="s">
        <v>804</v>
      </c>
      <c r="I202" s="339" t="s">
        <v>32</v>
      </c>
      <c r="J202" s="339"/>
      <c r="K202" s="339" t="s">
        <v>818</v>
      </c>
      <c r="L202" s="339"/>
      <c r="M202" s="339" t="s">
        <v>819</v>
      </c>
      <c r="N202" s="339"/>
      <c r="O202" s="339"/>
      <c r="P202" s="339"/>
      <c r="U202" s="332" t="s">
        <v>48</v>
      </c>
      <c r="W202" s="149">
        <v>8.9158916473388672</v>
      </c>
      <c r="X202" s="342">
        <f>'[1]Additional information'!$D$19</f>
        <v>0.09</v>
      </c>
      <c r="Y202" s="333">
        <f t="shared" si="8"/>
        <v>0.80243024826049802</v>
      </c>
      <c r="Z202" s="333">
        <f t="shared" si="9"/>
        <v>0.80243024826049802</v>
      </c>
      <c r="AA202" s="338"/>
    </row>
    <row r="203" spans="1:28" s="332" customFormat="1" ht="16" customHeight="1" x14ac:dyDescent="0.2">
      <c r="A203" s="331" t="s">
        <v>125</v>
      </c>
      <c r="B203" s="331" t="s">
        <v>823</v>
      </c>
      <c r="C203" s="393" t="s">
        <v>824</v>
      </c>
      <c r="D203" s="376" t="s">
        <v>825</v>
      </c>
      <c r="E203" s="334"/>
      <c r="F203" s="331"/>
      <c r="G203" s="331"/>
      <c r="I203" s="339" t="s">
        <v>32</v>
      </c>
      <c r="J203" s="339"/>
      <c r="K203" s="339"/>
      <c r="L203" s="339"/>
      <c r="M203" s="339" t="s">
        <v>826</v>
      </c>
      <c r="N203" s="339"/>
      <c r="O203" s="339"/>
      <c r="P203" s="339" t="s">
        <v>827</v>
      </c>
      <c r="U203" s="332" t="s">
        <v>48</v>
      </c>
      <c r="W203" s="149"/>
      <c r="X203" s="342">
        <f>'[1]Additional information'!$D$19</f>
        <v>0.09</v>
      </c>
      <c r="Y203" s="333" t="str">
        <f t="shared" si="8"/>
        <v/>
      </c>
      <c r="Z203" s="333" t="str">
        <f t="shared" si="9"/>
        <v/>
      </c>
      <c r="AA203" s="338"/>
    </row>
    <row r="204" spans="1:28" s="332" customFormat="1" x14ac:dyDescent="0.2">
      <c r="C204" s="355"/>
      <c r="D204" s="391"/>
      <c r="E204" s="334"/>
      <c r="I204" s="336"/>
      <c r="J204" s="336"/>
      <c r="K204" s="336"/>
      <c r="L204" s="336"/>
      <c r="M204" s="336"/>
      <c r="N204" s="336"/>
      <c r="O204" s="336"/>
      <c r="P204" s="336"/>
      <c r="W204" s="149"/>
      <c r="X204" s="342">
        <f>'[1]Additional information'!$D$19</f>
        <v>0.09</v>
      </c>
      <c r="Y204" s="333" t="str">
        <f t="shared" si="8"/>
        <v/>
      </c>
      <c r="Z204" s="333" t="str">
        <f t="shared" si="9"/>
        <v/>
      </c>
      <c r="AA204" s="338"/>
    </row>
    <row r="205" spans="1:28" s="332" customFormat="1" ht="16" customHeight="1" x14ac:dyDescent="0.2">
      <c r="A205" s="331" t="s">
        <v>828</v>
      </c>
      <c r="B205" s="331" t="s">
        <v>829</v>
      </c>
      <c r="C205" s="392" t="s">
        <v>830</v>
      </c>
      <c r="D205" s="376" t="s">
        <v>831</v>
      </c>
      <c r="E205" s="334"/>
      <c r="F205" s="332" t="s">
        <v>651</v>
      </c>
      <c r="G205" s="332" t="s">
        <v>652</v>
      </c>
      <c r="I205" s="339" t="s">
        <v>32</v>
      </c>
      <c r="J205" s="339"/>
      <c r="K205" s="339" t="s">
        <v>832</v>
      </c>
      <c r="L205" s="339"/>
      <c r="M205" s="339" t="s">
        <v>819</v>
      </c>
      <c r="N205" s="339"/>
      <c r="O205" s="339"/>
      <c r="P205" s="339"/>
      <c r="U205" s="332" t="s">
        <v>48</v>
      </c>
      <c r="W205" s="149">
        <v>25.81001091003418</v>
      </c>
      <c r="X205" s="342">
        <f>'[1]Additional information'!$D$19</f>
        <v>0.09</v>
      </c>
      <c r="Y205" s="333">
        <f t="shared" si="8"/>
        <v>2.3229009819030759</v>
      </c>
      <c r="Z205" s="333">
        <f t="shared" si="9"/>
        <v>2.3229009819030759</v>
      </c>
      <c r="AA205" s="338"/>
    </row>
    <row r="206" spans="1:28" ht="16" customHeight="1" x14ac:dyDescent="0.2">
      <c r="A206" s="55" t="s">
        <v>56</v>
      </c>
      <c r="B206" s="55" t="s">
        <v>833</v>
      </c>
      <c r="C206" s="388" t="s">
        <v>834</v>
      </c>
      <c r="D206" s="366" t="s">
        <v>835</v>
      </c>
      <c r="F206" s="51"/>
      <c r="G206" s="51"/>
      <c r="I206" s="243"/>
      <c r="J206" s="243"/>
      <c r="K206" s="26"/>
      <c r="L206" s="243"/>
      <c r="M206" s="243"/>
      <c r="N206" s="26"/>
      <c r="O206" s="243"/>
      <c r="P206" s="243"/>
      <c r="Q206" s="243"/>
      <c r="X206" s="132"/>
      <c r="Y206" s="71"/>
      <c r="Z206" s="115"/>
      <c r="AA206" s="115"/>
    </row>
    <row r="207" spans="1:28" ht="16" customHeight="1" x14ac:dyDescent="0.2">
      <c r="A207" s="55" t="s">
        <v>85</v>
      </c>
      <c r="B207" s="55" t="s">
        <v>836</v>
      </c>
      <c r="C207" s="364" t="s">
        <v>837</v>
      </c>
      <c r="D207" s="364" t="s">
        <v>838</v>
      </c>
      <c r="E207" s="59"/>
      <c r="F207" s="51"/>
      <c r="G207" s="51"/>
      <c r="H207" s="60"/>
      <c r="I207" s="81" t="s">
        <v>32</v>
      </c>
      <c r="J207" s="243"/>
      <c r="K207" s="267" t="s">
        <v>839</v>
      </c>
      <c r="L207" s="81"/>
      <c r="M207" s="81"/>
      <c r="N207" s="267"/>
      <c r="O207" s="243"/>
      <c r="P207" s="243"/>
      <c r="Q207" s="243"/>
      <c r="X207" s="132"/>
      <c r="Y207" s="71"/>
      <c r="Z207" s="115"/>
      <c r="AA207" s="115"/>
    </row>
    <row r="208" spans="1:28" ht="16" customHeight="1" x14ac:dyDescent="0.2">
      <c r="A208" s="55" t="s">
        <v>85</v>
      </c>
      <c r="B208" s="55" t="s">
        <v>840</v>
      </c>
      <c r="C208" s="364" t="s">
        <v>841</v>
      </c>
      <c r="D208" s="364" t="s">
        <v>842</v>
      </c>
      <c r="E208" s="59"/>
      <c r="F208" s="51"/>
      <c r="G208" s="51"/>
      <c r="H208" s="60"/>
      <c r="I208" s="81" t="s">
        <v>32</v>
      </c>
      <c r="J208" s="243"/>
      <c r="K208" s="267" t="s">
        <v>839</v>
      </c>
      <c r="L208" s="81"/>
      <c r="M208" s="81"/>
      <c r="N208" s="267"/>
      <c r="O208" s="243"/>
      <c r="P208" s="243"/>
      <c r="Q208" s="243"/>
      <c r="X208" s="132"/>
      <c r="Y208" s="71"/>
      <c r="Z208" s="115"/>
      <c r="AA208" s="115"/>
    </row>
    <row r="209" spans="1:27" ht="16" customHeight="1" x14ac:dyDescent="0.2">
      <c r="A209" s="55" t="s">
        <v>85</v>
      </c>
      <c r="B209" s="55" t="s">
        <v>843</v>
      </c>
      <c r="C209" s="364" t="s">
        <v>844</v>
      </c>
      <c r="D209" s="364" t="s">
        <v>845</v>
      </c>
      <c r="E209" s="59"/>
      <c r="F209" s="51"/>
      <c r="G209" s="51"/>
      <c r="H209" s="60"/>
      <c r="I209" s="81" t="s">
        <v>32</v>
      </c>
      <c r="J209" s="243"/>
      <c r="K209" s="267" t="s">
        <v>839</v>
      </c>
      <c r="L209" s="81"/>
      <c r="M209" s="81"/>
      <c r="N209" s="267"/>
      <c r="O209" s="243"/>
      <c r="P209" s="243"/>
      <c r="Q209" s="243"/>
      <c r="X209" s="132"/>
      <c r="Y209" s="71"/>
      <c r="Z209" s="115"/>
      <c r="AA209" s="115"/>
    </row>
    <row r="210" spans="1:27" ht="16" customHeight="1" x14ac:dyDescent="0.2">
      <c r="A210" s="55" t="s">
        <v>85</v>
      </c>
      <c r="B210" s="55" t="s">
        <v>846</v>
      </c>
      <c r="C210" s="364" t="s">
        <v>847</v>
      </c>
      <c r="D210" s="364" t="s">
        <v>848</v>
      </c>
      <c r="E210" s="59"/>
      <c r="F210" s="51"/>
      <c r="G210" s="51"/>
      <c r="H210" s="60"/>
      <c r="I210" s="81" t="s">
        <v>32</v>
      </c>
      <c r="J210" s="243"/>
      <c r="K210" s="267" t="s">
        <v>839</v>
      </c>
      <c r="L210" s="81"/>
      <c r="M210" s="81"/>
      <c r="N210" s="267"/>
      <c r="O210" s="243"/>
      <c r="P210" s="243"/>
      <c r="Q210" s="243"/>
      <c r="X210" s="132"/>
      <c r="Y210" s="71"/>
      <c r="Z210" s="115"/>
      <c r="AA210" s="115"/>
    </row>
    <row r="211" spans="1:27" ht="16" customHeight="1" x14ac:dyDescent="0.2">
      <c r="A211" s="55" t="s">
        <v>85</v>
      </c>
      <c r="B211" s="55" t="s">
        <v>849</v>
      </c>
      <c r="C211" s="364" t="s">
        <v>850</v>
      </c>
      <c r="D211" s="364" t="s">
        <v>851</v>
      </c>
      <c r="E211" s="59"/>
      <c r="F211" s="51"/>
      <c r="G211" s="51"/>
      <c r="H211" s="60"/>
      <c r="I211" s="81" t="s">
        <v>32</v>
      </c>
      <c r="J211" s="243"/>
      <c r="K211" s="267" t="s">
        <v>839</v>
      </c>
      <c r="L211" s="81"/>
      <c r="M211" s="81"/>
      <c r="N211" s="267"/>
      <c r="O211" s="243"/>
      <c r="P211" s="243"/>
      <c r="Q211" s="243"/>
      <c r="X211" s="132"/>
      <c r="Y211" s="71"/>
      <c r="Z211" s="115"/>
      <c r="AA211" s="115"/>
    </row>
    <row r="212" spans="1:27" ht="32" customHeight="1" x14ac:dyDescent="0.2">
      <c r="A212" s="55" t="s">
        <v>49</v>
      </c>
      <c r="B212" s="55" t="s">
        <v>852</v>
      </c>
      <c r="C212" s="364" t="s">
        <v>853</v>
      </c>
      <c r="D212" s="364" t="s">
        <v>854</v>
      </c>
      <c r="E212" s="59"/>
      <c r="F212" s="55" t="s">
        <v>178</v>
      </c>
      <c r="G212" s="52" t="s">
        <v>179</v>
      </c>
      <c r="H212" s="60"/>
      <c r="I212" s="81" t="s">
        <v>32</v>
      </c>
      <c r="J212" s="243"/>
      <c r="K212" s="325" t="s">
        <v>53</v>
      </c>
      <c r="L212" s="306" t="s">
        <v>54</v>
      </c>
      <c r="M212" s="306" t="s">
        <v>55</v>
      </c>
      <c r="N212" s="267" t="s">
        <v>855</v>
      </c>
      <c r="O212" s="243"/>
      <c r="P212" s="243"/>
      <c r="Q212" s="243"/>
      <c r="X212" s="132"/>
      <c r="Y212" s="71"/>
      <c r="Z212" s="115"/>
      <c r="AA212" s="115"/>
    </row>
    <row r="213" spans="1:27" ht="16" customHeight="1" thickBot="1" x14ac:dyDescent="0.25">
      <c r="A213" s="68" t="s">
        <v>189</v>
      </c>
      <c r="B213" s="55"/>
      <c r="C213" s="364"/>
      <c r="D213" s="364"/>
      <c r="E213" s="59"/>
      <c r="F213" s="55"/>
      <c r="G213" s="52"/>
      <c r="H213" s="60"/>
      <c r="I213" s="81"/>
      <c r="J213" s="243"/>
      <c r="K213" s="267"/>
      <c r="L213" s="81"/>
      <c r="M213" s="81"/>
      <c r="N213" s="267"/>
      <c r="O213" s="243"/>
      <c r="P213" s="243"/>
      <c r="Q213" s="243"/>
      <c r="X213" s="132"/>
      <c r="Y213" s="71"/>
      <c r="Z213" s="115"/>
      <c r="AA213" s="115"/>
    </row>
    <row r="214" spans="1:27" ht="16" customHeight="1" thickTop="1" x14ac:dyDescent="0.2">
      <c r="A214" s="282" t="s">
        <v>71</v>
      </c>
      <c r="B214" s="282" t="s">
        <v>856</v>
      </c>
      <c r="C214" s="377" t="s">
        <v>806</v>
      </c>
      <c r="D214" s="377" t="s">
        <v>806</v>
      </c>
      <c r="E214" s="59"/>
      <c r="F214" s="55"/>
      <c r="G214" s="52"/>
      <c r="H214" s="60"/>
      <c r="I214" s="81"/>
      <c r="J214" s="243" t="s">
        <v>422</v>
      </c>
      <c r="K214" s="267"/>
      <c r="L214" s="81"/>
      <c r="M214" s="81"/>
      <c r="N214" s="267"/>
      <c r="O214" s="243"/>
      <c r="P214" s="243"/>
      <c r="Q214" s="243"/>
      <c r="X214" s="132"/>
      <c r="Y214" s="71"/>
      <c r="Z214" s="115"/>
      <c r="AA214" s="115"/>
    </row>
    <row r="215" spans="1:27" ht="16" customHeight="1" x14ac:dyDescent="0.2">
      <c r="A215" s="55" t="s">
        <v>56</v>
      </c>
      <c r="B215" s="55" t="s">
        <v>857</v>
      </c>
      <c r="C215" s="388" t="s">
        <v>858</v>
      </c>
      <c r="D215" s="366" t="s">
        <v>859</v>
      </c>
      <c r="E215" s="59"/>
      <c r="F215" s="51"/>
      <c r="G215" s="51"/>
      <c r="H215" s="60"/>
      <c r="I215" s="81" t="s">
        <v>62</v>
      </c>
      <c r="J215" s="243"/>
      <c r="K215" s="267"/>
      <c r="L215" s="81"/>
      <c r="M215" s="81"/>
      <c r="N215" s="267"/>
      <c r="O215" s="243"/>
      <c r="P215" s="243"/>
      <c r="Q215" s="243"/>
      <c r="X215" s="132"/>
      <c r="Y215" s="71"/>
      <c r="Z215" s="115"/>
      <c r="AA215" s="115"/>
    </row>
    <row r="216" spans="1:27" ht="16" customHeight="1" x14ac:dyDescent="0.2">
      <c r="A216" s="55" t="s">
        <v>85</v>
      </c>
      <c r="B216" s="55" t="s">
        <v>860</v>
      </c>
      <c r="C216" s="364" t="s">
        <v>861</v>
      </c>
      <c r="D216" s="364" t="s">
        <v>862</v>
      </c>
      <c r="E216" s="59"/>
      <c r="F216" s="51"/>
      <c r="G216" s="51"/>
      <c r="H216" s="60"/>
      <c r="I216" s="81" t="s">
        <v>32</v>
      </c>
      <c r="J216" s="243"/>
      <c r="K216" s="267" t="s">
        <v>839</v>
      </c>
      <c r="L216" s="81"/>
      <c r="M216" s="81"/>
      <c r="N216" s="267"/>
      <c r="O216" s="243"/>
      <c r="P216" s="243"/>
      <c r="Q216" s="243"/>
      <c r="X216" s="132"/>
      <c r="Y216" s="71"/>
      <c r="Z216" s="115"/>
      <c r="AA216" s="115"/>
    </row>
    <row r="217" spans="1:27" ht="16" customHeight="1" x14ac:dyDescent="0.2">
      <c r="A217" s="55" t="s">
        <v>828</v>
      </c>
      <c r="B217" s="55" t="s">
        <v>829</v>
      </c>
      <c r="C217" s="364" t="s">
        <v>863</v>
      </c>
      <c r="D217" s="364" t="s">
        <v>864</v>
      </c>
      <c r="E217" s="59"/>
      <c r="F217" s="28" t="s">
        <v>533</v>
      </c>
      <c r="G217" s="28" t="s">
        <v>534</v>
      </c>
      <c r="H217" s="60"/>
      <c r="I217" s="81" t="s">
        <v>32</v>
      </c>
      <c r="J217" s="243" t="s">
        <v>291</v>
      </c>
      <c r="K217" s="267"/>
      <c r="L217" s="81"/>
      <c r="M217" s="81"/>
      <c r="N217" s="308" t="s">
        <v>865</v>
      </c>
      <c r="O217" s="243"/>
      <c r="P217" s="243"/>
      <c r="Q217" s="243"/>
      <c r="X217" s="132"/>
      <c r="Y217" s="71"/>
      <c r="Z217" s="115"/>
      <c r="AA217" s="115"/>
    </row>
    <row r="218" spans="1:27" ht="16" customHeight="1" x14ac:dyDescent="0.2">
      <c r="A218" s="55" t="s">
        <v>85</v>
      </c>
      <c r="B218" s="55" t="s">
        <v>866</v>
      </c>
      <c r="C218" s="364" t="s">
        <v>867</v>
      </c>
      <c r="D218" s="364" t="s">
        <v>868</v>
      </c>
      <c r="E218" s="59"/>
      <c r="F218" s="51"/>
      <c r="G218" s="51"/>
      <c r="H218" s="60"/>
      <c r="I218" s="81" t="s">
        <v>32</v>
      </c>
      <c r="J218" s="243"/>
      <c r="K218" s="267" t="s">
        <v>839</v>
      </c>
      <c r="L218" s="81"/>
      <c r="M218" s="81"/>
      <c r="N218" s="308"/>
      <c r="O218" s="243"/>
      <c r="P218" s="243"/>
      <c r="Q218" s="243"/>
      <c r="X218" s="132"/>
      <c r="Y218" s="71"/>
      <c r="Z218" s="115"/>
      <c r="AA218" s="115"/>
    </row>
    <row r="219" spans="1:27" ht="16" customHeight="1" x14ac:dyDescent="0.2">
      <c r="A219" s="55" t="s">
        <v>828</v>
      </c>
      <c r="B219" s="55" t="s">
        <v>869</v>
      </c>
      <c r="C219" s="364" t="s">
        <v>870</v>
      </c>
      <c r="D219" s="364" t="s">
        <v>871</v>
      </c>
      <c r="E219" s="59"/>
      <c r="F219" s="28" t="s">
        <v>533</v>
      </c>
      <c r="G219" s="28" t="s">
        <v>534</v>
      </c>
      <c r="H219" s="60"/>
      <c r="I219" s="81" t="s">
        <v>32</v>
      </c>
      <c r="J219" s="243" t="s">
        <v>291</v>
      </c>
      <c r="K219" s="267"/>
      <c r="L219" s="81"/>
      <c r="M219" s="81"/>
      <c r="N219" s="308" t="s">
        <v>872</v>
      </c>
      <c r="O219" s="243"/>
      <c r="P219" s="243"/>
      <c r="Q219" s="243"/>
      <c r="X219" s="132"/>
      <c r="Y219" s="71"/>
      <c r="Z219" s="115"/>
      <c r="AA219" s="115"/>
    </row>
    <row r="220" spans="1:27" ht="16" customHeight="1" x14ac:dyDescent="0.2">
      <c r="A220" s="55" t="s">
        <v>85</v>
      </c>
      <c r="B220" s="55" t="s">
        <v>873</v>
      </c>
      <c r="C220" s="364" t="s">
        <v>874</v>
      </c>
      <c r="D220" s="364" t="s">
        <v>875</v>
      </c>
      <c r="E220" s="59"/>
      <c r="F220" s="51"/>
      <c r="G220" s="51"/>
      <c r="H220" s="60"/>
      <c r="I220" s="81" t="s">
        <v>32</v>
      </c>
      <c r="J220" s="243"/>
      <c r="K220" s="267" t="s">
        <v>839</v>
      </c>
      <c r="L220" s="81"/>
      <c r="M220" s="81"/>
      <c r="N220" s="308"/>
      <c r="O220" s="243"/>
      <c r="P220" s="243"/>
      <c r="Q220" s="243"/>
      <c r="X220" s="132"/>
      <c r="Y220" s="71"/>
      <c r="Z220" s="115"/>
      <c r="AA220" s="115"/>
    </row>
    <row r="221" spans="1:27" ht="16" customHeight="1" x14ac:dyDescent="0.2">
      <c r="A221" s="55" t="s">
        <v>828</v>
      </c>
      <c r="B221" s="55" t="s">
        <v>876</v>
      </c>
      <c r="C221" s="364" t="s">
        <v>877</v>
      </c>
      <c r="D221" s="364" t="s">
        <v>878</v>
      </c>
      <c r="E221" s="59"/>
      <c r="F221" s="28" t="s">
        <v>533</v>
      </c>
      <c r="G221" s="28" t="s">
        <v>534</v>
      </c>
      <c r="H221" s="60"/>
      <c r="I221" s="81" t="s">
        <v>32</v>
      </c>
      <c r="J221" s="243" t="s">
        <v>291</v>
      </c>
      <c r="K221" s="267"/>
      <c r="L221" s="81"/>
      <c r="M221" s="81"/>
      <c r="N221" s="308" t="s">
        <v>879</v>
      </c>
      <c r="O221" s="243"/>
      <c r="P221" s="243"/>
      <c r="Q221" s="243"/>
      <c r="X221" s="132"/>
      <c r="Y221" s="71"/>
      <c r="Z221" s="115"/>
      <c r="AA221" s="115"/>
    </row>
    <row r="222" spans="1:27" ht="16" customHeight="1" x14ac:dyDescent="0.2">
      <c r="A222" s="55" t="s">
        <v>85</v>
      </c>
      <c r="B222" s="55" t="s">
        <v>880</v>
      </c>
      <c r="C222" s="364" t="s">
        <v>881</v>
      </c>
      <c r="D222" s="364" t="s">
        <v>882</v>
      </c>
      <c r="E222" s="59"/>
      <c r="F222" s="51"/>
      <c r="G222" s="51"/>
      <c r="H222" s="60"/>
      <c r="I222" s="81" t="s">
        <v>32</v>
      </c>
      <c r="J222" s="243"/>
      <c r="K222" s="267" t="s">
        <v>839</v>
      </c>
      <c r="L222" s="81"/>
      <c r="M222" s="81"/>
      <c r="N222" s="308"/>
      <c r="O222" s="243"/>
      <c r="P222" s="243"/>
      <c r="Q222" s="243"/>
      <c r="X222" s="132"/>
      <c r="Y222" s="71"/>
      <c r="Z222" s="115"/>
      <c r="AA222" s="115"/>
    </row>
    <row r="223" spans="1:27" ht="16" customHeight="1" x14ac:dyDescent="0.2">
      <c r="A223" s="55" t="s">
        <v>828</v>
      </c>
      <c r="B223" s="55" t="s">
        <v>883</v>
      </c>
      <c r="C223" s="364" t="s">
        <v>884</v>
      </c>
      <c r="D223" s="364" t="s">
        <v>885</v>
      </c>
      <c r="E223" s="59"/>
      <c r="F223" s="28" t="s">
        <v>533</v>
      </c>
      <c r="G223" s="28" t="s">
        <v>534</v>
      </c>
      <c r="H223" s="60"/>
      <c r="I223" s="81" t="s">
        <v>32</v>
      </c>
      <c r="J223" s="243" t="s">
        <v>291</v>
      </c>
      <c r="K223" s="267"/>
      <c r="L223" s="81"/>
      <c r="M223" s="81"/>
      <c r="N223" s="308" t="s">
        <v>886</v>
      </c>
      <c r="O223" s="243"/>
      <c r="P223" s="243"/>
      <c r="Q223" s="243"/>
      <c r="X223" s="132"/>
      <c r="Y223" s="71"/>
      <c r="Z223" s="115"/>
      <c r="AA223" s="115"/>
    </row>
    <row r="224" spans="1:27" ht="16" customHeight="1" x14ac:dyDescent="0.2">
      <c r="A224" s="55" t="s">
        <v>85</v>
      </c>
      <c r="B224" s="55" t="s">
        <v>887</v>
      </c>
      <c r="C224" s="364" t="s">
        <v>888</v>
      </c>
      <c r="D224" s="364" t="s">
        <v>889</v>
      </c>
      <c r="E224" s="59"/>
      <c r="F224" s="51"/>
      <c r="G224" s="51"/>
      <c r="H224" s="60"/>
      <c r="I224" s="81" t="s">
        <v>32</v>
      </c>
      <c r="J224" s="243"/>
      <c r="K224" s="267" t="s">
        <v>839</v>
      </c>
      <c r="L224" s="81"/>
      <c r="M224" s="81"/>
      <c r="N224" s="308"/>
      <c r="O224" s="243"/>
      <c r="P224" s="243"/>
      <c r="Q224" s="243"/>
      <c r="X224" s="132"/>
      <c r="Y224" s="71"/>
      <c r="Z224" s="115"/>
      <c r="AA224" s="115"/>
    </row>
    <row r="225" spans="1:27" ht="16" customHeight="1" x14ac:dyDescent="0.2">
      <c r="A225" s="55" t="s">
        <v>828</v>
      </c>
      <c r="B225" s="55" t="s">
        <v>890</v>
      </c>
      <c r="C225" s="364" t="s">
        <v>891</v>
      </c>
      <c r="D225" s="364" t="s">
        <v>892</v>
      </c>
      <c r="E225" s="59"/>
      <c r="F225" s="28" t="s">
        <v>533</v>
      </c>
      <c r="G225" s="28" t="s">
        <v>534</v>
      </c>
      <c r="H225" s="60"/>
      <c r="I225" s="81" t="s">
        <v>32</v>
      </c>
      <c r="J225" s="243" t="s">
        <v>291</v>
      </c>
      <c r="K225" s="267"/>
      <c r="L225" s="81"/>
      <c r="M225" s="81"/>
      <c r="N225" s="308" t="s">
        <v>893</v>
      </c>
      <c r="O225" s="243"/>
      <c r="P225" s="243"/>
      <c r="Q225" s="243"/>
      <c r="X225" s="132"/>
      <c r="Y225" s="71"/>
      <c r="Z225" s="115"/>
      <c r="AA225" s="115"/>
    </row>
    <row r="226" spans="1:27" ht="16" customHeight="1" thickBot="1" x14ac:dyDescent="0.25">
      <c r="A226" s="68" t="s">
        <v>189</v>
      </c>
      <c r="B226" s="55"/>
      <c r="C226" s="364"/>
      <c r="D226" s="364"/>
      <c r="E226" s="59"/>
      <c r="H226" s="60"/>
      <c r="I226" s="81"/>
      <c r="J226" s="243"/>
      <c r="K226" s="267"/>
      <c r="L226" s="81"/>
      <c r="M226" s="81"/>
      <c r="N226" s="267"/>
      <c r="O226" s="243"/>
      <c r="P226" s="243"/>
      <c r="Q226" s="243"/>
      <c r="X226" s="132"/>
      <c r="Y226" s="71"/>
      <c r="Z226" s="115"/>
      <c r="AA226" s="115"/>
    </row>
    <row r="227" spans="1:27" ht="17" customHeight="1" thickTop="1" x14ac:dyDescent="0.2">
      <c r="A227" s="55" t="s">
        <v>155</v>
      </c>
      <c r="B227" s="55" t="s">
        <v>894</v>
      </c>
      <c r="C227" s="364" t="s">
        <v>895</v>
      </c>
      <c r="D227" s="364" t="s">
        <v>896</v>
      </c>
      <c r="E227" s="59"/>
      <c r="F227" s="51"/>
      <c r="G227" s="51"/>
      <c r="H227" s="60"/>
      <c r="I227" s="81" t="s">
        <v>32</v>
      </c>
      <c r="J227" s="243"/>
      <c r="K227" s="267"/>
      <c r="L227" s="81"/>
      <c r="M227" s="81"/>
      <c r="N227" s="267"/>
      <c r="O227" s="243"/>
      <c r="P227" s="243"/>
      <c r="Q227" s="243"/>
      <c r="X227" s="132"/>
      <c r="Y227" s="71"/>
      <c r="Z227" s="115"/>
      <c r="AA227" s="115"/>
    </row>
    <row r="228" spans="1:27" ht="32" customHeight="1" x14ac:dyDescent="0.2">
      <c r="A228" s="55" t="s">
        <v>85</v>
      </c>
      <c r="B228" s="55" t="s">
        <v>897</v>
      </c>
      <c r="C228" s="364" t="s">
        <v>898</v>
      </c>
      <c r="D228" s="364" t="s">
        <v>899</v>
      </c>
      <c r="E228" s="59"/>
      <c r="F228" s="51"/>
      <c r="G228" s="51"/>
      <c r="H228" s="60"/>
      <c r="I228" s="81" t="s">
        <v>32</v>
      </c>
      <c r="J228" s="243"/>
      <c r="K228" s="308" t="s">
        <v>900</v>
      </c>
      <c r="L228" s="81"/>
      <c r="M228" s="81"/>
      <c r="N228" s="267" t="s">
        <v>901</v>
      </c>
      <c r="O228" s="243"/>
      <c r="P228" s="243"/>
      <c r="Q228" s="243"/>
      <c r="X228" s="132"/>
      <c r="Y228" s="71"/>
      <c r="Z228" s="115"/>
      <c r="AA228" s="115"/>
    </row>
    <row r="229" spans="1:27" ht="48" customHeight="1" x14ac:dyDescent="0.2">
      <c r="A229" s="55" t="s">
        <v>85</v>
      </c>
      <c r="B229" s="55" t="s">
        <v>902</v>
      </c>
      <c r="C229" s="364" t="s">
        <v>903</v>
      </c>
      <c r="D229" s="364" t="s">
        <v>904</v>
      </c>
      <c r="E229" s="59"/>
      <c r="F229" s="51"/>
      <c r="G229" s="51"/>
      <c r="H229" s="60"/>
      <c r="I229" s="81" t="s">
        <v>32</v>
      </c>
      <c r="J229" s="243"/>
      <c r="K229" s="308" t="s">
        <v>905</v>
      </c>
      <c r="L229" s="81"/>
      <c r="M229" s="81"/>
      <c r="N229" s="267" t="s">
        <v>906</v>
      </c>
      <c r="O229" s="243"/>
      <c r="P229" s="243"/>
      <c r="Q229" s="243"/>
      <c r="X229" s="132"/>
      <c r="Y229" s="71"/>
      <c r="Z229" s="115"/>
      <c r="AA229" s="115"/>
    </row>
    <row r="230" spans="1:27" ht="48" customHeight="1" x14ac:dyDescent="0.2">
      <c r="A230" s="55" t="s">
        <v>85</v>
      </c>
      <c r="B230" s="55" t="s">
        <v>907</v>
      </c>
      <c r="C230" s="364" t="s">
        <v>908</v>
      </c>
      <c r="D230" s="364" t="s">
        <v>909</v>
      </c>
      <c r="E230" s="59"/>
      <c r="F230" s="51"/>
      <c r="G230" s="51"/>
      <c r="H230" s="60"/>
      <c r="I230" s="81" t="s">
        <v>32</v>
      </c>
      <c r="J230" s="243"/>
      <c r="K230" s="308" t="s">
        <v>910</v>
      </c>
      <c r="L230" s="81"/>
      <c r="M230" s="81"/>
      <c r="N230" s="267" t="s">
        <v>911</v>
      </c>
      <c r="O230" s="243"/>
      <c r="P230" s="243"/>
      <c r="Q230" s="243"/>
      <c r="X230" s="132"/>
      <c r="Y230" s="71"/>
      <c r="Z230" s="115"/>
      <c r="AA230" s="115"/>
    </row>
    <row r="231" spans="1:27" ht="48" customHeight="1" x14ac:dyDescent="0.2">
      <c r="A231" s="55" t="s">
        <v>85</v>
      </c>
      <c r="B231" s="55" t="s">
        <v>912</v>
      </c>
      <c r="C231" s="364" t="s">
        <v>913</v>
      </c>
      <c r="D231" s="364" t="s">
        <v>914</v>
      </c>
      <c r="E231" s="59"/>
      <c r="F231" s="51"/>
      <c r="G231" s="51"/>
      <c r="H231" s="60"/>
      <c r="I231" s="81" t="s">
        <v>32</v>
      </c>
      <c r="J231" s="243"/>
      <c r="K231" s="308" t="s">
        <v>915</v>
      </c>
      <c r="L231" s="81"/>
      <c r="M231" s="81"/>
      <c r="N231" s="267" t="s">
        <v>916</v>
      </c>
      <c r="O231" s="243"/>
      <c r="P231" s="243"/>
      <c r="Q231" s="243"/>
      <c r="X231" s="132"/>
      <c r="Y231" s="71"/>
      <c r="Z231" s="115"/>
      <c r="AA231" s="115"/>
    </row>
    <row r="232" spans="1:27" ht="48" customHeight="1" x14ac:dyDescent="0.2">
      <c r="A232" s="55" t="s">
        <v>85</v>
      </c>
      <c r="B232" s="55" t="s">
        <v>917</v>
      </c>
      <c r="C232" s="364" t="s">
        <v>918</v>
      </c>
      <c r="D232" s="364" t="s">
        <v>919</v>
      </c>
      <c r="E232" s="59"/>
      <c r="F232" s="51"/>
      <c r="G232" s="51"/>
      <c r="H232" s="60"/>
      <c r="I232" s="81" t="s">
        <v>32</v>
      </c>
      <c r="J232" s="243"/>
      <c r="K232" s="308" t="s">
        <v>920</v>
      </c>
      <c r="L232" s="81"/>
      <c r="M232" s="81"/>
      <c r="N232" s="267" t="s">
        <v>921</v>
      </c>
      <c r="O232" s="243"/>
      <c r="P232" s="243"/>
      <c r="Q232" s="243"/>
      <c r="X232" s="132"/>
      <c r="Y232" s="71"/>
      <c r="Z232" s="115"/>
      <c r="AA232" s="115"/>
    </row>
    <row r="233" spans="1:27" ht="16" customHeight="1" x14ac:dyDescent="0.2">
      <c r="A233" s="55" t="s">
        <v>155</v>
      </c>
      <c r="B233" s="55" t="s">
        <v>922</v>
      </c>
      <c r="C233" s="364" t="s">
        <v>923</v>
      </c>
      <c r="D233" s="364" t="s">
        <v>924</v>
      </c>
      <c r="E233" s="59"/>
      <c r="F233" s="51"/>
      <c r="G233" s="51"/>
      <c r="H233" s="60"/>
      <c r="I233" s="81" t="s">
        <v>32</v>
      </c>
      <c r="J233" s="243"/>
      <c r="K233" s="327"/>
      <c r="L233" s="81"/>
      <c r="M233" s="81"/>
      <c r="N233" s="267"/>
      <c r="O233" s="243"/>
      <c r="P233" s="243"/>
      <c r="Q233" s="243"/>
      <c r="X233" s="132"/>
      <c r="Y233" s="71"/>
      <c r="Z233" s="115"/>
      <c r="AA233" s="115"/>
    </row>
    <row r="234" spans="1:27" ht="32" customHeight="1" x14ac:dyDescent="0.2">
      <c r="A234" s="55" t="s">
        <v>85</v>
      </c>
      <c r="B234" s="55" t="s">
        <v>925</v>
      </c>
      <c r="C234" s="364" t="s">
        <v>926</v>
      </c>
      <c r="D234" s="364" t="s">
        <v>927</v>
      </c>
      <c r="E234" s="59"/>
      <c r="F234" s="51"/>
      <c r="G234" s="51"/>
      <c r="H234" s="60"/>
      <c r="I234" s="81" t="s">
        <v>32</v>
      </c>
      <c r="J234" s="243"/>
      <c r="K234" s="308" t="s">
        <v>900</v>
      </c>
      <c r="L234" s="81"/>
      <c r="M234" s="81"/>
      <c r="N234" s="267" t="s">
        <v>928</v>
      </c>
      <c r="O234" s="243"/>
      <c r="P234" s="243"/>
      <c r="Q234" s="243"/>
      <c r="X234" s="132"/>
      <c r="Y234" s="71"/>
      <c r="Z234" s="115"/>
      <c r="AA234" s="115"/>
    </row>
    <row r="235" spans="1:27" ht="48" customHeight="1" x14ac:dyDescent="0.2">
      <c r="A235" s="55" t="s">
        <v>85</v>
      </c>
      <c r="B235" s="55" t="s">
        <v>929</v>
      </c>
      <c r="C235" s="364" t="s">
        <v>930</v>
      </c>
      <c r="D235" s="364" t="s">
        <v>931</v>
      </c>
      <c r="E235" s="59"/>
      <c r="F235" s="51"/>
      <c r="G235" s="51"/>
      <c r="H235" s="60"/>
      <c r="I235" s="81" t="s">
        <v>32</v>
      </c>
      <c r="J235" s="243"/>
      <c r="K235" s="308" t="s">
        <v>905</v>
      </c>
      <c r="L235" s="81"/>
      <c r="M235" s="81"/>
      <c r="N235" s="267" t="s">
        <v>932</v>
      </c>
      <c r="O235" s="243"/>
      <c r="P235" s="243"/>
      <c r="Q235" s="243"/>
      <c r="X235" s="132"/>
      <c r="Y235" s="71"/>
      <c r="Z235" s="115"/>
      <c r="AA235" s="115"/>
    </row>
    <row r="236" spans="1:27" ht="48" customHeight="1" x14ac:dyDescent="0.2">
      <c r="A236" s="55" t="s">
        <v>85</v>
      </c>
      <c r="B236" s="55" t="s">
        <v>933</v>
      </c>
      <c r="C236" s="364" t="s">
        <v>934</v>
      </c>
      <c r="D236" s="364" t="s">
        <v>935</v>
      </c>
      <c r="E236" s="59"/>
      <c r="F236" s="51"/>
      <c r="G236" s="51"/>
      <c r="H236" s="60"/>
      <c r="I236" s="81" t="s">
        <v>32</v>
      </c>
      <c r="J236" s="243"/>
      <c r="K236" s="308" t="s">
        <v>910</v>
      </c>
      <c r="L236" s="81"/>
      <c r="M236" s="81"/>
      <c r="N236" s="267" t="s">
        <v>936</v>
      </c>
      <c r="O236" s="243"/>
      <c r="P236" s="243"/>
      <c r="Q236" s="243"/>
      <c r="X236" s="132"/>
      <c r="Y236" s="71"/>
      <c r="Z236" s="115"/>
      <c r="AA236" s="115"/>
    </row>
    <row r="237" spans="1:27" ht="48" customHeight="1" x14ac:dyDescent="0.2">
      <c r="A237" s="55" t="s">
        <v>85</v>
      </c>
      <c r="B237" s="55" t="s">
        <v>937</v>
      </c>
      <c r="C237" s="364" t="s">
        <v>938</v>
      </c>
      <c r="D237" s="364" t="s">
        <v>939</v>
      </c>
      <c r="E237" s="59"/>
      <c r="G237" s="29"/>
      <c r="H237" s="60"/>
      <c r="I237" s="243" t="s">
        <v>32</v>
      </c>
      <c r="J237" s="243" t="s">
        <v>291</v>
      </c>
      <c r="K237" s="308" t="s">
        <v>915</v>
      </c>
      <c r="L237" s="81"/>
      <c r="M237" s="81"/>
      <c r="N237" s="267" t="s">
        <v>940</v>
      </c>
      <c r="O237" s="243"/>
      <c r="P237" s="243"/>
      <c r="Q237" s="243"/>
      <c r="V237" s="28" t="s">
        <v>48</v>
      </c>
      <c r="X237" s="132">
        <v>20.2944221496582</v>
      </c>
      <c r="Y237" s="71">
        <f>'Additional information'!$C$15</f>
        <v>0.91</v>
      </c>
      <c r="Z237" s="115">
        <f>IF(X237&lt;&gt;"",X237*Y237,"")</f>
        <v>18.467924156188964</v>
      </c>
      <c r="AA237" s="115">
        <f>IF(AND(X237&lt;&gt;"",V237="yes"),X237*Y237,"")</f>
        <v>18.467924156188964</v>
      </c>
    </row>
    <row r="238" spans="1:27" ht="48" customHeight="1" x14ac:dyDescent="0.2">
      <c r="A238" s="55" t="s">
        <v>85</v>
      </c>
      <c r="B238" s="55" t="s">
        <v>941</v>
      </c>
      <c r="C238" s="364" t="s">
        <v>942</v>
      </c>
      <c r="D238" s="364" t="s">
        <v>943</v>
      </c>
      <c r="E238" s="59"/>
      <c r="H238" s="60"/>
      <c r="I238" s="81" t="s">
        <v>32</v>
      </c>
      <c r="J238" s="243"/>
      <c r="K238" s="308" t="s">
        <v>920</v>
      </c>
      <c r="L238" s="81"/>
      <c r="M238" s="81"/>
      <c r="N238" s="267" t="s">
        <v>944</v>
      </c>
      <c r="O238" s="243"/>
      <c r="P238" s="243"/>
      <c r="Q238" s="243"/>
      <c r="V238" s="28" t="s">
        <v>48</v>
      </c>
      <c r="X238" s="132"/>
      <c r="Y238" s="71">
        <f>'Additional information'!$C$15</f>
        <v>0.91</v>
      </c>
      <c r="Z238" s="115" t="str">
        <f>IF(X238&lt;&gt;"",X238*Y238,"")</f>
        <v/>
      </c>
      <c r="AA238" s="115" t="str">
        <f>IF(AND(X238&lt;&gt;"",V238="yes"),X238*Y238,"")</f>
        <v/>
      </c>
    </row>
    <row r="239" spans="1:27" ht="32" customHeight="1" x14ac:dyDescent="0.2">
      <c r="A239" s="55" t="s">
        <v>155</v>
      </c>
      <c r="B239" s="55" t="s">
        <v>945</v>
      </c>
      <c r="C239" s="364" t="s">
        <v>946</v>
      </c>
      <c r="D239" s="364" t="s">
        <v>947</v>
      </c>
      <c r="E239" s="59"/>
      <c r="F239" s="51"/>
      <c r="G239" s="51"/>
      <c r="H239" s="60"/>
      <c r="I239" s="81" t="s">
        <v>32</v>
      </c>
      <c r="J239" s="243"/>
      <c r="K239" s="327"/>
      <c r="L239" s="81"/>
      <c r="M239" s="81"/>
      <c r="N239" s="267"/>
      <c r="O239" s="243"/>
      <c r="P239" s="243"/>
      <c r="Q239" s="243"/>
      <c r="X239" s="132"/>
      <c r="Y239" s="71"/>
      <c r="Z239" s="115"/>
      <c r="AA239" s="115"/>
    </row>
    <row r="240" spans="1:27" ht="32" customHeight="1" x14ac:dyDescent="0.2">
      <c r="A240" s="55" t="s">
        <v>85</v>
      </c>
      <c r="B240" s="55" t="s">
        <v>948</v>
      </c>
      <c r="C240" s="364" t="s">
        <v>949</v>
      </c>
      <c r="D240" s="364" t="s">
        <v>950</v>
      </c>
      <c r="E240" s="59"/>
      <c r="F240" s="51"/>
      <c r="G240" s="51"/>
      <c r="H240" s="60"/>
      <c r="I240" s="81" t="s">
        <v>32</v>
      </c>
      <c r="J240" s="243"/>
      <c r="K240" s="308" t="s">
        <v>900</v>
      </c>
      <c r="L240" s="81"/>
      <c r="M240" s="81"/>
      <c r="N240" s="267" t="s">
        <v>951</v>
      </c>
      <c r="O240" s="243"/>
      <c r="P240" s="243"/>
      <c r="Q240" s="243"/>
      <c r="X240" s="132"/>
      <c r="Y240" s="71"/>
      <c r="Z240" s="115"/>
      <c r="AA240" s="115"/>
    </row>
    <row r="241" spans="1:28" ht="48" customHeight="1" x14ac:dyDescent="0.2">
      <c r="A241" s="55" t="s">
        <v>85</v>
      </c>
      <c r="B241" s="55" t="s">
        <v>952</v>
      </c>
      <c r="C241" s="364" t="s">
        <v>953</v>
      </c>
      <c r="D241" s="364" t="s">
        <v>954</v>
      </c>
      <c r="E241" s="59"/>
      <c r="F241" s="51"/>
      <c r="G241" s="51"/>
      <c r="H241" s="60"/>
      <c r="I241" s="81" t="s">
        <v>32</v>
      </c>
      <c r="J241" s="243"/>
      <c r="K241" s="308" t="s">
        <v>905</v>
      </c>
      <c r="L241" s="81"/>
      <c r="M241" s="81"/>
      <c r="N241" s="267" t="s">
        <v>955</v>
      </c>
      <c r="O241" s="243"/>
      <c r="P241" s="243"/>
      <c r="Q241" s="243"/>
      <c r="X241" s="132"/>
      <c r="Y241" s="71"/>
      <c r="Z241" s="115"/>
      <c r="AA241" s="115"/>
    </row>
    <row r="242" spans="1:28" ht="48" customHeight="1" x14ac:dyDescent="0.2">
      <c r="A242" s="55" t="s">
        <v>85</v>
      </c>
      <c r="B242" s="55" t="s">
        <v>956</v>
      </c>
      <c r="C242" s="364" t="s">
        <v>957</v>
      </c>
      <c r="D242" s="364" t="s">
        <v>958</v>
      </c>
      <c r="E242" s="59"/>
      <c r="F242" s="51"/>
      <c r="G242" s="51"/>
      <c r="H242" s="60"/>
      <c r="I242" s="81" t="s">
        <v>32</v>
      </c>
      <c r="J242" s="243"/>
      <c r="K242" s="308" t="s">
        <v>910</v>
      </c>
      <c r="L242" s="81"/>
      <c r="M242" s="81"/>
      <c r="N242" s="267" t="s">
        <v>959</v>
      </c>
      <c r="O242" s="243"/>
      <c r="P242" s="243"/>
      <c r="Q242" s="243"/>
      <c r="X242" s="132"/>
      <c r="Y242" s="71"/>
      <c r="Z242" s="115"/>
      <c r="AA242" s="115"/>
    </row>
    <row r="243" spans="1:28" ht="48" customHeight="1" x14ac:dyDescent="0.2">
      <c r="A243" s="55" t="s">
        <v>85</v>
      </c>
      <c r="B243" s="55" t="s">
        <v>960</v>
      </c>
      <c r="C243" s="364" t="s">
        <v>961</v>
      </c>
      <c r="D243" s="364" t="s">
        <v>962</v>
      </c>
      <c r="E243" s="59"/>
      <c r="G243" s="29"/>
      <c r="H243" s="60"/>
      <c r="I243" s="243" t="s">
        <v>32</v>
      </c>
      <c r="J243" s="243" t="s">
        <v>291</v>
      </c>
      <c r="K243" s="308" t="s">
        <v>915</v>
      </c>
      <c r="L243" s="81"/>
      <c r="M243" s="81"/>
      <c r="N243" s="267" t="s">
        <v>963</v>
      </c>
      <c r="O243" s="243"/>
      <c r="P243" s="243"/>
      <c r="Q243" s="243"/>
      <c r="V243" s="28" t="s">
        <v>48</v>
      </c>
      <c r="X243" s="132">
        <v>20.2944221496582</v>
      </c>
      <c r="Y243" s="71">
        <f>'Additional information'!$C$15</f>
        <v>0.91</v>
      </c>
      <c r="Z243" s="115">
        <f>IF(X243&lt;&gt;"",X243*Y243,"")</f>
        <v>18.467924156188964</v>
      </c>
      <c r="AA243" s="115">
        <f>IF(AND(X243&lt;&gt;"",V243="yes"),X243*Y243,"")</f>
        <v>18.467924156188964</v>
      </c>
    </row>
    <row r="244" spans="1:28" ht="48" customHeight="1" x14ac:dyDescent="0.2">
      <c r="A244" s="55" t="s">
        <v>85</v>
      </c>
      <c r="B244" s="55" t="s">
        <v>964</v>
      </c>
      <c r="C244" s="364" t="s">
        <v>965</v>
      </c>
      <c r="D244" s="364" t="s">
        <v>966</v>
      </c>
      <c r="E244" s="59"/>
      <c r="H244" s="60"/>
      <c r="I244" s="81" t="s">
        <v>32</v>
      </c>
      <c r="J244" s="243"/>
      <c r="K244" s="308" t="s">
        <v>920</v>
      </c>
      <c r="L244" s="81"/>
      <c r="M244" s="81"/>
      <c r="N244" s="267" t="s">
        <v>967</v>
      </c>
      <c r="O244" s="243"/>
      <c r="P244" s="243"/>
      <c r="Q244" s="243"/>
      <c r="V244" s="28" t="s">
        <v>48</v>
      </c>
      <c r="X244" s="132"/>
      <c r="Y244" s="71">
        <f>'Additional information'!$C$15</f>
        <v>0.91</v>
      </c>
      <c r="Z244" s="115" t="str">
        <f>IF(X244&lt;&gt;"",X244*Y244,"")</f>
        <v/>
      </c>
      <c r="AA244" s="115" t="str">
        <f>IF(AND(X244&lt;&gt;"",V244="yes"),X244*Y244,"")</f>
        <v/>
      </c>
    </row>
    <row r="245" spans="1:28" ht="48" customHeight="1" x14ac:dyDescent="0.2">
      <c r="A245" s="51" t="s">
        <v>316</v>
      </c>
      <c r="B245" s="55" t="s">
        <v>968</v>
      </c>
      <c r="C245" s="364" t="s">
        <v>969</v>
      </c>
      <c r="D245" s="364" t="s">
        <v>970</v>
      </c>
      <c r="E245" s="59"/>
      <c r="F245" s="51"/>
      <c r="G245" s="51"/>
      <c r="H245" s="60"/>
      <c r="I245" s="81" t="s">
        <v>32</v>
      </c>
      <c r="J245" s="243"/>
      <c r="K245" s="277"/>
      <c r="L245" s="243"/>
      <c r="M245" s="243"/>
      <c r="N245" s="277"/>
      <c r="O245" s="243"/>
      <c r="P245" s="243"/>
      <c r="Q245" s="243"/>
      <c r="V245" s="28" t="s">
        <v>48</v>
      </c>
      <c r="X245" s="132">
        <v>8.9158916473388672</v>
      </c>
      <c r="Y245" s="71">
        <f>'Additional information'!$C$15</f>
        <v>0.91</v>
      </c>
      <c r="Z245" s="115">
        <f>IF(X245&lt;&gt;"",X245*Y245,"")</f>
        <v>8.1134613990783695</v>
      </c>
      <c r="AA245" s="115">
        <f>IF(AND(X245&lt;&gt;"",V245="yes"),X245*Y245,"")</f>
        <v>8.1134613990783695</v>
      </c>
    </row>
    <row r="246" spans="1:28" ht="16" customHeight="1" x14ac:dyDescent="0.2">
      <c r="A246" s="51" t="s">
        <v>622</v>
      </c>
      <c r="B246" s="51" t="s">
        <v>971</v>
      </c>
      <c r="C246" s="364" t="s">
        <v>972</v>
      </c>
      <c r="D246" s="364" t="s">
        <v>973</v>
      </c>
      <c r="E246" s="59"/>
      <c r="H246" s="60"/>
      <c r="I246" s="81" t="s">
        <v>32</v>
      </c>
      <c r="J246" s="243"/>
      <c r="K246" s="26"/>
      <c r="L246" s="243"/>
      <c r="M246" s="243"/>
      <c r="N246" s="26"/>
      <c r="O246" s="243"/>
      <c r="P246" s="243"/>
      <c r="Q246" s="243"/>
      <c r="X246" s="132"/>
      <c r="Y246" s="71"/>
      <c r="Z246" s="115"/>
      <c r="AA246" s="115"/>
    </row>
    <row r="247" spans="1:28" ht="32" customHeight="1" x14ac:dyDescent="0.2">
      <c r="A247" s="51" t="s">
        <v>49</v>
      </c>
      <c r="B247" s="51" t="s">
        <v>974</v>
      </c>
      <c r="C247" s="364" t="s">
        <v>975</v>
      </c>
      <c r="D247" s="364" t="s">
        <v>976</v>
      </c>
      <c r="E247" s="59"/>
      <c r="F247" s="55" t="s">
        <v>178</v>
      </c>
      <c r="G247" s="52" t="s">
        <v>179</v>
      </c>
      <c r="H247" s="60"/>
      <c r="I247" s="81" t="s">
        <v>32</v>
      </c>
      <c r="J247" s="243"/>
      <c r="K247" s="325" t="s">
        <v>53</v>
      </c>
      <c r="L247" s="306" t="s">
        <v>54</v>
      </c>
      <c r="M247" s="306" t="s">
        <v>55</v>
      </c>
      <c r="N247" s="26" t="s">
        <v>977</v>
      </c>
      <c r="O247" s="243"/>
      <c r="P247" s="243"/>
      <c r="Q247" s="243"/>
      <c r="X247" s="132"/>
      <c r="Y247" s="71"/>
      <c r="Z247" s="115"/>
      <c r="AA247" s="115"/>
    </row>
    <row r="248" spans="1:28" ht="16" customHeight="1" x14ac:dyDescent="0.2">
      <c r="A248" s="51" t="s">
        <v>631</v>
      </c>
      <c r="B248" s="51" t="s">
        <v>978</v>
      </c>
      <c r="C248" s="364" t="s">
        <v>979</v>
      </c>
      <c r="D248" s="364" t="s">
        <v>980</v>
      </c>
      <c r="E248" s="59"/>
      <c r="H248" s="60"/>
      <c r="I248" s="81" t="s">
        <v>32</v>
      </c>
      <c r="J248" s="243"/>
      <c r="K248" s="26"/>
      <c r="L248" s="243"/>
      <c r="M248" s="243"/>
      <c r="N248" s="26"/>
      <c r="O248" s="243"/>
      <c r="P248" s="243"/>
      <c r="Q248" s="243"/>
      <c r="X248" s="132"/>
      <c r="Y248" s="71"/>
      <c r="Z248" s="115"/>
      <c r="AA248" s="115"/>
    </row>
    <row r="249" spans="1:28" ht="16" customHeight="1" x14ac:dyDescent="0.2">
      <c r="A249" s="51" t="s">
        <v>622</v>
      </c>
      <c r="B249" s="51" t="s">
        <v>981</v>
      </c>
      <c r="C249" s="364" t="s">
        <v>982</v>
      </c>
      <c r="D249" s="364" t="s">
        <v>983</v>
      </c>
      <c r="E249" s="59"/>
      <c r="H249" s="60"/>
      <c r="I249" s="81" t="s">
        <v>32</v>
      </c>
      <c r="N249" s="266"/>
      <c r="X249" s="132"/>
      <c r="Y249" s="71">
        <f>'Additional information'!$C$15</f>
        <v>0.91</v>
      </c>
      <c r="Z249" s="115" t="str">
        <f>IF(X249&lt;&gt;"",X249*Y249,"")</f>
        <v/>
      </c>
      <c r="AA249" s="115" t="str">
        <f>IF(AND(X249&lt;&gt;"",V249="yes"),X249*Y249,"")</f>
        <v/>
      </c>
    </row>
    <row r="250" spans="1:28" ht="32" customHeight="1" x14ac:dyDescent="0.2">
      <c r="A250" s="51" t="s">
        <v>49</v>
      </c>
      <c r="B250" s="51" t="s">
        <v>984</v>
      </c>
      <c r="C250" s="364" t="s">
        <v>985</v>
      </c>
      <c r="D250" s="364" t="s">
        <v>986</v>
      </c>
      <c r="E250" s="59"/>
      <c r="F250" s="55" t="s">
        <v>178</v>
      </c>
      <c r="G250" s="52" t="s">
        <v>179</v>
      </c>
      <c r="H250" s="60"/>
      <c r="I250" s="81" t="s">
        <v>32</v>
      </c>
      <c r="J250" s="243"/>
      <c r="K250" s="325" t="s">
        <v>53</v>
      </c>
      <c r="L250" s="306" t="s">
        <v>54</v>
      </c>
      <c r="M250" s="306" t="s">
        <v>55</v>
      </c>
      <c r="N250" s="26" t="s">
        <v>987</v>
      </c>
      <c r="X250" s="132"/>
      <c r="Y250" s="71"/>
      <c r="Z250" s="115"/>
      <c r="AA250" s="115"/>
    </row>
    <row r="251" spans="1:28" s="53" customFormat="1" ht="96" customHeight="1" x14ac:dyDescent="0.2">
      <c r="A251" s="28" t="s">
        <v>988</v>
      </c>
      <c r="B251" s="28" t="s">
        <v>989</v>
      </c>
      <c r="C251" s="364" t="s">
        <v>990</v>
      </c>
      <c r="D251" s="364" t="s">
        <v>991</v>
      </c>
      <c r="E251" s="54"/>
      <c r="F251" s="52" t="s">
        <v>651</v>
      </c>
      <c r="G251" s="28" t="s">
        <v>652</v>
      </c>
      <c r="H251" s="58"/>
      <c r="I251" s="81" t="s">
        <v>32</v>
      </c>
      <c r="J251" s="86"/>
      <c r="K251" s="266" t="s">
        <v>774</v>
      </c>
      <c r="L251" s="86"/>
      <c r="M251" s="86"/>
      <c r="N251" s="266"/>
      <c r="O251" s="86"/>
      <c r="P251" s="80"/>
      <c r="Q251" s="80"/>
      <c r="V251" s="53" t="s">
        <v>34</v>
      </c>
      <c r="X251" s="132">
        <v>19.55319786071777</v>
      </c>
      <c r="Y251" s="71">
        <f>'Additional information'!$C$15</f>
        <v>0.91</v>
      </c>
      <c r="Z251" s="115">
        <f>IF(X251&lt;&gt;"",X251*Y251,"")</f>
        <v>17.793410053253172</v>
      </c>
      <c r="AA251" s="115" t="str">
        <f>IF(AND(X251&lt;&gt;"",V251="yes"),X251*Y251,"")</f>
        <v/>
      </c>
      <c r="AB251" s="52"/>
    </row>
    <row r="252" spans="1:28" ht="16" customHeight="1" x14ac:dyDescent="0.2">
      <c r="A252" s="51" t="s">
        <v>155</v>
      </c>
      <c r="B252" s="51" t="s">
        <v>992</v>
      </c>
      <c r="C252" s="364" t="s">
        <v>993</v>
      </c>
      <c r="D252" s="364" t="s">
        <v>994</v>
      </c>
      <c r="E252" s="59"/>
      <c r="H252" s="60"/>
      <c r="I252" s="243" t="s">
        <v>32</v>
      </c>
      <c r="J252" s="243"/>
      <c r="K252" s="26"/>
      <c r="L252" s="243"/>
      <c r="M252" s="243"/>
      <c r="N252" s="267"/>
      <c r="O252" s="243"/>
      <c r="P252" s="243"/>
      <c r="Q252" s="243"/>
      <c r="V252" s="28" t="s">
        <v>48</v>
      </c>
      <c r="X252" s="132">
        <v>13.613316535949711</v>
      </c>
      <c r="Y252" s="71">
        <f>'Additional information'!$C$15</f>
        <v>0.91</v>
      </c>
      <c r="Z252" s="115">
        <f>IF(X252&lt;&gt;"",X252*Y252,"")</f>
        <v>12.388118047714237</v>
      </c>
      <c r="AA252" s="115">
        <f>IF(AND(X252&lt;&gt;"",V252="yes"),X252*Y252,"")</f>
        <v>12.388118047714237</v>
      </c>
    </row>
    <row r="253" spans="1:28" ht="96" customHeight="1" x14ac:dyDescent="0.2">
      <c r="A253" s="51" t="s">
        <v>995</v>
      </c>
      <c r="B253" s="51" t="s">
        <v>996</v>
      </c>
      <c r="C253" s="364" t="s">
        <v>997</v>
      </c>
      <c r="D253" s="364" t="s">
        <v>998</v>
      </c>
      <c r="E253" s="59"/>
      <c r="F253" s="28" t="s">
        <v>533</v>
      </c>
      <c r="G253" s="28" t="s">
        <v>534</v>
      </c>
      <c r="H253" s="60"/>
      <c r="I253" s="243" t="s">
        <v>32</v>
      </c>
      <c r="J253" s="243"/>
      <c r="K253" s="267" t="s">
        <v>774</v>
      </c>
      <c r="L253" s="243"/>
      <c r="M253" s="243"/>
      <c r="N253" s="267" t="s">
        <v>999</v>
      </c>
      <c r="O253" s="243"/>
      <c r="P253" s="243"/>
      <c r="Q253" s="243"/>
      <c r="V253" s="28" t="s">
        <v>48</v>
      </c>
      <c r="X253" s="132">
        <v>27.754648208618161</v>
      </c>
      <c r="Y253" s="71">
        <f>'Additional information'!$C$15</f>
        <v>0.91</v>
      </c>
      <c r="Z253" s="115">
        <f>IF(X253&lt;&gt;"",X253*Y253,"")</f>
        <v>25.256729869842527</v>
      </c>
      <c r="AA253" s="115">
        <f>IF(AND(X253&lt;&gt;"",V253="yes"),X253*Y253,"")</f>
        <v>25.256729869842527</v>
      </c>
    </row>
    <row r="254" spans="1:28" ht="32" customHeight="1" x14ac:dyDescent="0.2">
      <c r="A254" s="51" t="s">
        <v>1000</v>
      </c>
      <c r="B254" s="51" t="s">
        <v>1001</v>
      </c>
      <c r="C254" s="364" t="s">
        <v>1002</v>
      </c>
      <c r="D254" s="364" t="s">
        <v>1003</v>
      </c>
      <c r="E254" s="59"/>
      <c r="H254" s="60"/>
      <c r="I254" s="81" t="s">
        <v>32</v>
      </c>
      <c r="J254" s="243"/>
      <c r="K254" s="267"/>
      <c r="L254" s="243"/>
      <c r="M254" s="243"/>
      <c r="N254" s="267" t="s">
        <v>1004</v>
      </c>
      <c r="O254" s="243"/>
      <c r="P254" s="243"/>
      <c r="Q254" s="243"/>
      <c r="X254" s="132"/>
      <c r="Y254" s="71"/>
      <c r="Z254" s="115"/>
      <c r="AA254" s="115"/>
    </row>
    <row r="255" spans="1:28" ht="32" customHeight="1" x14ac:dyDescent="0.2">
      <c r="A255" s="51" t="s">
        <v>49</v>
      </c>
      <c r="B255" s="51" t="s">
        <v>1005</v>
      </c>
      <c r="C255" s="364" t="s">
        <v>1006</v>
      </c>
      <c r="D255" s="364" t="s">
        <v>1007</v>
      </c>
      <c r="E255" s="59"/>
      <c r="F255" s="55" t="s">
        <v>178</v>
      </c>
      <c r="G255" s="52" t="s">
        <v>179</v>
      </c>
      <c r="H255" s="60"/>
      <c r="I255" s="81" t="s">
        <v>32</v>
      </c>
      <c r="J255" s="243"/>
      <c r="K255" s="325" t="s">
        <v>53</v>
      </c>
      <c r="L255" s="306" t="s">
        <v>54</v>
      </c>
      <c r="M255" s="306" t="s">
        <v>55</v>
      </c>
      <c r="N255" s="267" t="s">
        <v>1008</v>
      </c>
      <c r="O255" s="243"/>
      <c r="P255" s="243"/>
      <c r="Q255" s="243"/>
      <c r="X255" s="132"/>
      <c r="Y255" s="71"/>
      <c r="Z255" s="115"/>
      <c r="AA255" s="115"/>
    </row>
    <row r="256" spans="1:28" ht="32" customHeight="1" x14ac:dyDescent="0.2">
      <c r="A256" s="51" t="s">
        <v>1009</v>
      </c>
      <c r="B256" s="51" t="s">
        <v>1010</v>
      </c>
      <c r="C256" s="364" t="s">
        <v>1011</v>
      </c>
      <c r="D256" s="364" t="s">
        <v>1012</v>
      </c>
      <c r="E256" s="59"/>
      <c r="H256" s="60"/>
      <c r="I256" s="81" t="s">
        <v>32</v>
      </c>
      <c r="J256" s="243"/>
      <c r="K256" s="267"/>
      <c r="L256" s="243"/>
      <c r="M256" s="243"/>
      <c r="N256" s="267" t="s">
        <v>1013</v>
      </c>
      <c r="O256" s="243"/>
      <c r="P256" s="243"/>
      <c r="Q256" s="243"/>
      <c r="X256" s="132"/>
      <c r="Y256" s="71"/>
      <c r="Z256" s="115"/>
      <c r="AA256" s="115"/>
    </row>
    <row r="257" spans="1:28" ht="32" customHeight="1" x14ac:dyDescent="0.2">
      <c r="A257" s="51" t="s">
        <v>49</v>
      </c>
      <c r="B257" s="51" t="s">
        <v>1014</v>
      </c>
      <c r="C257" s="364" t="s">
        <v>1015</v>
      </c>
      <c r="D257" s="364" t="s">
        <v>1016</v>
      </c>
      <c r="E257" s="59"/>
      <c r="F257" s="55" t="s">
        <v>178</v>
      </c>
      <c r="G257" s="52" t="s">
        <v>179</v>
      </c>
      <c r="H257" s="60"/>
      <c r="I257" s="81" t="s">
        <v>32</v>
      </c>
      <c r="J257" s="243"/>
      <c r="K257" s="325" t="s">
        <v>53</v>
      </c>
      <c r="L257" s="306" t="s">
        <v>54</v>
      </c>
      <c r="M257" s="306" t="s">
        <v>55</v>
      </c>
      <c r="N257" s="267" t="s">
        <v>1017</v>
      </c>
      <c r="O257" s="243"/>
      <c r="P257" s="243"/>
      <c r="Q257" s="243"/>
      <c r="X257" s="132"/>
      <c r="Y257" s="71"/>
      <c r="Z257" s="115"/>
      <c r="AA257" s="115"/>
    </row>
    <row r="258" spans="1:28" ht="16" customHeight="1" x14ac:dyDescent="0.2">
      <c r="A258" s="51" t="s">
        <v>681</v>
      </c>
      <c r="B258" s="70" t="s">
        <v>1018</v>
      </c>
      <c r="C258" s="364" t="s">
        <v>1019</v>
      </c>
      <c r="D258" s="364" t="s">
        <v>1020</v>
      </c>
      <c r="E258" s="59"/>
      <c r="H258" s="60"/>
      <c r="I258" s="81" t="s">
        <v>32</v>
      </c>
      <c r="J258" s="243"/>
      <c r="K258" s="267"/>
      <c r="L258" s="243"/>
      <c r="M258" s="243"/>
      <c r="N258" s="267" t="s">
        <v>1021</v>
      </c>
      <c r="O258" s="243"/>
      <c r="P258" s="243"/>
      <c r="Q258" s="243"/>
      <c r="X258" s="132"/>
      <c r="Y258" s="71"/>
      <c r="Z258" s="115"/>
      <c r="AA258" s="115"/>
    </row>
    <row r="259" spans="1:28" ht="32" customHeight="1" x14ac:dyDescent="0.2">
      <c r="A259" s="51" t="s">
        <v>49</v>
      </c>
      <c r="B259" s="70" t="s">
        <v>1022</v>
      </c>
      <c r="C259" s="364" t="s">
        <v>1023</v>
      </c>
      <c r="D259" s="364" t="s">
        <v>1024</v>
      </c>
      <c r="E259" s="59"/>
      <c r="F259" s="55" t="s">
        <v>178</v>
      </c>
      <c r="G259" s="52" t="s">
        <v>179</v>
      </c>
      <c r="H259" s="60"/>
      <c r="I259" s="81" t="s">
        <v>32</v>
      </c>
      <c r="J259" s="243"/>
      <c r="K259" s="325" t="s">
        <v>53</v>
      </c>
      <c r="L259" s="306" t="s">
        <v>54</v>
      </c>
      <c r="M259" s="306" t="s">
        <v>55</v>
      </c>
      <c r="N259" s="267" t="s">
        <v>1025</v>
      </c>
      <c r="O259" s="243"/>
      <c r="P259" s="243"/>
      <c r="Q259" s="243"/>
      <c r="X259" s="132"/>
      <c r="Y259" s="71"/>
      <c r="Z259" s="115"/>
      <c r="AA259" s="115"/>
    </row>
    <row r="260" spans="1:28" ht="112" customHeight="1" x14ac:dyDescent="0.2">
      <c r="A260" s="28" t="s">
        <v>1026</v>
      </c>
      <c r="B260" s="52" t="s">
        <v>1027</v>
      </c>
      <c r="C260" s="364" t="s">
        <v>1028</v>
      </c>
      <c r="D260" s="364" t="s">
        <v>1029</v>
      </c>
      <c r="E260" s="59"/>
      <c r="F260" s="55"/>
      <c r="G260" s="52"/>
      <c r="H260" s="60"/>
      <c r="I260" s="81" t="s">
        <v>32</v>
      </c>
      <c r="J260" s="243"/>
      <c r="K260" s="272" t="s">
        <v>694</v>
      </c>
      <c r="L260" s="243"/>
      <c r="M260" s="243"/>
      <c r="N260" s="267"/>
      <c r="O260" s="243"/>
      <c r="P260" s="243"/>
      <c r="Q260" s="243"/>
      <c r="X260" s="132"/>
      <c r="Y260" s="71"/>
      <c r="Z260" s="115"/>
      <c r="AA260" s="115"/>
    </row>
    <row r="261" spans="1:28" ht="16" customHeight="1" x14ac:dyDescent="0.2">
      <c r="A261" s="52" t="s">
        <v>536</v>
      </c>
      <c r="B261" s="52" t="s">
        <v>1030</v>
      </c>
      <c r="C261" s="364" t="s">
        <v>1031</v>
      </c>
      <c r="D261" s="364" t="s">
        <v>1032</v>
      </c>
      <c r="E261" s="59"/>
      <c r="G261" s="53"/>
      <c r="H261" s="60"/>
      <c r="I261" s="81" t="s">
        <v>32</v>
      </c>
      <c r="N261" s="267" t="s">
        <v>1033</v>
      </c>
      <c r="X261" s="132"/>
      <c r="Z261" s="115"/>
      <c r="AA261" s="115"/>
    </row>
    <row r="262" spans="1:28" s="53" customFormat="1" ht="16" customHeight="1" x14ac:dyDescent="0.2">
      <c r="A262" s="55" t="s">
        <v>699</v>
      </c>
      <c r="B262" s="55" t="s">
        <v>1034</v>
      </c>
      <c r="C262" s="364" t="s">
        <v>1035</v>
      </c>
      <c r="D262" s="364" t="s">
        <v>1036</v>
      </c>
      <c r="E262" s="54"/>
      <c r="H262" s="58"/>
      <c r="I262" s="81" t="s">
        <v>32</v>
      </c>
      <c r="J262" s="80"/>
      <c r="K262" s="279"/>
      <c r="L262" s="80"/>
      <c r="M262" s="80"/>
      <c r="N262" s="267" t="s">
        <v>1033</v>
      </c>
      <c r="O262" s="80"/>
      <c r="P262" s="80"/>
      <c r="Q262" s="80"/>
      <c r="X262" s="132"/>
      <c r="Y262" s="114"/>
      <c r="Z262" s="115"/>
      <c r="AA262" s="115"/>
      <c r="AB262" s="52"/>
    </row>
    <row r="263" spans="1:28" ht="16" customHeight="1" x14ac:dyDescent="0.2">
      <c r="A263" s="52" t="s">
        <v>536</v>
      </c>
      <c r="B263" s="52" t="s">
        <v>1037</v>
      </c>
      <c r="C263" s="364" t="s">
        <v>1038</v>
      </c>
      <c r="D263" s="364" t="s">
        <v>1039</v>
      </c>
      <c r="E263" s="59"/>
      <c r="G263" s="53"/>
      <c r="H263" s="60"/>
      <c r="I263" s="81" t="s">
        <v>32</v>
      </c>
      <c r="N263" s="267" t="s">
        <v>1040</v>
      </c>
      <c r="X263" s="132"/>
      <c r="Z263" s="115"/>
      <c r="AA263" s="115"/>
    </row>
    <row r="264" spans="1:28" s="53" customFormat="1" ht="16" customHeight="1" x14ac:dyDescent="0.2">
      <c r="A264" s="55" t="s">
        <v>699</v>
      </c>
      <c r="B264" s="55" t="s">
        <v>1041</v>
      </c>
      <c r="C264" s="364" t="s">
        <v>1042</v>
      </c>
      <c r="D264" s="364" t="s">
        <v>1043</v>
      </c>
      <c r="E264" s="54"/>
      <c r="H264" s="58"/>
      <c r="I264" s="81" t="s">
        <v>32</v>
      </c>
      <c r="J264" s="80"/>
      <c r="K264" s="279"/>
      <c r="L264" s="80"/>
      <c r="M264" s="80"/>
      <c r="N264" s="267" t="s">
        <v>1040</v>
      </c>
      <c r="O264" s="80"/>
      <c r="P264" s="80"/>
      <c r="Q264" s="80"/>
      <c r="X264" s="132"/>
      <c r="Y264" s="114"/>
      <c r="Z264" s="115"/>
      <c r="AA264" s="115"/>
      <c r="AB264" s="52"/>
    </row>
    <row r="265" spans="1:28" ht="16" customHeight="1" x14ac:dyDescent="0.2">
      <c r="A265" s="52" t="s">
        <v>536</v>
      </c>
      <c r="B265" s="52" t="s">
        <v>1044</v>
      </c>
      <c r="C265" s="364" t="s">
        <v>1045</v>
      </c>
      <c r="D265" s="364" t="s">
        <v>1046</v>
      </c>
      <c r="E265" s="59"/>
      <c r="G265" s="53"/>
      <c r="H265" s="60"/>
      <c r="I265" s="81" t="s">
        <v>32</v>
      </c>
      <c r="N265" s="267" t="s">
        <v>1047</v>
      </c>
      <c r="X265" s="132"/>
      <c r="Z265" s="115"/>
      <c r="AA265" s="115"/>
    </row>
    <row r="266" spans="1:28" s="53" customFormat="1" ht="16" customHeight="1" x14ac:dyDescent="0.2">
      <c r="A266" s="55" t="s">
        <v>699</v>
      </c>
      <c r="B266" s="55" t="s">
        <v>1048</v>
      </c>
      <c r="C266" s="364" t="s">
        <v>1049</v>
      </c>
      <c r="D266" s="364" t="s">
        <v>1050</v>
      </c>
      <c r="E266" s="54"/>
      <c r="H266" s="58"/>
      <c r="I266" s="81" t="s">
        <v>32</v>
      </c>
      <c r="J266" s="80"/>
      <c r="K266" s="279"/>
      <c r="L266" s="80"/>
      <c r="M266" s="80"/>
      <c r="N266" s="267" t="s">
        <v>1047</v>
      </c>
      <c r="O266" s="80"/>
      <c r="P266" s="80"/>
      <c r="Q266" s="80"/>
      <c r="X266" s="132"/>
      <c r="Y266" s="114"/>
      <c r="Z266" s="115"/>
      <c r="AA266" s="115"/>
      <c r="AB266" s="52"/>
    </row>
    <row r="267" spans="1:28" ht="16" customHeight="1" x14ac:dyDescent="0.2">
      <c r="A267" s="52" t="s">
        <v>536</v>
      </c>
      <c r="B267" s="52" t="s">
        <v>1051</v>
      </c>
      <c r="C267" s="364" t="s">
        <v>1052</v>
      </c>
      <c r="D267" s="364" t="s">
        <v>1053</v>
      </c>
      <c r="E267" s="59"/>
      <c r="G267" s="53"/>
      <c r="H267" s="60"/>
      <c r="I267" s="81" t="s">
        <v>32</v>
      </c>
      <c r="N267" s="267" t="s">
        <v>1054</v>
      </c>
      <c r="X267" s="132"/>
      <c r="Z267" s="115"/>
      <c r="AA267" s="115"/>
    </row>
    <row r="268" spans="1:28" s="53" customFormat="1" ht="16" customHeight="1" x14ac:dyDescent="0.2">
      <c r="A268" s="55" t="s">
        <v>699</v>
      </c>
      <c r="B268" s="55" t="s">
        <v>1055</v>
      </c>
      <c r="C268" s="364" t="s">
        <v>1056</v>
      </c>
      <c r="D268" s="364" t="s">
        <v>1057</v>
      </c>
      <c r="E268" s="54"/>
      <c r="H268" s="58"/>
      <c r="I268" s="81" t="s">
        <v>32</v>
      </c>
      <c r="J268" s="80"/>
      <c r="K268" s="279"/>
      <c r="L268" s="80"/>
      <c r="M268" s="80"/>
      <c r="N268" s="267" t="s">
        <v>1054</v>
      </c>
      <c r="O268" s="80"/>
      <c r="P268" s="80"/>
      <c r="Q268" s="80"/>
      <c r="X268" s="132"/>
      <c r="Y268" s="114"/>
      <c r="Z268" s="115"/>
      <c r="AA268" s="115"/>
      <c r="AB268" s="52"/>
    </row>
    <row r="269" spans="1:28" ht="16" customHeight="1" x14ac:dyDescent="0.2">
      <c r="A269" s="52" t="s">
        <v>536</v>
      </c>
      <c r="B269" s="52" t="s">
        <v>1058</v>
      </c>
      <c r="C269" s="364" t="s">
        <v>1059</v>
      </c>
      <c r="D269" s="364" t="s">
        <v>1060</v>
      </c>
      <c r="E269" s="59"/>
      <c r="G269" s="53"/>
      <c r="H269" s="60"/>
      <c r="I269" s="81" t="s">
        <v>32</v>
      </c>
      <c r="N269" s="267" t="s">
        <v>1061</v>
      </c>
      <c r="X269" s="132"/>
      <c r="Z269" s="115"/>
      <c r="AA269" s="115"/>
    </row>
    <row r="270" spans="1:28" s="53" customFormat="1" ht="16" customHeight="1" x14ac:dyDescent="0.2">
      <c r="A270" s="55" t="s">
        <v>721</v>
      </c>
      <c r="B270" s="55" t="s">
        <v>1062</v>
      </c>
      <c r="C270" s="364" t="s">
        <v>1063</v>
      </c>
      <c r="D270" s="364" t="s">
        <v>1064</v>
      </c>
      <c r="E270" s="54"/>
      <c r="H270" s="58"/>
      <c r="I270" s="81" t="s">
        <v>32</v>
      </c>
      <c r="J270" s="80"/>
      <c r="K270" s="279"/>
      <c r="L270" s="80"/>
      <c r="M270" s="80"/>
      <c r="N270" s="267" t="s">
        <v>1061</v>
      </c>
      <c r="O270" s="80"/>
      <c r="P270" s="80"/>
      <c r="Q270" s="80"/>
      <c r="X270" s="132"/>
      <c r="Y270" s="114"/>
      <c r="Z270" s="115"/>
      <c r="AA270" s="115"/>
      <c r="AB270" s="52"/>
    </row>
    <row r="271" spans="1:28" ht="32" customHeight="1" x14ac:dyDescent="0.2">
      <c r="A271" s="28" t="s">
        <v>1065</v>
      </c>
      <c r="B271" s="28" t="s">
        <v>1066</v>
      </c>
      <c r="C271" s="364" t="s">
        <v>1067</v>
      </c>
      <c r="D271" s="364" t="s">
        <v>1068</v>
      </c>
      <c r="E271" s="59"/>
      <c r="F271" s="28" t="s">
        <v>533</v>
      </c>
      <c r="G271" s="28" t="s">
        <v>534</v>
      </c>
      <c r="H271" s="60"/>
      <c r="I271" s="81" t="s">
        <v>32</v>
      </c>
      <c r="J271" s="243"/>
      <c r="K271" s="267" t="s">
        <v>744</v>
      </c>
      <c r="L271" s="243" t="s">
        <v>745</v>
      </c>
      <c r="M271" s="243" t="s">
        <v>746</v>
      </c>
      <c r="N271" s="303"/>
      <c r="O271" s="243"/>
      <c r="P271" s="243"/>
      <c r="Q271" s="243"/>
      <c r="X271" s="132"/>
      <c r="Y271" s="71"/>
      <c r="Z271" s="115"/>
      <c r="AA271" s="115"/>
    </row>
    <row r="272" spans="1:28" ht="32" customHeight="1" x14ac:dyDescent="0.2">
      <c r="A272" s="28" t="s">
        <v>49</v>
      </c>
      <c r="B272" s="28" t="s">
        <v>1069</v>
      </c>
      <c r="C272" s="364" t="s">
        <v>1070</v>
      </c>
      <c r="D272" s="364" t="s">
        <v>1071</v>
      </c>
      <c r="E272" s="65"/>
      <c r="F272" s="55" t="s">
        <v>178</v>
      </c>
      <c r="G272" s="52" t="s">
        <v>179</v>
      </c>
      <c r="H272" s="69"/>
      <c r="I272" s="81" t="s">
        <v>32</v>
      </c>
      <c r="K272" s="325" t="s">
        <v>53</v>
      </c>
      <c r="L272" s="306" t="s">
        <v>54</v>
      </c>
      <c r="M272" s="306" t="s">
        <v>55</v>
      </c>
      <c r="N272" s="266" t="s">
        <v>1072</v>
      </c>
      <c r="X272" s="132"/>
      <c r="Y272" s="71">
        <f>'Additional information'!$C$15</f>
        <v>0.91</v>
      </c>
      <c r="Z272" s="115" t="str">
        <f>IF(X272&lt;&gt;"",X272*Y272,"")</f>
        <v/>
      </c>
      <c r="AA272" s="115" t="str">
        <f>IF(AND(X272&lt;&gt;"",V272="yes"),X272*Y272,"")</f>
        <v/>
      </c>
    </row>
    <row r="273" spans="1:28" ht="16" customHeight="1" thickBot="1" x14ac:dyDescent="0.25">
      <c r="A273" s="68" t="s">
        <v>189</v>
      </c>
      <c r="B273" s="68"/>
      <c r="C273" s="371"/>
      <c r="D273" s="374"/>
      <c r="E273" s="244"/>
      <c r="F273" s="68"/>
      <c r="G273" s="68"/>
      <c r="H273" s="73"/>
      <c r="I273" s="247"/>
      <c r="J273" s="247"/>
      <c r="K273" s="273"/>
      <c r="L273" s="247"/>
      <c r="M273" s="247"/>
      <c r="N273" s="273"/>
      <c r="O273" s="247"/>
      <c r="P273" s="247"/>
      <c r="Q273" s="247"/>
      <c r="X273" s="132"/>
      <c r="Z273" s="115" t="str">
        <f>IF(X273&lt;&gt;"",X273*Y273,"")</f>
        <v/>
      </c>
      <c r="AA273" s="115" t="str">
        <f>IF(AND(X273&lt;&gt;"",V273="yes"),X273*Y273,"")</f>
        <v/>
      </c>
    </row>
    <row r="274" spans="1:28" s="49" customFormat="1" ht="65" customHeight="1" thickTop="1" x14ac:dyDescent="0.2">
      <c r="A274" s="282" t="s">
        <v>71</v>
      </c>
      <c r="B274" s="282" t="s">
        <v>1073</v>
      </c>
      <c r="C274" s="367" t="s">
        <v>1074</v>
      </c>
      <c r="D274" s="367" t="s">
        <v>1075</v>
      </c>
      <c r="E274" s="47"/>
      <c r="F274" s="46"/>
      <c r="G274" s="46"/>
      <c r="H274" s="48"/>
      <c r="I274" s="82" t="s">
        <v>62</v>
      </c>
      <c r="J274" s="82"/>
      <c r="K274" s="275"/>
      <c r="L274" s="82"/>
      <c r="M274" s="82"/>
      <c r="N274" s="270" t="s">
        <v>1076</v>
      </c>
      <c r="O274" s="82"/>
      <c r="P274" s="82"/>
      <c r="Q274" s="82"/>
      <c r="V274" s="28" t="s">
        <v>48</v>
      </c>
      <c r="X274" s="132"/>
      <c r="Y274" s="114"/>
      <c r="Z274" s="115" t="str">
        <f>IF(X274&lt;&gt;"",X274*Y274,"")</f>
        <v/>
      </c>
      <c r="AA274" s="115" t="str">
        <f>IF(AND(X274&lt;&gt;"",V274="yes"),X274*Y274,"")</f>
        <v/>
      </c>
      <c r="AB274" s="50"/>
    </row>
    <row r="275" spans="1:28" s="49" customFormat="1" ht="16" customHeight="1" x14ac:dyDescent="0.2">
      <c r="A275" s="51" t="s">
        <v>1077</v>
      </c>
      <c r="B275" s="51" t="s">
        <v>1078</v>
      </c>
      <c r="C275" s="364" t="s">
        <v>1079</v>
      </c>
      <c r="D275" s="364" t="s">
        <v>1080</v>
      </c>
      <c r="E275" s="59"/>
      <c r="F275" s="70"/>
      <c r="G275" s="70"/>
      <c r="H275" s="60"/>
      <c r="I275" s="243" t="s">
        <v>32</v>
      </c>
      <c r="J275" s="243" t="s">
        <v>291</v>
      </c>
      <c r="K275" s="275"/>
      <c r="L275" s="82"/>
      <c r="M275" s="82"/>
      <c r="N275" s="275"/>
      <c r="O275" s="82"/>
      <c r="P275" s="82"/>
      <c r="Q275" s="82"/>
      <c r="V275" s="28" t="s">
        <v>48</v>
      </c>
      <c r="X275" s="132">
        <v>13.99939060211182</v>
      </c>
      <c r="Y275" s="71">
        <f>'Additional information'!$C$15</f>
        <v>0.91</v>
      </c>
      <c r="Z275" s="115">
        <f>IF(X275&lt;&gt;"",X275*Y275,"")</f>
        <v>12.739445447921756</v>
      </c>
      <c r="AA275" s="115">
        <f>IF(AND(X275&lt;&gt;"",V275="yes"),X275*Y275,"")</f>
        <v>12.739445447921756</v>
      </c>
      <c r="AB275" s="50"/>
    </row>
    <row r="276" spans="1:28" x14ac:dyDescent="0.2">
      <c r="A276" s="51" t="s">
        <v>125</v>
      </c>
      <c r="B276" s="51" t="s">
        <v>1081</v>
      </c>
      <c r="C276" s="373"/>
      <c r="D276" s="374"/>
      <c r="E276" s="59"/>
      <c r="H276" s="60"/>
      <c r="I276" s="243"/>
      <c r="J276" s="243"/>
      <c r="K276" s="26"/>
      <c r="L276" s="243"/>
      <c r="M276" s="243"/>
      <c r="N276" s="26"/>
      <c r="O276" s="243"/>
      <c r="P276" s="243"/>
      <c r="Q276" s="243" t="s">
        <v>1082</v>
      </c>
      <c r="V276" s="28" t="s">
        <v>48</v>
      </c>
      <c r="X276" s="132"/>
      <c r="Y276" s="71">
        <f>'Additional information'!$C$15</f>
        <v>0.91</v>
      </c>
      <c r="Z276" s="115" t="str">
        <f>IF(X276&lt;&gt;"",X276*Y276,"")</f>
        <v/>
      </c>
      <c r="AA276" s="115" t="str">
        <f>IF(AND(X276&lt;&gt;"",V276="yes"),X276*Y276,"")</f>
        <v/>
      </c>
    </row>
    <row r="277" spans="1:28" ht="16" customHeight="1" x14ac:dyDescent="0.2">
      <c r="A277" s="51" t="s">
        <v>155</v>
      </c>
      <c r="B277" s="51" t="s">
        <v>1083</v>
      </c>
      <c r="C277" s="364" t="s">
        <v>1084</v>
      </c>
      <c r="D277" s="364" t="s">
        <v>1085</v>
      </c>
      <c r="E277" s="59"/>
      <c r="H277" s="60"/>
      <c r="I277" s="81" t="s">
        <v>32</v>
      </c>
      <c r="J277" s="243"/>
      <c r="K277" s="26"/>
      <c r="L277" s="243"/>
      <c r="M277" s="243"/>
      <c r="N277" s="26"/>
      <c r="O277" s="243"/>
      <c r="P277" s="243"/>
      <c r="Q277" s="243"/>
      <c r="X277" s="132"/>
      <c r="Y277" s="71"/>
      <c r="Z277" s="115"/>
      <c r="AA277" s="115"/>
    </row>
    <row r="278" spans="1:28" ht="16" customHeight="1" x14ac:dyDescent="0.2">
      <c r="A278" s="28" t="s">
        <v>1086</v>
      </c>
      <c r="B278" s="51" t="s">
        <v>1087</v>
      </c>
      <c r="C278" s="364" t="s">
        <v>1088</v>
      </c>
      <c r="D278" s="364" t="s">
        <v>1089</v>
      </c>
      <c r="E278" s="59"/>
      <c r="H278" s="60"/>
      <c r="I278" s="81" t="s">
        <v>32</v>
      </c>
      <c r="N278" s="267" t="s">
        <v>1090</v>
      </c>
      <c r="X278" s="132"/>
      <c r="Y278" s="71">
        <f>'Additional information'!$C$15</f>
        <v>0.91</v>
      </c>
      <c r="Z278" s="115" t="str">
        <f t="shared" ref="Z278:Z285" si="10">IF(X278&lt;&gt;"",X278*Y278,"")</f>
        <v/>
      </c>
      <c r="AA278" s="115" t="str">
        <f t="shared" ref="AA278:AA285" si="11">IF(AND(X278&lt;&gt;"",V278="yes"),X278*Y278,"")</f>
        <v/>
      </c>
    </row>
    <row r="279" spans="1:28" ht="16" customHeight="1" x14ac:dyDescent="0.2">
      <c r="A279" s="51" t="s">
        <v>155</v>
      </c>
      <c r="B279" s="51" t="s">
        <v>1091</v>
      </c>
      <c r="C279" s="364" t="s">
        <v>1092</v>
      </c>
      <c r="D279" s="364" t="s">
        <v>1093</v>
      </c>
      <c r="E279" s="59"/>
      <c r="H279" s="60"/>
      <c r="I279" s="81" t="s">
        <v>32</v>
      </c>
      <c r="J279" s="243"/>
      <c r="K279" s="26"/>
      <c r="L279" s="243"/>
      <c r="M279" s="243"/>
      <c r="N279" s="26"/>
      <c r="O279" s="243"/>
      <c r="P279" s="243"/>
      <c r="Q279" s="243"/>
      <c r="V279" s="28" t="s">
        <v>48</v>
      </c>
      <c r="X279" s="132">
        <v>10.25279426574707</v>
      </c>
      <c r="Y279" s="71">
        <f>'Additional information'!$C$15</f>
        <v>0.91</v>
      </c>
      <c r="Z279" s="115">
        <f t="shared" si="10"/>
        <v>9.3300427818298335</v>
      </c>
      <c r="AA279" s="115">
        <f t="shared" si="11"/>
        <v>9.3300427818298335</v>
      </c>
    </row>
    <row r="280" spans="1:28" ht="96" customHeight="1" x14ac:dyDescent="0.2">
      <c r="A280" s="51" t="s">
        <v>1094</v>
      </c>
      <c r="B280" s="51" t="s">
        <v>1095</v>
      </c>
      <c r="C280" s="364" t="s">
        <v>1096</v>
      </c>
      <c r="D280" s="364" t="s">
        <v>1097</v>
      </c>
      <c r="E280" s="59"/>
      <c r="F280" s="28" t="s">
        <v>533</v>
      </c>
      <c r="G280" s="28" t="s">
        <v>534</v>
      </c>
      <c r="H280" s="60"/>
      <c r="I280" s="81" t="s">
        <v>32</v>
      </c>
      <c r="J280" s="243"/>
      <c r="K280" s="267" t="s">
        <v>774</v>
      </c>
      <c r="L280" s="81"/>
      <c r="M280" s="81"/>
      <c r="N280" s="267" t="s">
        <v>1098</v>
      </c>
      <c r="O280" s="243"/>
      <c r="P280" s="243"/>
      <c r="Q280" s="243"/>
      <c r="V280" s="28" t="s">
        <v>48</v>
      </c>
      <c r="X280" s="132">
        <v>24.194343566894531</v>
      </c>
      <c r="Y280" s="71">
        <f>'Additional information'!$C$15</f>
        <v>0.91</v>
      </c>
      <c r="Z280" s="115">
        <f t="shared" si="10"/>
        <v>22.016852645874025</v>
      </c>
      <c r="AA280" s="115">
        <f t="shared" si="11"/>
        <v>22.016852645874025</v>
      </c>
    </row>
    <row r="281" spans="1:28" ht="16" customHeight="1" x14ac:dyDescent="0.2">
      <c r="A281" s="51" t="s">
        <v>316</v>
      </c>
      <c r="B281" s="51" t="s">
        <v>1099</v>
      </c>
      <c r="C281" s="364" t="s">
        <v>1100</v>
      </c>
      <c r="D281" s="364" t="s">
        <v>1101</v>
      </c>
      <c r="E281" s="59"/>
      <c r="F281" s="51" t="s">
        <v>779</v>
      </c>
      <c r="G281" s="70" t="s">
        <v>1102</v>
      </c>
      <c r="H281" s="60"/>
      <c r="I281" s="243" t="s">
        <v>32</v>
      </c>
      <c r="J281" s="243"/>
      <c r="K281" s="26"/>
      <c r="L281" s="243"/>
      <c r="M281" s="243"/>
      <c r="N281" s="267"/>
      <c r="O281" s="243"/>
      <c r="P281" s="243"/>
      <c r="Q281" s="243"/>
      <c r="V281" s="28" t="s">
        <v>48</v>
      </c>
      <c r="X281" s="132">
        <v>19.321737289428711</v>
      </c>
      <c r="Y281" s="71">
        <f>'Additional information'!$C$15</f>
        <v>0.91</v>
      </c>
      <c r="Z281" s="115">
        <f t="shared" si="10"/>
        <v>17.582780933380128</v>
      </c>
      <c r="AA281" s="115">
        <f t="shared" si="11"/>
        <v>17.582780933380128</v>
      </c>
    </row>
    <row r="282" spans="1:28" ht="16" customHeight="1" thickBot="1" x14ac:dyDescent="0.25">
      <c r="A282" s="68" t="s">
        <v>189</v>
      </c>
      <c r="B282" s="68"/>
      <c r="C282" s="371"/>
      <c r="D282" s="374"/>
      <c r="E282" s="244"/>
      <c r="F282" s="68"/>
      <c r="G282" s="68"/>
      <c r="H282" s="73"/>
      <c r="I282" s="247"/>
      <c r="J282" s="247"/>
      <c r="K282" s="273"/>
      <c r="L282" s="247"/>
      <c r="M282" s="247"/>
      <c r="N282" s="273"/>
      <c r="O282" s="247"/>
      <c r="P282" s="247"/>
      <c r="Q282" s="247"/>
      <c r="X282" s="132"/>
      <c r="Z282" s="115" t="str">
        <f t="shared" si="10"/>
        <v/>
      </c>
      <c r="AA282" s="115" t="str">
        <f t="shared" si="11"/>
        <v/>
      </c>
    </row>
    <row r="283" spans="1:28" s="49" customFormat="1" ht="99" customHeight="1" thickTop="1" x14ac:dyDescent="0.2">
      <c r="A283" s="282" t="s">
        <v>71</v>
      </c>
      <c r="B283" s="282" t="s">
        <v>1103</v>
      </c>
      <c r="C283" s="367" t="s">
        <v>1104</v>
      </c>
      <c r="D283" s="367" t="s">
        <v>1105</v>
      </c>
      <c r="E283" s="47"/>
      <c r="F283" s="46"/>
      <c r="G283" s="46"/>
      <c r="H283" s="48"/>
      <c r="I283" s="82" t="s">
        <v>62</v>
      </c>
      <c r="J283" s="82"/>
      <c r="K283" s="275"/>
      <c r="L283" s="82"/>
      <c r="M283" s="82"/>
      <c r="N283" s="278" t="s">
        <v>1106</v>
      </c>
      <c r="O283" s="82"/>
      <c r="P283" s="82"/>
      <c r="Q283" s="82"/>
      <c r="V283" s="28" t="s">
        <v>48</v>
      </c>
      <c r="X283" s="132"/>
      <c r="Y283" s="50"/>
      <c r="Z283" s="115" t="str">
        <f t="shared" si="10"/>
        <v/>
      </c>
      <c r="AA283" s="115" t="str">
        <f t="shared" si="11"/>
        <v/>
      </c>
      <c r="AB283" s="50"/>
    </row>
    <row r="284" spans="1:28" s="52" customFormat="1" ht="32" customHeight="1" x14ac:dyDescent="0.2">
      <c r="A284" s="55" t="s">
        <v>56</v>
      </c>
      <c r="B284" s="55" t="s">
        <v>1107</v>
      </c>
      <c r="C284" s="394" t="s">
        <v>1108</v>
      </c>
      <c r="D284" s="366" t="s">
        <v>1109</v>
      </c>
      <c r="E284" s="65"/>
      <c r="H284" s="67"/>
      <c r="I284" s="81" t="s">
        <v>62</v>
      </c>
      <c r="J284" s="81"/>
      <c r="K284" s="267"/>
      <c r="L284" s="81"/>
      <c r="M284" s="81"/>
      <c r="N284" s="267"/>
      <c r="O284" s="81"/>
      <c r="P284" s="81"/>
      <c r="Q284" s="81"/>
      <c r="V284" s="52" t="s">
        <v>48</v>
      </c>
      <c r="X284" s="132">
        <v>7.5</v>
      </c>
      <c r="Y284" s="71">
        <f>'Additional information'!$C$16</f>
        <v>0.05</v>
      </c>
      <c r="Z284" s="115">
        <f t="shared" si="10"/>
        <v>0.375</v>
      </c>
      <c r="AA284" s="115">
        <f t="shared" si="11"/>
        <v>0.375</v>
      </c>
    </row>
    <row r="285" spans="1:28" ht="96" customHeight="1" x14ac:dyDescent="0.2">
      <c r="A285" s="51" t="s">
        <v>1110</v>
      </c>
      <c r="B285" s="51" t="s">
        <v>1111</v>
      </c>
      <c r="C285" s="364" t="s">
        <v>1112</v>
      </c>
      <c r="D285" s="364" t="s">
        <v>1113</v>
      </c>
      <c r="E285" s="59"/>
      <c r="F285" s="28" t="s">
        <v>1114</v>
      </c>
      <c r="G285" s="28" t="s">
        <v>652</v>
      </c>
      <c r="H285" s="60"/>
      <c r="I285" s="81" t="s">
        <v>32</v>
      </c>
      <c r="J285" s="243"/>
      <c r="K285" s="26" t="s">
        <v>774</v>
      </c>
      <c r="L285" s="243"/>
      <c r="M285" s="243"/>
      <c r="N285" s="26"/>
      <c r="O285" s="243"/>
      <c r="P285" s="243"/>
      <c r="Q285" s="243"/>
      <c r="V285" s="28" t="s">
        <v>48</v>
      </c>
      <c r="X285" s="132">
        <v>19.090116500854489</v>
      </c>
      <c r="Y285" s="71">
        <f>'Additional information'!$C$16</f>
        <v>0.05</v>
      </c>
      <c r="Z285" s="115">
        <f t="shared" si="10"/>
        <v>0.95450582504272452</v>
      </c>
      <c r="AA285" s="115">
        <f t="shared" si="11"/>
        <v>0.95450582504272452</v>
      </c>
    </row>
    <row r="286" spans="1:28" ht="16" customHeight="1" x14ac:dyDescent="0.2">
      <c r="A286" s="52" t="s">
        <v>536</v>
      </c>
      <c r="B286" s="51" t="s">
        <v>1115</v>
      </c>
      <c r="C286" s="364" t="s">
        <v>1116</v>
      </c>
      <c r="D286" s="364" t="s">
        <v>1117</v>
      </c>
      <c r="E286" s="59"/>
      <c r="H286" s="60"/>
      <c r="I286" s="81" t="s">
        <v>32</v>
      </c>
      <c r="J286" s="243"/>
      <c r="K286" s="26"/>
      <c r="L286" s="243"/>
      <c r="M286" s="243"/>
      <c r="N286" s="26"/>
      <c r="O286" s="243"/>
      <c r="P286" s="243"/>
      <c r="Q286" s="243"/>
      <c r="X286" s="132"/>
      <c r="Y286" s="71"/>
      <c r="Z286" s="115"/>
      <c r="AA286" s="115"/>
    </row>
    <row r="287" spans="1:28" ht="16" customHeight="1" x14ac:dyDescent="0.2">
      <c r="A287" s="51" t="s">
        <v>316</v>
      </c>
      <c r="B287" s="51" t="s">
        <v>1118</v>
      </c>
      <c r="C287" s="364" t="s">
        <v>1119</v>
      </c>
      <c r="D287" s="364" t="s">
        <v>1120</v>
      </c>
      <c r="E287" s="59"/>
      <c r="H287" s="60"/>
      <c r="I287" s="81" t="s">
        <v>32</v>
      </c>
      <c r="J287" s="243"/>
      <c r="K287" s="26"/>
      <c r="L287" s="243"/>
      <c r="M287" s="243"/>
      <c r="N287" s="26"/>
      <c r="O287" s="243"/>
      <c r="P287" s="243"/>
      <c r="Q287" s="243"/>
      <c r="V287" s="28" t="s">
        <v>48</v>
      </c>
      <c r="X287" s="132">
        <v>17.656976699829102</v>
      </c>
      <c r="Y287" s="71">
        <f>'Additional information'!$C$16</f>
        <v>0.05</v>
      </c>
      <c r="Z287" s="115">
        <f t="shared" ref="Z287:Z292" si="12">IF(X287&lt;&gt;"",X287*Y287,"")</f>
        <v>0.88284883499145517</v>
      </c>
      <c r="AA287" s="115">
        <f t="shared" ref="AA287:AA292" si="13">IF(AND(X287&lt;&gt;"",V287="yes"),X287*Y287,"")</f>
        <v>0.88284883499145517</v>
      </c>
    </row>
    <row r="288" spans="1:28" ht="16" customHeight="1" x14ac:dyDescent="0.2">
      <c r="A288" s="51" t="s">
        <v>155</v>
      </c>
      <c r="B288" s="51" t="s">
        <v>1121</v>
      </c>
      <c r="C288" s="364" t="s">
        <v>1122</v>
      </c>
      <c r="D288" s="364" t="s">
        <v>1123</v>
      </c>
      <c r="E288" s="59"/>
      <c r="H288" s="60"/>
      <c r="I288" s="243" t="s">
        <v>32</v>
      </c>
      <c r="J288" s="243"/>
      <c r="K288" s="26"/>
      <c r="L288" s="243"/>
      <c r="M288" s="243"/>
      <c r="N288" s="26"/>
      <c r="O288" s="243"/>
      <c r="P288" s="243"/>
      <c r="Q288" s="243"/>
      <c r="V288" s="28" t="s">
        <v>48</v>
      </c>
      <c r="X288" s="133">
        <v>8.7647056579589844</v>
      </c>
      <c r="Y288" s="71">
        <f>'Additional information'!$C$16</f>
        <v>0.05</v>
      </c>
      <c r="Z288" s="115">
        <f t="shared" si="12"/>
        <v>0.43823528289794922</v>
      </c>
      <c r="AA288" s="115">
        <f t="shared" si="13"/>
        <v>0.43823528289794922</v>
      </c>
    </row>
    <row r="289" spans="1:28" ht="96" customHeight="1" x14ac:dyDescent="0.2">
      <c r="A289" s="51" t="s">
        <v>1124</v>
      </c>
      <c r="B289" s="51" t="s">
        <v>1125</v>
      </c>
      <c r="C289" s="364" t="s">
        <v>1126</v>
      </c>
      <c r="D289" s="364" t="s">
        <v>1127</v>
      </c>
      <c r="E289" s="59"/>
      <c r="F289" s="28" t="s">
        <v>533</v>
      </c>
      <c r="G289" s="28" t="s">
        <v>534</v>
      </c>
      <c r="H289" s="60"/>
      <c r="I289" s="81" t="s">
        <v>32</v>
      </c>
      <c r="J289" s="243"/>
      <c r="K289" s="267" t="s">
        <v>774</v>
      </c>
      <c r="L289" s="243"/>
      <c r="M289" s="243"/>
      <c r="N289" s="267" t="s">
        <v>1128</v>
      </c>
      <c r="O289" s="243"/>
      <c r="P289" s="243"/>
      <c r="Q289" s="243"/>
      <c r="V289" s="28" t="s">
        <v>48</v>
      </c>
      <c r="X289" s="133">
        <v>27.9538459777832</v>
      </c>
      <c r="Y289" s="71">
        <f>'Additional information'!$C$16</f>
        <v>0.05</v>
      </c>
      <c r="Z289" s="115">
        <f t="shared" si="12"/>
        <v>1.39769229888916</v>
      </c>
      <c r="AA289" s="115">
        <f t="shared" si="13"/>
        <v>1.39769229888916</v>
      </c>
    </row>
    <row r="290" spans="1:28" ht="32" customHeight="1" x14ac:dyDescent="0.2">
      <c r="A290" s="51" t="s">
        <v>49</v>
      </c>
      <c r="B290" s="51" t="s">
        <v>1129</v>
      </c>
      <c r="C290" s="364" t="s">
        <v>1130</v>
      </c>
      <c r="D290" s="364" t="s">
        <v>1131</v>
      </c>
      <c r="E290" s="65"/>
      <c r="F290" s="52" t="s">
        <v>178</v>
      </c>
      <c r="G290" s="52" t="s">
        <v>179</v>
      </c>
      <c r="H290" s="60"/>
      <c r="I290" s="243" t="s">
        <v>32</v>
      </c>
      <c r="J290" s="243"/>
      <c r="K290" s="325" t="s">
        <v>53</v>
      </c>
      <c r="L290" s="306" t="s">
        <v>54</v>
      </c>
      <c r="M290" s="306" t="s">
        <v>55</v>
      </c>
      <c r="N290" s="26" t="s">
        <v>1132</v>
      </c>
      <c r="O290" s="243"/>
      <c r="P290" s="243"/>
      <c r="Q290" s="243"/>
      <c r="V290" s="28" t="s">
        <v>48</v>
      </c>
      <c r="X290" s="132"/>
      <c r="Y290" s="71">
        <f>'Additional information'!$C$16</f>
        <v>0.05</v>
      </c>
      <c r="Z290" s="115" t="str">
        <f t="shared" si="12"/>
        <v/>
      </c>
      <c r="AA290" s="115" t="str">
        <f t="shared" si="13"/>
        <v/>
      </c>
    </row>
    <row r="291" spans="1:28" s="53" customFormat="1" ht="96" customHeight="1" x14ac:dyDescent="0.2">
      <c r="A291" s="52" t="s">
        <v>1133</v>
      </c>
      <c r="B291" s="52" t="s">
        <v>1134</v>
      </c>
      <c r="C291" s="364" t="s">
        <v>1135</v>
      </c>
      <c r="D291" s="364" t="s">
        <v>1136</v>
      </c>
      <c r="E291" s="65"/>
      <c r="F291" s="52" t="s">
        <v>1114</v>
      </c>
      <c r="G291" s="52" t="s">
        <v>652</v>
      </c>
      <c r="H291" s="67"/>
      <c r="I291" s="86" t="s">
        <v>32</v>
      </c>
      <c r="J291" s="80"/>
      <c r="K291" s="267" t="s">
        <v>774</v>
      </c>
      <c r="L291" s="80"/>
      <c r="M291" s="80"/>
      <c r="N291" s="26" t="s">
        <v>1137</v>
      </c>
      <c r="O291" s="80"/>
      <c r="P291" s="80"/>
      <c r="Q291" s="80"/>
      <c r="V291" s="53" t="s">
        <v>34</v>
      </c>
      <c r="X291" s="132">
        <v>21.25</v>
      </c>
      <c r="Y291" s="71">
        <f>'Additional information'!$C$16</f>
        <v>0.05</v>
      </c>
      <c r="Z291" s="115">
        <f t="shared" si="12"/>
        <v>1.0625</v>
      </c>
      <c r="AA291" s="115" t="str">
        <f t="shared" si="13"/>
        <v/>
      </c>
      <c r="AB291" s="52"/>
    </row>
    <row r="292" spans="1:28" s="53" customFormat="1" ht="32" customHeight="1" x14ac:dyDescent="0.2">
      <c r="A292" s="52" t="s">
        <v>49</v>
      </c>
      <c r="B292" s="52" t="s">
        <v>1138</v>
      </c>
      <c r="C292" s="364" t="s">
        <v>1139</v>
      </c>
      <c r="D292" s="364" t="s">
        <v>1140</v>
      </c>
      <c r="E292" s="65"/>
      <c r="F292" s="52" t="s">
        <v>178</v>
      </c>
      <c r="G292" s="52" t="s">
        <v>179</v>
      </c>
      <c r="H292" s="67"/>
      <c r="I292" s="86" t="s">
        <v>32</v>
      </c>
      <c r="J292" s="80"/>
      <c r="K292" s="325" t="s">
        <v>53</v>
      </c>
      <c r="L292" s="306" t="s">
        <v>54</v>
      </c>
      <c r="M292" s="306" t="s">
        <v>55</v>
      </c>
      <c r="N292" s="26" t="s">
        <v>1141</v>
      </c>
      <c r="O292" s="80"/>
      <c r="P292" s="80"/>
      <c r="Q292" s="80"/>
      <c r="V292" s="53" t="s">
        <v>34</v>
      </c>
      <c r="X292" s="132"/>
      <c r="Y292" s="71">
        <f>'Additional information'!$C$16</f>
        <v>0.05</v>
      </c>
      <c r="Z292" s="115" t="str">
        <f t="shared" si="12"/>
        <v/>
      </c>
      <c r="AA292" s="115" t="str">
        <f t="shared" si="13"/>
        <v/>
      </c>
      <c r="AB292" s="52"/>
    </row>
    <row r="293" spans="1:28" s="53" customFormat="1" ht="112" customHeight="1" x14ac:dyDescent="0.2">
      <c r="A293" s="28" t="s">
        <v>1142</v>
      </c>
      <c r="B293" s="210" t="s">
        <v>1143</v>
      </c>
      <c r="C293" s="364" t="s">
        <v>1144</v>
      </c>
      <c r="D293" s="364" t="s">
        <v>1145</v>
      </c>
      <c r="E293" s="54"/>
      <c r="H293" s="58"/>
      <c r="I293" s="81" t="s">
        <v>32</v>
      </c>
      <c r="J293" s="80"/>
      <c r="K293" s="272" t="s">
        <v>694</v>
      </c>
      <c r="L293" s="80"/>
      <c r="M293" s="80"/>
      <c r="N293" s="26"/>
      <c r="O293" s="80"/>
      <c r="P293" s="80"/>
      <c r="Q293" s="80"/>
      <c r="X293" s="132"/>
      <c r="Y293" s="71"/>
      <c r="Z293" s="115"/>
      <c r="AA293" s="115"/>
      <c r="AB293" s="52"/>
    </row>
    <row r="294" spans="1:28" s="53" customFormat="1" ht="16" customHeight="1" x14ac:dyDescent="0.2">
      <c r="A294" s="52" t="s">
        <v>536</v>
      </c>
      <c r="B294" s="210" t="s">
        <v>1146</v>
      </c>
      <c r="C294" s="364" t="s">
        <v>1147</v>
      </c>
      <c r="D294" s="364" t="s">
        <v>1148</v>
      </c>
      <c r="E294" s="54"/>
      <c r="H294" s="58"/>
      <c r="I294" s="81" t="s">
        <v>32</v>
      </c>
      <c r="J294" s="80"/>
      <c r="K294" s="279"/>
      <c r="L294" s="80"/>
      <c r="M294" s="80"/>
      <c r="N294" s="26" t="s">
        <v>1149</v>
      </c>
      <c r="O294" s="80"/>
      <c r="P294" s="80"/>
      <c r="Q294" s="80"/>
      <c r="X294" s="132"/>
      <c r="Y294" s="71"/>
      <c r="Z294" s="115"/>
      <c r="AA294" s="115"/>
      <c r="AB294" s="52"/>
    </row>
    <row r="295" spans="1:28" s="53" customFormat="1" ht="16" customHeight="1" x14ac:dyDescent="0.2">
      <c r="A295" s="208" t="s">
        <v>699</v>
      </c>
      <c r="B295" s="208" t="s">
        <v>1150</v>
      </c>
      <c r="C295" s="364" t="s">
        <v>1151</v>
      </c>
      <c r="D295" s="364" t="s">
        <v>1152</v>
      </c>
      <c r="E295" s="54"/>
      <c r="H295" s="58"/>
      <c r="I295" s="81" t="s">
        <v>32</v>
      </c>
      <c r="J295" s="80"/>
      <c r="K295" s="279"/>
      <c r="L295" s="80"/>
      <c r="M295" s="80"/>
      <c r="N295" s="26" t="s">
        <v>1149</v>
      </c>
      <c r="O295" s="80"/>
      <c r="P295" s="80"/>
      <c r="Q295" s="80"/>
      <c r="X295" s="132"/>
      <c r="Y295" s="71"/>
      <c r="Z295" s="115"/>
      <c r="AA295" s="115"/>
      <c r="AB295" s="52"/>
    </row>
    <row r="296" spans="1:28" s="53" customFormat="1" ht="16" customHeight="1" x14ac:dyDescent="0.2">
      <c r="A296" s="52" t="s">
        <v>536</v>
      </c>
      <c r="B296" s="210" t="s">
        <v>1153</v>
      </c>
      <c r="C296" s="364" t="s">
        <v>1154</v>
      </c>
      <c r="D296" s="364" t="s">
        <v>1155</v>
      </c>
      <c r="E296" s="54"/>
      <c r="H296" s="58"/>
      <c r="I296" s="81" t="s">
        <v>32</v>
      </c>
      <c r="J296" s="80"/>
      <c r="K296" s="279"/>
      <c r="L296" s="80"/>
      <c r="M296" s="80"/>
      <c r="N296" s="26" t="s">
        <v>1156</v>
      </c>
      <c r="O296" s="80"/>
      <c r="P296" s="80"/>
      <c r="Q296" s="80"/>
      <c r="X296" s="132"/>
      <c r="Y296" s="71"/>
      <c r="Z296" s="115"/>
      <c r="AA296" s="115"/>
      <c r="AB296" s="52"/>
    </row>
    <row r="297" spans="1:28" s="53" customFormat="1" ht="16" customHeight="1" x14ac:dyDescent="0.2">
      <c r="A297" s="208" t="s">
        <v>699</v>
      </c>
      <c r="B297" s="208" t="s">
        <v>1157</v>
      </c>
      <c r="C297" s="364" t="s">
        <v>1158</v>
      </c>
      <c r="D297" s="364" t="s">
        <v>1159</v>
      </c>
      <c r="E297" s="54"/>
      <c r="H297" s="58"/>
      <c r="I297" s="81" t="s">
        <v>32</v>
      </c>
      <c r="J297" s="80"/>
      <c r="K297" s="279"/>
      <c r="L297" s="80"/>
      <c r="M297" s="80"/>
      <c r="N297" s="26" t="s">
        <v>1156</v>
      </c>
      <c r="O297" s="80"/>
      <c r="P297" s="80"/>
      <c r="Q297" s="80"/>
      <c r="X297" s="132"/>
      <c r="Y297" s="71"/>
      <c r="Z297" s="115"/>
      <c r="AA297" s="115"/>
      <c r="AB297" s="52"/>
    </row>
    <row r="298" spans="1:28" s="53" customFormat="1" ht="16" customHeight="1" x14ac:dyDescent="0.2">
      <c r="A298" s="52" t="s">
        <v>536</v>
      </c>
      <c r="B298" s="210" t="s">
        <v>1160</v>
      </c>
      <c r="C298" s="364" t="s">
        <v>1161</v>
      </c>
      <c r="D298" s="364" t="s">
        <v>1162</v>
      </c>
      <c r="E298" s="54"/>
      <c r="H298" s="58"/>
      <c r="I298" s="81" t="s">
        <v>32</v>
      </c>
      <c r="J298" s="80"/>
      <c r="K298" s="279"/>
      <c r="L298" s="80"/>
      <c r="M298" s="80"/>
      <c r="N298" s="26" t="s">
        <v>1163</v>
      </c>
      <c r="O298" s="80"/>
      <c r="P298" s="80"/>
      <c r="Q298" s="80"/>
      <c r="X298" s="132"/>
      <c r="Y298" s="71"/>
      <c r="Z298" s="115"/>
      <c r="AA298" s="115"/>
      <c r="AB298" s="52"/>
    </row>
    <row r="299" spans="1:28" s="53" customFormat="1" ht="16" customHeight="1" x14ac:dyDescent="0.2">
      <c r="A299" s="208" t="s">
        <v>699</v>
      </c>
      <c r="B299" s="208" t="s">
        <v>1164</v>
      </c>
      <c r="C299" s="364" t="s">
        <v>1165</v>
      </c>
      <c r="D299" s="364" t="s">
        <v>1166</v>
      </c>
      <c r="E299" s="54"/>
      <c r="H299" s="58"/>
      <c r="I299" s="81" t="s">
        <v>32</v>
      </c>
      <c r="J299" s="80"/>
      <c r="K299" s="279"/>
      <c r="L299" s="80"/>
      <c r="M299" s="80"/>
      <c r="N299" s="26" t="s">
        <v>1163</v>
      </c>
      <c r="O299" s="80"/>
      <c r="P299" s="80"/>
      <c r="Q299" s="80"/>
      <c r="X299" s="132"/>
      <c r="Y299" s="71"/>
      <c r="Z299" s="115"/>
      <c r="AA299" s="115"/>
      <c r="AB299" s="52"/>
    </row>
    <row r="300" spans="1:28" s="53" customFormat="1" ht="16" customHeight="1" x14ac:dyDescent="0.2">
      <c r="A300" s="52" t="s">
        <v>536</v>
      </c>
      <c r="B300" s="210" t="s">
        <v>1167</v>
      </c>
      <c r="C300" s="364" t="s">
        <v>1168</v>
      </c>
      <c r="D300" s="364" t="s">
        <v>1169</v>
      </c>
      <c r="E300" s="54"/>
      <c r="H300" s="58"/>
      <c r="I300" s="81" t="s">
        <v>32</v>
      </c>
      <c r="J300" s="80"/>
      <c r="K300" s="279"/>
      <c r="L300" s="80"/>
      <c r="M300" s="80"/>
      <c r="N300" s="26" t="s">
        <v>1170</v>
      </c>
      <c r="O300" s="80"/>
      <c r="P300" s="80"/>
      <c r="Q300" s="80"/>
      <c r="X300" s="132"/>
      <c r="Y300" s="71"/>
      <c r="Z300" s="115"/>
      <c r="AA300" s="115"/>
      <c r="AB300" s="52"/>
    </row>
    <row r="301" spans="1:28" s="53" customFormat="1" ht="16" customHeight="1" x14ac:dyDescent="0.2">
      <c r="A301" s="208" t="s">
        <v>721</v>
      </c>
      <c r="B301" s="208" t="s">
        <v>1171</v>
      </c>
      <c r="C301" s="364" t="s">
        <v>1172</v>
      </c>
      <c r="D301" s="364" t="s">
        <v>1173</v>
      </c>
      <c r="E301" s="54"/>
      <c r="H301" s="58"/>
      <c r="I301" s="81" t="s">
        <v>32</v>
      </c>
      <c r="J301" s="80"/>
      <c r="K301" s="279"/>
      <c r="L301" s="80"/>
      <c r="M301" s="80"/>
      <c r="N301" s="26" t="s">
        <v>1170</v>
      </c>
      <c r="O301" s="80"/>
      <c r="P301" s="80"/>
      <c r="Q301" s="80"/>
      <c r="X301" s="132"/>
      <c r="Y301" s="71"/>
      <c r="Z301" s="115"/>
      <c r="AA301" s="115"/>
      <c r="AB301" s="52"/>
    </row>
    <row r="302" spans="1:28" s="53" customFormat="1" ht="16" customHeight="1" x14ac:dyDescent="0.2">
      <c r="A302" s="52" t="s">
        <v>536</v>
      </c>
      <c r="B302" s="210" t="s">
        <v>1174</v>
      </c>
      <c r="C302" s="364" t="s">
        <v>1175</v>
      </c>
      <c r="D302" s="364" t="s">
        <v>1176</v>
      </c>
      <c r="E302" s="54"/>
      <c r="H302" s="58"/>
      <c r="I302" s="81" t="s">
        <v>32</v>
      </c>
      <c r="J302" s="80"/>
      <c r="K302" s="279"/>
      <c r="L302" s="80"/>
      <c r="M302" s="80"/>
      <c r="N302" s="26" t="s">
        <v>1170</v>
      </c>
      <c r="O302" s="80"/>
      <c r="P302" s="80"/>
      <c r="Q302" s="80"/>
      <c r="X302" s="132"/>
      <c r="Y302" s="71">
        <f>'Additional information'!$C$16</f>
        <v>0.05</v>
      </c>
      <c r="Z302" s="115" t="str">
        <f>IF(X302&lt;&gt;"",X302*Y302,"")</f>
        <v/>
      </c>
      <c r="AA302" s="115" t="str">
        <f>IF(AND(X302&lt;&gt;"",V302="yes"),X302*Y302,"")</f>
        <v/>
      </c>
      <c r="AB302" s="52"/>
    </row>
    <row r="303" spans="1:28" s="53" customFormat="1" ht="16" customHeight="1" x14ac:dyDescent="0.2">
      <c r="A303" s="208" t="s">
        <v>721</v>
      </c>
      <c r="B303" s="208" t="s">
        <v>1177</v>
      </c>
      <c r="C303" s="364" t="s">
        <v>1178</v>
      </c>
      <c r="D303" s="364" t="s">
        <v>1179</v>
      </c>
      <c r="E303" s="54"/>
      <c r="H303" s="58"/>
      <c r="I303" s="81" t="s">
        <v>32</v>
      </c>
      <c r="J303" s="80"/>
      <c r="K303" s="279"/>
      <c r="L303" s="80"/>
      <c r="M303" s="80"/>
      <c r="N303" s="26" t="s">
        <v>1170</v>
      </c>
      <c r="O303" s="80"/>
      <c r="P303" s="80"/>
      <c r="Q303" s="80"/>
      <c r="X303" s="132"/>
      <c r="Y303" s="71"/>
      <c r="Z303" s="115"/>
      <c r="AA303" s="115"/>
      <c r="AB303" s="52"/>
    </row>
    <row r="304" spans="1:28" s="53" customFormat="1" ht="32" customHeight="1" x14ac:dyDescent="0.2">
      <c r="A304" s="28" t="s">
        <v>1124</v>
      </c>
      <c r="B304" s="28" t="s">
        <v>1180</v>
      </c>
      <c r="C304" s="364" t="s">
        <v>1181</v>
      </c>
      <c r="D304" s="364" t="s">
        <v>1182</v>
      </c>
      <c r="E304" s="54"/>
      <c r="F304" s="28" t="s">
        <v>533</v>
      </c>
      <c r="G304" s="28" t="s">
        <v>534</v>
      </c>
      <c r="H304" s="58"/>
      <c r="I304" s="81" t="s">
        <v>32</v>
      </c>
      <c r="J304" s="80"/>
      <c r="K304" s="266" t="s">
        <v>744</v>
      </c>
      <c r="L304" s="243" t="s">
        <v>745</v>
      </c>
      <c r="M304" s="243" t="s">
        <v>746</v>
      </c>
      <c r="N304" s="26"/>
      <c r="O304" s="80"/>
      <c r="P304" s="80"/>
      <c r="Q304" s="80"/>
      <c r="X304" s="132"/>
      <c r="Y304" s="71"/>
      <c r="Z304" s="115"/>
      <c r="AA304" s="115"/>
      <c r="AB304" s="52"/>
    </row>
    <row r="305" spans="1:28" s="53" customFormat="1" ht="32" customHeight="1" x14ac:dyDescent="0.2">
      <c r="A305" s="28" t="s">
        <v>49</v>
      </c>
      <c r="B305" s="28" t="s">
        <v>1183</v>
      </c>
      <c r="C305" s="364" t="s">
        <v>1184</v>
      </c>
      <c r="D305" s="364" t="s">
        <v>1185</v>
      </c>
      <c r="E305" s="65"/>
      <c r="F305" s="55" t="s">
        <v>178</v>
      </c>
      <c r="G305" s="52" t="s">
        <v>179</v>
      </c>
      <c r="H305" s="69"/>
      <c r="I305" s="81" t="s">
        <v>32</v>
      </c>
      <c r="J305" s="246"/>
      <c r="K305" s="325" t="s">
        <v>53</v>
      </c>
      <c r="L305" s="306" t="s">
        <v>54</v>
      </c>
      <c r="M305" s="306" t="s">
        <v>55</v>
      </c>
      <c r="N305" s="266" t="s">
        <v>1186</v>
      </c>
      <c r="O305" s="80"/>
      <c r="P305" s="80"/>
      <c r="Q305" s="80"/>
      <c r="X305" s="132"/>
      <c r="Y305" s="71"/>
      <c r="Z305" s="115"/>
      <c r="AA305" s="115"/>
      <c r="AB305" s="52"/>
    </row>
    <row r="306" spans="1:28" ht="16" customHeight="1" thickBot="1" x14ac:dyDescent="0.25">
      <c r="A306" s="64" t="s">
        <v>189</v>
      </c>
      <c r="B306" s="64"/>
      <c r="C306" s="368"/>
      <c r="D306" s="374"/>
      <c r="E306" s="61"/>
      <c r="F306" s="64"/>
      <c r="G306" s="64"/>
      <c r="H306" s="62"/>
      <c r="I306" s="85"/>
      <c r="J306" s="85"/>
      <c r="K306" s="269"/>
      <c r="L306" s="85"/>
      <c r="M306" s="85"/>
      <c r="N306" s="269"/>
      <c r="O306" s="85"/>
      <c r="P306" s="85"/>
      <c r="Q306" s="85"/>
      <c r="X306" s="132"/>
      <c r="Z306" s="115" t="str">
        <f t="shared" ref="Z306:Z331" si="14">IF(X306&lt;&gt;"",X306*Y306,"")</f>
        <v/>
      </c>
      <c r="AA306" s="115" t="str">
        <f t="shared" ref="AA306:AA331" si="15">IF(AND(X306&lt;&gt;"",V306="yes"),X306*Y306,"")</f>
        <v/>
      </c>
    </row>
    <row r="307" spans="1:28" s="49" customFormat="1" ht="65" customHeight="1" thickTop="1" x14ac:dyDescent="0.2">
      <c r="A307" s="282" t="s">
        <v>71</v>
      </c>
      <c r="B307" s="282" t="s">
        <v>1187</v>
      </c>
      <c r="C307" s="367" t="s">
        <v>1188</v>
      </c>
      <c r="D307" s="367" t="s">
        <v>1189</v>
      </c>
      <c r="E307" s="47"/>
      <c r="F307" s="46"/>
      <c r="G307" s="46"/>
      <c r="H307" s="48"/>
      <c r="I307" s="82" t="s">
        <v>62</v>
      </c>
      <c r="J307" s="82"/>
      <c r="K307" s="275"/>
      <c r="L307" s="82"/>
      <c r="M307" s="82"/>
      <c r="N307" s="275" t="s">
        <v>1190</v>
      </c>
      <c r="O307" s="82"/>
      <c r="P307" s="82"/>
      <c r="Q307" s="82"/>
      <c r="V307" s="28" t="s">
        <v>48</v>
      </c>
      <c r="X307" s="132"/>
      <c r="Y307" s="50"/>
      <c r="Z307" s="115" t="str">
        <f t="shared" si="14"/>
        <v/>
      </c>
      <c r="AA307" s="115" t="str">
        <f t="shared" si="15"/>
        <v/>
      </c>
      <c r="AB307" s="50"/>
    </row>
    <row r="308" spans="1:28" s="49" customFormat="1" ht="16" customHeight="1" x14ac:dyDescent="0.2">
      <c r="A308" s="51" t="s">
        <v>1191</v>
      </c>
      <c r="B308" s="51" t="s">
        <v>1192</v>
      </c>
      <c r="C308" s="364" t="s">
        <v>1193</v>
      </c>
      <c r="D308" s="364" t="s">
        <v>1194</v>
      </c>
      <c r="E308" s="59"/>
      <c r="F308" s="51"/>
      <c r="G308" s="51"/>
      <c r="H308" s="60"/>
      <c r="I308" s="243" t="s">
        <v>32</v>
      </c>
      <c r="J308" s="82"/>
      <c r="K308" s="275"/>
      <c r="L308" s="82"/>
      <c r="M308" s="82"/>
      <c r="N308" s="275"/>
      <c r="O308" s="82"/>
      <c r="P308" s="82"/>
      <c r="Q308" s="82"/>
      <c r="V308" s="28" t="s">
        <v>48</v>
      </c>
      <c r="X308" s="132">
        <v>14.38495540618896</v>
      </c>
      <c r="Y308" s="71">
        <f>'Additional information'!$C$16</f>
        <v>0.05</v>
      </c>
      <c r="Z308" s="115">
        <f t="shared" si="14"/>
        <v>0.71924777030944798</v>
      </c>
      <c r="AA308" s="115">
        <f t="shared" si="15"/>
        <v>0.71924777030944798</v>
      </c>
      <c r="AB308" s="50"/>
    </row>
    <row r="309" spans="1:28" x14ac:dyDescent="0.2">
      <c r="A309" s="51" t="s">
        <v>125</v>
      </c>
      <c r="B309" s="51" t="s">
        <v>1195</v>
      </c>
      <c r="C309" s="373"/>
      <c r="D309" s="374"/>
      <c r="E309" s="59"/>
      <c r="F309" s="51"/>
      <c r="G309" s="51"/>
      <c r="H309" s="60"/>
      <c r="I309" s="243" t="s">
        <v>32</v>
      </c>
      <c r="J309" s="243"/>
      <c r="K309" s="26"/>
      <c r="L309" s="243"/>
      <c r="M309" s="243"/>
      <c r="N309" s="26"/>
      <c r="O309" s="243"/>
      <c r="P309" s="243"/>
      <c r="Q309" s="243" t="s">
        <v>1196</v>
      </c>
      <c r="V309" s="28" t="s">
        <v>48</v>
      </c>
      <c r="X309" s="132"/>
      <c r="Y309" s="71">
        <f>'Additional information'!$C$16</f>
        <v>0.05</v>
      </c>
      <c r="Z309" s="115" t="str">
        <f t="shared" si="14"/>
        <v/>
      </c>
      <c r="AA309" s="115" t="str">
        <f t="shared" si="15"/>
        <v/>
      </c>
    </row>
    <row r="310" spans="1:28" ht="32" customHeight="1" x14ac:dyDescent="0.2">
      <c r="A310" s="51" t="s">
        <v>49</v>
      </c>
      <c r="B310" s="51" t="s">
        <v>1197</v>
      </c>
      <c r="C310" s="364" t="s">
        <v>1198</v>
      </c>
      <c r="D310" s="364" t="s">
        <v>1199</v>
      </c>
      <c r="E310" s="65"/>
      <c r="F310" s="52" t="s">
        <v>178</v>
      </c>
      <c r="G310" s="52" t="s">
        <v>179</v>
      </c>
      <c r="H310" s="60"/>
      <c r="I310" s="243" t="s">
        <v>32</v>
      </c>
      <c r="J310" s="243"/>
      <c r="K310" s="325" t="s">
        <v>53</v>
      </c>
      <c r="L310" s="306" t="s">
        <v>54</v>
      </c>
      <c r="M310" s="306" t="s">
        <v>55</v>
      </c>
      <c r="N310" s="267" t="s">
        <v>1200</v>
      </c>
      <c r="O310" s="243"/>
      <c r="P310" s="243"/>
      <c r="Q310" s="243"/>
      <c r="V310" s="28" t="s">
        <v>48</v>
      </c>
      <c r="X310" s="132"/>
      <c r="Y310" s="71">
        <f>'Additional information'!$C$16</f>
        <v>0.05</v>
      </c>
      <c r="Z310" s="115" t="str">
        <f t="shared" si="14"/>
        <v/>
      </c>
      <c r="AA310" s="115" t="str">
        <f t="shared" si="15"/>
        <v/>
      </c>
    </row>
    <row r="311" spans="1:28" ht="16" customHeight="1" x14ac:dyDescent="0.2">
      <c r="A311" s="51" t="s">
        <v>155</v>
      </c>
      <c r="B311" s="51" t="s">
        <v>1201</v>
      </c>
      <c r="C311" s="364" t="s">
        <v>1202</v>
      </c>
      <c r="D311" s="364" t="s">
        <v>1203</v>
      </c>
      <c r="E311" s="59"/>
      <c r="F311" s="51"/>
      <c r="G311" s="51"/>
      <c r="H311" s="60"/>
      <c r="I311" s="243" t="s">
        <v>32</v>
      </c>
      <c r="J311" s="243"/>
      <c r="K311" s="26"/>
      <c r="L311" s="243"/>
      <c r="M311" s="243"/>
      <c r="N311" s="26"/>
      <c r="O311" s="243"/>
      <c r="P311" s="243"/>
      <c r="Q311" s="243"/>
      <c r="V311" s="28" t="s">
        <v>48</v>
      </c>
      <c r="X311" s="132">
        <v>9.4380531311035156</v>
      </c>
      <c r="Y311" s="71">
        <f>'Additional information'!$C$16</f>
        <v>0.05</v>
      </c>
      <c r="Z311" s="115">
        <f t="shared" si="14"/>
        <v>0.47190265655517583</v>
      </c>
      <c r="AA311" s="115">
        <f t="shared" si="15"/>
        <v>0.47190265655517583</v>
      </c>
    </row>
    <row r="312" spans="1:28" ht="96" customHeight="1" x14ac:dyDescent="0.2">
      <c r="A312" s="51" t="s">
        <v>1204</v>
      </c>
      <c r="B312" s="51" t="s">
        <v>1205</v>
      </c>
      <c r="C312" s="364" t="s">
        <v>1206</v>
      </c>
      <c r="D312" s="364" t="s">
        <v>1207</v>
      </c>
      <c r="E312" s="59"/>
      <c r="F312" s="51" t="s">
        <v>651</v>
      </c>
      <c r="G312" s="28" t="s">
        <v>652</v>
      </c>
      <c r="H312" s="60"/>
      <c r="I312" s="243" t="s">
        <v>32</v>
      </c>
      <c r="J312" s="243"/>
      <c r="K312" s="267" t="s">
        <v>774</v>
      </c>
      <c r="L312" s="243"/>
      <c r="M312" s="243"/>
      <c r="N312" s="267" t="s">
        <v>1208</v>
      </c>
      <c r="O312" s="243"/>
      <c r="P312" s="243"/>
      <c r="Q312" s="243"/>
      <c r="V312" s="28" t="s">
        <v>48</v>
      </c>
      <c r="X312" s="132">
        <v>27.76699066162109</v>
      </c>
      <c r="Y312" s="71">
        <f>'Additional information'!$C$16</f>
        <v>0.05</v>
      </c>
      <c r="Z312" s="115">
        <f t="shared" si="14"/>
        <v>1.3883495330810547</v>
      </c>
      <c r="AA312" s="115">
        <f t="shared" si="15"/>
        <v>1.3883495330810547</v>
      </c>
    </row>
    <row r="313" spans="1:28" ht="32" customHeight="1" x14ac:dyDescent="0.2">
      <c r="A313" s="51" t="s">
        <v>49</v>
      </c>
      <c r="B313" s="51" t="s">
        <v>1209</v>
      </c>
      <c r="C313" s="364" t="s">
        <v>1210</v>
      </c>
      <c r="D313" s="364" t="s">
        <v>1211</v>
      </c>
      <c r="E313" s="65"/>
      <c r="F313" s="52" t="s">
        <v>178</v>
      </c>
      <c r="G313" s="52" t="s">
        <v>179</v>
      </c>
      <c r="H313" s="60"/>
      <c r="I313" s="243" t="s">
        <v>32</v>
      </c>
      <c r="J313" s="243"/>
      <c r="K313" s="325" t="s">
        <v>53</v>
      </c>
      <c r="L313" s="306" t="s">
        <v>54</v>
      </c>
      <c r="M313" s="306" t="s">
        <v>55</v>
      </c>
      <c r="N313" s="267" t="s">
        <v>1212</v>
      </c>
      <c r="O313" s="243"/>
      <c r="P313" s="243"/>
      <c r="Q313" s="243"/>
      <c r="V313" s="28" t="s">
        <v>48</v>
      </c>
      <c r="X313" s="132"/>
      <c r="Y313" s="71">
        <f>'Additional information'!$C$16</f>
        <v>0.05</v>
      </c>
      <c r="Z313" s="115" t="str">
        <f t="shared" si="14"/>
        <v/>
      </c>
      <c r="AA313" s="115" t="str">
        <f t="shared" si="15"/>
        <v/>
      </c>
    </row>
    <row r="314" spans="1:28" ht="32" customHeight="1" x14ac:dyDescent="0.2">
      <c r="A314" s="51" t="s">
        <v>316</v>
      </c>
      <c r="B314" s="51" t="s">
        <v>1213</v>
      </c>
      <c r="C314" s="364" t="s">
        <v>1214</v>
      </c>
      <c r="D314" s="364" t="s">
        <v>1215</v>
      </c>
      <c r="E314" s="59"/>
      <c r="F314" s="51" t="s">
        <v>779</v>
      </c>
      <c r="G314" s="70" t="s">
        <v>1102</v>
      </c>
      <c r="H314" s="60"/>
      <c r="I314" s="243" t="s">
        <v>32</v>
      </c>
      <c r="J314" s="243"/>
      <c r="K314" s="26"/>
      <c r="L314" s="243"/>
      <c r="M314" s="243"/>
      <c r="N314" s="267"/>
      <c r="O314" s="243"/>
      <c r="P314" s="243"/>
      <c r="Q314" s="243"/>
      <c r="V314" s="28" t="s">
        <v>48</v>
      </c>
      <c r="X314" s="132">
        <v>13.705752372741699</v>
      </c>
      <c r="Y314" s="71">
        <f>'Additional information'!$C$16</f>
        <v>0.05</v>
      </c>
      <c r="Z314" s="115">
        <f t="shared" si="14"/>
        <v>0.68528761863708498</v>
      </c>
      <c r="AA314" s="115">
        <f t="shared" si="15"/>
        <v>0.68528761863708498</v>
      </c>
    </row>
    <row r="315" spans="1:28" ht="16" customHeight="1" thickBot="1" x14ac:dyDescent="0.25">
      <c r="A315" s="68" t="s">
        <v>189</v>
      </c>
      <c r="B315" s="68"/>
      <c r="C315" s="371"/>
      <c r="D315" s="374"/>
      <c r="E315" s="244"/>
      <c r="F315" s="68"/>
      <c r="G315" s="68"/>
      <c r="H315" s="73"/>
      <c r="I315" s="247"/>
      <c r="J315" s="247"/>
      <c r="K315" s="273"/>
      <c r="L315" s="247"/>
      <c r="M315" s="247"/>
      <c r="N315" s="273"/>
      <c r="O315" s="247"/>
      <c r="P315" s="247"/>
      <c r="Q315" s="247"/>
      <c r="X315" s="132"/>
      <c r="Z315" s="115" t="str">
        <f t="shared" si="14"/>
        <v/>
      </c>
      <c r="AA315" s="115" t="str">
        <f t="shared" si="15"/>
        <v/>
      </c>
    </row>
    <row r="316" spans="1:28" s="49" customFormat="1" ht="49" customHeight="1" thickTop="1" x14ac:dyDescent="0.2">
      <c r="A316" s="282" t="s">
        <v>71</v>
      </c>
      <c r="B316" s="282" t="s">
        <v>1216</v>
      </c>
      <c r="C316" s="367" t="s">
        <v>1217</v>
      </c>
      <c r="D316" s="367" t="s">
        <v>1218</v>
      </c>
      <c r="E316" s="47"/>
      <c r="F316" s="46"/>
      <c r="G316" s="46"/>
      <c r="H316" s="48"/>
      <c r="I316" s="82" t="s">
        <v>62</v>
      </c>
      <c r="J316" s="82"/>
      <c r="K316" s="275"/>
      <c r="L316" s="82"/>
      <c r="M316" s="82"/>
      <c r="N316" s="270" t="s">
        <v>284</v>
      </c>
      <c r="O316" s="82"/>
      <c r="P316" s="82"/>
      <c r="Q316" s="82"/>
      <c r="V316" s="28" t="s">
        <v>48</v>
      </c>
      <c r="X316" s="132"/>
      <c r="Y316" s="50"/>
      <c r="Z316" s="115" t="str">
        <f t="shared" si="14"/>
        <v/>
      </c>
      <c r="AA316" s="115" t="str">
        <f t="shared" si="15"/>
        <v/>
      </c>
      <c r="AB316" s="50"/>
    </row>
    <row r="317" spans="1:28" s="49" customFormat="1" ht="32" customHeight="1" x14ac:dyDescent="0.2">
      <c r="A317" s="51" t="s">
        <v>56</v>
      </c>
      <c r="B317" s="51" t="s">
        <v>1219</v>
      </c>
      <c r="C317" s="340" t="s">
        <v>1220</v>
      </c>
      <c r="D317" s="364" t="s">
        <v>1221</v>
      </c>
      <c r="E317" s="47"/>
      <c r="H317" s="48"/>
      <c r="I317" s="243" t="s">
        <v>62</v>
      </c>
      <c r="J317" s="82"/>
      <c r="K317" s="275"/>
      <c r="L317" s="82"/>
      <c r="M317" s="82"/>
      <c r="N317" s="275"/>
      <c r="O317" s="82"/>
      <c r="P317" s="82"/>
      <c r="Q317" s="82"/>
      <c r="V317" s="28" t="s">
        <v>34</v>
      </c>
      <c r="X317" s="132"/>
      <c r="Y317" s="72">
        <v>1</v>
      </c>
      <c r="Z317" s="115" t="str">
        <f t="shared" si="14"/>
        <v/>
      </c>
      <c r="AA317" s="115" t="str">
        <f t="shared" si="15"/>
        <v/>
      </c>
      <c r="AB317" s="50"/>
    </row>
    <row r="318" spans="1:28" s="49" customFormat="1" ht="16" customHeight="1" x14ac:dyDescent="0.2">
      <c r="A318" s="282" t="s">
        <v>71</v>
      </c>
      <c r="B318" s="282" t="s">
        <v>1222</v>
      </c>
      <c r="C318" s="367" t="s">
        <v>1223</v>
      </c>
      <c r="D318" s="367" t="s">
        <v>1224</v>
      </c>
      <c r="E318" s="47"/>
      <c r="F318" s="46"/>
      <c r="G318" s="46"/>
      <c r="H318" s="48"/>
      <c r="I318" s="243" t="s">
        <v>62</v>
      </c>
      <c r="J318" s="82"/>
      <c r="K318" s="275"/>
      <c r="L318" s="82"/>
      <c r="M318" s="82"/>
      <c r="N318" s="275"/>
      <c r="O318" s="82"/>
      <c r="P318" s="82"/>
      <c r="Q318" s="82"/>
      <c r="V318" s="28"/>
      <c r="X318" s="132"/>
      <c r="Y318" s="72">
        <v>1</v>
      </c>
      <c r="Z318" s="115" t="str">
        <f t="shared" si="14"/>
        <v/>
      </c>
      <c r="AA318" s="115" t="str">
        <f t="shared" si="15"/>
        <v/>
      </c>
      <c r="AB318" s="50"/>
    </row>
    <row r="319" spans="1:28" ht="16" customHeight="1" x14ac:dyDescent="0.2">
      <c r="A319" s="51" t="s">
        <v>56</v>
      </c>
      <c r="B319" s="51" t="s">
        <v>1225</v>
      </c>
      <c r="C319" s="364" t="s">
        <v>1226</v>
      </c>
      <c r="D319" s="364" t="s">
        <v>1227</v>
      </c>
      <c r="E319" s="59"/>
      <c r="F319" s="51"/>
      <c r="G319" s="51"/>
      <c r="H319" s="60"/>
      <c r="I319" s="243" t="s">
        <v>62</v>
      </c>
      <c r="J319" s="243"/>
      <c r="K319" s="26"/>
      <c r="L319" s="243"/>
      <c r="M319" s="243"/>
      <c r="N319" s="26"/>
      <c r="O319" s="243"/>
      <c r="P319" s="243"/>
      <c r="Q319" s="243"/>
      <c r="V319" s="28" t="s">
        <v>48</v>
      </c>
      <c r="X319" s="132">
        <v>12.77690315246582</v>
      </c>
      <c r="Y319" s="72">
        <v>1</v>
      </c>
      <c r="Z319" s="115">
        <f t="shared" si="14"/>
        <v>12.77690315246582</v>
      </c>
      <c r="AA319" s="115">
        <f t="shared" si="15"/>
        <v>12.77690315246582</v>
      </c>
    </row>
    <row r="320" spans="1:28" ht="32" customHeight="1" x14ac:dyDescent="0.2">
      <c r="A320" s="51" t="s">
        <v>155</v>
      </c>
      <c r="B320" s="51" t="s">
        <v>1228</v>
      </c>
      <c r="C320" s="364" t="s">
        <v>1229</v>
      </c>
      <c r="D320" s="364" t="s">
        <v>1230</v>
      </c>
      <c r="E320" s="59"/>
      <c r="F320" s="51"/>
      <c r="G320" s="51"/>
      <c r="H320" s="60"/>
      <c r="I320" s="243" t="s">
        <v>32</v>
      </c>
      <c r="J320" s="243"/>
      <c r="K320" s="26"/>
      <c r="L320" s="243"/>
      <c r="M320" s="243"/>
      <c r="N320" s="26"/>
      <c r="O320" s="243"/>
      <c r="P320" s="243"/>
      <c r="Q320" s="243"/>
      <c r="V320" s="28" t="s">
        <v>48</v>
      </c>
      <c r="X320" s="132">
        <v>21.398605346679691</v>
      </c>
      <c r="Y320" s="72">
        <v>1</v>
      </c>
      <c r="Z320" s="115">
        <f t="shared" si="14"/>
        <v>21.398605346679691</v>
      </c>
      <c r="AA320" s="115">
        <f t="shared" si="15"/>
        <v>21.398605346679691</v>
      </c>
    </row>
    <row r="321" spans="1:27" ht="32" customHeight="1" x14ac:dyDescent="0.2">
      <c r="A321" s="51" t="s">
        <v>155</v>
      </c>
      <c r="B321" s="51" t="s">
        <v>1231</v>
      </c>
      <c r="C321" s="364" t="s">
        <v>1232</v>
      </c>
      <c r="D321" s="364" t="s">
        <v>1233</v>
      </c>
      <c r="E321" s="59"/>
      <c r="F321" s="51"/>
      <c r="G321" s="51"/>
      <c r="H321" s="60"/>
      <c r="I321" s="243" t="s">
        <v>32</v>
      </c>
      <c r="J321" s="243"/>
      <c r="K321" s="26"/>
      <c r="L321" s="243"/>
      <c r="M321" s="243"/>
      <c r="N321" s="26"/>
      <c r="O321" s="243"/>
      <c r="P321" s="243"/>
      <c r="Q321" s="243"/>
      <c r="V321" s="28" t="s">
        <v>48</v>
      </c>
      <c r="X321" s="132">
        <v>14.980740547180179</v>
      </c>
      <c r="Y321" s="72">
        <v>1</v>
      </c>
      <c r="Z321" s="115">
        <f t="shared" si="14"/>
        <v>14.980740547180179</v>
      </c>
      <c r="AA321" s="115">
        <f t="shared" si="15"/>
        <v>14.980740547180179</v>
      </c>
    </row>
    <row r="322" spans="1:27" ht="32" customHeight="1" x14ac:dyDescent="0.2">
      <c r="A322" s="51" t="s">
        <v>155</v>
      </c>
      <c r="B322" s="51" t="s">
        <v>1234</v>
      </c>
      <c r="C322" s="364" t="s">
        <v>1235</v>
      </c>
      <c r="D322" s="364" t="s">
        <v>1236</v>
      </c>
      <c r="E322" s="59"/>
      <c r="F322" s="51"/>
      <c r="G322" s="51"/>
      <c r="H322" s="60"/>
      <c r="I322" s="243" t="s">
        <v>32</v>
      </c>
      <c r="J322" s="243"/>
      <c r="K322" s="26"/>
      <c r="L322" s="243"/>
      <c r="M322" s="243"/>
      <c r="N322" s="26"/>
      <c r="O322" s="243"/>
      <c r="P322" s="243"/>
      <c r="Q322" s="243"/>
      <c r="V322" s="28" t="s">
        <v>48</v>
      </c>
      <c r="X322" s="132">
        <v>13.72302150726318</v>
      </c>
      <c r="Y322" s="72">
        <v>1</v>
      </c>
      <c r="Z322" s="115">
        <f t="shared" si="14"/>
        <v>13.72302150726318</v>
      </c>
      <c r="AA322" s="115">
        <f t="shared" si="15"/>
        <v>13.72302150726318</v>
      </c>
    </row>
    <row r="323" spans="1:27" ht="32" customHeight="1" x14ac:dyDescent="0.2">
      <c r="A323" s="51" t="s">
        <v>155</v>
      </c>
      <c r="B323" s="51" t="s">
        <v>1237</v>
      </c>
      <c r="C323" s="364" t="s">
        <v>1238</v>
      </c>
      <c r="D323" s="364" t="s">
        <v>1239</v>
      </c>
      <c r="E323" s="59"/>
      <c r="F323" s="51"/>
      <c r="G323" s="51"/>
      <c r="H323" s="60"/>
      <c r="I323" s="243" t="s">
        <v>32</v>
      </c>
      <c r="J323" s="243"/>
      <c r="K323" s="26"/>
      <c r="L323" s="243"/>
      <c r="M323" s="243"/>
      <c r="N323" s="26"/>
      <c r="O323" s="243"/>
      <c r="P323" s="243"/>
      <c r="Q323" s="243"/>
      <c r="V323" s="28" t="s">
        <v>48</v>
      </c>
      <c r="X323" s="132">
        <v>13.06220054626465</v>
      </c>
      <c r="Y323" s="72">
        <v>1</v>
      </c>
      <c r="Z323" s="115">
        <f t="shared" si="14"/>
        <v>13.06220054626465</v>
      </c>
      <c r="AA323" s="115">
        <f t="shared" si="15"/>
        <v>13.06220054626465</v>
      </c>
    </row>
    <row r="324" spans="1:27" ht="32" customHeight="1" x14ac:dyDescent="0.2">
      <c r="A324" s="51" t="s">
        <v>155</v>
      </c>
      <c r="B324" s="51" t="s">
        <v>1240</v>
      </c>
      <c r="C324" s="364" t="s">
        <v>1241</v>
      </c>
      <c r="D324" s="364" t="s">
        <v>1242</v>
      </c>
      <c r="E324" s="59"/>
      <c r="F324" s="51"/>
      <c r="G324" s="51"/>
      <c r="H324" s="60"/>
      <c r="I324" s="243" t="s">
        <v>32</v>
      </c>
      <c r="J324" s="243"/>
      <c r="K324" s="26"/>
      <c r="L324" s="243"/>
      <c r="M324" s="243"/>
      <c r="N324" s="26"/>
      <c r="O324" s="243"/>
      <c r="P324" s="243"/>
      <c r="Q324" s="243"/>
      <c r="V324" s="28" t="s">
        <v>48</v>
      </c>
      <c r="X324" s="132">
        <v>13.09532356262207</v>
      </c>
      <c r="Y324" s="72">
        <v>1</v>
      </c>
      <c r="Z324" s="115">
        <f t="shared" si="14"/>
        <v>13.09532356262207</v>
      </c>
      <c r="AA324" s="115">
        <f t="shared" si="15"/>
        <v>13.09532356262207</v>
      </c>
    </row>
    <row r="325" spans="1:27" ht="16" customHeight="1" x14ac:dyDescent="0.2">
      <c r="A325" s="51" t="s">
        <v>155</v>
      </c>
      <c r="B325" s="51" t="s">
        <v>1243</v>
      </c>
      <c r="C325" s="364" t="s">
        <v>1244</v>
      </c>
      <c r="D325" s="364" t="s">
        <v>1245</v>
      </c>
      <c r="E325" s="59"/>
      <c r="F325" s="51"/>
      <c r="G325" s="51"/>
      <c r="H325" s="60"/>
      <c r="I325" s="243" t="s">
        <v>32</v>
      </c>
      <c r="J325" s="243"/>
      <c r="K325" s="26"/>
      <c r="L325" s="243"/>
      <c r="M325" s="243"/>
      <c r="N325" s="26"/>
      <c r="O325" s="243"/>
      <c r="P325" s="243"/>
      <c r="Q325" s="243"/>
      <c r="V325" s="28" t="s">
        <v>48</v>
      </c>
      <c r="X325" s="132">
        <v>16.10101918465228</v>
      </c>
      <c r="Y325" s="72">
        <v>1</v>
      </c>
      <c r="Z325" s="115">
        <f t="shared" si="14"/>
        <v>16.10101918465228</v>
      </c>
      <c r="AA325" s="115">
        <f t="shared" si="15"/>
        <v>16.10101918465228</v>
      </c>
    </row>
    <row r="326" spans="1:27" s="52" customFormat="1" ht="16" customHeight="1" x14ac:dyDescent="0.2">
      <c r="A326" s="55" t="s">
        <v>1246</v>
      </c>
      <c r="B326" s="55" t="s">
        <v>1247</v>
      </c>
      <c r="C326" s="364" t="s">
        <v>1248</v>
      </c>
      <c r="D326" s="364" t="s">
        <v>1249</v>
      </c>
      <c r="E326" s="65"/>
      <c r="F326" s="55"/>
      <c r="G326" s="55"/>
      <c r="H326" s="67"/>
      <c r="I326" s="81" t="s">
        <v>32</v>
      </c>
      <c r="J326" s="81"/>
      <c r="K326" s="267"/>
      <c r="L326" s="81"/>
      <c r="M326" s="81"/>
      <c r="N326" s="267" t="s">
        <v>1250</v>
      </c>
      <c r="O326" s="81"/>
      <c r="P326" s="81"/>
      <c r="Q326" s="81"/>
      <c r="V326" s="52" t="s">
        <v>48</v>
      </c>
      <c r="X326" s="132">
        <v>11.76504325866699</v>
      </c>
      <c r="Y326" s="72">
        <v>1</v>
      </c>
      <c r="Z326" s="115">
        <f t="shared" si="14"/>
        <v>11.76504325866699</v>
      </c>
      <c r="AA326" s="115">
        <f t="shared" si="15"/>
        <v>11.76504325866699</v>
      </c>
    </row>
    <row r="327" spans="1:27" s="52" customFormat="1" ht="16" customHeight="1" x14ac:dyDescent="0.2">
      <c r="A327" s="55" t="s">
        <v>155</v>
      </c>
      <c r="B327" s="55" t="s">
        <v>1251</v>
      </c>
      <c r="C327" s="364" t="s">
        <v>1252</v>
      </c>
      <c r="D327" s="364" t="s">
        <v>1253</v>
      </c>
      <c r="E327" s="65"/>
      <c r="F327" s="55"/>
      <c r="G327" s="55"/>
      <c r="H327" s="67"/>
      <c r="I327" s="81" t="s">
        <v>32</v>
      </c>
      <c r="J327" s="81"/>
      <c r="K327" s="267"/>
      <c r="L327" s="81"/>
      <c r="M327" s="81"/>
      <c r="N327" s="267"/>
      <c r="O327" s="81"/>
      <c r="P327" s="81"/>
      <c r="Q327" s="81"/>
      <c r="V327" s="52" t="s">
        <v>48</v>
      </c>
      <c r="X327" s="132">
        <v>12.432478904724119</v>
      </c>
      <c r="Y327" s="72">
        <v>1</v>
      </c>
      <c r="Z327" s="115">
        <f t="shared" si="14"/>
        <v>12.432478904724119</v>
      </c>
      <c r="AA327" s="115">
        <f t="shared" si="15"/>
        <v>12.432478904724119</v>
      </c>
    </row>
    <row r="328" spans="1:27" s="52" customFormat="1" ht="16" customHeight="1" x14ac:dyDescent="0.2">
      <c r="A328" s="55" t="s">
        <v>1246</v>
      </c>
      <c r="B328" s="55" t="s">
        <v>1254</v>
      </c>
      <c r="C328" s="364" t="s">
        <v>1255</v>
      </c>
      <c r="D328" s="364" t="s">
        <v>1256</v>
      </c>
      <c r="E328" s="65"/>
      <c r="F328" s="55"/>
      <c r="G328" s="55"/>
      <c r="H328" s="67"/>
      <c r="I328" s="81" t="s">
        <v>32</v>
      </c>
      <c r="J328" s="81"/>
      <c r="K328" s="267"/>
      <c r="L328" s="81"/>
      <c r="M328" s="81"/>
      <c r="N328" s="267" t="s">
        <v>1257</v>
      </c>
      <c r="O328" s="81"/>
      <c r="P328" s="81"/>
      <c r="Q328" s="81"/>
      <c r="V328" s="52" t="s">
        <v>48</v>
      </c>
      <c r="X328" s="132">
        <v>8.9801836013793945</v>
      </c>
      <c r="Y328" s="72">
        <v>1</v>
      </c>
      <c r="Z328" s="115">
        <f t="shared" si="14"/>
        <v>8.9801836013793945</v>
      </c>
      <c r="AA328" s="115">
        <f t="shared" si="15"/>
        <v>8.9801836013793945</v>
      </c>
    </row>
    <row r="329" spans="1:27" s="52" customFormat="1" ht="32" customHeight="1" x14ac:dyDescent="0.2">
      <c r="A329" s="55" t="s">
        <v>155</v>
      </c>
      <c r="B329" s="55" t="s">
        <v>1258</v>
      </c>
      <c r="C329" s="364" t="s">
        <v>1259</v>
      </c>
      <c r="D329" s="364" t="s">
        <v>1260</v>
      </c>
      <c r="E329" s="65"/>
      <c r="F329" s="55"/>
      <c r="G329" s="55"/>
      <c r="H329" s="67"/>
      <c r="I329" s="81" t="s">
        <v>32</v>
      </c>
      <c r="J329" s="81"/>
      <c r="K329" s="267"/>
      <c r="L329" s="81"/>
      <c r="M329" s="81"/>
      <c r="N329" s="267"/>
      <c r="O329" s="81"/>
      <c r="P329" s="81"/>
      <c r="Q329" s="81"/>
      <c r="V329" s="52" t="s">
        <v>48</v>
      </c>
      <c r="X329" s="132">
        <v>11.089328765869141</v>
      </c>
      <c r="Y329" s="72">
        <v>1</v>
      </c>
      <c r="Z329" s="115">
        <f t="shared" si="14"/>
        <v>11.089328765869141</v>
      </c>
      <c r="AA329" s="115">
        <f t="shared" si="15"/>
        <v>11.089328765869141</v>
      </c>
    </row>
    <row r="330" spans="1:27" s="52" customFormat="1" ht="16" customHeight="1" x14ac:dyDescent="0.2">
      <c r="A330" s="55" t="s">
        <v>1246</v>
      </c>
      <c r="B330" s="55" t="s">
        <v>1261</v>
      </c>
      <c r="C330" s="364" t="s">
        <v>1262</v>
      </c>
      <c r="D330" s="364" t="s">
        <v>1263</v>
      </c>
      <c r="E330" s="65"/>
      <c r="F330" s="55"/>
      <c r="G330" s="55"/>
      <c r="H330" s="67"/>
      <c r="I330" s="81" t="s">
        <v>32</v>
      </c>
      <c r="J330" s="81"/>
      <c r="K330" s="267"/>
      <c r="L330" s="81"/>
      <c r="M330" s="81"/>
      <c r="N330" s="267" t="s">
        <v>1264</v>
      </c>
      <c r="O330" s="81"/>
      <c r="P330" s="81"/>
      <c r="Q330" s="81"/>
      <c r="V330" s="52" t="s">
        <v>48</v>
      </c>
      <c r="X330" s="132">
        <v>8.0683355331420898</v>
      </c>
      <c r="Y330" s="72">
        <v>1</v>
      </c>
      <c r="Z330" s="115">
        <f t="shared" si="14"/>
        <v>8.0683355331420898</v>
      </c>
      <c r="AA330" s="115">
        <f t="shared" si="15"/>
        <v>8.0683355331420898</v>
      </c>
    </row>
    <row r="331" spans="1:27" x14ac:dyDescent="0.2">
      <c r="A331" s="55" t="s">
        <v>189</v>
      </c>
      <c r="B331" s="55"/>
      <c r="C331" s="366"/>
      <c r="D331" s="366"/>
      <c r="E331" s="59"/>
      <c r="F331" s="51"/>
      <c r="G331" s="51"/>
      <c r="H331" s="60"/>
      <c r="I331" s="243" t="s">
        <v>62</v>
      </c>
      <c r="J331" s="243"/>
      <c r="K331" s="26"/>
      <c r="L331" s="243"/>
      <c r="M331" s="243"/>
      <c r="N331" s="26"/>
      <c r="O331" s="243"/>
      <c r="P331" s="243"/>
      <c r="Q331" s="243"/>
      <c r="X331" s="132"/>
      <c r="Y331" s="72">
        <v>1</v>
      </c>
      <c r="Z331" s="115" t="str">
        <f t="shared" si="14"/>
        <v/>
      </c>
      <c r="AA331" s="115" t="str">
        <f t="shared" si="15"/>
        <v/>
      </c>
    </row>
    <row r="332" spans="1:27" x14ac:dyDescent="0.2">
      <c r="A332" s="55"/>
      <c r="B332" s="55"/>
      <c r="C332" s="366"/>
      <c r="D332" s="366"/>
      <c r="E332" s="59"/>
      <c r="F332" s="51"/>
      <c r="G332" s="51"/>
      <c r="H332" s="60"/>
      <c r="I332" s="243"/>
      <c r="J332" s="243"/>
      <c r="K332" s="26"/>
      <c r="L332" s="243"/>
      <c r="M332" s="243"/>
      <c r="N332" s="26"/>
      <c r="O332" s="243"/>
      <c r="P332" s="243"/>
      <c r="Q332" s="243"/>
      <c r="X332" s="132"/>
      <c r="Y332" s="72"/>
      <c r="Z332" s="115"/>
      <c r="AA332" s="115"/>
    </row>
    <row r="333" spans="1:27" s="332" customFormat="1" ht="16" customHeight="1" x14ac:dyDescent="0.2">
      <c r="A333" s="337" t="s">
        <v>71</v>
      </c>
      <c r="B333" s="337" t="s">
        <v>1265</v>
      </c>
      <c r="C333" s="395" t="s">
        <v>1266</v>
      </c>
      <c r="D333" s="355"/>
      <c r="E333" s="334"/>
      <c r="F333" s="331"/>
      <c r="G333" s="331"/>
      <c r="I333" s="339"/>
      <c r="J333" s="339"/>
      <c r="K333" s="339"/>
      <c r="L333" s="339"/>
      <c r="M333" s="339"/>
      <c r="N333" s="339"/>
      <c r="O333" s="339"/>
      <c r="P333" s="339"/>
      <c r="W333" s="149"/>
      <c r="X333" s="353">
        <v>1</v>
      </c>
      <c r="Y333" s="333" t="str">
        <f>IF(W333&lt;&gt;"",W333*X333,"")</f>
        <v/>
      </c>
      <c r="Z333" s="333" t="str">
        <f>IF(AND(W333&lt;&gt;"",U333="yes"),W333*X333,"")</f>
        <v/>
      </c>
      <c r="AA333" s="338"/>
    </row>
    <row r="334" spans="1:27" s="332" customFormat="1" ht="16" customHeight="1" x14ac:dyDescent="0.2">
      <c r="A334" s="331" t="s">
        <v>56</v>
      </c>
      <c r="B334" s="331" t="s">
        <v>1267</v>
      </c>
      <c r="C334" s="376" t="s">
        <v>1268</v>
      </c>
      <c r="D334" s="376" t="s">
        <v>1269</v>
      </c>
      <c r="E334" s="334"/>
      <c r="F334" s="331"/>
      <c r="G334" s="331"/>
      <c r="I334" s="339" t="s">
        <v>62</v>
      </c>
      <c r="J334" s="339"/>
      <c r="K334" s="339"/>
      <c r="L334" s="339"/>
      <c r="M334" s="339"/>
      <c r="N334" s="339"/>
      <c r="O334" s="339"/>
      <c r="P334" s="339"/>
      <c r="U334" s="332" t="s">
        <v>48</v>
      </c>
      <c r="W334" s="149"/>
      <c r="X334" s="353">
        <v>1</v>
      </c>
      <c r="Y334" s="333" t="str">
        <f>IF(W334&lt;&gt;"",W334*X334,"")</f>
        <v/>
      </c>
      <c r="Z334" s="333" t="str">
        <f>IF(AND(W334&lt;&gt;"",U334="yes"),W334*X334,"")</f>
        <v/>
      </c>
      <c r="AA334" s="338"/>
    </row>
    <row r="335" spans="1:27" s="332" customFormat="1" ht="32" customHeight="1" x14ac:dyDescent="0.2">
      <c r="A335" s="331" t="s">
        <v>1270</v>
      </c>
      <c r="B335" s="331" t="s">
        <v>1271</v>
      </c>
      <c r="C335" s="376" t="s">
        <v>1272</v>
      </c>
      <c r="D335" s="376" t="s">
        <v>1273</v>
      </c>
      <c r="E335" s="334"/>
      <c r="F335" s="331" t="s">
        <v>1274</v>
      </c>
      <c r="G335" s="331" t="s">
        <v>1275</v>
      </c>
      <c r="I335" s="339" t="s">
        <v>32</v>
      </c>
      <c r="J335" s="339"/>
      <c r="K335" s="339"/>
      <c r="L335" s="339"/>
      <c r="M335" s="339"/>
      <c r="N335" s="339"/>
      <c r="O335" s="339"/>
      <c r="P335" s="339"/>
      <c r="U335" s="332" t="s">
        <v>48</v>
      </c>
      <c r="W335" s="149">
        <v>72.295135498046875</v>
      </c>
      <c r="X335" s="353">
        <v>1</v>
      </c>
      <c r="Y335" s="333">
        <f>IF(W335&lt;&gt;"",W335*X335,"")</f>
        <v>72.295135498046875</v>
      </c>
      <c r="Z335" s="333">
        <f>IF(AND(W335&lt;&gt;"",U335="yes"),W335*X335,"")</f>
        <v>72.295135498046875</v>
      </c>
      <c r="AA335" s="338"/>
    </row>
    <row r="336" spans="1:27" s="332" customFormat="1" ht="32" customHeight="1" x14ac:dyDescent="0.2">
      <c r="A336" s="331" t="s">
        <v>56</v>
      </c>
      <c r="B336" s="331" t="s">
        <v>1276</v>
      </c>
      <c r="C336" s="376" t="s">
        <v>1277</v>
      </c>
      <c r="D336" s="376" t="s">
        <v>1278</v>
      </c>
      <c r="E336" s="334"/>
      <c r="F336" s="331"/>
      <c r="G336" s="331"/>
      <c r="I336" s="339" t="s">
        <v>62</v>
      </c>
      <c r="J336" s="339"/>
      <c r="K336" s="339"/>
      <c r="L336" s="339"/>
      <c r="M336" s="339"/>
      <c r="N336" s="339"/>
      <c r="O336" s="339"/>
      <c r="P336" s="339"/>
      <c r="U336" s="332" t="s">
        <v>48</v>
      </c>
      <c r="W336" s="149">
        <v>3.7052218914031978</v>
      </c>
      <c r="X336" s="353">
        <v>1</v>
      </c>
      <c r="Y336" s="333">
        <f>IF(W336&lt;&gt;"",W336*X336,"")</f>
        <v>3.7052218914031978</v>
      </c>
      <c r="Z336" s="333">
        <f>IF(AND(W336&lt;&gt;"",U336="yes"),W336*X336,"")</f>
        <v>3.7052218914031978</v>
      </c>
      <c r="AA336" s="338"/>
    </row>
    <row r="337" spans="1:28" x14ac:dyDescent="0.2">
      <c r="A337" s="55"/>
      <c r="B337" s="55"/>
      <c r="C337" s="366"/>
      <c r="D337" s="366"/>
      <c r="E337" s="59"/>
      <c r="F337" s="51"/>
      <c r="G337" s="51"/>
      <c r="H337" s="60"/>
      <c r="I337" s="243"/>
      <c r="J337" s="243"/>
      <c r="K337" s="26"/>
      <c r="L337" s="243"/>
      <c r="M337" s="243"/>
      <c r="N337" s="26"/>
      <c r="O337" s="243"/>
      <c r="P337" s="243"/>
      <c r="Q337" s="243"/>
      <c r="X337" s="132"/>
      <c r="Y337" s="72"/>
      <c r="Z337" s="115"/>
      <c r="AA337" s="115"/>
    </row>
    <row r="338" spans="1:28" s="53" customFormat="1" ht="16" customHeight="1" x14ac:dyDescent="0.2">
      <c r="A338" s="284" t="s">
        <v>71</v>
      </c>
      <c r="B338" s="284" t="s">
        <v>1279</v>
      </c>
      <c r="C338" s="367" t="s">
        <v>1280</v>
      </c>
      <c r="D338" s="367" t="s">
        <v>1280</v>
      </c>
      <c r="E338" s="54"/>
      <c r="H338" s="58"/>
      <c r="I338" s="86" t="s">
        <v>62</v>
      </c>
      <c r="J338" s="86" t="s">
        <v>422</v>
      </c>
      <c r="K338" s="279"/>
      <c r="L338" s="80"/>
      <c r="M338" s="80"/>
      <c r="N338" s="279"/>
      <c r="O338" s="80"/>
      <c r="P338" s="80"/>
      <c r="Q338" s="80"/>
      <c r="X338" s="136"/>
      <c r="Y338" s="111">
        <v>1</v>
      </c>
      <c r="Z338" s="118" t="str">
        <f t="shared" ref="Z338:Z346" si="16">IF(X338&lt;&gt;"",X338*Y338,"")</f>
        <v/>
      </c>
      <c r="AA338" s="118" t="str">
        <f t="shared" ref="AA338:AA346" si="17">IF(AND(X338&lt;&gt;"",V338="yes"),X338*Y338,"")</f>
        <v/>
      </c>
    </row>
    <row r="339" spans="1:28" s="53" customFormat="1" ht="32" customHeight="1" x14ac:dyDescent="0.2">
      <c r="A339" s="52" t="s">
        <v>56</v>
      </c>
      <c r="B339" s="52" t="s">
        <v>1281</v>
      </c>
      <c r="C339" s="396" t="s">
        <v>1282</v>
      </c>
      <c r="D339" s="365" t="s">
        <v>1283</v>
      </c>
      <c r="E339" s="65"/>
      <c r="F339" s="52"/>
      <c r="G339" s="52"/>
      <c r="H339" s="67"/>
      <c r="I339" s="86" t="s">
        <v>62</v>
      </c>
      <c r="J339" s="86"/>
      <c r="K339" s="279"/>
      <c r="L339" s="80"/>
      <c r="M339" s="80"/>
      <c r="N339" s="279"/>
      <c r="O339" s="80"/>
      <c r="P339" s="80"/>
      <c r="Q339" s="80"/>
      <c r="V339" s="53" t="s">
        <v>34</v>
      </c>
      <c r="X339" s="136">
        <v>5.7112536430358887</v>
      </c>
      <c r="Y339" s="111">
        <v>1</v>
      </c>
      <c r="Z339" s="118">
        <f t="shared" si="16"/>
        <v>5.7112536430358887</v>
      </c>
      <c r="AA339" s="118" t="str">
        <f t="shared" si="17"/>
        <v/>
      </c>
    </row>
    <row r="340" spans="1:28" s="112" customFormat="1" ht="16" customHeight="1" x14ac:dyDescent="0.2">
      <c r="A340" s="52" t="s">
        <v>1284</v>
      </c>
      <c r="B340" s="52" t="s">
        <v>1285</v>
      </c>
      <c r="C340" s="364" t="s">
        <v>1286</v>
      </c>
      <c r="D340" s="364" t="s">
        <v>1287</v>
      </c>
      <c r="E340" s="65"/>
      <c r="F340" s="52"/>
      <c r="G340" s="52"/>
      <c r="H340" s="67"/>
      <c r="I340" s="86" t="s">
        <v>32</v>
      </c>
      <c r="J340" s="86" t="s">
        <v>291</v>
      </c>
      <c r="K340" s="280"/>
      <c r="L340" s="113"/>
      <c r="M340" s="113"/>
      <c r="N340" s="280"/>
      <c r="O340" s="113"/>
      <c r="P340" s="113"/>
      <c r="Q340" s="113"/>
      <c r="V340" s="53" t="s">
        <v>34</v>
      </c>
      <c r="X340" s="132">
        <v>19.851530075073239</v>
      </c>
      <c r="Y340" s="72">
        <v>1</v>
      </c>
      <c r="Z340" s="115">
        <f t="shared" si="16"/>
        <v>19.851530075073239</v>
      </c>
      <c r="AA340" s="115" t="str">
        <f t="shared" si="17"/>
        <v/>
      </c>
      <c r="AB340" s="52"/>
    </row>
    <row r="341" spans="1:28" s="112" customFormat="1" ht="16" customHeight="1" x14ac:dyDescent="0.2">
      <c r="A341" s="52" t="s">
        <v>1284</v>
      </c>
      <c r="B341" s="52" t="s">
        <v>1288</v>
      </c>
      <c r="C341" s="364" t="s">
        <v>1289</v>
      </c>
      <c r="D341" s="364" t="s">
        <v>1290</v>
      </c>
      <c r="E341" s="65"/>
      <c r="F341" s="52"/>
      <c r="G341" s="52"/>
      <c r="H341" s="67"/>
      <c r="I341" s="86" t="s">
        <v>32</v>
      </c>
      <c r="J341" s="86" t="s">
        <v>291</v>
      </c>
      <c r="K341" s="280"/>
      <c r="L341" s="113"/>
      <c r="M341" s="113"/>
      <c r="N341" s="280"/>
      <c r="O341" s="113"/>
      <c r="P341" s="113"/>
      <c r="Q341" s="113"/>
      <c r="V341" s="53" t="s">
        <v>34</v>
      </c>
      <c r="X341" s="132">
        <v>15.436671257019039</v>
      </c>
      <c r="Y341" s="72">
        <v>1</v>
      </c>
      <c r="Z341" s="115">
        <f t="shared" si="16"/>
        <v>15.436671257019039</v>
      </c>
      <c r="AA341" s="115" t="str">
        <f t="shared" si="17"/>
        <v/>
      </c>
      <c r="AB341" s="52"/>
    </row>
    <row r="342" spans="1:28" s="112" customFormat="1" ht="16" customHeight="1" x14ac:dyDescent="0.2">
      <c r="A342" s="52" t="s">
        <v>1284</v>
      </c>
      <c r="B342" s="52" t="s">
        <v>1291</v>
      </c>
      <c r="C342" s="364" t="s">
        <v>1292</v>
      </c>
      <c r="D342" s="364" t="s">
        <v>1293</v>
      </c>
      <c r="E342" s="65"/>
      <c r="F342" s="52"/>
      <c r="G342" s="52"/>
      <c r="H342" s="67"/>
      <c r="I342" s="86" t="s">
        <v>32</v>
      </c>
      <c r="J342" s="86" t="s">
        <v>291</v>
      </c>
      <c r="K342" s="280"/>
      <c r="L342" s="113"/>
      <c r="M342" s="113"/>
      <c r="N342" s="280"/>
      <c r="O342" s="113"/>
      <c r="P342" s="113"/>
      <c r="Q342" s="113"/>
      <c r="V342" s="53" t="s">
        <v>34</v>
      </c>
      <c r="X342" s="132">
        <v>13.39993858337402</v>
      </c>
      <c r="Y342" s="72">
        <v>1</v>
      </c>
      <c r="Z342" s="115">
        <f t="shared" si="16"/>
        <v>13.39993858337402</v>
      </c>
      <c r="AA342" s="115" t="str">
        <f t="shared" si="17"/>
        <v/>
      </c>
      <c r="AB342" s="52"/>
    </row>
    <row r="343" spans="1:28" s="112" customFormat="1" ht="16" customHeight="1" x14ac:dyDescent="0.2">
      <c r="A343" s="52" t="s">
        <v>1284</v>
      </c>
      <c r="B343" s="52" t="s">
        <v>1294</v>
      </c>
      <c r="C343" s="364" t="s">
        <v>1295</v>
      </c>
      <c r="D343" s="364" t="s">
        <v>1296</v>
      </c>
      <c r="E343" s="65"/>
      <c r="F343" s="52"/>
      <c r="G343" s="52"/>
      <c r="H343" s="67"/>
      <c r="I343" s="86" t="s">
        <v>32</v>
      </c>
      <c r="J343" s="86" t="s">
        <v>291</v>
      </c>
      <c r="K343" s="280"/>
      <c r="L343" s="113"/>
      <c r="M343" s="113"/>
      <c r="N343" s="280"/>
      <c r="O343" s="113"/>
      <c r="P343" s="113"/>
      <c r="Q343" s="113"/>
      <c r="V343" s="53" t="s">
        <v>34</v>
      </c>
      <c r="X343" s="132">
        <v>11.787801742553709</v>
      </c>
      <c r="Y343" s="72">
        <v>1</v>
      </c>
      <c r="Z343" s="115">
        <f t="shared" si="16"/>
        <v>11.787801742553709</v>
      </c>
      <c r="AA343" s="115" t="str">
        <f t="shared" si="17"/>
        <v/>
      </c>
      <c r="AB343" s="52"/>
    </row>
    <row r="344" spans="1:28" s="112" customFormat="1" ht="32" customHeight="1" x14ac:dyDescent="0.2">
      <c r="A344" s="52" t="s">
        <v>1284</v>
      </c>
      <c r="B344" s="52" t="s">
        <v>1297</v>
      </c>
      <c r="C344" s="364" t="s">
        <v>1298</v>
      </c>
      <c r="D344" s="364" t="s">
        <v>1299</v>
      </c>
      <c r="E344" s="65"/>
      <c r="F344" s="52"/>
      <c r="G344" s="52"/>
      <c r="H344" s="67"/>
      <c r="I344" s="86" t="s">
        <v>32</v>
      </c>
      <c r="J344" s="86" t="s">
        <v>291</v>
      </c>
      <c r="K344" s="280"/>
      <c r="L344" s="113"/>
      <c r="M344" s="113"/>
      <c r="N344" s="280"/>
      <c r="O344" s="113"/>
      <c r="P344" s="113"/>
      <c r="Q344" s="113"/>
      <c r="V344" s="53" t="s">
        <v>34</v>
      </c>
      <c r="X344" s="132">
        <v>14.41095890410959</v>
      </c>
      <c r="Y344" s="72">
        <v>1</v>
      </c>
      <c r="Z344" s="115">
        <f t="shared" si="16"/>
        <v>14.41095890410959</v>
      </c>
      <c r="AA344" s="115" t="str">
        <f t="shared" si="17"/>
        <v/>
      </c>
      <c r="AB344" s="52"/>
    </row>
    <row r="345" spans="1:28" s="112" customFormat="1" ht="16" customHeight="1" x14ac:dyDescent="0.2">
      <c r="A345" s="52" t="s">
        <v>1284</v>
      </c>
      <c r="B345" s="52" t="s">
        <v>1300</v>
      </c>
      <c r="C345" s="364" t="s">
        <v>1301</v>
      </c>
      <c r="D345" s="364" t="s">
        <v>1302</v>
      </c>
      <c r="E345" s="65"/>
      <c r="F345" s="52"/>
      <c r="G345" s="52"/>
      <c r="H345" s="67"/>
      <c r="I345" s="86" t="s">
        <v>32</v>
      </c>
      <c r="J345" s="86" t="s">
        <v>291</v>
      </c>
      <c r="K345" s="280"/>
      <c r="L345" s="113"/>
      <c r="M345" s="113"/>
      <c r="N345" s="280"/>
      <c r="O345" s="113"/>
      <c r="P345" s="113"/>
      <c r="Q345" s="113"/>
      <c r="V345" s="53" t="s">
        <v>34</v>
      </c>
      <c r="X345" s="132">
        <v>15.40838527679443</v>
      </c>
      <c r="Y345" s="72">
        <v>1</v>
      </c>
      <c r="Z345" s="115">
        <f t="shared" si="16"/>
        <v>15.40838527679443</v>
      </c>
      <c r="AA345" s="115" t="str">
        <f t="shared" si="17"/>
        <v/>
      </c>
      <c r="AB345" s="52"/>
    </row>
    <row r="346" spans="1:28" s="112" customFormat="1" ht="16" customHeight="1" x14ac:dyDescent="0.2">
      <c r="A346" s="52" t="s">
        <v>1284</v>
      </c>
      <c r="B346" s="52" t="s">
        <v>1303</v>
      </c>
      <c r="C346" s="364" t="s">
        <v>1304</v>
      </c>
      <c r="D346" s="364" t="s">
        <v>1305</v>
      </c>
      <c r="E346" s="65"/>
      <c r="F346" s="52"/>
      <c r="G346" s="52"/>
      <c r="H346" s="67"/>
      <c r="I346" s="86" t="s">
        <v>32</v>
      </c>
      <c r="J346" s="86" t="s">
        <v>291</v>
      </c>
      <c r="K346" s="280"/>
      <c r="L346" s="113"/>
      <c r="M346" s="113"/>
      <c r="N346" s="280"/>
      <c r="O346" s="113"/>
      <c r="P346" s="113"/>
      <c r="Q346" s="113"/>
      <c r="V346" s="53" t="s">
        <v>34</v>
      </c>
      <c r="X346" s="132">
        <v>15.543986320495611</v>
      </c>
      <c r="Y346" s="72">
        <v>1</v>
      </c>
      <c r="Z346" s="115">
        <f t="shared" si="16"/>
        <v>15.543986320495611</v>
      </c>
      <c r="AA346" s="115" t="str">
        <f t="shared" si="17"/>
        <v/>
      </c>
      <c r="AB346" s="52"/>
    </row>
    <row r="347" spans="1:28" s="112" customFormat="1" ht="16" customHeight="1" x14ac:dyDescent="0.2">
      <c r="A347" s="52" t="s">
        <v>1284</v>
      </c>
      <c r="B347" s="52" t="s">
        <v>1306</v>
      </c>
      <c r="C347" s="364" t="s">
        <v>1307</v>
      </c>
      <c r="D347" s="364" t="s">
        <v>1308</v>
      </c>
      <c r="E347" s="65"/>
      <c r="F347" s="52"/>
      <c r="G347" s="52"/>
      <c r="H347" s="67"/>
      <c r="I347" s="86" t="s">
        <v>32</v>
      </c>
      <c r="J347" s="86" t="s">
        <v>291</v>
      </c>
      <c r="K347" s="280"/>
      <c r="L347" s="113"/>
      <c r="M347" s="113"/>
      <c r="N347" s="280"/>
      <c r="O347" s="113"/>
      <c r="P347" s="113"/>
      <c r="Q347" s="113"/>
      <c r="V347" s="53"/>
      <c r="X347" s="132"/>
      <c r="Y347" s="72"/>
      <c r="Z347" s="115"/>
      <c r="AA347" s="115"/>
      <c r="AB347" s="52"/>
    </row>
    <row r="348" spans="1:28" s="112" customFormat="1" ht="16" customHeight="1" x14ac:dyDescent="0.2">
      <c r="A348" s="52" t="s">
        <v>1284</v>
      </c>
      <c r="B348" s="52" t="s">
        <v>1309</v>
      </c>
      <c r="C348" s="364" t="s">
        <v>1310</v>
      </c>
      <c r="D348" s="364" t="s">
        <v>1311</v>
      </c>
      <c r="E348" s="65"/>
      <c r="F348" s="52"/>
      <c r="G348" s="52"/>
      <c r="H348" s="67"/>
      <c r="I348" s="86" t="s">
        <v>32</v>
      </c>
      <c r="J348" s="86" t="s">
        <v>291</v>
      </c>
      <c r="K348" s="280"/>
      <c r="L348" s="113"/>
      <c r="M348" s="113"/>
      <c r="N348" s="280"/>
      <c r="O348" s="113"/>
      <c r="P348" s="113"/>
      <c r="Q348" s="113"/>
      <c r="V348" s="53" t="s">
        <v>34</v>
      </c>
      <c r="X348" s="132">
        <v>10.668112754821779</v>
      </c>
      <c r="Y348" s="72">
        <v>1</v>
      </c>
      <c r="Z348" s="115">
        <f t="shared" ref="Z348:Z360" si="18">IF(X348&lt;&gt;"",X348*Y348,"")</f>
        <v>10.668112754821779</v>
      </c>
      <c r="AA348" s="115" t="str">
        <f t="shared" ref="AA348:AA360" si="19">IF(AND(X348&lt;&gt;"",V348="yes"),X348*Y348,"")</f>
        <v/>
      </c>
      <c r="AB348" s="52"/>
    </row>
    <row r="349" spans="1:28" s="112" customFormat="1" ht="16" customHeight="1" x14ac:dyDescent="0.2">
      <c r="A349" s="52" t="s">
        <v>1284</v>
      </c>
      <c r="B349" s="52" t="s">
        <v>1312</v>
      </c>
      <c r="C349" s="364" t="s">
        <v>1313</v>
      </c>
      <c r="D349" s="364" t="s">
        <v>1314</v>
      </c>
      <c r="E349" s="65"/>
      <c r="F349" s="52"/>
      <c r="G349" s="52"/>
      <c r="H349" s="67"/>
      <c r="I349" s="86" t="s">
        <v>32</v>
      </c>
      <c r="J349" s="86" t="s">
        <v>291</v>
      </c>
      <c r="K349" s="280"/>
      <c r="L349" s="113"/>
      <c r="M349" s="113"/>
      <c r="N349" s="280"/>
      <c r="O349" s="113"/>
      <c r="P349" s="113"/>
      <c r="Q349" s="113"/>
      <c r="V349" s="53" t="s">
        <v>34</v>
      </c>
      <c r="X349" s="132">
        <v>9.716710090637207</v>
      </c>
      <c r="Y349" s="72">
        <v>1</v>
      </c>
      <c r="Z349" s="115">
        <f t="shared" si="18"/>
        <v>9.716710090637207</v>
      </c>
      <c r="AA349" s="115" t="str">
        <f t="shared" si="19"/>
        <v/>
      </c>
      <c r="AB349" s="52"/>
    </row>
    <row r="350" spans="1:28" s="112" customFormat="1" ht="16" customHeight="1" x14ac:dyDescent="0.2">
      <c r="A350" s="52" t="s">
        <v>1284</v>
      </c>
      <c r="B350" s="52" t="s">
        <v>1315</v>
      </c>
      <c r="C350" s="364" t="s">
        <v>1316</v>
      </c>
      <c r="D350" s="364" t="s">
        <v>1317</v>
      </c>
      <c r="E350" s="65"/>
      <c r="F350" s="52"/>
      <c r="G350" s="52"/>
      <c r="H350" s="67"/>
      <c r="I350" s="86" t="s">
        <v>32</v>
      </c>
      <c r="J350" s="86" t="s">
        <v>291</v>
      </c>
      <c r="K350" s="280"/>
      <c r="L350" s="113"/>
      <c r="M350" s="113"/>
      <c r="N350" s="280"/>
      <c r="O350" s="113"/>
      <c r="P350" s="113"/>
      <c r="Q350" s="113"/>
      <c r="V350" s="53" t="s">
        <v>34</v>
      </c>
      <c r="X350" s="132">
        <v>10.114131927490231</v>
      </c>
      <c r="Y350" s="72">
        <v>1</v>
      </c>
      <c r="Z350" s="115">
        <f t="shared" si="18"/>
        <v>10.114131927490231</v>
      </c>
      <c r="AA350" s="115" t="str">
        <f t="shared" si="19"/>
        <v/>
      </c>
      <c r="AB350" s="52"/>
    </row>
    <row r="351" spans="1:28" s="112" customFormat="1" ht="16" customHeight="1" x14ac:dyDescent="0.2">
      <c r="A351" s="52" t="s">
        <v>1284</v>
      </c>
      <c r="B351" s="52" t="s">
        <v>1318</v>
      </c>
      <c r="C351" s="364" t="s">
        <v>1319</v>
      </c>
      <c r="D351" s="364" t="s">
        <v>1320</v>
      </c>
      <c r="E351" s="65"/>
      <c r="F351" s="52"/>
      <c r="G351" s="52"/>
      <c r="H351" s="67"/>
      <c r="I351" s="86" t="s">
        <v>32</v>
      </c>
      <c r="J351" s="86" t="s">
        <v>291</v>
      </c>
      <c r="K351" s="280"/>
      <c r="L351" s="113"/>
      <c r="M351" s="113"/>
      <c r="N351" s="280"/>
      <c r="O351" s="113"/>
      <c r="P351" s="113"/>
      <c r="Q351" s="113"/>
      <c r="V351" s="53" t="s">
        <v>34</v>
      </c>
      <c r="X351" s="132">
        <v>10.86770534515381</v>
      </c>
      <c r="Y351" s="72">
        <v>1</v>
      </c>
      <c r="Z351" s="115">
        <f t="shared" si="18"/>
        <v>10.86770534515381</v>
      </c>
      <c r="AA351" s="115" t="str">
        <f t="shared" si="19"/>
        <v/>
      </c>
      <c r="AB351" s="52"/>
    </row>
    <row r="352" spans="1:28" x14ac:dyDescent="0.2">
      <c r="A352" s="52" t="s">
        <v>189</v>
      </c>
      <c r="B352" s="52"/>
      <c r="C352" s="365"/>
      <c r="D352" s="365"/>
      <c r="E352" s="59"/>
      <c r="H352" s="60"/>
      <c r="I352" s="80"/>
      <c r="X352" s="132"/>
      <c r="Y352" s="72">
        <v>1</v>
      </c>
      <c r="Z352" s="115" t="str">
        <f t="shared" si="18"/>
        <v/>
      </c>
      <c r="AA352" s="115" t="str">
        <f t="shared" si="19"/>
        <v/>
      </c>
    </row>
    <row r="353" spans="1:28" ht="16" customHeight="1" thickBot="1" x14ac:dyDescent="0.25">
      <c r="A353" s="68" t="s">
        <v>189</v>
      </c>
      <c r="B353" s="68"/>
      <c r="C353" s="371"/>
      <c r="D353" s="374"/>
      <c r="E353" s="244"/>
      <c r="F353" s="68"/>
      <c r="G353" s="68"/>
      <c r="H353" s="73"/>
      <c r="I353" s="247"/>
      <c r="J353" s="247"/>
      <c r="K353" s="273"/>
      <c r="L353" s="247"/>
      <c r="M353" s="247"/>
      <c r="N353" s="273"/>
      <c r="O353" s="247"/>
      <c r="P353" s="247"/>
      <c r="Q353" s="247"/>
      <c r="X353" s="132"/>
      <c r="Z353" s="115" t="str">
        <f t="shared" si="18"/>
        <v/>
      </c>
      <c r="AA353" s="115" t="str">
        <f t="shared" si="19"/>
        <v/>
      </c>
    </row>
    <row r="354" spans="1:28" s="49" customFormat="1" ht="177" customHeight="1" thickTop="1" x14ac:dyDescent="0.2">
      <c r="A354" s="282" t="s">
        <v>71</v>
      </c>
      <c r="B354" s="282" t="s">
        <v>1321</v>
      </c>
      <c r="C354" s="367" t="s">
        <v>1322</v>
      </c>
      <c r="D354" s="367" t="s">
        <v>1323</v>
      </c>
      <c r="E354" s="47"/>
      <c r="F354" s="46"/>
      <c r="G354" s="46"/>
      <c r="H354" s="48"/>
      <c r="I354" s="82" t="s">
        <v>62</v>
      </c>
      <c r="J354" s="82"/>
      <c r="K354" s="275"/>
      <c r="L354" s="82"/>
      <c r="M354" s="82"/>
      <c r="N354" s="275" t="s">
        <v>1324</v>
      </c>
      <c r="O354" s="82"/>
      <c r="P354" s="82"/>
      <c r="Q354" s="82"/>
      <c r="V354" s="28" t="s">
        <v>48</v>
      </c>
      <c r="X354" s="132"/>
      <c r="Y354" s="50"/>
      <c r="Z354" s="115" t="str">
        <f t="shared" si="18"/>
        <v/>
      </c>
      <c r="AA354" s="115" t="str">
        <f t="shared" si="19"/>
        <v/>
      </c>
      <c r="AB354" s="50"/>
    </row>
    <row r="355" spans="1:28" ht="32" customHeight="1" x14ac:dyDescent="0.2">
      <c r="A355" s="51" t="s">
        <v>155</v>
      </c>
      <c r="B355" s="51" t="s">
        <v>1325</v>
      </c>
      <c r="C355" s="364" t="s">
        <v>1326</v>
      </c>
      <c r="D355" s="364" t="s">
        <v>1327</v>
      </c>
      <c r="E355" s="59"/>
      <c r="F355" s="51"/>
      <c r="G355" s="51"/>
      <c r="H355" s="60"/>
      <c r="I355" s="243" t="s">
        <v>32</v>
      </c>
      <c r="J355" s="243"/>
      <c r="K355" s="26"/>
      <c r="L355" s="243"/>
      <c r="M355" s="243"/>
      <c r="N355" s="26"/>
      <c r="O355" s="243"/>
      <c r="P355" s="243"/>
      <c r="Q355" s="243"/>
      <c r="V355" s="28" t="s">
        <v>48</v>
      </c>
      <c r="X355" s="132">
        <v>19.828245162963871</v>
      </c>
      <c r="Y355" s="72">
        <v>1</v>
      </c>
      <c r="Z355" s="115">
        <f t="shared" si="18"/>
        <v>19.828245162963871</v>
      </c>
      <c r="AA355" s="115">
        <f t="shared" si="19"/>
        <v>19.828245162963871</v>
      </c>
    </row>
    <row r="356" spans="1:28" ht="96" customHeight="1" x14ac:dyDescent="0.2">
      <c r="A356" s="51" t="s">
        <v>1328</v>
      </c>
      <c r="B356" s="51" t="s">
        <v>1329</v>
      </c>
      <c r="C356" s="364" t="s">
        <v>1330</v>
      </c>
      <c r="D356" s="364" t="s">
        <v>1331</v>
      </c>
      <c r="E356" s="59"/>
      <c r="F356" s="51" t="s">
        <v>1332</v>
      </c>
      <c r="G356" s="55" t="s">
        <v>1333</v>
      </c>
      <c r="H356" s="60"/>
      <c r="I356" s="243" t="s">
        <v>32</v>
      </c>
      <c r="J356" s="243"/>
      <c r="K356" s="267" t="s">
        <v>774</v>
      </c>
      <c r="L356" s="243"/>
      <c r="M356" s="243"/>
      <c r="N356" s="26" t="s">
        <v>1334</v>
      </c>
      <c r="O356" s="243"/>
      <c r="P356" s="243"/>
      <c r="Q356" s="243"/>
      <c r="V356" s="28" t="s">
        <v>48</v>
      </c>
      <c r="X356" s="132">
        <v>49.529693603515618</v>
      </c>
      <c r="Y356" s="72">
        <v>1</v>
      </c>
      <c r="Z356" s="115">
        <f t="shared" si="18"/>
        <v>49.529693603515618</v>
      </c>
      <c r="AA356" s="115">
        <f t="shared" si="19"/>
        <v>49.529693603515618</v>
      </c>
    </row>
    <row r="357" spans="1:28" ht="32" customHeight="1" x14ac:dyDescent="0.2">
      <c r="A357" s="51" t="s">
        <v>49</v>
      </c>
      <c r="B357" s="51" t="s">
        <v>1335</v>
      </c>
      <c r="C357" s="364" t="s">
        <v>1336</v>
      </c>
      <c r="D357" s="364" t="s">
        <v>1337</v>
      </c>
      <c r="E357" s="65"/>
      <c r="F357" s="52" t="s">
        <v>178</v>
      </c>
      <c r="G357" s="52" t="s">
        <v>179</v>
      </c>
      <c r="H357" s="60"/>
      <c r="I357" s="243" t="s">
        <v>32</v>
      </c>
      <c r="J357" s="243"/>
      <c r="K357" s="325" t="s">
        <v>53</v>
      </c>
      <c r="L357" s="306" t="s">
        <v>54</v>
      </c>
      <c r="M357" s="306" t="s">
        <v>55</v>
      </c>
      <c r="N357" s="26" t="s">
        <v>1338</v>
      </c>
      <c r="O357" s="243"/>
      <c r="P357" s="243"/>
      <c r="Q357" s="243"/>
      <c r="V357" s="28" t="s">
        <v>48</v>
      </c>
      <c r="X357" s="132"/>
      <c r="Y357" s="72">
        <v>1</v>
      </c>
      <c r="Z357" s="115" t="str">
        <f t="shared" si="18"/>
        <v/>
      </c>
      <c r="AA357" s="115" t="str">
        <f t="shared" si="19"/>
        <v/>
      </c>
    </row>
    <row r="358" spans="1:28" s="52" customFormat="1" ht="128" customHeight="1" x14ac:dyDescent="0.2">
      <c r="A358" s="55" t="s">
        <v>1339</v>
      </c>
      <c r="B358" s="55" t="s">
        <v>1340</v>
      </c>
      <c r="C358" s="364" t="s">
        <v>1341</v>
      </c>
      <c r="D358" s="364" t="s">
        <v>1342</v>
      </c>
      <c r="E358" s="65"/>
      <c r="F358" s="55" t="s">
        <v>1343</v>
      </c>
      <c r="G358" s="55" t="s">
        <v>1344</v>
      </c>
      <c r="H358" s="60"/>
      <c r="I358" s="81" t="s">
        <v>32</v>
      </c>
      <c r="J358" s="81"/>
      <c r="K358" s="267" t="s">
        <v>1345</v>
      </c>
      <c r="L358" s="81"/>
      <c r="M358" s="81"/>
      <c r="N358" s="267"/>
      <c r="O358" s="81"/>
      <c r="P358" s="81"/>
      <c r="Q358" s="81"/>
      <c r="V358" s="52" t="s">
        <v>34</v>
      </c>
      <c r="X358" s="132">
        <v>22.029750823974609</v>
      </c>
      <c r="Y358" s="72">
        <v>1</v>
      </c>
      <c r="Z358" s="115">
        <f t="shared" si="18"/>
        <v>22.029750823974609</v>
      </c>
      <c r="AA358" s="115" t="str">
        <f t="shared" si="19"/>
        <v/>
      </c>
    </row>
    <row r="359" spans="1:28" s="52" customFormat="1" ht="32" customHeight="1" x14ac:dyDescent="0.2">
      <c r="A359" s="55" t="s">
        <v>49</v>
      </c>
      <c r="B359" s="55" t="s">
        <v>1346</v>
      </c>
      <c r="C359" s="364" t="s">
        <v>1347</v>
      </c>
      <c r="D359" s="364" t="s">
        <v>1348</v>
      </c>
      <c r="E359" s="65"/>
      <c r="F359" s="55" t="s">
        <v>178</v>
      </c>
      <c r="G359" s="52" t="s">
        <v>179</v>
      </c>
      <c r="H359" s="67"/>
      <c r="I359" s="81" t="s">
        <v>32</v>
      </c>
      <c r="J359" s="81"/>
      <c r="K359" s="325" t="s">
        <v>53</v>
      </c>
      <c r="L359" s="306" t="s">
        <v>54</v>
      </c>
      <c r="M359" s="306" t="s">
        <v>55</v>
      </c>
      <c r="N359" s="267" t="s">
        <v>1349</v>
      </c>
      <c r="O359" s="81"/>
      <c r="P359" s="81"/>
      <c r="Q359" s="81"/>
      <c r="V359" s="52" t="s">
        <v>34</v>
      </c>
      <c r="X359" s="132"/>
      <c r="Y359" s="72">
        <v>1</v>
      </c>
      <c r="Z359" s="115" t="str">
        <f t="shared" si="18"/>
        <v/>
      </c>
      <c r="AA359" s="115" t="str">
        <f t="shared" si="19"/>
        <v/>
      </c>
    </row>
    <row r="360" spans="1:28" s="52" customFormat="1" ht="48" customHeight="1" x14ac:dyDescent="0.2">
      <c r="A360" s="55" t="s">
        <v>1350</v>
      </c>
      <c r="B360" s="55" t="s">
        <v>1351</v>
      </c>
      <c r="C360" s="364" t="s">
        <v>1352</v>
      </c>
      <c r="D360" s="364" t="s">
        <v>1353</v>
      </c>
      <c r="E360" s="65"/>
      <c r="F360" s="55" t="s">
        <v>1354</v>
      </c>
      <c r="G360" s="55" t="s">
        <v>1355</v>
      </c>
      <c r="H360" s="67"/>
      <c r="I360" s="81" t="s">
        <v>32</v>
      </c>
      <c r="J360" s="81"/>
      <c r="K360" s="267"/>
      <c r="L360" s="81"/>
      <c r="M360" s="81"/>
      <c r="N360" s="267" t="s">
        <v>1356</v>
      </c>
      <c r="O360" s="81"/>
      <c r="P360" s="81"/>
      <c r="Q360" s="81"/>
      <c r="V360" s="52" t="s">
        <v>34</v>
      </c>
      <c r="X360" s="132">
        <v>17</v>
      </c>
      <c r="Y360" s="72">
        <v>1</v>
      </c>
      <c r="Z360" s="115">
        <f t="shared" si="18"/>
        <v>17</v>
      </c>
      <c r="AA360" s="115" t="str">
        <f t="shared" si="19"/>
        <v/>
      </c>
    </row>
    <row r="361" spans="1:28" s="52" customFormat="1" ht="96" customHeight="1" x14ac:dyDescent="0.2">
      <c r="A361" s="52" t="s">
        <v>1357</v>
      </c>
      <c r="B361" s="52" t="s">
        <v>1358</v>
      </c>
      <c r="C361" s="364" t="s">
        <v>1359</v>
      </c>
      <c r="D361" s="364" t="s">
        <v>1360</v>
      </c>
      <c r="E361" s="65"/>
      <c r="F361" s="52" t="s">
        <v>1361</v>
      </c>
      <c r="G361" s="52" t="s">
        <v>652</v>
      </c>
      <c r="H361" s="67"/>
      <c r="I361" s="86" t="s">
        <v>32</v>
      </c>
      <c r="J361" s="86"/>
      <c r="K361" s="266" t="s">
        <v>774</v>
      </c>
      <c r="L361" s="86"/>
      <c r="M361" s="86"/>
      <c r="N361" s="266" t="s">
        <v>1356</v>
      </c>
      <c r="O361" s="86"/>
      <c r="P361" s="86"/>
      <c r="Q361" s="86"/>
      <c r="X361" s="132"/>
      <c r="Y361" s="72"/>
      <c r="Z361" s="115"/>
      <c r="AA361" s="115"/>
    </row>
    <row r="362" spans="1:28" s="52" customFormat="1" ht="32" customHeight="1" x14ac:dyDescent="0.2">
      <c r="A362" s="51" t="s">
        <v>49</v>
      </c>
      <c r="B362" s="51" t="s">
        <v>1362</v>
      </c>
      <c r="C362" s="364" t="s">
        <v>1363</v>
      </c>
      <c r="D362" s="364" t="s">
        <v>1364</v>
      </c>
      <c r="E362" s="65"/>
      <c r="F362" s="52" t="s">
        <v>178</v>
      </c>
      <c r="G362" s="52" t="s">
        <v>179</v>
      </c>
      <c r="H362" s="60"/>
      <c r="I362" s="243" t="s">
        <v>32</v>
      </c>
      <c r="J362" s="86"/>
      <c r="K362" s="325" t="s">
        <v>53</v>
      </c>
      <c r="L362" s="306" t="s">
        <v>54</v>
      </c>
      <c r="M362" s="306" t="s">
        <v>55</v>
      </c>
      <c r="N362" s="267" t="s">
        <v>1365</v>
      </c>
      <c r="O362" s="86"/>
      <c r="P362" s="86"/>
      <c r="Q362" s="86"/>
      <c r="X362" s="132"/>
      <c r="Y362" s="72"/>
      <c r="Z362" s="115"/>
      <c r="AA362" s="115"/>
    </row>
    <row r="363" spans="1:28" ht="16" customHeight="1" thickBot="1" x14ac:dyDescent="0.25">
      <c r="A363" s="68" t="s">
        <v>189</v>
      </c>
      <c r="B363" s="68"/>
      <c r="C363" s="371"/>
      <c r="D363" s="374"/>
      <c r="E363" s="244"/>
      <c r="F363" s="68"/>
      <c r="G363" s="68"/>
      <c r="H363" s="73"/>
      <c r="I363" s="247"/>
      <c r="J363" s="247"/>
      <c r="K363" s="273"/>
      <c r="L363" s="247"/>
      <c r="M363" s="247"/>
      <c r="N363" s="273"/>
      <c r="O363" s="247"/>
      <c r="P363" s="247"/>
      <c r="Q363" s="247"/>
      <c r="X363" s="132"/>
      <c r="Z363" s="115" t="str">
        <f>IF(X363&lt;&gt;"",X363*Y363,"")</f>
        <v/>
      </c>
      <c r="AA363" s="115" t="str">
        <f>IF(AND(X363&lt;&gt;"",V363="yes"),X363*Y363,"")</f>
        <v/>
      </c>
    </row>
    <row r="364" spans="1:28" s="49" customFormat="1" ht="49" customHeight="1" thickTop="1" x14ac:dyDescent="0.2">
      <c r="A364" s="282" t="s">
        <v>71</v>
      </c>
      <c r="B364" s="282" t="s">
        <v>1366</v>
      </c>
      <c r="C364" s="367" t="s">
        <v>1367</v>
      </c>
      <c r="D364" s="367" t="s">
        <v>1368</v>
      </c>
      <c r="E364" s="47"/>
      <c r="F364" s="46"/>
      <c r="G364" s="46"/>
      <c r="H364" s="48"/>
      <c r="I364" s="82" t="s">
        <v>62</v>
      </c>
      <c r="J364" s="82"/>
      <c r="K364" s="275"/>
      <c r="L364" s="82"/>
      <c r="M364" s="82"/>
      <c r="N364" s="270" t="s">
        <v>193</v>
      </c>
      <c r="O364" s="82"/>
      <c r="P364" s="82"/>
      <c r="Q364" s="82"/>
      <c r="V364" s="28" t="s">
        <v>48</v>
      </c>
      <c r="X364" s="132"/>
      <c r="Y364" s="114"/>
      <c r="Z364" s="115" t="str">
        <f>IF(X364&lt;&gt;"",X364*Y364,"")</f>
        <v/>
      </c>
      <c r="AA364" s="115" t="str">
        <f>IF(AND(X364&lt;&gt;"",V364="yes"),X364*Y364,"")</f>
        <v/>
      </c>
      <c r="AB364" s="50"/>
    </row>
    <row r="365" spans="1:28" ht="16" customHeight="1" x14ac:dyDescent="0.2">
      <c r="A365" s="51" t="s">
        <v>63</v>
      </c>
      <c r="B365" s="51" t="s">
        <v>1369</v>
      </c>
      <c r="C365" s="364" t="s">
        <v>1370</v>
      </c>
      <c r="D365" s="364" t="s">
        <v>1371</v>
      </c>
      <c r="E365" s="59"/>
      <c r="F365" s="51"/>
      <c r="G365" s="51"/>
      <c r="H365" s="60"/>
      <c r="I365" s="243" t="s">
        <v>32</v>
      </c>
      <c r="J365" s="243"/>
      <c r="K365" s="26"/>
      <c r="L365" s="243"/>
      <c r="M365" s="243"/>
      <c r="N365" s="26"/>
      <c r="O365" s="243"/>
      <c r="P365" s="243"/>
      <c r="Q365" s="243"/>
      <c r="V365" s="28" t="s">
        <v>48</v>
      </c>
      <c r="X365" s="132">
        <v>36.783046722412109</v>
      </c>
      <c r="Y365" s="72">
        <v>1</v>
      </c>
      <c r="Z365" s="115">
        <f>IF(X365&lt;&gt;"",X365*Y365,"")</f>
        <v>36.783046722412109</v>
      </c>
      <c r="AA365" s="115">
        <f>IF(AND(X365&lt;&gt;"",V365="yes"),X365*Y365,"")</f>
        <v>36.783046722412109</v>
      </c>
    </row>
    <row r="366" spans="1:28" s="53" customFormat="1" ht="16" customHeight="1" x14ac:dyDescent="0.2">
      <c r="A366" s="107" t="s">
        <v>1372</v>
      </c>
      <c r="B366" s="107" t="s">
        <v>1373</v>
      </c>
      <c r="C366" s="364" t="s">
        <v>1374</v>
      </c>
      <c r="D366" s="364" t="s">
        <v>1375</v>
      </c>
      <c r="E366" s="109"/>
      <c r="F366" s="107" t="s">
        <v>1376</v>
      </c>
      <c r="G366" s="107" t="s">
        <v>652</v>
      </c>
      <c r="H366" s="110"/>
      <c r="I366" s="106" t="s">
        <v>32</v>
      </c>
      <c r="J366" s="106"/>
      <c r="K366" s="277"/>
      <c r="L366" s="106"/>
      <c r="M366" s="106"/>
      <c r="N366" s="281" t="s">
        <v>1377</v>
      </c>
      <c r="O366" s="84"/>
      <c r="P366" s="84"/>
      <c r="Q366" s="84"/>
      <c r="V366" s="108" t="s">
        <v>105</v>
      </c>
      <c r="X366" s="132">
        <v>10</v>
      </c>
      <c r="Y366" s="72">
        <v>1</v>
      </c>
      <c r="Z366" s="115">
        <f>IF(X366&lt;&gt;"",X366*Y366,"")</f>
        <v>10</v>
      </c>
      <c r="AA366" s="115" t="str">
        <f>IF(AND(X366&lt;&gt;"",V366="yes"),X366*Y366,"")</f>
        <v/>
      </c>
      <c r="AB366" s="52"/>
    </row>
    <row r="367" spans="1:28" s="53" customFormat="1" ht="16" customHeight="1" x14ac:dyDescent="0.2">
      <c r="A367" s="107" t="s">
        <v>1378</v>
      </c>
      <c r="B367" s="107" t="s">
        <v>1379</v>
      </c>
      <c r="C367" s="364" t="s">
        <v>1380</v>
      </c>
      <c r="D367" s="364" t="s">
        <v>1381</v>
      </c>
      <c r="E367" s="109"/>
      <c r="F367" s="107" t="s">
        <v>1376</v>
      </c>
      <c r="G367" s="107" t="s">
        <v>652</v>
      </c>
      <c r="H367" s="110"/>
      <c r="I367" s="106" t="s">
        <v>32</v>
      </c>
      <c r="J367" s="106"/>
      <c r="K367" s="277"/>
      <c r="L367" s="106"/>
      <c r="M367" s="106"/>
      <c r="N367" s="281" t="s">
        <v>1377</v>
      </c>
      <c r="O367" s="84"/>
      <c r="P367" s="84"/>
      <c r="Q367" s="84"/>
      <c r="V367" s="108" t="s">
        <v>105</v>
      </c>
      <c r="X367" s="132">
        <v>10</v>
      </c>
      <c r="Y367" s="72">
        <v>1</v>
      </c>
      <c r="Z367" s="115">
        <f>IF(X367&lt;&gt;"",X367*Y367,"")</f>
        <v>10</v>
      </c>
      <c r="AA367" s="115" t="str">
        <f>IF(AND(X367&lt;&gt;"",V367="yes"),X367*Y367,"")</f>
        <v/>
      </c>
      <c r="AB367" s="52"/>
    </row>
    <row r="368" spans="1:28" s="332" customFormat="1" ht="16" customHeight="1" x14ac:dyDescent="0.2">
      <c r="A368" s="331" t="s">
        <v>1382</v>
      </c>
      <c r="B368" s="331" t="s">
        <v>1383</v>
      </c>
      <c r="C368" s="397" t="s">
        <v>1384</v>
      </c>
      <c r="D368" s="376" t="s">
        <v>1385</v>
      </c>
      <c r="E368" s="334"/>
      <c r="F368" s="331"/>
      <c r="G368" s="331"/>
      <c r="I368" s="339" t="s">
        <v>32</v>
      </c>
      <c r="J368" s="339"/>
      <c r="K368" s="339"/>
      <c r="L368" s="339"/>
      <c r="M368" s="339"/>
      <c r="N368" s="339"/>
      <c r="O368" s="339"/>
      <c r="P368" s="339"/>
      <c r="U368" s="332" t="s">
        <v>48</v>
      </c>
      <c r="W368" s="149">
        <v>3</v>
      </c>
      <c r="X368" s="353">
        <v>1</v>
      </c>
      <c r="Y368" s="333">
        <f>IF(W368&lt;&gt;"",W368*X368,"")</f>
        <v>3</v>
      </c>
      <c r="Z368" s="333">
        <f>IF(AND(W368&lt;&gt;"",U368="yes"),W368*X368,"")</f>
        <v>3</v>
      </c>
      <c r="AA368" s="338"/>
    </row>
    <row r="369" spans="1:28" ht="16" customHeight="1" x14ac:dyDescent="0.2">
      <c r="A369" s="51" t="s">
        <v>56</v>
      </c>
      <c r="B369" s="51" t="s">
        <v>1386</v>
      </c>
      <c r="C369" s="340" t="s">
        <v>1387</v>
      </c>
      <c r="D369" s="364" t="s">
        <v>1388</v>
      </c>
      <c r="E369" s="59"/>
      <c r="F369" s="51"/>
      <c r="G369" s="51"/>
      <c r="H369" s="60"/>
      <c r="I369" s="243" t="s">
        <v>62</v>
      </c>
      <c r="J369" s="243"/>
      <c r="K369" s="26"/>
      <c r="L369" s="243"/>
      <c r="M369" s="243"/>
      <c r="N369" s="26"/>
      <c r="O369" s="243"/>
      <c r="P369" s="243"/>
      <c r="Q369" s="243"/>
      <c r="V369" s="28" t="s">
        <v>34</v>
      </c>
      <c r="X369" s="132">
        <v>0</v>
      </c>
      <c r="Y369" s="72">
        <v>1</v>
      </c>
      <c r="Z369" s="115">
        <f>IF(X369&lt;&gt;"",X369*Y369,"")</f>
        <v>0</v>
      </c>
      <c r="AA369" s="115" t="str">
        <f>IF(AND(X369&lt;&gt;"",V369="yes"),X369*Y369,"")</f>
        <v/>
      </c>
    </row>
    <row r="370" spans="1:28" ht="16" customHeight="1" thickBot="1" x14ac:dyDescent="0.25">
      <c r="A370" s="68" t="s">
        <v>189</v>
      </c>
      <c r="B370" s="68"/>
      <c r="C370" s="371"/>
      <c r="D370" s="371"/>
      <c r="E370" s="244"/>
      <c r="F370" s="68"/>
      <c r="G370" s="68"/>
      <c r="H370" s="73"/>
      <c r="I370" s="247"/>
      <c r="J370" s="247"/>
      <c r="K370" s="273"/>
      <c r="L370" s="247"/>
      <c r="M370" s="247"/>
      <c r="N370" s="273"/>
      <c r="O370" s="247"/>
      <c r="P370" s="247"/>
      <c r="Q370" s="247"/>
      <c r="X370" s="132"/>
      <c r="Z370" s="115" t="str">
        <f>IF(X370&lt;&gt;"",X370*Y370,"")</f>
        <v/>
      </c>
      <c r="AA370" s="115" t="str">
        <f>IF(AND(X370&lt;&gt;"",V370="yes"),X370*Y370,"")</f>
        <v/>
      </c>
    </row>
    <row r="371" spans="1:28" ht="17" customHeight="1" thickTop="1" x14ac:dyDescent="0.2">
      <c r="A371" s="51" t="s">
        <v>28</v>
      </c>
      <c r="B371" s="51" t="s">
        <v>1389</v>
      </c>
      <c r="C371" s="363" t="s">
        <v>1390</v>
      </c>
      <c r="D371" s="364" t="s">
        <v>1391</v>
      </c>
      <c r="E371" s="47"/>
      <c r="F371" s="51"/>
      <c r="G371" s="51"/>
      <c r="H371" s="48"/>
      <c r="I371" s="243" t="s">
        <v>32</v>
      </c>
      <c r="J371" s="243"/>
      <c r="K371" s="26"/>
      <c r="L371" s="243"/>
      <c r="M371" s="243"/>
      <c r="N371" s="26" t="s">
        <v>33</v>
      </c>
      <c r="O371" s="243"/>
      <c r="P371" s="243"/>
      <c r="Q371" s="243"/>
      <c r="V371" s="28" t="s">
        <v>34</v>
      </c>
      <c r="X371" s="132"/>
      <c r="Z371" s="115"/>
    </row>
    <row r="372" spans="1:28" ht="64" customHeight="1" x14ac:dyDescent="0.2">
      <c r="A372" s="51" t="s">
        <v>1392</v>
      </c>
      <c r="B372" s="51" t="s">
        <v>1393</v>
      </c>
      <c r="C372" s="363" t="s">
        <v>1394</v>
      </c>
      <c r="D372" s="364" t="s">
        <v>1395</v>
      </c>
      <c r="E372" s="245"/>
      <c r="F372" s="51"/>
      <c r="G372" s="51"/>
      <c r="H372" s="129"/>
      <c r="I372" s="243" t="s">
        <v>32</v>
      </c>
      <c r="J372" s="243"/>
      <c r="K372" s="26" t="s">
        <v>1396</v>
      </c>
      <c r="L372" s="243" t="s">
        <v>1397</v>
      </c>
      <c r="M372" s="243" t="s">
        <v>1398</v>
      </c>
      <c r="N372" s="26" t="s">
        <v>33</v>
      </c>
      <c r="O372" s="243"/>
      <c r="P372" s="243"/>
      <c r="Q372" s="243"/>
      <c r="X372" s="132"/>
      <c r="Z372" s="115"/>
    </row>
    <row r="373" spans="1:28" s="52" customFormat="1" x14ac:dyDescent="0.2">
      <c r="A373" t="s">
        <v>39</v>
      </c>
      <c r="B373" s="328" t="s">
        <v>1399</v>
      </c>
      <c r="C373" s="365"/>
      <c r="D373" s="365"/>
      <c r="E373" s="65"/>
      <c r="H373" s="67"/>
      <c r="I373" s="86"/>
      <c r="J373" s="86"/>
      <c r="K373" s="30"/>
      <c r="L373" s="86"/>
      <c r="M373" s="86"/>
      <c r="N373" s="266"/>
      <c r="O373" s="86"/>
      <c r="P373" s="86"/>
      <c r="Q373" s="328" t="s">
        <v>1400</v>
      </c>
      <c r="R373" s="328" t="s">
        <v>1401</v>
      </c>
      <c r="X373" s="132"/>
      <c r="Y373" s="114"/>
      <c r="Z373" s="115"/>
      <c r="AA373" s="115"/>
    </row>
    <row r="374" spans="1:28" s="52" customFormat="1" ht="16" customHeight="1" x14ac:dyDescent="0.2">
      <c r="A374" s="52" t="s">
        <v>49</v>
      </c>
      <c r="B374" s="52" t="s">
        <v>1402</v>
      </c>
      <c r="C374" s="365" t="s">
        <v>1403</v>
      </c>
      <c r="D374" s="365" t="s">
        <v>1404</v>
      </c>
      <c r="E374" s="65"/>
      <c r="F374" s="52" t="s">
        <v>1405</v>
      </c>
      <c r="G374" s="52" t="s">
        <v>1406</v>
      </c>
      <c r="H374" s="67"/>
      <c r="I374" s="86" t="s">
        <v>62</v>
      </c>
      <c r="J374" s="86"/>
      <c r="K374" s="266"/>
      <c r="L374" s="86"/>
      <c r="M374" s="86"/>
      <c r="N374" s="266"/>
      <c r="O374" s="86"/>
      <c r="P374" s="86"/>
      <c r="Q374" s="86"/>
      <c r="V374" s="52" t="s">
        <v>34</v>
      </c>
      <c r="X374" s="132"/>
      <c r="Y374" s="72"/>
      <c r="Z374" s="115"/>
      <c r="AA374" s="115" t="str">
        <f>IF(AND(X374&lt;&gt;"",V374="yes"),X374*Y374,"")</f>
        <v/>
      </c>
    </row>
    <row r="375" spans="1:28" x14ac:dyDescent="0.2">
      <c r="A375" s="51" t="s">
        <v>125</v>
      </c>
      <c r="B375" s="51" t="s">
        <v>1407</v>
      </c>
      <c r="C375" s="27"/>
      <c r="D375" s="27"/>
      <c r="E375" s="65"/>
      <c r="F375" s="51"/>
      <c r="G375" s="51"/>
      <c r="I375" s="243" t="s">
        <v>62</v>
      </c>
      <c r="J375" s="243"/>
      <c r="K375" s="26"/>
      <c r="L375" s="243"/>
      <c r="M375" s="243"/>
      <c r="N375" s="26"/>
      <c r="O375" s="243"/>
      <c r="P375" s="243"/>
      <c r="Q375" s="243" t="s">
        <v>1408</v>
      </c>
      <c r="V375" s="28" t="s">
        <v>34</v>
      </c>
      <c r="X375" s="132"/>
      <c r="AB375" s="28"/>
    </row>
    <row r="376" spans="1:28" x14ac:dyDescent="0.2">
      <c r="X376" s="132"/>
      <c r="AB376" s="28"/>
    </row>
    <row r="378" spans="1:28" x14ac:dyDescent="0.2">
      <c r="B378" s="265"/>
      <c r="D378" s="28"/>
      <c r="E378" s="28"/>
      <c r="G378" s="246"/>
      <c r="H378" s="246"/>
      <c r="I378" s="272"/>
      <c r="K378" s="246"/>
      <c r="L378" s="272"/>
      <c r="N378" s="246"/>
      <c r="P378" s="28"/>
      <c r="Q378" s="28"/>
      <c r="V378" s="131"/>
      <c r="W378" s="114"/>
      <c r="X378" s="52"/>
      <c r="Y378" s="52"/>
      <c r="AA378" s="28"/>
      <c r="AB378" s="28"/>
    </row>
    <row r="379" spans="1:28" x14ac:dyDescent="0.2">
      <c r="B379" s="265"/>
      <c r="D379" s="28"/>
      <c r="E379" s="246"/>
      <c r="F379" s="246"/>
      <c r="G379" s="272"/>
      <c r="H379" s="246"/>
      <c r="J379" s="272"/>
      <c r="K379" s="246"/>
      <c r="N379" s="28"/>
      <c r="O379" s="28"/>
      <c r="P379" s="28"/>
      <c r="Q379" s="28"/>
      <c r="T379" s="131"/>
      <c r="U379" s="114"/>
      <c r="V379" s="52"/>
      <c r="W379" s="52"/>
      <c r="X379" s="52"/>
      <c r="Y379" s="28"/>
      <c r="Z379" s="28"/>
      <c r="AA379" s="28"/>
      <c r="AB379" s="28"/>
    </row>
    <row r="380" spans="1:28" ht="16" customHeight="1" thickBot="1" x14ac:dyDescent="0.25">
      <c r="B380" s="265"/>
      <c r="D380" s="28"/>
      <c r="E380" s="246"/>
      <c r="F380" s="246"/>
      <c r="G380" s="272"/>
      <c r="H380" s="246"/>
      <c r="J380" s="272"/>
      <c r="K380" s="246"/>
      <c r="N380" s="28"/>
      <c r="O380" s="28"/>
      <c r="P380" s="28"/>
      <c r="Q380" s="28"/>
      <c r="T380" s="131"/>
      <c r="U380" s="114"/>
      <c r="V380" s="52"/>
      <c r="W380" s="52"/>
      <c r="X380" s="28"/>
      <c r="Y380" s="28"/>
      <c r="Z380" s="28"/>
      <c r="AA380" s="28"/>
      <c r="AB380" s="28"/>
    </row>
    <row r="381" spans="1:28" ht="17" customHeight="1" thickBot="1" x14ac:dyDescent="0.25">
      <c r="B381" s="265"/>
      <c r="D381" s="28"/>
      <c r="E381" s="246"/>
      <c r="F381" s="246"/>
      <c r="G381" s="272"/>
      <c r="H381" s="246"/>
      <c r="J381" s="272"/>
      <c r="K381" s="246"/>
      <c r="N381" s="28"/>
      <c r="O381" s="28"/>
      <c r="P381" s="141" t="s">
        <v>1409</v>
      </c>
      <c r="Q381" s="142"/>
      <c r="R381" s="142"/>
      <c r="S381" s="142"/>
      <c r="T381" s="134"/>
      <c r="U381" s="119"/>
      <c r="V381" s="120">
        <f>(SUM(Z4:Z369)/60)</f>
        <v>23.609634873460159</v>
      </c>
      <c r="W381" s="120" t="e">
        <f>(SUM(AA4:AA50)+AVERAGE(#REF!)+SUM(AA51:AA369))/60</f>
        <v>#REF!</v>
      </c>
      <c r="X381" s="28"/>
      <c r="Y381" s="28"/>
      <c r="Z381" s="28"/>
      <c r="AA381" s="28"/>
      <c r="AB381" s="28"/>
    </row>
    <row r="382" spans="1:28" x14ac:dyDescent="0.2">
      <c r="B382" s="265"/>
      <c r="D382" s="28"/>
      <c r="E382" s="246"/>
      <c r="F382" s="246"/>
      <c r="G382" s="272"/>
      <c r="H382" s="246"/>
      <c r="J382" s="272"/>
      <c r="K382" s="246"/>
      <c r="N382" s="28"/>
      <c r="O382" s="28"/>
      <c r="P382" s="28"/>
      <c r="Q382" s="28"/>
      <c r="T382" s="131"/>
      <c r="U382" s="114"/>
      <c r="V382" s="52"/>
      <c r="W382" s="52"/>
      <c r="X382" s="52"/>
      <c r="Y382" s="28"/>
      <c r="Z382" s="28"/>
      <c r="AA382" s="28"/>
      <c r="AB382" s="28"/>
    </row>
    <row r="383" spans="1:28" x14ac:dyDescent="0.2">
      <c r="B383" s="265"/>
      <c r="D383" s="28"/>
      <c r="E383" s="246"/>
      <c r="F383" s="246"/>
      <c r="G383" s="272"/>
      <c r="H383" s="246"/>
      <c r="J383" s="272"/>
      <c r="K383" s="246"/>
      <c r="N383" s="28"/>
      <c r="O383" s="28"/>
      <c r="P383" s="28"/>
      <c r="Q383" s="28"/>
      <c r="T383" s="131"/>
      <c r="U383" s="114"/>
      <c r="V383" s="52"/>
      <c r="W383" s="52"/>
      <c r="X383" s="52"/>
      <c r="Y383" s="28"/>
      <c r="Z383" s="28"/>
      <c r="AA383" s="28"/>
      <c r="AB383" s="28"/>
    </row>
    <row r="384" spans="1:28" x14ac:dyDescent="0.2">
      <c r="D384" s="28"/>
      <c r="E384" s="28"/>
      <c r="G384" s="246"/>
      <c r="H384" s="246"/>
      <c r="I384" s="272"/>
      <c r="K384" s="246"/>
      <c r="L384" s="272"/>
      <c r="N384" s="246"/>
      <c r="P384" s="28"/>
      <c r="Q384" s="28"/>
      <c r="V384" s="131"/>
      <c r="W384" s="114"/>
      <c r="X384" s="52"/>
      <c r="Y384" s="52"/>
      <c r="AA384" s="28"/>
      <c r="AB384" s="28"/>
    </row>
    <row r="385" spans="4:28" x14ac:dyDescent="0.2">
      <c r="D385" s="28"/>
      <c r="E385" s="28"/>
      <c r="G385" s="246"/>
      <c r="H385" s="246"/>
      <c r="I385" s="272"/>
      <c r="K385" s="246"/>
      <c r="L385" s="272"/>
      <c r="N385" s="246"/>
      <c r="P385" s="28"/>
      <c r="Q385" s="28"/>
      <c r="V385" s="131"/>
      <c r="W385" s="114"/>
      <c r="X385" s="52"/>
      <c r="Y385" s="52"/>
      <c r="AA385" s="28"/>
      <c r="AB385" s="28"/>
    </row>
    <row r="386" spans="4:28" x14ac:dyDescent="0.2">
      <c r="D386" s="28"/>
      <c r="E386" s="28"/>
      <c r="G386" s="246"/>
      <c r="H386" s="246"/>
      <c r="I386" s="272"/>
      <c r="K386" s="246"/>
      <c r="L386" s="272"/>
      <c r="N386" s="246"/>
      <c r="P386" s="28"/>
      <c r="Q386" s="28"/>
      <c r="V386" s="131"/>
      <c r="W386" s="114"/>
      <c r="X386" s="52"/>
      <c r="Y386" s="52"/>
      <c r="AA386" s="28"/>
      <c r="AB386" s="28"/>
    </row>
    <row r="387" spans="4:28" x14ac:dyDescent="0.2">
      <c r="D387" s="28"/>
      <c r="E387" s="28"/>
      <c r="G387" s="246"/>
      <c r="H387" s="246"/>
      <c r="I387" s="272"/>
      <c r="K387" s="246"/>
      <c r="L387" s="272"/>
      <c r="N387" s="246"/>
      <c r="P387" s="28"/>
      <c r="Q387" s="28"/>
      <c r="V387" s="131"/>
      <c r="W387" s="114"/>
      <c r="X387" s="52"/>
      <c r="Y387" s="52"/>
      <c r="AA387" s="28"/>
      <c r="AB387" s="28"/>
    </row>
  </sheetData>
  <autoFilter ref="A1:AB375" xr:uid="{00000000-0009-0000-0000-00000000000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03"/>
  <sheetViews>
    <sheetView tabSelected="1" zoomScale="84" zoomScaleNormal="55" workbookViewId="0">
      <pane ySplit="1" topLeftCell="A575" activePane="bottomLeft" state="frozen"/>
      <selection pane="bottomLeft" activeCell="C606" sqref="C606"/>
    </sheetView>
  </sheetViews>
  <sheetFormatPr baseColWidth="10" defaultColWidth="8.83203125" defaultRowHeight="15" x14ac:dyDescent="0.2"/>
  <cols>
    <col min="1" max="1" width="13.83203125" style="3" bestFit="1" customWidth="1"/>
    <col min="2" max="2" width="34.1640625" style="3" customWidth="1"/>
    <col min="3" max="3" width="59.83203125" style="3" customWidth="1"/>
    <col min="4" max="4" width="79.5" style="3" customWidth="1"/>
    <col min="5" max="5" width="5.83203125" style="3" customWidth="1"/>
    <col min="6" max="6" width="16.1640625" style="3" customWidth="1"/>
    <col min="7" max="7" width="13.5" style="3" customWidth="1"/>
    <col min="8" max="8" width="8.83203125" style="3" customWidth="1"/>
    <col min="9" max="16384" width="8.83203125" style="3"/>
  </cols>
  <sheetData>
    <row r="1" spans="1:10" ht="16" customHeight="1" thickBot="1" x14ac:dyDescent="0.25">
      <c r="A1" s="2" t="s">
        <v>1410</v>
      </c>
      <c r="B1" s="2" t="s">
        <v>1</v>
      </c>
      <c r="C1" s="2" t="s">
        <v>3</v>
      </c>
      <c r="D1" s="2" t="s">
        <v>2</v>
      </c>
      <c r="E1" s="1" t="s">
        <v>4</v>
      </c>
      <c r="F1" s="6" t="s">
        <v>1411</v>
      </c>
      <c r="G1" s="3" t="s">
        <v>1412</v>
      </c>
      <c r="H1" s="3" t="s">
        <v>1413</v>
      </c>
      <c r="I1" s="3" t="s">
        <v>1414</v>
      </c>
      <c r="J1" s="3" t="s">
        <v>1415</v>
      </c>
    </row>
    <row r="2" spans="1:10" ht="16" customHeight="1" x14ac:dyDescent="0.2">
      <c r="A2" s="8" t="s">
        <v>1416</v>
      </c>
      <c r="B2" s="2">
        <v>1</v>
      </c>
      <c r="C2" s="285" t="s">
        <v>1417</v>
      </c>
      <c r="D2" s="285" t="s">
        <v>1418</v>
      </c>
      <c r="E2" s="1"/>
      <c r="F2" s="6"/>
    </row>
    <row r="3" spans="1:10" ht="17" customHeight="1" thickBot="1" x14ac:dyDescent="0.25">
      <c r="A3" s="8" t="s">
        <v>1416</v>
      </c>
      <c r="B3" s="2">
        <v>2</v>
      </c>
      <c r="C3" s="286" t="s">
        <v>1419</v>
      </c>
      <c r="D3" s="286" t="s">
        <v>1420</v>
      </c>
      <c r="E3" s="1"/>
      <c r="F3" s="6"/>
    </row>
    <row r="4" spans="1:10" ht="16" customHeight="1" x14ac:dyDescent="0.2">
      <c r="A4" s="8" t="s">
        <v>1416</v>
      </c>
      <c r="B4" s="2">
        <v>3</v>
      </c>
      <c r="C4" s="285" t="s">
        <v>1421</v>
      </c>
      <c r="D4" s="285" t="s">
        <v>1422</v>
      </c>
      <c r="E4" s="1"/>
      <c r="F4" s="6"/>
    </row>
    <row r="5" spans="1:10" ht="17" customHeight="1" thickBot="1" x14ac:dyDescent="0.25">
      <c r="A5" s="8" t="s">
        <v>1416</v>
      </c>
      <c r="B5" s="2">
        <v>4</v>
      </c>
      <c r="C5" s="287" t="s">
        <v>1423</v>
      </c>
      <c r="D5" s="287" t="s">
        <v>1424</v>
      </c>
      <c r="E5" s="1"/>
      <c r="F5" s="6"/>
    </row>
    <row r="6" spans="1:10" ht="16" customHeight="1" x14ac:dyDescent="0.2">
      <c r="A6" s="8" t="s">
        <v>1416</v>
      </c>
      <c r="B6" s="2">
        <v>5</v>
      </c>
      <c r="C6" s="285" t="s">
        <v>1425</v>
      </c>
      <c r="D6" s="285" t="s">
        <v>1426</v>
      </c>
      <c r="E6" s="1"/>
      <c r="F6" s="6"/>
    </row>
    <row r="7" spans="1:10" ht="17" customHeight="1" thickBot="1" x14ac:dyDescent="0.25">
      <c r="A7" s="8" t="s">
        <v>1416</v>
      </c>
      <c r="B7" s="2">
        <v>6</v>
      </c>
      <c r="C7" s="288" t="s">
        <v>1427</v>
      </c>
      <c r="D7" s="288" t="s">
        <v>1428</v>
      </c>
      <c r="E7" s="1"/>
      <c r="F7" s="6"/>
    </row>
    <row r="8" spans="1:10" ht="16" customHeight="1" x14ac:dyDescent="0.2">
      <c r="A8" s="8" t="s">
        <v>1416</v>
      </c>
      <c r="B8" s="2">
        <v>7</v>
      </c>
      <c r="C8" s="285" t="s">
        <v>1429</v>
      </c>
      <c r="D8" s="285" t="s">
        <v>1430</v>
      </c>
      <c r="E8" s="5"/>
      <c r="F8" s="6"/>
    </row>
    <row r="9" spans="1:10" ht="17" customHeight="1" thickBot="1" x14ac:dyDescent="0.25">
      <c r="A9" s="2"/>
      <c r="B9" s="2"/>
      <c r="C9" s="2"/>
      <c r="D9" s="287"/>
      <c r="E9" s="5"/>
      <c r="F9" s="6"/>
    </row>
    <row r="10" spans="1:10" s="8" customFormat="1" ht="16" customHeight="1" x14ac:dyDescent="0.2">
      <c r="A10" s="234" t="s">
        <v>44</v>
      </c>
      <c r="B10" s="285">
        <v>1</v>
      </c>
      <c r="C10" s="321" t="s">
        <v>1431</v>
      </c>
      <c r="D10" s="321" t="s">
        <v>1431</v>
      </c>
      <c r="E10" s="5"/>
      <c r="F10" s="234">
        <v>1</v>
      </c>
    </row>
    <row r="11" spans="1:10" s="8" customFormat="1" ht="17" customHeight="1" thickBot="1" x14ac:dyDescent="0.25">
      <c r="A11" s="234" t="s">
        <v>44</v>
      </c>
      <c r="B11" s="290">
        <v>2</v>
      </c>
      <c r="C11" s="322" t="s">
        <v>1432</v>
      </c>
      <c r="D11" s="322" t="s">
        <v>1432</v>
      </c>
      <c r="E11" s="5"/>
      <c r="F11" s="234">
        <v>1</v>
      </c>
    </row>
    <row r="12" spans="1:10" s="8" customFormat="1" ht="17" customHeight="1" thickBot="1" x14ac:dyDescent="0.25">
      <c r="A12" s="234" t="s">
        <v>44</v>
      </c>
      <c r="B12" s="285">
        <v>3</v>
      </c>
      <c r="C12" s="323" t="s">
        <v>1433</v>
      </c>
      <c r="D12" s="323" t="s">
        <v>1433</v>
      </c>
      <c r="E12" s="5"/>
      <c r="F12" s="234">
        <v>1</v>
      </c>
    </row>
    <row r="13" spans="1:10" s="8" customFormat="1" ht="17" customHeight="1" thickBot="1" x14ac:dyDescent="0.25">
      <c r="A13" s="234" t="s">
        <v>44</v>
      </c>
      <c r="B13" s="290">
        <v>4</v>
      </c>
      <c r="C13" s="289" t="s">
        <v>1434</v>
      </c>
      <c r="D13" s="289" t="s">
        <v>1434</v>
      </c>
      <c r="E13" s="5"/>
      <c r="F13" s="234">
        <v>1</v>
      </c>
    </row>
    <row r="14" spans="1:10" s="8" customFormat="1" ht="16" customHeight="1" x14ac:dyDescent="0.2">
      <c r="A14" s="234" t="s">
        <v>44</v>
      </c>
      <c r="B14" s="285">
        <v>5</v>
      </c>
      <c r="C14" s="291" t="s">
        <v>1435</v>
      </c>
      <c r="D14" s="291" t="s">
        <v>1435</v>
      </c>
      <c r="E14" s="5"/>
      <c r="F14" s="234">
        <v>1</v>
      </c>
    </row>
    <row r="15" spans="1:10" s="8" customFormat="1" ht="17" customHeight="1" thickBot="1" x14ac:dyDescent="0.25">
      <c r="A15" s="234" t="s">
        <v>44</v>
      </c>
      <c r="B15" s="290">
        <v>6</v>
      </c>
      <c r="C15" s="292" t="s">
        <v>1436</v>
      </c>
      <c r="D15" s="292" t="s">
        <v>1436</v>
      </c>
      <c r="E15" s="5"/>
      <c r="F15" s="234">
        <v>1</v>
      </c>
    </row>
    <row r="16" spans="1:10" s="8" customFormat="1" ht="16" customHeight="1" x14ac:dyDescent="0.2">
      <c r="A16" s="234" t="s">
        <v>44</v>
      </c>
      <c r="B16" s="285">
        <v>7</v>
      </c>
      <c r="C16" s="324" t="s">
        <v>1437</v>
      </c>
      <c r="D16" s="324" t="s">
        <v>1437</v>
      </c>
      <c r="E16" s="5"/>
      <c r="F16" s="234">
        <v>2</v>
      </c>
    </row>
    <row r="17" spans="1:6" s="8" customFormat="1" ht="17" customHeight="1" thickBot="1" x14ac:dyDescent="0.25">
      <c r="A17" s="234" t="s">
        <v>44</v>
      </c>
      <c r="B17" s="290">
        <v>8</v>
      </c>
      <c r="C17" s="322" t="s">
        <v>1438</v>
      </c>
      <c r="D17" s="322" t="s">
        <v>1438</v>
      </c>
      <c r="E17" s="5"/>
      <c r="F17" s="234">
        <v>2</v>
      </c>
    </row>
    <row r="18" spans="1:6" s="8" customFormat="1" ht="17" customHeight="1" thickBot="1" x14ac:dyDescent="0.25">
      <c r="A18" s="234" t="s">
        <v>44</v>
      </c>
      <c r="B18" s="285">
        <v>9</v>
      </c>
      <c r="C18" s="323" t="s">
        <v>1439</v>
      </c>
      <c r="D18" s="323" t="s">
        <v>1439</v>
      </c>
      <c r="E18" s="5"/>
      <c r="F18" s="234">
        <v>2</v>
      </c>
    </row>
    <row r="19" spans="1:6" s="8" customFormat="1" ht="17" customHeight="1" thickBot="1" x14ac:dyDescent="0.25">
      <c r="A19" s="234" t="s">
        <v>44</v>
      </c>
      <c r="B19" s="290">
        <v>10</v>
      </c>
      <c r="C19" s="289" t="s">
        <v>1440</v>
      </c>
      <c r="D19" s="289" t="s">
        <v>1440</v>
      </c>
      <c r="E19" s="5"/>
      <c r="F19" s="234">
        <v>2</v>
      </c>
    </row>
    <row r="20" spans="1:6" s="8" customFormat="1" ht="17" customHeight="1" thickBot="1" x14ac:dyDescent="0.25">
      <c r="A20" s="234" t="s">
        <v>44</v>
      </c>
      <c r="B20" s="285">
        <v>11</v>
      </c>
      <c r="C20" s="292" t="s">
        <v>1441</v>
      </c>
      <c r="D20" s="292" t="s">
        <v>1441</v>
      </c>
      <c r="E20" s="5"/>
      <c r="F20" s="234">
        <v>2</v>
      </c>
    </row>
    <row r="21" spans="1:6" s="8" customFormat="1" ht="17" customHeight="1" thickBot="1" x14ac:dyDescent="0.25">
      <c r="A21" s="234" t="s">
        <v>44</v>
      </c>
      <c r="B21" s="290">
        <v>12</v>
      </c>
      <c r="C21" s="324" t="s">
        <v>1442</v>
      </c>
      <c r="D21" s="324" t="s">
        <v>1442</v>
      </c>
      <c r="E21" s="5"/>
      <c r="F21" s="234">
        <v>2</v>
      </c>
    </row>
    <row r="22" spans="1:6" s="8" customFormat="1" ht="17" customHeight="1" thickBot="1" x14ac:dyDescent="0.25">
      <c r="A22" s="234" t="s">
        <v>44</v>
      </c>
      <c r="B22" s="285">
        <v>13</v>
      </c>
      <c r="C22" s="323" t="s">
        <v>1443</v>
      </c>
      <c r="D22" s="323" t="s">
        <v>1443</v>
      </c>
      <c r="E22" s="5"/>
      <c r="F22" s="234">
        <v>2</v>
      </c>
    </row>
    <row r="23" spans="1:6" s="8" customFormat="1" ht="17" customHeight="1" thickBot="1" x14ac:dyDescent="0.25">
      <c r="A23" s="234" t="s">
        <v>44</v>
      </c>
      <c r="B23" s="290">
        <v>14</v>
      </c>
      <c r="C23" s="289" t="s">
        <v>1444</v>
      </c>
      <c r="D23" s="289" t="s">
        <v>1444</v>
      </c>
      <c r="E23" s="5"/>
      <c r="F23" s="234">
        <v>2</v>
      </c>
    </row>
    <row r="24" spans="1:6" s="8" customFormat="1" ht="17" customHeight="1" thickBot="1" x14ac:dyDescent="0.25">
      <c r="A24" s="234" t="s">
        <v>44</v>
      </c>
      <c r="B24" s="285">
        <v>15</v>
      </c>
      <c r="C24" s="292" t="s">
        <v>1445</v>
      </c>
      <c r="D24" s="292" t="s">
        <v>1445</v>
      </c>
      <c r="E24" s="5"/>
      <c r="F24" s="234">
        <v>2</v>
      </c>
    </row>
    <row r="25" spans="1:6" s="8" customFormat="1" ht="17" customHeight="1" thickBot="1" x14ac:dyDescent="0.25">
      <c r="A25" s="234" t="s">
        <v>44</v>
      </c>
      <c r="B25" s="290">
        <v>16</v>
      </c>
      <c r="C25" s="324" t="s">
        <v>1446</v>
      </c>
      <c r="D25" s="324" t="s">
        <v>1446</v>
      </c>
      <c r="E25" s="5"/>
      <c r="F25" s="234">
        <v>2</v>
      </c>
    </row>
    <row r="26" spans="1:6" s="8" customFormat="1" ht="17" customHeight="1" thickBot="1" x14ac:dyDescent="0.25">
      <c r="A26" s="234" t="s">
        <v>44</v>
      </c>
      <c r="B26" s="285">
        <v>17</v>
      </c>
      <c r="C26" s="323" t="s">
        <v>1447</v>
      </c>
      <c r="D26" s="323" t="s">
        <v>1447</v>
      </c>
      <c r="E26" s="5"/>
      <c r="F26" s="234">
        <v>2</v>
      </c>
    </row>
    <row r="27" spans="1:6" s="8" customFormat="1" ht="17" customHeight="1" thickBot="1" x14ac:dyDescent="0.25">
      <c r="A27" s="234" t="s">
        <v>44</v>
      </c>
      <c r="B27" s="290">
        <v>18</v>
      </c>
      <c r="C27" s="289" t="s">
        <v>1448</v>
      </c>
      <c r="D27" s="289" t="s">
        <v>1448</v>
      </c>
      <c r="E27" s="5"/>
      <c r="F27" s="234">
        <v>2</v>
      </c>
    </row>
    <row r="28" spans="1:6" s="8" customFormat="1" ht="17" customHeight="1" thickBot="1" x14ac:dyDescent="0.25">
      <c r="A28" s="234" t="s">
        <v>44</v>
      </c>
      <c r="B28" s="285">
        <v>19</v>
      </c>
      <c r="C28" s="292" t="s">
        <v>1449</v>
      </c>
      <c r="D28" s="292" t="s">
        <v>1449</v>
      </c>
      <c r="E28" s="5"/>
      <c r="F28" s="234">
        <v>2</v>
      </c>
    </row>
    <row r="29" spans="1:6" s="8" customFormat="1" ht="17" customHeight="1" thickBot="1" x14ac:dyDescent="0.25">
      <c r="A29" s="234" t="s">
        <v>44</v>
      </c>
      <c r="B29" s="290">
        <v>20</v>
      </c>
      <c r="C29" s="324" t="s">
        <v>1450</v>
      </c>
      <c r="D29" s="324" t="s">
        <v>1450</v>
      </c>
      <c r="E29" s="5"/>
      <c r="F29" s="234">
        <v>3</v>
      </c>
    </row>
    <row r="30" spans="1:6" s="8" customFormat="1" ht="17" customHeight="1" thickBot="1" x14ac:dyDescent="0.25">
      <c r="A30" s="234" t="s">
        <v>44</v>
      </c>
      <c r="B30" s="285">
        <v>21</v>
      </c>
      <c r="C30" s="323" t="s">
        <v>1451</v>
      </c>
      <c r="D30" s="323" t="s">
        <v>1451</v>
      </c>
      <c r="E30" s="5"/>
      <c r="F30" s="234">
        <v>3</v>
      </c>
    </row>
    <row r="31" spans="1:6" s="8" customFormat="1" ht="17" customHeight="1" thickBot="1" x14ac:dyDescent="0.25">
      <c r="A31" s="234" t="s">
        <v>44</v>
      </c>
      <c r="B31" s="290">
        <v>22</v>
      </c>
      <c r="C31" s="289" t="s">
        <v>1452</v>
      </c>
      <c r="D31" s="289" t="s">
        <v>1452</v>
      </c>
      <c r="E31" s="5"/>
      <c r="F31" s="234">
        <v>3</v>
      </c>
    </row>
    <row r="32" spans="1:6" s="8" customFormat="1" ht="17" customHeight="1" thickBot="1" x14ac:dyDescent="0.25">
      <c r="A32" s="234" t="s">
        <v>44</v>
      </c>
      <c r="B32" s="285">
        <v>23</v>
      </c>
      <c r="C32" s="292" t="s">
        <v>1453</v>
      </c>
      <c r="D32" s="292" t="s">
        <v>1453</v>
      </c>
      <c r="E32" s="5"/>
      <c r="F32" s="234">
        <v>3</v>
      </c>
    </row>
    <row r="33" spans="1:6" s="8" customFormat="1" ht="17" customHeight="1" thickBot="1" x14ac:dyDescent="0.25">
      <c r="A33" s="234" t="s">
        <v>44</v>
      </c>
      <c r="B33" s="290">
        <v>24</v>
      </c>
      <c r="C33" s="324" t="s">
        <v>1454</v>
      </c>
      <c r="D33" s="324" t="s">
        <v>1454</v>
      </c>
      <c r="E33" s="5"/>
      <c r="F33" s="234">
        <v>3</v>
      </c>
    </row>
    <row r="34" spans="1:6" s="8" customFormat="1" ht="18" customHeight="1" thickBot="1" x14ac:dyDescent="0.25">
      <c r="A34" s="234" t="s">
        <v>44</v>
      </c>
      <c r="B34" s="285">
        <v>25</v>
      </c>
      <c r="C34" s="323" t="s">
        <v>1455</v>
      </c>
      <c r="D34" s="323" t="s">
        <v>1455</v>
      </c>
      <c r="E34" s="5"/>
      <c r="F34" s="234">
        <v>3</v>
      </c>
    </row>
    <row r="35" spans="1:6" s="8" customFormat="1" ht="17" customHeight="1" thickBot="1" x14ac:dyDescent="0.25">
      <c r="A35" s="234" t="s">
        <v>44</v>
      </c>
      <c r="B35" s="290">
        <v>26</v>
      </c>
      <c r="C35" s="289" t="s">
        <v>1456</v>
      </c>
      <c r="D35" s="289" t="s">
        <v>1456</v>
      </c>
      <c r="E35" s="5"/>
      <c r="F35" s="234">
        <v>4</v>
      </c>
    </row>
    <row r="36" spans="1:6" s="8" customFormat="1" ht="16" customHeight="1" x14ac:dyDescent="0.2">
      <c r="A36" s="234" t="s">
        <v>44</v>
      </c>
      <c r="B36" s="285">
        <v>27</v>
      </c>
      <c r="C36" s="263" t="s">
        <v>1457</v>
      </c>
      <c r="D36" s="263" t="s">
        <v>1457</v>
      </c>
      <c r="E36" s="5"/>
      <c r="F36" s="234">
        <v>4</v>
      </c>
    </row>
    <row r="37" spans="1:6" s="8" customFormat="1" ht="17" customHeight="1" thickBot="1" x14ac:dyDescent="0.25">
      <c r="A37" s="234" t="s">
        <v>44</v>
      </c>
      <c r="B37" s="290">
        <v>28</v>
      </c>
      <c r="C37" s="264" t="s">
        <v>1458</v>
      </c>
      <c r="D37" s="264" t="s">
        <v>1458</v>
      </c>
      <c r="E37" s="5"/>
      <c r="F37" s="234">
        <v>4</v>
      </c>
    </row>
    <row r="38" spans="1:6" s="8" customFormat="1" ht="16" customHeight="1" x14ac:dyDescent="0.2">
      <c r="A38" s="234" t="s">
        <v>44</v>
      </c>
      <c r="B38" s="285">
        <v>29</v>
      </c>
      <c r="C38" s="310" t="s">
        <v>1459</v>
      </c>
      <c r="D38" s="310" t="s">
        <v>1459</v>
      </c>
      <c r="E38" s="5"/>
      <c r="F38" s="234">
        <v>5</v>
      </c>
    </row>
    <row r="39" spans="1:6" s="8" customFormat="1" ht="17" customHeight="1" thickBot="1" x14ac:dyDescent="0.25">
      <c r="A39" s="234" t="s">
        <v>44</v>
      </c>
      <c r="B39" s="290">
        <v>30</v>
      </c>
      <c r="C39" s="311" t="s">
        <v>1460</v>
      </c>
      <c r="D39" s="311" t="s">
        <v>1460</v>
      </c>
      <c r="E39" s="5"/>
      <c r="F39" s="234">
        <v>5</v>
      </c>
    </row>
    <row r="40" spans="1:6" s="8" customFormat="1" ht="16" customHeight="1" x14ac:dyDescent="0.2">
      <c r="A40" s="234" t="s">
        <v>44</v>
      </c>
      <c r="B40" s="285">
        <v>31</v>
      </c>
      <c r="C40" s="311" t="s">
        <v>1461</v>
      </c>
      <c r="D40" s="311" t="s">
        <v>1461</v>
      </c>
      <c r="E40" s="5"/>
      <c r="F40" s="234">
        <v>5</v>
      </c>
    </row>
    <row r="41" spans="1:6" s="8" customFormat="1" ht="17" customHeight="1" thickBot="1" x14ac:dyDescent="0.25">
      <c r="A41" s="234" t="s">
        <v>44</v>
      </c>
      <c r="B41" s="290">
        <v>32</v>
      </c>
      <c r="C41" s="312" t="s">
        <v>1462</v>
      </c>
      <c r="D41" s="312" t="s">
        <v>1462</v>
      </c>
      <c r="E41" s="5"/>
      <c r="F41" s="234">
        <v>5</v>
      </c>
    </row>
    <row r="42" spans="1:6" s="8" customFormat="1" ht="16" customHeight="1" x14ac:dyDescent="0.2">
      <c r="A42" s="234" t="s">
        <v>44</v>
      </c>
      <c r="B42" s="285">
        <v>33</v>
      </c>
      <c r="C42" s="313" t="s">
        <v>1463</v>
      </c>
      <c r="D42" s="313" t="s">
        <v>1463</v>
      </c>
      <c r="E42" s="5"/>
      <c r="F42" s="234">
        <v>5</v>
      </c>
    </row>
    <row r="43" spans="1:6" s="8" customFormat="1" ht="17" customHeight="1" thickBot="1" x14ac:dyDescent="0.25">
      <c r="A43" s="234" t="s">
        <v>44</v>
      </c>
      <c r="B43" s="290">
        <v>34</v>
      </c>
      <c r="C43" s="314" t="s">
        <v>1464</v>
      </c>
      <c r="D43" s="314" t="s">
        <v>1464</v>
      </c>
      <c r="E43" s="5"/>
      <c r="F43" s="234">
        <v>5</v>
      </c>
    </row>
    <row r="44" spans="1:6" s="8" customFormat="1" ht="16" customHeight="1" x14ac:dyDescent="0.2">
      <c r="A44" s="234" t="s">
        <v>44</v>
      </c>
      <c r="B44" s="285">
        <v>35</v>
      </c>
      <c r="C44" s="315" t="s">
        <v>1465</v>
      </c>
      <c r="D44" s="315" t="s">
        <v>1465</v>
      </c>
      <c r="E44" s="5"/>
      <c r="F44" s="234">
        <v>5</v>
      </c>
    </row>
    <row r="45" spans="1:6" s="8" customFormat="1" ht="17" customHeight="1" thickBot="1" x14ac:dyDescent="0.25">
      <c r="A45" s="234" t="s">
        <v>44</v>
      </c>
      <c r="B45" s="290">
        <v>36</v>
      </c>
      <c r="C45" s="315" t="s">
        <v>1466</v>
      </c>
      <c r="D45" s="315" t="s">
        <v>1466</v>
      </c>
      <c r="E45" s="5"/>
      <c r="F45" s="234">
        <v>5</v>
      </c>
    </row>
    <row r="46" spans="1:6" s="8" customFormat="1" ht="17" customHeight="1" thickBot="1" x14ac:dyDescent="0.25">
      <c r="A46" s="234" t="s">
        <v>44</v>
      </c>
      <c r="B46" s="285">
        <v>37</v>
      </c>
      <c r="C46" s="316" t="s">
        <v>1467</v>
      </c>
      <c r="D46" s="316" t="s">
        <v>1467</v>
      </c>
      <c r="E46" s="5"/>
      <c r="F46" s="234">
        <v>5</v>
      </c>
    </row>
    <row r="47" spans="1:6" s="8" customFormat="1" ht="17" customHeight="1" thickBot="1" x14ac:dyDescent="0.25">
      <c r="A47" s="234" t="s">
        <v>44</v>
      </c>
      <c r="B47" s="290">
        <v>38</v>
      </c>
      <c r="C47" s="317" t="s">
        <v>1468</v>
      </c>
      <c r="D47" s="317" t="s">
        <v>1468</v>
      </c>
      <c r="E47" s="5"/>
      <c r="F47" s="234">
        <v>5</v>
      </c>
    </row>
    <row r="48" spans="1:6" s="8" customFormat="1" ht="16" customHeight="1" x14ac:dyDescent="0.2">
      <c r="A48" s="234" t="s">
        <v>44</v>
      </c>
      <c r="B48" s="285">
        <v>39</v>
      </c>
      <c r="C48" s="311" t="s">
        <v>1469</v>
      </c>
      <c r="D48" s="311" t="s">
        <v>1469</v>
      </c>
      <c r="E48" s="5"/>
      <c r="F48" s="234">
        <v>5</v>
      </c>
    </row>
    <row r="49" spans="1:6" s="8" customFormat="1" ht="17" customHeight="1" thickBot="1" x14ac:dyDescent="0.25">
      <c r="A49" s="234" t="s">
        <v>44</v>
      </c>
      <c r="B49" s="290">
        <v>40</v>
      </c>
      <c r="C49" s="311" t="s">
        <v>1470</v>
      </c>
      <c r="D49" s="311" t="s">
        <v>1470</v>
      </c>
      <c r="E49" s="5"/>
      <c r="F49" s="234">
        <v>5</v>
      </c>
    </row>
    <row r="50" spans="1:6" s="8" customFormat="1" ht="16" customHeight="1" x14ac:dyDescent="0.2">
      <c r="A50" s="234" t="s">
        <v>44</v>
      </c>
      <c r="B50" s="285">
        <v>41</v>
      </c>
      <c r="C50" s="311" t="s">
        <v>1471</v>
      </c>
      <c r="D50" s="311" t="s">
        <v>1471</v>
      </c>
      <c r="E50" s="5"/>
      <c r="F50" s="234">
        <v>5</v>
      </c>
    </row>
    <row r="51" spans="1:6" s="8" customFormat="1" ht="17" customHeight="1" thickBot="1" x14ac:dyDescent="0.25">
      <c r="A51" s="234" t="s">
        <v>44</v>
      </c>
      <c r="B51" s="290">
        <v>42</v>
      </c>
      <c r="C51" s="318" t="s">
        <v>1472</v>
      </c>
      <c r="D51" s="318" t="s">
        <v>1472</v>
      </c>
      <c r="E51" s="5"/>
      <c r="F51" s="234">
        <v>5</v>
      </c>
    </row>
    <row r="52" spans="1:6" s="8" customFormat="1" ht="16" customHeight="1" x14ac:dyDescent="0.2">
      <c r="A52" s="234" t="s">
        <v>44</v>
      </c>
      <c r="B52" s="285">
        <v>43</v>
      </c>
      <c r="C52" s="319" t="s">
        <v>1473</v>
      </c>
      <c r="D52" s="319" t="s">
        <v>1473</v>
      </c>
      <c r="E52" s="5"/>
      <c r="F52" s="234">
        <v>6</v>
      </c>
    </row>
    <row r="53" spans="1:6" s="8" customFormat="1" ht="17" customHeight="1" thickBot="1" x14ac:dyDescent="0.25">
      <c r="A53" s="234" t="s">
        <v>44</v>
      </c>
      <c r="B53" s="290">
        <v>44</v>
      </c>
      <c r="C53" s="314" t="s">
        <v>1474</v>
      </c>
      <c r="D53" s="314" t="s">
        <v>1474</v>
      </c>
      <c r="E53" s="5"/>
      <c r="F53" s="234">
        <v>6</v>
      </c>
    </row>
    <row r="54" spans="1:6" s="8" customFormat="1" ht="16" customHeight="1" x14ac:dyDescent="0.2">
      <c r="A54" s="234" t="s">
        <v>44</v>
      </c>
      <c r="B54" s="285">
        <v>45</v>
      </c>
      <c r="C54" s="314" t="s">
        <v>1475</v>
      </c>
      <c r="D54" s="314" t="s">
        <v>1475</v>
      </c>
      <c r="E54" s="5"/>
      <c r="F54" s="234">
        <v>6</v>
      </c>
    </row>
    <row r="55" spans="1:6" s="8" customFormat="1" ht="17" customHeight="1" thickBot="1" x14ac:dyDescent="0.25">
      <c r="A55" s="234" t="s">
        <v>44</v>
      </c>
      <c r="B55" s="290">
        <v>46</v>
      </c>
      <c r="C55" s="315" t="s">
        <v>1476</v>
      </c>
      <c r="D55" s="315" t="s">
        <v>1476</v>
      </c>
      <c r="E55" s="5"/>
      <c r="F55" s="234">
        <v>6</v>
      </c>
    </row>
    <row r="56" spans="1:6" s="8" customFormat="1" ht="17" customHeight="1" thickBot="1" x14ac:dyDescent="0.25">
      <c r="A56" s="234" t="s">
        <v>44</v>
      </c>
      <c r="B56" s="285">
        <v>47</v>
      </c>
      <c r="C56" s="320" t="s">
        <v>1477</v>
      </c>
      <c r="D56" s="320" t="s">
        <v>1477</v>
      </c>
      <c r="E56" s="5"/>
      <c r="F56" s="234">
        <v>6</v>
      </c>
    </row>
    <row r="57" spans="1:6" s="8" customFormat="1" ht="17" customHeight="1" thickBot="1" x14ac:dyDescent="0.25">
      <c r="A57" s="234" t="s">
        <v>44</v>
      </c>
      <c r="B57" s="290">
        <v>48</v>
      </c>
      <c r="C57" s="317" t="s">
        <v>1478</v>
      </c>
      <c r="D57" s="317" t="s">
        <v>1478</v>
      </c>
      <c r="E57" s="5"/>
      <c r="F57" s="234">
        <v>7</v>
      </c>
    </row>
    <row r="58" spans="1:6" s="8" customFormat="1" ht="16" customHeight="1" x14ac:dyDescent="0.2">
      <c r="A58" s="234" t="s">
        <v>44</v>
      </c>
      <c r="B58" s="285">
        <v>49</v>
      </c>
      <c r="C58" s="311" t="s">
        <v>1479</v>
      </c>
      <c r="D58" s="311" t="s">
        <v>1479</v>
      </c>
      <c r="E58" s="5"/>
      <c r="F58" s="234">
        <v>7</v>
      </c>
    </row>
    <row r="59" spans="1:6" s="8" customFormat="1" ht="17" customHeight="1" thickBot="1" x14ac:dyDescent="0.25">
      <c r="A59" s="234" t="s">
        <v>44</v>
      </c>
      <c r="B59" s="290">
        <v>50</v>
      </c>
      <c r="C59" s="311" t="s">
        <v>1480</v>
      </c>
      <c r="D59" s="311" t="s">
        <v>1480</v>
      </c>
      <c r="E59" s="5"/>
      <c r="F59" s="234">
        <v>7</v>
      </c>
    </row>
    <row r="60" spans="1:6" s="8" customFormat="1" ht="16" customHeight="1" x14ac:dyDescent="0.2">
      <c r="A60" s="234" t="s">
        <v>44</v>
      </c>
      <c r="B60" s="285">
        <v>51</v>
      </c>
      <c r="C60" s="311" t="s">
        <v>1481</v>
      </c>
      <c r="D60" s="311" t="s">
        <v>1481</v>
      </c>
      <c r="E60" s="5"/>
      <c r="F60" s="234">
        <v>7</v>
      </c>
    </row>
    <row r="61" spans="1:6" s="8" customFormat="1" ht="17" customHeight="1" thickBot="1" x14ac:dyDescent="0.25">
      <c r="A61" s="234" t="s">
        <v>44</v>
      </c>
      <c r="B61" s="290">
        <v>52</v>
      </c>
      <c r="C61" s="312" t="s">
        <v>1482</v>
      </c>
      <c r="D61" s="312" t="s">
        <v>1482</v>
      </c>
      <c r="E61" s="5"/>
      <c r="F61" s="234">
        <v>7</v>
      </c>
    </row>
    <row r="62" spans="1:6" s="8" customFormat="1" x14ac:dyDescent="0.2">
      <c r="E62" s="5"/>
    </row>
    <row r="63" spans="1:6" s="8" customFormat="1" x14ac:dyDescent="0.2">
      <c r="A63" s="200" t="s">
        <v>1483</v>
      </c>
      <c r="B63" s="200">
        <v>1</v>
      </c>
      <c r="C63" s="200" t="s">
        <v>1484</v>
      </c>
      <c r="D63" s="200" t="s">
        <v>1485</v>
      </c>
      <c r="E63" s="5"/>
    </row>
    <row r="64" spans="1:6" s="8" customFormat="1" x14ac:dyDescent="0.2">
      <c r="A64" s="200" t="s">
        <v>1483</v>
      </c>
      <c r="B64" s="200">
        <v>2</v>
      </c>
      <c r="C64" s="200" t="s">
        <v>1486</v>
      </c>
      <c r="D64" s="200" t="s">
        <v>1487</v>
      </c>
      <c r="E64" s="5"/>
    </row>
    <row r="65" spans="1:5" s="8" customFormat="1" x14ac:dyDescent="0.2">
      <c r="A65" s="200" t="s">
        <v>1483</v>
      </c>
      <c r="B65" s="200" t="s">
        <v>1488</v>
      </c>
      <c r="C65" s="200" t="s">
        <v>1489</v>
      </c>
      <c r="D65" s="200" t="s">
        <v>1490</v>
      </c>
      <c r="E65" s="5"/>
    </row>
    <row r="66" spans="1:5" s="8" customFormat="1" x14ac:dyDescent="0.2">
      <c r="A66" s="200" t="s">
        <v>1483</v>
      </c>
      <c r="B66" s="200" t="s">
        <v>1491</v>
      </c>
      <c r="C66" s="200" t="s">
        <v>1492</v>
      </c>
      <c r="D66" s="200" t="s">
        <v>1493</v>
      </c>
      <c r="E66" s="5"/>
    </row>
    <row r="67" spans="1:5" s="8" customFormat="1" x14ac:dyDescent="0.2">
      <c r="E67" s="5"/>
    </row>
    <row r="68" spans="1:5" s="8" customFormat="1" x14ac:dyDescent="0.2">
      <c r="A68" s="200" t="s">
        <v>1494</v>
      </c>
      <c r="B68" s="200" t="s">
        <v>1494</v>
      </c>
      <c r="C68" s="200" t="s">
        <v>1494</v>
      </c>
      <c r="D68" s="200" t="s">
        <v>1495</v>
      </c>
      <c r="E68" s="5"/>
    </row>
    <row r="69" spans="1:5" s="8" customFormat="1" x14ac:dyDescent="0.2">
      <c r="E69" s="5"/>
    </row>
    <row r="70" spans="1:5" s="8" customFormat="1" x14ac:dyDescent="0.2">
      <c r="A70" s="200" t="s">
        <v>1496</v>
      </c>
      <c r="B70" s="200">
        <v>1</v>
      </c>
      <c r="C70" s="200" t="s">
        <v>1484</v>
      </c>
      <c r="D70" s="200" t="s">
        <v>1485</v>
      </c>
      <c r="E70" s="5"/>
    </row>
    <row r="71" spans="1:5" s="8" customFormat="1" x14ac:dyDescent="0.2">
      <c r="A71" s="200" t="s">
        <v>1496</v>
      </c>
      <c r="B71" s="200">
        <v>2</v>
      </c>
      <c r="C71" s="200" t="s">
        <v>1486</v>
      </c>
      <c r="D71" s="200" t="s">
        <v>1487</v>
      </c>
      <c r="E71" s="5"/>
    </row>
    <row r="72" spans="1:5" s="8" customFormat="1" x14ac:dyDescent="0.2">
      <c r="E72" s="5"/>
    </row>
    <row r="73" spans="1:5" s="8" customFormat="1" x14ac:dyDescent="0.2">
      <c r="A73" s="8" t="s">
        <v>1497</v>
      </c>
      <c r="B73" s="8" t="s">
        <v>1498</v>
      </c>
      <c r="C73" s="8" t="s">
        <v>1499</v>
      </c>
      <c r="D73" s="8" t="s">
        <v>1500</v>
      </c>
      <c r="E73" s="5"/>
    </row>
    <row r="74" spans="1:5" s="8" customFormat="1" x14ac:dyDescent="0.2">
      <c r="A74" s="200" t="s">
        <v>1497</v>
      </c>
      <c r="B74" s="200" t="s">
        <v>1501</v>
      </c>
      <c r="C74" s="200" t="s">
        <v>1502</v>
      </c>
      <c r="D74" s="200" t="s">
        <v>1503</v>
      </c>
      <c r="E74" s="5"/>
    </row>
    <row r="75" spans="1:5" s="8" customFormat="1" x14ac:dyDescent="0.2">
      <c r="E75" s="5"/>
    </row>
    <row r="76" spans="1:5" s="8" customFormat="1" x14ac:dyDescent="0.2">
      <c r="A76" s="200" t="s">
        <v>1504</v>
      </c>
      <c r="B76" s="200">
        <v>1</v>
      </c>
      <c r="C76" s="200" t="s">
        <v>1505</v>
      </c>
      <c r="D76" s="200" t="s">
        <v>1506</v>
      </c>
      <c r="E76" s="5"/>
    </row>
    <row r="77" spans="1:5" s="8" customFormat="1" x14ac:dyDescent="0.2">
      <c r="A77" s="200" t="s">
        <v>1504</v>
      </c>
      <c r="B77" s="200">
        <v>2</v>
      </c>
      <c r="C77" s="200" t="s">
        <v>1507</v>
      </c>
      <c r="D77" s="200" t="s">
        <v>1508</v>
      </c>
      <c r="E77" s="5"/>
    </row>
    <row r="78" spans="1:5" s="8" customFormat="1" x14ac:dyDescent="0.2">
      <c r="A78" s="200" t="s">
        <v>1504</v>
      </c>
      <c r="B78" s="200" t="s">
        <v>1488</v>
      </c>
      <c r="C78" s="200" t="s">
        <v>1489</v>
      </c>
      <c r="D78" s="200" t="s">
        <v>1490</v>
      </c>
      <c r="E78" s="5"/>
    </row>
    <row r="79" spans="1:5" s="8" customFormat="1" x14ac:dyDescent="0.2">
      <c r="A79" s="200" t="s">
        <v>1504</v>
      </c>
      <c r="B79" s="200" t="s">
        <v>1491</v>
      </c>
      <c r="C79" s="200" t="s">
        <v>1492</v>
      </c>
      <c r="D79" s="200" t="s">
        <v>1493</v>
      </c>
      <c r="E79" s="5"/>
    </row>
    <row r="80" spans="1:5" s="8" customFormat="1" x14ac:dyDescent="0.2">
      <c r="E80" s="5"/>
    </row>
    <row r="81" spans="1:5" s="8" customFormat="1" x14ac:dyDescent="0.2">
      <c r="A81" s="200" t="s">
        <v>1509</v>
      </c>
      <c r="B81" s="200">
        <v>1</v>
      </c>
      <c r="C81" s="200" t="s">
        <v>1510</v>
      </c>
      <c r="D81" s="200" t="s">
        <v>1511</v>
      </c>
      <c r="E81" s="5"/>
    </row>
    <row r="82" spans="1:5" s="8" customFormat="1" x14ac:dyDescent="0.2">
      <c r="A82" s="200" t="s">
        <v>1509</v>
      </c>
      <c r="B82" s="200">
        <v>2</v>
      </c>
      <c r="C82" s="8" t="s">
        <v>1512</v>
      </c>
      <c r="D82" s="200" t="s">
        <v>1513</v>
      </c>
      <c r="E82" s="5"/>
    </row>
    <row r="83" spans="1:5" s="8" customFormat="1" x14ac:dyDescent="0.2">
      <c r="A83" s="200" t="s">
        <v>1509</v>
      </c>
      <c r="B83" s="200">
        <v>3</v>
      </c>
      <c r="C83" s="200" t="s">
        <v>1514</v>
      </c>
      <c r="D83" s="200" t="s">
        <v>1515</v>
      </c>
      <c r="E83" s="5"/>
    </row>
    <row r="84" spans="1:5" s="8" customFormat="1" x14ac:dyDescent="0.2">
      <c r="A84" s="200" t="s">
        <v>1509</v>
      </c>
      <c r="B84" s="200">
        <v>4</v>
      </c>
      <c r="C84" s="200" t="s">
        <v>1516</v>
      </c>
      <c r="D84" s="200" t="s">
        <v>1487</v>
      </c>
      <c r="E84" s="5"/>
    </row>
    <row r="85" spans="1:5" s="8" customFormat="1" x14ac:dyDescent="0.2">
      <c r="A85" s="200"/>
      <c r="B85" s="200"/>
      <c r="C85" s="200"/>
      <c r="D85" s="200"/>
      <c r="E85" s="5"/>
    </row>
    <row r="86" spans="1:5" s="8" customFormat="1" x14ac:dyDescent="0.2">
      <c r="A86" s="200" t="s">
        <v>1517</v>
      </c>
      <c r="B86" s="200">
        <v>1</v>
      </c>
      <c r="C86" s="200" t="s">
        <v>1518</v>
      </c>
      <c r="D86" s="200" t="s">
        <v>1519</v>
      </c>
      <c r="E86" s="5"/>
    </row>
    <row r="87" spans="1:5" s="8" customFormat="1" x14ac:dyDescent="0.2">
      <c r="A87" s="200" t="s">
        <v>1517</v>
      </c>
      <c r="B87" s="200">
        <v>2</v>
      </c>
      <c r="C87" s="200" t="s">
        <v>1520</v>
      </c>
      <c r="D87" s="200" t="s">
        <v>1521</v>
      </c>
      <c r="E87" s="5"/>
    </row>
    <row r="88" spans="1:5" s="8" customFormat="1" x14ac:dyDescent="0.2">
      <c r="A88" s="200" t="s">
        <v>1517</v>
      </c>
      <c r="B88" s="200">
        <v>3</v>
      </c>
      <c r="C88" s="200" t="s">
        <v>1522</v>
      </c>
      <c r="D88" s="200" t="s">
        <v>1523</v>
      </c>
      <c r="E88" s="5"/>
    </row>
    <row r="89" spans="1:5" s="8" customFormat="1" x14ac:dyDescent="0.2">
      <c r="A89" s="200" t="s">
        <v>1517</v>
      </c>
      <c r="B89" s="200">
        <v>4</v>
      </c>
      <c r="C89" s="200" t="s">
        <v>1524</v>
      </c>
      <c r="D89" s="200" t="s">
        <v>1525</v>
      </c>
      <c r="E89" s="5"/>
    </row>
    <row r="90" spans="1:5" s="8" customFormat="1" x14ac:dyDescent="0.2">
      <c r="A90" s="200" t="s">
        <v>1517</v>
      </c>
      <c r="B90" s="200">
        <v>5</v>
      </c>
      <c r="C90" s="200" t="s">
        <v>1526</v>
      </c>
      <c r="D90" s="200" t="s">
        <v>1527</v>
      </c>
      <c r="E90" s="5"/>
    </row>
    <row r="91" spans="1:5" s="8" customFormat="1" x14ac:dyDescent="0.2">
      <c r="A91" s="200" t="s">
        <v>1517</v>
      </c>
      <c r="B91" s="200">
        <v>6</v>
      </c>
      <c r="C91" s="200" t="s">
        <v>1528</v>
      </c>
      <c r="D91" s="200" t="s">
        <v>1529</v>
      </c>
      <c r="E91" s="5"/>
    </row>
    <row r="92" spans="1:5" s="8" customFormat="1" x14ac:dyDescent="0.2">
      <c r="A92" s="200" t="s">
        <v>1517</v>
      </c>
      <c r="B92" s="200">
        <v>7</v>
      </c>
      <c r="C92" s="200" t="s">
        <v>1530</v>
      </c>
      <c r="D92" s="200" t="s">
        <v>1531</v>
      </c>
      <c r="E92" s="5"/>
    </row>
    <row r="93" spans="1:5" s="8" customFormat="1" x14ac:dyDescent="0.2">
      <c r="A93" s="200" t="s">
        <v>1517</v>
      </c>
      <c r="B93" s="200">
        <v>8</v>
      </c>
      <c r="C93" s="200" t="s">
        <v>1532</v>
      </c>
      <c r="D93" s="200" t="s">
        <v>1533</v>
      </c>
      <c r="E93" s="5"/>
    </row>
    <row r="94" spans="1:5" s="8" customFormat="1" x14ac:dyDescent="0.2">
      <c r="A94" s="200" t="s">
        <v>1517</v>
      </c>
      <c r="B94" s="200">
        <v>9</v>
      </c>
      <c r="C94" s="200" t="s">
        <v>1534</v>
      </c>
      <c r="D94" s="200" t="s">
        <v>1535</v>
      </c>
      <c r="E94" s="5"/>
    </row>
    <row r="95" spans="1:5" s="8" customFormat="1" x14ac:dyDescent="0.2">
      <c r="A95" s="200" t="s">
        <v>1517</v>
      </c>
      <c r="B95" s="200">
        <v>10</v>
      </c>
      <c r="C95" s="200" t="s">
        <v>1536</v>
      </c>
      <c r="D95" s="200" t="s">
        <v>1537</v>
      </c>
      <c r="E95" s="5"/>
    </row>
    <row r="96" spans="1:5" s="8" customFormat="1" x14ac:dyDescent="0.2">
      <c r="A96" s="200" t="s">
        <v>1517</v>
      </c>
      <c r="B96" s="200">
        <v>11</v>
      </c>
      <c r="C96" s="200" t="s">
        <v>1538</v>
      </c>
      <c r="D96" s="200" t="s">
        <v>1539</v>
      </c>
      <c r="E96" s="5"/>
    </row>
    <row r="97" spans="1:5" s="8" customFormat="1" x14ac:dyDescent="0.2">
      <c r="A97" s="200" t="s">
        <v>1517</v>
      </c>
      <c r="B97" s="200">
        <v>12</v>
      </c>
      <c r="C97" s="200" t="s">
        <v>1540</v>
      </c>
      <c r="D97" s="200" t="s">
        <v>1541</v>
      </c>
      <c r="E97" s="5"/>
    </row>
    <row r="98" spans="1:5" s="8" customFormat="1" x14ac:dyDescent="0.2">
      <c r="A98" s="200" t="s">
        <v>1517</v>
      </c>
      <c r="B98" s="200">
        <v>13</v>
      </c>
      <c r="C98" s="200" t="s">
        <v>1542</v>
      </c>
      <c r="D98" s="200" t="s">
        <v>1543</v>
      </c>
      <c r="E98" s="5"/>
    </row>
    <row r="99" spans="1:5" s="8" customFormat="1" x14ac:dyDescent="0.2">
      <c r="A99" s="200" t="s">
        <v>1517</v>
      </c>
      <c r="B99" s="200">
        <v>14</v>
      </c>
      <c r="C99" s="200" t="s">
        <v>1544</v>
      </c>
      <c r="D99" s="200" t="s">
        <v>1545</v>
      </c>
      <c r="E99" s="5"/>
    </row>
    <row r="100" spans="1:5" s="8" customFormat="1" x14ac:dyDescent="0.2">
      <c r="A100" s="200" t="s">
        <v>1517</v>
      </c>
      <c r="B100" s="200">
        <v>15</v>
      </c>
      <c r="C100" s="200" t="s">
        <v>1546</v>
      </c>
      <c r="D100" s="200" t="s">
        <v>1547</v>
      </c>
      <c r="E100" s="5"/>
    </row>
    <row r="101" spans="1:5" s="8" customFormat="1" x14ac:dyDescent="0.2">
      <c r="A101" s="200" t="s">
        <v>1517</v>
      </c>
      <c r="B101" s="200">
        <v>16</v>
      </c>
      <c r="C101" s="200" t="s">
        <v>1548</v>
      </c>
      <c r="D101" s="200" t="s">
        <v>1549</v>
      </c>
      <c r="E101" s="5"/>
    </row>
    <row r="102" spans="1:5" s="8" customFormat="1" x14ac:dyDescent="0.2">
      <c r="A102" s="200" t="s">
        <v>1517</v>
      </c>
      <c r="B102" s="200">
        <v>17</v>
      </c>
      <c r="C102" s="200" t="s">
        <v>1550</v>
      </c>
      <c r="D102" s="200" t="s">
        <v>1551</v>
      </c>
      <c r="E102" s="5"/>
    </row>
    <row r="103" spans="1:5" s="8" customFormat="1" x14ac:dyDescent="0.2">
      <c r="A103" s="200" t="s">
        <v>1517</v>
      </c>
      <c r="B103" s="200">
        <v>18</v>
      </c>
      <c r="C103" s="200" t="s">
        <v>1552</v>
      </c>
      <c r="D103" s="200" t="s">
        <v>1553</v>
      </c>
      <c r="E103" s="5"/>
    </row>
    <row r="104" spans="1:5" s="8" customFormat="1" x14ac:dyDescent="0.2">
      <c r="A104" s="200" t="s">
        <v>1517</v>
      </c>
      <c r="B104" s="200">
        <v>19</v>
      </c>
      <c r="C104" s="200" t="s">
        <v>1554</v>
      </c>
      <c r="D104" s="200" t="s">
        <v>1555</v>
      </c>
      <c r="E104" s="5"/>
    </row>
    <row r="105" spans="1:5" s="8" customFormat="1" x14ac:dyDescent="0.2">
      <c r="A105" s="200" t="s">
        <v>1517</v>
      </c>
      <c r="B105" s="200">
        <v>20</v>
      </c>
      <c r="C105" s="200" t="s">
        <v>1556</v>
      </c>
      <c r="D105" s="200" t="s">
        <v>1557</v>
      </c>
      <c r="E105" s="5"/>
    </row>
    <row r="106" spans="1:5" s="8" customFormat="1" x14ac:dyDescent="0.2">
      <c r="A106" s="200" t="s">
        <v>1517</v>
      </c>
      <c r="B106" s="200">
        <v>21</v>
      </c>
      <c r="C106" s="200" t="s">
        <v>1558</v>
      </c>
      <c r="D106" s="200" t="s">
        <v>1559</v>
      </c>
      <c r="E106" s="5"/>
    </row>
    <row r="107" spans="1:5" s="8" customFormat="1" x14ac:dyDescent="0.2">
      <c r="A107" s="200" t="s">
        <v>1517</v>
      </c>
      <c r="B107" s="200">
        <v>22</v>
      </c>
      <c r="C107" s="200" t="s">
        <v>1560</v>
      </c>
      <c r="D107" s="200" t="s">
        <v>1561</v>
      </c>
      <c r="E107" s="5"/>
    </row>
    <row r="108" spans="1:5" s="8" customFormat="1" x14ac:dyDescent="0.2">
      <c r="A108" s="200" t="s">
        <v>1517</v>
      </c>
      <c r="B108" s="200">
        <v>23</v>
      </c>
      <c r="C108" s="200" t="s">
        <v>1562</v>
      </c>
      <c r="D108" s="200" t="s">
        <v>1563</v>
      </c>
      <c r="E108" s="5"/>
    </row>
    <row r="109" spans="1:5" s="8" customFormat="1" x14ac:dyDescent="0.2">
      <c r="A109" s="200" t="s">
        <v>1517</v>
      </c>
      <c r="B109" s="200">
        <v>24</v>
      </c>
      <c r="C109" s="200" t="s">
        <v>1564</v>
      </c>
      <c r="D109" s="200" t="s">
        <v>1565</v>
      </c>
      <c r="E109" s="5"/>
    </row>
    <row r="110" spans="1:5" s="8" customFormat="1" x14ac:dyDescent="0.2">
      <c r="A110" s="200" t="s">
        <v>1517</v>
      </c>
      <c r="B110" s="200">
        <v>25</v>
      </c>
      <c r="C110" s="200" t="s">
        <v>1566</v>
      </c>
      <c r="D110" s="200" t="s">
        <v>1567</v>
      </c>
      <c r="E110" s="5"/>
    </row>
    <row r="111" spans="1:5" s="8" customFormat="1" x14ac:dyDescent="0.2">
      <c r="A111" s="200" t="s">
        <v>1517</v>
      </c>
      <c r="B111" s="200">
        <v>26</v>
      </c>
      <c r="C111" s="200" t="s">
        <v>1568</v>
      </c>
      <c r="D111" s="200" t="s">
        <v>1569</v>
      </c>
      <c r="E111" s="5"/>
    </row>
    <row r="112" spans="1:5" s="8" customFormat="1" x14ac:dyDescent="0.2">
      <c r="A112" s="200" t="s">
        <v>1517</v>
      </c>
      <c r="B112" s="200">
        <v>27</v>
      </c>
      <c r="C112" s="200" t="s">
        <v>1570</v>
      </c>
      <c r="D112" s="200" t="s">
        <v>1571</v>
      </c>
      <c r="E112" s="5"/>
    </row>
    <row r="113" spans="1:5" s="8" customFormat="1" x14ac:dyDescent="0.2">
      <c r="A113" s="200" t="s">
        <v>1517</v>
      </c>
      <c r="B113" s="200" t="s">
        <v>1572</v>
      </c>
      <c r="C113" s="200" t="s">
        <v>1573</v>
      </c>
      <c r="D113" s="200" t="s">
        <v>1574</v>
      </c>
      <c r="E113" s="5"/>
    </row>
    <row r="114" spans="1:5" s="8" customFormat="1" ht="16" customHeight="1" x14ac:dyDescent="0.2">
      <c r="A114" s="200" t="s">
        <v>1517</v>
      </c>
      <c r="B114" s="200">
        <v>29</v>
      </c>
      <c r="C114" s="200" t="s">
        <v>1575</v>
      </c>
      <c r="D114" s="254" t="s">
        <v>1576</v>
      </c>
      <c r="E114" s="5"/>
    </row>
    <row r="115" spans="1:5" s="8" customFormat="1" x14ac:dyDescent="0.2">
      <c r="A115" s="200"/>
      <c r="B115" s="200"/>
      <c r="C115" s="200"/>
      <c r="D115" s="200"/>
      <c r="E115" s="5"/>
    </row>
    <row r="116" spans="1:5" s="8" customFormat="1" x14ac:dyDescent="0.2">
      <c r="A116" s="200" t="s">
        <v>1577</v>
      </c>
      <c r="B116" s="200">
        <v>1</v>
      </c>
      <c r="C116" s="200" t="s">
        <v>1578</v>
      </c>
      <c r="D116" s="200" t="s">
        <v>1579</v>
      </c>
      <c r="E116" s="5"/>
    </row>
    <row r="117" spans="1:5" s="8" customFormat="1" x14ac:dyDescent="0.2">
      <c r="A117" s="200" t="s">
        <v>1577</v>
      </c>
      <c r="B117" s="200">
        <v>2</v>
      </c>
      <c r="C117" s="200" t="s">
        <v>1580</v>
      </c>
      <c r="D117" s="200" t="s">
        <v>1581</v>
      </c>
      <c r="E117" s="5"/>
    </row>
    <row r="118" spans="1:5" s="8" customFormat="1" x14ac:dyDescent="0.2">
      <c r="A118" s="200" t="s">
        <v>1577</v>
      </c>
      <c r="B118" s="200">
        <v>3</v>
      </c>
      <c r="C118" s="200" t="s">
        <v>1582</v>
      </c>
      <c r="D118" s="200" t="s">
        <v>1583</v>
      </c>
      <c r="E118" s="5"/>
    </row>
    <row r="119" spans="1:5" s="8" customFormat="1" x14ac:dyDescent="0.2">
      <c r="A119" s="200" t="s">
        <v>1577</v>
      </c>
      <c r="B119" s="200">
        <v>4</v>
      </c>
      <c r="C119" s="200" t="s">
        <v>1486</v>
      </c>
      <c r="D119" s="200" t="s">
        <v>1487</v>
      </c>
      <c r="E119" s="5"/>
    </row>
    <row r="120" spans="1:5" s="8" customFormat="1" x14ac:dyDescent="0.2">
      <c r="A120" s="200" t="s">
        <v>1577</v>
      </c>
      <c r="B120" s="200" t="s">
        <v>1488</v>
      </c>
      <c r="C120" s="200" t="s">
        <v>1489</v>
      </c>
      <c r="D120" s="200" t="s">
        <v>1490</v>
      </c>
      <c r="E120" s="5"/>
    </row>
    <row r="121" spans="1:5" s="8" customFormat="1" x14ac:dyDescent="0.2">
      <c r="A121" s="200" t="s">
        <v>1577</v>
      </c>
      <c r="B121" s="200" t="s">
        <v>1491</v>
      </c>
      <c r="C121" s="200" t="s">
        <v>1492</v>
      </c>
      <c r="D121" s="200" t="s">
        <v>1493</v>
      </c>
      <c r="E121" s="5"/>
    </row>
    <row r="122" spans="1:5" s="8" customFormat="1" x14ac:dyDescent="0.2">
      <c r="E122" s="5"/>
    </row>
    <row r="123" spans="1:5" s="8" customFormat="1" x14ac:dyDescent="0.2">
      <c r="A123" s="200" t="s">
        <v>1584</v>
      </c>
      <c r="B123" s="200">
        <v>1</v>
      </c>
      <c r="C123" s="200" t="s">
        <v>1585</v>
      </c>
      <c r="D123" s="200" t="s">
        <v>1586</v>
      </c>
      <c r="E123" s="5"/>
    </row>
    <row r="124" spans="1:5" s="8" customFormat="1" x14ac:dyDescent="0.2">
      <c r="A124" s="200" t="s">
        <v>1584</v>
      </c>
      <c r="B124" s="200">
        <v>2</v>
      </c>
      <c r="C124" s="200" t="s">
        <v>1587</v>
      </c>
      <c r="D124" s="200" t="s">
        <v>1588</v>
      </c>
      <c r="E124" s="5"/>
    </row>
    <row r="125" spans="1:5" s="8" customFormat="1" x14ac:dyDescent="0.2">
      <c r="A125" s="200" t="s">
        <v>1584</v>
      </c>
      <c r="B125" s="200">
        <v>3</v>
      </c>
      <c r="C125" s="200" t="s">
        <v>1589</v>
      </c>
      <c r="D125" s="200" t="s">
        <v>1590</v>
      </c>
      <c r="E125" s="5"/>
    </row>
    <row r="126" spans="1:5" s="8" customFormat="1" x14ac:dyDescent="0.2">
      <c r="A126" s="200" t="s">
        <v>1584</v>
      </c>
      <c r="B126" s="200">
        <v>4</v>
      </c>
      <c r="C126" s="200" t="s">
        <v>1591</v>
      </c>
      <c r="D126" s="200" t="s">
        <v>1592</v>
      </c>
      <c r="E126" s="5"/>
    </row>
    <row r="127" spans="1:5" s="8" customFormat="1" x14ac:dyDescent="0.2">
      <c r="A127" s="200" t="s">
        <v>1584</v>
      </c>
      <c r="B127" s="200">
        <v>5</v>
      </c>
      <c r="C127" s="200" t="s">
        <v>1593</v>
      </c>
      <c r="D127" s="200" t="s">
        <v>1594</v>
      </c>
      <c r="E127" s="5"/>
    </row>
    <row r="128" spans="1:5" s="8" customFormat="1" x14ac:dyDescent="0.2">
      <c r="A128" s="200" t="s">
        <v>1584</v>
      </c>
      <c r="B128" s="200" t="s">
        <v>1488</v>
      </c>
      <c r="C128" s="200" t="s">
        <v>1489</v>
      </c>
      <c r="D128" s="200" t="s">
        <v>1490</v>
      </c>
      <c r="E128" s="5"/>
    </row>
    <row r="129" spans="1:5" s="8" customFormat="1" x14ac:dyDescent="0.2">
      <c r="A129" s="200" t="s">
        <v>1584</v>
      </c>
      <c r="B129" s="200" t="s">
        <v>1491</v>
      </c>
      <c r="C129" s="200" t="s">
        <v>1492</v>
      </c>
      <c r="D129" s="200" t="s">
        <v>1493</v>
      </c>
      <c r="E129" s="5"/>
    </row>
    <row r="130" spans="1:5" s="8" customFormat="1" x14ac:dyDescent="0.2">
      <c r="E130" s="5"/>
    </row>
    <row r="131" spans="1:5" s="8" customFormat="1" x14ac:dyDescent="0.2">
      <c r="A131" s="200" t="s">
        <v>1595</v>
      </c>
      <c r="B131" s="200">
        <v>1</v>
      </c>
      <c r="C131" s="200" t="s">
        <v>1596</v>
      </c>
      <c r="D131" s="200" t="s">
        <v>1597</v>
      </c>
      <c r="E131" s="5"/>
    </row>
    <row r="132" spans="1:5" s="8" customFormat="1" x14ac:dyDescent="0.2">
      <c r="A132" s="200" t="s">
        <v>1595</v>
      </c>
      <c r="B132" s="200">
        <v>2</v>
      </c>
      <c r="C132" s="200" t="s">
        <v>1598</v>
      </c>
      <c r="D132" s="200" t="s">
        <v>1599</v>
      </c>
      <c r="E132" s="5"/>
    </row>
    <row r="133" spans="1:5" s="8" customFormat="1" x14ac:dyDescent="0.2">
      <c r="A133" s="200" t="s">
        <v>1595</v>
      </c>
      <c r="B133" s="200">
        <v>3</v>
      </c>
      <c r="C133" s="200" t="s">
        <v>1600</v>
      </c>
      <c r="D133" s="200" t="s">
        <v>1601</v>
      </c>
      <c r="E133" s="5"/>
    </row>
    <row r="134" spans="1:5" s="8" customFormat="1" x14ac:dyDescent="0.2">
      <c r="A134" s="200" t="s">
        <v>1595</v>
      </c>
      <c r="B134" s="200">
        <v>4</v>
      </c>
      <c r="C134" s="200" t="s">
        <v>1602</v>
      </c>
      <c r="D134" s="200" t="s">
        <v>1603</v>
      </c>
      <c r="E134" s="5"/>
    </row>
    <row r="135" spans="1:5" s="8" customFormat="1" x14ac:dyDescent="0.2">
      <c r="A135" s="200" t="s">
        <v>1595</v>
      </c>
      <c r="B135" s="200">
        <v>5</v>
      </c>
      <c r="C135" s="200" t="s">
        <v>1604</v>
      </c>
      <c r="D135" s="200" t="s">
        <v>1605</v>
      </c>
      <c r="E135" s="5"/>
    </row>
    <row r="136" spans="1:5" s="8" customFormat="1" x14ac:dyDescent="0.2">
      <c r="A136" s="200" t="s">
        <v>1595</v>
      </c>
      <c r="B136" s="200">
        <v>6</v>
      </c>
      <c r="C136" s="200" t="s">
        <v>1606</v>
      </c>
      <c r="D136" s="200" t="s">
        <v>1607</v>
      </c>
      <c r="E136" s="5"/>
    </row>
    <row r="137" spans="1:5" s="8" customFormat="1" x14ac:dyDescent="0.2">
      <c r="A137" s="200" t="s">
        <v>1595</v>
      </c>
      <c r="B137" s="200" t="s">
        <v>1488</v>
      </c>
      <c r="C137" s="200" t="s">
        <v>1489</v>
      </c>
      <c r="D137" s="200" t="s">
        <v>1490</v>
      </c>
      <c r="E137" s="5"/>
    </row>
    <row r="138" spans="1:5" s="8" customFormat="1" x14ac:dyDescent="0.2">
      <c r="A138" s="200" t="s">
        <v>1595</v>
      </c>
      <c r="B138" s="200" t="s">
        <v>1491</v>
      </c>
      <c r="C138" s="200" t="s">
        <v>1492</v>
      </c>
      <c r="D138" s="200" t="s">
        <v>1493</v>
      </c>
      <c r="E138" s="5"/>
    </row>
    <row r="139" spans="1:5" s="8" customFormat="1" x14ac:dyDescent="0.2">
      <c r="E139" s="5"/>
    </row>
    <row r="140" spans="1:5" s="8" customFormat="1" x14ac:dyDescent="0.2">
      <c r="A140" s="200" t="s">
        <v>1608</v>
      </c>
      <c r="B140" s="8" t="s">
        <v>1609</v>
      </c>
      <c r="C140" s="8" t="s">
        <v>1610</v>
      </c>
      <c r="D140" s="8" t="s">
        <v>1611</v>
      </c>
      <c r="E140" s="5"/>
    </row>
    <row r="141" spans="1:5" s="8" customFormat="1" x14ac:dyDescent="0.2">
      <c r="A141" s="200" t="s">
        <v>1608</v>
      </c>
      <c r="B141" s="8" t="s">
        <v>1612</v>
      </c>
      <c r="C141" s="8" t="s">
        <v>1613</v>
      </c>
      <c r="D141" s="8" t="s">
        <v>1614</v>
      </c>
      <c r="E141" s="5"/>
    </row>
    <row r="142" spans="1:5" s="8" customFormat="1" x14ac:dyDescent="0.2">
      <c r="A142" s="200" t="s">
        <v>1608</v>
      </c>
      <c r="B142" s="200" t="s">
        <v>1615</v>
      </c>
      <c r="C142" s="200" t="s">
        <v>1616</v>
      </c>
      <c r="D142" s="200" t="s">
        <v>1617</v>
      </c>
      <c r="E142" s="5"/>
    </row>
    <row r="143" spans="1:5" s="8" customFormat="1" x14ac:dyDescent="0.2">
      <c r="A143" s="200" t="s">
        <v>1608</v>
      </c>
      <c r="B143" s="200" t="s">
        <v>1618</v>
      </c>
      <c r="C143" s="200" t="s">
        <v>1619</v>
      </c>
      <c r="D143" s="200" t="s">
        <v>1620</v>
      </c>
      <c r="E143" s="5"/>
    </row>
    <row r="144" spans="1:5" s="8" customFormat="1" x14ac:dyDescent="0.2">
      <c r="A144" s="200" t="s">
        <v>1608</v>
      </c>
      <c r="B144" s="200" t="s">
        <v>1621</v>
      </c>
      <c r="C144" s="200" t="s">
        <v>1622</v>
      </c>
      <c r="D144" s="200" t="s">
        <v>1623</v>
      </c>
      <c r="E144" s="5"/>
    </row>
    <row r="145" spans="1:5" s="8" customFormat="1" x14ac:dyDescent="0.2">
      <c r="A145" s="200" t="s">
        <v>1608</v>
      </c>
      <c r="B145" s="200" t="s">
        <v>1624</v>
      </c>
      <c r="C145" s="200" t="s">
        <v>1625</v>
      </c>
      <c r="D145" s="200" t="s">
        <v>1626</v>
      </c>
      <c r="E145" s="5"/>
    </row>
    <row r="146" spans="1:5" s="8" customFormat="1" x14ac:dyDescent="0.2">
      <c r="A146" s="200" t="s">
        <v>1608</v>
      </c>
      <c r="B146" s="200" t="s">
        <v>1627</v>
      </c>
      <c r="C146" s="200" t="s">
        <v>1628</v>
      </c>
      <c r="D146" s="200" t="s">
        <v>1629</v>
      </c>
      <c r="E146" s="5"/>
    </row>
    <row r="147" spans="1:5" s="8" customFormat="1" x14ac:dyDescent="0.2">
      <c r="A147" s="200" t="s">
        <v>1608</v>
      </c>
      <c r="B147" s="200" t="s">
        <v>1572</v>
      </c>
      <c r="C147" s="200" t="s">
        <v>1630</v>
      </c>
      <c r="D147" s="200" t="s">
        <v>1631</v>
      </c>
      <c r="E147" s="5"/>
    </row>
    <row r="148" spans="1:5" s="8" customFormat="1" x14ac:dyDescent="0.2">
      <c r="A148" s="200" t="s">
        <v>1608</v>
      </c>
      <c r="B148" s="200" t="s">
        <v>1632</v>
      </c>
      <c r="C148" s="200" t="s">
        <v>1633</v>
      </c>
      <c r="D148" s="200" t="s">
        <v>1634</v>
      </c>
      <c r="E148" s="5"/>
    </row>
    <row r="149" spans="1:5" s="8" customFormat="1" x14ac:dyDescent="0.2">
      <c r="A149" s="200" t="s">
        <v>1608</v>
      </c>
      <c r="B149" s="200" t="s">
        <v>1488</v>
      </c>
      <c r="C149" s="200" t="s">
        <v>1489</v>
      </c>
      <c r="D149" s="200" t="s">
        <v>1490</v>
      </c>
      <c r="E149" s="5"/>
    </row>
    <row r="150" spans="1:5" s="8" customFormat="1" x14ac:dyDescent="0.2">
      <c r="A150" s="200" t="s">
        <v>1608</v>
      </c>
      <c r="B150" s="200" t="s">
        <v>1491</v>
      </c>
      <c r="C150" s="200" t="s">
        <v>1492</v>
      </c>
      <c r="D150" s="200" t="s">
        <v>1493</v>
      </c>
      <c r="E150" s="5"/>
    </row>
    <row r="151" spans="1:5" s="8" customFormat="1" x14ac:dyDescent="0.2">
      <c r="E151" s="5"/>
    </row>
    <row r="152" spans="1:5" s="8" customFormat="1" x14ac:dyDescent="0.2">
      <c r="A152" s="200" t="s">
        <v>1635</v>
      </c>
      <c r="B152" s="200" t="s">
        <v>1636</v>
      </c>
      <c r="C152" s="200" t="s">
        <v>1637</v>
      </c>
      <c r="D152" s="200" t="s">
        <v>1638</v>
      </c>
      <c r="E152" s="5"/>
    </row>
    <row r="153" spans="1:5" s="8" customFormat="1" x14ac:dyDescent="0.2">
      <c r="A153" s="200" t="s">
        <v>1635</v>
      </c>
      <c r="B153" s="200" t="s">
        <v>1639</v>
      </c>
      <c r="C153" s="200" t="s">
        <v>1640</v>
      </c>
      <c r="D153" s="200" t="s">
        <v>1641</v>
      </c>
      <c r="E153" s="5"/>
    </row>
    <row r="154" spans="1:5" s="8" customFormat="1" x14ac:dyDescent="0.2">
      <c r="A154" s="200" t="s">
        <v>1635</v>
      </c>
      <c r="B154" s="200" t="s">
        <v>1642</v>
      </c>
      <c r="C154" s="200" t="s">
        <v>1643</v>
      </c>
      <c r="D154" s="200" t="s">
        <v>1644</v>
      </c>
      <c r="E154" s="5"/>
    </row>
    <row r="155" spans="1:5" s="8" customFormat="1" x14ac:dyDescent="0.2">
      <c r="A155" s="200" t="s">
        <v>1635</v>
      </c>
      <c r="B155" s="200" t="s">
        <v>1645</v>
      </c>
      <c r="C155" s="200" t="s">
        <v>1646</v>
      </c>
      <c r="D155" s="200" t="s">
        <v>1647</v>
      </c>
      <c r="E155" s="5"/>
    </row>
    <row r="156" spans="1:5" s="8" customFormat="1" x14ac:dyDescent="0.2">
      <c r="A156" s="200" t="s">
        <v>1635</v>
      </c>
      <c r="B156" s="200" t="s">
        <v>1648</v>
      </c>
      <c r="C156" s="200" t="s">
        <v>1649</v>
      </c>
      <c r="D156" s="200" t="s">
        <v>1650</v>
      </c>
      <c r="E156" s="5"/>
    </row>
    <row r="157" spans="1:5" s="8" customFormat="1" x14ac:dyDescent="0.2">
      <c r="A157" s="200" t="s">
        <v>1635</v>
      </c>
      <c r="B157" s="200" t="s">
        <v>1651</v>
      </c>
      <c r="C157" s="200" t="s">
        <v>1652</v>
      </c>
      <c r="D157" s="200" t="s">
        <v>1653</v>
      </c>
      <c r="E157" s="5"/>
    </row>
    <row r="158" spans="1:5" s="8" customFormat="1" x14ac:dyDescent="0.2">
      <c r="A158" s="200" t="s">
        <v>1635</v>
      </c>
      <c r="B158" s="200" t="s">
        <v>1572</v>
      </c>
      <c r="C158" s="200" t="s">
        <v>1654</v>
      </c>
      <c r="D158" s="200" t="s">
        <v>1655</v>
      </c>
      <c r="E158" s="5"/>
    </row>
    <row r="159" spans="1:5" s="8" customFormat="1" x14ac:dyDescent="0.2">
      <c r="A159" s="200" t="s">
        <v>1635</v>
      </c>
      <c r="B159" s="200" t="s">
        <v>1632</v>
      </c>
      <c r="C159" s="200" t="s">
        <v>1656</v>
      </c>
      <c r="D159" s="200" t="s">
        <v>1657</v>
      </c>
      <c r="E159" s="5"/>
    </row>
    <row r="160" spans="1:5" s="8" customFormat="1" x14ac:dyDescent="0.2">
      <c r="A160" s="200" t="s">
        <v>1635</v>
      </c>
      <c r="B160" s="200" t="s">
        <v>1488</v>
      </c>
      <c r="C160" s="200" t="s">
        <v>1489</v>
      </c>
      <c r="D160" s="200" t="s">
        <v>1490</v>
      </c>
      <c r="E160" s="5"/>
    </row>
    <row r="161" spans="1:10" s="8" customFormat="1" x14ac:dyDescent="0.2">
      <c r="A161" s="200" t="s">
        <v>1635</v>
      </c>
      <c r="B161" s="200" t="s">
        <v>1491</v>
      </c>
      <c r="C161" s="200" t="s">
        <v>1492</v>
      </c>
      <c r="D161" s="200" t="s">
        <v>1493</v>
      </c>
      <c r="E161" s="5"/>
    </row>
    <row r="162" spans="1:10" s="8" customFormat="1" x14ac:dyDescent="0.2">
      <c r="E162" s="5"/>
    </row>
    <row r="163" spans="1:10" s="8" customFormat="1" x14ac:dyDescent="0.2">
      <c r="A163" s="200" t="s">
        <v>1658</v>
      </c>
      <c r="B163" s="200">
        <v>1</v>
      </c>
      <c r="C163" s="200" t="s">
        <v>1659</v>
      </c>
      <c r="D163" s="200" t="s">
        <v>1660</v>
      </c>
      <c r="E163" s="5"/>
      <c r="G163" s="200">
        <v>1</v>
      </c>
      <c r="I163" s="8">
        <v>3</v>
      </c>
    </row>
    <row r="164" spans="1:10" s="8" customFormat="1" x14ac:dyDescent="0.2">
      <c r="A164" s="200" t="s">
        <v>1658</v>
      </c>
      <c r="B164" s="200">
        <v>2</v>
      </c>
      <c r="C164" s="200" t="s">
        <v>1661</v>
      </c>
      <c r="D164" s="200" t="s">
        <v>1662</v>
      </c>
      <c r="E164" s="5"/>
      <c r="G164" s="200">
        <v>1</v>
      </c>
      <c r="I164" s="8">
        <v>3</v>
      </c>
    </row>
    <row r="165" spans="1:10" s="8" customFormat="1" x14ac:dyDescent="0.2">
      <c r="A165" s="200" t="s">
        <v>1658</v>
      </c>
      <c r="B165" s="200">
        <v>3</v>
      </c>
      <c r="C165" s="200" t="s">
        <v>1663</v>
      </c>
      <c r="D165" s="200" t="s">
        <v>1664</v>
      </c>
      <c r="E165" s="5"/>
      <c r="G165" s="200">
        <v>1</v>
      </c>
      <c r="I165" s="8">
        <v>3</v>
      </c>
    </row>
    <row r="166" spans="1:10" s="8" customFormat="1" x14ac:dyDescent="0.2">
      <c r="A166" s="200" t="s">
        <v>1658</v>
      </c>
      <c r="B166" s="200">
        <v>4</v>
      </c>
      <c r="C166" s="200" t="s">
        <v>1665</v>
      </c>
      <c r="D166" s="200" t="s">
        <v>1666</v>
      </c>
      <c r="E166" s="5"/>
      <c r="H166" s="200">
        <v>2</v>
      </c>
      <c r="I166" s="8">
        <v>3</v>
      </c>
    </row>
    <row r="167" spans="1:10" s="8" customFormat="1" x14ac:dyDescent="0.2">
      <c r="A167" s="200" t="s">
        <v>1658</v>
      </c>
      <c r="B167" s="200">
        <v>5</v>
      </c>
      <c r="C167" s="200" t="s">
        <v>1667</v>
      </c>
      <c r="D167" s="200" t="s">
        <v>1668</v>
      </c>
      <c r="E167" s="5"/>
      <c r="G167" s="200">
        <v>1</v>
      </c>
      <c r="H167" s="200">
        <v>2</v>
      </c>
      <c r="I167" s="8">
        <v>3</v>
      </c>
      <c r="J167" s="8">
        <v>4</v>
      </c>
    </row>
    <row r="168" spans="1:10" s="8" customFormat="1" x14ac:dyDescent="0.2">
      <c r="A168" s="200" t="s">
        <v>1658</v>
      </c>
      <c r="B168" s="200">
        <v>6</v>
      </c>
      <c r="C168" s="200" t="s">
        <v>1669</v>
      </c>
      <c r="D168" s="200" t="s">
        <v>1670</v>
      </c>
      <c r="E168" s="5"/>
      <c r="G168" s="200">
        <v>1</v>
      </c>
      <c r="H168" s="200">
        <v>2</v>
      </c>
      <c r="I168" s="8">
        <v>3</v>
      </c>
      <c r="J168" s="8">
        <v>4</v>
      </c>
    </row>
    <row r="169" spans="1:10" s="8" customFormat="1" x14ac:dyDescent="0.2">
      <c r="A169" s="200" t="s">
        <v>1658</v>
      </c>
      <c r="B169" s="200">
        <v>7</v>
      </c>
      <c r="C169" s="200" t="s">
        <v>1671</v>
      </c>
      <c r="D169" s="200" t="s">
        <v>1672</v>
      </c>
      <c r="E169" s="5"/>
      <c r="G169" s="200">
        <v>1</v>
      </c>
      <c r="H169" s="200">
        <v>2</v>
      </c>
      <c r="I169" s="8">
        <v>3</v>
      </c>
      <c r="J169" s="8">
        <v>4</v>
      </c>
    </row>
    <row r="170" spans="1:10" s="8" customFormat="1" x14ac:dyDescent="0.2">
      <c r="A170" s="200" t="s">
        <v>1658</v>
      </c>
      <c r="B170" s="200">
        <v>8</v>
      </c>
      <c r="C170" s="200" t="s">
        <v>1673</v>
      </c>
      <c r="D170" s="200" t="s">
        <v>1674</v>
      </c>
      <c r="E170" s="5"/>
      <c r="G170" s="200">
        <v>1</v>
      </c>
      <c r="H170" s="200">
        <v>2</v>
      </c>
      <c r="I170" s="8">
        <v>3</v>
      </c>
      <c r="J170" s="8">
        <v>4</v>
      </c>
    </row>
    <row r="171" spans="1:10" s="8" customFormat="1" x14ac:dyDescent="0.2">
      <c r="A171" s="200" t="s">
        <v>1658</v>
      </c>
      <c r="B171" s="200">
        <v>9</v>
      </c>
      <c r="C171" s="200" t="s">
        <v>1675</v>
      </c>
      <c r="D171" s="200" t="s">
        <v>1676</v>
      </c>
      <c r="E171" s="5"/>
      <c r="G171" s="200">
        <v>1</v>
      </c>
      <c r="H171" s="200">
        <v>2</v>
      </c>
      <c r="I171" s="8">
        <v>3</v>
      </c>
      <c r="J171" s="8">
        <v>4</v>
      </c>
    </row>
    <row r="172" spans="1:10" s="8" customFormat="1" x14ac:dyDescent="0.2">
      <c r="A172" s="200" t="s">
        <v>1658</v>
      </c>
      <c r="B172" s="200">
        <v>10</v>
      </c>
      <c r="C172" s="200" t="s">
        <v>1677</v>
      </c>
      <c r="D172" s="200" t="s">
        <v>1678</v>
      </c>
      <c r="E172" s="5"/>
      <c r="G172" s="200">
        <v>1</v>
      </c>
      <c r="H172" s="200">
        <v>2</v>
      </c>
      <c r="I172" s="8">
        <v>3</v>
      </c>
      <c r="J172" s="8">
        <v>4</v>
      </c>
    </row>
    <row r="173" spans="1:10" s="8" customFormat="1" x14ac:dyDescent="0.2">
      <c r="A173" s="200" t="s">
        <v>1658</v>
      </c>
      <c r="B173" s="200">
        <v>11</v>
      </c>
      <c r="C173" s="200" t="s">
        <v>1679</v>
      </c>
      <c r="D173" s="200" t="s">
        <v>1680</v>
      </c>
      <c r="E173" s="5"/>
      <c r="G173" s="200">
        <v>1</v>
      </c>
      <c r="H173" s="200">
        <v>2</v>
      </c>
      <c r="I173" s="8">
        <v>3</v>
      </c>
      <c r="J173" s="8">
        <v>4</v>
      </c>
    </row>
    <row r="174" spans="1:10" s="8" customFormat="1" x14ac:dyDescent="0.2">
      <c r="A174" s="200" t="s">
        <v>1658</v>
      </c>
      <c r="B174" s="200">
        <v>12</v>
      </c>
      <c r="C174" s="200" t="s">
        <v>1681</v>
      </c>
      <c r="D174" s="200" t="s">
        <v>1682</v>
      </c>
      <c r="E174" s="5"/>
      <c r="G174" s="200">
        <v>1</v>
      </c>
      <c r="H174" s="200">
        <v>2</v>
      </c>
      <c r="I174" s="8">
        <v>3</v>
      </c>
      <c r="J174" s="8">
        <v>4</v>
      </c>
    </row>
    <row r="175" spans="1:10" s="8" customFormat="1" x14ac:dyDescent="0.2">
      <c r="A175" s="200" t="s">
        <v>1658</v>
      </c>
      <c r="B175" s="200">
        <v>13</v>
      </c>
      <c r="C175" s="200" t="s">
        <v>1683</v>
      </c>
      <c r="D175" s="200" t="s">
        <v>1684</v>
      </c>
      <c r="E175" s="5"/>
      <c r="G175" s="200">
        <v>1</v>
      </c>
      <c r="H175" s="200">
        <v>2</v>
      </c>
      <c r="I175" s="8">
        <v>3</v>
      </c>
      <c r="J175" s="8">
        <v>4</v>
      </c>
    </row>
    <row r="176" spans="1:10" s="8" customFormat="1" x14ac:dyDescent="0.2">
      <c r="A176" s="200" t="s">
        <v>1658</v>
      </c>
      <c r="B176" s="200">
        <v>14</v>
      </c>
      <c r="C176" s="200" t="s">
        <v>1685</v>
      </c>
      <c r="D176" s="200" t="s">
        <v>1686</v>
      </c>
      <c r="E176" s="5"/>
      <c r="G176" s="200">
        <v>1</v>
      </c>
      <c r="H176" s="200">
        <v>2</v>
      </c>
      <c r="I176" s="8">
        <v>3</v>
      </c>
      <c r="J176" s="8">
        <v>4</v>
      </c>
    </row>
    <row r="177" spans="1:10" s="8" customFormat="1" x14ac:dyDescent="0.2">
      <c r="A177" s="200" t="s">
        <v>1658</v>
      </c>
      <c r="B177" s="200">
        <v>15</v>
      </c>
      <c r="C177" s="200" t="s">
        <v>1687</v>
      </c>
      <c r="D177" s="200" t="s">
        <v>1688</v>
      </c>
      <c r="E177" s="5"/>
      <c r="G177" s="200">
        <v>1</v>
      </c>
      <c r="H177" s="200">
        <v>2</v>
      </c>
      <c r="I177" s="8">
        <v>3</v>
      </c>
      <c r="J177" s="8">
        <v>4</v>
      </c>
    </row>
    <row r="178" spans="1:10" s="8" customFormat="1" x14ac:dyDescent="0.2">
      <c r="A178" s="200" t="s">
        <v>1658</v>
      </c>
      <c r="B178" s="200">
        <v>16</v>
      </c>
      <c r="C178" s="200" t="s">
        <v>1689</v>
      </c>
      <c r="D178" s="200" t="s">
        <v>1690</v>
      </c>
      <c r="E178" s="5"/>
      <c r="G178" s="200">
        <v>1</v>
      </c>
      <c r="H178" s="200">
        <v>2</v>
      </c>
      <c r="I178" s="8">
        <v>3</v>
      </c>
      <c r="J178" s="8">
        <v>4</v>
      </c>
    </row>
    <row r="179" spans="1:10" s="8" customFormat="1" x14ac:dyDescent="0.2">
      <c r="A179" s="200" t="s">
        <v>1658</v>
      </c>
      <c r="B179" s="200">
        <v>17</v>
      </c>
      <c r="C179" s="200" t="s">
        <v>1691</v>
      </c>
      <c r="D179" s="200" t="s">
        <v>1692</v>
      </c>
      <c r="E179" s="5"/>
      <c r="G179" s="200">
        <v>1</v>
      </c>
      <c r="H179" s="200">
        <v>2</v>
      </c>
      <c r="I179" s="8">
        <v>3</v>
      </c>
      <c r="J179" s="8">
        <v>4</v>
      </c>
    </row>
    <row r="180" spans="1:10" s="8" customFormat="1" x14ac:dyDescent="0.2">
      <c r="A180" s="200" t="s">
        <v>1658</v>
      </c>
      <c r="B180" s="200">
        <v>18</v>
      </c>
      <c r="C180" s="200" t="s">
        <v>1693</v>
      </c>
      <c r="D180" s="200" t="s">
        <v>1694</v>
      </c>
      <c r="E180" s="5"/>
      <c r="G180" s="200">
        <v>1</v>
      </c>
      <c r="H180" s="200">
        <v>2</v>
      </c>
      <c r="I180" s="8">
        <v>3</v>
      </c>
      <c r="J180" s="8">
        <v>4</v>
      </c>
    </row>
    <row r="181" spans="1:10" s="8" customFormat="1" x14ac:dyDescent="0.2">
      <c r="A181" s="200" t="s">
        <v>1658</v>
      </c>
      <c r="B181" s="200">
        <v>19</v>
      </c>
      <c r="C181" s="200" t="s">
        <v>1695</v>
      </c>
      <c r="D181" s="200" t="s">
        <v>1696</v>
      </c>
      <c r="E181" s="5"/>
      <c r="G181" s="200">
        <v>1</v>
      </c>
      <c r="H181" s="200">
        <v>2</v>
      </c>
      <c r="I181" s="8">
        <v>3</v>
      </c>
      <c r="J181" s="8">
        <v>4</v>
      </c>
    </row>
    <row r="182" spans="1:10" s="8" customFormat="1" x14ac:dyDescent="0.2">
      <c r="A182" s="200" t="s">
        <v>1658</v>
      </c>
      <c r="B182" s="200" t="s">
        <v>1491</v>
      </c>
      <c r="C182" s="200" t="s">
        <v>1492</v>
      </c>
      <c r="D182" s="200" t="s">
        <v>1493</v>
      </c>
      <c r="E182" s="5"/>
      <c r="G182" s="200">
        <v>1</v>
      </c>
      <c r="H182" s="200">
        <v>2</v>
      </c>
      <c r="I182" s="8">
        <v>3</v>
      </c>
      <c r="J182" s="8">
        <v>4</v>
      </c>
    </row>
    <row r="183" spans="1:10" s="8" customFormat="1" x14ac:dyDescent="0.2">
      <c r="E183" s="5"/>
    </row>
    <row r="184" spans="1:10" s="8" customFormat="1" x14ac:dyDescent="0.2">
      <c r="A184" s="200" t="s">
        <v>1697</v>
      </c>
      <c r="B184" s="200">
        <v>1</v>
      </c>
      <c r="C184" s="200" t="s">
        <v>1505</v>
      </c>
      <c r="D184" s="200" t="s">
        <v>1506</v>
      </c>
      <c r="E184" s="5"/>
    </row>
    <row r="185" spans="1:10" s="8" customFormat="1" x14ac:dyDescent="0.2">
      <c r="A185" s="200" t="s">
        <v>1697</v>
      </c>
      <c r="B185" s="200">
        <v>2</v>
      </c>
      <c r="C185" s="200" t="s">
        <v>1507</v>
      </c>
      <c r="D185" s="200" t="s">
        <v>1508</v>
      </c>
      <c r="E185" s="5"/>
    </row>
    <row r="186" spans="1:10" s="8" customFormat="1" x14ac:dyDescent="0.2">
      <c r="A186" s="200" t="s">
        <v>1697</v>
      </c>
      <c r="B186" s="200">
        <v>3</v>
      </c>
      <c r="C186" s="200" t="s">
        <v>1698</v>
      </c>
      <c r="D186" s="200" t="s">
        <v>1699</v>
      </c>
      <c r="E186" s="5"/>
    </row>
    <row r="187" spans="1:10" s="8" customFormat="1" x14ac:dyDescent="0.2">
      <c r="A187" s="200" t="s">
        <v>1697</v>
      </c>
      <c r="B187" s="200" t="s">
        <v>1488</v>
      </c>
      <c r="C187" s="200" t="s">
        <v>1489</v>
      </c>
      <c r="D187" s="200" t="s">
        <v>1490</v>
      </c>
      <c r="E187" s="5"/>
    </row>
    <row r="188" spans="1:10" s="8" customFormat="1" x14ac:dyDescent="0.2">
      <c r="A188" s="200" t="s">
        <v>1697</v>
      </c>
      <c r="B188" s="200" t="s">
        <v>1491</v>
      </c>
      <c r="C188" s="200" t="s">
        <v>1492</v>
      </c>
      <c r="D188" s="200" t="s">
        <v>1493</v>
      </c>
      <c r="E188" s="5"/>
    </row>
    <row r="189" spans="1:10" s="8" customFormat="1" x14ac:dyDescent="0.2">
      <c r="E189" s="5"/>
    </row>
    <row r="190" spans="1:10" s="8" customFormat="1" x14ac:dyDescent="0.2">
      <c r="A190" s="200" t="s">
        <v>1700</v>
      </c>
      <c r="B190" s="200">
        <v>1</v>
      </c>
      <c r="C190" s="200" t="s">
        <v>1701</v>
      </c>
      <c r="D190" s="200" t="s">
        <v>1702</v>
      </c>
      <c r="E190" s="5"/>
    </row>
    <row r="191" spans="1:10" s="8" customFormat="1" x14ac:dyDescent="0.2">
      <c r="A191" s="200" t="s">
        <v>1700</v>
      </c>
      <c r="B191" s="200">
        <v>2</v>
      </c>
      <c r="C191" s="200" t="s">
        <v>1703</v>
      </c>
      <c r="D191" s="200" t="s">
        <v>1704</v>
      </c>
      <c r="E191" s="5"/>
    </row>
    <row r="192" spans="1:10" s="8" customFormat="1" x14ac:dyDescent="0.2">
      <c r="A192" s="200" t="s">
        <v>1700</v>
      </c>
      <c r="B192" s="200">
        <v>3</v>
      </c>
      <c r="C192" s="200" t="s">
        <v>1705</v>
      </c>
      <c r="D192" s="200" t="s">
        <v>1706</v>
      </c>
      <c r="E192" s="5"/>
    </row>
    <row r="193" spans="1:5" s="8" customFormat="1" x14ac:dyDescent="0.2">
      <c r="A193" s="200" t="s">
        <v>1700</v>
      </c>
      <c r="B193" s="200" t="s">
        <v>1488</v>
      </c>
      <c r="C193" s="200" t="s">
        <v>1489</v>
      </c>
      <c r="D193" s="200" t="s">
        <v>1490</v>
      </c>
      <c r="E193" s="5"/>
    </row>
    <row r="194" spans="1:5" s="8" customFormat="1" x14ac:dyDescent="0.2">
      <c r="A194" s="200" t="s">
        <v>1700</v>
      </c>
      <c r="B194" s="200" t="s">
        <v>1491</v>
      </c>
      <c r="C194" s="200" t="s">
        <v>1492</v>
      </c>
      <c r="D194" s="200" t="s">
        <v>1493</v>
      </c>
      <c r="E194" s="5"/>
    </row>
    <row r="195" spans="1:5" s="8" customFormat="1" x14ac:dyDescent="0.2">
      <c r="E195" s="5"/>
    </row>
    <row r="196" spans="1:5" s="8" customFormat="1" x14ac:dyDescent="0.2">
      <c r="A196" s="200" t="s">
        <v>1707</v>
      </c>
      <c r="B196" s="200">
        <v>1</v>
      </c>
      <c r="C196" s="200" t="s">
        <v>1708</v>
      </c>
      <c r="D196" s="200" t="s">
        <v>1709</v>
      </c>
      <c r="E196" s="5"/>
    </row>
    <row r="197" spans="1:5" s="8" customFormat="1" x14ac:dyDescent="0.2">
      <c r="A197" s="200" t="s">
        <v>1707</v>
      </c>
      <c r="B197" s="200">
        <v>2</v>
      </c>
      <c r="C197" s="200" t="s">
        <v>1710</v>
      </c>
      <c r="D197" s="200" t="s">
        <v>1711</v>
      </c>
      <c r="E197" s="5"/>
    </row>
    <row r="198" spans="1:5" s="8" customFormat="1" x14ac:dyDescent="0.2">
      <c r="A198" s="200" t="s">
        <v>1707</v>
      </c>
      <c r="B198" s="200">
        <v>3</v>
      </c>
      <c r="C198" s="200" t="s">
        <v>1712</v>
      </c>
      <c r="D198" s="200" t="s">
        <v>1713</v>
      </c>
      <c r="E198" s="5"/>
    </row>
    <row r="199" spans="1:5" s="8" customFormat="1" x14ac:dyDescent="0.2">
      <c r="A199" s="200" t="s">
        <v>1707</v>
      </c>
      <c r="B199" s="200">
        <v>5</v>
      </c>
      <c r="C199" s="200" t="s">
        <v>1714</v>
      </c>
      <c r="D199" s="200" t="s">
        <v>1715</v>
      </c>
      <c r="E199" s="5"/>
    </row>
    <row r="200" spans="1:5" s="8" customFormat="1" x14ac:dyDescent="0.2">
      <c r="A200" s="200" t="s">
        <v>1707</v>
      </c>
      <c r="B200" s="200">
        <v>6</v>
      </c>
      <c r="C200" s="200" t="s">
        <v>1716</v>
      </c>
      <c r="D200" s="200" t="s">
        <v>1717</v>
      </c>
      <c r="E200" s="5"/>
    </row>
    <row r="201" spans="1:5" s="8" customFormat="1" x14ac:dyDescent="0.2">
      <c r="A201" s="200" t="s">
        <v>1707</v>
      </c>
      <c r="B201" s="200">
        <v>7</v>
      </c>
      <c r="C201" s="200" t="s">
        <v>1718</v>
      </c>
      <c r="D201" s="200" t="s">
        <v>1719</v>
      </c>
      <c r="E201" s="5"/>
    </row>
    <row r="202" spans="1:5" s="8" customFormat="1" x14ac:dyDescent="0.2">
      <c r="A202" s="200" t="s">
        <v>1707</v>
      </c>
      <c r="B202" s="200" t="s">
        <v>1488</v>
      </c>
      <c r="C202" s="200" t="s">
        <v>1489</v>
      </c>
      <c r="D202" s="200" t="s">
        <v>1490</v>
      </c>
      <c r="E202" s="5"/>
    </row>
    <row r="203" spans="1:5" s="8" customFormat="1" x14ac:dyDescent="0.2">
      <c r="A203" s="200" t="s">
        <v>1707</v>
      </c>
      <c r="B203" s="200" t="s">
        <v>1491</v>
      </c>
      <c r="C203" s="200" t="s">
        <v>1492</v>
      </c>
      <c r="D203" s="200" t="s">
        <v>1493</v>
      </c>
      <c r="E203" s="5"/>
    </row>
    <row r="204" spans="1:5" s="8" customFormat="1" x14ac:dyDescent="0.2">
      <c r="E204" s="5"/>
    </row>
    <row r="205" spans="1:5" s="8" customFormat="1" x14ac:dyDescent="0.2">
      <c r="A205" s="200" t="s">
        <v>1720</v>
      </c>
      <c r="B205" s="200">
        <v>1</v>
      </c>
      <c r="C205" s="200" t="s">
        <v>1708</v>
      </c>
      <c r="D205" s="200" t="s">
        <v>1709</v>
      </c>
      <c r="E205" s="5"/>
    </row>
    <row r="206" spans="1:5" s="8" customFormat="1" x14ac:dyDescent="0.2">
      <c r="A206" s="200" t="s">
        <v>1720</v>
      </c>
      <c r="B206" s="200">
        <v>2</v>
      </c>
      <c r="C206" s="200" t="s">
        <v>1710</v>
      </c>
      <c r="D206" s="200" t="s">
        <v>1711</v>
      </c>
      <c r="E206" s="5"/>
    </row>
    <row r="207" spans="1:5" s="8" customFormat="1" x14ac:dyDescent="0.2">
      <c r="A207" s="200" t="s">
        <v>1720</v>
      </c>
      <c r="B207" s="200">
        <v>3</v>
      </c>
      <c r="C207" s="200" t="s">
        <v>1712</v>
      </c>
      <c r="D207" s="200" t="s">
        <v>1713</v>
      </c>
      <c r="E207" s="5"/>
    </row>
    <row r="208" spans="1:5" s="8" customFormat="1" x14ac:dyDescent="0.2">
      <c r="A208" s="200" t="s">
        <v>1720</v>
      </c>
      <c r="B208" s="200">
        <v>4</v>
      </c>
      <c r="C208" s="200" t="s">
        <v>1721</v>
      </c>
      <c r="D208" s="200" t="s">
        <v>1722</v>
      </c>
      <c r="E208" s="5"/>
    </row>
    <row r="209" spans="1:10" s="8" customFormat="1" x14ac:dyDescent="0.2">
      <c r="A209" s="200" t="s">
        <v>1720</v>
      </c>
      <c r="B209" s="200">
        <v>5</v>
      </c>
      <c r="C209" s="200" t="s">
        <v>1714</v>
      </c>
      <c r="D209" s="200" t="s">
        <v>1715</v>
      </c>
      <c r="E209" s="5"/>
    </row>
    <row r="210" spans="1:10" s="8" customFormat="1" x14ac:dyDescent="0.2">
      <c r="A210" s="200" t="s">
        <v>1720</v>
      </c>
      <c r="B210" s="200">
        <v>6</v>
      </c>
      <c r="C210" s="200" t="s">
        <v>1716</v>
      </c>
      <c r="D210" s="200" t="s">
        <v>1717</v>
      </c>
      <c r="E210" s="5"/>
    </row>
    <row r="211" spans="1:10" s="8" customFormat="1" x14ac:dyDescent="0.2">
      <c r="A211" s="200" t="s">
        <v>1720</v>
      </c>
      <c r="B211" s="200">
        <v>7</v>
      </c>
      <c r="C211" s="200" t="s">
        <v>1718</v>
      </c>
      <c r="D211" s="200" t="s">
        <v>1719</v>
      </c>
      <c r="E211" s="5"/>
    </row>
    <row r="212" spans="1:10" s="8" customFormat="1" x14ac:dyDescent="0.2">
      <c r="A212" s="200" t="s">
        <v>1720</v>
      </c>
      <c r="B212" s="200">
        <v>8</v>
      </c>
      <c r="C212" s="200" t="s">
        <v>1723</v>
      </c>
      <c r="D212" s="200" t="s">
        <v>1490</v>
      </c>
      <c r="E212" s="5"/>
    </row>
    <row r="213" spans="1:10" s="8" customFormat="1" x14ac:dyDescent="0.2">
      <c r="A213" s="200" t="s">
        <v>1720</v>
      </c>
      <c r="B213" s="200">
        <v>9</v>
      </c>
      <c r="C213" s="200" t="s">
        <v>1724</v>
      </c>
      <c r="D213" s="200" t="s">
        <v>1493</v>
      </c>
      <c r="E213" s="5"/>
    </row>
    <row r="214" spans="1:10" s="8" customFormat="1" x14ac:dyDescent="0.2">
      <c r="A214" s="200"/>
      <c r="B214" s="200"/>
      <c r="C214" s="200"/>
      <c r="D214" s="200"/>
      <c r="E214" s="5"/>
    </row>
    <row r="215" spans="1:10" s="8" customFormat="1" x14ac:dyDescent="0.2">
      <c r="A215" s="200" t="s">
        <v>1725</v>
      </c>
      <c r="B215" s="200">
        <v>1</v>
      </c>
      <c r="C215" s="200" t="s">
        <v>1659</v>
      </c>
      <c r="D215" s="200" t="s">
        <v>1660</v>
      </c>
      <c r="E215" s="5"/>
      <c r="G215" s="200">
        <v>1</v>
      </c>
      <c r="I215" s="8">
        <v>3</v>
      </c>
    </row>
    <row r="216" spans="1:10" s="8" customFormat="1" x14ac:dyDescent="0.2">
      <c r="A216" s="200" t="s">
        <v>1725</v>
      </c>
      <c r="B216" s="200">
        <v>2</v>
      </c>
      <c r="C216" s="200" t="s">
        <v>1661</v>
      </c>
      <c r="D216" s="200" t="s">
        <v>1662</v>
      </c>
      <c r="E216" s="5"/>
      <c r="G216" s="200">
        <v>1</v>
      </c>
      <c r="I216" s="8">
        <v>3</v>
      </c>
    </row>
    <row r="217" spans="1:10" s="8" customFormat="1" x14ac:dyDescent="0.2">
      <c r="A217" s="200" t="s">
        <v>1725</v>
      </c>
      <c r="B217" s="200">
        <v>3</v>
      </c>
      <c r="C217" s="200" t="s">
        <v>1663</v>
      </c>
      <c r="D217" s="200" t="s">
        <v>1664</v>
      </c>
      <c r="E217" s="5"/>
      <c r="G217" s="200">
        <v>1</v>
      </c>
      <c r="I217" s="8">
        <v>3</v>
      </c>
    </row>
    <row r="218" spans="1:10" s="8" customFormat="1" x14ac:dyDescent="0.2">
      <c r="A218" s="200" t="s">
        <v>1725</v>
      </c>
      <c r="B218" s="200">
        <v>4</v>
      </c>
      <c r="C218" s="200" t="s">
        <v>1665</v>
      </c>
      <c r="D218" s="200" t="s">
        <v>1666</v>
      </c>
      <c r="E218" s="5"/>
      <c r="H218" s="200">
        <v>2</v>
      </c>
      <c r="I218" s="8">
        <v>3</v>
      </c>
    </row>
    <row r="219" spans="1:10" s="8" customFormat="1" x14ac:dyDescent="0.2">
      <c r="A219" s="200" t="s">
        <v>1725</v>
      </c>
      <c r="B219" s="200">
        <v>5</v>
      </c>
      <c r="C219" s="200" t="s">
        <v>1667</v>
      </c>
      <c r="D219" s="200" t="s">
        <v>1668</v>
      </c>
      <c r="E219" s="5"/>
      <c r="G219" s="200">
        <v>1</v>
      </c>
      <c r="H219" s="200">
        <v>2</v>
      </c>
      <c r="I219" s="8">
        <v>3</v>
      </c>
      <c r="J219" s="8">
        <v>4</v>
      </c>
    </row>
    <row r="220" spans="1:10" s="8" customFormat="1" x14ac:dyDescent="0.2">
      <c r="A220" s="200" t="s">
        <v>1725</v>
      </c>
      <c r="B220" s="200">
        <v>6</v>
      </c>
      <c r="C220" s="200" t="s">
        <v>1669</v>
      </c>
      <c r="D220" s="200" t="s">
        <v>1670</v>
      </c>
      <c r="E220" s="5"/>
      <c r="G220" s="200">
        <v>1</v>
      </c>
      <c r="H220" s="200">
        <v>2</v>
      </c>
      <c r="I220" s="8">
        <v>3</v>
      </c>
      <c r="J220" s="8">
        <v>4</v>
      </c>
    </row>
    <row r="221" spans="1:10" s="8" customFormat="1" x14ac:dyDescent="0.2">
      <c r="A221" s="200" t="s">
        <v>1725</v>
      </c>
      <c r="B221" s="200">
        <v>7</v>
      </c>
      <c r="C221" s="200" t="s">
        <v>1671</v>
      </c>
      <c r="D221" s="200" t="s">
        <v>1672</v>
      </c>
      <c r="E221" s="5"/>
      <c r="G221" s="200">
        <v>1</v>
      </c>
      <c r="H221" s="200">
        <v>2</v>
      </c>
      <c r="I221" s="8">
        <v>3</v>
      </c>
      <c r="J221" s="8">
        <v>4</v>
      </c>
    </row>
    <row r="222" spans="1:10" s="8" customFormat="1" x14ac:dyDescent="0.2">
      <c r="A222" s="200" t="s">
        <v>1725</v>
      </c>
      <c r="B222" s="200">
        <v>8</v>
      </c>
      <c r="C222" s="200" t="s">
        <v>1673</v>
      </c>
      <c r="D222" s="200" t="s">
        <v>1674</v>
      </c>
      <c r="E222" s="5"/>
      <c r="G222" s="200">
        <v>1</v>
      </c>
      <c r="H222" s="200">
        <v>2</v>
      </c>
      <c r="I222" s="8">
        <v>3</v>
      </c>
      <c r="J222" s="8">
        <v>4</v>
      </c>
    </row>
    <row r="223" spans="1:10" s="8" customFormat="1" x14ac:dyDescent="0.2">
      <c r="A223" s="200" t="s">
        <v>1725</v>
      </c>
      <c r="B223" s="200">
        <v>9</v>
      </c>
      <c r="C223" s="200" t="s">
        <v>1675</v>
      </c>
      <c r="D223" s="200" t="s">
        <v>1676</v>
      </c>
      <c r="E223" s="5"/>
      <c r="G223" s="200">
        <v>1</v>
      </c>
      <c r="H223" s="200">
        <v>2</v>
      </c>
      <c r="I223" s="8">
        <v>3</v>
      </c>
      <c r="J223" s="8">
        <v>4</v>
      </c>
    </row>
    <row r="224" spans="1:10" s="8" customFormat="1" x14ac:dyDescent="0.2">
      <c r="A224" s="200" t="s">
        <v>1725</v>
      </c>
      <c r="B224" s="200">
        <v>10</v>
      </c>
      <c r="C224" s="200" t="s">
        <v>1677</v>
      </c>
      <c r="D224" s="200" t="s">
        <v>1678</v>
      </c>
      <c r="E224" s="5"/>
      <c r="G224" s="200">
        <v>1</v>
      </c>
      <c r="H224" s="200">
        <v>2</v>
      </c>
      <c r="I224" s="8">
        <v>3</v>
      </c>
      <c r="J224" s="8">
        <v>4</v>
      </c>
    </row>
    <row r="225" spans="1:10" s="8" customFormat="1" x14ac:dyDescent="0.2">
      <c r="A225" s="200" t="s">
        <v>1725</v>
      </c>
      <c r="B225" s="200">
        <v>11</v>
      </c>
      <c r="C225" s="200" t="s">
        <v>1679</v>
      </c>
      <c r="D225" s="200" t="s">
        <v>1680</v>
      </c>
      <c r="E225" s="5"/>
      <c r="G225" s="200">
        <v>1</v>
      </c>
      <c r="H225" s="200">
        <v>2</v>
      </c>
      <c r="I225" s="8">
        <v>3</v>
      </c>
      <c r="J225" s="8">
        <v>4</v>
      </c>
    </row>
    <row r="226" spans="1:10" s="8" customFormat="1" x14ac:dyDescent="0.2">
      <c r="A226" s="200" t="s">
        <v>1725</v>
      </c>
      <c r="B226" s="200">
        <v>12</v>
      </c>
      <c r="C226" s="200" t="s">
        <v>1681</v>
      </c>
      <c r="D226" s="200" t="s">
        <v>1682</v>
      </c>
      <c r="E226" s="5"/>
      <c r="G226" s="200">
        <v>1</v>
      </c>
      <c r="H226" s="200">
        <v>2</v>
      </c>
      <c r="I226" s="8">
        <v>3</v>
      </c>
      <c r="J226" s="8">
        <v>4</v>
      </c>
    </row>
    <row r="227" spans="1:10" s="8" customFormat="1" x14ac:dyDescent="0.2">
      <c r="A227" s="200" t="s">
        <v>1725</v>
      </c>
      <c r="B227" s="200">
        <v>13</v>
      </c>
      <c r="C227" s="200" t="s">
        <v>1683</v>
      </c>
      <c r="D227" s="200" t="s">
        <v>1684</v>
      </c>
      <c r="E227" s="5"/>
      <c r="G227" s="200">
        <v>1</v>
      </c>
      <c r="H227" s="200">
        <v>2</v>
      </c>
      <c r="I227" s="8">
        <v>3</v>
      </c>
      <c r="J227" s="8">
        <v>4</v>
      </c>
    </row>
    <row r="228" spans="1:10" s="8" customFormat="1" x14ac:dyDescent="0.2">
      <c r="A228" s="200" t="s">
        <v>1725</v>
      </c>
      <c r="B228" s="200">
        <v>14</v>
      </c>
      <c r="C228" s="200" t="s">
        <v>1685</v>
      </c>
      <c r="D228" s="200" t="s">
        <v>1686</v>
      </c>
      <c r="E228" s="5"/>
      <c r="G228" s="200">
        <v>1</v>
      </c>
      <c r="H228" s="200">
        <v>2</v>
      </c>
      <c r="I228" s="8">
        <v>3</v>
      </c>
      <c r="J228" s="8">
        <v>4</v>
      </c>
    </row>
    <row r="229" spans="1:10" s="8" customFormat="1" x14ac:dyDescent="0.2">
      <c r="A229" s="200" t="s">
        <v>1725</v>
      </c>
      <c r="B229" s="200">
        <v>15</v>
      </c>
      <c r="C229" s="200" t="s">
        <v>1687</v>
      </c>
      <c r="D229" s="200" t="s">
        <v>1688</v>
      </c>
      <c r="E229" s="5"/>
      <c r="G229" s="200">
        <v>1</v>
      </c>
      <c r="H229" s="200">
        <v>2</v>
      </c>
      <c r="I229" s="8">
        <v>3</v>
      </c>
      <c r="J229" s="8">
        <v>4</v>
      </c>
    </row>
    <row r="230" spans="1:10" s="8" customFormat="1" x14ac:dyDescent="0.2">
      <c r="A230" s="200" t="s">
        <v>1725</v>
      </c>
      <c r="B230" s="200">
        <v>16</v>
      </c>
      <c r="C230" s="200" t="s">
        <v>1689</v>
      </c>
      <c r="D230" s="200" t="s">
        <v>1690</v>
      </c>
      <c r="E230" s="5"/>
      <c r="G230" s="200">
        <v>1</v>
      </c>
      <c r="H230" s="200">
        <v>2</v>
      </c>
      <c r="I230" s="8">
        <v>3</v>
      </c>
      <c r="J230" s="8">
        <v>4</v>
      </c>
    </row>
    <row r="231" spans="1:10" s="8" customFormat="1" x14ac:dyDescent="0.2">
      <c r="A231" s="200" t="s">
        <v>1725</v>
      </c>
      <c r="B231" s="200">
        <v>17</v>
      </c>
      <c r="C231" s="200" t="s">
        <v>1691</v>
      </c>
      <c r="D231" s="200" t="s">
        <v>1692</v>
      </c>
      <c r="E231" s="5"/>
      <c r="G231" s="200">
        <v>1</v>
      </c>
      <c r="H231" s="200">
        <v>2</v>
      </c>
      <c r="I231" s="8">
        <v>3</v>
      </c>
      <c r="J231" s="8">
        <v>4</v>
      </c>
    </row>
    <row r="232" spans="1:10" s="8" customFormat="1" x14ac:dyDescent="0.2">
      <c r="A232" s="200" t="s">
        <v>1725</v>
      </c>
      <c r="B232" s="200">
        <v>18</v>
      </c>
      <c r="C232" s="200" t="s">
        <v>1726</v>
      </c>
      <c r="D232" s="200" t="s">
        <v>1694</v>
      </c>
      <c r="E232" s="5"/>
      <c r="G232" s="200">
        <v>1</v>
      </c>
      <c r="H232" s="200">
        <v>2</v>
      </c>
      <c r="I232" s="8">
        <v>3</v>
      </c>
      <c r="J232" s="8">
        <v>4</v>
      </c>
    </row>
    <row r="233" spans="1:10" s="8" customFormat="1" x14ac:dyDescent="0.2">
      <c r="A233" s="200" t="s">
        <v>1725</v>
      </c>
      <c r="B233" s="200">
        <v>19</v>
      </c>
      <c r="C233" s="200" t="s">
        <v>1727</v>
      </c>
      <c r="D233" s="200" t="s">
        <v>1728</v>
      </c>
      <c r="E233" s="5"/>
      <c r="G233" s="200">
        <v>1</v>
      </c>
      <c r="H233" s="200">
        <v>2</v>
      </c>
      <c r="I233" s="8">
        <v>3</v>
      </c>
      <c r="J233" s="8">
        <v>4</v>
      </c>
    </row>
    <row r="234" spans="1:10" s="8" customFormat="1" x14ac:dyDescent="0.2">
      <c r="A234" s="200" t="s">
        <v>1725</v>
      </c>
      <c r="B234" s="200" t="s">
        <v>1488</v>
      </c>
      <c r="C234" s="200" t="s">
        <v>1489</v>
      </c>
      <c r="D234" s="200" t="s">
        <v>1490</v>
      </c>
      <c r="E234" s="5"/>
      <c r="G234" s="200">
        <v>1</v>
      </c>
      <c r="H234" s="200">
        <v>2</v>
      </c>
      <c r="I234" s="8">
        <v>3</v>
      </c>
      <c r="J234" s="8">
        <v>4</v>
      </c>
    </row>
    <row r="235" spans="1:10" s="8" customFormat="1" x14ac:dyDescent="0.2">
      <c r="A235" s="200" t="s">
        <v>1725</v>
      </c>
      <c r="B235" s="200" t="s">
        <v>1491</v>
      </c>
      <c r="C235" s="200" t="s">
        <v>1492</v>
      </c>
      <c r="D235" s="200" t="s">
        <v>1493</v>
      </c>
      <c r="E235" s="5"/>
      <c r="G235" s="200">
        <v>1</v>
      </c>
      <c r="H235" s="200">
        <v>2</v>
      </c>
      <c r="I235" s="8">
        <v>3</v>
      </c>
      <c r="J235" s="8">
        <v>4</v>
      </c>
    </row>
    <row r="236" spans="1:10" s="8" customFormat="1" x14ac:dyDescent="0.2">
      <c r="E236" s="5"/>
    </row>
    <row r="237" spans="1:10" s="8" customFormat="1" x14ac:dyDescent="0.2">
      <c r="A237" s="200" t="s">
        <v>1729</v>
      </c>
      <c r="B237" s="200">
        <v>1</v>
      </c>
      <c r="C237" s="200" t="s">
        <v>1659</v>
      </c>
      <c r="D237" s="200" t="s">
        <v>1660</v>
      </c>
      <c r="E237" s="5"/>
      <c r="G237" s="200">
        <v>1</v>
      </c>
      <c r="I237" s="8">
        <v>3</v>
      </c>
    </row>
    <row r="238" spans="1:10" s="8" customFormat="1" x14ac:dyDescent="0.2">
      <c r="A238" s="200" t="s">
        <v>1729</v>
      </c>
      <c r="B238" s="200">
        <v>2</v>
      </c>
      <c r="C238" s="200" t="s">
        <v>1661</v>
      </c>
      <c r="D238" s="200" t="s">
        <v>1662</v>
      </c>
      <c r="E238" s="5"/>
      <c r="G238" s="200">
        <v>1</v>
      </c>
      <c r="I238" s="8">
        <v>3</v>
      </c>
    </row>
    <row r="239" spans="1:10" s="8" customFormat="1" x14ac:dyDescent="0.2">
      <c r="A239" s="200" t="s">
        <v>1729</v>
      </c>
      <c r="B239" s="200">
        <v>3</v>
      </c>
      <c r="C239" s="200" t="s">
        <v>1663</v>
      </c>
      <c r="D239" s="200" t="s">
        <v>1664</v>
      </c>
      <c r="E239" s="5"/>
      <c r="G239" s="200">
        <v>1</v>
      </c>
      <c r="I239" s="8">
        <v>3</v>
      </c>
    </row>
    <row r="240" spans="1:10" s="8" customFormat="1" x14ac:dyDescent="0.2">
      <c r="A240" s="200" t="s">
        <v>1729</v>
      </c>
      <c r="B240" s="200">
        <v>4</v>
      </c>
      <c r="C240" s="200" t="s">
        <v>1665</v>
      </c>
      <c r="D240" s="200" t="s">
        <v>1666</v>
      </c>
      <c r="E240" s="5"/>
      <c r="H240" s="200">
        <v>2</v>
      </c>
      <c r="I240" s="8">
        <v>3</v>
      </c>
    </row>
    <row r="241" spans="1:10" s="8" customFormat="1" x14ac:dyDescent="0.2">
      <c r="A241" s="200" t="s">
        <v>1729</v>
      </c>
      <c r="B241" s="200">
        <v>5</v>
      </c>
      <c r="C241" s="200" t="s">
        <v>1667</v>
      </c>
      <c r="D241" s="200" t="s">
        <v>1668</v>
      </c>
      <c r="E241" s="5"/>
      <c r="G241" s="200">
        <v>1</v>
      </c>
      <c r="H241" s="200">
        <v>2</v>
      </c>
      <c r="I241" s="8">
        <v>3</v>
      </c>
      <c r="J241" s="8">
        <v>4</v>
      </c>
    </row>
    <row r="242" spans="1:10" s="8" customFormat="1" x14ac:dyDescent="0.2">
      <c r="A242" s="200" t="s">
        <v>1729</v>
      </c>
      <c r="B242" s="200">
        <v>6</v>
      </c>
      <c r="C242" s="200" t="s">
        <v>1669</v>
      </c>
      <c r="D242" s="200" t="s">
        <v>1670</v>
      </c>
      <c r="E242" s="5"/>
      <c r="G242" s="200">
        <v>1</v>
      </c>
      <c r="H242" s="200">
        <v>2</v>
      </c>
      <c r="I242" s="8">
        <v>3</v>
      </c>
      <c r="J242" s="8">
        <v>4</v>
      </c>
    </row>
    <row r="243" spans="1:10" s="8" customFormat="1" x14ac:dyDescent="0.2">
      <c r="A243" s="200" t="s">
        <v>1729</v>
      </c>
      <c r="B243" s="200">
        <v>7</v>
      </c>
      <c r="C243" s="200" t="s">
        <v>1671</v>
      </c>
      <c r="D243" s="200" t="s">
        <v>1672</v>
      </c>
      <c r="E243" s="5"/>
      <c r="G243" s="200">
        <v>1</v>
      </c>
      <c r="H243" s="200">
        <v>2</v>
      </c>
      <c r="I243" s="8">
        <v>3</v>
      </c>
      <c r="J243" s="8">
        <v>4</v>
      </c>
    </row>
    <row r="244" spans="1:10" s="8" customFormat="1" x14ac:dyDescent="0.2">
      <c r="A244" s="200" t="s">
        <v>1729</v>
      </c>
      <c r="B244" s="200">
        <v>8</v>
      </c>
      <c r="C244" s="200" t="s">
        <v>1673</v>
      </c>
      <c r="D244" s="200" t="s">
        <v>1674</v>
      </c>
      <c r="E244" s="5"/>
      <c r="G244" s="200">
        <v>1</v>
      </c>
      <c r="H244" s="200">
        <v>2</v>
      </c>
      <c r="I244" s="8">
        <v>3</v>
      </c>
      <c r="J244" s="8">
        <v>4</v>
      </c>
    </row>
    <row r="245" spans="1:10" s="8" customFormat="1" x14ac:dyDescent="0.2">
      <c r="A245" s="200" t="s">
        <v>1729</v>
      </c>
      <c r="B245" s="200">
        <v>9</v>
      </c>
      <c r="C245" s="200" t="s">
        <v>1675</v>
      </c>
      <c r="D245" s="200" t="s">
        <v>1676</v>
      </c>
      <c r="E245" s="5"/>
      <c r="G245" s="200">
        <v>1</v>
      </c>
      <c r="H245" s="200">
        <v>2</v>
      </c>
      <c r="I245" s="8">
        <v>3</v>
      </c>
      <c r="J245" s="8">
        <v>4</v>
      </c>
    </row>
    <row r="246" spans="1:10" s="8" customFormat="1" x14ac:dyDescent="0.2">
      <c r="A246" s="200" t="s">
        <v>1729</v>
      </c>
      <c r="B246" s="200">
        <v>10</v>
      </c>
      <c r="C246" s="200" t="s">
        <v>1677</v>
      </c>
      <c r="D246" s="200" t="s">
        <v>1678</v>
      </c>
      <c r="E246" s="5"/>
      <c r="G246" s="200">
        <v>1</v>
      </c>
      <c r="H246" s="200">
        <v>2</v>
      </c>
      <c r="I246" s="8">
        <v>3</v>
      </c>
      <c r="J246" s="8">
        <v>4</v>
      </c>
    </row>
    <row r="247" spans="1:10" s="8" customFormat="1" x14ac:dyDescent="0.2">
      <c r="A247" s="200" t="s">
        <v>1729</v>
      </c>
      <c r="B247" s="200">
        <v>11</v>
      </c>
      <c r="C247" s="200" t="s">
        <v>1679</v>
      </c>
      <c r="D247" s="200" t="s">
        <v>1680</v>
      </c>
      <c r="E247" s="5"/>
      <c r="G247" s="200">
        <v>1</v>
      </c>
      <c r="H247" s="200">
        <v>2</v>
      </c>
      <c r="I247" s="8">
        <v>3</v>
      </c>
      <c r="J247" s="8">
        <v>4</v>
      </c>
    </row>
    <row r="248" spans="1:10" s="8" customFormat="1" x14ac:dyDescent="0.2">
      <c r="A248" s="200" t="s">
        <v>1729</v>
      </c>
      <c r="B248" s="200">
        <v>12</v>
      </c>
      <c r="C248" s="200" t="s">
        <v>1681</v>
      </c>
      <c r="D248" s="200" t="s">
        <v>1682</v>
      </c>
      <c r="E248" s="5"/>
      <c r="G248" s="200">
        <v>1</v>
      </c>
      <c r="H248" s="200">
        <v>2</v>
      </c>
      <c r="I248" s="8">
        <v>3</v>
      </c>
      <c r="J248" s="8">
        <v>4</v>
      </c>
    </row>
    <row r="249" spans="1:10" s="8" customFormat="1" x14ac:dyDescent="0.2">
      <c r="A249" s="200" t="s">
        <v>1729</v>
      </c>
      <c r="B249" s="200">
        <v>13</v>
      </c>
      <c r="C249" s="200" t="s">
        <v>1683</v>
      </c>
      <c r="D249" s="200" t="s">
        <v>1684</v>
      </c>
      <c r="E249" s="5"/>
      <c r="G249" s="200">
        <v>1</v>
      </c>
      <c r="H249" s="200">
        <v>2</v>
      </c>
      <c r="I249" s="8">
        <v>3</v>
      </c>
      <c r="J249" s="8">
        <v>4</v>
      </c>
    </row>
    <row r="250" spans="1:10" s="8" customFormat="1" x14ac:dyDescent="0.2">
      <c r="A250" s="200" t="s">
        <v>1729</v>
      </c>
      <c r="B250" s="200">
        <v>14</v>
      </c>
      <c r="C250" s="200" t="s">
        <v>1685</v>
      </c>
      <c r="D250" s="200" t="s">
        <v>1686</v>
      </c>
      <c r="E250" s="5"/>
      <c r="G250" s="200">
        <v>1</v>
      </c>
      <c r="H250" s="200">
        <v>2</v>
      </c>
      <c r="I250" s="8">
        <v>3</v>
      </c>
      <c r="J250" s="8">
        <v>4</v>
      </c>
    </row>
    <row r="251" spans="1:10" s="8" customFormat="1" x14ac:dyDescent="0.2">
      <c r="A251" s="200" t="s">
        <v>1729</v>
      </c>
      <c r="B251" s="200">
        <v>15</v>
      </c>
      <c r="C251" s="200" t="s">
        <v>1687</v>
      </c>
      <c r="D251" s="200" t="s">
        <v>1688</v>
      </c>
      <c r="E251" s="5"/>
      <c r="G251" s="200">
        <v>1</v>
      </c>
      <c r="H251" s="200">
        <v>2</v>
      </c>
      <c r="I251" s="8">
        <v>3</v>
      </c>
      <c r="J251" s="8">
        <v>4</v>
      </c>
    </row>
    <row r="252" spans="1:10" s="8" customFormat="1" x14ac:dyDescent="0.2">
      <c r="A252" s="200" t="s">
        <v>1729</v>
      </c>
      <c r="B252" s="200">
        <v>16</v>
      </c>
      <c r="C252" s="200" t="s">
        <v>1689</v>
      </c>
      <c r="D252" s="200" t="s">
        <v>1690</v>
      </c>
      <c r="E252" s="5"/>
      <c r="G252" s="200">
        <v>1</v>
      </c>
      <c r="H252" s="200">
        <v>2</v>
      </c>
      <c r="I252" s="8">
        <v>3</v>
      </c>
      <c r="J252" s="8">
        <v>4</v>
      </c>
    </row>
    <row r="253" spans="1:10" s="8" customFormat="1" x14ac:dyDescent="0.2">
      <c r="A253" s="200" t="s">
        <v>1729</v>
      </c>
      <c r="B253" s="200">
        <v>17</v>
      </c>
      <c r="C253" s="200" t="s">
        <v>1691</v>
      </c>
      <c r="D253" s="200" t="s">
        <v>1692</v>
      </c>
      <c r="E253" s="5"/>
      <c r="G253" s="200">
        <v>1</v>
      </c>
      <c r="H253" s="200">
        <v>2</v>
      </c>
      <c r="I253" s="8">
        <v>3</v>
      </c>
      <c r="J253" s="8">
        <v>4</v>
      </c>
    </row>
    <row r="254" spans="1:10" s="8" customFormat="1" x14ac:dyDescent="0.2">
      <c r="A254" s="200" t="s">
        <v>1729</v>
      </c>
      <c r="B254" s="200">
        <v>18</v>
      </c>
      <c r="C254" s="200" t="s">
        <v>1730</v>
      </c>
      <c r="D254" s="200" t="s">
        <v>1694</v>
      </c>
      <c r="E254" s="5"/>
      <c r="G254" s="200">
        <v>1</v>
      </c>
      <c r="H254" s="200">
        <v>2</v>
      </c>
      <c r="I254" s="8">
        <v>3</v>
      </c>
      <c r="J254" s="8">
        <v>4</v>
      </c>
    </row>
    <row r="255" spans="1:10" s="8" customFormat="1" x14ac:dyDescent="0.2">
      <c r="A255" s="200" t="s">
        <v>1729</v>
      </c>
      <c r="B255" s="200">
        <v>19</v>
      </c>
      <c r="C255" s="200" t="s">
        <v>1731</v>
      </c>
      <c r="D255" s="200" t="s">
        <v>1732</v>
      </c>
      <c r="E255" s="5"/>
      <c r="G255" s="200">
        <v>1</v>
      </c>
      <c r="H255" s="200">
        <v>2</v>
      </c>
      <c r="I255" s="8">
        <v>3</v>
      </c>
      <c r="J255" s="8">
        <v>4</v>
      </c>
    </row>
    <row r="256" spans="1:10" s="8" customFormat="1" x14ac:dyDescent="0.2">
      <c r="A256" s="200" t="s">
        <v>1729</v>
      </c>
      <c r="B256" s="200" t="s">
        <v>1488</v>
      </c>
      <c r="C256" s="200" t="s">
        <v>1489</v>
      </c>
      <c r="D256" s="200" t="s">
        <v>1490</v>
      </c>
      <c r="E256" s="5"/>
      <c r="G256" s="200">
        <v>1</v>
      </c>
      <c r="H256" s="200">
        <v>2</v>
      </c>
      <c r="I256" s="8">
        <v>3</v>
      </c>
      <c r="J256" s="8">
        <v>4</v>
      </c>
    </row>
    <row r="257" spans="1:10" s="8" customFormat="1" x14ac:dyDescent="0.2">
      <c r="A257" s="200" t="s">
        <v>1729</v>
      </c>
      <c r="B257" s="200" t="s">
        <v>1491</v>
      </c>
      <c r="C257" s="200" t="s">
        <v>1492</v>
      </c>
      <c r="D257" s="200" t="s">
        <v>1493</v>
      </c>
      <c r="E257" s="5"/>
      <c r="G257" s="200">
        <v>1</v>
      </c>
      <c r="H257" s="200">
        <v>2</v>
      </c>
      <c r="I257" s="8">
        <v>3</v>
      </c>
      <c r="J257" s="8">
        <v>4</v>
      </c>
    </row>
    <row r="258" spans="1:10" s="8" customFormat="1" x14ac:dyDescent="0.2">
      <c r="E258" s="5"/>
    </row>
    <row r="259" spans="1:10" s="8" customFormat="1" x14ac:dyDescent="0.2">
      <c r="A259" s="200" t="s">
        <v>373</v>
      </c>
      <c r="B259" s="200" t="s">
        <v>1733</v>
      </c>
      <c r="C259" s="200" t="s">
        <v>1734</v>
      </c>
      <c r="D259" s="200" t="s">
        <v>1735</v>
      </c>
      <c r="E259" s="5"/>
    </row>
    <row r="260" spans="1:10" s="8" customFormat="1" x14ac:dyDescent="0.2">
      <c r="A260" s="200" t="s">
        <v>373</v>
      </c>
      <c r="B260" s="200" t="s">
        <v>1736</v>
      </c>
      <c r="C260" s="200" t="s">
        <v>1737</v>
      </c>
      <c r="D260" s="200" t="s">
        <v>1738</v>
      </c>
      <c r="E260" s="5"/>
    </row>
    <row r="261" spans="1:10" s="8" customFormat="1" x14ac:dyDescent="0.2">
      <c r="A261" s="200" t="s">
        <v>373</v>
      </c>
      <c r="B261" s="200" t="s">
        <v>1739</v>
      </c>
      <c r="C261" s="200" t="s">
        <v>1740</v>
      </c>
      <c r="D261" s="200" t="s">
        <v>1741</v>
      </c>
      <c r="E261" s="5"/>
    </row>
    <row r="262" spans="1:10" s="8" customFormat="1" x14ac:dyDescent="0.2">
      <c r="A262" s="200" t="s">
        <v>373</v>
      </c>
      <c r="B262" s="200" t="s">
        <v>1742</v>
      </c>
      <c r="C262" s="200" t="s">
        <v>1743</v>
      </c>
      <c r="D262" s="200" t="s">
        <v>1744</v>
      </c>
      <c r="E262" s="5"/>
    </row>
    <row r="263" spans="1:10" s="8" customFormat="1" x14ac:dyDescent="0.2">
      <c r="A263" s="200" t="s">
        <v>373</v>
      </c>
      <c r="B263" s="200" t="s">
        <v>1745</v>
      </c>
      <c r="C263" s="200" t="s">
        <v>1746</v>
      </c>
      <c r="D263" s="200" t="s">
        <v>1747</v>
      </c>
      <c r="E263" s="5"/>
    </row>
    <row r="264" spans="1:10" s="8" customFormat="1" x14ac:dyDescent="0.2">
      <c r="A264" s="200" t="s">
        <v>373</v>
      </c>
      <c r="B264" s="200" t="s">
        <v>1748</v>
      </c>
      <c r="C264" s="200" t="s">
        <v>1749</v>
      </c>
      <c r="D264" s="200" t="s">
        <v>1750</v>
      </c>
      <c r="E264" s="5"/>
    </row>
    <row r="265" spans="1:10" s="8" customFormat="1" x14ac:dyDescent="0.2">
      <c r="A265" s="200" t="s">
        <v>373</v>
      </c>
      <c r="B265" s="200" t="s">
        <v>1751</v>
      </c>
      <c r="C265" s="200" t="s">
        <v>1752</v>
      </c>
      <c r="D265" s="200" t="s">
        <v>1753</v>
      </c>
      <c r="E265" s="5"/>
    </row>
    <row r="266" spans="1:10" s="8" customFormat="1" x14ac:dyDescent="0.2">
      <c r="A266" s="200" t="s">
        <v>373</v>
      </c>
      <c r="B266" s="200" t="s">
        <v>1754</v>
      </c>
      <c r="C266" s="200" t="s">
        <v>1755</v>
      </c>
      <c r="D266" s="200" t="s">
        <v>1756</v>
      </c>
      <c r="E266" s="5"/>
    </row>
    <row r="267" spans="1:10" s="8" customFormat="1" x14ac:dyDescent="0.2">
      <c r="A267" s="200" t="s">
        <v>373</v>
      </c>
      <c r="B267" s="200" t="s">
        <v>1757</v>
      </c>
      <c r="C267" s="200" t="s">
        <v>1758</v>
      </c>
      <c r="D267" s="200" t="s">
        <v>1759</v>
      </c>
      <c r="E267" s="5"/>
    </row>
    <row r="268" spans="1:10" s="8" customFormat="1" x14ac:dyDescent="0.2">
      <c r="A268" s="200" t="s">
        <v>373</v>
      </c>
      <c r="B268" s="200" t="s">
        <v>1760</v>
      </c>
      <c r="C268" s="200" t="s">
        <v>1761</v>
      </c>
      <c r="D268" s="200" t="s">
        <v>1762</v>
      </c>
      <c r="E268" s="5"/>
    </row>
    <row r="269" spans="1:10" s="8" customFormat="1" x14ac:dyDescent="0.2">
      <c r="A269" s="200" t="s">
        <v>373</v>
      </c>
      <c r="B269" s="200" t="s">
        <v>1763</v>
      </c>
      <c r="C269" s="200" t="s">
        <v>1764</v>
      </c>
      <c r="D269" s="200" t="s">
        <v>1765</v>
      </c>
      <c r="E269" s="5"/>
    </row>
    <row r="270" spans="1:10" s="8" customFormat="1" x14ac:dyDescent="0.2">
      <c r="A270" s="200" t="s">
        <v>373</v>
      </c>
      <c r="B270" s="200" t="s">
        <v>1766</v>
      </c>
      <c r="C270" s="200" t="s">
        <v>1767</v>
      </c>
      <c r="D270" s="200" t="s">
        <v>1768</v>
      </c>
      <c r="E270" s="5"/>
    </row>
    <row r="271" spans="1:10" s="8" customFormat="1" x14ac:dyDescent="0.2">
      <c r="A271" s="200" t="s">
        <v>373</v>
      </c>
      <c r="B271" s="200" t="s">
        <v>1769</v>
      </c>
      <c r="C271" s="200" t="s">
        <v>1770</v>
      </c>
      <c r="D271" s="200" t="s">
        <v>1771</v>
      </c>
      <c r="E271" s="5"/>
    </row>
    <row r="272" spans="1:10" s="8" customFormat="1" x14ac:dyDescent="0.2">
      <c r="A272" s="200" t="s">
        <v>373</v>
      </c>
      <c r="B272" s="200" t="s">
        <v>1772</v>
      </c>
      <c r="C272" s="200" t="s">
        <v>1773</v>
      </c>
      <c r="D272" s="200" t="s">
        <v>1774</v>
      </c>
      <c r="E272" s="5"/>
    </row>
    <row r="273" spans="1:6" s="8" customFormat="1" x14ac:dyDescent="0.2">
      <c r="A273" s="200" t="s">
        <v>373</v>
      </c>
      <c r="B273" s="200" t="s">
        <v>1775</v>
      </c>
      <c r="C273" s="200" t="s">
        <v>1776</v>
      </c>
      <c r="D273" s="200" t="s">
        <v>1777</v>
      </c>
      <c r="E273" s="5"/>
    </row>
    <row r="274" spans="1:6" s="8" customFormat="1" x14ac:dyDescent="0.2">
      <c r="A274" s="200" t="s">
        <v>373</v>
      </c>
      <c r="B274" s="200" t="s">
        <v>1778</v>
      </c>
      <c r="C274" s="200" t="s">
        <v>1779</v>
      </c>
      <c r="D274" s="200" t="s">
        <v>1780</v>
      </c>
      <c r="E274" s="5"/>
    </row>
    <row r="275" spans="1:6" s="8" customFormat="1" x14ac:dyDescent="0.2">
      <c r="A275" s="200" t="s">
        <v>373</v>
      </c>
      <c r="B275" s="200" t="s">
        <v>1781</v>
      </c>
      <c r="C275" s="200" t="s">
        <v>1782</v>
      </c>
      <c r="D275" s="200" t="s">
        <v>1783</v>
      </c>
      <c r="E275" s="5"/>
    </row>
    <row r="276" spans="1:6" s="8" customFormat="1" x14ac:dyDescent="0.2">
      <c r="A276" s="200" t="s">
        <v>373</v>
      </c>
      <c r="B276" s="200" t="s">
        <v>1784</v>
      </c>
      <c r="C276" s="200" t="s">
        <v>1785</v>
      </c>
      <c r="D276" s="200" t="s">
        <v>1786</v>
      </c>
      <c r="E276" s="5"/>
    </row>
    <row r="277" spans="1:6" s="8" customFormat="1" x14ac:dyDescent="0.2">
      <c r="A277" s="200" t="s">
        <v>373</v>
      </c>
      <c r="B277" s="200" t="s">
        <v>1787</v>
      </c>
      <c r="C277" s="200" t="s">
        <v>1788</v>
      </c>
      <c r="D277" s="200" t="s">
        <v>1789</v>
      </c>
      <c r="E277" s="5"/>
    </row>
    <row r="278" spans="1:6" s="8" customFormat="1" x14ac:dyDescent="0.2">
      <c r="A278" s="200" t="s">
        <v>373</v>
      </c>
      <c r="B278" s="200" t="s">
        <v>1790</v>
      </c>
      <c r="C278" s="200" t="s">
        <v>1791</v>
      </c>
      <c r="D278" s="200" t="s">
        <v>1792</v>
      </c>
      <c r="E278" s="5"/>
    </row>
    <row r="279" spans="1:6" s="8" customFormat="1" x14ac:dyDescent="0.2">
      <c r="A279" s="200" t="s">
        <v>373</v>
      </c>
      <c r="B279" s="200" t="s">
        <v>1793</v>
      </c>
      <c r="C279" s="200" t="s">
        <v>1794</v>
      </c>
      <c r="D279" s="200" t="s">
        <v>1795</v>
      </c>
      <c r="E279" s="5"/>
    </row>
    <row r="280" spans="1:6" s="8" customFormat="1" x14ac:dyDescent="0.2">
      <c r="A280" s="200" t="s">
        <v>373</v>
      </c>
      <c r="B280" s="200" t="s">
        <v>1796</v>
      </c>
      <c r="C280" s="200" t="s">
        <v>1797</v>
      </c>
      <c r="D280" s="200" t="s">
        <v>1798</v>
      </c>
      <c r="E280" s="5"/>
    </row>
    <row r="281" spans="1:6" s="8" customFormat="1" x14ac:dyDescent="0.2">
      <c r="A281" s="200" t="s">
        <v>373</v>
      </c>
      <c r="B281" s="200" t="s">
        <v>1799</v>
      </c>
      <c r="C281" s="200" t="s">
        <v>1800</v>
      </c>
      <c r="D281" s="200" t="s">
        <v>1801</v>
      </c>
      <c r="E281" s="5"/>
    </row>
    <row r="282" spans="1:6" s="8" customFormat="1" x14ac:dyDescent="0.2">
      <c r="A282" s="200" t="s">
        <v>373</v>
      </c>
      <c r="B282" s="200" t="s">
        <v>1802</v>
      </c>
      <c r="C282" s="200" t="s">
        <v>1803</v>
      </c>
      <c r="D282" s="200" t="s">
        <v>1804</v>
      </c>
      <c r="E282" s="5"/>
    </row>
    <row r="283" spans="1:6" s="8" customFormat="1" x14ac:dyDescent="0.2">
      <c r="A283" s="200" t="s">
        <v>373</v>
      </c>
      <c r="B283" s="200" t="s">
        <v>1805</v>
      </c>
      <c r="C283" s="200" t="s">
        <v>1806</v>
      </c>
      <c r="D283" s="200" t="s">
        <v>1807</v>
      </c>
      <c r="E283" s="5"/>
    </row>
    <row r="284" spans="1:6" s="8" customFormat="1" x14ac:dyDescent="0.2">
      <c r="A284" s="200" t="s">
        <v>373</v>
      </c>
      <c r="B284" s="200" t="s">
        <v>1488</v>
      </c>
      <c r="C284" s="200" t="s">
        <v>1489</v>
      </c>
      <c r="D284" s="200" t="s">
        <v>1490</v>
      </c>
      <c r="E284" s="5"/>
    </row>
    <row r="285" spans="1:6" s="8" customFormat="1" x14ac:dyDescent="0.2">
      <c r="A285" s="200" t="s">
        <v>373</v>
      </c>
      <c r="B285" s="200" t="s">
        <v>1491</v>
      </c>
      <c r="C285" s="200" t="s">
        <v>1492</v>
      </c>
      <c r="D285" s="200" t="s">
        <v>1493</v>
      </c>
      <c r="E285" s="5"/>
    </row>
    <row r="286" spans="1:6" s="8" customFormat="1" x14ac:dyDescent="0.2">
      <c r="E286" s="5"/>
    </row>
    <row r="287" spans="1:6" s="8" customFormat="1" x14ac:dyDescent="0.2">
      <c r="A287" s="200" t="s">
        <v>1808</v>
      </c>
      <c r="B287" s="200">
        <v>1</v>
      </c>
      <c r="C287" s="8" t="s">
        <v>1809</v>
      </c>
      <c r="D287" s="8" t="s">
        <v>1810</v>
      </c>
      <c r="E287" s="5"/>
      <c r="F287" s="200">
        <v>1</v>
      </c>
    </row>
    <row r="288" spans="1:6" s="8" customFormat="1" x14ac:dyDescent="0.2">
      <c r="A288" s="200" t="s">
        <v>1808</v>
      </c>
      <c r="B288" s="200">
        <v>2</v>
      </c>
      <c r="C288" s="200" t="s">
        <v>1811</v>
      </c>
      <c r="D288" s="200" t="s">
        <v>1812</v>
      </c>
      <c r="E288" s="5"/>
      <c r="F288" s="200">
        <v>2</v>
      </c>
    </row>
    <row r="289" spans="1:6" s="8" customFormat="1" x14ac:dyDescent="0.2">
      <c r="A289" s="200" t="s">
        <v>1808</v>
      </c>
      <c r="B289" s="200">
        <v>3</v>
      </c>
      <c r="C289" s="200" t="s">
        <v>1813</v>
      </c>
      <c r="D289" s="200" t="s">
        <v>1814</v>
      </c>
      <c r="E289" s="5"/>
      <c r="F289" s="200">
        <v>3</v>
      </c>
    </row>
    <row r="290" spans="1:6" s="8" customFormat="1" x14ac:dyDescent="0.2">
      <c r="A290" s="200" t="s">
        <v>1808</v>
      </c>
      <c r="B290" s="200">
        <v>4</v>
      </c>
      <c r="C290" s="200" t="s">
        <v>1815</v>
      </c>
      <c r="D290" s="200" t="s">
        <v>1816</v>
      </c>
      <c r="E290" s="5"/>
      <c r="F290" s="200">
        <v>4</v>
      </c>
    </row>
    <row r="291" spans="1:6" s="8" customFormat="1" x14ac:dyDescent="0.2">
      <c r="A291" s="200" t="s">
        <v>1808</v>
      </c>
      <c r="B291" s="200">
        <v>5</v>
      </c>
      <c r="C291" s="200" t="s">
        <v>1817</v>
      </c>
      <c r="D291" s="200" t="s">
        <v>1818</v>
      </c>
      <c r="E291" s="5"/>
      <c r="F291" s="200">
        <v>5</v>
      </c>
    </row>
    <row r="292" spans="1:6" s="8" customFormat="1" x14ac:dyDescent="0.2">
      <c r="E292" s="5"/>
    </row>
    <row r="293" spans="1:6" s="8" customFormat="1" x14ac:dyDescent="0.2">
      <c r="A293" s="200" t="s">
        <v>1819</v>
      </c>
      <c r="B293" s="200">
        <v>1</v>
      </c>
      <c r="C293" s="200" t="s">
        <v>1820</v>
      </c>
      <c r="D293" s="200" t="s">
        <v>1821</v>
      </c>
      <c r="E293" s="5"/>
    </row>
    <row r="294" spans="1:6" s="8" customFormat="1" x14ac:dyDescent="0.2">
      <c r="A294" s="200" t="s">
        <v>1819</v>
      </c>
      <c r="B294" s="200">
        <v>2</v>
      </c>
      <c r="C294" s="200" t="s">
        <v>1822</v>
      </c>
      <c r="D294" s="200" t="s">
        <v>1823</v>
      </c>
      <c r="E294" s="5"/>
    </row>
    <row r="295" spans="1:6" s="8" customFormat="1" x14ac:dyDescent="0.2">
      <c r="E295" s="5"/>
    </row>
    <row r="296" spans="1:6" s="8" customFormat="1" x14ac:dyDescent="0.2">
      <c r="A296" s="200" t="s">
        <v>1824</v>
      </c>
      <c r="B296" s="200">
        <v>1</v>
      </c>
      <c r="C296" s="200" t="s">
        <v>1825</v>
      </c>
      <c r="D296" s="200" t="s">
        <v>1826</v>
      </c>
      <c r="E296" s="5"/>
    </row>
    <row r="297" spans="1:6" s="8" customFormat="1" x14ac:dyDescent="0.2">
      <c r="A297" s="200" t="s">
        <v>1824</v>
      </c>
      <c r="B297" s="200">
        <v>2</v>
      </c>
      <c r="C297" s="200" t="s">
        <v>1827</v>
      </c>
      <c r="D297" s="200" t="s">
        <v>1828</v>
      </c>
      <c r="E297" s="5"/>
    </row>
    <row r="298" spans="1:6" s="8" customFormat="1" x14ac:dyDescent="0.2">
      <c r="A298" s="200" t="s">
        <v>1824</v>
      </c>
      <c r="B298" s="200">
        <v>3</v>
      </c>
      <c r="C298" s="200" t="s">
        <v>1829</v>
      </c>
      <c r="D298" s="200" t="s">
        <v>1830</v>
      </c>
      <c r="E298" s="5"/>
    </row>
    <row r="299" spans="1:6" s="8" customFormat="1" x14ac:dyDescent="0.2">
      <c r="A299" s="200" t="s">
        <v>1824</v>
      </c>
      <c r="B299" s="200">
        <v>4</v>
      </c>
      <c r="C299" s="200" t="s">
        <v>1831</v>
      </c>
      <c r="D299" s="200" t="s">
        <v>1832</v>
      </c>
      <c r="E299" s="5"/>
    </row>
    <row r="300" spans="1:6" s="8" customFormat="1" x14ac:dyDescent="0.2">
      <c r="A300" s="200" t="s">
        <v>1824</v>
      </c>
      <c r="B300" s="200">
        <v>5</v>
      </c>
      <c r="C300" s="200" t="s">
        <v>1833</v>
      </c>
      <c r="D300" s="200" t="s">
        <v>1834</v>
      </c>
      <c r="E300" s="5"/>
    </row>
    <row r="301" spans="1:6" s="8" customFormat="1" x14ac:dyDescent="0.2">
      <c r="A301" s="200" t="s">
        <v>1824</v>
      </c>
      <c r="B301" s="200" t="s">
        <v>1572</v>
      </c>
      <c r="C301" s="200" t="s">
        <v>1835</v>
      </c>
      <c r="D301" s="200" t="s">
        <v>1574</v>
      </c>
      <c r="E301" s="5"/>
    </row>
    <row r="302" spans="1:6" s="8" customFormat="1" x14ac:dyDescent="0.2">
      <c r="A302" s="200" t="s">
        <v>1824</v>
      </c>
      <c r="B302" s="200" t="s">
        <v>1488</v>
      </c>
      <c r="C302" s="200" t="s">
        <v>1489</v>
      </c>
      <c r="D302" s="200" t="s">
        <v>1490</v>
      </c>
      <c r="E302" s="5"/>
    </row>
    <row r="303" spans="1:6" s="8" customFormat="1" x14ac:dyDescent="0.2">
      <c r="A303" s="200" t="s">
        <v>1824</v>
      </c>
      <c r="B303" s="200" t="s">
        <v>1491</v>
      </c>
      <c r="C303" s="200" t="s">
        <v>1492</v>
      </c>
      <c r="D303" s="200" t="s">
        <v>1493</v>
      </c>
      <c r="E303" s="5"/>
    </row>
    <row r="304" spans="1:6" s="8" customFormat="1" x14ac:dyDescent="0.2">
      <c r="E304" s="5"/>
    </row>
    <row r="305" spans="1:5" s="8" customFormat="1" x14ac:dyDescent="0.2">
      <c r="A305" s="200" t="s">
        <v>1836</v>
      </c>
      <c r="B305" s="200">
        <v>1</v>
      </c>
      <c r="C305" s="200" t="s">
        <v>1837</v>
      </c>
      <c r="D305" s="200" t="s">
        <v>1838</v>
      </c>
      <c r="E305" s="5"/>
    </row>
    <row r="306" spans="1:5" s="8" customFormat="1" x14ac:dyDescent="0.2">
      <c r="A306" s="200" t="s">
        <v>1836</v>
      </c>
      <c r="B306" s="200">
        <v>2</v>
      </c>
      <c r="C306" s="200" t="s">
        <v>1839</v>
      </c>
      <c r="D306" s="200" t="s">
        <v>1840</v>
      </c>
      <c r="E306" s="5"/>
    </row>
    <row r="307" spans="1:5" s="8" customFormat="1" x14ac:dyDescent="0.2">
      <c r="A307" s="200" t="s">
        <v>1836</v>
      </c>
      <c r="B307" s="200">
        <v>3</v>
      </c>
      <c r="C307" s="200" t="s">
        <v>1841</v>
      </c>
      <c r="D307" s="200" t="s">
        <v>1842</v>
      </c>
      <c r="E307" s="5"/>
    </row>
    <row r="308" spans="1:5" s="8" customFormat="1" x14ac:dyDescent="0.2">
      <c r="A308" s="200" t="s">
        <v>1836</v>
      </c>
      <c r="B308" s="200">
        <v>4</v>
      </c>
      <c r="C308" s="200" t="s">
        <v>1843</v>
      </c>
      <c r="D308" s="200" t="s">
        <v>1844</v>
      </c>
      <c r="E308" s="5"/>
    </row>
    <row r="309" spans="1:5" s="8" customFormat="1" x14ac:dyDescent="0.2">
      <c r="A309" s="200" t="s">
        <v>1836</v>
      </c>
      <c r="B309" s="200">
        <v>5</v>
      </c>
      <c r="C309" s="200" t="s">
        <v>1845</v>
      </c>
      <c r="D309" s="200" t="s">
        <v>1846</v>
      </c>
      <c r="E309" s="5"/>
    </row>
    <row r="310" spans="1:5" s="8" customFormat="1" x14ac:dyDescent="0.2">
      <c r="A310" s="200" t="s">
        <v>1836</v>
      </c>
      <c r="B310" s="200">
        <v>8</v>
      </c>
      <c r="C310" s="200" t="s">
        <v>1847</v>
      </c>
      <c r="D310" s="200" t="s">
        <v>1848</v>
      </c>
      <c r="E310" s="5"/>
    </row>
    <row r="311" spans="1:5" s="8" customFormat="1" x14ac:dyDescent="0.2">
      <c r="A311" s="200" t="s">
        <v>1836</v>
      </c>
      <c r="B311" s="200" t="s">
        <v>1488</v>
      </c>
      <c r="C311" s="200" t="s">
        <v>1489</v>
      </c>
      <c r="D311" s="200" t="s">
        <v>1490</v>
      </c>
      <c r="E311" s="5"/>
    </row>
    <row r="312" spans="1:5" s="8" customFormat="1" x14ac:dyDescent="0.2">
      <c r="A312" s="200" t="s">
        <v>1836</v>
      </c>
      <c r="B312" s="200" t="s">
        <v>1491</v>
      </c>
      <c r="C312" s="200" t="s">
        <v>1492</v>
      </c>
      <c r="D312" s="200" t="s">
        <v>1493</v>
      </c>
      <c r="E312" s="5"/>
    </row>
    <row r="313" spans="1:5" s="8" customFormat="1" x14ac:dyDescent="0.2">
      <c r="E313" s="5"/>
    </row>
    <row r="314" spans="1:5" s="8" customFormat="1" x14ac:dyDescent="0.2">
      <c r="A314" s="200" t="s">
        <v>1849</v>
      </c>
      <c r="B314" s="200" t="s">
        <v>1850</v>
      </c>
      <c r="C314" s="200" t="s">
        <v>1851</v>
      </c>
      <c r="D314" s="200" t="s">
        <v>1852</v>
      </c>
      <c r="E314" s="5"/>
    </row>
    <row r="315" spans="1:5" s="8" customFormat="1" x14ac:dyDescent="0.2">
      <c r="A315" s="200" t="s">
        <v>1849</v>
      </c>
      <c r="B315" s="200" t="s">
        <v>1853</v>
      </c>
      <c r="C315" s="200" t="s">
        <v>1854</v>
      </c>
      <c r="D315" s="200" t="s">
        <v>1855</v>
      </c>
      <c r="E315" s="5"/>
    </row>
    <row r="316" spans="1:5" s="8" customFormat="1" x14ac:dyDescent="0.2">
      <c r="A316" s="200" t="s">
        <v>1849</v>
      </c>
      <c r="B316" s="200" t="s">
        <v>1856</v>
      </c>
      <c r="C316" s="200" t="s">
        <v>1857</v>
      </c>
      <c r="D316" s="200" t="s">
        <v>1858</v>
      </c>
      <c r="E316" s="5"/>
    </row>
    <row r="317" spans="1:5" s="8" customFormat="1" x14ac:dyDescent="0.2">
      <c r="A317" s="200" t="s">
        <v>1849</v>
      </c>
      <c r="B317" s="200" t="s">
        <v>1859</v>
      </c>
      <c r="C317" s="200" t="s">
        <v>1860</v>
      </c>
      <c r="D317" s="200" t="s">
        <v>1861</v>
      </c>
      <c r="E317" s="5"/>
    </row>
    <row r="318" spans="1:5" s="8" customFormat="1" x14ac:dyDescent="0.2">
      <c r="A318" s="200" t="s">
        <v>1849</v>
      </c>
      <c r="B318" s="200" t="s">
        <v>1862</v>
      </c>
      <c r="C318" s="200" t="s">
        <v>1863</v>
      </c>
      <c r="D318" s="200" t="s">
        <v>1864</v>
      </c>
      <c r="E318" s="5"/>
    </row>
    <row r="319" spans="1:5" s="8" customFormat="1" x14ac:dyDescent="0.2">
      <c r="A319" s="200" t="s">
        <v>1849</v>
      </c>
      <c r="B319" s="200" t="s">
        <v>1865</v>
      </c>
      <c r="C319" s="200" t="s">
        <v>1866</v>
      </c>
      <c r="D319" s="200" t="s">
        <v>1867</v>
      </c>
      <c r="E319" s="5"/>
    </row>
    <row r="320" spans="1:5" s="8" customFormat="1" x14ac:dyDescent="0.2">
      <c r="A320" s="200" t="s">
        <v>1849</v>
      </c>
      <c r="B320" s="200" t="s">
        <v>1868</v>
      </c>
      <c r="C320" s="200" t="s">
        <v>1869</v>
      </c>
      <c r="D320" s="200" t="s">
        <v>1870</v>
      </c>
      <c r="E320" s="5"/>
    </row>
    <row r="321" spans="1:5" s="8" customFormat="1" x14ac:dyDescent="0.2">
      <c r="A321" s="200" t="s">
        <v>1849</v>
      </c>
      <c r="B321" s="200" t="s">
        <v>1572</v>
      </c>
      <c r="C321" s="200" t="s">
        <v>1871</v>
      </c>
      <c r="D321" s="200" t="s">
        <v>1872</v>
      </c>
      <c r="E321" s="5"/>
    </row>
    <row r="322" spans="1:5" s="8" customFormat="1" x14ac:dyDescent="0.2">
      <c r="A322" s="200" t="s">
        <v>1849</v>
      </c>
      <c r="B322" s="200" t="s">
        <v>1488</v>
      </c>
      <c r="C322" s="200" t="s">
        <v>1489</v>
      </c>
      <c r="D322" s="200" t="s">
        <v>1490</v>
      </c>
      <c r="E322" s="5"/>
    </row>
    <row r="323" spans="1:5" s="8" customFormat="1" x14ac:dyDescent="0.2">
      <c r="A323" s="200" t="s">
        <v>1849</v>
      </c>
      <c r="B323" s="200" t="s">
        <v>1491</v>
      </c>
      <c r="C323" s="200" t="s">
        <v>1492</v>
      </c>
      <c r="D323" s="200" t="s">
        <v>1493</v>
      </c>
      <c r="E323" s="5"/>
    </row>
    <row r="324" spans="1:5" s="8" customFormat="1" x14ac:dyDescent="0.2">
      <c r="E324" s="5"/>
    </row>
    <row r="325" spans="1:5" s="8" customFormat="1" x14ac:dyDescent="0.2">
      <c r="A325" s="200" t="s">
        <v>1873</v>
      </c>
      <c r="B325" s="200" t="s">
        <v>1874</v>
      </c>
      <c r="C325" s="200" t="s">
        <v>1875</v>
      </c>
      <c r="D325" s="200" t="s">
        <v>1876</v>
      </c>
      <c r="E325" s="5"/>
    </row>
    <row r="326" spans="1:5" s="8" customFormat="1" x14ac:dyDescent="0.2">
      <c r="A326" s="200" t="s">
        <v>1873</v>
      </c>
      <c r="B326" s="200" t="s">
        <v>1877</v>
      </c>
      <c r="C326" s="200" t="s">
        <v>1878</v>
      </c>
      <c r="D326" s="200" t="s">
        <v>1879</v>
      </c>
      <c r="E326" s="5"/>
    </row>
    <row r="327" spans="1:5" s="8" customFormat="1" x14ac:dyDescent="0.2">
      <c r="A327" s="200" t="s">
        <v>1873</v>
      </c>
      <c r="B327" s="200" t="s">
        <v>1880</v>
      </c>
      <c r="C327" s="200" t="s">
        <v>1881</v>
      </c>
      <c r="D327" s="200" t="s">
        <v>1882</v>
      </c>
      <c r="E327" s="5"/>
    </row>
    <row r="328" spans="1:5" s="8" customFormat="1" x14ac:dyDescent="0.2">
      <c r="A328" s="200" t="s">
        <v>1873</v>
      </c>
      <c r="B328" s="200" t="s">
        <v>1883</v>
      </c>
      <c r="C328" s="200" t="s">
        <v>1884</v>
      </c>
      <c r="D328" s="200" t="s">
        <v>1885</v>
      </c>
      <c r="E328" s="5"/>
    </row>
    <row r="329" spans="1:5" s="8" customFormat="1" x14ac:dyDescent="0.2">
      <c r="A329" s="200" t="s">
        <v>1873</v>
      </c>
      <c r="B329" s="200" t="s">
        <v>1886</v>
      </c>
      <c r="C329" s="200" t="s">
        <v>1887</v>
      </c>
      <c r="D329" s="200" t="s">
        <v>1888</v>
      </c>
      <c r="E329" s="5"/>
    </row>
    <row r="330" spans="1:5" s="8" customFormat="1" x14ac:dyDescent="0.2">
      <c r="A330" s="200" t="s">
        <v>1873</v>
      </c>
      <c r="B330" s="200" t="s">
        <v>1889</v>
      </c>
      <c r="C330" s="200" t="s">
        <v>1890</v>
      </c>
      <c r="D330" s="200" t="s">
        <v>1891</v>
      </c>
      <c r="E330" s="5"/>
    </row>
    <row r="331" spans="1:5" s="8" customFormat="1" x14ac:dyDescent="0.2">
      <c r="A331" s="200" t="s">
        <v>1873</v>
      </c>
      <c r="B331" s="200" t="s">
        <v>1892</v>
      </c>
      <c r="C331" s="200" t="s">
        <v>1893</v>
      </c>
      <c r="D331" s="200" t="s">
        <v>1894</v>
      </c>
      <c r="E331" s="5"/>
    </row>
    <row r="332" spans="1:5" s="8" customFormat="1" x14ac:dyDescent="0.2">
      <c r="A332" s="200" t="s">
        <v>1873</v>
      </c>
      <c r="B332" s="200" t="s">
        <v>1895</v>
      </c>
      <c r="C332" s="200" t="s">
        <v>1896</v>
      </c>
      <c r="D332" s="200" t="s">
        <v>1897</v>
      </c>
      <c r="E332" s="5"/>
    </row>
    <row r="333" spans="1:5" s="8" customFormat="1" x14ac:dyDescent="0.2">
      <c r="A333" s="200" t="s">
        <v>1873</v>
      </c>
      <c r="B333" s="200" t="s">
        <v>1898</v>
      </c>
      <c r="C333" s="200" t="s">
        <v>1899</v>
      </c>
      <c r="D333" s="200" t="s">
        <v>1900</v>
      </c>
      <c r="E333" s="5"/>
    </row>
    <row r="334" spans="1:5" s="8" customFormat="1" x14ac:dyDescent="0.2">
      <c r="A334" s="200" t="s">
        <v>1873</v>
      </c>
      <c r="B334" s="200" t="s">
        <v>1901</v>
      </c>
      <c r="C334" s="200" t="s">
        <v>1902</v>
      </c>
      <c r="D334" s="200" t="s">
        <v>1903</v>
      </c>
      <c r="E334" s="5"/>
    </row>
    <row r="335" spans="1:5" s="8" customFormat="1" x14ac:dyDescent="0.2">
      <c r="A335" s="200" t="s">
        <v>1873</v>
      </c>
      <c r="B335" s="200" t="s">
        <v>1904</v>
      </c>
      <c r="C335" s="200" t="s">
        <v>1905</v>
      </c>
      <c r="D335" s="200" t="s">
        <v>1906</v>
      </c>
      <c r="E335" s="5"/>
    </row>
    <row r="336" spans="1:5" s="8" customFormat="1" x14ac:dyDescent="0.2">
      <c r="A336" s="200" t="s">
        <v>1873</v>
      </c>
      <c r="B336" s="200" t="s">
        <v>1907</v>
      </c>
      <c r="C336" s="200" t="s">
        <v>1908</v>
      </c>
      <c r="D336" s="200" t="s">
        <v>1909</v>
      </c>
      <c r="E336" s="5"/>
    </row>
    <row r="337" spans="1:6" s="8" customFormat="1" x14ac:dyDescent="0.2">
      <c r="A337" s="200" t="s">
        <v>1873</v>
      </c>
      <c r="B337" s="200" t="s">
        <v>1910</v>
      </c>
      <c r="C337" s="200" t="s">
        <v>1911</v>
      </c>
      <c r="D337" s="200" t="s">
        <v>1912</v>
      </c>
      <c r="E337" s="5"/>
    </row>
    <row r="338" spans="1:6" s="8" customFormat="1" x14ac:dyDescent="0.2">
      <c r="A338" s="200" t="s">
        <v>1873</v>
      </c>
      <c r="B338" s="200" t="s">
        <v>1913</v>
      </c>
      <c r="C338" s="200" t="s">
        <v>1914</v>
      </c>
      <c r="D338" s="200" t="s">
        <v>1915</v>
      </c>
      <c r="E338" s="5"/>
    </row>
    <row r="339" spans="1:6" s="8" customFormat="1" x14ac:dyDescent="0.2">
      <c r="A339" s="200" t="s">
        <v>1873</v>
      </c>
      <c r="B339" s="200" t="s">
        <v>1916</v>
      </c>
      <c r="C339" s="200" t="s">
        <v>1917</v>
      </c>
      <c r="D339" s="200" t="s">
        <v>1918</v>
      </c>
      <c r="E339" s="5"/>
    </row>
    <row r="340" spans="1:6" s="8" customFormat="1" x14ac:dyDescent="0.2">
      <c r="A340" s="200" t="s">
        <v>1873</v>
      </c>
      <c r="B340" s="200" t="s">
        <v>1919</v>
      </c>
      <c r="C340" s="200" t="s">
        <v>1920</v>
      </c>
      <c r="D340" s="200" t="s">
        <v>1921</v>
      </c>
      <c r="E340" s="5"/>
    </row>
    <row r="341" spans="1:6" s="8" customFormat="1" x14ac:dyDescent="0.2">
      <c r="A341" s="200" t="s">
        <v>1873</v>
      </c>
      <c r="B341" s="200" t="s">
        <v>1922</v>
      </c>
      <c r="C341" s="200" t="s">
        <v>1923</v>
      </c>
      <c r="D341" s="200" t="s">
        <v>1924</v>
      </c>
      <c r="E341" s="5"/>
    </row>
    <row r="342" spans="1:6" s="8" customFormat="1" x14ac:dyDescent="0.2">
      <c r="A342" s="200" t="s">
        <v>1873</v>
      </c>
      <c r="B342" s="200" t="s">
        <v>1572</v>
      </c>
      <c r="C342" s="200" t="s">
        <v>1871</v>
      </c>
      <c r="D342" s="200" t="s">
        <v>1872</v>
      </c>
      <c r="E342" s="5"/>
    </row>
    <row r="343" spans="1:6" s="8" customFormat="1" x14ac:dyDescent="0.2">
      <c r="A343" s="200" t="s">
        <v>1873</v>
      </c>
      <c r="B343" s="200" t="s">
        <v>1488</v>
      </c>
      <c r="C343" s="200" t="s">
        <v>1489</v>
      </c>
      <c r="D343" s="200" t="s">
        <v>1490</v>
      </c>
      <c r="E343" s="5"/>
    </row>
    <row r="344" spans="1:6" s="8" customFormat="1" x14ac:dyDescent="0.2">
      <c r="A344" s="200" t="s">
        <v>1873</v>
      </c>
      <c r="B344" s="200" t="s">
        <v>1491</v>
      </c>
      <c r="C344" s="200" t="s">
        <v>1492</v>
      </c>
      <c r="D344" s="200" t="s">
        <v>1493</v>
      </c>
      <c r="E344" s="5"/>
    </row>
    <row r="345" spans="1:6" x14ac:dyDescent="0.2">
      <c r="E345" s="4"/>
    </row>
    <row r="346" spans="1:6" x14ac:dyDescent="0.2">
      <c r="A346" t="s">
        <v>1925</v>
      </c>
      <c r="B346" t="s">
        <v>1926</v>
      </c>
      <c r="C346" t="s">
        <v>1927</v>
      </c>
      <c r="D346" t="s">
        <v>1928</v>
      </c>
      <c r="E346" s="4"/>
      <c r="F346" s="256"/>
    </row>
    <row r="347" spans="1:6" x14ac:dyDescent="0.2">
      <c r="A347" t="s">
        <v>1925</v>
      </c>
      <c r="B347" t="s">
        <v>1929</v>
      </c>
      <c r="C347" t="s">
        <v>1930</v>
      </c>
      <c r="D347" s="200" t="s">
        <v>1931</v>
      </c>
      <c r="E347" s="4"/>
      <c r="F347" s="256"/>
    </row>
    <row r="348" spans="1:6" x14ac:dyDescent="0.2">
      <c r="A348" t="s">
        <v>1925</v>
      </c>
      <c r="B348" t="s">
        <v>1932</v>
      </c>
      <c r="C348" t="s">
        <v>1933</v>
      </c>
      <c r="D348" s="200" t="s">
        <v>1934</v>
      </c>
      <c r="E348" s="4"/>
      <c r="F348" s="256"/>
    </row>
    <row r="349" spans="1:6" x14ac:dyDescent="0.2">
      <c r="A349" t="s">
        <v>1925</v>
      </c>
      <c r="B349" t="s">
        <v>1935</v>
      </c>
      <c r="C349" t="s">
        <v>1936</v>
      </c>
      <c r="D349" t="s">
        <v>1937</v>
      </c>
      <c r="E349" s="4"/>
      <c r="F349" s="256"/>
    </row>
    <row r="350" spans="1:6" x14ac:dyDescent="0.2">
      <c r="A350" t="s">
        <v>1925</v>
      </c>
      <c r="B350" t="s">
        <v>1938</v>
      </c>
      <c r="C350" t="s">
        <v>1939</v>
      </c>
      <c r="D350" t="s">
        <v>1940</v>
      </c>
      <c r="E350" s="4"/>
      <c r="F350" s="256"/>
    </row>
    <row r="351" spans="1:6" x14ac:dyDescent="0.2">
      <c r="A351" t="s">
        <v>1925</v>
      </c>
      <c r="B351" t="s">
        <v>1941</v>
      </c>
      <c r="C351" t="s">
        <v>1942</v>
      </c>
      <c r="D351" t="s">
        <v>1943</v>
      </c>
      <c r="E351" s="4"/>
      <c r="F351" s="256"/>
    </row>
    <row r="352" spans="1:6" x14ac:dyDescent="0.2">
      <c r="A352" t="s">
        <v>1925</v>
      </c>
      <c r="B352" t="s">
        <v>1944</v>
      </c>
      <c r="C352" t="s">
        <v>1945</v>
      </c>
      <c r="D352" t="s">
        <v>1946</v>
      </c>
      <c r="E352" s="4"/>
      <c r="F352" s="256"/>
    </row>
    <row r="353" spans="1:6" x14ac:dyDescent="0.2">
      <c r="A353" t="s">
        <v>1925</v>
      </c>
      <c r="B353" t="s">
        <v>1572</v>
      </c>
      <c r="C353" t="s">
        <v>1871</v>
      </c>
      <c r="D353" t="s">
        <v>1872</v>
      </c>
      <c r="E353" s="4"/>
      <c r="F353" s="256"/>
    </row>
    <row r="354" spans="1:6" x14ac:dyDescent="0.2">
      <c r="A354" t="s">
        <v>1925</v>
      </c>
      <c r="B354" t="s">
        <v>1488</v>
      </c>
      <c r="C354" t="s">
        <v>1489</v>
      </c>
      <c r="D354" t="s">
        <v>1490</v>
      </c>
      <c r="E354" s="4"/>
      <c r="F354" s="256"/>
    </row>
    <row r="355" spans="1:6" x14ac:dyDescent="0.2">
      <c r="A355" t="s">
        <v>1925</v>
      </c>
      <c r="B355" t="s">
        <v>1491</v>
      </c>
      <c r="C355" t="s">
        <v>1492</v>
      </c>
      <c r="D355" t="s">
        <v>1493</v>
      </c>
      <c r="E355" s="4"/>
      <c r="F355" s="256"/>
    </row>
    <row r="356" spans="1:6" x14ac:dyDescent="0.2">
      <c r="E356" s="4"/>
    </row>
    <row r="357" spans="1:6" x14ac:dyDescent="0.2">
      <c r="A357" t="s">
        <v>1947</v>
      </c>
      <c r="B357" t="s">
        <v>1948</v>
      </c>
      <c r="C357" t="s">
        <v>1949</v>
      </c>
      <c r="D357" t="s">
        <v>1950</v>
      </c>
      <c r="E357" s="4"/>
      <c r="F357" s="256"/>
    </row>
    <row r="358" spans="1:6" x14ac:dyDescent="0.2">
      <c r="A358" t="s">
        <v>1947</v>
      </c>
      <c r="B358" t="s">
        <v>1951</v>
      </c>
      <c r="C358" t="s">
        <v>1952</v>
      </c>
      <c r="D358" t="s">
        <v>1953</v>
      </c>
      <c r="E358" s="4"/>
      <c r="F358" s="256"/>
    </row>
    <row r="359" spans="1:6" x14ac:dyDescent="0.2">
      <c r="A359" t="s">
        <v>1947</v>
      </c>
      <c r="B359" t="s">
        <v>1954</v>
      </c>
      <c r="C359" t="s">
        <v>1955</v>
      </c>
      <c r="D359" t="s">
        <v>1956</v>
      </c>
      <c r="E359" s="4"/>
      <c r="F359" s="256"/>
    </row>
    <row r="360" spans="1:6" x14ac:dyDescent="0.2">
      <c r="A360" t="s">
        <v>1947</v>
      </c>
      <c r="B360" t="s">
        <v>1957</v>
      </c>
      <c r="C360" t="s">
        <v>1958</v>
      </c>
      <c r="D360" t="s">
        <v>1959</v>
      </c>
      <c r="E360" s="4"/>
      <c r="F360" s="256"/>
    </row>
    <row r="361" spans="1:6" x14ac:dyDescent="0.2">
      <c r="A361" t="s">
        <v>1947</v>
      </c>
      <c r="B361" t="s">
        <v>1960</v>
      </c>
      <c r="C361" t="s">
        <v>1961</v>
      </c>
      <c r="D361" t="s">
        <v>1962</v>
      </c>
      <c r="E361" s="4"/>
      <c r="F361" s="256"/>
    </row>
    <row r="362" spans="1:6" x14ac:dyDescent="0.2">
      <c r="A362" t="s">
        <v>1947</v>
      </c>
      <c r="B362" t="s">
        <v>1963</v>
      </c>
      <c r="C362" t="s">
        <v>1964</v>
      </c>
      <c r="D362" t="s">
        <v>1965</v>
      </c>
      <c r="E362" s="4"/>
      <c r="F362" s="256"/>
    </row>
    <row r="363" spans="1:6" x14ac:dyDescent="0.2">
      <c r="A363" t="s">
        <v>1947</v>
      </c>
      <c r="B363" t="s">
        <v>1966</v>
      </c>
      <c r="C363" t="s">
        <v>1967</v>
      </c>
      <c r="D363" t="s">
        <v>1968</v>
      </c>
      <c r="E363" s="4"/>
      <c r="F363" s="256"/>
    </row>
    <row r="364" spans="1:6" x14ac:dyDescent="0.2">
      <c r="A364" t="s">
        <v>1947</v>
      </c>
      <c r="B364" t="s">
        <v>1969</v>
      </c>
      <c r="C364" t="s">
        <v>1970</v>
      </c>
      <c r="D364" t="s">
        <v>1971</v>
      </c>
      <c r="E364" s="4"/>
      <c r="F364" s="256"/>
    </row>
    <row r="365" spans="1:6" x14ac:dyDescent="0.2">
      <c r="A365" t="s">
        <v>1947</v>
      </c>
      <c r="B365" t="s">
        <v>1972</v>
      </c>
      <c r="C365" t="s">
        <v>1973</v>
      </c>
      <c r="D365" t="s">
        <v>1974</v>
      </c>
      <c r="E365" s="4"/>
      <c r="F365" s="256"/>
    </row>
    <row r="366" spans="1:6" x14ac:dyDescent="0.2">
      <c r="A366" t="s">
        <v>1947</v>
      </c>
      <c r="B366" t="s">
        <v>1975</v>
      </c>
      <c r="C366" t="s">
        <v>1976</v>
      </c>
      <c r="D366" t="s">
        <v>1977</v>
      </c>
      <c r="E366" s="4"/>
      <c r="F366" s="256"/>
    </row>
    <row r="367" spans="1:6" x14ac:dyDescent="0.2">
      <c r="A367" t="s">
        <v>1947</v>
      </c>
      <c r="B367" t="s">
        <v>1978</v>
      </c>
      <c r="C367" t="s">
        <v>1979</v>
      </c>
      <c r="D367" t="s">
        <v>1980</v>
      </c>
      <c r="E367" s="4"/>
      <c r="F367" s="256"/>
    </row>
    <row r="368" spans="1:6" x14ac:dyDescent="0.2">
      <c r="A368" t="s">
        <v>1947</v>
      </c>
      <c r="B368" t="s">
        <v>1981</v>
      </c>
      <c r="C368" t="s">
        <v>1871</v>
      </c>
      <c r="D368" t="s">
        <v>1872</v>
      </c>
      <c r="E368" s="4"/>
      <c r="F368" s="256"/>
    </row>
    <row r="369" spans="1:6" x14ac:dyDescent="0.2">
      <c r="A369" t="s">
        <v>1947</v>
      </c>
      <c r="B369" t="s">
        <v>1982</v>
      </c>
      <c r="C369" t="s">
        <v>1489</v>
      </c>
      <c r="D369" t="s">
        <v>1490</v>
      </c>
      <c r="E369" s="4"/>
      <c r="F369" s="256"/>
    </row>
    <row r="370" spans="1:6" ht="14.25" customHeight="1" x14ac:dyDescent="0.2">
      <c r="A370" t="s">
        <v>1947</v>
      </c>
      <c r="B370" t="s">
        <v>1983</v>
      </c>
      <c r="C370" t="s">
        <v>1492</v>
      </c>
      <c r="D370" t="s">
        <v>1493</v>
      </c>
      <c r="E370" s="4"/>
      <c r="F370" s="256"/>
    </row>
    <row r="371" spans="1:6" ht="14.25" customHeight="1" x14ac:dyDescent="0.2">
      <c r="E371" s="4"/>
      <c r="F371" s="256"/>
    </row>
    <row r="372" spans="1:6" s="8" customFormat="1" ht="14.25" customHeight="1" x14ac:dyDescent="0.2">
      <c r="A372" s="200" t="s">
        <v>1984</v>
      </c>
      <c r="B372" s="200" t="s">
        <v>1985</v>
      </c>
      <c r="C372" s="200" t="s">
        <v>1986</v>
      </c>
      <c r="D372" s="200" t="s">
        <v>1987</v>
      </c>
      <c r="E372" s="5"/>
    </row>
    <row r="373" spans="1:6" s="8" customFormat="1" ht="14.25" customHeight="1" x14ac:dyDescent="0.2">
      <c r="A373" s="200" t="s">
        <v>1984</v>
      </c>
      <c r="B373" s="200" t="s">
        <v>1988</v>
      </c>
      <c r="C373" s="200" t="s">
        <v>1989</v>
      </c>
      <c r="D373" s="200" t="s">
        <v>1990</v>
      </c>
      <c r="E373" s="5"/>
    </row>
    <row r="374" spans="1:6" s="8" customFormat="1" ht="14.25" customHeight="1" x14ac:dyDescent="0.2">
      <c r="A374" s="200" t="s">
        <v>1984</v>
      </c>
      <c r="B374" s="200" t="s">
        <v>1991</v>
      </c>
      <c r="C374" s="200" t="s">
        <v>1992</v>
      </c>
      <c r="D374" s="200" t="s">
        <v>1993</v>
      </c>
      <c r="E374" s="5"/>
    </row>
    <row r="375" spans="1:6" s="8" customFormat="1" ht="14.25" customHeight="1" x14ac:dyDescent="0.2">
      <c r="A375" s="200" t="s">
        <v>1984</v>
      </c>
      <c r="B375" s="200" t="s">
        <v>1994</v>
      </c>
      <c r="C375" s="200" t="s">
        <v>1995</v>
      </c>
      <c r="D375" s="200" t="s">
        <v>1996</v>
      </c>
      <c r="E375" s="5"/>
    </row>
    <row r="376" spans="1:6" s="8" customFormat="1" ht="14.25" customHeight="1" x14ac:dyDescent="0.2">
      <c r="A376" s="200" t="s">
        <v>1984</v>
      </c>
      <c r="B376" s="200" t="s">
        <v>1997</v>
      </c>
      <c r="C376" s="200" t="s">
        <v>1998</v>
      </c>
      <c r="D376" s="200" t="s">
        <v>1999</v>
      </c>
      <c r="E376" s="5"/>
    </row>
    <row r="377" spans="1:6" s="8" customFormat="1" ht="14.25" customHeight="1" x14ac:dyDescent="0.2">
      <c r="A377" s="200" t="s">
        <v>1984</v>
      </c>
      <c r="B377" s="200" t="s">
        <v>1572</v>
      </c>
      <c r="C377" s="200" t="s">
        <v>2000</v>
      </c>
      <c r="D377" s="200" t="s">
        <v>1872</v>
      </c>
      <c r="E377" s="5"/>
    </row>
    <row r="378" spans="1:6" s="8" customFormat="1" ht="14.25" customHeight="1" x14ac:dyDescent="0.2">
      <c r="A378" s="200" t="s">
        <v>1984</v>
      </c>
      <c r="B378" s="200" t="s">
        <v>1488</v>
      </c>
      <c r="C378" s="200" t="s">
        <v>1489</v>
      </c>
      <c r="D378" s="200" t="s">
        <v>1490</v>
      </c>
      <c r="E378" s="5"/>
    </row>
    <row r="379" spans="1:6" s="8" customFormat="1" ht="14.25" customHeight="1" x14ac:dyDescent="0.2">
      <c r="A379" s="200" t="s">
        <v>1984</v>
      </c>
      <c r="B379" s="200" t="s">
        <v>1491</v>
      </c>
      <c r="C379" s="200" t="s">
        <v>1492</v>
      </c>
      <c r="D379" s="200" t="s">
        <v>1493</v>
      </c>
      <c r="E379" s="5"/>
    </row>
    <row r="380" spans="1:6" s="8" customFormat="1" ht="14.25" customHeight="1" x14ac:dyDescent="0.2">
      <c r="E380" s="5"/>
    </row>
    <row r="381" spans="1:6" s="8" customFormat="1" x14ac:dyDescent="0.2">
      <c r="A381" s="200" t="s">
        <v>2001</v>
      </c>
      <c r="B381" s="200" t="s">
        <v>2002</v>
      </c>
      <c r="C381" s="200" t="s">
        <v>2003</v>
      </c>
      <c r="D381" s="200" t="s">
        <v>2004</v>
      </c>
      <c r="E381" s="5"/>
    </row>
    <row r="382" spans="1:6" s="8" customFormat="1" x14ac:dyDescent="0.2">
      <c r="A382" s="200" t="s">
        <v>2001</v>
      </c>
      <c r="B382" s="200" t="s">
        <v>2005</v>
      </c>
      <c r="C382" s="200" t="s">
        <v>2006</v>
      </c>
      <c r="D382" s="200" t="s">
        <v>2007</v>
      </c>
      <c r="E382" s="5"/>
    </row>
    <row r="383" spans="1:6" s="8" customFormat="1" x14ac:dyDescent="0.2">
      <c r="A383" s="200" t="s">
        <v>2001</v>
      </c>
      <c r="B383" s="200" t="s">
        <v>2008</v>
      </c>
      <c r="C383" s="200" t="s">
        <v>2009</v>
      </c>
      <c r="D383" s="200" t="s">
        <v>2010</v>
      </c>
      <c r="E383" s="5"/>
    </row>
    <row r="384" spans="1:6" s="8" customFormat="1" x14ac:dyDescent="0.2">
      <c r="A384" s="200" t="s">
        <v>2001</v>
      </c>
      <c r="B384" s="200" t="s">
        <v>2011</v>
      </c>
      <c r="C384" s="200" t="s">
        <v>2012</v>
      </c>
      <c r="D384" s="200" t="s">
        <v>2013</v>
      </c>
      <c r="E384" s="5"/>
    </row>
    <row r="385" spans="1:5" s="8" customFormat="1" x14ac:dyDescent="0.2">
      <c r="A385" s="200" t="s">
        <v>2001</v>
      </c>
      <c r="B385" s="200" t="s">
        <v>2014</v>
      </c>
      <c r="C385" s="200" t="s">
        <v>2015</v>
      </c>
      <c r="D385" s="200" t="s">
        <v>2016</v>
      </c>
      <c r="E385" s="5"/>
    </row>
    <row r="386" spans="1:5" s="8" customFormat="1" x14ac:dyDescent="0.2">
      <c r="A386" s="200" t="s">
        <v>2001</v>
      </c>
      <c r="B386" s="200" t="s">
        <v>2017</v>
      </c>
      <c r="C386" s="200" t="s">
        <v>2018</v>
      </c>
      <c r="D386" s="200" t="s">
        <v>2019</v>
      </c>
      <c r="E386" s="5"/>
    </row>
    <row r="387" spans="1:5" s="8" customFormat="1" x14ac:dyDescent="0.2">
      <c r="A387" s="200" t="s">
        <v>2001</v>
      </c>
      <c r="B387" s="200" t="s">
        <v>2020</v>
      </c>
      <c r="C387" s="200" t="s">
        <v>2021</v>
      </c>
      <c r="D387" s="200" t="s">
        <v>2022</v>
      </c>
      <c r="E387" s="5"/>
    </row>
    <row r="388" spans="1:5" s="8" customFormat="1" x14ac:dyDescent="0.2">
      <c r="A388" s="200" t="s">
        <v>2001</v>
      </c>
      <c r="B388" s="200" t="s">
        <v>2023</v>
      </c>
      <c r="C388" s="200" t="s">
        <v>2024</v>
      </c>
      <c r="D388" s="200" t="s">
        <v>2025</v>
      </c>
      <c r="E388" s="5"/>
    </row>
    <row r="389" spans="1:5" s="8" customFormat="1" x14ac:dyDescent="0.2">
      <c r="A389" s="200" t="s">
        <v>2001</v>
      </c>
      <c r="B389" s="200" t="s">
        <v>1916</v>
      </c>
      <c r="C389" s="200" t="s">
        <v>2026</v>
      </c>
      <c r="D389" s="200" t="s">
        <v>2027</v>
      </c>
      <c r="E389" s="5"/>
    </row>
    <row r="390" spans="1:5" s="8" customFormat="1" x14ac:dyDescent="0.2">
      <c r="A390" s="200" t="s">
        <v>2001</v>
      </c>
      <c r="B390" s="200" t="s">
        <v>1898</v>
      </c>
      <c r="C390" s="200" t="s">
        <v>1899</v>
      </c>
      <c r="D390" s="200" t="s">
        <v>2028</v>
      </c>
      <c r="E390" s="5"/>
    </row>
    <row r="391" spans="1:5" s="8" customFormat="1" x14ac:dyDescent="0.2">
      <c r="A391" s="200" t="s">
        <v>2001</v>
      </c>
      <c r="B391" s="250" t="s">
        <v>2029</v>
      </c>
      <c r="C391" s="250" t="s">
        <v>2030</v>
      </c>
      <c r="D391" s="200" t="s">
        <v>2031</v>
      </c>
      <c r="E391" s="5"/>
    </row>
    <row r="392" spans="1:5" s="8" customFormat="1" x14ac:dyDescent="0.2">
      <c r="A392" s="200" t="s">
        <v>2001</v>
      </c>
      <c r="B392" s="200" t="s">
        <v>1572</v>
      </c>
      <c r="C392" s="200" t="s">
        <v>1871</v>
      </c>
      <c r="D392" s="200" t="s">
        <v>1872</v>
      </c>
      <c r="E392" s="5"/>
    </row>
    <row r="393" spans="1:5" s="8" customFormat="1" x14ac:dyDescent="0.2">
      <c r="A393" s="200" t="s">
        <v>2001</v>
      </c>
      <c r="B393" s="200" t="s">
        <v>1488</v>
      </c>
      <c r="C393" s="200" t="s">
        <v>1489</v>
      </c>
      <c r="D393" s="200" t="s">
        <v>1490</v>
      </c>
      <c r="E393" s="5"/>
    </row>
    <row r="394" spans="1:5" s="8" customFormat="1" x14ac:dyDescent="0.2">
      <c r="A394" s="200" t="s">
        <v>2001</v>
      </c>
      <c r="B394" s="200" t="s">
        <v>1491</v>
      </c>
      <c r="C394" s="200" t="s">
        <v>1492</v>
      </c>
      <c r="D394" s="200" t="s">
        <v>1493</v>
      </c>
      <c r="E394" s="5"/>
    </row>
    <row r="395" spans="1:5" x14ac:dyDescent="0.2">
      <c r="B395" s="251"/>
      <c r="E395" s="4"/>
    </row>
    <row r="396" spans="1:5" x14ac:dyDescent="0.2">
      <c r="A396" t="s">
        <v>2032</v>
      </c>
      <c r="B396">
        <v>1</v>
      </c>
      <c r="C396" t="s">
        <v>2033</v>
      </c>
      <c r="D396" t="s">
        <v>2034</v>
      </c>
      <c r="E396" s="4"/>
    </row>
    <row r="397" spans="1:5" x14ac:dyDescent="0.2">
      <c r="A397" t="s">
        <v>2032</v>
      </c>
      <c r="B397">
        <v>2</v>
      </c>
      <c r="C397" t="s">
        <v>2035</v>
      </c>
      <c r="D397" t="s">
        <v>2036</v>
      </c>
      <c r="E397" s="4"/>
    </row>
    <row r="398" spans="1:5" x14ac:dyDescent="0.2">
      <c r="A398" t="s">
        <v>2032</v>
      </c>
      <c r="B398">
        <v>3</v>
      </c>
      <c r="C398" t="s">
        <v>2037</v>
      </c>
      <c r="D398" t="s">
        <v>2038</v>
      </c>
      <c r="E398" s="4"/>
    </row>
    <row r="399" spans="1:5" x14ac:dyDescent="0.2">
      <c r="A399" t="s">
        <v>2032</v>
      </c>
      <c r="B399">
        <v>5</v>
      </c>
      <c r="C399" t="s">
        <v>2039</v>
      </c>
      <c r="D399" t="s">
        <v>2040</v>
      </c>
      <c r="E399" s="4"/>
    </row>
    <row r="400" spans="1:5" x14ac:dyDescent="0.2">
      <c r="A400" t="s">
        <v>2032</v>
      </c>
      <c r="B400">
        <v>6</v>
      </c>
      <c r="C400" t="s">
        <v>2041</v>
      </c>
      <c r="D400" t="s">
        <v>2042</v>
      </c>
      <c r="E400" s="4"/>
    </row>
    <row r="401" spans="1:6" x14ac:dyDescent="0.2">
      <c r="A401" t="s">
        <v>2032</v>
      </c>
      <c r="B401">
        <v>7</v>
      </c>
      <c r="C401" t="s">
        <v>2043</v>
      </c>
      <c r="D401" t="s">
        <v>2044</v>
      </c>
      <c r="E401" s="4"/>
    </row>
    <row r="402" spans="1:6" x14ac:dyDescent="0.2">
      <c r="A402" t="s">
        <v>2032</v>
      </c>
      <c r="B402">
        <v>8</v>
      </c>
      <c r="C402" t="s">
        <v>2045</v>
      </c>
      <c r="D402" t="s">
        <v>2046</v>
      </c>
      <c r="E402" s="4"/>
    </row>
    <row r="403" spans="1:6" x14ac:dyDescent="0.2">
      <c r="A403" t="s">
        <v>2032</v>
      </c>
      <c r="B403">
        <v>9</v>
      </c>
      <c r="C403" t="s">
        <v>2047</v>
      </c>
      <c r="D403" t="s">
        <v>2048</v>
      </c>
      <c r="E403" s="4"/>
    </row>
    <row r="404" spans="1:6" x14ac:dyDescent="0.2">
      <c r="A404" t="s">
        <v>2032</v>
      </c>
      <c r="B404">
        <v>10</v>
      </c>
      <c r="C404" t="s">
        <v>2049</v>
      </c>
      <c r="D404" t="s">
        <v>2050</v>
      </c>
      <c r="E404" s="4"/>
    </row>
    <row r="405" spans="1:6" x14ac:dyDescent="0.2">
      <c r="A405" t="s">
        <v>2032</v>
      </c>
      <c r="B405">
        <v>11</v>
      </c>
      <c r="C405" t="s">
        <v>2051</v>
      </c>
      <c r="D405" t="s">
        <v>2052</v>
      </c>
      <c r="E405" s="4"/>
    </row>
    <row r="406" spans="1:6" x14ac:dyDescent="0.2">
      <c r="A406" t="s">
        <v>2032</v>
      </c>
      <c r="B406" s="252" t="s">
        <v>1488</v>
      </c>
      <c r="C406" t="s">
        <v>1489</v>
      </c>
      <c r="D406" t="s">
        <v>1490</v>
      </c>
      <c r="E406" s="4"/>
    </row>
    <row r="407" spans="1:6" x14ac:dyDescent="0.2">
      <c r="A407" t="s">
        <v>2032</v>
      </c>
      <c r="B407" s="252" t="s">
        <v>1491</v>
      </c>
      <c r="C407" t="s">
        <v>1492</v>
      </c>
      <c r="D407" t="s">
        <v>1493</v>
      </c>
      <c r="E407" s="4"/>
    </row>
    <row r="408" spans="1:6" x14ac:dyDescent="0.2">
      <c r="E408" s="4"/>
    </row>
    <row r="409" spans="1:6" ht="16" customHeight="1" x14ac:dyDescent="0.2">
      <c r="A409" t="s">
        <v>2053</v>
      </c>
      <c r="B409" t="s">
        <v>1926</v>
      </c>
      <c r="C409" t="s">
        <v>1927</v>
      </c>
      <c r="D409" t="s">
        <v>1928</v>
      </c>
      <c r="E409" s="4"/>
      <c r="F409" s="256"/>
    </row>
    <row r="410" spans="1:6" ht="16" customHeight="1" x14ac:dyDescent="0.2">
      <c r="A410" t="s">
        <v>2053</v>
      </c>
      <c r="B410" t="s">
        <v>1929</v>
      </c>
      <c r="C410" t="s">
        <v>2054</v>
      </c>
      <c r="D410" t="s">
        <v>2055</v>
      </c>
      <c r="E410" s="4"/>
      <c r="F410" s="256"/>
    </row>
    <row r="411" spans="1:6" ht="16" customHeight="1" x14ac:dyDescent="0.2">
      <c r="A411" t="s">
        <v>2053</v>
      </c>
      <c r="B411" t="s">
        <v>1932</v>
      </c>
      <c r="C411" t="s">
        <v>2056</v>
      </c>
      <c r="D411" t="s">
        <v>2057</v>
      </c>
      <c r="E411" s="4"/>
      <c r="F411" s="256"/>
    </row>
    <row r="412" spans="1:6" ht="16" customHeight="1" x14ac:dyDescent="0.2">
      <c r="A412" t="s">
        <v>2053</v>
      </c>
      <c r="B412" t="s">
        <v>1935</v>
      </c>
      <c r="C412" t="s">
        <v>1936</v>
      </c>
      <c r="D412" t="s">
        <v>1937</v>
      </c>
      <c r="E412" s="4"/>
      <c r="F412" s="256"/>
    </row>
    <row r="413" spans="1:6" ht="16" customHeight="1" x14ac:dyDescent="0.2">
      <c r="A413" t="s">
        <v>2053</v>
      </c>
      <c r="B413" t="s">
        <v>1938</v>
      </c>
      <c r="C413" t="s">
        <v>1939</v>
      </c>
      <c r="D413" t="s">
        <v>2058</v>
      </c>
      <c r="E413" s="4"/>
      <c r="F413" s="256"/>
    </row>
    <row r="414" spans="1:6" ht="16" customHeight="1" x14ac:dyDescent="0.2">
      <c r="A414" t="s">
        <v>2053</v>
      </c>
      <c r="B414" t="s">
        <v>2059</v>
      </c>
      <c r="C414" t="s">
        <v>2060</v>
      </c>
      <c r="D414" t="s">
        <v>2061</v>
      </c>
      <c r="E414" s="4"/>
      <c r="F414" s="256"/>
    </row>
    <row r="415" spans="1:6" ht="16" customHeight="1" x14ac:dyDescent="0.2">
      <c r="A415" t="s">
        <v>2053</v>
      </c>
      <c r="B415" t="s">
        <v>1941</v>
      </c>
      <c r="C415" t="s">
        <v>2062</v>
      </c>
      <c r="D415" t="s">
        <v>2063</v>
      </c>
      <c r="E415" s="4"/>
      <c r="F415" s="256"/>
    </row>
    <row r="416" spans="1:6" ht="16" customHeight="1" x14ac:dyDescent="0.2">
      <c r="A416" t="s">
        <v>2053</v>
      </c>
      <c r="B416" t="s">
        <v>1944</v>
      </c>
      <c r="C416" t="s">
        <v>1945</v>
      </c>
      <c r="D416" t="s">
        <v>1946</v>
      </c>
      <c r="E416" s="4"/>
      <c r="F416" s="256"/>
    </row>
    <row r="417" spans="1:6" ht="16" customHeight="1" x14ac:dyDescent="0.2">
      <c r="A417" t="s">
        <v>2053</v>
      </c>
      <c r="B417" t="s">
        <v>1572</v>
      </c>
      <c r="C417" t="s">
        <v>1871</v>
      </c>
      <c r="D417" t="s">
        <v>1872</v>
      </c>
      <c r="E417" s="4"/>
    </row>
    <row r="418" spans="1:6" ht="16" customHeight="1" x14ac:dyDescent="0.2">
      <c r="A418" t="s">
        <v>2053</v>
      </c>
      <c r="B418" t="s">
        <v>1488</v>
      </c>
      <c r="C418" t="s">
        <v>1489</v>
      </c>
      <c r="D418" t="s">
        <v>1490</v>
      </c>
      <c r="E418" s="4"/>
    </row>
    <row r="419" spans="1:6" ht="16" customHeight="1" x14ac:dyDescent="0.2">
      <c r="A419" t="s">
        <v>2053</v>
      </c>
      <c r="B419" t="s">
        <v>1491</v>
      </c>
      <c r="C419" t="s">
        <v>1492</v>
      </c>
      <c r="D419" t="s">
        <v>1493</v>
      </c>
      <c r="E419" s="4"/>
    </row>
    <row r="420" spans="1:6" ht="16" customHeight="1" x14ac:dyDescent="0.2">
      <c r="E420" s="4"/>
    </row>
    <row r="421" spans="1:6" x14ac:dyDescent="0.2">
      <c r="A421" t="s">
        <v>2064</v>
      </c>
      <c r="B421" t="s">
        <v>2065</v>
      </c>
      <c r="C421" t="s">
        <v>2066</v>
      </c>
      <c r="D421" t="s">
        <v>2067</v>
      </c>
      <c r="E421" s="4"/>
      <c r="F421" s="256"/>
    </row>
    <row r="422" spans="1:6" x14ac:dyDescent="0.2">
      <c r="A422" t="s">
        <v>2064</v>
      </c>
      <c r="B422" t="s">
        <v>2068</v>
      </c>
      <c r="C422" t="s">
        <v>2069</v>
      </c>
      <c r="D422" t="s">
        <v>2070</v>
      </c>
      <c r="E422" s="4"/>
      <c r="F422" s="256"/>
    </row>
    <row r="423" spans="1:6" x14ac:dyDescent="0.2">
      <c r="A423" t="s">
        <v>2064</v>
      </c>
      <c r="B423" t="s">
        <v>2071</v>
      </c>
      <c r="C423" t="s">
        <v>2072</v>
      </c>
      <c r="D423" t="s">
        <v>2073</v>
      </c>
      <c r="E423" s="4"/>
      <c r="F423" s="256"/>
    </row>
    <row r="424" spans="1:6" x14ac:dyDescent="0.2">
      <c r="A424" t="s">
        <v>2064</v>
      </c>
      <c r="B424" t="s">
        <v>2074</v>
      </c>
      <c r="C424" t="s">
        <v>2075</v>
      </c>
      <c r="D424" t="s">
        <v>2076</v>
      </c>
      <c r="E424" s="4"/>
      <c r="F424" s="256"/>
    </row>
    <row r="425" spans="1:6" x14ac:dyDescent="0.2">
      <c r="A425" t="s">
        <v>2064</v>
      </c>
      <c r="B425" t="s">
        <v>1488</v>
      </c>
      <c r="C425" t="s">
        <v>1489</v>
      </c>
      <c r="D425" t="s">
        <v>1490</v>
      </c>
      <c r="E425" s="4"/>
      <c r="F425" s="256"/>
    </row>
    <row r="426" spans="1:6" x14ac:dyDescent="0.2">
      <c r="A426" t="s">
        <v>2064</v>
      </c>
      <c r="B426" t="s">
        <v>1491</v>
      </c>
      <c r="C426" t="s">
        <v>1492</v>
      </c>
      <c r="D426" t="s">
        <v>1493</v>
      </c>
      <c r="E426" s="4"/>
      <c r="F426" s="256"/>
    </row>
    <row r="427" spans="1:6" x14ac:dyDescent="0.2">
      <c r="E427" s="4"/>
    </row>
    <row r="428" spans="1:6" x14ac:dyDescent="0.2">
      <c r="A428" t="s">
        <v>2077</v>
      </c>
      <c r="B428" t="s">
        <v>2078</v>
      </c>
      <c r="C428" t="s">
        <v>2079</v>
      </c>
      <c r="D428" t="s">
        <v>2080</v>
      </c>
      <c r="E428" s="4"/>
      <c r="F428" s="256"/>
    </row>
    <row r="429" spans="1:6" x14ac:dyDescent="0.2">
      <c r="A429" t="s">
        <v>2077</v>
      </c>
      <c r="B429" t="s">
        <v>2081</v>
      </c>
      <c r="C429" t="s">
        <v>2082</v>
      </c>
      <c r="D429" t="s">
        <v>2083</v>
      </c>
      <c r="E429" s="4"/>
      <c r="F429" s="256"/>
    </row>
    <row r="430" spans="1:6" x14ac:dyDescent="0.2">
      <c r="A430" t="s">
        <v>2077</v>
      </c>
      <c r="B430" t="s">
        <v>2084</v>
      </c>
      <c r="C430" t="s">
        <v>2085</v>
      </c>
      <c r="D430" t="s">
        <v>2086</v>
      </c>
      <c r="E430" s="4"/>
      <c r="F430" s="256"/>
    </row>
    <row r="431" spans="1:6" x14ac:dyDescent="0.2">
      <c r="A431" t="s">
        <v>2077</v>
      </c>
      <c r="B431" t="s">
        <v>2087</v>
      </c>
      <c r="C431" t="s">
        <v>2088</v>
      </c>
      <c r="D431" t="s">
        <v>2089</v>
      </c>
      <c r="E431" s="4"/>
      <c r="F431" s="256"/>
    </row>
    <row r="432" spans="1:6" x14ac:dyDescent="0.2">
      <c r="A432" t="s">
        <v>2077</v>
      </c>
      <c r="B432" t="s">
        <v>2090</v>
      </c>
      <c r="C432" t="s">
        <v>2091</v>
      </c>
      <c r="D432" t="s">
        <v>2092</v>
      </c>
      <c r="E432" s="4"/>
      <c r="F432" s="256"/>
    </row>
    <row r="433" spans="1:6" x14ac:dyDescent="0.2">
      <c r="A433" t="s">
        <v>2077</v>
      </c>
      <c r="B433" t="s">
        <v>2093</v>
      </c>
      <c r="C433" t="s">
        <v>2094</v>
      </c>
      <c r="D433" t="s">
        <v>2095</v>
      </c>
      <c r="E433" s="4"/>
      <c r="F433" s="256"/>
    </row>
    <row r="434" spans="1:6" x14ac:dyDescent="0.2">
      <c r="A434" t="s">
        <v>2077</v>
      </c>
      <c r="B434" t="s">
        <v>2096</v>
      </c>
      <c r="C434" t="s">
        <v>2097</v>
      </c>
      <c r="D434" t="s">
        <v>2098</v>
      </c>
      <c r="E434" s="4"/>
      <c r="F434" s="256"/>
    </row>
    <row r="435" spans="1:6" x14ac:dyDescent="0.2">
      <c r="A435" t="s">
        <v>2077</v>
      </c>
      <c r="B435" t="s">
        <v>2099</v>
      </c>
      <c r="C435" t="s">
        <v>2100</v>
      </c>
      <c r="D435" t="s">
        <v>2101</v>
      </c>
      <c r="E435" s="4"/>
      <c r="F435" s="256"/>
    </row>
    <row r="436" spans="1:6" x14ac:dyDescent="0.2">
      <c r="A436" t="s">
        <v>2077</v>
      </c>
      <c r="B436" t="s">
        <v>1572</v>
      </c>
      <c r="C436" t="s">
        <v>1835</v>
      </c>
      <c r="D436" t="s">
        <v>1574</v>
      </c>
      <c r="E436" s="4"/>
    </row>
    <row r="437" spans="1:6" x14ac:dyDescent="0.2">
      <c r="A437" t="s">
        <v>2077</v>
      </c>
      <c r="B437" t="s">
        <v>1488</v>
      </c>
      <c r="C437" t="s">
        <v>1489</v>
      </c>
      <c r="D437" t="s">
        <v>1490</v>
      </c>
      <c r="E437" s="4"/>
    </row>
    <row r="438" spans="1:6" x14ac:dyDescent="0.2">
      <c r="A438" t="s">
        <v>2077</v>
      </c>
      <c r="B438" t="s">
        <v>1491</v>
      </c>
      <c r="C438" t="s">
        <v>1492</v>
      </c>
      <c r="D438" t="s">
        <v>1493</v>
      </c>
      <c r="E438" s="4"/>
    </row>
    <row r="439" spans="1:6" x14ac:dyDescent="0.2">
      <c r="E439" s="4"/>
    </row>
    <row r="440" spans="1:6" s="8" customFormat="1" x14ac:dyDescent="0.2">
      <c r="A440" s="200" t="s">
        <v>2102</v>
      </c>
      <c r="B440" s="200" t="s">
        <v>2103</v>
      </c>
      <c r="C440" s="200" t="s">
        <v>2104</v>
      </c>
      <c r="D440" s="200" t="s">
        <v>2105</v>
      </c>
      <c r="E440" s="5"/>
    </row>
    <row r="441" spans="1:6" s="8" customFormat="1" x14ac:dyDescent="0.2">
      <c r="A441" s="200" t="s">
        <v>2102</v>
      </c>
      <c r="B441" s="200" t="s">
        <v>2106</v>
      </c>
      <c r="C441" s="200" t="s">
        <v>2107</v>
      </c>
      <c r="D441" s="200" t="s">
        <v>2108</v>
      </c>
      <c r="E441" s="5"/>
    </row>
    <row r="442" spans="1:6" s="8" customFormat="1" x14ac:dyDescent="0.2">
      <c r="A442" s="200" t="s">
        <v>2102</v>
      </c>
      <c r="B442" s="200" t="s">
        <v>2109</v>
      </c>
      <c r="C442" s="200" t="s">
        <v>2110</v>
      </c>
      <c r="D442" s="200" t="s">
        <v>2111</v>
      </c>
      <c r="E442" s="5"/>
    </row>
    <row r="443" spans="1:6" s="8" customFormat="1" x14ac:dyDescent="0.2">
      <c r="A443" s="200" t="s">
        <v>2102</v>
      </c>
      <c r="B443" s="200" t="s">
        <v>2112</v>
      </c>
      <c r="C443" s="200" t="s">
        <v>2113</v>
      </c>
      <c r="D443" s="200" t="s">
        <v>2114</v>
      </c>
      <c r="E443" s="5"/>
    </row>
    <row r="444" spans="1:6" s="8" customFormat="1" x14ac:dyDescent="0.2">
      <c r="A444" s="200" t="s">
        <v>2102</v>
      </c>
      <c r="B444" s="200" t="s">
        <v>2087</v>
      </c>
      <c r="C444" s="200" t="s">
        <v>2115</v>
      </c>
      <c r="D444" s="200" t="s">
        <v>2116</v>
      </c>
      <c r="E444" s="5"/>
    </row>
    <row r="445" spans="1:6" s="8" customFormat="1" x14ac:dyDescent="0.2">
      <c r="A445" s="200" t="s">
        <v>2102</v>
      </c>
      <c r="B445" s="200" t="s">
        <v>2117</v>
      </c>
      <c r="C445" s="200" t="s">
        <v>2118</v>
      </c>
      <c r="D445" s="200" t="s">
        <v>2119</v>
      </c>
      <c r="E445" s="5"/>
    </row>
    <row r="446" spans="1:6" s="8" customFormat="1" x14ac:dyDescent="0.2">
      <c r="A446" s="200" t="s">
        <v>2102</v>
      </c>
      <c r="B446" s="200" t="s">
        <v>2093</v>
      </c>
      <c r="C446" s="200" t="s">
        <v>2120</v>
      </c>
      <c r="D446" s="200" t="s">
        <v>2121</v>
      </c>
      <c r="E446" s="5"/>
    </row>
    <row r="447" spans="1:6" s="8" customFormat="1" x14ac:dyDescent="0.2">
      <c r="A447" s="200" t="s">
        <v>2102</v>
      </c>
      <c r="B447" s="200" t="s">
        <v>1572</v>
      </c>
      <c r="C447" s="200" t="s">
        <v>1835</v>
      </c>
      <c r="D447" s="200" t="s">
        <v>1574</v>
      </c>
      <c r="E447" s="5"/>
    </row>
    <row r="448" spans="1:6" s="8" customFormat="1" x14ac:dyDescent="0.2">
      <c r="A448" s="200" t="s">
        <v>2102</v>
      </c>
      <c r="B448" s="200" t="s">
        <v>1488</v>
      </c>
      <c r="C448" s="200" t="s">
        <v>1489</v>
      </c>
      <c r="D448" s="200" t="s">
        <v>1490</v>
      </c>
      <c r="E448" s="5"/>
    </row>
    <row r="449" spans="1:6" s="8" customFormat="1" x14ac:dyDescent="0.2">
      <c r="A449" s="200" t="s">
        <v>2102</v>
      </c>
      <c r="B449" s="200" t="s">
        <v>1491</v>
      </c>
      <c r="C449" s="200" t="s">
        <v>1492</v>
      </c>
      <c r="D449" s="200" t="s">
        <v>1493</v>
      </c>
      <c r="E449" s="5"/>
    </row>
    <row r="450" spans="1:6" x14ac:dyDescent="0.2">
      <c r="E450" s="4"/>
    </row>
    <row r="451" spans="1:6" x14ac:dyDescent="0.2">
      <c r="A451" t="s">
        <v>2122</v>
      </c>
      <c r="B451">
        <v>1</v>
      </c>
      <c r="C451" t="s">
        <v>2123</v>
      </c>
      <c r="D451" t="s">
        <v>2124</v>
      </c>
      <c r="E451" s="4"/>
    </row>
    <row r="452" spans="1:6" x14ac:dyDescent="0.2">
      <c r="A452" t="s">
        <v>2122</v>
      </c>
      <c r="B452">
        <v>2</v>
      </c>
      <c r="C452" t="s">
        <v>2125</v>
      </c>
      <c r="D452" t="s">
        <v>2126</v>
      </c>
      <c r="E452" s="4"/>
    </row>
    <row r="453" spans="1:6" x14ac:dyDescent="0.2">
      <c r="A453" t="s">
        <v>2122</v>
      </c>
      <c r="B453">
        <v>3</v>
      </c>
      <c r="C453" t="s">
        <v>2127</v>
      </c>
      <c r="D453" t="s">
        <v>2128</v>
      </c>
      <c r="E453" s="4"/>
    </row>
    <row r="454" spans="1:6" x14ac:dyDescent="0.2">
      <c r="A454" t="s">
        <v>2122</v>
      </c>
      <c r="B454">
        <v>4</v>
      </c>
      <c r="C454" t="s">
        <v>2129</v>
      </c>
      <c r="D454" t="s">
        <v>2130</v>
      </c>
      <c r="E454" s="4"/>
    </row>
    <row r="455" spans="1:6" x14ac:dyDescent="0.2">
      <c r="A455" t="s">
        <v>2122</v>
      </c>
      <c r="B455" s="200" t="s">
        <v>1572</v>
      </c>
      <c r="C455" t="s">
        <v>1835</v>
      </c>
      <c r="D455" t="s">
        <v>1574</v>
      </c>
      <c r="E455" s="4"/>
    </row>
    <row r="456" spans="1:6" x14ac:dyDescent="0.2">
      <c r="A456" t="s">
        <v>2122</v>
      </c>
      <c r="B456" s="200" t="s">
        <v>1488</v>
      </c>
      <c r="C456" t="s">
        <v>1489</v>
      </c>
      <c r="D456" t="s">
        <v>1490</v>
      </c>
      <c r="E456" s="4"/>
    </row>
    <row r="457" spans="1:6" x14ac:dyDescent="0.2">
      <c r="A457" t="s">
        <v>2122</v>
      </c>
      <c r="B457" s="200" t="s">
        <v>1491</v>
      </c>
      <c r="C457" t="s">
        <v>1492</v>
      </c>
      <c r="D457" t="s">
        <v>1493</v>
      </c>
      <c r="E457" s="4"/>
    </row>
    <row r="458" spans="1:6" x14ac:dyDescent="0.2">
      <c r="E458" s="4"/>
    </row>
    <row r="459" spans="1:6" x14ac:dyDescent="0.2">
      <c r="A459" t="s">
        <v>2131</v>
      </c>
      <c r="B459" t="s">
        <v>1926</v>
      </c>
      <c r="C459" t="s">
        <v>1927</v>
      </c>
      <c r="D459" t="s">
        <v>1928</v>
      </c>
      <c r="E459" s="4"/>
      <c r="F459" s="256"/>
    </row>
    <row r="460" spans="1:6" x14ac:dyDescent="0.2">
      <c r="A460" t="s">
        <v>2131</v>
      </c>
      <c r="B460" t="s">
        <v>1929</v>
      </c>
      <c r="C460" t="s">
        <v>2132</v>
      </c>
      <c r="D460" t="s">
        <v>2133</v>
      </c>
      <c r="E460" s="4"/>
      <c r="F460" s="256"/>
    </row>
    <row r="461" spans="1:6" x14ac:dyDescent="0.2">
      <c r="A461" t="s">
        <v>2131</v>
      </c>
      <c r="B461" t="s">
        <v>1932</v>
      </c>
      <c r="C461" t="s">
        <v>2134</v>
      </c>
      <c r="D461" t="s">
        <v>2135</v>
      </c>
      <c r="E461" s="4"/>
      <c r="F461" s="256"/>
    </row>
    <row r="462" spans="1:6" x14ac:dyDescent="0.2">
      <c r="A462" t="s">
        <v>2131</v>
      </c>
      <c r="B462" t="s">
        <v>1935</v>
      </c>
      <c r="C462" t="s">
        <v>2136</v>
      </c>
      <c r="D462" t="s">
        <v>2137</v>
      </c>
      <c r="E462" s="4"/>
      <c r="F462" s="256"/>
    </row>
    <row r="463" spans="1:6" x14ac:dyDescent="0.2">
      <c r="A463" t="s">
        <v>2131</v>
      </c>
      <c r="B463" t="s">
        <v>2138</v>
      </c>
      <c r="C463" t="s">
        <v>1939</v>
      </c>
      <c r="D463" t="s">
        <v>2058</v>
      </c>
      <c r="E463" s="4"/>
      <c r="F463" s="256"/>
    </row>
    <row r="464" spans="1:6" x14ac:dyDescent="0.2">
      <c r="A464" t="s">
        <v>2131</v>
      </c>
      <c r="B464" t="s">
        <v>1941</v>
      </c>
      <c r="C464" t="s">
        <v>2139</v>
      </c>
      <c r="D464" t="s">
        <v>2140</v>
      </c>
      <c r="E464" s="4"/>
      <c r="F464" s="256"/>
    </row>
    <row r="465" spans="1:6" x14ac:dyDescent="0.2">
      <c r="A465" t="s">
        <v>2131</v>
      </c>
      <c r="B465" t="s">
        <v>1944</v>
      </c>
      <c r="C465" t="s">
        <v>2141</v>
      </c>
      <c r="D465" t="s">
        <v>1946</v>
      </c>
      <c r="E465" s="4"/>
      <c r="F465" s="256"/>
    </row>
    <row r="466" spans="1:6" x14ac:dyDescent="0.2">
      <c r="A466" t="s">
        <v>2131</v>
      </c>
      <c r="B466" t="s">
        <v>1572</v>
      </c>
      <c r="C466" t="s">
        <v>1871</v>
      </c>
      <c r="D466" t="s">
        <v>2142</v>
      </c>
      <c r="E466" s="4"/>
    </row>
    <row r="467" spans="1:6" x14ac:dyDescent="0.2">
      <c r="A467" t="s">
        <v>2131</v>
      </c>
      <c r="B467" t="s">
        <v>1488</v>
      </c>
      <c r="C467" t="s">
        <v>1489</v>
      </c>
      <c r="D467" t="s">
        <v>1490</v>
      </c>
      <c r="E467" s="4"/>
    </row>
    <row r="468" spans="1:6" x14ac:dyDescent="0.2">
      <c r="A468" t="s">
        <v>2131</v>
      </c>
      <c r="B468" t="s">
        <v>1491</v>
      </c>
      <c r="C468" t="s">
        <v>1492</v>
      </c>
      <c r="D468" t="s">
        <v>1493</v>
      </c>
      <c r="E468" s="4"/>
    </row>
    <row r="469" spans="1:6" x14ac:dyDescent="0.2">
      <c r="E469" s="4"/>
    </row>
    <row r="470" spans="1:6" x14ac:dyDescent="0.2">
      <c r="A470" t="s">
        <v>2143</v>
      </c>
      <c r="B470">
        <v>1</v>
      </c>
      <c r="C470" t="s">
        <v>2144</v>
      </c>
      <c r="D470" t="s">
        <v>2145</v>
      </c>
      <c r="E470" s="4"/>
    </row>
    <row r="471" spans="1:6" x14ac:dyDescent="0.2">
      <c r="A471" t="s">
        <v>2143</v>
      </c>
      <c r="B471">
        <v>2</v>
      </c>
      <c r="C471" t="s">
        <v>2146</v>
      </c>
      <c r="D471" t="s">
        <v>2147</v>
      </c>
      <c r="E471" s="4"/>
    </row>
    <row r="472" spans="1:6" x14ac:dyDescent="0.2">
      <c r="A472" t="s">
        <v>2143</v>
      </c>
      <c r="B472">
        <v>3</v>
      </c>
      <c r="C472" t="s">
        <v>2148</v>
      </c>
      <c r="D472" t="s">
        <v>2149</v>
      </c>
      <c r="E472" s="4"/>
    </row>
    <row r="473" spans="1:6" x14ac:dyDescent="0.2">
      <c r="A473" t="s">
        <v>2143</v>
      </c>
      <c r="B473" t="s">
        <v>1488</v>
      </c>
      <c r="C473" t="s">
        <v>2150</v>
      </c>
      <c r="D473" t="s">
        <v>1490</v>
      </c>
      <c r="E473" s="4"/>
    </row>
    <row r="474" spans="1:6" x14ac:dyDescent="0.2">
      <c r="A474" t="s">
        <v>2143</v>
      </c>
      <c r="B474" s="252" t="s">
        <v>1491</v>
      </c>
      <c r="C474" t="s">
        <v>1492</v>
      </c>
      <c r="D474" t="s">
        <v>1493</v>
      </c>
      <c r="E474" s="4"/>
    </row>
    <row r="475" spans="1:6" x14ac:dyDescent="0.2">
      <c r="E475" s="4"/>
    </row>
    <row r="476" spans="1:6" x14ac:dyDescent="0.2">
      <c r="A476" t="s">
        <v>2151</v>
      </c>
      <c r="B476">
        <v>1</v>
      </c>
      <c r="C476" t="s">
        <v>1484</v>
      </c>
      <c r="D476" t="s">
        <v>1485</v>
      </c>
      <c r="E476" s="4"/>
    </row>
    <row r="477" spans="1:6" x14ac:dyDescent="0.2">
      <c r="A477" t="s">
        <v>2151</v>
      </c>
      <c r="B477">
        <v>2</v>
      </c>
      <c r="C477" t="s">
        <v>2152</v>
      </c>
      <c r="D477" t="s">
        <v>2153</v>
      </c>
      <c r="E477" s="4"/>
    </row>
    <row r="478" spans="1:6" x14ac:dyDescent="0.2">
      <c r="A478" t="s">
        <v>2151</v>
      </c>
      <c r="B478">
        <v>3</v>
      </c>
      <c r="C478" t="s">
        <v>2154</v>
      </c>
      <c r="D478" t="s">
        <v>2155</v>
      </c>
      <c r="E478" s="4"/>
    </row>
    <row r="479" spans="1:6" x14ac:dyDescent="0.2">
      <c r="A479" t="s">
        <v>2151</v>
      </c>
      <c r="B479">
        <v>4</v>
      </c>
      <c r="C479" t="s">
        <v>2156</v>
      </c>
      <c r="D479" t="s">
        <v>2157</v>
      </c>
      <c r="E479" s="4"/>
    </row>
    <row r="480" spans="1:6" x14ac:dyDescent="0.2">
      <c r="A480" t="s">
        <v>2151</v>
      </c>
      <c r="B480" s="252" t="s">
        <v>1488</v>
      </c>
      <c r="C480" t="s">
        <v>1489</v>
      </c>
      <c r="D480" t="s">
        <v>1490</v>
      </c>
      <c r="E480" s="4"/>
    </row>
    <row r="481" spans="1:6" x14ac:dyDescent="0.2">
      <c r="A481" t="s">
        <v>2151</v>
      </c>
      <c r="B481" s="252" t="s">
        <v>1491</v>
      </c>
      <c r="C481" t="s">
        <v>1492</v>
      </c>
      <c r="D481" t="s">
        <v>1493</v>
      </c>
      <c r="E481" s="4"/>
    </row>
    <row r="482" spans="1:6" x14ac:dyDescent="0.2">
      <c r="E482" s="4"/>
    </row>
    <row r="483" spans="1:6" x14ac:dyDescent="0.2">
      <c r="A483" t="s">
        <v>2158</v>
      </c>
      <c r="B483" t="s">
        <v>2159</v>
      </c>
      <c r="C483" t="s">
        <v>2160</v>
      </c>
      <c r="D483" t="s">
        <v>2161</v>
      </c>
      <c r="E483" s="4"/>
      <c r="F483" s="256"/>
    </row>
    <row r="484" spans="1:6" x14ac:dyDescent="0.2">
      <c r="A484" t="s">
        <v>2158</v>
      </c>
      <c r="B484" t="s">
        <v>2162</v>
      </c>
      <c r="C484" t="s">
        <v>2163</v>
      </c>
      <c r="D484" t="s">
        <v>2164</v>
      </c>
      <c r="E484" s="4"/>
      <c r="F484" s="256"/>
    </row>
    <row r="485" spans="1:6" x14ac:dyDescent="0.2">
      <c r="A485" t="s">
        <v>2158</v>
      </c>
      <c r="B485" t="s">
        <v>2165</v>
      </c>
      <c r="C485" t="s">
        <v>2166</v>
      </c>
      <c r="D485" t="s">
        <v>2167</v>
      </c>
      <c r="E485" s="4"/>
      <c r="F485" s="256"/>
    </row>
    <row r="486" spans="1:6" x14ac:dyDescent="0.2">
      <c r="A486" t="s">
        <v>2158</v>
      </c>
      <c r="B486" t="s">
        <v>2168</v>
      </c>
      <c r="C486" t="s">
        <v>2169</v>
      </c>
      <c r="D486" t="s">
        <v>2170</v>
      </c>
      <c r="E486" s="4"/>
      <c r="F486" s="256"/>
    </row>
    <row r="487" spans="1:6" x14ac:dyDescent="0.2">
      <c r="A487" t="s">
        <v>2158</v>
      </c>
      <c r="B487" t="s">
        <v>2171</v>
      </c>
      <c r="C487" t="s">
        <v>2172</v>
      </c>
      <c r="D487" t="s">
        <v>2173</v>
      </c>
      <c r="E487" s="4"/>
      <c r="F487" s="256"/>
    </row>
    <row r="488" spans="1:6" x14ac:dyDescent="0.2">
      <c r="A488" t="s">
        <v>2158</v>
      </c>
      <c r="B488" t="s">
        <v>2174</v>
      </c>
      <c r="C488" t="s">
        <v>2175</v>
      </c>
      <c r="D488" t="s">
        <v>2176</v>
      </c>
      <c r="E488" s="4"/>
      <c r="F488" s="256"/>
    </row>
    <row r="489" spans="1:6" x14ac:dyDescent="0.2">
      <c r="A489" t="s">
        <v>2158</v>
      </c>
      <c r="B489" t="s">
        <v>989</v>
      </c>
      <c r="C489" t="s">
        <v>2177</v>
      </c>
      <c r="D489" t="s">
        <v>2178</v>
      </c>
      <c r="E489" s="4"/>
      <c r="F489" s="256"/>
    </row>
    <row r="490" spans="1:6" x14ac:dyDescent="0.2">
      <c r="A490" t="s">
        <v>2158</v>
      </c>
      <c r="B490" t="s">
        <v>2179</v>
      </c>
      <c r="C490" t="s">
        <v>2180</v>
      </c>
      <c r="D490" t="s">
        <v>2181</v>
      </c>
      <c r="E490" s="4"/>
      <c r="F490" s="256"/>
    </row>
    <row r="491" spans="1:6" x14ac:dyDescent="0.2">
      <c r="A491" t="s">
        <v>2158</v>
      </c>
      <c r="B491" t="s">
        <v>2182</v>
      </c>
      <c r="C491" t="s">
        <v>2183</v>
      </c>
      <c r="D491" t="s">
        <v>2184</v>
      </c>
      <c r="E491" s="4"/>
      <c r="F491" s="256"/>
    </row>
    <row r="492" spans="1:6" x14ac:dyDescent="0.2">
      <c r="A492" t="s">
        <v>2158</v>
      </c>
      <c r="B492" t="s">
        <v>2185</v>
      </c>
      <c r="C492" t="s">
        <v>2186</v>
      </c>
      <c r="D492" t="s">
        <v>2187</v>
      </c>
      <c r="E492" s="4"/>
      <c r="F492" s="256"/>
    </row>
    <row r="493" spans="1:6" x14ac:dyDescent="0.2">
      <c r="A493" t="s">
        <v>2158</v>
      </c>
      <c r="B493" t="s">
        <v>2188</v>
      </c>
      <c r="C493" t="s">
        <v>2189</v>
      </c>
      <c r="D493" t="s">
        <v>2190</v>
      </c>
      <c r="E493" s="4"/>
      <c r="F493" s="256"/>
    </row>
    <row r="494" spans="1:6" x14ac:dyDescent="0.2">
      <c r="A494" t="s">
        <v>2158</v>
      </c>
      <c r="B494" t="s">
        <v>2191</v>
      </c>
      <c r="C494" t="s">
        <v>2192</v>
      </c>
      <c r="D494" t="s">
        <v>2193</v>
      </c>
      <c r="E494" s="4"/>
      <c r="F494" s="256"/>
    </row>
    <row r="495" spans="1:6" x14ac:dyDescent="0.2">
      <c r="A495" t="s">
        <v>2158</v>
      </c>
      <c r="B495" t="s">
        <v>2194</v>
      </c>
      <c r="C495" t="s">
        <v>2195</v>
      </c>
      <c r="D495" t="s">
        <v>2196</v>
      </c>
      <c r="E495" s="4"/>
      <c r="F495" s="256"/>
    </row>
    <row r="496" spans="1:6" x14ac:dyDescent="0.2">
      <c r="A496" t="s">
        <v>2158</v>
      </c>
      <c r="B496" t="s">
        <v>2197</v>
      </c>
      <c r="C496" t="s">
        <v>2198</v>
      </c>
      <c r="D496" t="s">
        <v>2199</v>
      </c>
      <c r="E496" s="4"/>
      <c r="F496" s="256"/>
    </row>
    <row r="497" spans="1:6" x14ac:dyDescent="0.2">
      <c r="A497" t="s">
        <v>2158</v>
      </c>
      <c r="B497" t="s">
        <v>2200</v>
      </c>
      <c r="C497" t="s">
        <v>2201</v>
      </c>
      <c r="D497" t="s">
        <v>2202</v>
      </c>
      <c r="E497" s="4"/>
      <c r="F497" s="256"/>
    </row>
    <row r="498" spans="1:6" x14ac:dyDescent="0.2">
      <c r="A498" t="s">
        <v>2158</v>
      </c>
      <c r="B498" t="s">
        <v>2203</v>
      </c>
      <c r="C498" t="s">
        <v>2204</v>
      </c>
      <c r="D498" t="s">
        <v>2205</v>
      </c>
      <c r="E498" s="4"/>
      <c r="F498" s="256"/>
    </row>
    <row r="499" spans="1:6" x14ac:dyDescent="0.2">
      <c r="A499" t="s">
        <v>2158</v>
      </c>
      <c r="B499" t="s">
        <v>1572</v>
      </c>
      <c r="C499" t="s">
        <v>1835</v>
      </c>
      <c r="D499" t="s">
        <v>1574</v>
      </c>
      <c r="E499" s="4"/>
    </row>
    <row r="500" spans="1:6" x14ac:dyDescent="0.2">
      <c r="A500" t="s">
        <v>2158</v>
      </c>
      <c r="B500" t="s">
        <v>1488</v>
      </c>
      <c r="C500" t="s">
        <v>1489</v>
      </c>
      <c r="D500" t="s">
        <v>1490</v>
      </c>
      <c r="E500" s="4"/>
    </row>
    <row r="501" spans="1:6" x14ac:dyDescent="0.2">
      <c r="A501" t="s">
        <v>2158</v>
      </c>
      <c r="B501" t="s">
        <v>1491</v>
      </c>
      <c r="C501" t="s">
        <v>1492</v>
      </c>
      <c r="D501" t="s">
        <v>1493</v>
      </c>
      <c r="E501" s="4"/>
    </row>
    <row r="502" spans="1:6" x14ac:dyDescent="0.2">
      <c r="E502" s="4"/>
    </row>
    <row r="503" spans="1:6" x14ac:dyDescent="0.2">
      <c r="A503" t="s">
        <v>2206</v>
      </c>
      <c r="B503" t="s">
        <v>2159</v>
      </c>
      <c r="C503" t="s">
        <v>2160</v>
      </c>
      <c r="D503" t="s">
        <v>2207</v>
      </c>
      <c r="E503" s="4"/>
      <c r="F503" s="256"/>
    </row>
    <row r="504" spans="1:6" x14ac:dyDescent="0.2">
      <c r="A504" t="s">
        <v>2206</v>
      </c>
      <c r="B504" t="s">
        <v>2162</v>
      </c>
      <c r="C504" t="s">
        <v>2208</v>
      </c>
      <c r="D504" t="s">
        <v>2209</v>
      </c>
      <c r="E504" s="4"/>
      <c r="F504" s="256"/>
    </row>
    <row r="505" spans="1:6" x14ac:dyDescent="0.2">
      <c r="A505" t="s">
        <v>2206</v>
      </c>
      <c r="B505" t="s">
        <v>2165</v>
      </c>
      <c r="C505" t="s">
        <v>2210</v>
      </c>
      <c r="D505" t="s">
        <v>2211</v>
      </c>
      <c r="E505" s="4"/>
      <c r="F505" s="256"/>
    </row>
    <row r="506" spans="1:6" x14ac:dyDescent="0.2">
      <c r="A506" t="s">
        <v>2206</v>
      </c>
      <c r="B506" t="s">
        <v>2212</v>
      </c>
      <c r="C506" t="s">
        <v>2213</v>
      </c>
      <c r="D506" t="s">
        <v>2214</v>
      </c>
      <c r="E506" s="4"/>
      <c r="F506" s="256"/>
    </row>
    <row r="507" spans="1:6" x14ac:dyDescent="0.2">
      <c r="A507" t="s">
        <v>2206</v>
      </c>
      <c r="B507" t="s">
        <v>2215</v>
      </c>
      <c r="C507" t="s">
        <v>2216</v>
      </c>
      <c r="D507" t="s">
        <v>2217</v>
      </c>
      <c r="E507" s="4"/>
      <c r="F507" s="256"/>
    </row>
    <row r="508" spans="1:6" x14ac:dyDescent="0.2">
      <c r="A508" t="s">
        <v>2206</v>
      </c>
      <c r="B508" t="s">
        <v>2218</v>
      </c>
      <c r="C508" t="s">
        <v>2219</v>
      </c>
      <c r="D508" t="s">
        <v>2220</v>
      </c>
      <c r="E508" s="4"/>
      <c r="F508" s="256"/>
    </row>
    <row r="509" spans="1:6" x14ac:dyDescent="0.2">
      <c r="A509" t="s">
        <v>2206</v>
      </c>
      <c r="B509" t="s">
        <v>2221</v>
      </c>
      <c r="C509" t="s">
        <v>2198</v>
      </c>
      <c r="D509" t="s">
        <v>2222</v>
      </c>
      <c r="E509" s="4"/>
      <c r="F509" s="256"/>
    </row>
    <row r="510" spans="1:6" x14ac:dyDescent="0.2">
      <c r="A510" t="s">
        <v>2206</v>
      </c>
      <c r="B510" t="s">
        <v>2223</v>
      </c>
      <c r="C510" t="s">
        <v>2204</v>
      </c>
      <c r="D510" t="s">
        <v>2224</v>
      </c>
      <c r="E510" s="4"/>
      <c r="F510" s="256"/>
    </row>
    <row r="511" spans="1:6" x14ac:dyDescent="0.2">
      <c r="A511" t="s">
        <v>2206</v>
      </c>
      <c r="B511" t="s">
        <v>1572</v>
      </c>
      <c r="C511" t="s">
        <v>1835</v>
      </c>
      <c r="D511" t="s">
        <v>1574</v>
      </c>
      <c r="E511" s="4"/>
      <c r="F511" s="256"/>
    </row>
    <row r="512" spans="1:6" x14ac:dyDescent="0.2">
      <c r="A512" t="s">
        <v>2206</v>
      </c>
      <c r="B512" t="s">
        <v>1632</v>
      </c>
      <c r="C512" t="s">
        <v>2225</v>
      </c>
      <c r="D512" t="s">
        <v>2226</v>
      </c>
      <c r="E512" s="4"/>
      <c r="F512" s="256"/>
    </row>
    <row r="513" spans="1:6" x14ac:dyDescent="0.2">
      <c r="A513" t="s">
        <v>2206</v>
      </c>
      <c r="B513" t="s">
        <v>1488</v>
      </c>
      <c r="C513" t="s">
        <v>2150</v>
      </c>
      <c r="D513" t="s">
        <v>1490</v>
      </c>
      <c r="E513" s="4"/>
    </row>
    <row r="514" spans="1:6" x14ac:dyDescent="0.2">
      <c r="A514" t="s">
        <v>2206</v>
      </c>
      <c r="B514" t="s">
        <v>1491</v>
      </c>
      <c r="C514" t="s">
        <v>1492</v>
      </c>
      <c r="D514" t="s">
        <v>1493</v>
      </c>
      <c r="E514" s="4"/>
    </row>
    <row r="515" spans="1:6" x14ac:dyDescent="0.2">
      <c r="E515" s="4"/>
    </row>
    <row r="516" spans="1:6" x14ac:dyDescent="0.2">
      <c r="A516" t="s">
        <v>2227</v>
      </c>
      <c r="B516">
        <v>1</v>
      </c>
      <c r="C516" t="s">
        <v>1484</v>
      </c>
      <c r="D516" t="s">
        <v>1485</v>
      </c>
      <c r="E516" s="4"/>
      <c r="F516" s="256"/>
    </row>
    <row r="517" spans="1:6" x14ac:dyDescent="0.2">
      <c r="A517" t="s">
        <v>2227</v>
      </c>
      <c r="B517">
        <v>2</v>
      </c>
      <c r="C517" t="s">
        <v>2228</v>
      </c>
      <c r="D517" t="s">
        <v>2229</v>
      </c>
      <c r="E517" s="4"/>
      <c r="F517" s="256"/>
    </row>
    <row r="518" spans="1:6" x14ac:dyDescent="0.2">
      <c r="A518" t="s">
        <v>2227</v>
      </c>
      <c r="B518">
        <v>3</v>
      </c>
      <c r="C518" t="s">
        <v>2230</v>
      </c>
      <c r="D518" t="s">
        <v>2231</v>
      </c>
      <c r="E518" s="4"/>
      <c r="F518" s="256"/>
    </row>
    <row r="519" spans="1:6" x14ac:dyDescent="0.2">
      <c r="A519" t="s">
        <v>2227</v>
      </c>
      <c r="B519">
        <v>4</v>
      </c>
      <c r="C519" t="s">
        <v>2232</v>
      </c>
      <c r="D519" t="s">
        <v>2233</v>
      </c>
      <c r="E519" s="4"/>
      <c r="F519" s="256"/>
    </row>
    <row r="520" spans="1:6" x14ac:dyDescent="0.2">
      <c r="A520" t="s">
        <v>2227</v>
      </c>
      <c r="B520">
        <v>5</v>
      </c>
      <c r="C520" t="s">
        <v>2234</v>
      </c>
      <c r="D520" t="s">
        <v>2235</v>
      </c>
      <c r="E520" s="4"/>
      <c r="F520" s="256"/>
    </row>
    <row r="521" spans="1:6" x14ac:dyDescent="0.2">
      <c r="A521" t="s">
        <v>2227</v>
      </c>
      <c r="B521">
        <v>6</v>
      </c>
      <c r="C521" t="s">
        <v>2236</v>
      </c>
      <c r="D521" t="s">
        <v>2237</v>
      </c>
      <c r="E521" s="4"/>
      <c r="F521" s="256"/>
    </row>
    <row r="522" spans="1:6" x14ac:dyDescent="0.2">
      <c r="A522" t="s">
        <v>2227</v>
      </c>
      <c r="B522" t="s">
        <v>1488</v>
      </c>
      <c r="C522" s="3" t="s">
        <v>1489</v>
      </c>
      <c r="D522" t="s">
        <v>1490</v>
      </c>
      <c r="E522" s="4"/>
      <c r="F522" s="256"/>
    </row>
    <row r="523" spans="1:6" x14ac:dyDescent="0.2">
      <c r="A523" t="s">
        <v>2227</v>
      </c>
      <c r="B523" t="s">
        <v>1491</v>
      </c>
      <c r="C523" t="s">
        <v>1492</v>
      </c>
      <c r="D523" t="s">
        <v>1493</v>
      </c>
      <c r="E523" s="4"/>
      <c r="F523" s="256"/>
    </row>
    <row r="524" spans="1:6" x14ac:dyDescent="0.2">
      <c r="E524" s="4"/>
      <c r="F524" s="256"/>
    </row>
    <row r="525" spans="1:6" x14ac:dyDescent="0.2">
      <c r="A525" t="s">
        <v>2238</v>
      </c>
      <c r="B525" t="s">
        <v>2239</v>
      </c>
      <c r="C525" t="s">
        <v>2240</v>
      </c>
      <c r="D525" t="s">
        <v>2241</v>
      </c>
      <c r="E525" s="4"/>
      <c r="F525" s="256"/>
    </row>
    <row r="526" spans="1:6" x14ac:dyDescent="0.2">
      <c r="A526" t="s">
        <v>2238</v>
      </c>
      <c r="B526" t="s">
        <v>2242</v>
      </c>
      <c r="C526" t="s">
        <v>2243</v>
      </c>
      <c r="D526" t="s">
        <v>2244</v>
      </c>
      <c r="E526" s="4"/>
      <c r="F526" s="256"/>
    </row>
    <row r="527" spans="1:6" x14ac:dyDescent="0.2">
      <c r="A527" t="s">
        <v>2238</v>
      </c>
      <c r="B527" t="s">
        <v>2245</v>
      </c>
      <c r="C527" t="s">
        <v>2246</v>
      </c>
      <c r="D527" t="s">
        <v>2247</v>
      </c>
      <c r="E527" s="4"/>
      <c r="F527" s="256"/>
    </row>
    <row r="528" spans="1:6" x14ac:dyDescent="0.2">
      <c r="A528" t="s">
        <v>2238</v>
      </c>
      <c r="B528" t="s">
        <v>1865</v>
      </c>
      <c r="C528" t="s">
        <v>2248</v>
      </c>
      <c r="D528" t="s">
        <v>2249</v>
      </c>
      <c r="E528" s="4"/>
      <c r="F528" s="256"/>
    </row>
    <row r="529" spans="1:6" x14ac:dyDescent="0.2">
      <c r="A529" t="s">
        <v>2238</v>
      </c>
      <c r="B529" t="s">
        <v>1859</v>
      </c>
      <c r="C529" t="s">
        <v>2250</v>
      </c>
      <c r="D529" t="s">
        <v>2251</v>
      </c>
      <c r="E529" s="4"/>
      <c r="F529" s="256"/>
    </row>
    <row r="530" spans="1:6" x14ac:dyDescent="0.2">
      <c r="A530" t="s">
        <v>2238</v>
      </c>
      <c r="B530" t="s">
        <v>1572</v>
      </c>
      <c r="C530" t="s">
        <v>2252</v>
      </c>
      <c r="D530" t="s">
        <v>2253</v>
      </c>
      <c r="E530" s="4"/>
      <c r="F530" s="256"/>
    </row>
    <row r="531" spans="1:6" x14ac:dyDescent="0.2">
      <c r="A531" t="s">
        <v>2238</v>
      </c>
      <c r="B531" t="s">
        <v>1488</v>
      </c>
      <c r="C531" s="3" t="s">
        <v>1489</v>
      </c>
      <c r="D531" t="s">
        <v>1490</v>
      </c>
      <c r="E531" s="4"/>
      <c r="F531" s="256"/>
    </row>
    <row r="532" spans="1:6" x14ac:dyDescent="0.2">
      <c r="A532" t="s">
        <v>2238</v>
      </c>
      <c r="B532" t="s">
        <v>1491</v>
      </c>
      <c r="C532" t="s">
        <v>1492</v>
      </c>
      <c r="D532" t="s">
        <v>1493</v>
      </c>
      <c r="E532" s="4"/>
    </row>
    <row r="533" spans="1:6" x14ac:dyDescent="0.2">
      <c r="E533" s="4"/>
    </row>
    <row r="534" spans="1:6" x14ac:dyDescent="0.2">
      <c r="A534" t="s">
        <v>2254</v>
      </c>
      <c r="B534" t="s">
        <v>2255</v>
      </c>
      <c r="C534" t="s">
        <v>2256</v>
      </c>
      <c r="D534" t="s">
        <v>2257</v>
      </c>
      <c r="E534" s="4"/>
    </row>
    <row r="535" spans="1:6" x14ac:dyDescent="0.2">
      <c r="A535" t="s">
        <v>2254</v>
      </c>
      <c r="B535" t="s">
        <v>2258</v>
      </c>
      <c r="C535" t="s">
        <v>2259</v>
      </c>
      <c r="D535" t="s">
        <v>2260</v>
      </c>
      <c r="E535" s="4"/>
    </row>
    <row r="536" spans="1:6" x14ac:dyDescent="0.2">
      <c r="A536" t="s">
        <v>2254</v>
      </c>
      <c r="B536" t="s">
        <v>2261</v>
      </c>
      <c r="C536" t="s">
        <v>2262</v>
      </c>
      <c r="D536" t="s">
        <v>2263</v>
      </c>
      <c r="E536" s="4"/>
    </row>
    <row r="537" spans="1:6" x14ac:dyDescent="0.2">
      <c r="A537" t="s">
        <v>2254</v>
      </c>
      <c r="B537" t="s">
        <v>2264</v>
      </c>
      <c r="C537" t="s">
        <v>2265</v>
      </c>
      <c r="D537" t="s">
        <v>2266</v>
      </c>
      <c r="E537" s="4"/>
    </row>
    <row r="538" spans="1:6" x14ac:dyDescent="0.2">
      <c r="A538" t="s">
        <v>2254</v>
      </c>
      <c r="B538" t="s">
        <v>2267</v>
      </c>
      <c r="C538" t="s">
        <v>2268</v>
      </c>
      <c r="D538" t="s">
        <v>2269</v>
      </c>
      <c r="E538" s="4"/>
    </row>
    <row r="539" spans="1:6" x14ac:dyDescent="0.2">
      <c r="A539" t="s">
        <v>2254</v>
      </c>
      <c r="B539" t="s">
        <v>2270</v>
      </c>
      <c r="C539" t="s">
        <v>2271</v>
      </c>
      <c r="D539" t="s">
        <v>2272</v>
      </c>
      <c r="E539" s="4"/>
    </row>
    <row r="540" spans="1:6" x14ac:dyDescent="0.2">
      <c r="A540" t="s">
        <v>2254</v>
      </c>
      <c r="B540" t="s">
        <v>2273</v>
      </c>
      <c r="C540" t="s">
        <v>2274</v>
      </c>
      <c r="D540" t="s">
        <v>2275</v>
      </c>
      <c r="E540" s="4"/>
    </row>
    <row r="541" spans="1:6" x14ac:dyDescent="0.2">
      <c r="E541" s="4"/>
    </row>
    <row r="542" spans="1:6" x14ac:dyDescent="0.2">
      <c r="A542" t="s">
        <v>28</v>
      </c>
      <c r="B542" t="s">
        <v>2276</v>
      </c>
      <c r="C542" t="s">
        <v>2277</v>
      </c>
      <c r="D542" t="s">
        <v>2278</v>
      </c>
      <c r="E542" s="4"/>
    </row>
    <row r="543" spans="1:6" x14ac:dyDescent="0.2">
      <c r="A543" t="s">
        <v>28</v>
      </c>
      <c r="B543" t="s">
        <v>2279</v>
      </c>
      <c r="C543" t="s">
        <v>2280</v>
      </c>
      <c r="D543" t="s">
        <v>2281</v>
      </c>
      <c r="E543" s="4"/>
    </row>
    <row r="544" spans="1:6" x14ac:dyDescent="0.2">
      <c r="A544" t="s">
        <v>28</v>
      </c>
      <c r="B544" t="s">
        <v>2282</v>
      </c>
      <c r="C544" t="s">
        <v>2283</v>
      </c>
      <c r="D544" t="s">
        <v>2284</v>
      </c>
      <c r="E544" s="4"/>
    </row>
    <row r="545" spans="1:6" x14ac:dyDescent="0.2">
      <c r="A545" s="253"/>
      <c r="B545" s="253"/>
      <c r="C545" s="253"/>
      <c r="E545" s="4"/>
      <c r="F545" s="253"/>
    </row>
    <row r="546" spans="1:6" ht="16" customHeight="1" x14ac:dyDescent="0.2">
      <c r="A546" s="3" t="s">
        <v>2285</v>
      </c>
      <c r="B546" s="221">
        <v>1</v>
      </c>
      <c r="C546" s="221" t="s">
        <v>2286</v>
      </c>
      <c r="D546" s="254" t="s">
        <v>2287</v>
      </c>
      <c r="E546" s="4"/>
    </row>
    <row r="547" spans="1:6" ht="16" customHeight="1" x14ac:dyDescent="0.2">
      <c r="A547" s="3" t="s">
        <v>2285</v>
      </c>
      <c r="B547" s="221">
        <v>2</v>
      </c>
      <c r="C547" s="221" t="s">
        <v>2288</v>
      </c>
      <c r="D547" s="254" t="s">
        <v>2289</v>
      </c>
      <c r="E547" s="4"/>
    </row>
    <row r="548" spans="1:6" ht="16" customHeight="1" x14ac:dyDescent="0.2">
      <c r="A548" s="3" t="s">
        <v>2285</v>
      </c>
      <c r="B548" s="221">
        <v>3</v>
      </c>
      <c r="C548" s="221" t="s">
        <v>2290</v>
      </c>
      <c r="D548" s="254" t="s">
        <v>2291</v>
      </c>
      <c r="E548" s="4"/>
    </row>
    <row r="549" spans="1:6" ht="16" customHeight="1" x14ac:dyDescent="0.2">
      <c r="A549" s="3" t="s">
        <v>2285</v>
      </c>
      <c r="B549" s="221">
        <v>4</v>
      </c>
      <c r="C549" s="221" t="s">
        <v>2292</v>
      </c>
      <c r="D549" s="254" t="s">
        <v>2293</v>
      </c>
      <c r="E549" s="4"/>
    </row>
    <row r="550" spans="1:6" ht="16" customHeight="1" x14ac:dyDescent="0.2">
      <c r="A550" s="3" t="s">
        <v>2285</v>
      </c>
      <c r="B550" s="221">
        <v>5</v>
      </c>
      <c r="C550" s="221" t="s">
        <v>2294</v>
      </c>
      <c r="D550" s="254" t="s">
        <v>2295</v>
      </c>
      <c r="E550" s="4"/>
    </row>
    <row r="551" spans="1:6" ht="16" customHeight="1" x14ac:dyDescent="0.2">
      <c r="A551" s="3" t="s">
        <v>2285</v>
      </c>
      <c r="B551" s="221">
        <v>6</v>
      </c>
      <c r="C551" s="221" t="s">
        <v>2296</v>
      </c>
      <c r="D551" s="254" t="s">
        <v>1576</v>
      </c>
      <c r="E551" s="4"/>
    </row>
    <row r="552" spans="1:6" ht="16" customHeight="1" x14ac:dyDescent="0.2">
      <c r="A552" s="3" t="s">
        <v>2285</v>
      </c>
      <c r="B552" s="221" t="s">
        <v>1572</v>
      </c>
      <c r="C552" s="221" t="s">
        <v>2252</v>
      </c>
      <c r="D552" t="s">
        <v>2253</v>
      </c>
      <c r="E552" s="4"/>
    </row>
    <row r="553" spans="1:6" x14ac:dyDescent="0.2">
      <c r="E553" s="4"/>
    </row>
    <row r="554" spans="1:6" ht="16" customHeight="1" x14ac:dyDescent="0.2">
      <c r="A554" s="3" t="s">
        <v>2297</v>
      </c>
      <c r="B554" s="221">
        <v>1</v>
      </c>
      <c r="C554" s="221" t="s">
        <v>2298</v>
      </c>
      <c r="D554" s="254" t="s">
        <v>2299</v>
      </c>
      <c r="E554" s="4"/>
    </row>
    <row r="555" spans="1:6" ht="16" customHeight="1" x14ac:dyDescent="0.2">
      <c r="A555" s="3" t="s">
        <v>2297</v>
      </c>
      <c r="B555" s="221">
        <v>2</v>
      </c>
      <c r="C555" s="221" t="s">
        <v>2300</v>
      </c>
      <c r="D555" s="254" t="s">
        <v>2301</v>
      </c>
      <c r="E555" s="4"/>
    </row>
    <row r="556" spans="1:6" ht="16" customHeight="1" x14ac:dyDescent="0.2">
      <c r="A556" s="3" t="s">
        <v>2297</v>
      </c>
      <c r="B556" s="221">
        <v>3</v>
      </c>
      <c r="C556" s="221" t="s">
        <v>2302</v>
      </c>
      <c r="D556" s="254" t="s">
        <v>2303</v>
      </c>
      <c r="E556" s="4"/>
    </row>
    <row r="557" spans="1:6" ht="16" customHeight="1" x14ac:dyDescent="0.2">
      <c r="A557" s="3" t="s">
        <v>2297</v>
      </c>
      <c r="B557" s="221">
        <v>4</v>
      </c>
      <c r="C557" s="221" t="s">
        <v>2304</v>
      </c>
      <c r="D557" s="254" t="s">
        <v>2305</v>
      </c>
      <c r="E557" s="4"/>
    </row>
    <row r="558" spans="1:6" ht="16" customHeight="1" x14ac:dyDescent="0.2">
      <c r="A558" s="3" t="s">
        <v>2297</v>
      </c>
      <c r="B558" s="221">
        <v>5</v>
      </c>
      <c r="C558" s="221" t="s">
        <v>2306</v>
      </c>
      <c r="D558" s="254" t="s">
        <v>2307</v>
      </c>
      <c r="E558" s="4"/>
    </row>
    <row r="559" spans="1:6" ht="16" customHeight="1" x14ac:dyDescent="0.2">
      <c r="A559" s="3" t="s">
        <v>2297</v>
      </c>
      <c r="B559" s="221">
        <v>6</v>
      </c>
      <c r="C559" s="221" t="s">
        <v>2296</v>
      </c>
      <c r="D559" s="254" t="s">
        <v>1576</v>
      </c>
      <c r="E559" s="4"/>
    </row>
    <row r="560" spans="1:6" ht="16" customHeight="1" x14ac:dyDescent="0.2">
      <c r="A560" s="3" t="s">
        <v>2297</v>
      </c>
      <c r="B560" s="221" t="s">
        <v>1572</v>
      </c>
      <c r="C560" s="221" t="s">
        <v>2252</v>
      </c>
      <c r="D560" t="s">
        <v>2253</v>
      </c>
      <c r="E560" s="4"/>
    </row>
    <row r="561" spans="1:5" x14ac:dyDescent="0.2">
      <c r="E561" s="4"/>
    </row>
    <row r="562" spans="1:5" ht="16" customHeight="1" x14ac:dyDescent="0.2">
      <c r="A562" s="3" t="s">
        <v>2308</v>
      </c>
      <c r="B562" s="3">
        <v>1</v>
      </c>
      <c r="C562" s="221" t="s">
        <v>2309</v>
      </c>
      <c r="D562" s="254" t="s">
        <v>2310</v>
      </c>
      <c r="E562" s="4"/>
    </row>
    <row r="563" spans="1:5" ht="16" customHeight="1" x14ac:dyDescent="0.2">
      <c r="A563" s="3" t="s">
        <v>2308</v>
      </c>
      <c r="B563" s="3">
        <v>2</v>
      </c>
      <c r="C563" s="221" t="s">
        <v>2311</v>
      </c>
      <c r="D563" s="254" t="s">
        <v>2312</v>
      </c>
      <c r="E563" s="4"/>
    </row>
    <row r="564" spans="1:5" ht="16" customHeight="1" x14ac:dyDescent="0.2">
      <c r="A564" s="3" t="s">
        <v>2308</v>
      </c>
      <c r="B564" s="3">
        <v>3</v>
      </c>
      <c r="C564" s="221" t="s">
        <v>2313</v>
      </c>
      <c r="D564" s="254" t="s">
        <v>2314</v>
      </c>
      <c r="E564" s="4"/>
    </row>
    <row r="565" spans="1:5" ht="16" customHeight="1" x14ac:dyDescent="0.2">
      <c r="A565" s="3" t="s">
        <v>2308</v>
      </c>
      <c r="B565" s="3">
        <v>4</v>
      </c>
      <c r="C565" s="221" t="s">
        <v>2315</v>
      </c>
      <c r="D565" s="254" t="s">
        <v>2316</v>
      </c>
      <c r="E565" s="4"/>
    </row>
    <row r="566" spans="1:5" ht="16" customHeight="1" x14ac:dyDescent="0.2">
      <c r="A566" s="3" t="s">
        <v>2308</v>
      </c>
      <c r="B566" s="3">
        <v>5</v>
      </c>
      <c r="C566" s="221" t="s">
        <v>2317</v>
      </c>
      <c r="D566" s="254" t="s">
        <v>2318</v>
      </c>
      <c r="E566" s="4"/>
    </row>
    <row r="567" spans="1:5" ht="16" customHeight="1" x14ac:dyDescent="0.2">
      <c r="A567" s="3" t="s">
        <v>2308</v>
      </c>
      <c r="B567" s="3">
        <v>6</v>
      </c>
      <c r="C567" s="221" t="s">
        <v>2296</v>
      </c>
      <c r="D567" s="254" t="s">
        <v>1576</v>
      </c>
      <c r="E567" s="4"/>
    </row>
    <row r="568" spans="1:5" ht="16" customHeight="1" x14ac:dyDescent="0.2">
      <c r="A568" s="3" t="s">
        <v>2308</v>
      </c>
      <c r="B568" s="221" t="s">
        <v>1572</v>
      </c>
      <c r="C568" s="221" t="s">
        <v>2252</v>
      </c>
      <c r="D568" t="s">
        <v>2253</v>
      </c>
      <c r="E568" s="4"/>
    </row>
    <row r="569" spans="1:5" x14ac:dyDescent="0.2">
      <c r="E569" s="4"/>
    </row>
    <row r="570" spans="1:5" ht="28.75" customHeight="1" x14ac:dyDescent="0.2">
      <c r="A570" t="s">
        <v>2319</v>
      </c>
      <c r="B570">
        <v>1</v>
      </c>
      <c r="C570" s="221" t="s">
        <v>2320</v>
      </c>
      <c r="D570" s="254" t="s">
        <v>2321</v>
      </c>
      <c r="E570" s="4"/>
    </row>
    <row r="571" spans="1:5" ht="16" customHeight="1" x14ac:dyDescent="0.2">
      <c r="A571" t="s">
        <v>2319</v>
      </c>
      <c r="B571">
        <v>2</v>
      </c>
      <c r="C571" s="221" t="s">
        <v>2322</v>
      </c>
      <c r="D571" s="254" t="s">
        <v>2323</v>
      </c>
      <c r="E571" s="4"/>
    </row>
    <row r="572" spans="1:5" ht="27" customHeight="1" x14ac:dyDescent="0.2">
      <c r="A572" t="s">
        <v>2319</v>
      </c>
      <c r="B572">
        <v>3</v>
      </c>
      <c r="C572" s="221" t="s">
        <v>2324</v>
      </c>
      <c r="D572" s="254" t="s">
        <v>2325</v>
      </c>
      <c r="E572" s="4"/>
    </row>
    <row r="573" spans="1:5" ht="16" customHeight="1" x14ac:dyDescent="0.2">
      <c r="A573" t="s">
        <v>2319</v>
      </c>
      <c r="B573">
        <v>4</v>
      </c>
      <c r="C573" s="221" t="s">
        <v>2326</v>
      </c>
      <c r="D573" s="254" t="s">
        <v>2327</v>
      </c>
      <c r="E573" s="4"/>
    </row>
    <row r="574" spans="1:5" ht="16" customHeight="1" x14ac:dyDescent="0.2">
      <c r="A574" t="s">
        <v>2319</v>
      </c>
      <c r="B574">
        <v>5</v>
      </c>
      <c r="C574" s="221" t="s">
        <v>2328</v>
      </c>
      <c r="D574" s="254" t="s">
        <v>2329</v>
      </c>
      <c r="E574" s="4"/>
    </row>
    <row r="575" spans="1:5" ht="16" customHeight="1" x14ac:dyDescent="0.2">
      <c r="A575" t="s">
        <v>2319</v>
      </c>
      <c r="B575">
        <v>6</v>
      </c>
      <c r="C575" s="221" t="s">
        <v>2296</v>
      </c>
      <c r="D575" s="254" t="s">
        <v>1576</v>
      </c>
      <c r="E575" s="4"/>
    </row>
    <row r="576" spans="1:5" ht="16" customHeight="1" x14ac:dyDescent="0.2">
      <c r="A576" t="s">
        <v>2319</v>
      </c>
      <c r="B576" s="221" t="s">
        <v>1572</v>
      </c>
      <c r="C576" s="221" t="s">
        <v>2252</v>
      </c>
      <c r="D576" t="s">
        <v>2253</v>
      </c>
      <c r="E576" s="4"/>
    </row>
    <row r="577" spans="1:5" x14ac:dyDescent="0.2">
      <c r="E577" s="4"/>
    </row>
    <row r="578" spans="1:5" x14ac:dyDescent="0.2">
      <c r="A578" s="3" t="s">
        <v>2330</v>
      </c>
      <c r="B578" s="3">
        <v>1</v>
      </c>
      <c r="C578" s="3" t="s">
        <v>2331</v>
      </c>
      <c r="D578" s="3" t="s">
        <v>2332</v>
      </c>
      <c r="E578" s="4"/>
    </row>
    <row r="579" spans="1:5" x14ac:dyDescent="0.2">
      <c r="A579" s="3" t="s">
        <v>2330</v>
      </c>
      <c r="B579" s="3">
        <v>2</v>
      </c>
      <c r="C579" s="3" t="s">
        <v>2333</v>
      </c>
      <c r="D579" s="3" t="s">
        <v>2334</v>
      </c>
      <c r="E579" s="4"/>
    </row>
    <row r="580" spans="1:5" x14ac:dyDescent="0.2">
      <c r="A580" s="3" t="s">
        <v>2330</v>
      </c>
      <c r="B580" s="3">
        <v>3</v>
      </c>
      <c r="C580" s="3" t="s">
        <v>2335</v>
      </c>
      <c r="D580" s="3" t="s">
        <v>2336</v>
      </c>
      <c r="E580" s="4"/>
    </row>
    <row r="581" spans="1:5" x14ac:dyDescent="0.2">
      <c r="A581" s="3" t="s">
        <v>2330</v>
      </c>
      <c r="B581" s="3">
        <v>4</v>
      </c>
      <c r="C581" s="3" t="s">
        <v>1489</v>
      </c>
      <c r="D581" t="s">
        <v>1490</v>
      </c>
      <c r="E581" s="4"/>
    </row>
    <row r="582" spans="1:5" x14ac:dyDescent="0.2">
      <c r="E582" s="4"/>
    </row>
    <row r="583" spans="1:5" ht="16" customHeight="1" x14ac:dyDescent="0.2">
      <c r="A583" s="3" t="s">
        <v>2337</v>
      </c>
      <c r="B583" s="3">
        <v>2</v>
      </c>
      <c r="C583" s="221" t="s">
        <v>2338</v>
      </c>
      <c r="D583" s="254" t="s">
        <v>2339</v>
      </c>
      <c r="E583" s="4"/>
    </row>
    <row r="584" spans="1:5" ht="16" customHeight="1" x14ac:dyDescent="0.2">
      <c r="A584" s="3" t="s">
        <v>2337</v>
      </c>
      <c r="B584" s="3">
        <v>3</v>
      </c>
      <c r="C584" s="221" t="s">
        <v>2340</v>
      </c>
      <c r="D584" s="254" t="s">
        <v>2341</v>
      </c>
      <c r="E584" s="4"/>
    </row>
    <row r="585" spans="1:5" ht="16" customHeight="1" x14ac:dyDescent="0.2">
      <c r="A585" s="3" t="s">
        <v>2337</v>
      </c>
      <c r="B585" s="3">
        <v>4</v>
      </c>
      <c r="C585" s="221" t="s">
        <v>2342</v>
      </c>
      <c r="D585" s="254" t="s">
        <v>2343</v>
      </c>
      <c r="E585" s="4"/>
    </row>
    <row r="586" spans="1:5" ht="16" customHeight="1" x14ac:dyDescent="0.2">
      <c r="A586" s="3" t="s">
        <v>2337</v>
      </c>
      <c r="B586" s="3">
        <v>5</v>
      </c>
      <c r="C586" s="221" t="s">
        <v>2344</v>
      </c>
      <c r="D586" s="254" t="s">
        <v>2345</v>
      </c>
      <c r="E586" s="4"/>
    </row>
    <row r="587" spans="1:5" ht="16" customHeight="1" x14ac:dyDescent="0.2">
      <c r="A587" s="3" t="s">
        <v>2337</v>
      </c>
      <c r="B587" s="3">
        <v>6</v>
      </c>
      <c r="C587" s="221" t="s">
        <v>1489</v>
      </c>
      <c r="D587" s="254" t="s">
        <v>1490</v>
      </c>
      <c r="E587" s="4"/>
    </row>
    <row r="588" spans="1:5" ht="16" customHeight="1" x14ac:dyDescent="0.2">
      <c r="A588" s="3" t="s">
        <v>2337</v>
      </c>
      <c r="B588" s="3">
        <v>7</v>
      </c>
      <c r="C588" s="221" t="s">
        <v>2156</v>
      </c>
      <c r="D588" s="254" t="s">
        <v>2346</v>
      </c>
      <c r="E588" s="4"/>
    </row>
    <row r="589" spans="1:5" x14ac:dyDescent="0.2">
      <c r="E589" s="4"/>
    </row>
    <row r="590" spans="1:5" ht="16" customHeight="1" x14ac:dyDescent="0.2">
      <c r="A590" s="3" t="s">
        <v>2347</v>
      </c>
      <c r="B590" s="3">
        <v>1</v>
      </c>
      <c r="C590" s="221" t="s">
        <v>1632</v>
      </c>
      <c r="D590" s="254" t="s">
        <v>1576</v>
      </c>
      <c r="E590" s="4"/>
    </row>
    <row r="591" spans="1:5" ht="16" customHeight="1" x14ac:dyDescent="0.2">
      <c r="A591" s="3" t="s">
        <v>2347</v>
      </c>
      <c r="B591" s="3">
        <v>2</v>
      </c>
      <c r="C591" s="221" t="s">
        <v>2338</v>
      </c>
      <c r="D591" s="254" t="s">
        <v>2339</v>
      </c>
      <c r="E591" s="4"/>
    </row>
    <row r="592" spans="1:5" ht="16" customHeight="1" x14ac:dyDescent="0.2">
      <c r="A592" s="3" t="s">
        <v>2347</v>
      </c>
      <c r="B592" s="3">
        <v>3</v>
      </c>
      <c r="C592" s="221" t="s">
        <v>2340</v>
      </c>
      <c r="D592" s="254" t="s">
        <v>2341</v>
      </c>
      <c r="E592" s="4"/>
    </row>
    <row r="593" spans="1:5" ht="16" customHeight="1" x14ac:dyDescent="0.2">
      <c r="A593" s="3" t="s">
        <v>2347</v>
      </c>
      <c r="B593" s="3">
        <v>4</v>
      </c>
      <c r="C593" s="221" t="s">
        <v>2342</v>
      </c>
      <c r="D593" s="254" t="s">
        <v>2343</v>
      </c>
      <c r="E593" s="4"/>
    </row>
    <row r="594" spans="1:5" ht="16" customHeight="1" x14ac:dyDescent="0.2">
      <c r="A594" s="3" t="s">
        <v>2347</v>
      </c>
      <c r="B594" s="3">
        <v>5</v>
      </c>
      <c r="C594" s="221" t="s">
        <v>2344</v>
      </c>
      <c r="D594" s="254" t="s">
        <v>2345</v>
      </c>
      <c r="E594" s="4"/>
    </row>
    <row r="595" spans="1:5" ht="16" customHeight="1" x14ac:dyDescent="0.2">
      <c r="A595" s="3" t="s">
        <v>2347</v>
      </c>
      <c r="B595" s="3">
        <v>6</v>
      </c>
      <c r="C595" s="221" t="s">
        <v>1489</v>
      </c>
      <c r="D595" s="254" t="s">
        <v>1490</v>
      </c>
      <c r="E595" s="4"/>
    </row>
    <row r="596" spans="1:5" ht="16" customHeight="1" x14ac:dyDescent="0.2">
      <c r="A596" s="3" t="s">
        <v>2347</v>
      </c>
      <c r="B596" s="3">
        <v>7</v>
      </c>
      <c r="C596" s="221" t="s">
        <v>2156</v>
      </c>
      <c r="D596" s="254" t="s">
        <v>2346</v>
      </c>
      <c r="E596" s="4"/>
    </row>
    <row r="597" spans="1:5" x14ac:dyDescent="0.2">
      <c r="C597" s="221"/>
      <c r="D597" s="254"/>
      <c r="E597" s="4"/>
    </row>
    <row r="598" spans="1:5" ht="16" customHeight="1" x14ac:dyDescent="0.2">
      <c r="A598" s="3" t="s">
        <v>2348</v>
      </c>
      <c r="B598" s="3">
        <v>1</v>
      </c>
      <c r="C598" s="221" t="s">
        <v>2349</v>
      </c>
      <c r="D598" s="254" t="s">
        <v>2350</v>
      </c>
      <c r="E598" s="4"/>
    </row>
    <row r="599" spans="1:5" ht="16" customHeight="1" x14ac:dyDescent="0.2">
      <c r="A599" s="3" t="s">
        <v>2348</v>
      </c>
      <c r="B599" s="3">
        <v>2</v>
      </c>
      <c r="C599" s="221" t="s">
        <v>2351</v>
      </c>
      <c r="D599" s="254" t="s">
        <v>2352</v>
      </c>
      <c r="E599" s="4"/>
    </row>
    <row r="600" spans="1:5" ht="32" customHeight="1" x14ac:dyDescent="0.2">
      <c r="A600" s="3" t="s">
        <v>2348</v>
      </c>
      <c r="B600" s="3">
        <v>3</v>
      </c>
      <c r="C600" s="221" t="s">
        <v>2353</v>
      </c>
      <c r="D600" s="254" t="s">
        <v>2354</v>
      </c>
      <c r="E600" s="4"/>
    </row>
    <row r="601" spans="1:5" ht="32" customHeight="1" x14ac:dyDescent="0.2">
      <c r="A601" s="3" t="s">
        <v>2348</v>
      </c>
      <c r="B601" s="3">
        <v>4</v>
      </c>
      <c r="C601" s="221" t="s">
        <v>2355</v>
      </c>
      <c r="D601" s="254" t="s">
        <v>2356</v>
      </c>
      <c r="E601" s="4"/>
    </row>
    <row r="602" spans="1:5" ht="16" customHeight="1" x14ac:dyDescent="0.2">
      <c r="A602" s="3" t="s">
        <v>2348</v>
      </c>
      <c r="B602" s="3">
        <v>5</v>
      </c>
      <c r="C602" s="221" t="s">
        <v>2296</v>
      </c>
      <c r="D602" s="254" t="s">
        <v>1576</v>
      </c>
      <c r="E602" s="4"/>
    </row>
    <row r="603" spans="1:5" ht="16" customHeight="1" x14ac:dyDescent="0.2">
      <c r="A603" s="3" t="s">
        <v>2348</v>
      </c>
      <c r="B603" s="221" t="s">
        <v>1572</v>
      </c>
      <c r="C603" s="221" t="s">
        <v>2252</v>
      </c>
      <c r="D603" t="s">
        <v>2253</v>
      </c>
      <c r="E603" s="4"/>
    </row>
    <row r="604" spans="1:5" x14ac:dyDescent="0.2">
      <c r="D604" s="254"/>
      <c r="E604" s="4"/>
    </row>
    <row r="605" spans="1:5" s="8" customFormat="1" x14ac:dyDescent="0.2">
      <c r="A605" s="8" t="s">
        <v>2357</v>
      </c>
      <c r="B605" s="8">
        <v>1</v>
      </c>
      <c r="C605" s="200" t="s">
        <v>2358</v>
      </c>
      <c r="D605" s="255" t="s">
        <v>2359</v>
      </c>
      <c r="E605" s="4"/>
    </row>
    <row r="606" spans="1:5" s="8" customFormat="1" x14ac:dyDescent="0.2">
      <c r="A606" s="8" t="s">
        <v>2357</v>
      </c>
      <c r="B606" s="8">
        <v>2</v>
      </c>
      <c r="C606" s="200" t="s">
        <v>2360</v>
      </c>
      <c r="D606" s="255" t="s">
        <v>2361</v>
      </c>
      <c r="E606" s="4"/>
    </row>
    <row r="607" spans="1:5" s="8" customFormat="1" x14ac:dyDescent="0.2">
      <c r="A607" s="8" t="s">
        <v>2357</v>
      </c>
      <c r="B607" s="8">
        <v>3</v>
      </c>
      <c r="C607" s="200" t="s">
        <v>2362</v>
      </c>
      <c r="D607" s="255" t="s">
        <v>2363</v>
      </c>
      <c r="E607" s="4"/>
    </row>
    <row r="608" spans="1:5" s="8" customFormat="1" x14ac:dyDescent="0.2">
      <c r="A608" s="8" t="s">
        <v>2357</v>
      </c>
      <c r="B608" s="8">
        <v>4</v>
      </c>
      <c r="C608" s="200" t="s">
        <v>2364</v>
      </c>
      <c r="D608" s="255" t="s">
        <v>2365</v>
      </c>
      <c r="E608" s="4"/>
    </row>
    <row r="609" spans="1:5" s="8" customFormat="1" x14ac:dyDescent="0.2">
      <c r="C609" s="200"/>
      <c r="E609" s="4"/>
    </row>
    <row r="610" spans="1:5" s="8" customFormat="1" x14ac:dyDescent="0.2">
      <c r="A610" s="8" t="s">
        <v>2366</v>
      </c>
      <c r="B610" s="8">
        <v>1</v>
      </c>
      <c r="C610" s="200" t="s">
        <v>2367</v>
      </c>
      <c r="D610" s="8" t="s">
        <v>2368</v>
      </c>
      <c r="E610" s="4"/>
    </row>
    <row r="611" spans="1:5" s="8" customFormat="1" x14ac:dyDescent="0.2">
      <c r="A611" s="8" t="s">
        <v>2366</v>
      </c>
      <c r="B611" s="8">
        <v>2</v>
      </c>
      <c r="C611" s="200" t="s">
        <v>2369</v>
      </c>
      <c r="D611" s="8" t="s">
        <v>2370</v>
      </c>
      <c r="E611" s="4"/>
    </row>
    <row r="612" spans="1:5" s="8" customFormat="1" x14ac:dyDescent="0.2">
      <c r="A612" s="8" t="s">
        <v>2366</v>
      </c>
      <c r="B612" s="8">
        <v>3</v>
      </c>
      <c r="C612" s="200" t="s">
        <v>2371</v>
      </c>
      <c r="D612" s="8" t="s">
        <v>2372</v>
      </c>
      <c r="E612" s="4"/>
    </row>
    <row r="613" spans="1:5" s="8" customFormat="1" x14ac:dyDescent="0.2">
      <c r="A613" s="8" t="s">
        <v>2366</v>
      </c>
      <c r="B613" s="8">
        <v>4</v>
      </c>
      <c r="C613" s="200" t="s">
        <v>2373</v>
      </c>
      <c r="D613" s="8" t="s">
        <v>2374</v>
      </c>
      <c r="E613" s="4"/>
    </row>
    <row r="614" spans="1:5" s="8" customFormat="1" x14ac:dyDescent="0.2">
      <c r="A614" s="8" t="s">
        <v>2366</v>
      </c>
      <c r="B614" s="8">
        <v>5</v>
      </c>
      <c r="C614" s="200" t="s">
        <v>2375</v>
      </c>
      <c r="D614" s="8" t="s">
        <v>2376</v>
      </c>
      <c r="E614" s="4"/>
    </row>
    <row r="615" spans="1:5" s="8" customFormat="1" ht="16" customHeight="1" x14ac:dyDescent="0.2">
      <c r="A615" s="8" t="s">
        <v>2366</v>
      </c>
      <c r="B615" s="8">
        <v>6</v>
      </c>
      <c r="C615" s="221" t="s">
        <v>2377</v>
      </c>
      <c r="D615" s="8" t="s">
        <v>2378</v>
      </c>
      <c r="E615" s="4"/>
    </row>
    <row r="616" spans="1:5" s="8" customFormat="1" ht="16" customHeight="1" x14ac:dyDescent="0.2">
      <c r="A616" s="8" t="s">
        <v>2366</v>
      </c>
      <c r="B616" s="8">
        <v>7</v>
      </c>
      <c r="C616" s="221" t="s">
        <v>2379</v>
      </c>
      <c r="D616" s="8" t="s">
        <v>2380</v>
      </c>
      <c r="E616" s="4"/>
    </row>
    <row r="617" spans="1:5" s="8" customFormat="1" x14ac:dyDescent="0.2">
      <c r="A617" s="8" t="s">
        <v>2366</v>
      </c>
      <c r="B617" s="8" t="s">
        <v>1572</v>
      </c>
      <c r="C617" s="200" t="s">
        <v>2252</v>
      </c>
      <c r="D617" t="s">
        <v>2253</v>
      </c>
      <c r="E617" s="4"/>
    </row>
    <row r="618" spans="1:5" x14ac:dyDescent="0.2">
      <c r="D618" s="8"/>
      <c r="E618" s="4"/>
    </row>
    <row r="619" spans="1:5" s="8" customFormat="1" x14ac:dyDescent="0.2">
      <c r="A619" s="8" t="s">
        <v>2381</v>
      </c>
      <c r="B619" s="8">
        <v>1</v>
      </c>
      <c r="C619" s="200" t="s">
        <v>2382</v>
      </c>
      <c r="D619" s="255" t="s">
        <v>2383</v>
      </c>
      <c r="E619" s="4"/>
    </row>
    <row r="620" spans="1:5" s="8" customFormat="1" x14ac:dyDescent="0.2">
      <c r="A620" s="8" t="s">
        <v>2381</v>
      </c>
      <c r="B620" s="8">
        <v>2</v>
      </c>
      <c r="C620" s="200" t="s">
        <v>2384</v>
      </c>
      <c r="D620" s="255" t="s">
        <v>2385</v>
      </c>
      <c r="E620" s="4"/>
    </row>
    <row r="621" spans="1:5" s="8" customFormat="1" x14ac:dyDescent="0.2">
      <c r="A621" s="8" t="s">
        <v>2381</v>
      </c>
      <c r="B621" s="8">
        <v>3</v>
      </c>
      <c r="C621" s="200" t="s">
        <v>2386</v>
      </c>
      <c r="D621" s="255" t="s">
        <v>2387</v>
      </c>
      <c r="E621" s="4"/>
    </row>
    <row r="622" spans="1:5" s="8" customFormat="1" x14ac:dyDescent="0.2">
      <c r="A622" s="8" t="s">
        <v>2381</v>
      </c>
      <c r="B622" s="8">
        <v>4</v>
      </c>
      <c r="C622" s="200" t="s">
        <v>2388</v>
      </c>
      <c r="D622" s="255" t="s">
        <v>2389</v>
      </c>
      <c r="E622" s="4"/>
    </row>
    <row r="623" spans="1:5" x14ac:dyDescent="0.2">
      <c r="A623" s="8" t="s">
        <v>2381</v>
      </c>
      <c r="B623" s="8" t="s">
        <v>1488</v>
      </c>
      <c r="C623" s="3" t="s">
        <v>1489</v>
      </c>
      <c r="D623" s="200" t="s">
        <v>1490</v>
      </c>
      <c r="E623" s="4"/>
    </row>
    <row r="624" spans="1:5" x14ac:dyDescent="0.2">
      <c r="E624" s="4"/>
    </row>
    <row r="625" spans="1:5" x14ac:dyDescent="0.2">
      <c r="A625" s="3" t="s">
        <v>2390</v>
      </c>
      <c r="B625" s="3">
        <v>1</v>
      </c>
      <c r="C625" s="3" t="s">
        <v>2391</v>
      </c>
      <c r="D625" s="3" t="s">
        <v>2392</v>
      </c>
      <c r="E625" s="4"/>
    </row>
    <row r="626" spans="1:5" x14ac:dyDescent="0.2">
      <c r="A626" s="3" t="s">
        <v>2390</v>
      </c>
      <c r="B626" s="3">
        <v>2</v>
      </c>
      <c r="C626" s="3" t="s">
        <v>2393</v>
      </c>
      <c r="D626" s="3" t="s">
        <v>2394</v>
      </c>
      <c r="E626" s="4"/>
    </row>
    <row r="627" spans="1:5" x14ac:dyDescent="0.2">
      <c r="A627" s="3" t="s">
        <v>2390</v>
      </c>
      <c r="B627" s="3">
        <v>3</v>
      </c>
      <c r="C627" s="3" t="s">
        <v>2395</v>
      </c>
      <c r="D627" s="3" t="s">
        <v>2396</v>
      </c>
      <c r="E627" s="4"/>
    </row>
    <row r="628" spans="1:5" ht="16" customHeight="1" x14ac:dyDescent="0.2">
      <c r="A628" s="3" t="s">
        <v>2390</v>
      </c>
      <c r="B628" s="3">
        <v>4</v>
      </c>
      <c r="C628" s="221" t="s">
        <v>2397</v>
      </c>
      <c r="D628" s="254" t="s">
        <v>2398</v>
      </c>
      <c r="E628" s="4"/>
    </row>
    <row r="629" spans="1:5" ht="16" customHeight="1" x14ac:dyDescent="0.2">
      <c r="A629" s="3" t="s">
        <v>2390</v>
      </c>
      <c r="B629" s="3">
        <v>5</v>
      </c>
      <c r="C629" s="221" t="s">
        <v>2399</v>
      </c>
      <c r="D629" s="254" t="s">
        <v>2400</v>
      </c>
      <c r="E629" s="4"/>
    </row>
    <row r="630" spans="1:5" ht="32" customHeight="1" x14ac:dyDescent="0.2">
      <c r="A630" s="3" t="s">
        <v>2390</v>
      </c>
      <c r="B630" s="3">
        <v>6</v>
      </c>
      <c r="C630" s="221" t="s">
        <v>2401</v>
      </c>
      <c r="D630" s="254" t="s">
        <v>2402</v>
      </c>
      <c r="E630" s="4"/>
    </row>
    <row r="631" spans="1:5" ht="32" customHeight="1" x14ac:dyDescent="0.2">
      <c r="A631" s="3" t="s">
        <v>2390</v>
      </c>
      <c r="B631" s="3">
        <v>7</v>
      </c>
      <c r="C631" s="221" t="s">
        <v>2403</v>
      </c>
      <c r="D631" s="254" t="s">
        <v>2404</v>
      </c>
      <c r="E631" s="4"/>
    </row>
    <row r="632" spans="1:5" ht="16" customHeight="1" x14ac:dyDescent="0.2">
      <c r="A632" s="3" t="s">
        <v>2390</v>
      </c>
      <c r="B632" s="3">
        <v>8</v>
      </c>
      <c r="C632" s="221" t="s">
        <v>2405</v>
      </c>
      <c r="D632" s="254" t="s">
        <v>2406</v>
      </c>
      <c r="E632" s="4"/>
    </row>
    <row r="633" spans="1:5" ht="16" customHeight="1" x14ac:dyDescent="0.2">
      <c r="A633" s="3" t="s">
        <v>2390</v>
      </c>
      <c r="B633" s="3">
        <v>9</v>
      </c>
      <c r="C633" s="221" t="s">
        <v>2407</v>
      </c>
      <c r="D633" s="3" t="s">
        <v>2408</v>
      </c>
      <c r="E633" s="4"/>
    </row>
    <row r="634" spans="1:5" x14ac:dyDescent="0.2">
      <c r="A634" s="3" t="s">
        <v>2390</v>
      </c>
      <c r="B634" s="8" t="s">
        <v>1572</v>
      </c>
      <c r="C634" s="3" t="s">
        <v>2252</v>
      </c>
      <c r="D634" t="s">
        <v>2253</v>
      </c>
      <c r="E634" s="4"/>
    </row>
    <row r="635" spans="1:5" x14ac:dyDescent="0.2">
      <c r="E635" s="4"/>
    </row>
    <row r="636" spans="1:5" x14ac:dyDescent="0.2">
      <c r="A636" t="s">
        <v>2409</v>
      </c>
      <c r="B636">
        <v>1</v>
      </c>
      <c r="C636" s="243" t="s">
        <v>2410</v>
      </c>
      <c r="D636" s="3" t="s">
        <v>2411</v>
      </c>
      <c r="E636" s="4"/>
    </row>
    <row r="637" spans="1:5" x14ac:dyDescent="0.2">
      <c r="A637" t="s">
        <v>2409</v>
      </c>
      <c r="B637">
        <v>2</v>
      </c>
      <c r="C637" s="243" t="s">
        <v>2412</v>
      </c>
      <c r="D637" s="3" t="s">
        <v>2413</v>
      </c>
      <c r="E637" s="4"/>
    </row>
    <row r="638" spans="1:5" x14ac:dyDescent="0.2">
      <c r="A638" t="s">
        <v>2409</v>
      </c>
      <c r="B638">
        <v>3</v>
      </c>
      <c r="C638" s="243" t="s">
        <v>2414</v>
      </c>
      <c r="D638" s="3" t="s">
        <v>2415</v>
      </c>
      <c r="E638" s="4"/>
    </row>
    <row r="639" spans="1:5" x14ac:dyDescent="0.2">
      <c r="A639" t="s">
        <v>2409</v>
      </c>
      <c r="B639">
        <v>4</v>
      </c>
      <c r="C639" s="243" t="s">
        <v>2416</v>
      </c>
      <c r="D639" s="3" t="s">
        <v>2417</v>
      </c>
      <c r="E639" s="4"/>
    </row>
    <row r="640" spans="1:5" x14ac:dyDescent="0.2">
      <c r="A640" t="s">
        <v>2409</v>
      </c>
      <c r="B640">
        <v>5</v>
      </c>
      <c r="C640" s="243" t="s">
        <v>2418</v>
      </c>
      <c r="D640" s="3" t="s">
        <v>2419</v>
      </c>
      <c r="E640" s="4"/>
    </row>
    <row r="641" spans="1:5" x14ac:dyDescent="0.2">
      <c r="A641" t="s">
        <v>2409</v>
      </c>
      <c r="B641">
        <v>6</v>
      </c>
      <c r="C641" s="243" t="s">
        <v>2420</v>
      </c>
      <c r="D641" s="3" t="s">
        <v>2421</v>
      </c>
      <c r="E641" s="4"/>
    </row>
    <row r="642" spans="1:5" x14ac:dyDescent="0.2">
      <c r="A642" t="s">
        <v>2409</v>
      </c>
      <c r="B642">
        <v>7</v>
      </c>
      <c r="C642" s="243" t="s">
        <v>2422</v>
      </c>
      <c r="D642" s="3" t="s">
        <v>2423</v>
      </c>
      <c r="E642" s="4"/>
    </row>
    <row r="643" spans="1:5" x14ac:dyDescent="0.2">
      <c r="A643" t="s">
        <v>2409</v>
      </c>
      <c r="B643" t="s">
        <v>1488</v>
      </c>
      <c r="C643" s="3" t="s">
        <v>1489</v>
      </c>
      <c r="D643" t="s">
        <v>1490</v>
      </c>
      <c r="E643" s="4"/>
    </row>
    <row r="644" spans="1:5" x14ac:dyDescent="0.2">
      <c r="A644" t="s">
        <v>2409</v>
      </c>
      <c r="B644" t="s">
        <v>1491</v>
      </c>
      <c r="C644" s="243" t="s">
        <v>2424</v>
      </c>
      <c r="D644" t="s">
        <v>1493</v>
      </c>
      <c r="E644" s="4"/>
    </row>
    <row r="645" spans="1:5" x14ac:dyDescent="0.2">
      <c r="E645" s="4"/>
    </row>
    <row r="646" spans="1:5" x14ac:dyDescent="0.2">
      <c r="A646" s="3" t="s">
        <v>530</v>
      </c>
      <c r="B646" s="3">
        <v>1</v>
      </c>
      <c r="C646" s="3" t="s">
        <v>1486</v>
      </c>
      <c r="D646" s="3" t="s">
        <v>1487</v>
      </c>
      <c r="E646" s="4"/>
    </row>
    <row r="647" spans="1:5" ht="16" customHeight="1" x14ac:dyDescent="0.2">
      <c r="A647" s="3" t="s">
        <v>530</v>
      </c>
      <c r="B647" s="3">
        <v>2</v>
      </c>
      <c r="C647" s="3" t="s">
        <v>2425</v>
      </c>
      <c r="D647" s="197" t="s">
        <v>2426</v>
      </c>
      <c r="E647" s="4"/>
    </row>
    <row r="648" spans="1:5" ht="16" customHeight="1" x14ac:dyDescent="0.2">
      <c r="A648" s="3" t="s">
        <v>530</v>
      </c>
      <c r="B648" s="3">
        <v>3</v>
      </c>
      <c r="C648" s="3" t="s">
        <v>2427</v>
      </c>
      <c r="D648" s="197" t="s">
        <v>2428</v>
      </c>
      <c r="E648" s="4"/>
    </row>
    <row r="649" spans="1:5" ht="16" customHeight="1" x14ac:dyDescent="0.2">
      <c r="A649" s="3" t="s">
        <v>530</v>
      </c>
      <c r="B649" s="3">
        <v>4</v>
      </c>
      <c r="C649" s="3" t="s">
        <v>2429</v>
      </c>
      <c r="D649" s="197" t="s">
        <v>2430</v>
      </c>
      <c r="E649" s="4"/>
    </row>
    <row r="650" spans="1:5" ht="16" customHeight="1" x14ac:dyDescent="0.2">
      <c r="A650" s="3" t="s">
        <v>530</v>
      </c>
      <c r="B650" s="3">
        <v>5</v>
      </c>
      <c r="C650" s="3" t="s">
        <v>2431</v>
      </c>
      <c r="D650" s="197" t="s">
        <v>2432</v>
      </c>
      <c r="E650" s="4"/>
    </row>
    <row r="651" spans="1:5" ht="16" customHeight="1" x14ac:dyDescent="0.2">
      <c r="A651" s="3" t="s">
        <v>530</v>
      </c>
      <c r="B651" s="3">
        <v>6</v>
      </c>
      <c r="C651" s="3" t="s">
        <v>2433</v>
      </c>
      <c r="D651" s="197" t="s">
        <v>2434</v>
      </c>
      <c r="E651" s="4"/>
    </row>
    <row r="652" spans="1:5" x14ac:dyDescent="0.2">
      <c r="A652" s="3" t="s">
        <v>530</v>
      </c>
      <c r="B652" s="3" t="s">
        <v>1488</v>
      </c>
      <c r="C652" s="243" t="s">
        <v>2435</v>
      </c>
      <c r="D652" t="s">
        <v>1490</v>
      </c>
      <c r="E652" s="4"/>
    </row>
    <row r="653" spans="1:5" x14ac:dyDescent="0.2">
      <c r="A653" s="3" t="s">
        <v>530</v>
      </c>
      <c r="B653" s="3" t="s">
        <v>1491</v>
      </c>
      <c r="C653" s="3" t="s">
        <v>1492</v>
      </c>
      <c r="D653" t="s">
        <v>1493</v>
      </c>
      <c r="E653" s="4"/>
    </row>
    <row r="654" spans="1:5" x14ac:dyDescent="0.2">
      <c r="E654" s="4"/>
    </row>
    <row r="655" spans="1:5" x14ac:dyDescent="0.2">
      <c r="A655" t="s">
        <v>2436</v>
      </c>
      <c r="B655">
        <v>1</v>
      </c>
      <c r="C655" s="243" t="s">
        <v>2437</v>
      </c>
      <c r="D655" s="3" t="s">
        <v>2438</v>
      </c>
      <c r="E655" s="4"/>
    </row>
    <row r="656" spans="1:5" x14ac:dyDescent="0.2">
      <c r="A656" t="s">
        <v>2436</v>
      </c>
      <c r="B656">
        <v>2</v>
      </c>
      <c r="C656" s="243" t="s">
        <v>2439</v>
      </c>
      <c r="D656" s="3" t="s">
        <v>2440</v>
      </c>
      <c r="E656" s="4"/>
    </row>
    <row r="657" spans="1:5" x14ac:dyDescent="0.2">
      <c r="A657" t="s">
        <v>2436</v>
      </c>
      <c r="B657">
        <v>3</v>
      </c>
      <c r="C657" s="243" t="s">
        <v>2441</v>
      </c>
      <c r="D657" s="3" t="s">
        <v>2442</v>
      </c>
      <c r="E657" s="4"/>
    </row>
    <row r="658" spans="1:5" x14ac:dyDescent="0.2">
      <c r="A658" t="s">
        <v>2436</v>
      </c>
      <c r="B658">
        <v>4</v>
      </c>
      <c r="C658" s="243" t="s">
        <v>2443</v>
      </c>
      <c r="D658" s="3" t="s">
        <v>2444</v>
      </c>
      <c r="E658" s="4"/>
    </row>
    <row r="659" spans="1:5" x14ac:dyDescent="0.2">
      <c r="A659" t="s">
        <v>2436</v>
      </c>
      <c r="B659">
        <v>5</v>
      </c>
      <c r="C659" s="243" t="s">
        <v>2445</v>
      </c>
      <c r="D659" s="3" t="s">
        <v>2446</v>
      </c>
      <c r="E659" s="4"/>
    </row>
    <row r="660" spans="1:5" x14ac:dyDescent="0.2">
      <c r="A660" t="s">
        <v>2436</v>
      </c>
      <c r="B660">
        <v>6</v>
      </c>
      <c r="C660" s="243" t="s">
        <v>2447</v>
      </c>
      <c r="D660" s="3" t="s">
        <v>2448</v>
      </c>
      <c r="E660" s="4"/>
    </row>
    <row r="661" spans="1:5" x14ac:dyDescent="0.2">
      <c r="A661" t="s">
        <v>2436</v>
      </c>
      <c r="B661">
        <v>7</v>
      </c>
      <c r="C661" s="243" t="s">
        <v>2449</v>
      </c>
      <c r="D661" s="3" t="s">
        <v>2450</v>
      </c>
      <c r="E661" s="4"/>
    </row>
    <row r="662" spans="1:5" x14ac:dyDescent="0.2">
      <c r="A662" t="s">
        <v>2436</v>
      </c>
      <c r="B662">
        <v>8</v>
      </c>
      <c r="C662" s="307" t="s">
        <v>2156</v>
      </c>
      <c r="D662" s="307" t="s">
        <v>2157</v>
      </c>
    </row>
    <row r="663" spans="1:5" x14ac:dyDescent="0.2">
      <c r="A663" t="s">
        <v>2436</v>
      </c>
      <c r="B663" t="s">
        <v>1488</v>
      </c>
      <c r="C663" s="243" t="s">
        <v>1489</v>
      </c>
      <c r="D663" t="s">
        <v>1490</v>
      </c>
      <c r="E663" s="4"/>
    </row>
    <row r="664" spans="1:5" x14ac:dyDescent="0.2">
      <c r="A664" t="s">
        <v>2436</v>
      </c>
      <c r="B664" t="s">
        <v>1491</v>
      </c>
      <c r="C664" t="s">
        <v>1492</v>
      </c>
      <c r="D664" t="s">
        <v>1493</v>
      </c>
      <c r="E664" s="4"/>
    </row>
    <row r="665" spans="1:5" x14ac:dyDescent="0.2">
      <c r="E665" s="4"/>
    </row>
    <row r="666" spans="1:5" x14ac:dyDescent="0.2">
      <c r="A666" t="s">
        <v>2451</v>
      </c>
      <c r="B666" s="3">
        <v>1</v>
      </c>
      <c r="C666" s="3" t="s">
        <v>2452</v>
      </c>
      <c r="D666" s="8" t="s">
        <v>2453</v>
      </c>
      <c r="E666" s="4"/>
    </row>
    <row r="667" spans="1:5" x14ac:dyDescent="0.2">
      <c r="A667" t="s">
        <v>2451</v>
      </c>
      <c r="B667">
        <v>2</v>
      </c>
      <c r="C667" t="s">
        <v>2454</v>
      </c>
      <c r="D667" s="3" t="s">
        <v>2455</v>
      </c>
      <c r="E667" s="4"/>
    </row>
    <row r="668" spans="1:5" x14ac:dyDescent="0.2">
      <c r="A668" t="s">
        <v>2451</v>
      </c>
      <c r="B668" s="3">
        <v>3</v>
      </c>
      <c r="C668" t="s">
        <v>2456</v>
      </c>
      <c r="D668" s="3" t="s">
        <v>2457</v>
      </c>
      <c r="E668" s="4"/>
    </row>
    <row r="669" spans="1:5" x14ac:dyDescent="0.2">
      <c r="A669" t="s">
        <v>2451</v>
      </c>
      <c r="B669">
        <v>4</v>
      </c>
      <c r="C669" t="s">
        <v>2458</v>
      </c>
      <c r="D669" s="3" t="s">
        <v>2459</v>
      </c>
      <c r="E669" s="4"/>
    </row>
    <row r="670" spans="1:5" x14ac:dyDescent="0.2">
      <c r="A670" t="s">
        <v>2451</v>
      </c>
      <c r="B670" s="3">
        <v>5</v>
      </c>
      <c r="C670" t="s">
        <v>2460</v>
      </c>
      <c r="D670" s="3" t="s">
        <v>2461</v>
      </c>
      <c r="E670" s="4"/>
    </row>
    <row r="671" spans="1:5" x14ac:dyDescent="0.2">
      <c r="A671" t="s">
        <v>2451</v>
      </c>
      <c r="B671">
        <v>6</v>
      </c>
      <c r="C671" t="s">
        <v>2462</v>
      </c>
      <c r="D671" s="3" t="s">
        <v>2463</v>
      </c>
      <c r="E671" s="4"/>
    </row>
    <row r="672" spans="1:5" x14ac:dyDescent="0.2">
      <c r="A672" t="s">
        <v>2451</v>
      </c>
      <c r="B672" s="3">
        <v>7</v>
      </c>
      <c r="C672" t="s">
        <v>2464</v>
      </c>
      <c r="D672" s="3" t="s">
        <v>2465</v>
      </c>
      <c r="E672" s="4"/>
    </row>
    <row r="673" spans="1:5" x14ac:dyDescent="0.2">
      <c r="A673" t="s">
        <v>2451</v>
      </c>
      <c r="B673">
        <v>8</v>
      </c>
      <c r="C673" t="s">
        <v>2466</v>
      </c>
      <c r="D673" s="3" t="s">
        <v>2467</v>
      </c>
      <c r="E673" s="4"/>
    </row>
    <row r="674" spans="1:5" x14ac:dyDescent="0.2">
      <c r="A674" t="s">
        <v>2451</v>
      </c>
      <c r="B674" s="3">
        <v>9</v>
      </c>
      <c r="C674" t="s">
        <v>2468</v>
      </c>
      <c r="D674" s="3" t="s">
        <v>2469</v>
      </c>
      <c r="E674" s="4"/>
    </row>
    <row r="675" spans="1:5" x14ac:dyDescent="0.2">
      <c r="A675" t="s">
        <v>2451</v>
      </c>
      <c r="B675">
        <v>10</v>
      </c>
      <c r="C675" t="s">
        <v>2470</v>
      </c>
      <c r="D675" s="3" t="s">
        <v>2471</v>
      </c>
      <c r="E675" s="4"/>
    </row>
    <row r="676" spans="1:5" x14ac:dyDescent="0.2">
      <c r="A676" t="s">
        <v>2451</v>
      </c>
      <c r="B676" s="3">
        <v>11</v>
      </c>
      <c r="C676" t="s">
        <v>2472</v>
      </c>
      <c r="D676" s="3" t="s">
        <v>2473</v>
      </c>
      <c r="E676" s="4"/>
    </row>
    <row r="677" spans="1:5" x14ac:dyDescent="0.2">
      <c r="A677" t="s">
        <v>2451</v>
      </c>
      <c r="B677">
        <v>12</v>
      </c>
      <c r="C677" t="s">
        <v>2474</v>
      </c>
      <c r="D677" s="3" t="s">
        <v>2475</v>
      </c>
      <c r="E677" s="4"/>
    </row>
    <row r="678" spans="1:5" x14ac:dyDescent="0.2">
      <c r="A678" t="s">
        <v>2451</v>
      </c>
      <c r="B678" s="3">
        <v>13</v>
      </c>
      <c r="C678" t="s">
        <v>2476</v>
      </c>
      <c r="D678" s="3" t="s">
        <v>2477</v>
      </c>
      <c r="E678" s="4"/>
    </row>
    <row r="679" spans="1:5" x14ac:dyDescent="0.2">
      <c r="A679" t="s">
        <v>2451</v>
      </c>
      <c r="B679">
        <v>14</v>
      </c>
      <c r="C679" t="s">
        <v>2478</v>
      </c>
      <c r="D679" s="3" t="s">
        <v>2479</v>
      </c>
      <c r="E679" s="4"/>
    </row>
    <row r="680" spans="1:5" x14ac:dyDescent="0.2">
      <c r="A680" t="s">
        <v>2451</v>
      </c>
      <c r="B680" s="3">
        <v>15</v>
      </c>
      <c r="C680" t="s">
        <v>2480</v>
      </c>
      <c r="D680" s="3" t="s">
        <v>2481</v>
      </c>
      <c r="E680" s="4"/>
    </row>
    <row r="681" spans="1:5" x14ac:dyDescent="0.2">
      <c r="A681" t="s">
        <v>2451</v>
      </c>
      <c r="B681">
        <v>16</v>
      </c>
      <c r="C681" t="s">
        <v>2482</v>
      </c>
      <c r="D681" s="3" t="s">
        <v>2483</v>
      </c>
      <c r="E681" s="4"/>
    </row>
    <row r="682" spans="1:5" x14ac:dyDescent="0.2">
      <c r="A682" t="s">
        <v>2451</v>
      </c>
      <c r="B682" s="3">
        <v>17</v>
      </c>
      <c r="C682" t="s">
        <v>2484</v>
      </c>
      <c r="D682" s="3" t="s">
        <v>2485</v>
      </c>
      <c r="E682" s="4"/>
    </row>
    <row r="683" spans="1:5" x14ac:dyDescent="0.2">
      <c r="A683" t="s">
        <v>2451</v>
      </c>
      <c r="B683">
        <v>18</v>
      </c>
      <c r="C683" t="s">
        <v>2486</v>
      </c>
      <c r="D683" s="3" t="s">
        <v>2487</v>
      </c>
      <c r="E683" s="4"/>
    </row>
    <row r="684" spans="1:5" x14ac:dyDescent="0.2">
      <c r="A684" t="s">
        <v>2451</v>
      </c>
      <c r="B684" s="3">
        <v>19</v>
      </c>
      <c r="C684" t="s">
        <v>2488</v>
      </c>
      <c r="D684" s="3" t="s">
        <v>2489</v>
      </c>
      <c r="E684" s="4"/>
    </row>
    <row r="685" spans="1:5" x14ac:dyDescent="0.2">
      <c r="A685" t="s">
        <v>2451</v>
      </c>
      <c r="B685" t="s">
        <v>1572</v>
      </c>
      <c r="C685" t="s">
        <v>2490</v>
      </c>
      <c r="D685" t="s">
        <v>2253</v>
      </c>
      <c r="E685" s="4"/>
    </row>
    <row r="686" spans="1:5" x14ac:dyDescent="0.2">
      <c r="A686" t="s">
        <v>2451</v>
      </c>
      <c r="B686" s="3" t="s">
        <v>1488</v>
      </c>
      <c r="C686" t="s">
        <v>1489</v>
      </c>
      <c r="D686" t="s">
        <v>1490</v>
      </c>
      <c r="E686" s="4"/>
    </row>
    <row r="687" spans="1:5" x14ac:dyDescent="0.2">
      <c r="A687" t="s">
        <v>2451</v>
      </c>
      <c r="B687" t="s">
        <v>1491</v>
      </c>
      <c r="C687" t="s">
        <v>1492</v>
      </c>
      <c r="D687" t="s">
        <v>1493</v>
      </c>
      <c r="E687" s="4"/>
    </row>
    <row r="688" spans="1:5" x14ac:dyDescent="0.2">
      <c r="E688" s="4"/>
    </row>
    <row r="689" spans="1:5" x14ac:dyDescent="0.2">
      <c r="A689" s="3" t="s">
        <v>2491</v>
      </c>
      <c r="B689" s="3">
        <v>1</v>
      </c>
      <c r="C689" s="3" t="s">
        <v>2492</v>
      </c>
      <c r="D689" s="3" t="s">
        <v>2493</v>
      </c>
      <c r="E689" s="4"/>
    </row>
    <row r="690" spans="1:5" x14ac:dyDescent="0.2">
      <c r="A690" s="3" t="s">
        <v>2491</v>
      </c>
      <c r="B690" s="3">
        <v>2</v>
      </c>
      <c r="C690" s="3" t="s">
        <v>2494</v>
      </c>
      <c r="D690" s="3" t="s">
        <v>2495</v>
      </c>
      <c r="E690" s="4"/>
    </row>
    <row r="691" spans="1:5" x14ac:dyDescent="0.2">
      <c r="A691" s="3" t="s">
        <v>2491</v>
      </c>
      <c r="B691" s="3">
        <v>3</v>
      </c>
      <c r="C691" s="3" t="s">
        <v>2496</v>
      </c>
      <c r="D691" s="3" t="s">
        <v>2497</v>
      </c>
      <c r="E691" s="4"/>
    </row>
    <row r="692" spans="1:5" x14ac:dyDescent="0.2">
      <c r="A692" s="3" t="s">
        <v>2491</v>
      </c>
      <c r="B692" s="3">
        <v>4</v>
      </c>
      <c r="C692" s="3" t="s">
        <v>2498</v>
      </c>
      <c r="D692" s="3" t="s">
        <v>2499</v>
      </c>
      <c r="E692" s="4"/>
    </row>
    <row r="693" spans="1:5" x14ac:dyDescent="0.2">
      <c r="A693" s="3" t="s">
        <v>2491</v>
      </c>
      <c r="B693" s="3">
        <v>5</v>
      </c>
      <c r="C693" s="3" t="s">
        <v>2500</v>
      </c>
      <c r="D693" s="3" t="s">
        <v>2501</v>
      </c>
      <c r="E693" s="4"/>
    </row>
    <row r="694" spans="1:5" x14ac:dyDescent="0.2">
      <c r="A694" s="3" t="s">
        <v>2491</v>
      </c>
      <c r="B694" s="3">
        <v>6</v>
      </c>
      <c r="C694" s="3" t="s">
        <v>2502</v>
      </c>
      <c r="D694" s="3" t="s">
        <v>2503</v>
      </c>
      <c r="E694" s="4"/>
    </row>
    <row r="695" spans="1:5" x14ac:dyDescent="0.2">
      <c r="A695" s="3" t="s">
        <v>2491</v>
      </c>
      <c r="B695" s="3" t="s">
        <v>1488</v>
      </c>
      <c r="C695" t="s">
        <v>2504</v>
      </c>
      <c r="D695" t="s">
        <v>1490</v>
      </c>
      <c r="E695" s="4"/>
    </row>
    <row r="696" spans="1:5" x14ac:dyDescent="0.2">
      <c r="A696" s="3" t="s">
        <v>2491</v>
      </c>
      <c r="B696" s="3" t="s">
        <v>1491</v>
      </c>
      <c r="C696" t="s">
        <v>1492</v>
      </c>
      <c r="D696" t="s">
        <v>1493</v>
      </c>
      <c r="E696" s="4"/>
    </row>
    <row r="697" spans="1:5" x14ac:dyDescent="0.2">
      <c r="E697" s="4"/>
    </row>
    <row r="698" spans="1:5" x14ac:dyDescent="0.2">
      <c r="A698" s="3" t="s">
        <v>2505</v>
      </c>
      <c r="B698" s="3">
        <v>1</v>
      </c>
      <c r="C698" s="3" t="s">
        <v>2506</v>
      </c>
      <c r="D698" s="3" t="s">
        <v>2507</v>
      </c>
      <c r="E698" s="4"/>
    </row>
    <row r="699" spans="1:5" x14ac:dyDescent="0.2">
      <c r="A699" s="3" t="s">
        <v>2505</v>
      </c>
      <c r="B699" s="3">
        <v>2</v>
      </c>
      <c r="C699" s="3" t="s">
        <v>2508</v>
      </c>
      <c r="D699" s="3" t="s">
        <v>2509</v>
      </c>
      <c r="E699" s="4"/>
    </row>
    <row r="700" spans="1:5" x14ac:dyDescent="0.2">
      <c r="A700" s="3" t="s">
        <v>2505</v>
      </c>
      <c r="B700" s="3">
        <v>3</v>
      </c>
      <c r="C700" s="3" t="s">
        <v>2510</v>
      </c>
      <c r="D700" s="3" t="s">
        <v>2511</v>
      </c>
      <c r="E700" s="4"/>
    </row>
    <row r="701" spans="1:5" x14ac:dyDescent="0.2">
      <c r="A701" s="3" t="s">
        <v>2505</v>
      </c>
      <c r="B701" s="3">
        <v>4</v>
      </c>
      <c r="C701" s="3" t="s">
        <v>2498</v>
      </c>
      <c r="D701" s="3" t="s">
        <v>2499</v>
      </c>
      <c r="E701" s="4"/>
    </row>
    <row r="702" spans="1:5" x14ac:dyDescent="0.2">
      <c r="A702" s="3" t="s">
        <v>2505</v>
      </c>
      <c r="B702" s="3">
        <v>5</v>
      </c>
      <c r="C702" s="3" t="s">
        <v>2500</v>
      </c>
      <c r="D702" s="3" t="s">
        <v>2501</v>
      </c>
      <c r="E702" s="4"/>
    </row>
    <row r="703" spans="1:5" x14ac:dyDescent="0.2">
      <c r="A703" s="3" t="s">
        <v>2505</v>
      </c>
      <c r="B703" s="3">
        <v>6</v>
      </c>
      <c r="C703" s="3" t="s">
        <v>2502</v>
      </c>
      <c r="D703" s="3" t="s">
        <v>2503</v>
      </c>
      <c r="E703" s="4"/>
    </row>
    <row r="704" spans="1:5" x14ac:dyDescent="0.2">
      <c r="A704" s="3" t="s">
        <v>2505</v>
      </c>
      <c r="B704" s="3" t="s">
        <v>1488</v>
      </c>
      <c r="C704" t="s">
        <v>2504</v>
      </c>
      <c r="D704" t="s">
        <v>1490</v>
      </c>
      <c r="E704" s="4"/>
    </row>
    <row r="705" spans="1:5" x14ac:dyDescent="0.2">
      <c r="A705" s="3" t="s">
        <v>2505</v>
      </c>
      <c r="B705" s="3" t="s">
        <v>1491</v>
      </c>
      <c r="C705" t="s">
        <v>1492</v>
      </c>
      <c r="D705" t="s">
        <v>1493</v>
      </c>
      <c r="E705" s="4"/>
    </row>
    <row r="706" spans="1:5" x14ac:dyDescent="0.2">
      <c r="E706" s="4"/>
    </row>
    <row r="707" spans="1:5" x14ac:dyDescent="0.2">
      <c r="A707" s="3" t="s">
        <v>2512</v>
      </c>
      <c r="B707" s="3">
        <v>1</v>
      </c>
      <c r="C707" s="3" t="s">
        <v>2513</v>
      </c>
      <c r="D707" s="3" t="s">
        <v>2514</v>
      </c>
      <c r="E707" s="4"/>
    </row>
    <row r="708" spans="1:5" x14ac:dyDescent="0.2">
      <c r="A708" s="3" t="s">
        <v>2512</v>
      </c>
      <c r="B708" s="3">
        <v>2</v>
      </c>
      <c r="C708" s="3" t="s">
        <v>2515</v>
      </c>
      <c r="D708" s="3" t="s">
        <v>2516</v>
      </c>
      <c r="E708" s="4"/>
    </row>
    <row r="709" spans="1:5" x14ac:dyDescent="0.2">
      <c r="A709" s="3" t="s">
        <v>2512</v>
      </c>
      <c r="B709" s="3">
        <v>3</v>
      </c>
      <c r="C709" s="3" t="s">
        <v>2517</v>
      </c>
      <c r="D709" s="3" t="s">
        <v>2518</v>
      </c>
      <c r="E709" s="4"/>
    </row>
    <row r="710" spans="1:5" x14ac:dyDescent="0.2">
      <c r="A710" s="3" t="s">
        <v>2512</v>
      </c>
      <c r="B710" s="3">
        <v>4</v>
      </c>
      <c r="C710" s="3" t="s">
        <v>2519</v>
      </c>
      <c r="D710" s="3" t="s">
        <v>2520</v>
      </c>
      <c r="E710" s="4"/>
    </row>
    <row r="711" spans="1:5" x14ac:dyDescent="0.2">
      <c r="A711" s="3" t="s">
        <v>2512</v>
      </c>
      <c r="B711" s="3">
        <v>5</v>
      </c>
      <c r="C711" s="3" t="s">
        <v>2521</v>
      </c>
      <c r="D711" s="3" t="s">
        <v>2522</v>
      </c>
      <c r="E711" s="4"/>
    </row>
    <row r="712" spans="1:5" x14ac:dyDescent="0.2">
      <c r="A712" s="3" t="s">
        <v>2512</v>
      </c>
      <c r="B712" s="3">
        <v>6</v>
      </c>
      <c r="C712" s="3" t="s">
        <v>2523</v>
      </c>
      <c r="D712" s="3" t="s">
        <v>2524</v>
      </c>
      <c r="E712" s="4"/>
    </row>
    <row r="713" spans="1:5" x14ac:dyDescent="0.2">
      <c r="A713" s="3" t="s">
        <v>2512</v>
      </c>
      <c r="B713" s="3">
        <v>7</v>
      </c>
      <c r="C713" s="3" t="s">
        <v>2525</v>
      </c>
      <c r="D713" s="3" t="s">
        <v>2526</v>
      </c>
      <c r="E713" s="4"/>
    </row>
    <row r="714" spans="1:5" x14ac:dyDescent="0.2">
      <c r="A714" s="3" t="s">
        <v>2512</v>
      </c>
      <c r="B714" s="3" t="s">
        <v>1572</v>
      </c>
      <c r="C714" s="3" t="s">
        <v>2252</v>
      </c>
      <c r="D714" t="s">
        <v>2253</v>
      </c>
      <c r="E714" s="4"/>
    </row>
    <row r="715" spans="1:5" x14ac:dyDescent="0.2">
      <c r="A715" s="3" t="s">
        <v>2512</v>
      </c>
      <c r="B715" s="3" t="s">
        <v>1488</v>
      </c>
      <c r="C715" t="s">
        <v>1489</v>
      </c>
      <c r="D715" t="s">
        <v>1490</v>
      </c>
      <c r="E715" s="4"/>
    </row>
    <row r="716" spans="1:5" x14ac:dyDescent="0.2">
      <c r="A716" s="3" t="s">
        <v>2512</v>
      </c>
      <c r="B716" s="3" t="s">
        <v>1491</v>
      </c>
      <c r="C716" t="s">
        <v>1492</v>
      </c>
      <c r="D716" t="s">
        <v>1493</v>
      </c>
      <c r="E716" s="4"/>
    </row>
    <row r="717" spans="1:5" x14ac:dyDescent="0.2">
      <c r="E717" s="4"/>
    </row>
    <row r="718" spans="1:5" x14ac:dyDescent="0.2">
      <c r="E718" s="4"/>
    </row>
    <row r="719" spans="1:5" x14ac:dyDescent="0.2">
      <c r="A719" s="3" t="s">
        <v>2527</v>
      </c>
      <c r="B719" s="3">
        <v>1</v>
      </c>
      <c r="C719" s="3" t="s">
        <v>2515</v>
      </c>
      <c r="D719" s="3" t="s">
        <v>2516</v>
      </c>
      <c r="E719" s="4"/>
    </row>
    <row r="720" spans="1:5" x14ac:dyDescent="0.2">
      <c r="A720" s="3" t="s">
        <v>2527</v>
      </c>
      <c r="B720" s="3">
        <v>2</v>
      </c>
      <c r="C720" s="3" t="s">
        <v>2517</v>
      </c>
      <c r="D720" s="3" t="s">
        <v>2518</v>
      </c>
      <c r="E720" s="4"/>
    </row>
    <row r="721" spans="1:6" x14ac:dyDescent="0.2">
      <c r="A721" s="3" t="s">
        <v>2527</v>
      </c>
      <c r="B721" s="3">
        <v>3</v>
      </c>
      <c r="C721" s="3" t="s">
        <v>2519</v>
      </c>
      <c r="D721" s="3" t="s">
        <v>2520</v>
      </c>
      <c r="E721" s="4"/>
    </row>
    <row r="722" spans="1:6" x14ac:dyDescent="0.2">
      <c r="A722" s="3" t="s">
        <v>2527</v>
      </c>
      <c r="B722" s="3">
        <v>4</v>
      </c>
      <c r="C722" s="3" t="s">
        <v>2521</v>
      </c>
      <c r="D722" s="3" t="s">
        <v>2522</v>
      </c>
      <c r="E722" s="4"/>
    </row>
    <row r="723" spans="1:6" x14ac:dyDescent="0.2">
      <c r="A723" s="3" t="s">
        <v>2527</v>
      </c>
      <c r="B723" s="3">
        <v>5</v>
      </c>
      <c r="C723" s="3" t="s">
        <v>2523</v>
      </c>
      <c r="D723" s="3" t="s">
        <v>2524</v>
      </c>
      <c r="E723" s="4"/>
    </row>
    <row r="724" spans="1:6" x14ac:dyDescent="0.2">
      <c r="A724" s="3" t="s">
        <v>2527</v>
      </c>
      <c r="B724" s="3">
        <v>6</v>
      </c>
      <c r="C724" s="3" t="s">
        <v>2525</v>
      </c>
      <c r="D724" s="3" t="s">
        <v>2526</v>
      </c>
      <c r="E724" s="4"/>
    </row>
    <row r="725" spans="1:6" x14ac:dyDescent="0.2">
      <c r="A725" s="3" t="s">
        <v>2527</v>
      </c>
      <c r="B725" s="3">
        <v>7</v>
      </c>
      <c r="C725" s="3" t="s">
        <v>2528</v>
      </c>
      <c r="D725" s="3" t="s">
        <v>2529</v>
      </c>
      <c r="E725" s="4"/>
    </row>
    <row r="726" spans="1:6" x14ac:dyDescent="0.2">
      <c r="A726" s="3" t="s">
        <v>2527</v>
      </c>
      <c r="B726" s="3" t="s">
        <v>1572</v>
      </c>
      <c r="C726" s="3" t="s">
        <v>2252</v>
      </c>
      <c r="D726" t="s">
        <v>2253</v>
      </c>
      <c r="E726" s="4"/>
    </row>
    <row r="727" spans="1:6" x14ac:dyDescent="0.2">
      <c r="A727" s="3" t="s">
        <v>2527</v>
      </c>
      <c r="B727" s="3" t="s">
        <v>1488</v>
      </c>
      <c r="C727" t="s">
        <v>1489</v>
      </c>
      <c r="D727" t="s">
        <v>1490</v>
      </c>
      <c r="E727" s="4"/>
    </row>
    <row r="728" spans="1:6" x14ac:dyDescent="0.2">
      <c r="A728" s="3" t="s">
        <v>2527</v>
      </c>
      <c r="B728" s="3" t="s">
        <v>1491</v>
      </c>
      <c r="C728" t="s">
        <v>1492</v>
      </c>
      <c r="D728" t="s">
        <v>1493</v>
      </c>
      <c r="E728" s="4"/>
    </row>
    <row r="729" spans="1:6" x14ac:dyDescent="0.2">
      <c r="E729" s="4"/>
    </row>
    <row r="730" spans="1:6" x14ac:dyDescent="0.2">
      <c r="E730" s="4"/>
    </row>
    <row r="731" spans="1:6" x14ac:dyDescent="0.2">
      <c r="E731" s="4"/>
      <c r="F731" s="235"/>
    </row>
    <row r="732" spans="1:6" x14ac:dyDescent="0.2">
      <c r="A732" s="3" t="s">
        <v>2530</v>
      </c>
      <c r="B732" s="3">
        <v>1</v>
      </c>
      <c r="C732" s="3" t="s">
        <v>2531</v>
      </c>
      <c r="D732" s="3" t="s">
        <v>2532</v>
      </c>
      <c r="E732" s="4"/>
      <c r="F732" s="235"/>
    </row>
    <row r="733" spans="1:6" x14ac:dyDescent="0.2">
      <c r="A733" s="3" t="s">
        <v>2530</v>
      </c>
      <c r="B733" s="3">
        <v>2</v>
      </c>
      <c r="C733" s="3" t="s">
        <v>2533</v>
      </c>
      <c r="D733" s="3" t="s">
        <v>2534</v>
      </c>
      <c r="E733" s="4"/>
      <c r="F733" s="235"/>
    </row>
    <row r="734" spans="1:6" x14ac:dyDescent="0.2">
      <c r="A734" s="3" t="s">
        <v>2530</v>
      </c>
      <c r="B734" s="3">
        <v>3</v>
      </c>
      <c r="C734" s="3" t="s">
        <v>2535</v>
      </c>
      <c r="D734" s="3" t="s">
        <v>2536</v>
      </c>
      <c r="E734" s="4"/>
      <c r="F734" s="235"/>
    </row>
    <row r="735" spans="1:6" x14ac:dyDescent="0.2">
      <c r="A735" s="3" t="s">
        <v>2530</v>
      </c>
      <c r="B735" s="3">
        <v>4</v>
      </c>
      <c r="C735" s="3" t="s">
        <v>2537</v>
      </c>
      <c r="D735" s="3" t="s">
        <v>2538</v>
      </c>
      <c r="E735" s="4"/>
      <c r="F735" s="235"/>
    </row>
    <row r="736" spans="1:6" x14ac:dyDescent="0.2">
      <c r="A736" s="3" t="s">
        <v>2530</v>
      </c>
      <c r="B736" s="3">
        <v>5</v>
      </c>
      <c r="C736" s="3" t="s">
        <v>2539</v>
      </c>
      <c r="D736" s="3" t="s">
        <v>2540</v>
      </c>
      <c r="E736" s="4"/>
      <c r="F736" s="235"/>
    </row>
    <row r="737" spans="1:7" x14ac:dyDescent="0.2">
      <c r="A737" s="3" t="s">
        <v>2530</v>
      </c>
      <c r="B737" s="3">
        <v>6</v>
      </c>
      <c r="C737" s="3" t="s">
        <v>2541</v>
      </c>
      <c r="D737" s="3" t="s">
        <v>2542</v>
      </c>
      <c r="E737" s="4"/>
      <c r="F737" s="235"/>
    </row>
    <row r="738" spans="1:7" x14ac:dyDescent="0.2">
      <c r="A738" s="3" t="s">
        <v>2530</v>
      </c>
      <c r="B738" s="3">
        <v>7</v>
      </c>
      <c r="C738" s="3" t="s">
        <v>2543</v>
      </c>
      <c r="D738" s="3" t="s">
        <v>2544</v>
      </c>
      <c r="E738" s="4"/>
      <c r="F738" s="235"/>
    </row>
    <row r="739" spans="1:7" x14ac:dyDescent="0.2">
      <c r="A739" s="3" t="s">
        <v>2530</v>
      </c>
      <c r="B739" s="3">
        <v>8</v>
      </c>
      <c r="C739" t="s">
        <v>2466</v>
      </c>
      <c r="D739" s="3" t="s">
        <v>2467</v>
      </c>
      <c r="E739" s="4"/>
      <c r="F739" s="235"/>
    </row>
    <row r="740" spans="1:7" x14ac:dyDescent="0.2">
      <c r="A740" s="3" t="s">
        <v>2530</v>
      </c>
      <c r="B740" s="3">
        <v>9</v>
      </c>
      <c r="C740" t="s">
        <v>2468</v>
      </c>
      <c r="D740" s="3" t="s">
        <v>2469</v>
      </c>
      <c r="E740" s="4"/>
      <c r="F740" s="235"/>
    </row>
    <row r="741" spans="1:7" x14ac:dyDescent="0.2">
      <c r="A741" s="3" t="s">
        <v>2530</v>
      </c>
      <c r="B741" s="3">
        <v>10</v>
      </c>
      <c r="C741" t="s">
        <v>2470</v>
      </c>
      <c r="D741" s="3" t="s">
        <v>2471</v>
      </c>
      <c r="E741" s="4"/>
    </row>
    <row r="742" spans="1:7" x14ac:dyDescent="0.2">
      <c r="A742" s="3" t="s">
        <v>2530</v>
      </c>
      <c r="B742" s="3">
        <v>11</v>
      </c>
      <c r="C742" t="s">
        <v>2472</v>
      </c>
      <c r="D742" s="3" t="s">
        <v>2473</v>
      </c>
      <c r="E742" s="4"/>
      <c r="G742" s="216"/>
    </row>
    <row r="743" spans="1:7" x14ac:dyDescent="0.2">
      <c r="A743" s="3" t="s">
        <v>2530</v>
      </c>
      <c r="B743" s="3">
        <v>12</v>
      </c>
      <c r="C743" t="s">
        <v>2474</v>
      </c>
      <c r="D743" s="3" t="s">
        <v>2475</v>
      </c>
      <c r="E743" s="4"/>
    </row>
    <row r="744" spans="1:7" x14ac:dyDescent="0.2">
      <c r="A744" s="3" t="s">
        <v>2530</v>
      </c>
      <c r="B744" s="3">
        <v>13</v>
      </c>
      <c r="C744" t="s">
        <v>2476</v>
      </c>
      <c r="D744" s="3" t="s">
        <v>2477</v>
      </c>
      <c r="E744" s="4"/>
    </row>
    <row r="745" spans="1:7" x14ac:dyDescent="0.2">
      <c r="A745" s="3" t="s">
        <v>2530</v>
      </c>
      <c r="B745" s="3">
        <v>14</v>
      </c>
      <c r="C745" t="s">
        <v>2545</v>
      </c>
      <c r="D745" s="3" t="s">
        <v>2546</v>
      </c>
      <c r="E745" s="4"/>
    </row>
    <row r="746" spans="1:7" x14ac:dyDescent="0.2">
      <c r="A746" s="3" t="s">
        <v>2530</v>
      </c>
      <c r="B746" s="3">
        <v>15</v>
      </c>
      <c r="C746" t="s">
        <v>2480</v>
      </c>
      <c r="D746" s="3" t="s">
        <v>2481</v>
      </c>
      <c r="E746" s="4"/>
    </row>
    <row r="747" spans="1:7" x14ac:dyDescent="0.2">
      <c r="A747" s="3" t="s">
        <v>2530</v>
      </c>
      <c r="B747" s="3">
        <v>16</v>
      </c>
      <c r="C747" t="s">
        <v>2482</v>
      </c>
      <c r="D747" s="3" t="s">
        <v>2483</v>
      </c>
      <c r="E747" s="4"/>
    </row>
    <row r="748" spans="1:7" x14ac:dyDescent="0.2">
      <c r="A748" s="3" t="s">
        <v>2530</v>
      </c>
      <c r="B748" s="3">
        <v>17</v>
      </c>
      <c r="C748" s="3" t="s">
        <v>2547</v>
      </c>
      <c r="D748" s="3" t="s">
        <v>2548</v>
      </c>
      <c r="E748" s="4"/>
    </row>
    <row r="749" spans="1:7" x14ac:dyDescent="0.2">
      <c r="A749" s="3" t="s">
        <v>2530</v>
      </c>
      <c r="B749" s="3">
        <v>18</v>
      </c>
      <c r="C749" s="3" t="s">
        <v>2486</v>
      </c>
      <c r="D749" s="3" t="s">
        <v>2487</v>
      </c>
      <c r="E749" s="4"/>
    </row>
    <row r="750" spans="1:7" x14ac:dyDescent="0.2">
      <c r="A750" s="3" t="s">
        <v>2530</v>
      </c>
      <c r="B750" s="3">
        <v>19</v>
      </c>
      <c r="C750" s="3" t="s">
        <v>2549</v>
      </c>
      <c r="D750" s="3" t="s">
        <v>2489</v>
      </c>
      <c r="E750" s="4"/>
    </row>
    <row r="751" spans="1:7" x14ac:dyDescent="0.2">
      <c r="A751" s="3" t="s">
        <v>2530</v>
      </c>
      <c r="B751" s="3" t="s">
        <v>1572</v>
      </c>
      <c r="C751" s="3" t="s">
        <v>2252</v>
      </c>
      <c r="D751" t="s">
        <v>2253</v>
      </c>
      <c r="E751" s="4"/>
    </row>
    <row r="752" spans="1:7" x14ac:dyDescent="0.2">
      <c r="A752" s="3" t="s">
        <v>2530</v>
      </c>
      <c r="B752" s="3" t="s">
        <v>1488</v>
      </c>
      <c r="C752" s="3" t="s">
        <v>1489</v>
      </c>
      <c r="D752" t="s">
        <v>1490</v>
      </c>
      <c r="E752" s="4"/>
    </row>
    <row r="753" spans="1:5" x14ac:dyDescent="0.2">
      <c r="A753" s="3" t="s">
        <v>2530</v>
      </c>
      <c r="B753" s="3" t="s">
        <v>1491</v>
      </c>
      <c r="C753" s="3" t="s">
        <v>1492</v>
      </c>
      <c r="D753" t="s">
        <v>1493</v>
      </c>
      <c r="E753" s="4"/>
    </row>
    <row r="754" spans="1:5" x14ac:dyDescent="0.2">
      <c r="E754" s="4"/>
    </row>
    <row r="755" spans="1:5" x14ac:dyDescent="0.2">
      <c r="A755" s="3" t="s">
        <v>2550</v>
      </c>
      <c r="B755" s="3">
        <v>1</v>
      </c>
      <c r="C755" t="s">
        <v>2474</v>
      </c>
      <c r="D755" s="3" t="s">
        <v>2475</v>
      </c>
      <c r="E755" s="4"/>
    </row>
    <row r="756" spans="1:5" x14ac:dyDescent="0.2">
      <c r="A756" s="3" t="s">
        <v>2550</v>
      </c>
      <c r="B756" s="3">
        <v>2</v>
      </c>
      <c r="C756" s="3" t="s">
        <v>2551</v>
      </c>
      <c r="D756" s="3" t="s">
        <v>2552</v>
      </c>
      <c r="E756" s="4"/>
    </row>
    <row r="757" spans="1:5" x14ac:dyDescent="0.2">
      <c r="A757" s="3" t="s">
        <v>2550</v>
      </c>
      <c r="B757" s="3">
        <v>3</v>
      </c>
      <c r="C757" s="3" t="s">
        <v>2553</v>
      </c>
      <c r="D757" s="3" t="s">
        <v>2554</v>
      </c>
      <c r="E757" s="4"/>
    </row>
    <row r="758" spans="1:5" x14ac:dyDescent="0.2">
      <c r="A758" s="3" t="s">
        <v>2550</v>
      </c>
      <c r="B758" s="3">
        <v>4</v>
      </c>
      <c r="C758" t="s">
        <v>2470</v>
      </c>
      <c r="D758" s="3" t="s">
        <v>2471</v>
      </c>
      <c r="E758" s="4"/>
    </row>
    <row r="759" spans="1:5" x14ac:dyDescent="0.2">
      <c r="A759" s="3" t="s">
        <v>2550</v>
      </c>
      <c r="B759" s="3">
        <v>5</v>
      </c>
      <c r="C759" t="s">
        <v>2472</v>
      </c>
      <c r="D759" s="3" t="s">
        <v>2473</v>
      </c>
      <c r="E759" s="4"/>
    </row>
    <row r="760" spans="1:5" x14ac:dyDescent="0.2">
      <c r="A760" s="3" t="s">
        <v>2550</v>
      </c>
      <c r="B760" s="3">
        <v>6</v>
      </c>
      <c r="C760" s="3" t="s">
        <v>2486</v>
      </c>
      <c r="D760" s="3" t="s">
        <v>2487</v>
      </c>
      <c r="E760" s="4"/>
    </row>
    <row r="761" spans="1:5" x14ac:dyDescent="0.2">
      <c r="A761" s="3" t="s">
        <v>2550</v>
      </c>
      <c r="B761" s="3">
        <v>7</v>
      </c>
      <c r="C761" s="3" t="s">
        <v>2549</v>
      </c>
      <c r="D761" s="3" t="s">
        <v>2489</v>
      </c>
      <c r="E761" s="4"/>
    </row>
    <row r="762" spans="1:5" x14ac:dyDescent="0.2">
      <c r="A762" s="3" t="s">
        <v>2550</v>
      </c>
      <c r="B762" s="3" t="s">
        <v>1572</v>
      </c>
      <c r="C762" s="3" t="s">
        <v>2252</v>
      </c>
      <c r="D762" t="s">
        <v>2253</v>
      </c>
      <c r="E762" s="4"/>
    </row>
    <row r="763" spans="1:5" x14ac:dyDescent="0.2">
      <c r="A763" s="3" t="s">
        <v>2550</v>
      </c>
      <c r="B763" s="3" t="s">
        <v>1488</v>
      </c>
      <c r="C763" s="3" t="s">
        <v>1489</v>
      </c>
      <c r="D763" t="s">
        <v>1490</v>
      </c>
      <c r="E763" s="4"/>
    </row>
    <row r="764" spans="1:5" x14ac:dyDescent="0.2">
      <c r="A764" s="3" t="s">
        <v>2550</v>
      </c>
      <c r="B764" s="3" t="s">
        <v>1491</v>
      </c>
      <c r="C764" s="3" t="s">
        <v>1492</v>
      </c>
      <c r="D764" t="s">
        <v>1493</v>
      </c>
      <c r="E764" s="4"/>
    </row>
    <row r="765" spans="1:5" x14ac:dyDescent="0.2">
      <c r="E765" s="4"/>
    </row>
    <row r="766" spans="1:5" x14ac:dyDescent="0.2">
      <c r="A766" s="226" t="s">
        <v>691</v>
      </c>
      <c r="B766" s="242">
        <v>1</v>
      </c>
      <c r="C766" s="226" t="s">
        <v>2555</v>
      </c>
      <c r="D766" s="3" t="s">
        <v>2556</v>
      </c>
      <c r="E766" s="4"/>
    </row>
    <row r="767" spans="1:5" x14ac:dyDescent="0.2">
      <c r="A767" s="226" t="s">
        <v>691</v>
      </c>
      <c r="B767" s="242">
        <v>2</v>
      </c>
      <c r="C767" s="226" t="s">
        <v>2557</v>
      </c>
      <c r="D767" s="3" t="s">
        <v>2558</v>
      </c>
      <c r="E767" s="4"/>
    </row>
    <row r="768" spans="1:5" x14ac:dyDescent="0.2">
      <c r="A768" s="226" t="s">
        <v>691</v>
      </c>
      <c r="B768" s="242">
        <v>3</v>
      </c>
      <c r="C768" s="226" t="s">
        <v>2559</v>
      </c>
      <c r="D768" s="3" t="s">
        <v>2560</v>
      </c>
      <c r="E768" s="4"/>
    </row>
    <row r="769" spans="1:5" x14ac:dyDescent="0.2">
      <c r="A769" s="226" t="s">
        <v>691</v>
      </c>
      <c r="B769" s="242">
        <v>4</v>
      </c>
      <c r="C769" s="226" t="s">
        <v>2561</v>
      </c>
      <c r="D769" s="3" t="s">
        <v>2562</v>
      </c>
      <c r="E769" s="4"/>
    </row>
    <row r="770" spans="1:5" x14ac:dyDescent="0.2">
      <c r="A770" s="226" t="s">
        <v>691</v>
      </c>
      <c r="B770" s="242">
        <v>5</v>
      </c>
      <c r="C770" s="226" t="s">
        <v>2563</v>
      </c>
      <c r="D770" s="3" t="s">
        <v>2564</v>
      </c>
      <c r="E770" s="4"/>
    </row>
    <row r="771" spans="1:5" x14ac:dyDescent="0.2">
      <c r="A771" s="226" t="s">
        <v>691</v>
      </c>
      <c r="B771" s="242">
        <v>6</v>
      </c>
      <c r="C771" s="226" t="s">
        <v>2565</v>
      </c>
      <c r="D771" s="3" t="s">
        <v>2566</v>
      </c>
      <c r="E771" s="4"/>
    </row>
    <row r="772" spans="1:5" x14ac:dyDescent="0.2">
      <c r="A772" s="226" t="s">
        <v>691</v>
      </c>
      <c r="B772" s="242">
        <v>7</v>
      </c>
      <c r="C772" s="226" t="s">
        <v>2567</v>
      </c>
      <c r="D772" s="3" t="s">
        <v>2568</v>
      </c>
      <c r="E772" s="4"/>
    </row>
    <row r="773" spans="1:5" x14ac:dyDescent="0.2">
      <c r="A773" s="226" t="s">
        <v>691</v>
      </c>
      <c r="B773" s="242">
        <v>8</v>
      </c>
      <c r="C773" s="226" t="s">
        <v>2569</v>
      </c>
      <c r="D773" s="3" t="s">
        <v>2570</v>
      </c>
      <c r="E773" s="4"/>
    </row>
    <row r="774" spans="1:5" x14ac:dyDescent="0.2">
      <c r="A774" s="226" t="s">
        <v>691</v>
      </c>
      <c r="B774" s="242">
        <v>9</v>
      </c>
      <c r="C774" s="226" t="s">
        <v>2571</v>
      </c>
      <c r="D774" s="3" t="s">
        <v>2572</v>
      </c>
      <c r="E774" s="4"/>
    </row>
    <row r="775" spans="1:5" x14ac:dyDescent="0.2">
      <c r="A775" s="226" t="s">
        <v>691</v>
      </c>
      <c r="B775" s="226" t="s">
        <v>1488</v>
      </c>
      <c r="C775" s="226" t="s">
        <v>2504</v>
      </c>
      <c r="D775" s="3" t="s">
        <v>1490</v>
      </c>
      <c r="E775" s="4"/>
    </row>
    <row r="776" spans="1:5" x14ac:dyDescent="0.2">
      <c r="A776" s="226" t="s">
        <v>691</v>
      </c>
      <c r="B776" s="226" t="s">
        <v>1491</v>
      </c>
      <c r="C776" s="226" t="s">
        <v>1492</v>
      </c>
      <c r="D776" s="3" t="s">
        <v>1493</v>
      </c>
      <c r="E776" s="4"/>
    </row>
    <row r="777" spans="1:5" x14ac:dyDescent="0.2">
      <c r="A777" s="226" t="s">
        <v>691</v>
      </c>
      <c r="B777" s="226" t="s">
        <v>1572</v>
      </c>
      <c r="C777" s="226" t="s">
        <v>1871</v>
      </c>
      <c r="D777" s="3" t="s">
        <v>1872</v>
      </c>
      <c r="E777" s="4"/>
    </row>
    <row r="778" spans="1:5" x14ac:dyDescent="0.2">
      <c r="A778" s="226"/>
      <c r="B778" s="242"/>
      <c r="C778" s="226"/>
      <c r="E778" s="4"/>
    </row>
    <row r="779" spans="1:5" x14ac:dyDescent="0.2">
      <c r="A779" s="226" t="s">
        <v>1027</v>
      </c>
      <c r="B779" s="242">
        <v>1</v>
      </c>
      <c r="C779" s="226" t="s">
        <v>2555</v>
      </c>
      <c r="D779" s="3" t="s">
        <v>2573</v>
      </c>
      <c r="E779" s="4"/>
    </row>
    <row r="780" spans="1:5" x14ac:dyDescent="0.2">
      <c r="A780" s="226" t="s">
        <v>1027</v>
      </c>
      <c r="B780" s="242">
        <v>2</v>
      </c>
      <c r="C780" s="226" t="s">
        <v>2574</v>
      </c>
      <c r="D780" s="3" t="s">
        <v>2575</v>
      </c>
      <c r="E780" s="4"/>
    </row>
    <row r="781" spans="1:5" x14ac:dyDescent="0.2">
      <c r="A781" s="226" t="s">
        <v>1027</v>
      </c>
      <c r="B781" s="242">
        <v>3</v>
      </c>
      <c r="C781" s="226" t="s">
        <v>2576</v>
      </c>
      <c r="D781" s="3" t="s">
        <v>2577</v>
      </c>
      <c r="E781" s="4"/>
    </row>
    <row r="782" spans="1:5" x14ac:dyDescent="0.2">
      <c r="A782" s="226" t="s">
        <v>1027</v>
      </c>
      <c r="B782" s="242">
        <v>4</v>
      </c>
      <c r="C782" s="226" t="s">
        <v>2578</v>
      </c>
      <c r="D782" s="3" t="s">
        <v>2579</v>
      </c>
      <c r="E782" s="4"/>
    </row>
    <row r="783" spans="1:5" x14ac:dyDescent="0.2">
      <c r="A783" s="226" t="s">
        <v>1027</v>
      </c>
      <c r="B783" s="242">
        <v>5</v>
      </c>
      <c r="C783" s="226" t="s">
        <v>2580</v>
      </c>
      <c r="D783" s="3" t="s">
        <v>2581</v>
      </c>
      <c r="E783" s="4"/>
    </row>
    <row r="784" spans="1:5" x14ac:dyDescent="0.2">
      <c r="A784" s="226" t="s">
        <v>1027</v>
      </c>
      <c r="B784" s="242">
        <v>6</v>
      </c>
      <c r="C784" s="226" t="s">
        <v>2582</v>
      </c>
      <c r="D784" s="3" t="s">
        <v>2583</v>
      </c>
      <c r="E784" s="4"/>
    </row>
    <row r="785" spans="1:5" x14ac:dyDescent="0.2">
      <c r="A785" s="226" t="s">
        <v>1027</v>
      </c>
      <c r="B785" s="242">
        <v>7</v>
      </c>
      <c r="C785" s="226" t="s">
        <v>2567</v>
      </c>
      <c r="D785" s="3" t="s">
        <v>2568</v>
      </c>
      <c r="E785" s="4"/>
    </row>
    <row r="786" spans="1:5" x14ac:dyDescent="0.2">
      <c r="A786" s="226" t="s">
        <v>1027</v>
      </c>
      <c r="B786" s="242">
        <v>8</v>
      </c>
      <c r="C786" s="226" t="s">
        <v>2584</v>
      </c>
      <c r="D786" s="3" t="s">
        <v>2585</v>
      </c>
      <c r="E786" s="4"/>
    </row>
    <row r="787" spans="1:5" x14ac:dyDescent="0.2">
      <c r="A787" s="226" t="s">
        <v>1027</v>
      </c>
      <c r="B787" s="242">
        <v>9</v>
      </c>
      <c r="C787" s="226" t="s">
        <v>2571</v>
      </c>
      <c r="D787" s="3" t="s">
        <v>2572</v>
      </c>
      <c r="E787" s="4"/>
    </row>
    <row r="788" spans="1:5" x14ac:dyDescent="0.2">
      <c r="A788" s="226" t="s">
        <v>1027</v>
      </c>
      <c r="B788" s="226" t="s">
        <v>1488</v>
      </c>
      <c r="C788" s="226" t="s">
        <v>2504</v>
      </c>
      <c r="D788" s="3" t="s">
        <v>1490</v>
      </c>
      <c r="E788" s="4"/>
    </row>
    <row r="789" spans="1:5" x14ac:dyDescent="0.2">
      <c r="A789" s="226" t="s">
        <v>1027</v>
      </c>
      <c r="B789" s="226" t="s">
        <v>1491</v>
      </c>
      <c r="C789" s="226" t="s">
        <v>1492</v>
      </c>
      <c r="D789" t="s">
        <v>1493</v>
      </c>
      <c r="E789" s="4"/>
    </row>
    <row r="790" spans="1:5" x14ac:dyDescent="0.2">
      <c r="A790" s="226" t="s">
        <v>1027</v>
      </c>
      <c r="B790" s="226" t="s">
        <v>1572</v>
      </c>
      <c r="C790" s="226" t="s">
        <v>1871</v>
      </c>
      <c r="D790" s="3" t="s">
        <v>1872</v>
      </c>
      <c r="E790" s="4"/>
    </row>
    <row r="791" spans="1:5" x14ac:dyDescent="0.2">
      <c r="A791" s="226"/>
      <c r="B791" s="242"/>
      <c r="C791" s="226"/>
      <c r="E791" s="4"/>
    </row>
    <row r="792" spans="1:5" x14ac:dyDescent="0.2">
      <c r="A792" s="226" t="s">
        <v>1143</v>
      </c>
      <c r="B792" s="242">
        <v>1</v>
      </c>
      <c r="C792" s="226" t="s">
        <v>2555</v>
      </c>
      <c r="D792" s="3" t="s">
        <v>2556</v>
      </c>
      <c r="E792" s="4"/>
    </row>
    <row r="793" spans="1:5" x14ac:dyDescent="0.2">
      <c r="A793" s="226" t="s">
        <v>1143</v>
      </c>
      <c r="B793" s="242">
        <v>2</v>
      </c>
      <c r="C793" s="226" t="s">
        <v>2586</v>
      </c>
      <c r="D793" s="3" t="s">
        <v>2587</v>
      </c>
      <c r="E793" s="4"/>
    </row>
    <row r="794" spans="1:5" x14ac:dyDescent="0.2">
      <c r="A794" s="226" t="s">
        <v>1143</v>
      </c>
      <c r="B794" s="242">
        <v>3</v>
      </c>
      <c r="C794" s="226" t="s">
        <v>2576</v>
      </c>
      <c r="D794" s="3" t="s">
        <v>2577</v>
      </c>
      <c r="E794" s="4"/>
    </row>
    <row r="795" spans="1:5" x14ac:dyDescent="0.2">
      <c r="A795" s="226" t="s">
        <v>1143</v>
      </c>
      <c r="B795" s="242">
        <v>4</v>
      </c>
      <c r="C795" s="226" t="s">
        <v>2578</v>
      </c>
      <c r="D795" s="3" t="s">
        <v>2588</v>
      </c>
      <c r="E795" s="4"/>
    </row>
    <row r="796" spans="1:5" x14ac:dyDescent="0.2">
      <c r="A796" s="226" t="s">
        <v>1143</v>
      </c>
      <c r="B796" s="242">
        <v>5</v>
      </c>
      <c r="C796" s="226" t="s">
        <v>2580</v>
      </c>
      <c r="D796" s="3" t="s">
        <v>2589</v>
      </c>
      <c r="E796" s="4"/>
    </row>
    <row r="797" spans="1:5" x14ac:dyDescent="0.2">
      <c r="A797" s="226" t="s">
        <v>1143</v>
      </c>
      <c r="B797" s="242">
        <v>6</v>
      </c>
      <c r="C797" s="226" t="s">
        <v>2590</v>
      </c>
      <c r="D797" s="3" t="s">
        <v>2591</v>
      </c>
      <c r="E797" s="4"/>
    </row>
    <row r="798" spans="1:5" x14ac:dyDescent="0.2">
      <c r="A798" s="226" t="s">
        <v>1143</v>
      </c>
      <c r="B798" s="242">
        <v>7</v>
      </c>
      <c r="C798" s="226" t="s">
        <v>2567</v>
      </c>
      <c r="D798" s="3" t="s">
        <v>2568</v>
      </c>
      <c r="E798" s="4"/>
    </row>
    <row r="799" spans="1:5" x14ac:dyDescent="0.2">
      <c r="A799" s="226" t="s">
        <v>1143</v>
      </c>
      <c r="B799" s="242">
        <v>8</v>
      </c>
      <c r="C799" s="226" t="s">
        <v>2584</v>
      </c>
      <c r="D799" s="3" t="s">
        <v>2585</v>
      </c>
      <c r="E799" s="4"/>
    </row>
    <row r="800" spans="1:5" x14ac:dyDescent="0.2">
      <c r="A800" s="226" t="s">
        <v>1143</v>
      </c>
      <c r="B800" s="242">
        <v>9</v>
      </c>
      <c r="C800" s="226" t="s">
        <v>2571</v>
      </c>
      <c r="D800" s="3" t="s">
        <v>2572</v>
      </c>
      <c r="E800" s="4"/>
    </row>
    <row r="801" spans="1:5" x14ac:dyDescent="0.2">
      <c r="A801" s="226" t="s">
        <v>1143</v>
      </c>
      <c r="B801" s="226" t="s">
        <v>1488</v>
      </c>
      <c r="C801" s="226" t="s">
        <v>2504</v>
      </c>
      <c r="D801" s="3" t="s">
        <v>1490</v>
      </c>
      <c r="E801" s="4"/>
    </row>
    <row r="802" spans="1:5" x14ac:dyDescent="0.2">
      <c r="A802" s="226" t="s">
        <v>1143</v>
      </c>
      <c r="B802" s="226" t="s">
        <v>1491</v>
      </c>
      <c r="C802" s="226" t="s">
        <v>1492</v>
      </c>
      <c r="D802" t="s">
        <v>1493</v>
      </c>
      <c r="E802" s="4"/>
    </row>
    <row r="803" spans="1:5" x14ac:dyDescent="0.2">
      <c r="A803" s="226" t="s">
        <v>1143</v>
      </c>
      <c r="B803" s="226" t="s">
        <v>1572</v>
      </c>
      <c r="C803" s="226" t="s">
        <v>1871</v>
      </c>
      <c r="D803" s="3" t="s">
        <v>1872</v>
      </c>
      <c r="E803" s="4"/>
    </row>
    <row r="804" spans="1:5" x14ac:dyDescent="0.2">
      <c r="E804" s="4"/>
    </row>
    <row r="805" spans="1:5" s="354" customFormat="1" x14ac:dyDescent="0.2">
      <c r="A805" s="354" t="s">
        <v>1271</v>
      </c>
      <c r="B805" s="355" t="s">
        <v>4310</v>
      </c>
      <c r="C805" s="354" t="s">
        <v>4311</v>
      </c>
      <c r="D805" s="354" t="s">
        <v>4312</v>
      </c>
      <c r="E805" s="4"/>
    </row>
    <row r="806" spans="1:5" s="354" customFormat="1" x14ac:dyDescent="0.2">
      <c r="A806" s="354" t="s">
        <v>1271</v>
      </c>
      <c r="B806" s="355" t="s">
        <v>4313</v>
      </c>
      <c r="C806" s="354" t="s">
        <v>4314</v>
      </c>
      <c r="D806" s="354" t="s">
        <v>4315</v>
      </c>
      <c r="E806" s="4"/>
    </row>
    <row r="807" spans="1:5" s="354" customFormat="1" x14ac:dyDescent="0.2">
      <c r="A807" s="354" t="s">
        <v>1271</v>
      </c>
      <c r="B807" s="355" t="s">
        <v>4316</v>
      </c>
      <c r="C807" s="354" t="s">
        <v>4317</v>
      </c>
      <c r="D807" s="354" t="s">
        <v>4318</v>
      </c>
      <c r="E807" s="4"/>
    </row>
    <row r="808" spans="1:5" s="354" customFormat="1" x14ac:dyDescent="0.2">
      <c r="A808" s="354" t="s">
        <v>1271</v>
      </c>
      <c r="B808" s="355" t="s">
        <v>4319</v>
      </c>
      <c r="C808" s="354" t="s">
        <v>4320</v>
      </c>
      <c r="D808" s="354" t="s">
        <v>4321</v>
      </c>
      <c r="E808" s="4"/>
    </row>
    <row r="809" spans="1:5" s="354" customFormat="1" x14ac:dyDescent="0.2">
      <c r="A809" s="354" t="s">
        <v>1271</v>
      </c>
      <c r="B809" s="355" t="s">
        <v>4322</v>
      </c>
      <c r="C809" s="354" t="s">
        <v>4323</v>
      </c>
      <c r="D809" s="354" t="s">
        <v>4324</v>
      </c>
      <c r="E809" s="4"/>
    </row>
    <row r="810" spans="1:5" s="354" customFormat="1" x14ac:dyDescent="0.2">
      <c r="A810" s="354" t="s">
        <v>1271</v>
      </c>
      <c r="B810" s="355" t="s">
        <v>4325</v>
      </c>
      <c r="C810" s="354" t="s">
        <v>2047</v>
      </c>
      <c r="D810" s="354" t="s">
        <v>2048</v>
      </c>
      <c r="E810" s="4"/>
    </row>
    <row r="811" spans="1:5" s="354" customFormat="1" x14ac:dyDescent="0.2">
      <c r="A811" s="354" t="s">
        <v>1271</v>
      </c>
      <c r="B811" s="355" t="s">
        <v>4326</v>
      </c>
      <c r="C811" s="354" t="s">
        <v>4327</v>
      </c>
      <c r="D811" s="354" t="s">
        <v>4328</v>
      </c>
      <c r="E811" s="4"/>
    </row>
    <row r="812" spans="1:5" s="354" customFormat="1" x14ac:dyDescent="0.2">
      <c r="A812" s="354" t="s">
        <v>1271</v>
      </c>
      <c r="B812" s="355" t="s">
        <v>4329</v>
      </c>
      <c r="C812" s="354" t="s">
        <v>4330</v>
      </c>
      <c r="D812" s="354" t="s">
        <v>4331</v>
      </c>
      <c r="E812" s="4"/>
    </row>
    <row r="813" spans="1:5" s="354" customFormat="1" x14ac:dyDescent="0.2">
      <c r="A813" s="354" t="s">
        <v>1271</v>
      </c>
      <c r="B813" s="355" t="s">
        <v>4332</v>
      </c>
      <c r="C813" s="354" t="s">
        <v>4333</v>
      </c>
      <c r="D813" s="354" t="s">
        <v>4334</v>
      </c>
      <c r="E813" s="4"/>
    </row>
    <row r="814" spans="1:5" s="354" customFormat="1" x14ac:dyDescent="0.2">
      <c r="A814" s="354" t="s">
        <v>1271</v>
      </c>
      <c r="B814" s="355" t="s">
        <v>4335</v>
      </c>
      <c r="C814" s="354" t="s">
        <v>4336</v>
      </c>
      <c r="D814" s="354" t="s">
        <v>4337</v>
      </c>
      <c r="E814" s="4"/>
    </row>
    <row r="815" spans="1:5" s="354" customFormat="1" x14ac:dyDescent="0.2">
      <c r="A815" s="354" t="s">
        <v>1271</v>
      </c>
      <c r="B815" s="355" t="s">
        <v>4338</v>
      </c>
      <c r="C815" s="354" t="s">
        <v>4339</v>
      </c>
      <c r="D815" s="354" t="s">
        <v>4340</v>
      </c>
      <c r="E815" s="4"/>
    </row>
    <row r="816" spans="1:5" s="354" customFormat="1" x14ac:dyDescent="0.2">
      <c r="A816" s="354" t="s">
        <v>1271</v>
      </c>
      <c r="B816" s="355" t="s">
        <v>4341</v>
      </c>
      <c r="C816" s="354" t="s">
        <v>4342</v>
      </c>
      <c r="D816" s="354" t="s">
        <v>4343</v>
      </c>
      <c r="E816" s="4"/>
    </row>
    <row r="818" spans="1:4" s="357" customFormat="1" x14ac:dyDescent="0.2">
      <c r="A818" s="309" t="s">
        <v>1497</v>
      </c>
      <c r="B818" s="356" t="s">
        <v>1501</v>
      </c>
      <c r="C818" s="309" t="s">
        <v>1502</v>
      </c>
      <c r="D818" s="309" t="s">
        <v>1503</v>
      </c>
    </row>
    <row r="820" spans="1:4" s="354" customFormat="1" x14ac:dyDescent="0.2">
      <c r="A820" s="360" t="s">
        <v>4344</v>
      </c>
      <c r="B820" s="361">
        <v>1</v>
      </c>
      <c r="C820" s="360" t="s">
        <v>4345</v>
      </c>
      <c r="D820" s="360" t="s">
        <v>4346</v>
      </c>
    </row>
    <row r="821" spans="1:4" s="354" customFormat="1" x14ac:dyDescent="0.2">
      <c r="A821" s="360" t="s">
        <v>4344</v>
      </c>
      <c r="B821" s="361">
        <v>2</v>
      </c>
      <c r="C821" s="360" t="s">
        <v>4347</v>
      </c>
      <c r="D821" s="360" t="s">
        <v>4348</v>
      </c>
    </row>
    <row r="822" spans="1:4" s="354" customFormat="1" x14ac:dyDescent="0.2">
      <c r="A822" s="360" t="s">
        <v>4344</v>
      </c>
      <c r="B822" s="361">
        <v>3</v>
      </c>
      <c r="C822" s="360" t="s">
        <v>4349</v>
      </c>
      <c r="D822" s="360" t="s">
        <v>4350</v>
      </c>
    </row>
    <row r="823" spans="1:4" s="354" customFormat="1" x14ac:dyDescent="0.2">
      <c r="A823" s="360" t="s">
        <v>4344</v>
      </c>
      <c r="B823" s="361">
        <v>4</v>
      </c>
      <c r="C823" s="360" t="s">
        <v>4351</v>
      </c>
      <c r="D823" s="360" t="s">
        <v>4352</v>
      </c>
    </row>
    <row r="824" spans="1:4" s="354" customFormat="1" x14ac:dyDescent="0.2">
      <c r="A824" s="360" t="s">
        <v>4344</v>
      </c>
      <c r="B824" s="361">
        <v>5</v>
      </c>
      <c r="C824" s="360" t="s">
        <v>4353</v>
      </c>
      <c r="D824" s="360" t="s">
        <v>4354</v>
      </c>
    </row>
    <row r="825" spans="1:4" s="354" customFormat="1" x14ac:dyDescent="0.2">
      <c r="A825" s="360" t="s">
        <v>4344</v>
      </c>
      <c r="B825" s="361">
        <v>6</v>
      </c>
      <c r="C825" s="360" t="s">
        <v>4355</v>
      </c>
      <c r="D825" s="360" t="s">
        <v>4356</v>
      </c>
    </row>
    <row r="826" spans="1:4" s="354" customFormat="1" x14ac:dyDescent="0.2">
      <c r="A826" s="360" t="s">
        <v>4344</v>
      </c>
      <c r="B826" s="361">
        <v>7</v>
      </c>
      <c r="C826" s="360" t="s">
        <v>4357</v>
      </c>
      <c r="D826" s="360" t="s">
        <v>4358</v>
      </c>
    </row>
    <row r="827" spans="1:4" s="354" customFormat="1" x14ac:dyDescent="0.2">
      <c r="A827" s="360" t="s">
        <v>4344</v>
      </c>
      <c r="B827" s="361">
        <v>8</v>
      </c>
      <c r="C827" s="360" t="s">
        <v>4359</v>
      </c>
      <c r="D827" s="360" t="s">
        <v>4360</v>
      </c>
    </row>
    <row r="828" spans="1:4" s="354" customFormat="1" x14ac:dyDescent="0.2">
      <c r="A828" s="360" t="s">
        <v>4344</v>
      </c>
      <c r="B828" s="361">
        <v>9</v>
      </c>
      <c r="C828" s="360" t="s">
        <v>4361</v>
      </c>
      <c r="D828" s="360" t="s">
        <v>4362</v>
      </c>
    </row>
    <row r="829" spans="1:4" s="354" customFormat="1" x14ac:dyDescent="0.2">
      <c r="A829" s="360" t="s">
        <v>4344</v>
      </c>
      <c r="B829" s="361">
        <v>10</v>
      </c>
      <c r="C829" s="360" t="s">
        <v>4363</v>
      </c>
      <c r="D829" s="360" t="s">
        <v>4364</v>
      </c>
    </row>
    <row r="830" spans="1:4" s="354" customFormat="1" x14ac:dyDescent="0.2">
      <c r="A830" s="360" t="s">
        <v>4344</v>
      </c>
      <c r="B830" s="361">
        <v>11</v>
      </c>
      <c r="C830" s="360" t="s">
        <v>1723</v>
      </c>
      <c r="D830" s="309" t="s">
        <v>1490</v>
      </c>
    </row>
    <row r="831" spans="1:4" s="354" customFormat="1" x14ac:dyDescent="0.2">
      <c r="A831" s="360" t="s">
        <v>4344</v>
      </c>
      <c r="B831" s="361">
        <v>12</v>
      </c>
      <c r="C831" s="360" t="s">
        <v>1724</v>
      </c>
      <c r="D831" s="309" t="s">
        <v>1493</v>
      </c>
    </row>
    <row r="833" spans="1:4" x14ac:dyDescent="0.2">
      <c r="A833" t="s">
        <v>1517</v>
      </c>
      <c r="B833" t="s">
        <v>4365</v>
      </c>
      <c r="C833" t="s">
        <v>1518</v>
      </c>
      <c r="D833" t="s">
        <v>1519</v>
      </c>
    </row>
    <row r="834" spans="1:4" x14ac:dyDescent="0.2">
      <c r="A834" t="s">
        <v>1517</v>
      </c>
      <c r="B834" t="s">
        <v>4366</v>
      </c>
      <c r="C834" t="s">
        <v>1520</v>
      </c>
      <c r="D834" t="s">
        <v>1521</v>
      </c>
    </row>
    <row r="835" spans="1:4" x14ac:dyDescent="0.2">
      <c r="A835" t="s">
        <v>1517</v>
      </c>
      <c r="B835" t="s">
        <v>4367</v>
      </c>
      <c r="C835" t="s">
        <v>1522</v>
      </c>
      <c r="D835" t="s">
        <v>1523</v>
      </c>
    </row>
    <row r="836" spans="1:4" x14ac:dyDescent="0.2">
      <c r="A836" t="s">
        <v>1517</v>
      </c>
      <c r="B836" t="s">
        <v>4368</v>
      </c>
      <c r="C836" t="s">
        <v>1524</v>
      </c>
      <c r="D836" t="s">
        <v>1525</v>
      </c>
    </row>
    <row r="837" spans="1:4" x14ac:dyDescent="0.2">
      <c r="A837" t="s">
        <v>1517</v>
      </c>
      <c r="B837" t="s">
        <v>4369</v>
      </c>
      <c r="C837" t="s">
        <v>1526</v>
      </c>
      <c r="D837" t="s">
        <v>1527</v>
      </c>
    </row>
    <row r="838" spans="1:4" x14ac:dyDescent="0.2">
      <c r="A838" t="s">
        <v>1517</v>
      </c>
      <c r="B838" t="s">
        <v>4370</v>
      </c>
      <c r="C838" t="s">
        <v>1528</v>
      </c>
      <c r="D838" t="s">
        <v>1529</v>
      </c>
    </row>
    <row r="839" spans="1:4" x14ac:dyDescent="0.2">
      <c r="A839" t="s">
        <v>1517</v>
      </c>
      <c r="B839" t="s">
        <v>4371</v>
      </c>
      <c r="C839" t="s">
        <v>1530</v>
      </c>
      <c r="D839" t="s">
        <v>1531</v>
      </c>
    </row>
    <row r="840" spans="1:4" x14ac:dyDescent="0.2">
      <c r="A840" t="s">
        <v>1517</v>
      </c>
      <c r="B840" t="s">
        <v>4372</v>
      </c>
      <c r="C840" t="s">
        <v>1532</v>
      </c>
      <c r="D840" t="s">
        <v>1533</v>
      </c>
    </row>
    <row r="841" spans="1:4" x14ac:dyDescent="0.2">
      <c r="A841" t="s">
        <v>1517</v>
      </c>
      <c r="B841" t="s">
        <v>4373</v>
      </c>
      <c r="C841" t="s">
        <v>1534</v>
      </c>
      <c r="D841" t="s">
        <v>1535</v>
      </c>
    </row>
    <row r="842" spans="1:4" x14ac:dyDescent="0.2">
      <c r="A842" t="s">
        <v>1517</v>
      </c>
      <c r="B842" t="s">
        <v>4374</v>
      </c>
      <c r="C842" t="s">
        <v>1536</v>
      </c>
      <c r="D842" t="s">
        <v>1537</v>
      </c>
    </row>
    <row r="843" spans="1:4" x14ac:dyDescent="0.2">
      <c r="A843" t="s">
        <v>1517</v>
      </c>
      <c r="B843" t="s">
        <v>4375</v>
      </c>
      <c r="C843" t="s">
        <v>1538</v>
      </c>
      <c r="D843" t="s">
        <v>1539</v>
      </c>
    </row>
    <row r="844" spans="1:4" x14ac:dyDescent="0.2">
      <c r="A844" t="s">
        <v>1517</v>
      </c>
      <c r="B844" t="s">
        <v>4376</v>
      </c>
      <c r="C844" t="s">
        <v>1540</v>
      </c>
      <c r="D844" t="s">
        <v>1541</v>
      </c>
    </row>
    <row r="845" spans="1:4" x14ac:dyDescent="0.2">
      <c r="A845" t="s">
        <v>1517</v>
      </c>
      <c r="B845" t="s">
        <v>4377</v>
      </c>
      <c r="C845" t="s">
        <v>1542</v>
      </c>
      <c r="D845" t="s">
        <v>1543</v>
      </c>
    </row>
    <row r="846" spans="1:4" x14ac:dyDescent="0.2">
      <c r="A846" t="s">
        <v>1517</v>
      </c>
      <c r="B846" t="s">
        <v>4378</v>
      </c>
      <c r="C846" t="s">
        <v>1556</v>
      </c>
      <c r="D846" t="s">
        <v>1557</v>
      </c>
    </row>
    <row r="847" spans="1:4" x14ac:dyDescent="0.2">
      <c r="A847" t="s">
        <v>1517</v>
      </c>
      <c r="B847" t="s">
        <v>4379</v>
      </c>
      <c r="C847" t="s">
        <v>1558</v>
      </c>
      <c r="D847" t="s">
        <v>1559</v>
      </c>
    </row>
    <row r="848" spans="1:4" x14ac:dyDescent="0.2">
      <c r="A848" t="s">
        <v>1517</v>
      </c>
      <c r="B848" t="s">
        <v>4380</v>
      </c>
      <c r="C848" t="s">
        <v>1544</v>
      </c>
      <c r="D848" t="s">
        <v>1545</v>
      </c>
    </row>
    <row r="849" spans="1:4" x14ac:dyDescent="0.2">
      <c r="A849" t="s">
        <v>1517</v>
      </c>
      <c r="B849" t="s">
        <v>4381</v>
      </c>
      <c r="C849" t="s">
        <v>1546</v>
      </c>
      <c r="D849" t="s">
        <v>1547</v>
      </c>
    </row>
    <row r="850" spans="1:4" x14ac:dyDescent="0.2">
      <c r="A850" t="s">
        <v>1517</v>
      </c>
      <c r="B850" t="s">
        <v>4382</v>
      </c>
      <c r="C850" t="s">
        <v>1548</v>
      </c>
      <c r="D850" t="s">
        <v>1549</v>
      </c>
    </row>
    <row r="851" spans="1:4" x14ac:dyDescent="0.2">
      <c r="A851" t="s">
        <v>1517</v>
      </c>
      <c r="B851" t="s">
        <v>4383</v>
      </c>
      <c r="C851" t="s">
        <v>1550</v>
      </c>
      <c r="D851" t="s">
        <v>1551</v>
      </c>
    </row>
    <row r="852" spans="1:4" x14ac:dyDescent="0.2">
      <c r="A852" t="s">
        <v>1517</v>
      </c>
      <c r="B852" t="s">
        <v>4384</v>
      </c>
      <c r="C852" t="s">
        <v>1552</v>
      </c>
      <c r="D852" t="s">
        <v>4385</v>
      </c>
    </row>
    <row r="853" spans="1:4" x14ac:dyDescent="0.2">
      <c r="A853" t="s">
        <v>1517</v>
      </c>
      <c r="B853" t="s">
        <v>4386</v>
      </c>
      <c r="C853" t="s">
        <v>1554</v>
      </c>
      <c r="D853" t="s">
        <v>1555</v>
      </c>
    </row>
    <row r="854" spans="1:4" x14ac:dyDescent="0.2">
      <c r="A854" t="s">
        <v>1517</v>
      </c>
      <c r="B854" t="s">
        <v>4387</v>
      </c>
      <c r="C854" t="s">
        <v>1562</v>
      </c>
      <c r="D854" t="s">
        <v>1563</v>
      </c>
    </row>
    <row r="855" spans="1:4" x14ac:dyDescent="0.2">
      <c r="A855" t="s">
        <v>1517</v>
      </c>
      <c r="B855" t="s">
        <v>4388</v>
      </c>
      <c r="C855" t="s">
        <v>1564</v>
      </c>
      <c r="D855" t="s">
        <v>1565</v>
      </c>
    </row>
    <row r="856" spans="1:4" x14ac:dyDescent="0.2">
      <c r="A856" t="s">
        <v>1517</v>
      </c>
      <c r="B856" t="s">
        <v>4389</v>
      </c>
      <c r="C856" t="s">
        <v>1566</v>
      </c>
      <c r="D856" t="s">
        <v>1567</v>
      </c>
    </row>
    <row r="857" spans="1:4" x14ac:dyDescent="0.2">
      <c r="A857" t="s">
        <v>1517</v>
      </c>
      <c r="B857" t="s">
        <v>4390</v>
      </c>
      <c r="C857" t="s">
        <v>1560</v>
      </c>
      <c r="D857" t="s">
        <v>1561</v>
      </c>
    </row>
    <row r="858" spans="1:4" x14ac:dyDescent="0.2">
      <c r="A858" t="s">
        <v>1517</v>
      </c>
      <c r="B858" t="s">
        <v>4391</v>
      </c>
      <c r="C858" t="s">
        <v>1568</v>
      </c>
      <c r="D858" t="s">
        <v>1569</v>
      </c>
    </row>
    <row r="859" spans="1:4" x14ac:dyDescent="0.2">
      <c r="A859" t="s">
        <v>1517</v>
      </c>
      <c r="B859" t="s">
        <v>4392</v>
      </c>
      <c r="C859" t="s">
        <v>1570</v>
      </c>
      <c r="D859" t="s">
        <v>1571</v>
      </c>
    </row>
    <row r="860" spans="1:4" x14ac:dyDescent="0.2">
      <c r="A860" t="s">
        <v>1517</v>
      </c>
      <c r="B860" t="s">
        <v>4393</v>
      </c>
      <c r="C860" t="s">
        <v>4394</v>
      </c>
      <c r="D860" t="s">
        <v>4395</v>
      </c>
    </row>
    <row r="861" spans="1:4" x14ac:dyDescent="0.2">
      <c r="A861" t="s">
        <v>1517</v>
      </c>
      <c r="B861" t="s">
        <v>4396</v>
      </c>
      <c r="C861" t="s">
        <v>4397</v>
      </c>
      <c r="D861" t="s">
        <v>4398</v>
      </c>
    </row>
    <row r="862" spans="1:4" x14ac:dyDescent="0.2">
      <c r="A862" t="s">
        <v>1517</v>
      </c>
      <c r="B862" t="s">
        <v>4399</v>
      </c>
      <c r="C862" t="s">
        <v>4400</v>
      </c>
      <c r="D862" t="s">
        <v>4401</v>
      </c>
    </row>
    <row r="863" spans="1:4" x14ac:dyDescent="0.2">
      <c r="A863" t="s">
        <v>1517</v>
      </c>
      <c r="B863" t="s">
        <v>4402</v>
      </c>
      <c r="C863" t="s">
        <v>4403</v>
      </c>
      <c r="D863" t="s">
        <v>4404</v>
      </c>
    </row>
    <row r="864" spans="1:4" x14ac:dyDescent="0.2">
      <c r="A864" t="s">
        <v>1517</v>
      </c>
      <c r="B864" t="s">
        <v>4405</v>
      </c>
      <c r="C864" t="s">
        <v>4406</v>
      </c>
      <c r="D864" t="s">
        <v>4407</v>
      </c>
    </row>
    <row r="865" spans="1:4" x14ac:dyDescent="0.2">
      <c r="A865" t="s">
        <v>1517</v>
      </c>
      <c r="B865" t="s">
        <v>4408</v>
      </c>
      <c r="C865" t="s">
        <v>4409</v>
      </c>
      <c r="D865" t="s">
        <v>4410</v>
      </c>
    </row>
    <row r="866" spans="1:4" x14ac:dyDescent="0.2">
      <c r="A866" t="s">
        <v>1517</v>
      </c>
      <c r="B866" t="s">
        <v>4411</v>
      </c>
      <c r="C866" t="s">
        <v>4412</v>
      </c>
      <c r="D866" t="s">
        <v>4413</v>
      </c>
    </row>
    <row r="867" spans="1:4" x14ac:dyDescent="0.2">
      <c r="A867" t="s">
        <v>1517</v>
      </c>
      <c r="B867" t="s">
        <v>4414</v>
      </c>
      <c r="C867" t="s">
        <v>4415</v>
      </c>
      <c r="D867" t="s">
        <v>4416</v>
      </c>
    </row>
    <row r="868" spans="1:4" x14ac:dyDescent="0.2">
      <c r="A868" t="s">
        <v>1517</v>
      </c>
      <c r="B868" t="s">
        <v>4417</v>
      </c>
      <c r="C868" t="s">
        <v>4418</v>
      </c>
      <c r="D868" t="s">
        <v>4419</v>
      </c>
    </row>
    <row r="869" spans="1:4" x14ac:dyDescent="0.2">
      <c r="A869" t="s">
        <v>1517</v>
      </c>
      <c r="B869" t="s">
        <v>4420</v>
      </c>
      <c r="C869" t="s">
        <v>4421</v>
      </c>
      <c r="D869" t="s">
        <v>4422</v>
      </c>
    </row>
    <row r="870" spans="1:4" x14ac:dyDescent="0.2">
      <c r="A870" t="s">
        <v>1517</v>
      </c>
      <c r="B870" t="s">
        <v>4423</v>
      </c>
      <c r="C870" t="s">
        <v>4424</v>
      </c>
      <c r="D870" t="s">
        <v>4425</v>
      </c>
    </row>
    <row r="871" spans="1:4" x14ac:dyDescent="0.2">
      <c r="A871" t="s">
        <v>1517</v>
      </c>
      <c r="B871" t="s">
        <v>4426</v>
      </c>
      <c r="C871" t="s">
        <v>4427</v>
      </c>
      <c r="D871" t="s">
        <v>4428</v>
      </c>
    </row>
    <row r="872" spans="1:4" x14ac:dyDescent="0.2">
      <c r="A872" t="s">
        <v>1517</v>
      </c>
      <c r="B872" t="s">
        <v>4429</v>
      </c>
      <c r="C872" t="s">
        <v>4430</v>
      </c>
      <c r="D872" t="s">
        <v>4431</v>
      </c>
    </row>
    <row r="873" spans="1:4" x14ac:dyDescent="0.2">
      <c r="A873" t="s">
        <v>1517</v>
      </c>
      <c r="B873" t="s">
        <v>4432</v>
      </c>
      <c r="C873" t="s">
        <v>4433</v>
      </c>
      <c r="D873" t="s">
        <v>4434</v>
      </c>
    </row>
    <row r="874" spans="1:4" x14ac:dyDescent="0.2">
      <c r="A874" t="s">
        <v>1517</v>
      </c>
      <c r="B874" t="s">
        <v>4435</v>
      </c>
      <c r="C874" t="s">
        <v>4436</v>
      </c>
      <c r="D874" t="s">
        <v>4437</v>
      </c>
    </row>
    <row r="875" spans="1:4" x14ac:dyDescent="0.2">
      <c r="A875" t="s">
        <v>1517</v>
      </c>
      <c r="B875" t="s">
        <v>4438</v>
      </c>
      <c r="C875" t="s">
        <v>4439</v>
      </c>
      <c r="D875" t="s">
        <v>4440</v>
      </c>
    </row>
    <row r="876" spans="1:4" x14ac:dyDescent="0.2">
      <c r="A876" t="s">
        <v>1517</v>
      </c>
      <c r="B876" t="s">
        <v>4441</v>
      </c>
      <c r="C876" t="s">
        <v>4442</v>
      </c>
      <c r="D876" t="s">
        <v>4443</v>
      </c>
    </row>
    <row r="877" spans="1:4" x14ac:dyDescent="0.2">
      <c r="A877" t="s">
        <v>1517</v>
      </c>
      <c r="B877" t="s">
        <v>4444</v>
      </c>
      <c r="C877" t="s">
        <v>4445</v>
      </c>
      <c r="D877" t="s">
        <v>4446</v>
      </c>
    </row>
    <row r="878" spans="1:4" x14ac:dyDescent="0.2">
      <c r="A878" t="s">
        <v>1517</v>
      </c>
      <c r="B878" t="s">
        <v>4447</v>
      </c>
      <c r="C878" t="s">
        <v>4448</v>
      </c>
      <c r="D878" t="s">
        <v>4449</v>
      </c>
    </row>
    <row r="879" spans="1:4" x14ac:dyDescent="0.2">
      <c r="A879" t="s">
        <v>1517</v>
      </c>
      <c r="B879" t="s">
        <v>4450</v>
      </c>
      <c r="C879" t="s">
        <v>4451</v>
      </c>
      <c r="D879" t="s">
        <v>4452</v>
      </c>
    </row>
    <row r="880" spans="1:4" x14ac:dyDescent="0.2">
      <c r="A880" t="s">
        <v>1517</v>
      </c>
      <c r="B880" t="s">
        <v>4453</v>
      </c>
      <c r="C880" t="s">
        <v>4454</v>
      </c>
      <c r="D880" t="s">
        <v>4455</v>
      </c>
    </row>
    <row r="881" spans="1:4" x14ac:dyDescent="0.2">
      <c r="A881" t="s">
        <v>1517</v>
      </c>
      <c r="B881" t="s">
        <v>4456</v>
      </c>
      <c r="C881" t="s">
        <v>4457</v>
      </c>
      <c r="D881" t="s">
        <v>4458</v>
      </c>
    </row>
    <row r="882" spans="1:4" x14ac:dyDescent="0.2">
      <c r="A882" t="s">
        <v>1517</v>
      </c>
      <c r="B882" t="s">
        <v>4459</v>
      </c>
      <c r="C882" t="s">
        <v>4460</v>
      </c>
      <c r="D882" t="s">
        <v>4461</v>
      </c>
    </row>
    <row r="883" spans="1:4" x14ac:dyDescent="0.2">
      <c r="A883" t="s">
        <v>1517</v>
      </c>
      <c r="B883" t="s">
        <v>4462</v>
      </c>
      <c r="C883" t="s">
        <v>4463</v>
      </c>
      <c r="D883" t="s">
        <v>4464</v>
      </c>
    </row>
    <row r="884" spans="1:4" x14ac:dyDescent="0.2">
      <c r="A884" t="s">
        <v>1517</v>
      </c>
      <c r="B884" t="s">
        <v>4465</v>
      </c>
      <c r="C884" t="s">
        <v>4466</v>
      </c>
      <c r="D884" t="s">
        <v>4467</v>
      </c>
    </row>
    <row r="885" spans="1:4" x14ac:dyDescent="0.2">
      <c r="A885" t="s">
        <v>1517</v>
      </c>
      <c r="B885" t="s">
        <v>4468</v>
      </c>
      <c r="C885" t="s">
        <v>4469</v>
      </c>
      <c r="D885" t="s">
        <v>4470</v>
      </c>
    </row>
    <row r="886" spans="1:4" x14ac:dyDescent="0.2">
      <c r="A886" t="s">
        <v>1517</v>
      </c>
      <c r="B886" t="s">
        <v>4471</v>
      </c>
      <c r="C886" t="s">
        <v>4472</v>
      </c>
      <c r="D886" t="s">
        <v>4473</v>
      </c>
    </row>
    <row r="887" spans="1:4" x14ac:dyDescent="0.2">
      <c r="A887" t="s">
        <v>1517</v>
      </c>
      <c r="B887" t="s">
        <v>4474</v>
      </c>
      <c r="C887" t="s">
        <v>4475</v>
      </c>
      <c r="D887" t="s">
        <v>4476</v>
      </c>
    </row>
    <row r="888" spans="1:4" x14ac:dyDescent="0.2">
      <c r="A888" t="s">
        <v>1517</v>
      </c>
      <c r="B888" t="s">
        <v>4477</v>
      </c>
      <c r="C888" t="s">
        <v>4478</v>
      </c>
      <c r="D888" t="s">
        <v>4479</v>
      </c>
    </row>
    <row r="889" spans="1:4" x14ac:dyDescent="0.2">
      <c r="A889" t="s">
        <v>1517</v>
      </c>
      <c r="B889" t="s">
        <v>4480</v>
      </c>
      <c r="C889" t="s">
        <v>4481</v>
      </c>
      <c r="D889" t="s">
        <v>4482</v>
      </c>
    </row>
    <row r="890" spans="1:4" x14ac:dyDescent="0.2">
      <c r="A890" t="s">
        <v>1517</v>
      </c>
      <c r="B890" t="s">
        <v>4483</v>
      </c>
      <c r="C890" t="s">
        <v>4484</v>
      </c>
      <c r="D890" t="s">
        <v>4485</v>
      </c>
    </row>
    <row r="891" spans="1:4" x14ac:dyDescent="0.2">
      <c r="A891" t="s">
        <v>1517</v>
      </c>
      <c r="B891" t="s">
        <v>4486</v>
      </c>
      <c r="C891" t="s">
        <v>4487</v>
      </c>
      <c r="D891" t="s">
        <v>4488</v>
      </c>
    </row>
    <row r="892" spans="1:4" x14ac:dyDescent="0.2">
      <c r="A892" t="s">
        <v>1517</v>
      </c>
      <c r="B892" t="s">
        <v>4489</v>
      </c>
      <c r="C892" t="s">
        <v>4490</v>
      </c>
      <c r="D892" t="s">
        <v>4491</v>
      </c>
    </row>
    <row r="893" spans="1:4" x14ac:dyDescent="0.2">
      <c r="A893" t="s">
        <v>1517</v>
      </c>
      <c r="B893" t="s">
        <v>4492</v>
      </c>
      <c r="C893" t="s">
        <v>4493</v>
      </c>
      <c r="D893" t="s">
        <v>4494</v>
      </c>
    </row>
    <row r="894" spans="1:4" x14ac:dyDescent="0.2">
      <c r="A894" t="s">
        <v>1517</v>
      </c>
      <c r="B894" t="s">
        <v>4495</v>
      </c>
      <c r="C894" t="s">
        <v>4496</v>
      </c>
      <c r="D894" t="s">
        <v>4497</v>
      </c>
    </row>
    <row r="895" spans="1:4" x14ac:dyDescent="0.2">
      <c r="A895" t="s">
        <v>1517</v>
      </c>
      <c r="B895" t="s">
        <v>4498</v>
      </c>
      <c r="C895" t="s">
        <v>4499</v>
      </c>
      <c r="D895" t="s">
        <v>4500</v>
      </c>
    </row>
    <row r="896" spans="1:4" x14ac:dyDescent="0.2">
      <c r="A896" t="s">
        <v>1517</v>
      </c>
      <c r="B896" t="s">
        <v>4501</v>
      </c>
      <c r="C896" t="s">
        <v>4502</v>
      </c>
      <c r="D896" t="s">
        <v>4503</v>
      </c>
    </row>
    <row r="897" spans="1:4" x14ac:dyDescent="0.2">
      <c r="A897" t="s">
        <v>1517</v>
      </c>
      <c r="B897" t="s">
        <v>4504</v>
      </c>
      <c r="C897" t="s">
        <v>4505</v>
      </c>
      <c r="D897" t="s">
        <v>4506</v>
      </c>
    </row>
    <row r="898" spans="1:4" x14ac:dyDescent="0.2">
      <c r="A898" t="s">
        <v>1517</v>
      </c>
      <c r="B898" t="s">
        <v>4507</v>
      </c>
      <c r="C898" t="s">
        <v>4508</v>
      </c>
      <c r="D898" t="s">
        <v>4509</v>
      </c>
    </row>
    <row r="899" spans="1:4" x14ac:dyDescent="0.2">
      <c r="A899" t="s">
        <v>1517</v>
      </c>
      <c r="B899" t="s">
        <v>4510</v>
      </c>
      <c r="C899" t="s">
        <v>4511</v>
      </c>
      <c r="D899" t="s">
        <v>4512</v>
      </c>
    </row>
    <row r="900" spans="1:4" x14ac:dyDescent="0.2">
      <c r="A900" t="s">
        <v>1517</v>
      </c>
      <c r="B900" t="s">
        <v>4513</v>
      </c>
      <c r="C900" t="s">
        <v>4514</v>
      </c>
      <c r="D900" t="s">
        <v>4515</v>
      </c>
    </row>
    <row r="901" spans="1:4" x14ac:dyDescent="0.2">
      <c r="A901" t="s">
        <v>1517</v>
      </c>
      <c r="B901" t="s">
        <v>4516</v>
      </c>
      <c r="C901" t="s">
        <v>4517</v>
      </c>
      <c r="D901" t="s">
        <v>4518</v>
      </c>
    </row>
    <row r="902" spans="1:4" x14ac:dyDescent="0.2">
      <c r="A902" t="s">
        <v>1517</v>
      </c>
      <c r="B902" t="s">
        <v>4519</v>
      </c>
      <c r="C902" t="s">
        <v>4520</v>
      </c>
      <c r="D902" t="s">
        <v>4521</v>
      </c>
    </row>
    <row r="903" spans="1:4" x14ac:dyDescent="0.2">
      <c r="A903" t="s">
        <v>1517</v>
      </c>
      <c r="B903" t="s">
        <v>4522</v>
      </c>
      <c r="C903" t="s">
        <v>4523</v>
      </c>
      <c r="D903" t="s">
        <v>4524</v>
      </c>
    </row>
    <row r="904" spans="1:4" x14ac:dyDescent="0.2">
      <c r="A904" t="s">
        <v>1517</v>
      </c>
      <c r="B904" t="s">
        <v>4525</v>
      </c>
      <c r="C904" t="s">
        <v>4526</v>
      </c>
      <c r="D904" t="s">
        <v>4527</v>
      </c>
    </row>
    <row r="905" spans="1:4" x14ac:dyDescent="0.2">
      <c r="A905" t="s">
        <v>1517</v>
      </c>
      <c r="B905" t="s">
        <v>4528</v>
      </c>
      <c r="C905" t="s">
        <v>4529</v>
      </c>
      <c r="D905" t="s">
        <v>4530</v>
      </c>
    </row>
    <row r="906" spans="1:4" x14ac:dyDescent="0.2">
      <c r="A906" t="s">
        <v>1517</v>
      </c>
      <c r="B906" t="s">
        <v>4531</v>
      </c>
      <c r="C906" t="s">
        <v>4532</v>
      </c>
      <c r="D906" t="s">
        <v>4533</v>
      </c>
    </row>
    <row r="907" spans="1:4" x14ac:dyDescent="0.2">
      <c r="A907" t="s">
        <v>1517</v>
      </c>
      <c r="B907" t="s">
        <v>4534</v>
      </c>
      <c r="C907" t="s">
        <v>4535</v>
      </c>
      <c r="D907" t="s">
        <v>4536</v>
      </c>
    </row>
    <row r="908" spans="1:4" x14ac:dyDescent="0.2">
      <c r="A908" t="s">
        <v>1517</v>
      </c>
      <c r="B908" t="s">
        <v>4537</v>
      </c>
      <c r="C908" t="s">
        <v>4538</v>
      </c>
      <c r="D908" t="s">
        <v>4539</v>
      </c>
    </row>
    <row r="909" spans="1:4" x14ac:dyDescent="0.2">
      <c r="A909" t="s">
        <v>1517</v>
      </c>
      <c r="B909" t="s">
        <v>4540</v>
      </c>
      <c r="C909" t="s">
        <v>4541</v>
      </c>
      <c r="D909" t="s">
        <v>4542</v>
      </c>
    </row>
    <row r="910" spans="1:4" x14ac:dyDescent="0.2">
      <c r="A910" t="s">
        <v>1517</v>
      </c>
      <c r="B910" t="s">
        <v>4543</v>
      </c>
      <c r="C910" t="s">
        <v>4544</v>
      </c>
      <c r="D910" t="s">
        <v>4545</v>
      </c>
    </row>
    <row r="911" spans="1:4" x14ac:dyDescent="0.2">
      <c r="A911" t="s">
        <v>1517</v>
      </c>
      <c r="B911" t="s">
        <v>4546</v>
      </c>
      <c r="C911" t="s">
        <v>4547</v>
      </c>
      <c r="D911" t="s">
        <v>4548</v>
      </c>
    </row>
    <row r="912" spans="1:4" x14ac:dyDescent="0.2">
      <c r="A912" t="s">
        <v>1517</v>
      </c>
      <c r="B912" t="s">
        <v>4549</v>
      </c>
      <c r="C912" t="s">
        <v>4550</v>
      </c>
      <c r="D912" t="s">
        <v>4551</v>
      </c>
    </row>
    <row r="913" spans="1:4" x14ac:dyDescent="0.2">
      <c r="A913" t="s">
        <v>1517</v>
      </c>
      <c r="B913" t="s">
        <v>4552</v>
      </c>
      <c r="C913" t="s">
        <v>4553</v>
      </c>
      <c r="D913" t="s">
        <v>4554</v>
      </c>
    </row>
    <row r="914" spans="1:4" x14ac:dyDescent="0.2">
      <c r="A914" t="s">
        <v>1517</v>
      </c>
      <c r="B914" t="s">
        <v>4555</v>
      </c>
      <c r="C914" t="s">
        <v>4556</v>
      </c>
      <c r="D914" t="s">
        <v>4557</v>
      </c>
    </row>
    <row r="915" spans="1:4" x14ac:dyDescent="0.2">
      <c r="A915" t="s">
        <v>1517</v>
      </c>
      <c r="B915" t="s">
        <v>4558</v>
      </c>
      <c r="C915" t="s">
        <v>4559</v>
      </c>
      <c r="D915" t="s">
        <v>4560</v>
      </c>
    </row>
    <row r="916" spans="1:4" x14ac:dyDescent="0.2">
      <c r="A916" t="s">
        <v>1517</v>
      </c>
      <c r="B916" t="s">
        <v>4561</v>
      </c>
      <c r="C916" t="s">
        <v>4562</v>
      </c>
      <c r="D916" t="s">
        <v>4563</v>
      </c>
    </row>
    <row r="917" spans="1:4" x14ac:dyDescent="0.2">
      <c r="A917" t="s">
        <v>1517</v>
      </c>
      <c r="B917" t="s">
        <v>4564</v>
      </c>
      <c r="C917" t="s">
        <v>4565</v>
      </c>
      <c r="D917" t="s">
        <v>4566</v>
      </c>
    </row>
    <row r="918" spans="1:4" x14ac:dyDescent="0.2">
      <c r="A918" t="s">
        <v>1517</v>
      </c>
      <c r="B918" t="s">
        <v>4567</v>
      </c>
      <c r="C918" t="s">
        <v>4568</v>
      </c>
      <c r="D918" t="s">
        <v>4569</v>
      </c>
    </row>
    <row r="919" spans="1:4" x14ac:dyDescent="0.2">
      <c r="A919" t="s">
        <v>1517</v>
      </c>
      <c r="B919" t="s">
        <v>4570</v>
      </c>
      <c r="C919" t="s">
        <v>4571</v>
      </c>
      <c r="D919" t="s">
        <v>4572</v>
      </c>
    </row>
    <row r="920" spans="1:4" x14ac:dyDescent="0.2">
      <c r="A920" t="s">
        <v>1517</v>
      </c>
      <c r="B920" t="s">
        <v>4573</v>
      </c>
      <c r="C920" t="s">
        <v>4574</v>
      </c>
      <c r="D920" t="s">
        <v>4575</v>
      </c>
    </row>
    <row r="921" spans="1:4" x14ac:dyDescent="0.2">
      <c r="A921" t="s">
        <v>1517</v>
      </c>
      <c r="B921" t="s">
        <v>4576</v>
      </c>
      <c r="C921" t="s">
        <v>4577</v>
      </c>
      <c r="D921" t="s">
        <v>4578</v>
      </c>
    </row>
    <row r="922" spans="1:4" x14ac:dyDescent="0.2">
      <c r="A922" t="s">
        <v>1517</v>
      </c>
      <c r="B922" t="s">
        <v>4579</v>
      </c>
      <c r="C922" t="s">
        <v>4580</v>
      </c>
      <c r="D922" t="s">
        <v>4581</v>
      </c>
    </row>
    <row r="923" spans="1:4" x14ac:dyDescent="0.2">
      <c r="A923" t="s">
        <v>1517</v>
      </c>
      <c r="B923" t="s">
        <v>4582</v>
      </c>
      <c r="C923" t="s">
        <v>1575</v>
      </c>
      <c r="D923" t="s">
        <v>4583</v>
      </c>
    </row>
    <row r="924" spans="1:4" x14ac:dyDescent="0.2">
      <c r="A924" t="s">
        <v>1517</v>
      </c>
      <c r="B924" t="s">
        <v>4584</v>
      </c>
      <c r="C924" t="s">
        <v>1489</v>
      </c>
      <c r="D924" t="s">
        <v>1490</v>
      </c>
    </row>
    <row r="925" spans="1:4" x14ac:dyDescent="0.2">
      <c r="A925" t="s">
        <v>1517</v>
      </c>
      <c r="B925" t="s">
        <v>4585</v>
      </c>
      <c r="C925" t="s">
        <v>1492</v>
      </c>
      <c r="D925" t="s">
        <v>1493</v>
      </c>
    </row>
    <row r="927" spans="1:4" x14ac:dyDescent="0.2">
      <c r="A927" t="s">
        <v>4586</v>
      </c>
      <c r="B927" t="s">
        <v>4365</v>
      </c>
      <c r="C927" t="s">
        <v>1518</v>
      </c>
      <c r="D927" t="s">
        <v>1519</v>
      </c>
    </row>
    <row r="928" spans="1:4" x14ac:dyDescent="0.2">
      <c r="A928" t="s">
        <v>4586</v>
      </c>
      <c r="B928" t="s">
        <v>4366</v>
      </c>
      <c r="C928" t="s">
        <v>1520</v>
      </c>
      <c r="D928" t="s">
        <v>1521</v>
      </c>
    </row>
    <row r="929" spans="1:4" x14ac:dyDescent="0.2">
      <c r="A929" t="s">
        <v>4586</v>
      </c>
      <c r="B929" t="s">
        <v>4367</v>
      </c>
      <c r="C929" t="s">
        <v>1522</v>
      </c>
      <c r="D929" t="s">
        <v>1523</v>
      </c>
    </row>
    <row r="930" spans="1:4" x14ac:dyDescent="0.2">
      <c r="A930" t="s">
        <v>4586</v>
      </c>
      <c r="B930" t="s">
        <v>4368</v>
      </c>
      <c r="C930" t="s">
        <v>1524</v>
      </c>
      <c r="D930" t="s">
        <v>1525</v>
      </c>
    </row>
    <row r="931" spans="1:4" x14ac:dyDescent="0.2">
      <c r="A931" t="s">
        <v>4586</v>
      </c>
      <c r="B931" t="s">
        <v>4369</v>
      </c>
      <c r="C931" t="s">
        <v>1526</v>
      </c>
      <c r="D931" t="s">
        <v>1527</v>
      </c>
    </row>
    <row r="932" spans="1:4" x14ac:dyDescent="0.2">
      <c r="A932" t="s">
        <v>4586</v>
      </c>
      <c r="B932" t="s">
        <v>4370</v>
      </c>
      <c r="C932" t="s">
        <v>1528</v>
      </c>
      <c r="D932" t="s">
        <v>1529</v>
      </c>
    </row>
    <row r="933" spans="1:4" x14ac:dyDescent="0.2">
      <c r="A933" t="s">
        <v>4586</v>
      </c>
      <c r="B933" t="s">
        <v>4371</v>
      </c>
      <c r="C933" t="s">
        <v>1530</v>
      </c>
      <c r="D933" t="s">
        <v>1531</v>
      </c>
    </row>
    <row r="934" spans="1:4" x14ac:dyDescent="0.2">
      <c r="A934" t="s">
        <v>4586</v>
      </c>
      <c r="B934" t="s">
        <v>4372</v>
      </c>
      <c r="C934" t="s">
        <v>1532</v>
      </c>
      <c r="D934" t="s">
        <v>1533</v>
      </c>
    </row>
    <row r="935" spans="1:4" x14ac:dyDescent="0.2">
      <c r="A935" t="s">
        <v>4586</v>
      </c>
      <c r="B935" t="s">
        <v>4373</v>
      </c>
      <c r="C935" t="s">
        <v>1534</v>
      </c>
      <c r="D935" t="s">
        <v>1535</v>
      </c>
    </row>
    <row r="936" spans="1:4" x14ac:dyDescent="0.2">
      <c r="A936" t="s">
        <v>4586</v>
      </c>
      <c r="B936" t="s">
        <v>4374</v>
      </c>
      <c r="C936" t="s">
        <v>1536</v>
      </c>
      <c r="D936" t="s">
        <v>1537</v>
      </c>
    </row>
    <row r="937" spans="1:4" x14ac:dyDescent="0.2">
      <c r="A937" t="s">
        <v>4586</v>
      </c>
      <c r="B937" t="s">
        <v>4375</v>
      </c>
      <c r="C937" t="s">
        <v>1538</v>
      </c>
      <c r="D937" t="s">
        <v>1539</v>
      </c>
    </row>
    <row r="938" spans="1:4" x14ac:dyDescent="0.2">
      <c r="A938" t="s">
        <v>4586</v>
      </c>
      <c r="B938" t="s">
        <v>4376</v>
      </c>
      <c r="C938" t="s">
        <v>1540</v>
      </c>
      <c r="D938" t="s">
        <v>1541</v>
      </c>
    </row>
    <row r="939" spans="1:4" x14ac:dyDescent="0.2">
      <c r="A939" t="s">
        <v>4586</v>
      </c>
      <c r="B939" t="s">
        <v>4377</v>
      </c>
      <c r="C939" t="s">
        <v>1542</v>
      </c>
      <c r="D939" t="s">
        <v>1543</v>
      </c>
    </row>
    <row r="940" spans="1:4" x14ac:dyDescent="0.2">
      <c r="A940" t="s">
        <v>4586</v>
      </c>
      <c r="B940" t="s">
        <v>4378</v>
      </c>
      <c r="C940" t="s">
        <v>1556</v>
      </c>
      <c r="D940" t="s">
        <v>1557</v>
      </c>
    </row>
    <row r="941" spans="1:4" x14ac:dyDescent="0.2">
      <c r="A941" t="s">
        <v>4586</v>
      </c>
      <c r="B941" t="s">
        <v>4379</v>
      </c>
      <c r="C941" t="s">
        <v>1558</v>
      </c>
      <c r="D941" t="s">
        <v>1559</v>
      </c>
    </row>
    <row r="942" spans="1:4" x14ac:dyDescent="0.2">
      <c r="A942" t="s">
        <v>4586</v>
      </c>
      <c r="B942" t="s">
        <v>4380</v>
      </c>
      <c r="C942" t="s">
        <v>1544</v>
      </c>
      <c r="D942" t="s">
        <v>1545</v>
      </c>
    </row>
    <row r="943" spans="1:4" x14ac:dyDescent="0.2">
      <c r="A943" t="s">
        <v>4586</v>
      </c>
      <c r="B943" t="s">
        <v>4381</v>
      </c>
      <c r="C943" t="s">
        <v>1546</v>
      </c>
      <c r="D943" t="s">
        <v>1547</v>
      </c>
    </row>
    <row r="944" spans="1:4" x14ac:dyDescent="0.2">
      <c r="A944" t="s">
        <v>4586</v>
      </c>
      <c r="B944" t="s">
        <v>4382</v>
      </c>
      <c r="C944" t="s">
        <v>1548</v>
      </c>
      <c r="D944" t="s">
        <v>1549</v>
      </c>
    </row>
    <row r="945" spans="1:4" x14ac:dyDescent="0.2">
      <c r="A945" t="s">
        <v>4586</v>
      </c>
      <c r="B945" t="s">
        <v>4383</v>
      </c>
      <c r="C945" t="s">
        <v>1550</v>
      </c>
      <c r="D945" t="s">
        <v>1551</v>
      </c>
    </row>
    <row r="946" spans="1:4" x14ac:dyDescent="0.2">
      <c r="A946" t="s">
        <v>4586</v>
      </c>
      <c r="B946" t="s">
        <v>4384</v>
      </c>
      <c r="C946" t="s">
        <v>1552</v>
      </c>
      <c r="D946" t="s">
        <v>4385</v>
      </c>
    </row>
    <row r="947" spans="1:4" x14ac:dyDescent="0.2">
      <c r="A947" t="s">
        <v>4586</v>
      </c>
      <c r="B947" t="s">
        <v>4386</v>
      </c>
      <c r="C947" t="s">
        <v>1554</v>
      </c>
      <c r="D947" t="s">
        <v>1555</v>
      </c>
    </row>
    <row r="948" spans="1:4" x14ac:dyDescent="0.2">
      <c r="A948" t="s">
        <v>4586</v>
      </c>
      <c r="B948" t="s">
        <v>4387</v>
      </c>
      <c r="C948" t="s">
        <v>1562</v>
      </c>
      <c r="D948" t="s">
        <v>1563</v>
      </c>
    </row>
    <row r="949" spans="1:4" x14ac:dyDescent="0.2">
      <c r="A949" t="s">
        <v>4586</v>
      </c>
      <c r="B949" t="s">
        <v>4388</v>
      </c>
      <c r="C949" t="s">
        <v>1564</v>
      </c>
      <c r="D949" t="s">
        <v>1565</v>
      </c>
    </row>
    <row r="950" spans="1:4" x14ac:dyDescent="0.2">
      <c r="A950" t="s">
        <v>4586</v>
      </c>
      <c r="B950" t="s">
        <v>4389</v>
      </c>
      <c r="C950" t="s">
        <v>1566</v>
      </c>
      <c r="D950" t="s">
        <v>1567</v>
      </c>
    </row>
    <row r="951" spans="1:4" x14ac:dyDescent="0.2">
      <c r="A951" t="s">
        <v>4586</v>
      </c>
      <c r="B951" t="s">
        <v>4390</v>
      </c>
      <c r="C951" t="s">
        <v>1560</v>
      </c>
      <c r="D951" t="s">
        <v>1561</v>
      </c>
    </row>
    <row r="952" spans="1:4" x14ac:dyDescent="0.2">
      <c r="A952" t="s">
        <v>4586</v>
      </c>
      <c r="B952" t="s">
        <v>4391</v>
      </c>
      <c r="C952" t="s">
        <v>1568</v>
      </c>
      <c r="D952" t="s">
        <v>1569</v>
      </c>
    </row>
    <row r="953" spans="1:4" x14ac:dyDescent="0.2">
      <c r="A953" t="s">
        <v>4586</v>
      </c>
      <c r="B953" t="s">
        <v>4392</v>
      </c>
      <c r="C953" t="s">
        <v>1570</v>
      </c>
      <c r="D953" t="s">
        <v>1571</v>
      </c>
    </row>
    <row r="954" spans="1:4" x14ac:dyDescent="0.2">
      <c r="A954" t="s">
        <v>4586</v>
      </c>
      <c r="B954" t="s">
        <v>4393</v>
      </c>
      <c r="C954" t="s">
        <v>4394</v>
      </c>
      <c r="D954" t="s">
        <v>4395</v>
      </c>
    </row>
    <row r="955" spans="1:4" x14ac:dyDescent="0.2">
      <c r="A955" t="s">
        <v>4586</v>
      </c>
      <c r="B955" t="s">
        <v>4396</v>
      </c>
      <c r="C955" t="s">
        <v>4397</v>
      </c>
      <c r="D955" t="s">
        <v>4398</v>
      </c>
    </row>
    <row r="956" spans="1:4" x14ac:dyDescent="0.2">
      <c r="A956" t="s">
        <v>4586</v>
      </c>
      <c r="B956" t="s">
        <v>4399</v>
      </c>
      <c r="C956" t="s">
        <v>4400</v>
      </c>
      <c r="D956" t="s">
        <v>4401</v>
      </c>
    </row>
    <row r="957" spans="1:4" x14ac:dyDescent="0.2">
      <c r="A957" t="s">
        <v>4586</v>
      </c>
      <c r="B957" t="s">
        <v>4402</v>
      </c>
      <c r="C957" t="s">
        <v>4403</v>
      </c>
      <c r="D957" t="s">
        <v>4404</v>
      </c>
    </row>
    <row r="958" spans="1:4" x14ac:dyDescent="0.2">
      <c r="A958" t="s">
        <v>4586</v>
      </c>
      <c r="B958" t="s">
        <v>4405</v>
      </c>
      <c r="C958" t="s">
        <v>4406</v>
      </c>
      <c r="D958" t="s">
        <v>4407</v>
      </c>
    </row>
    <row r="959" spans="1:4" x14ac:dyDescent="0.2">
      <c r="A959" t="s">
        <v>4586</v>
      </c>
      <c r="B959" t="s">
        <v>4408</v>
      </c>
      <c r="C959" t="s">
        <v>4409</v>
      </c>
      <c r="D959" t="s">
        <v>4410</v>
      </c>
    </row>
    <row r="960" spans="1:4" x14ac:dyDescent="0.2">
      <c r="A960" t="s">
        <v>4586</v>
      </c>
      <c r="B960" t="s">
        <v>4411</v>
      </c>
      <c r="C960" t="s">
        <v>4412</v>
      </c>
      <c r="D960" t="s">
        <v>4413</v>
      </c>
    </row>
    <row r="961" spans="1:4" x14ac:dyDescent="0.2">
      <c r="A961" t="s">
        <v>4586</v>
      </c>
      <c r="B961" t="s">
        <v>4414</v>
      </c>
      <c r="C961" t="s">
        <v>4415</v>
      </c>
      <c r="D961" t="s">
        <v>4416</v>
      </c>
    </row>
    <row r="962" spans="1:4" x14ac:dyDescent="0.2">
      <c r="A962" t="s">
        <v>4586</v>
      </c>
      <c r="B962" t="s">
        <v>4417</v>
      </c>
      <c r="C962" t="s">
        <v>4418</v>
      </c>
      <c r="D962" t="s">
        <v>4419</v>
      </c>
    </row>
    <row r="963" spans="1:4" x14ac:dyDescent="0.2">
      <c r="A963" t="s">
        <v>4586</v>
      </c>
      <c r="B963" t="s">
        <v>4420</v>
      </c>
      <c r="C963" t="s">
        <v>4421</v>
      </c>
      <c r="D963" t="s">
        <v>4422</v>
      </c>
    </row>
    <row r="964" spans="1:4" x14ac:dyDescent="0.2">
      <c r="A964" t="s">
        <v>4586</v>
      </c>
      <c r="B964" t="s">
        <v>4423</v>
      </c>
      <c r="C964" t="s">
        <v>4424</v>
      </c>
      <c r="D964" t="s">
        <v>4425</v>
      </c>
    </row>
    <row r="965" spans="1:4" x14ac:dyDescent="0.2">
      <c r="A965" t="s">
        <v>4586</v>
      </c>
      <c r="B965" t="s">
        <v>4426</v>
      </c>
      <c r="C965" t="s">
        <v>4427</v>
      </c>
      <c r="D965" t="s">
        <v>4428</v>
      </c>
    </row>
    <row r="966" spans="1:4" x14ac:dyDescent="0.2">
      <c r="A966" t="s">
        <v>4586</v>
      </c>
      <c r="B966" t="s">
        <v>4429</v>
      </c>
      <c r="C966" t="s">
        <v>4430</v>
      </c>
      <c r="D966" t="s">
        <v>4431</v>
      </c>
    </row>
    <row r="967" spans="1:4" x14ac:dyDescent="0.2">
      <c r="A967" t="s">
        <v>4586</v>
      </c>
      <c r="B967" t="s">
        <v>4432</v>
      </c>
      <c r="C967" t="s">
        <v>4433</v>
      </c>
      <c r="D967" t="s">
        <v>4434</v>
      </c>
    </row>
    <row r="968" spans="1:4" x14ac:dyDescent="0.2">
      <c r="A968" t="s">
        <v>4586</v>
      </c>
      <c r="B968" t="s">
        <v>4435</v>
      </c>
      <c r="C968" t="s">
        <v>4436</v>
      </c>
      <c r="D968" t="s">
        <v>4437</v>
      </c>
    </row>
    <row r="969" spans="1:4" x14ac:dyDescent="0.2">
      <c r="A969" t="s">
        <v>4586</v>
      </c>
      <c r="B969" t="s">
        <v>4438</v>
      </c>
      <c r="C969" t="s">
        <v>4439</v>
      </c>
      <c r="D969" t="s">
        <v>4440</v>
      </c>
    </row>
    <row r="970" spans="1:4" x14ac:dyDescent="0.2">
      <c r="A970" t="s">
        <v>4586</v>
      </c>
      <c r="B970" t="s">
        <v>4441</v>
      </c>
      <c r="C970" t="s">
        <v>4442</v>
      </c>
      <c r="D970" t="s">
        <v>4443</v>
      </c>
    </row>
    <row r="971" spans="1:4" x14ac:dyDescent="0.2">
      <c r="A971" t="s">
        <v>4586</v>
      </c>
      <c r="B971" t="s">
        <v>4444</v>
      </c>
      <c r="C971" t="s">
        <v>4445</v>
      </c>
      <c r="D971" t="s">
        <v>4446</v>
      </c>
    </row>
    <row r="972" spans="1:4" x14ac:dyDescent="0.2">
      <c r="A972" t="s">
        <v>4586</v>
      </c>
      <c r="B972" t="s">
        <v>4447</v>
      </c>
      <c r="C972" t="s">
        <v>4448</v>
      </c>
      <c r="D972" t="s">
        <v>4449</v>
      </c>
    </row>
    <row r="973" spans="1:4" x14ac:dyDescent="0.2">
      <c r="A973" t="s">
        <v>4586</v>
      </c>
      <c r="B973" t="s">
        <v>4450</v>
      </c>
      <c r="C973" t="s">
        <v>4451</v>
      </c>
      <c r="D973" t="s">
        <v>4452</v>
      </c>
    </row>
    <row r="974" spans="1:4" x14ac:dyDescent="0.2">
      <c r="A974" t="s">
        <v>4586</v>
      </c>
      <c r="B974" t="s">
        <v>4453</v>
      </c>
      <c r="C974" t="s">
        <v>4454</v>
      </c>
      <c r="D974" t="s">
        <v>4455</v>
      </c>
    </row>
    <row r="975" spans="1:4" x14ac:dyDescent="0.2">
      <c r="A975" t="s">
        <v>4586</v>
      </c>
      <c r="B975" t="s">
        <v>4456</v>
      </c>
      <c r="C975" t="s">
        <v>4457</v>
      </c>
      <c r="D975" t="s">
        <v>4458</v>
      </c>
    </row>
    <row r="976" spans="1:4" x14ac:dyDescent="0.2">
      <c r="A976" t="s">
        <v>4586</v>
      </c>
      <c r="B976" t="s">
        <v>4459</v>
      </c>
      <c r="C976" t="s">
        <v>4460</v>
      </c>
      <c r="D976" t="s">
        <v>4461</v>
      </c>
    </row>
    <row r="977" spans="1:4" x14ac:dyDescent="0.2">
      <c r="A977" t="s">
        <v>4586</v>
      </c>
      <c r="B977" t="s">
        <v>4462</v>
      </c>
      <c r="C977" t="s">
        <v>4463</v>
      </c>
      <c r="D977" t="s">
        <v>4464</v>
      </c>
    </row>
    <row r="978" spans="1:4" x14ac:dyDescent="0.2">
      <c r="A978" t="s">
        <v>4586</v>
      </c>
      <c r="B978" t="s">
        <v>4465</v>
      </c>
      <c r="C978" t="s">
        <v>4466</v>
      </c>
      <c r="D978" t="s">
        <v>4467</v>
      </c>
    </row>
    <row r="979" spans="1:4" x14ac:dyDescent="0.2">
      <c r="A979" t="s">
        <v>4586</v>
      </c>
      <c r="B979" t="s">
        <v>4468</v>
      </c>
      <c r="C979" t="s">
        <v>4469</v>
      </c>
      <c r="D979" t="s">
        <v>4470</v>
      </c>
    </row>
    <row r="980" spans="1:4" x14ac:dyDescent="0.2">
      <c r="A980" t="s">
        <v>4586</v>
      </c>
      <c r="B980" t="s">
        <v>4471</v>
      </c>
      <c r="C980" t="s">
        <v>4472</v>
      </c>
      <c r="D980" t="s">
        <v>4473</v>
      </c>
    </row>
    <row r="981" spans="1:4" x14ac:dyDescent="0.2">
      <c r="A981" t="s">
        <v>4586</v>
      </c>
      <c r="B981" t="s">
        <v>4474</v>
      </c>
      <c r="C981" t="s">
        <v>4475</v>
      </c>
      <c r="D981" t="s">
        <v>4476</v>
      </c>
    </row>
    <row r="982" spans="1:4" x14ac:dyDescent="0.2">
      <c r="A982" t="s">
        <v>4586</v>
      </c>
      <c r="B982" t="s">
        <v>4477</v>
      </c>
      <c r="C982" t="s">
        <v>4478</v>
      </c>
      <c r="D982" t="s">
        <v>4479</v>
      </c>
    </row>
    <row r="983" spans="1:4" x14ac:dyDescent="0.2">
      <c r="A983" t="s">
        <v>4586</v>
      </c>
      <c r="B983" t="s">
        <v>4480</v>
      </c>
      <c r="C983" t="s">
        <v>4481</v>
      </c>
      <c r="D983" t="s">
        <v>4482</v>
      </c>
    </row>
    <row r="984" spans="1:4" x14ac:dyDescent="0.2">
      <c r="A984" t="s">
        <v>4586</v>
      </c>
      <c r="B984" t="s">
        <v>4483</v>
      </c>
      <c r="C984" t="s">
        <v>4484</v>
      </c>
      <c r="D984" t="s">
        <v>4485</v>
      </c>
    </row>
    <row r="985" spans="1:4" x14ac:dyDescent="0.2">
      <c r="A985" t="s">
        <v>4586</v>
      </c>
      <c r="B985" t="s">
        <v>4486</v>
      </c>
      <c r="C985" t="s">
        <v>4487</v>
      </c>
      <c r="D985" t="s">
        <v>4488</v>
      </c>
    </row>
    <row r="986" spans="1:4" x14ac:dyDescent="0.2">
      <c r="A986" t="s">
        <v>4586</v>
      </c>
      <c r="B986" t="s">
        <v>4489</v>
      </c>
      <c r="C986" t="s">
        <v>4490</v>
      </c>
      <c r="D986" t="s">
        <v>4491</v>
      </c>
    </row>
    <row r="987" spans="1:4" x14ac:dyDescent="0.2">
      <c r="A987" t="s">
        <v>4586</v>
      </c>
      <c r="B987" t="s">
        <v>4492</v>
      </c>
      <c r="C987" t="s">
        <v>4493</v>
      </c>
      <c r="D987" t="s">
        <v>4494</v>
      </c>
    </row>
    <row r="988" spans="1:4" x14ac:dyDescent="0.2">
      <c r="A988" t="s">
        <v>4586</v>
      </c>
      <c r="B988" t="s">
        <v>4495</v>
      </c>
      <c r="C988" t="s">
        <v>4496</v>
      </c>
      <c r="D988" t="s">
        <v>4497</v>
      </c>
    </row>
    <row r="989" spans="1:4" x14ac:dyDescent="0.2">
      <c r="A989" t="s">
        <v>4586</v>
      </c>
      <c r="B989" t="s">
        <v>4498</v>
      </c>
      <c r="C989" t="s">
        <v>4499</v>
      </c>
      <c r="D989" t="s">
        <v>4500</v>
      </c>
    </row>
    <row r="990" spans="1:4" x14ac:dyDescent="0.2">
      <c r="A990" t="s">
        <v>4586</v>
      </c>
      <c r="B990" t="s">
        <v>4501</v>
      </c>
      <c r="C990" t="s">
        <v>4502</v>
      </c>
      <c r="D990" t="s">
        <v>4503</v>
      </c>
    </row>
    <row r="991" spans="1:4" x14ac:dyDescent="0.2">
      <c r="A991" t="s">
        <v>4586</v>
      </c>
      <c r="B991" t="s">
        <v>4504</v>
      </c>
      <c r="C991" t="s">
        <v>4505</v>
      </c>
      <c r="D991" t="s">
        <v>4506</v>
      </c>
    </row>
    <row r="992" spans="1:4" x14ac:dyDescent="0.2">
      <c r="A992" t="s">
        <v>4586</v>
      </c>
      <c r="B992" t="s">
        <v>4507</v>
      </c>
      <c r="C992" t="s">
        <v>4508</v>
      </c>
      <c r="D992" t="s">
        <v>4509</v>
      </c>
    </row>
    <row r="993" spans="1:4" x14ac:dyDescent="0.2">
      <c r="A993" t="s">
        <v>4586</v>
      </c>
      <c r="B993" t="s">
        <v>4510</v>
      </c>
      <c r="C993" t="s">
        <v>4511</v>
      </c>
      <c r="D993" t="s">
        <v>4512</v>
      </c>
    </row>
    <row r="994" spans="1:4" x14ac:dyDescent="0.2">
      <c r="A994" t="s">
        <v>4586</v>
      </c>
      <c r="B994" t="s">
        <v>4513</v>
      </c>
      <c r="C994" t="s">
        <v>4514</v>
      </c>
      <c r="D994" t="s">
        <v>4515</v>
      </c>
    </row>
    <row r="995" spans="1:4" x14ac:dyDescent="0.2">
      <c r="A995" t="s">
        <v>4586</v>
      </c>
      <c r="B995" t="s">
        <v>4516</v>
      </c>
      <c r="C995" t="s">
        <v>4517</v>
      </c>
      <c r="D995" t="s">
        <v>4518</v>
      </c>
    </row>
    <row r="996" spans="1:4" x14ac:dyDescent="0.2">
      <c r="A996" t="s">
        <v>4586</v>
      </c>
      <c r="B996" t="s">
        <v>4519</v>
      </c>
      <c r="C996" t="s">
        <v>4520</v>
      </c>
      <c r="D996" t="s">
        <v>4521</v>
      </c>
    </row>
    <row r="997" spans="1:4" x14ac:dyDescent="0.2">
      <c r="A997" t="s">
        <v>4586</v>
      </c>
      <c r="B997" t="s">
        <v>4522</v>
      </c>
      <c r="C997" t="s">
        <v>4523</v>
      </c>
      <c r="D997" t="s">
        <v>4524</v>
      </c>
    </row>
    <row r="998" spans="1:4" x14ac:dyDescent="0.2">
      <c r="A998" t="s">
        <v>4586</v>
      </c>
      <c r="B998" t="s">
        <v>4525</v>
      </c>
      <c r="C998" t="s">
        <v>4526</v>
      </c>
      <c r="D998" t="s">
        <v>4527</v>
      </c>
    </row>
    <row r="999" spans="1:4" x14ac:dyDescent="0.2">
      <c r="A999" t="s">
        <v>4586</v>
      </c>
      <c r="B999" t="s">
        <v>4528</v>
      </c>
      <c r="C999" t="s">
        <v>4529</v>
      </c>
      <c r="D999" t="s">
        <v>4530</v>
      </c>
    </row>
    <row r="1000" spans="1:4" x14ac:dyDescent="0.2">
      <c r="A1000" t="s">
        <v>4586</v>
      </c>
      <c r="B1000" t="s">
        <v>4531</v>
      </c>
      <c r="C1000" t="s">
        <v>4532</v>
      </c>
      <c r="D1000" t="s">
        <v>4533</v>
      </c>
    </row>
    <row r="1001" spans="1:4" x14ac:dyDescent="0.2">
      <c r="A1001" t="s">
        <v>4586</v>
      </c>
      <c r="B1001" t="s">
        <v>4534</v>
      </c>
      <c r="C1001" t="s">
        <v>4535</v>
      </c>
      <c r="D1001" t="s">
        <v>4536</v>
      </c>
    </row>
    <row r="1002" spans="1:4" x14ac:dyDescent="0.2">
      <c r="A1002" t="s">
        <v>4586</v>
      </c>
      <c r="B1002" t="s">
        <v>4537</v>
      </c>
      <c r="C1002" t="s">
        <v>4538</v>
      </c>
      <c r="D1002" t="s">
        <v>4539</v>
      </c>
    </row>
    <row r="1003" spans="1:4" x14ac:dyDescent="0.2">
      <c r="A1003" t="s">
        <v>4586</v>
      </c>
      <c r="B1003" t="s">
        <v>4540</v>
      </c>
      <c r="C1003" t="s">
        <v>4541</v>
      </c>
      <c r="D1003" t="s">
        <v>4542</v>
      </c>
    </row>
    <row r="1004" spans="1:4" x14ac:dyDescent="0.2">
      <c r="A1004" t="s">
        <v>4586</v>
      </c>
      <c r="B1004" t="s">
        <v>4543</v>
      </c>
      <c r="C1004" t="s">
        <v>4544</v>
      </c>
      <c r="D1004" t="s">
        <v>4545</v>
      </c>
    </row>
    <row r="1005" spans="1:4" x14ac:dyDescent="0.2">
      <c r="A1005" t="s">
        <v>4586</v>
      </c>
      <c r="B1005" t="s">
        <v>4546</v>
      </c>
      <c r="C1005" t="s">
        <v>4547</v>
      </c>
      <c r="D1005" t="s">
        <v>4548</v>
      </c>
    </row>
    <row r="1006" spans="1:4" x14ac:dyDescent="0.2">
      <c r="A1006" t="s">
        <v>4586</v>
      </c>
      <c r="B1006" t="s">
        <v>4549</v>
      </c>
      <c r="C1006" t="s">
        <v>4550</v>
      </c>
      <c r="D1006" t="s">
        <v>4551</v>
      </c>
    </row>
    <row r="1007" spans="1:4" x14ac:dyDescent="0.2">
      <c r="A1007" t="s">
        <v>4586</v>
      </c>
      <c r="B1007" t="s">
        <v>4552</v>
      </c>
      <c r="C1007" t="s">
        <v>4553</v>
      </c>
      <c r="D1007" t="s">
        <v>4554</v>
      </c>
    </row>
    <row r="1008" spans="1:4" x14ac:dyDescent="0.2">
      <c r="A1008" t="s">
        <v>4586</v>
      </c>
      <c r="B1008" t="s">
        <v>4555</v>
      </c>
      <c r="C1008" t="s">
        <v>4556</v>
      </c>
      <c r="D1008" t="s">
        <v>4557</v>
      </c>
    </row>
    <row r="1009" spans="1:4" x14ac:dyDescent="0.2">
      <c r="A1009" t="s">
        <v>4586</v>
      </c>
      <c r="B1009" t="s">
        <v>4558</v>
      </c>
      <c r="C1009" t="s">
        <v>4559</v>
      </c>
      <c r="D1009" t="s">
        <v>4560</v>
      </c>
    </row>
    <row r="1010" spans="1:4" x14ac:dyDescent="0.2">
      <c r="A1010" t="s">
        <v>4586</v>
      </c>
      <c r="B1010" t="s">
        <v>4561</v>
      </c>
      <c r="C1010" t="s">
        <v>4562</v>
      </c>
      <c r="D1010" t="s">
        <v>4563</v>
      </c>
    </row>
    <row r="1011" spans="1:4" x14ac:dyDescent="0.2">
      <c r="A1011" t="s">
        <v>4586</v>
      </c>
      <c r="B1011" t="s">
        <v>4564</v>
      </c>
      <c r="C1011" t="s">
        <v>4565</v>
      </c>
      <c r="D1011" t="s">
        <v>4566</v>
      </c>
    </row>
    <row r="1012" spans="1:4" x14ac:dyDescent="0.2">
      <c r="A1012" t="s">
        <v>4586</v>
      </c>
      <c r="B1012" t="s">
        <v>4567</v>
      </c>
      <c r="C1012" t="s">
        <v>4568</v>
      </c>
      <c r="D1012" t="s">
        <v>4569</v>
      </c>
    </row>
    <row r="1013" spans="1:4" x14ac:dyDescent="0.2">
      <c r="A1013" t="s">
        <v>4586</v>
      </c>
      <c r="B1013" t="s">
        <v>4570</v>
      </c>
      <c r="C1013" t="s">
        <v>4571</v>
      </c>
      <c r="D1013" t="s">
        <v>4572</v>
      </c>
    </row>
    <row r="1014" spans="1:4" x14ac:dyDescent="0.2">
      <c r="A1014" t="s">
        <v>4586</v>
      </c>
      <c r="B1014" t="s">
        <v>4573</v>
      </c>
      <c r="C1014" t="s">
        <v>4574</v>
      </c>
      <c r="D1014" t="s">
        <v>4575</v>
      </c>
    </row>
    <row r="1015" spans="1:4" x14ac:dyDescent="0.2">
      <c r="A1015" t="s">
        <v>4586</v>
      </c>
      <c r="B1015" t="s">
        <v>4576</v>
      </c>
      <c r="C1015" t="s">
        <v>4577</v>
      </c>
      <c r="D1015" t="s">
        <v>4578</v>
      </c>
    </row>
    <row r="1016" spans="1:4" x14ac:dyDescent="0.2">
      <c r="A1016" t="s">
        <v>4586</v>
      </c>
      <c r="B1016" t="s">
        <v>4579</v>
      </c>
      <c r="C1016" t="s">
        <v>4580</v>
      </c>
      <c r="D1016" t="s">
        <v>4581</v>
      </c>
    </row>
    <row r="1017" spans="1:4" x14ac:dyDescent="0.2">
      <c r="A1017" t="s">
        <v>4586</v>
      </c>
      <c r="B1017" t="s">
        <v>4587</v>
      </c>
      <c r="C1017" t="s">
        <v>4588</v>
      </c>
      <c r="D1017" t="s">
        <v>4589</v>
      </c>
    </row>
    <row r="1018" spans="1:4" x14ac:dyDescent="0.2">
      <c r="A1018" t="s">
        <v>4586</v>
      </c>
      <c r="B1018" t="s">
        <v>4584</v>
      </c>
      <c r="C1018" t="s">
        <v>1489</v>
      </c>
      <c r="D1018" t="s">
        <v>1490</v>
      </c>
    </row>
    <row r="1019" spans="1:4" x14ac:dyDescent="0.2">
      <c r="A1019" t="s">
        <v>4586</v>
      </c>
      <c r="B1019" t="s">
        <v>4585</v>
      </c>
      <c r="C1019" t="s">
        <v>1492</v>
      </c>
      <c r="D1019" t="s">
        <v>1493</v>
      </c>
    </row>
    <row r="1021" spans="1:4" x14ac:dyDescent="0.2">
      <c r="A1021" t="s">
        <v>4590</v>
      </c>
      <c r="B1021" t="s">
        <v>4365</v>
      </c>
      <c r="C1021" t="s">
        <v>1518</v>
      </c>
      <c r="D1021" t="s">
        <v>1519</v>
      </c>
    </row>
    <row r="1022" spans="1:4" x14ac:dyDescent="0.2">
      <c r="A1022" t="s">
        <v>4590</v>
      </c>
      <c r="B1022" t="s">
        <v>4366</v>
      </c>
      <c r="C1022" t="s">
        <v>1520</v>
      </c>
      <c r="D1022" t="s">
        <v>1521</v>
      </c>
    </row>
    <row r="1023" spans="1:4" x14ac:dyDescent="0.2">
      <c r="A1023" t="s">
        <v>4590</v>
      </c>
      <c r="B1023" t="s">
        <v>4367</v>
      </c>
      <c r="C1023" t="s">
        <v>1522</v>
      </c>
      <c r="D1023" t="s">
        <v>1523</v>
      </c>
    </row>
    <row r="1024" spans="1:4" x14ac:dyDescent="0.2">
      <c r="A1024" t="s">
        <v>4590</v>
      </c>
      <c r="B1024" t="s">
        <v>4368</v>
      </c>
      <c r="C1024" t="s">
        <v>1524</v>
      </c>
      <c r="D1024" t="s">
        <v>1525</v>
      </c>
    </row>
    <row r="1025" spans="1:4" x14ac:dyDescent="0.2">
      <c r="A1025" t="s">
        <v>4590</v>
      </c>
      <c r="B1025" t="s">
        <v>4369</v>
      </c>
      <c r="C1025" t="s">
        <v>1526</v>
      </c>
      <c r="D1025" t="s">
        <v>1527</v>
      </c>
    </row>
    <row r="1026" spans="1:4" x14ac:dyDescent="0.2">
      <c r="A1026" t="s">
        <v>4590</v>
      </c>
      <c r="B1026" t="s">
        <v>4370</v>
      </c>
      <c r="C1026" t="s">
        <v>1528</v>
      </c>
      <c r="D1026" t="s">
        <v>1529</v>
      </c>
    </row>
    <row r="1027" spans="1:4" x14ac:dyDescent="0.2">
      <c r="A1027" t="s">
        <v>4590</v>
      </c>
      <c r="B1027" t="s">
        <v>4371</v>
      </c>
      <c r="C1027" t="s">
        <v>1530</v>
      </c>
      <c r="D1027" t="s">
        <v>1531</v>
      </c>
    </row>
    <row r="1028" spans="1:4" x14ac:dyDescent="0.2">
      <c r="A1028" t="s">
        <v>4590</v>
      </c>
      <c r="B1028" t="s">
        <v>4372</v>
      </c>
      <c r="C1028" t="s">
        <v>1532</v>
      </c>
      <c r="D1028" t="s">
        <v>1533</v>
      </c>
    </row>
    <row r="1029" spans="1:4" x14ac:dyDescent="0.2">
      <c r="A1029" t="s">
        <v>4590</v>
      </c>
      <c r="B1029" t="s">
        <v>4373</v>
      </c>
      <c r="C1029" t="s">
        <v>1534</v>
      </c>
      <c r="D1029" t="s">
        <v>1535</v>
      </c>
    </row>
    <row r="1030" spans="1:4" x14ac:dyDescent="0.2">
      <c r="A1030" t="s">
        <v>4590</v>
      </c>
      <c r="B1030" t="s">
        <v>4374</v>
      </c>
      <c r="C1030" t="s">
        <v>1536</v>
      </c>
      <c r="D1030" t="s">
        <v>1537</v>
      </c>
    </row>
    <row r="1031" spans="1:4" x14ac:dyDescent="0.2">
      <c r="A1031" t="s">
        <v>4590</v>
      </c>
      <c r="B1031" t="s">
        <v>4375</v>
      </c>
      <c r="C1031" t="s">
        <v>1538</v>
      </c>
      <c r="D1031" t="s">
        <v>1539</v>
      </c>
    </row>
    <row r="1032" spans="1:4" x14ac:dyDescent="0.2">
      <c r="A1032" t="s">
        <v>4590</v>
      </c>
      <c r="B1032" t="s">
        <v>4376</v>
      </c>
      <c r="C1032" t="s">
        <v>1540</v>
      </c>
      <c r="D1032" t="s">
        <v>1541</v>
      </c>
    </row>
    <row r="1033" spans="1:4" x14ac:dyDescent="0.2">
      <c r="A1033" t="s">
        <v>4590</v>
      </c>
      <c r="B1033" t="s">
        <v>4377</v>
      </c>
      <c r="C1033" t="s">
        <v>1542</v>
      </c>
      <c r="D1033" t="s">
        <v>1543</v>
      </c>
    </row>
    <row r="1034" spans="1:4" x14ac:dyDescent="0.2">
      <c r="A1034" t="s">
        <v>4590</v>
      </c>
      <c r="B1034" t="s">
        <v>4378</v>
      </c>
      <c r="C1034" t="s">
        <v>1556</v>
      </c>
      <c r="D1034" t="s">
        <v>1557</v>
      </c>
    </row>
    <row r="1035" spans="1:4" x14ac:dyDescent="0.2">
      <c r="A1035" t="s">
        <v>4590</v>
      </c>
      <c r="B1035" t="s">
        <v>4379</v>
      </c>
      <c r="C1035" t="s">
        <v>1558</v>
      </c>
      <c r="D1035" t="s">
        <v>1559</v>
      </c>
    </row>
    <row r="1036" spans="1:4" x14ac:dyDescent="0.2">
      <c r="A1036" t="s">
        <v>4590</v>
      </c>
      <c r="B1036" t="s">
        <v>4380</v>
      </c>
      <c r="C1036" t="s">
        <v>1544</v>
      </c>
      <c r="D1036" t="s">
        <v>1545</v>
      </c>
    </row>
    <row r="1037" spans="1:4" x14ac:dyDescent="0.2">
      <c r="A1037" t="s">
        <v>4590</v>
      </c>
      <c r="B1037" t="s">
        <v>4381</v>
      </c>
      <c r="C1037" t="s">
        <v>1546</v>
      </c>
      <c r="D1037" t="s">
        <v>1547</v>
      </c>
    </row>
    <row r="1038" spans="1:4" x14ac:dyDescent="0.2">
      <c r="A1038" t="s">
        <v>4590</v>
      </c>
      <c r="B1038" t="s">
        <v>4382</v>
      </c>
      <c r="C1038" t="s">
        <v>1548</v>
      </c>
      <c r="D1038" t="s">
        <v>1549</v>
      </c>
    </row>
    <row r="1039" spans="1:4" x14ac:dyDescent="0.2">
      <c r="A1039" t="s">
        <v>4590</v>
      </c>
      <c r="B1039" t="s">
        <v>4383</v>
      </c>
      <c r="C1039" t="s">
        <v>1550</v>
      </c>
      <c r="D1039" t="s">
        <v>1551</v>
      </c>
    </row>
    <row r="1040" spans="1:4" x14ac:dyDescent="0.2">
      <c r="A1040" t="s">
        <v>4590</v>
      </c>
      <c r="B1040" t="s">
        <v>4384</v>
      </c>
      <c r="C1040" t="s">
        <v>1552</v>
      </c>
      <c r="D1040" t="s">
        <v>4385</v>
      </c>
    </row>
    <row r="1041" spans="1:4" x14ac:dyDescent="0.2">
      <c r="A1041" t="s">
        <v>4590</v>
      </c>
      <c r="B1041" t="s">
        <v>4386</v>
      </c>
      <c r="C1041" t="s">
        <v>1554</v>
      </c>
      <c r="D1041" t="s">
        <v>1555</v>
      </c>
    </row>
    <row r="1042" spans="1:4" x14ac:dyDescent="0.2">
      <c r="A1042" t="s">
        <v>4590</v>
      </c>
      <c r="B1042" t="s">
        <v>4387</v>
      </c>
      <c r="C1042" t="s">
        <v>1562</v>
      </c>
      <c r="D1042" t="s">
        <v>1563</v>
      </c>
    </row>
    <row r="1043" spans="1:4" x14ac:dyDescent="0.2">
      <c r="A1043" t="s">
        <v>4590</v>
      </c>
      <c r="B1043" t="s">
        <v>4388</v>
      </c>
      <c r="C1043" t="s">
        <v>1564</v>
      </c>
      <c r="D1043" t="s">
        <v>1565</v>
      </c>
    </row>
    <row r="1044" spans="1:4" x14ac:dyDescent="0.2">
      <c r="A1044" t="s">
        <v>4590</v>
      </c>
      <c r="B1044" t="s">
        <v>4389</v>
      </c>
      <c r="C1044" t="s">
        <v>1566</v>
      </c>
      <c r="D1044" t="s">
        <v>1567</v>
      </c>
    </row>
    <row r="1045" spans="1:4" x14ac:dyDescent="0.2">
      <c r="A1045" t="s">
        <v>4590</v>
      </c>
      <c r="B1045" t="s">
        <v>4390</v>
      </c>
      <c r="C1045" t="s">
        <v>1560</v>
      </c>
      <c r="D1045" t="s">
        <v>1561</v>
      </c>
    </row>
    <row r="1046" spans="1:4" x14ac:dyDescent="0.2">
      <c r="A1046" t="s">
        <v>4590</v>
      </c>
      <c r="B1046" t="s">
        <v>4391</v>
      </c>
      <c r="C1046" t="s">
        <v>1568</v>
      </c>
      <c r="D1046" t="s">
        <v>1569</v>
      </c>
    </row>
    <row r="1047" spans="1:4" x14ac:dyDescent="0.2">
      <c r="A1047" t="s">
        <v>4590</v>
      </c>
      <c r="B1047" t="s">
        <v>4392</v>
      </c>
      <c r="C1047" t="s">
        <v>1570</v>
      </c>
      <c r="D1047" t="s">
        <v>1571</v>
      </c>
    </row>
    <row r="1048" spans="1:4" x14ac:dyDescent="0.2">
      <c r="A1048" t="s">
        <v>4590</v>
      </c>
      <c r="B1048" t="s">
        <v>4393</v>
      </c>
      <c r="C1048" t="s">
        <v>4394</v>
      </c>
      <c r="D1048" t="s">
        <v>4395</v>
      </c>
    </row>
    <row r="1049" spans="1:4" x14ac:dyDescent="0.2">
      <c r="A1049" t="s">
        <v>4590</v>
      </c>
      <c r="B1049" t="s">
        <v>4396</v>
      </c>
      <c r="C1049" t="s">
        <v>4397</v>
      </c>
      <c r="D1049" t="s">
        <v>4398</v>
      </c>
    </row>
    <row r="1050" spans="1:4" x14ac:dyDescent="0.2">
      <c r="A1050" t="s">
        <v>4590</v>
      </c>
      <c r="B1050" t="s">
        <v>4399</v>
      </c>
      <c r="C1050" t="s">
        <v>4400</v>
      </c>
      <c r="D1050" t="s">
        <v>4401</v>
      </c>
    </row>
    <row r="1051" spans="1:4" x14ac:dyDescent="0.2">
      <c r="A1051" t="s">
        <v>4590</v>
      </c>
      <c r="B1051" t="s">
        <v>4402</v>
      </c>
      <c r="C1051" t="s">
        <v>4403</v>
      </c>
      <c r="D1051" t="s">
        <v>4404</v>
      </c>
    </row>
    <row r="1052" spans="1:4" x14ac:dyDescent="0.2">
      <c r="A1052" t="s">
        <v>4590</v>
      </c>
      <c r="B1052" t="s">
        <v>4405</v>
      </c>
      <c r="C1052" t="s">
        <v>4406</v>
      </c>
      <c r="D1052" t="s">
        <v>4407</v>
      </c>
    </row>
    <row r="1053" spans="1:4" x14ac:dyDescent="0.2">
      <c r="A1053" t="s">
        <v>4590</v>
      </c>
      <c r="B1053" t="s">
        <v>4408</v>
      </c>
      <c r="C1053" t="s">
        <v>4409</v>
      </c>
      <c r="D1053" t="s">
        <v>4410</v>
      </c>
    </row>
    <row r="1054" spans="1:4" x14ac:dyDescent="0.2">
      <c r="A1054" t="s">
        <v>4590</v>
      </c>
      <c r="B1054" t="s">
        <v>4411</v>
      </c>
      <c r="C1054" t="s">
        <v>4412</v>
      </c>
      <c r="D1054" t="s">
        <v>4413</v>
      </c>
    </row>
    <row r="1055" spans="1:4" x14ac:dyDescent="0.2">
      <c r="A1055" t="s">
        <v>4590</v>
      </c>
      <c r="B1055" t="s">
        <v>4414</v>
      </c>
      <c r="C1055" t="s">
        <v>4415</v>
      </c>
      <c r="D1055" t="s">
        <v>4416</v>
      </c>
    </row>
    <row r="1056" spans="1:4" x14ac:dyDescent="0.2">
      <c r="A1056" t="s">
        <v>4590</v>
      </c>
      <c r="B1056" t="s">
        <v>4417</v>
      </c>
      <c r="C1056" t="s">
        <v>4418</v>
      </c>
      <c r="D1056" t="s">
        <v>4419</v>
      </c>
    </row>
    <row r="1057" spans="1:4" x14ac:dyDescent="0.2">
      <c r="A1057" t="s">
        <v>4590</v>
      </c>
      <c r="B1057" t="s">
        <v>4420</v>
      </c>
      <c r="C1057" t="s">
        <v>4421</v>
      </c>
      <c r="D1057" t="s">
        <v>4422</v>
      </c>
    </row>
    <row r="1058" spans="1:4" x14ac:dyDescent="0.2">
      <c r="A1058" t="s">
        <v>4590</v>
      </c>
      <c r="B1058" t="s">
        <v>4423</v>
      </c>
      <c r="C1058" t="s">
        <v>4424</v>
      </c>
      <c r="D1058" t="s">
        <v>4425</v>
      </c>
    </row>
    <row r="1059" spans="1:4" x14ac:dyDescent="0.2">
      <c r="A1059" t="s">
        <v>4590</v>
      </c>
      <c r="B1059" t="s">
        <v>4426</v>
      </c>
      <c r="C1059" t="s">
        <v>4427</v>
      </c>
      <c r="D1059" t="s">
        <v>4428</v>
      </c>
    </row>
    <row r="1060" spans="1:4" x14ac:dyDescent="0.2">
      <c r="A1060" t="s">
        <v>4590</v>
      </c>
      <c r="B1060" t="s">
        <v>4429</v>
      </c>
      <c r="C1060" t="s">
        <v>4430</v>
      </c>
      <c r="D1060" t="s">
        <v>4431</v>
      </c>
    </row>
    <row r="1061" spans="1:4" x14ac:dyDescent="0.2">
      <c r="A1061" t="s">
        <v>4590</v>
      </c>
      <c r="B1061" t="s">
        <v>4432</v>
      </c>
      <c r="C1061" t="s">
        <v>4433</v>
      </c>
      <c r="D1061" t="s">
        <v>4434</v>
      </c>
    </row>
    <row r="1062" spans="1:4" x14ac:dyDescent="0.2">
      <c r="A1062" t="s">
        <v>4590</v>
      </c>
      <c r="B1062" t="s">
        <v>4435</v>
      </c>
      <c r="C1062" t="s">
        <v>4436</v>
      </c>
      <c r="D1062" t="s">
        <v>4437</v>
      </c>
    </row>
    <row r="1063" spans="1:4" x14ac:dyDescent="0.2">
      <c r="A1063" t="s">
        <v>4590</v>
      </c>
      <c r="B1063" t="s">
        <v>4438</v>
      </c>
      <c r="C1063" t="s">
        <v>4439</v>
      </c>
      <c r="D1063" t="s">
        <v>4440</v>
      </c>
    </row>
    <row r="1064" spans="1:4" x14ac:dyDescent="0.2">
      <c r="A1064" t="s">
        <v>4590</v>
      </c>
      <c r="B1064" t="s">
        <v>4441</v>
      </c>
      <c r="C1064" t="s">
        <v>4442</v>
      </c>
      <c r="D1064" t="s">
        <v>4443</v>
      </c>
    </row>
    <row r="1065" spans="1:4" x14ac:dyDescent="0.2">
      <c r="A1065" t="s">
        <v>4590</v>
      </c>
      <c r="B1065" t="s">
        <v>4444</v>
      </c>
      <c r="C1065" t="s">
        <v>4445</v>
      </c>
      <c r="D1065" t="s">
        <v>4446</v>
      </c>
    </row>
    <row r="1066" spans="1:4" x14ac:dyDescent="0.2">
      <c r="A1066" t="s">
        <v>4590</v>
      </c>
      <c r="B1066" t="s">
        <v>4447</v>
      </c>
      <c r="C1066" t="s">
        <v>4448</v>
      </c>
      <c r="D1066" t="s">
        <v>4449</v>
      </c>
    </row>
    <row r="1067" spans="1:4" x14ac:dyDescent="0.2">
      <c r="A1067" t="s">
        <v>4590</v>
      </c>
      <c r="B1067" t="s">
        <v>4450</v>
      </c>
      <c r="C1067" t="s">
        <v>4451</v>
      </c>
      <c r="D1067" t="s">
        <v>4452</v>
      </c>
    </row>
    <row r="1068" spans="1:4" x14ac:dyDescent="0.2">
      <c r="A1068" t="s">
        <v>4590</v>
      </c>
      <c r="B1068" t="s">
        <v>4453</v>
      </c>
      <c r="C1068" t="s">
        <v>4454</v>
      </c>
      <c r="D1068" t="s">
        <v>4455</v>
      </c>
    </row>
    <row r="1069" spans="1:4" x14ac:dyDescent="0.2">
      <c r="A1069" t="s">
        <v>4590</v>
      </c>
      <c r="B1069" t="s">
        <v>4456</v>
      </c>
      <c r="C1069" t="s">
        <v>4457</v>
      </c>
      <c r="D1069" t="s">
        <v>4458</v>
      </c>
    </row>
    <row r="1070" spans="1:4" x14ac:dyDescent="0.2">
      <c r="A1070" t="s">
        <v>4590</v>
      </c>
      <c r="B1070" t="s">
        <v>4459</v>
      </c>
      <c r="C1070" t="s">
        <v>4460</v>
      </c>
      <c r="D1070" t="s">
        <v>4461</v>
      </c>
    </row>
    <row r="1071" spans="1:4" x14ac:dyDescent="0.2">
      <c r="A1071" t="s">
        <v>4590</v>
      </c>
      <c r="B1071" t="s">
        <v>4462</v>
      </c>
      <c r="C1071" t="s">
        <v>4463</v>
      </c>
      <c r="D1071" t="s">
        <v>4464</v>
      </c>
    </row>
    <row r="1072" spans="1:4" x14ac:dyDescent="0.2">
      <c r="A1072" t="s">
        <v>4590</v>
      </c>
      <c r="B1072" t="s">
        <v>4465</v>
      </c>
      <c r="C1072" t="s">
        <v>4466</v>
      </c>
      <c r="D1072" t="s">
        <v>4467</v>
      </c>
    </row>
    <row r="1073" spans="1:4" x14ac:dyDescent="0.2">
      <c r="A1073" t="s">
        <v>4590</v>
      </c>
      <c r="B1073" t="s">
        <v>4468</v>
      </c>
      <c r="C1073" t="s">
        <v>4469</v>
      </c>
      <c r="D1073" t="s">
        <v>4470</v>
      </c>
    </row>
    <row r="1074" spans="1:4" x14ac:dyDescent="0.2">
      <c r="A1074" t="s">
        <v>4590</v>
      </c>
      <c r="B1074" t="s">
        <v>4471</v>
      </c>
      <c r="C1074" t="s">
        <v>4472</v>
      </c>
      <c r="D1074" t="s">
        <v>4473</v>
      </c>
    </row>
    <row r="1075" spans="1:4" x14ac:dyDescent="0.2">
      <c r="A1075" t="s">
        <v>4590</v>
      </c>
      <c r="B1075" t="s">
        <v>4474</v>
      </c>
      <c r="C1075" t="s">
        <v>4475</v>
      </c>
      <c r="D1075" t="s">
        <v>4476</v>
      </c>
    </row>
    <row r="1076" spans="1:4" x14ac:dyDescent="0.2">
      <c r="A1076" t="s">
        <v>4590</v>
      </c>
      <c r="B1076" t="s">
        <v>4477</v>
      </c>
      <c r="C1076" t="s">
        <v>4478</v>
      </c>
      <c r="D1076" t="s">
        <v>4479</v>
      </c>
    </row>
    <row r="1077" spans="1:4" x14ac:dyDescent="0.2">
      <c r="A1077" t="s">
        <v>4590</v>
      </c>
      <c r="B1077" t="s">
        <v>4480</v>
      </c>
      <c r="C1077" t="s">
        <v>4481</v>
      </c>
      <c r="D1077" t="s">
        <v>4482</v>
      </c>
    </row>
    <row r="1078" spans="1:4" x14ac:dyDescent="0.2">
      <c r="A1078" t="s">
        <v>4590</v>
      </c>
      <c r="B1078" t="s">
        <v>4483</v>
      </c>
      <c r="C1078" t="s">
        <v>4484</v>
      </c>
      <c r="D1078" t="s">
        <v>4485</v>
      </c>
    </row>
    <row r="1079" spans="1:4" x14ac:dyDescent="0.2">
      <c r="A1079" t="s">
        <v>4590</v>
      </c>
      <c r="B1079" t="s">
        <v>4486</v>
      </c>
      <c r="C1079" t="s">
        <v>4487</v>
      </c>
      <c r="D1079" t="s">
        <v>4488</v>
      </c>
    </row>
    <row r="1080" spans="1:4" x14ac:dyDescent="0.2">
      <c r="A1080" t="s">
        <v>4590</v>
      </c>
      <c r="B1080" t="s">
        <v>4489</v>
      </c>
      <c r="C1080" t="s">
        <v>4490</v>
      </c>
      <c r="D1080" t="s">
        <v>4491</v>
      </c>
    </row>
    <row r="1081" spans="1:4" x14ac:dyDescent="0.2">
      <c r="A1081" t="s">
        <v>4590</v>
      </c>
      <c r="B1081" t="s">
        <v>4492</v>
      </c>
      <c r="C1081" t="s">
        <v>4493</v>
      </c>
      <c r="D1081" t="s">
        <v>4494</v>
      </c>
    </row>
    <row r="1082" spans="1:4" x14ac:dyDescent="0.2">
      <c r="A1082" t="s">
        <v>4590</v>
      </c>
      <c r="B1082" t="s">
        <v>4495</v>
      </c>
      <c r="C1082" t="s">
        <v>4496</v>
      </c>
      <c r="D1082" t="s">
        <v>4497</v>
      </c>
    </row>
    <row r="1083" spans="1:4" x14ac:dyDescent="0.2">
      <c r="A1083" t="s">
        <v>4590</v>
      </c>
      <c r="B1083" t="s">
        <v>4498</v>
      </c>
      <c r="C1083" t="s">
        <v>4499</v>
      </c>
      <c r="D1083" t="s">
        <v>4500</v>
      </c>
    </row>
    <row r="1084" spans="1:4" x14ac:dyDescent="0.2">
      <c r="A1084" t="s">
        <v>4590</v>
      </c>
      <c r="B1084" t="s">
        <v>4501</v>
      </c>
      <c r="C1084" t="s">
        <v>4502</v>
      </c>
      <c r="D1084" t="s">
        <v>4503</v>
      </c>
    </row>
    <row r="1085" spans="1:4" x14ac:dyDescent="0.2">
      <c r="A1085" t="s">
        <v>4590</v>
      </c>
      <c r="B1085" t="s">
        <v>4504</v>
      </c>
      <c r="C1085" t="s">
        <v>4505</v>
      </c>
      <c r="D1085" t="s">
        <v>4506</v>
      </c>
    </row>
    <row r="1086" spans="1:4" x14ac:dyDescent="0.2">
      <c r="A1086" t="s">
        <v>4590</v>
      </c>
      <c r="B1086" t="s">
        <v>4507</v>
      </c>
      <c r="C1086" t="s">
        <v>4508</v>
      </c>
      <c r="D1086" t="s">
        <v>4509</v>
      </c>
    </row>
    <row r="1087" spans="1:4" x14ac:dyDescent="0.2">
      <c r="A1087" t="s">
        <v>4590</v>
      </c>
      <c r="B1087" t="s">
        <v>4510</v>
      </c>
      <c r="C1087" t="s">
        <v>4511</v>
      </c>
      <c r="D1087" t="s">
        <v>4512</v>
      </c>
    </row>
    <row r="1088" spans="1:4" x14ac:dyDescent="0.2">
      <c r="A1088" t="s">
        <v>4590</v>
      </c>
      <c r="B1088" t="s">
        <v>4513</v>
      </c>
      <c r="C1088" t="s">
        <v>4514</v>
      </c>
      <c r="D1088" t="s">
        <v>4515</v>
      </c>
    </row>
    <row r="1089" spans="1:4" x14ac:dyDescent="0.2">
      <c r="A1089" t="s">
        <v>4590</v>
      </c>
      <c r="B1089" t="s">
        <v>4516</v>
      </c>
      <c r="C1089" t="s">
        <v>4517</v>
      </c>
      <c r="D1089" t="s">
        <v>4518</v>
      </c>
    </row>
    <row r="1090" spans="1:4" x14ac:dyDescent="0.2">
      <c r="A1090" t="s">
        <v>4590</v>
      </c>
      <c r="B1090" t="s">
        <v>4519</v>
      </c>
      <c r="C1090" t="s">
        <v>4520</v>
      </c>
      <c r="D1090" t="s">
        <v>4521</v>
      </c>
    </row>
    <row r="1091" spans="1:4" x14ac:dyDescent="0.2">
      <c r="A1091" t="s">
        <v>4590</v>
      </c>
      <c r="B1091" t="s">
        <v>4522</v>
      </c>
      <c r="C1091" t="s">
        <v>4523</v>
      </c>
      <c r="D1091" t="s">
        <v>4524</v>
      </c>
    </row>
    <row r="1092" spans="1:4" x14ac:dyDescent="0.2">
      <c r="A1092" t="s">
        <v>4590</v>
      </c>
      <c r="B1092" t="s">
        <v>4525</v>
      </c>
      <c r="C1092" t="s">
        <v>4526</v>
      </c>
      <c r="D1092" t="s">
        <v>4527</v>
      </c>
    </row>
    <row r="1093" spans="1:4" x14ac:dyDescent="0.2">
      <c r="A1093" t="s">
        <v>4590</v>
      </c>
      <c r="B1093" t="s">
        <v>4528</v>
      </c>
      <c r="C1093" t="s">
        <v>4529</v>
      </c>
      <c r="D1093" t="s">
        <v>4530</v>
      </c>
    </row>
    <row r="1094" spans="1:4" x14ac:dyDescent="0.2">
      <c r="A1094" t="s">
        <v>4590</v>
      </c>
      <c r="B1094" t="s">
        <v>4531</v>
      </c>
      <c r="C1094" t="s">
        <v>4532</v>
      </c>
      <c r="D1094" t="s">
        <v>4533</v>
      </c>
    </row>
    <row r="1095" spans="1:4" x14ac:dyDescent="0.2">
      <c r="A1095" t="s">
        <v>4590</v>
      </c>
      <c r="B1095" t="s">
        <v>4534</v>
      </c>
      <c r="C1095" t="s">
        <v>4535</v>
      </c>
      <c r="D1095" t="s">
        <v>4536</v>
      </c>
    </row>
    <row r="1096" spans="1:4" x14ac:dyDescent="0.2">
      <c r="A1096" t="s">
        <v>4590</v>
      </c>
      <c r="B1096" t="s">
        <v>4537</v>
      </c>
      <c r="C1096" t="s">
        <v>4538</v>
      </c>
      <c r="D1096" t="s">
        <v>4539</v>
      </c>
    </row>
    <row r="1097" spans="1:4" x14ac:dyDescent="0.2">
      <c r="A1097" t="s">
        <v>4590</v>
      </c>
      <c r="B1097" t="s">
        <v>4540</v>
      </c>
      <c r="C1097" t="s">
        <v>4541</v>
      </c>
      <c r="D1097" t="s">
        <v>4542</v>
      </c>
    </row>
    <row r="1098" spans="1:4" x14ac:dyDescent="0.2">
      <c r="A1098" t="s">
        <v>4590</v>
      </c>
      <c r="B1098" t="s">
        <v>4543</v>
      </c>
      <c r="C1098" t="s">
        <v>4544</v>
      </c>
      <c r="D1098" t="s">
        <v>4545</v>
      </c>
    </row>
    <row r="1099" spans="1:4" x14ac:dyDescent="0.2">
      <c r="A1099" t="s">
        <v>4590</v>
      </c>
      <c r="B1099" t="s">
        <v>4546</v>
      </c>
      <c r="C1099" t="s">
        <v>4547</v>
      </c>
      <c r="D1099" t="s">
        <v>4548</v>
      </c>
    </row>
    <row r="1100" spans="1:4" x14ac:dyDescent="0.2">
      <c r="A1100" t="s">
        <v>4590</v>
      </c>
      <c r="B1100" t="s">
        <v>4549</v>
      </c>
      <c r="C1100" t="s">
        <v>4550</v>
      </c>
      <c r="D1100" t="s">
        <v>4551</v>
      </c>
    </row>
    <row r="1101" spans="1:4" x14ac:dyDescent="0.2">
      <c r="A1101" t="s">
        <v>4590</v>
      </c>
      <c r="B1101" t="s">
        <v>4552</v>
      </c>
      <c r="C1101" t="s">
        <v>4553</v>
      </c>
      <c r="D1101" t="s">
        <v>4554</v>
      </c>
    </row>
    <row r="1102" spans="1:4" x14ac:dyDescent="0.2">
      <c r="A1102" t="s">
        <v>4590</v>
      </c>
      <c r="B1102" t="s">
        <v>4555</v>
      </c>
      <c r="C1102" t="s">
        <v>4556</v>
      </c>
      <c r="D1102" t="s">
        <v>4557</v>
      </c>
    </row>
    <row r="1103" spans="1:4" x14ac:dyDescent="0.2">
      <c r="A1103" t="s">
        <v>4590</v>
      </c>
      <c r="B1103" t="s">
        <v>4558</v>
      </c>
      <c r="C1103" t="s">
        <v>4559</v>
      </c>
      <c r="D1103" t="s">
        <v>4560</v>
      </c>
    </row>
    <row r="1104" spans="1:4" x14ac:dyDescent="0.2">
      <c r="A1104" t="s">
        <v>4590</v>
      </c>
      <c r="B1104" t="s">
        <v>4561</v>
      </c>
      <c r="C1104" t="s">
        <v>4562</v>
      </c>
      <c r="D1104" t="s">
        <v>4563</v>
      </c>
    </row>
    <row r="1105" spans="1:6" x14ac:dyDescent="0.2">
      <c r="A1105" t="s">
        <v>4590</v>
      </c>
      <c r="B1105" t="s">
        <v>4564</v>
      </c>
      <c r="C1105" t="s">
        <v>4565</v>
      </c>
      <c r="D1105" t="s">
        <v>4566</v>
      </c>
    </row>
    <row r="1106" spans="1:6" x14ac:dyDescent="0.2">
      <c r="A1106" t="s">
        <v>4590</v>
      </c>
      <c r="B1106" t="s">
        <v>4567</v>
      </c>
      <c r="C1106" t="s">
        <v>4568</v>
      </c>
      <c r="D1106" t="s">
        <v>4569</v>
      </c>
    </row>
    <row r="1107" spans="1:6" x14ac:dyDescent="0.2">
      <c r="A1107" t="s">
        <v>4590</v>
      </c>
      <c r="B1107" t="s">
        <v>4570</v>
      </c>
      <c r="C1107" t="s">
        <v>4571</v>
      </c>
      <c r="D1107" t="s">
        <v>4572</v>
      </c>
    </row>
    <row r="1108" spans="1:6" x14ac:dyDescent="0.2">
      <c r="A1108" t="s">
        <v>4590</v>
      </c>
      <c r="B1108" t="s">
        <v>4573</v>
      </c>
      <c r="C1108" t="s">
        <v>4574</v>
      </c>
      <c r="D1108" t="s">
        <v>4575</v>
      </c>
    </row>
    <row r="1109" spans="1:6" x14ac:dyDescent="0.2">
      <c r="A1109" t="s">
        <v>4590</v>
      </c>
      <c r="B1109" t="s">
        <v>4576</v>
      </c>
      <c r="C1109" t="s">
        <v>4577</v>
      </c>
      <c r="D1109" t="s">
        <v>4578</v>
      </c>
    </row>
    <row r="1110" spans="1:6" x14ac:dyDescent="0.2">
      <c r="A1110" t="s">
        <v>4590</v>
      </c>
      <c r="B1110" t="s">
        <v>4579</v>
      </c>
      <c r="C1110" t="s">
        <v>4580</v>
      </c>
      <c r="D1110" t="s">
        <v>4581</v>
      </c>
    </row>
    <row r="1111" spans="1:6" x14ac:dyDescent="0.2">
      <c r="A1111" t="s">
        <v>4590</v>
      </c>
      <c r="B1111" t="s">
        <v>4584</v>
      </c>
      <c r="C1111" t="s">
        <v>1489</v>
      </c>
      <c r="D1111" t="s">
        <v>1490</v>
      </c>
    </row>
    <row r="1112" spans="1:6" x14ac:dyDescent="0.2">
      <c r="A1112" t="s">
        <v>4590</v>
      </c>
      <c r="B1112" t="s">
        <v>4585</v>
      </c>
      <c r="C1112" t="s">
        <v>1492</v>
      </c>
      <c r="D1112" t="s">
        <v>1493</v>
      </c>
    </row>
    <row r="1114" spans="1:6" s="8" customFormat="1" x14ac:dyDescent="0.2">
      <c r="A1114" s="200" t="s">
        <v>2592</v>
      </c>
      <c r="B1114" s="200" t="s">
        <v>2593</v>
      </c>
      <c r="C1114" s="200" t="s">
        <v>2594</v>
      </c>
      <c r="D1114" s="200" t="s">
        <v>2595</v>
      </c>
      <c r="E1114" s="4"/>
    </row>
    <row r="1115" spans="1:6" s="8" customFormat="1" x14ac:dyDescent="0.2">
      <c r="A1115" s="200" t="s">
        <v>2592</v>
      </c>
      <c r="B1115" s="200" t="s">
        <v>2596</v>
      </c>
      <c r="C1115" s="200" t="s">
        <v>2597</v>
      </c>
      <c r="D1115" s="200" t="s">
        <v>2598</v>
      </c>
      <c r="E1115" s="4"/>
    </row>
    <row r="1116" spans="1:6" s="8" customFormat="1" x14ac:dyDescent="0.2">
      <c r="A1116" s="200"/>
      <c r="B1116" s="200"/>
      <c r="C1116" s="200"/>
      <c r="D1116" s="200"/>
      <c r="E1116" s="4"/>
    </row>
    <row r="1117" spans="1:6" s="8" customFormat="1" x14ac:dyDescent="0.2">
      <c r="A1117" s="200" t="s">
        <v>2599</v>
      </c>
      <c r="B1117" s="200" t="s">
        <v>2600</v>
      </c>
      <c r="C1117" s="8" t="s">
        <v>2601</v>
      </c>
      <c r="D1117" s="200" t="s">
        <v>2602</v>
      </c>
      <c r="E1117" s="5"/>
      <c r="F1117" s="200" t="s">
        <v>2593</v>
      </c>
    </row>
    <row r="1118" spans="1:6" s="8" customFormat="1" x14ac:dyDescent="0.2">
      <c r="A1118" s="200" t="s">
        <v>2599</v>
      </c>
      <c r="B1118" s="200" t="s">
        <v>2603</v>
      </c>
      <c r="C1118" s="200" t="s">
        <v>2604</v>
      </c>
      <c r="D1118" s="200" t="s">
        <v>2605</v>
      </c>
      <c r="E1118" s="5"/>
      <c r="F1118" s="200" t="s">
        <v>2593</v>
      </c>
    </row>
    <row r="1119" spans="1:6" s="8" customFormat="1" x14ac:dyDescent="0.2">
      <c r="A1119" s="200" t="s">
        <v>2599</v>
      </c>
      <c r="B1119" s="200" t="s">
        <v>2606</v>
      </c>
      <c r="C1119" s="200" t="s">
        <v>2607</v>
      </c>
      <c r="D1119" s="200" t="s">
        <v>2608</v>
      </c>
      <c r="E1119" s="5"/>
      <c r="F1119" s="200" t="s">
        <v>2593</v>
      </c>
    </row>
    <row r="1120" spans="1:6" s="8" customFormat="1" x14ac:dyDescent="0.2">
      <c r="A1120" s="200" t="s">
        <v>2599</v>
      </c>
      <c r="B1120" s="200" t="s">
        <v>2609</v>
      </c>
      <c r="C1120" s="200" t="s">
        <v>2610</v>
      </c>
      <c r="D1120" s="200" t="s">
        <v>2611</v>
      </c>
      <c r="E1120" s="5"/>
      <c r="F1120" s="200" t="s">
        <v>2593</v>
      </c>
    </row>
    <row r="1121" spans="1:6" s="8" customFormat="1" x14ac:dyDescent="0.2">
      <c r="A1121" s="200" t="s">
        <v>2599</v>
      </c>
      <c r="B1121" s="200" t="s">
        <v>2612</v>
      </c>
      <c r="C1121" s="200" t="s">
        <v>2613</v>
      </c>
      <c r="D1121" s="200" t="s">
        <v>2614</v>
      </c>
      <c r="E1121" s="5"/>
      <c r="F1121" s="200" t="s">
        <v>2593</v>
      </c>
    </row>
    <row r="1122" spans="1:6" s="8" customFormat="1" x14ac:dyDescent="0.2">
      <c r="A1122" s="200" t="s">
        <v>2599</v>
      </c>
      <c r="B1122" s="200" t="s">
        <v>2615</v>
      </c>
      <c r="C1122" s="200" t="s">
        <v>2597</v>
      </c>
      <c r="D1122" s="200" t="s">
        <v>2616</v>
      </c>
      <c r="E1122" s="5"/>
      <c r="F1122" s="200" t="s">
        <v>2596</v>
      </c>
    </row>
    <row r="1123" spans="1:6" s="8" customFormat="1" x14ac:dyDescent="0.2">
      <c r="A1123" s="200" t="s">
        <v>2599</v>
      </c>
      <c r="B1123" s="200" t="s">
        <v>2617</v>
      </c>
      <c r="C1123" s="200" t="s">
        <v>2618</v>
      </c>
      <c r="D1123" s="200" t="s">
        <v>2619</v>
      </c>
      <c r="E1123" s="5"/>
      <c r="F1123" s="200" t="s">
        <v>2596</v>
      </c>
    </row>
    <row r="1124" spans="1:6" s="8" customFormat="1" x14ac:dyDescent="0.2">
      <c r="A1124" s="200"/>
      <c r="B1124" s="200"/>
      <c r="C1124" s="200"/>
      <c r="D1124" s="200"/>
      <c r="E1124" s="5"/>
    </row>
    <row r="1125" spans="1:6" s="8" customFormat="1" x14ac:dyDescent="0.2">
      <c r="A1125" s="200" t="s">
        <v>2620</v>
      </c>
      <c r="B1125" s="200" t="s">
        <v>2621</v>
      </c>
      <c r="C1125" s="200" t="s">
        <v>2622</v>
      </c>
      <c r="D1125" s="200" t="s">
        <v>2623</v>
      </c>
      <c r="E1125" s="5"/>
      <c r="F1125" s="200" t="s">
        <v>2600</v>
      </c>
    </row>
    <row r="1126" spans="1:6" s="8" customFormat="1" x14ac:dyDescent="0.2">
      <c r="A1126" s="200" t="s">
        <v>2620</v>
      </c>
      <c r="B1126" s="200" t="s">
        <v>2624</v>
      </c>
      <c r="C1126" s="200" t="s">
        <v>2604</v>
      </c>
      <c r="D1126" s="200" t="s">
        <v>2625</v>
      </c>
      <c r="E1126" s="5"/>
      <c r="F1126" s="200" t="s">
        <v>2603</v>
      </c>
    </row>
    <row r="1127" spans="1:6" s="8" customFormat="1" x14ac:dyDescent="0.2">
      <c r="A1127" s="200" t="s">
        <v>2620</v>
      </c>
      <c r="B1127" s="200" t="s">
        <v>2626</v>
      </c>
      <c r="C1127" s="200" t="s">
        <v>2627</v>
      </c>
      <c r="D1127" s="200" t="s">
        <v>2628</v>
      </c>
      <c r="E1127" s="5"/>
      <c r="F1127" s="200" t="s">
        <v>2603</v>
      </c>
    </row>
    <row r="1128" spans="1:6" s="8" customFormat="1" x14ac:dyDescent="0.2">
      <c r="A1128" s="200" t="s">
        <v>2620</v>
      </c>
      <c r="B1128" s="200" t="s">
        <v>2629</v>
      </c>
      <c r="C1128" s="200" t="s">
        <v>2607</v>
      </c>
      <c r="D1128" s="200" t="s">
        <v>2630</v>
      </c>
      <c r="E1128" s="5"/>
      <c r="F1128" s="200" t="s">
        <v>2606</v>
      </c>
    </row>
    <row r="1129" spans="1:6" s="8" customFormat="1" x14ac:dyDescent="0.2">
      <c r="A1129" s="200" t="s">
        <v>2620</v>
      </c>
      <c r="B1129" s="200" t="s">
        <v>2631</v>
      </c>
      <c r="C1129" s="200" t="s">
        <v>2632</v>
      </c>
      <c r="D1129" s="200" t="s">
        <v>2633</v>
      </c>
      <c r="E1129" s="5"/>
      <c r="F1129" s="200" t="s">
        <v>2606</v>
      </c>
    </row>
    <row r="1130" spans="1:6" s="8" customFormat="1" x14ac:dyDescent="0.2">
      <c r="A1130" s="200" t="s">
        <v>2620</v>
      </c>
      <c r="B1130" s="200" t="s">
        <v>2634</v>
      </c>
      <c r="C1130" s="200" t="s">
        <v>2635</v>
      </c>
      <c r="D1130" s="200" t="s">
        <v>2636</v>
      </c>
      <c r="E1130" s="5"/>
      <c r="F1130" s="200" t="s">
        <v>2606</v>
      </c>
    </row>
    <row r="1131" spans="1:6" s="8" customFormat="1" x14ac:dyDescent="0.2">
      <c r="A1131" s="200" t="s">
        <v>2620</v>
      </c>
      <c r="B1131" s="200" t="s">
        <v>2637</v>
      </c>
      <c r="C1131" s="200" t="s">
        <v>2638</v>
      </c>
      <c r="D1131" s="200" t="s">
        <v>2639</v>
      </c>
      <c r="E1131" s="5"/>
      <c r="F1131" s="200" t="s">
        <v>2606</v>
      </c>
    </row>
    <row r="1132" spans="1:6" s="8" customFormat="1" x14ac:dyDescent="0.2">
      <c r="A1132" s="200" t="s">
        <v>2620</v>
      </c>
      <c r="B1132" s="200" t="s">
        <v>2640</v>
      </c>
      <c r="C1132" s="200" t="s">
        <v>2641</v>
      </c>
      <c r="D1132" s="200" t="s">
        <v>2642</v>
      </c>
      <c r="E1132" s="5"/>
      <c r="F1132" s="200" t="s">
        <v>2606</v>
      </c>
    </row>
    <row r="1133" spans="1:6" s="8" customFormat="1" x14ac:dyDescent="0.2">
      <c r="A1133" s="200" t="s">
        <v>2620</v>
      </c>
      <c r="B1133" s="200" t="s">
        <v>2643</v>
      </c>
      <c r="C1133" s="200" t="s">
        <v>2644</v>
      </c>
      <c r="D1133" s="200" t="s">
        <v>2645</v>
      </c>
      <c r="E1133" s="5"/>
      <c r="F1133" s="200" t="s">
        <v>2606</v>
      </c>
    </row>
    <row r="1134" spans="1:6" s="8" customFormat="1" x14ac:dyDescent="0.2">
      <c r="A1134" s="200" t="s">
        <v>2620</v>
      </c>
      <c r="B1134" s="200" t="s">
        <v>2646</v>
      </c>
      <c r="C1134" s="200" t="s">
        <v>2647</v>
      </c>
      <c r="D1134" s="200" t="s">
        <v>2648</v>
      </c>
      <c r="E1134" s="5"/>
      <c r="F1134" s="200" t="s">
        <v>2609</v>
      </c>
    </row>
    <row r="1135" spans="1:6" s="8" customFormat="1" x14ac:dyDescent="0.2">
      <c r="A1135" s="200" t="s">
        <v>2620</v>
      </c>
      <c r="B1135" s="200" t="s">
        <v>2649</v>
      </c>
      <c r="C1135" s="200" t="s">
        <v>2650</v>
      </c>
      <c r="D1135" s="200" t="s">
        <v>2651</v>
      </c>
      <c r="E1135" s="5"/>
      <c r="F1135" s="200" t="s">
        <v>2609</v>
      </c>
    </row>
    <row r="1136" spans="1:6" s="8" customFormat="1" x14ac:dyDescent="0.2">
      <c r="A1136" s="200" t="s">
        <v>2620</v>
      </c>
      <c r="B1136" s="200" t="s">
        <v>2652</v>
      </c>
      <c r="C1136" s="200" t="s">
        <v>2653</v>
      </c>
      <c r="D1136" s="200" t="s">
        <v>2654</v>
      </c>
      <c r="E1136" s="5"/>
      <c r="F1136" s="200" t="s">
        <v>2609</v>
      </c>
    </row>
    <row r="1137" spans="1:6" s="8" customFormat="1" x14ac:dyDescent="0.2">
      <c r="A1137" s="200" t="s">
        <v>2620</v>
      </c>
      <c r="B1137" s="200" t="s">
        <v>2655</v>
      </c>
      <c r="C1137" s="200" t="s">
        <v>2613</v>
      </c>
      <c r="D1137" s="200" t="s">
        <v>2656</v>
      </c>
      <c r="E1137" s="5"/>
      <c r="F1137" s="200" t="s">
        <v>2612</v>
      </c>
    </row>
    <row r="1138" spans="1:6" s="8" customFormat="1" x14ac:dyDescent="0.2">
      <c r="A1138" s="200" t="s">
        <v>2620</v>
      </c>
      <c r="B1138" s="200" t="s">
        <v>2657</v>
      </c>
      <c r="C1138" s="200" t="s">
        <v>2597</v>
      </c>
      <c r="D1138" s="200" t="s">
        <v>2616</v>
      </c>
      <c r="E1138" s="5"/>
      <c r="F1138" s="200" t="s">
        <v>2615</v>
      </c>
    </row>
    <row r="1139" spans="1:6" s="8" customFormat="1" x14ac:dyDescent="0.2">
      <c r="A1139" s="200" t="s">
        <v>2620</v>
      </c>
      <c r="B1139" s="200" t="s">
        <v>2658</v>
      </c>
      <c r="C1139" s="200" t="s">
        <v>2618</v>
      </c>
      <c r="D1139" s="200" t="s">
        <v>2659</v>
      </c>
      <c r="E1139" s="5"/>
      <c r="F1139" s="200" t="s">
        <v>2617</v>
      </c>
    </row>
    <row r="1140" spans="1:6" s="8" customFormat="1" x14ac:dyDescent="0.2">
      <c r="A1140" s="200" t="s">
        <v>2620</v>
      </c>
      <c r="B1140" s="200" t="s">
        <v>2660</v>
      </c>
      <c r="C1140" s="200" t="s">
        <v>2661</v>
      </c>
      <c r="D1140" s="200" t="s">
        <v>2662</v>
      </c>
      <c r="E1140" s="5"/>
      <c r="F1140" s="200" t="s">
        <v>2617</v>
      </c>
    </row>
    <row r="1141" spans="1:6" s="8" customFormat="1" x14ac:dyDescent="0.2">
      <c r="A1141" s="200" t="s">
        <v>2620</v>
      </c>
      <c r="B1141" s="200" t="s">
        <v>2663</v>
      </c>
      <c r="C1141" s="200" t="s">
        <v>2664</v>
      </c>
      <c r="D1141" s="200" t="s">
        <v>2665</v>
      </c>
      <c r="E1141" s="5"/>
      <c r="F1141" s="200" t="s">
        <v>2617</v>
      </c>
    </row>
    <row r="1142" spans="1:6" s="8" customFormat="1" x14ac:dyDescent="0.2">
      <c r="A1142" s="200"/>
      <c r="B1142" s="200"/>
      <c r="C1142" s="200"/>
      <c r="D1142" s="200"/>
      <c r="E1142" s="5"/>
    </row>
    <row r="1143" spans="1:6" s="8" customFormat="1" x14ac:dyDescent="0.2">
      <c r="A1143" s="200" t="s">
        <v>2666</v>
      </c>
      <c r="B1143" s="200" t="s">
        <v>2667</v>
      </c>
      <c r="C1143" s="200" t="s">
        <v>2668</v>
      </c>
      <c r="D1143" s="200" t="s">
        <v>2669</v>
      </c>
      <c r="E1143" s="5"/>
      <c r="F1143" s="200" t="s">
        <v>2621</v>
      </c>
    </row>
    <row r="1144" spans="1:6" s="8" customFormat="1" x14ac:dyDescent="0.2">
      <c r="A1144" s="200" t="s">
        <v>2666</v>
      </c>
      <c r="B1144" s="200" t="s">
        <v>2670</v>
      </c>
      <c r="C1144" s="200" t="s">
        <v>2622</v>
      </c>
      <c r="D1144" s="200" t="s">
        <v>2671</v>
      </c>
      <c r="E1144" s="5"/>
      <c r="F1144" s="200" t="s">
        <v>2621</v>
      </c>
    </row>
    <row r="1145" spans="1:6" s="8" customFormat="1" x14ac:dyDescent="0.2">
      <c r="A1145" s="200" t="s">
        <v>2666</v>
      </c>
      <c r="B1145" s="200" t="s">
        <v>2672</v>
      </c>
      <c r="C1145" s="200" t="s">
        <v>2673</v>
      </c>
      <c r="D1145" s="200" t="s">
        <v>2674</v>
      </c>
      <c r="E1145" s="5"/>
      <c r="F1145" s="200" t="s">
        <v>2621</v>
      </c>
    </row>
    <row r="1146" spans="1:6" s="8" customFormat="1" x14ac:dyDescent="0.2">
      <c r="A1146" s="200" t="s">
        <v>2666</v>
      </c>
      <c r="B1146" s="200" t="s">
        <v>2675</v>
      </c>
      <c r="C1146" s="200" t="s">
        <v>2676</v>
      </c>
      <c r="D1146" s="200" t="s">
        <v>2677</v>
      </c>
      <c r="E1146" s="5"/>
      <c r="F1146" s="200" t="s">
        <v>2621</v>
      </c>
    </row>
    <row r="1147" spans="1:6" s="8" customFormat="1" x14ac:dyDescent="0.2">
      <c r="A1147" s="200" t="s">
        <v>2666</v>
      </c>
      <c r="B1147" s="200" t="s">
        <v>2678</v>
      </c>
      <c r="C1147" s="200" t="s">
        <v>2679</v>
      </c>
      <c r="D1147" s="200" t="s">
        <v>2680</v>
      </c>
      <c r="E1147" s="5"/>
      <c r="F1147" s="200" t="s">
        <v>2621</v>
      </c>
    </row>
    <row r="1148" spans="1:6" s="8" customFormat="1" x14ac:dyDescent="0.2">
      <c r="A1148" s="200" t="s">
        <v>2666</v>
      </c>
      <c r="B1148" s="200" t="s">
        <v>2681</v>
      </c>
      <c r="C1148" s="200" t="s">
        <v>2682</v>
      </c>
      <c r="D1148" s="200" t="s">
        <v>2683</v>
      </c>
      <c r="E1148" s="5"/>
      <c r="F1148" s="200" t="s">
        <v>2621</v>
      </c>
    </row>
    <row r="1149" spans="1:6" s="8" customFormat="1" x14ac:dyDescent="0.2">
      <c r="A1149" s="200" t="s">
        <v>2666</v>
      </c>
      <c r="B1149" s="200" t="s">
        <v>2684</v>
      </c>
      <c r="C1149" s="200" t="s">
        <v>2685</v>
      </c>
      <c r="D1149" s="200" t="s">
        <v>2686</v>
      </c>
      <c r="E1149" s="5"/>
      <c r="F1149" s="200" t="s">
        <v>2621</v>
      </c>
    </row>
    <row r="1150" spans="1:6" s="8" customFormat="1" x14ac:dyDescent="0.2">
      <c r="A1150" s="200" t="s">
        <v>2666</v>
      </c>
      <c r="B1150" s="200" t="s">
        <v>2687</v>
      </c>
      <c r="C1150" s="200" t="s">
        <v>2688</v>
      </c>
      <c r="D1150" s="200" t="s">
        <v>2689</v>
      </c>
      <c r="E1150" s="5"/>
      <c r="F1150" s="200" t="s">
        <v>2621</v>
      </c>
    </row>
    <row r="1151" spans="1:6" s="8" customFormat="1" x14ac:dyDescent="0.2">
      <c r="A1151" s="200" t="s">
        <v>2666</v>
      </c>
      <c r="B1151" s="200" t="s">
        <v>2690</v>
      </c>
      <c r="C1151" s="200" t="s">
        <v>2691</v>
      </c>
      <c r="D1151" s="200" t="s">
        <v>2692</v>
      </c>
      <c r="E1151" s="5"/>
      <c r="F1151" s="200" t="s">
        <v>2621</v>
      </c>
    </row>
    <row r="1152" spans="1:6" s="8" customFormat="1" x14ac:dyDescent="0.2">
      <c r="A1152" s="200" t="s">
        <v>2666</v>
      </c>
      <c r="B1152" s="200" t="s">
        <v>2693</v>
      </c>
      <c r="C1152" s="200" t="s">
        <v>2694</v>
      </c>
      <c r="D1152" s="200" t="s">
        <v>2695</v>
      </c>
      <c r="E1152" s="5"/>
      <c r="F1152" s="200" t="s">
        <v>2621</v>
      </c>
    </row>
    <row r="1153" spans="1:6" s="8" customFormat="1" x14ac:dyDescent="0.2">
      <c r="A1153" s="200" t="s">
        <v>2666</v>
      </c>
      <c r="B1153" s="200" t="s">
        <v>2696</v>
      </c>
      <c r="C1153" s="200" t="s">
        <v>2697</v>
      </c>
      <c r="D1153" s="200" t="s">
        <v>2698</v>
      </c>
      <c r="E1153" s="5"/>
      <c r="F1153" s="200" t="s">
        <v>2621</v>
      </c>
    </row>
    <row r="1154" spans="1:6" s="8" customFormat="1" x14ac:dyDescent="0.2">
      <c r="A1154" s="200" t="s">
        <v>2666</v>
      </c>
      <c r="B1154" s="200" t="s">
        <v>2699</v>
      </c>
      <c r="C1154" s="200" t="s">
        <v>2700</v>
      </c>
      <c r="D1154" s="200" t="s">
        <v>2701</v>
      </c>
      <c r="E1154" s="5"/>
      <c r="F1154" s="200" t="s">
        <v>2621</v>
      </c>
    </row>
    <row r="1155" spans="1:6" s="8" customFormat="1" x14ac:dyDescent="0.2">
      <c r="A1155" s="200" t="s">
        <v>2666</v>
      </c>
      <c r="B1155" s="200" t="s">
        <v>2702</v>
      </c>
      <c r="C1155" s="200" t="s">
        <v>2703</v>
      </c>
      <c r="D1155" s="200" t="s">
        <v>2704</v>
      </c>
      <c r="E1155" s="5"/>
      <c r="F1155" s="200" t="s">
        <v>2621</v>
      </c>
    </row>
    <row r="1156" spans="1:6" s="8" customFormat="1" x14ac:dyDescent="0.2">
      <c r="A1156" s="200" t="s">
        <v>2666</v>
      </c>
      <c r="B1156" s="200" t="s">
        <v>2705</v>
      </c>
      <c r="C1156" s="200" t="s">
        <v>2706</v>
      </c>
      <c r="D1156" s="200" t="s">
        <v>2707</v>
      </c>
      <c r="E1156" s="5"/>
      <c r="F1156" s="200" t="s">
        <v>2621</v>
      </c>
    </row>
    <row r="1157" spans="1:6" s="8" customFormat="1" x14ac:dyDescent="0.2">
      <c r="A1157" s="200" t="s">
        <v>2666</v>
      </c>
      <c r="B1157" s="200" t="s">
        <v>2708</v>
      </c>
      <c r="C1157" s="200" t="s">
        <v>2709</v>
      </c>
      <c r="D1157" s="200" t="s">
        <v>2710</v>
      </c>
      <c r="E1157" s="5"/>
      <c r="F1157" s="200" t="s">
        <v>2621</v>
      </c>
    </row>
    <row r="1158" spans="1:6" s="8" customFormat="1" x14ac:dyDescent="0.2">
      <c r="A1158" s="200" t="s">
        <v>2666</v>
      </c>
      <c r="B1158" s="200" t="s">
        <v>2711</v>
      </c>
      <c r="C1158" s="200" t="s">
        <v>2712</v>
      </c>
      <c r="D1158" s="200" t="s">
        <v>2713</v>
      </c>
      <c r="E1158" s="5"/>
      <c r="F1158" s="200" t="s">
        <v>2621</v>
      </c>
    </row>
    <row r="1159" spans="1:6" s="8" customFormat="1" x14ac:dyDescent="0.2">
      <c r="A1159" s="200" t="s">
        <v>2666</v>
      </c>
      <c r="B1159" s="200" t="s">
        <v>2714</v>
      </c>
      <c r="C1159" s="200" t="s">
        <v>2715</v>
      </c>
      <c r="D1159" s="200" t="s">
        <v>2716</v>
      </c>
      <c r="E1159" s="5"/>
      <c r="F1159" s="200" t="s">
        <v>2621</v>
      </c>
    </row>
    <row r="1160" spans="1:6" s="8" customFormat="1" x14ac:dyDescent="0.2">
      <c r="A1160" s="200" t="s">
        <v>2666</v>
      </c>
      <c r="B1160" s="200" t="s">
        <v>2717</v>
      </c>
      <c r="C1160" s="200" t="s">
        <v>2718</v>
      </c>
      <c r="D1160" s="200" t="s">
        <v>2719</v>
      </c>
      <c r="E1160" s="5"/>
      <c r="F1160" s="200" t="s">
        <v>2621</v>
      </c>
    </row>
    <row r="1161" spans="1:6" s="8" customFormat="1" x14ac:dyDescent="0.2">
      <c r="A1161" s="200" t="s">
        <v>2666</v>
      </c>
      <c r="B1161" s="200" t="s">
        <v>2720</v>
      </c>
      <c r="C1161" s="200" t="s">
        <v>2721</v>
      </c>
      <c r="D1161" s="200" t="s">
        <v>2722</v>
      </c>
      <c r="E1161" s="5"/>
      <c r="F1161" s="200" t="s">
        <v>2621</v>
      </c>
    </row>
    <row r="1162" spans="1:6" s="8" customFormat="1" x14ac:dyDescent="0.2">
      <c r="A1162" s="200" t="s">
        <v>2666</v>
      </c>
      <c r="B1162" s="200" t="s">
        <v>2723</v>
      </c>
      <c r="C1162" s="200" t="s">
        <v>2724</v>
      </c>
      <c r="D1162" s="200" t="s">
        <v>2725</v>
      </c>
      <c r="E1162" s="5"/>
      <c r="F1162" s="200" t="s">
        <v>2621</v>
      </c>
    </row>
    <row r="1163" spans="1:6" s="8" customFormat="1" x14ac:dyDescent="0.2">
      <c r="A1163" s="200" t="s">
        <v>2666</v>
      </c>
      <c r="B1163" s="200" t="s">
        <v>2726</v>
      </c>
      <c r="C1163" s="200" t="s">
        <v>2727</v>
      </c>
      <c r="D1163" s="200" t="s">
        <v>2728</v>
      </c>
      <c r="E1163" s="5"/>
      <c r="F1163" s="200" t="s">
        <v>2621</v>
      </c>
    </row>
    <row r="1164" spans="1:6" s="8" customFormat="1" x14ac:dyDescent="0.2">
      <c r="A1164" s="200" t="s">
        <v>2666</v>
      </c>
      <c r="B1164" s="200" t="s">
        <v>2729</v>
      </c>
      <c r="C1164" s="200" t="s">
        <v>2730</v>
      </c>
      <c r="D1164" s="200" t="s">
        <v>2731</v>
      </c>
      <c r="E1164" s="5"/>
      <c r="F1164" s="200" t="s">
        <v>2621</v>
      </c>
    </row>
    <row r="1165" spans="1:6" s="8" customFormat="1" x14ac:dyDescent="0.2">
      <c r="A1165" s="200" t="s">
        <v>2666</v>
      </c>
      <c r="B1165" s="200" t="s">
        <v>2732</v>
      </c>
      <c r="C1165" s="200" t="s">
        <v>2733</v>
      </c>
      <c r="D1165" s="200" t="s">
        <v>2734</v>
      </c>
      <c r="E1165" s="5"/>
      <c r="F1165" s="200" t="s">
        <v>2621</v>
      </c>
    </row>
    <row r="1166" spans="1:6" s="8" customFormat="1" x14ac:dyDescent="0.2">
      <c r="A1166" s="200" t="s">
        <v>2666</v>
      </c>
      <c r="B1166" s="200" t="s">
        <v>2735</v>
      </c>
      <c r="C1166" s="200" t="s">
        <v>2736</v>
      </c>
      <c r="D1166" s="200" t="s">
        <v>2737</v>
      </c>
      <c r="E1166" s="5"/>
      <c r="F1166" s="200" t="s">
        <v>2621</v>
      </c>
    </row>
    <row r="1167" spans="1:6" s="8" customFormat="1" x14ac:dyDescent="0.2">
      <c r="A1167" s="200" t="s">
        <v>2666</v>
      </c>
      <c r="B1167" s="200" t="s">
        <v>2738</v>
      </c>
      <c r="C1167" s="200" t="s">
        <v>2739</v>
      </c>
      <c r="D1167" s="200" t="s">
        <v>2740</v>
      </c>
      <c r="E1167" s="5"/>
      <c r="F1167" s="200" t="s">
        <v>2621</v>
      </c>
    </row>
    <row r="1168" spans="1:6" s="8" customFormat="1" x14ac:dyDescent="0.2">
      <c r="A1168" s="200" t="s">
        <v>2666</v>
      </c>
      <c r="B1168" s="200" t="s">
        <v>2741</v>
      </c>
      <c r="C1168" s="200" t="s">
        <v>2742</v>
      </c>
      <c r="D1168" s="200" t="s">
        <v>2743</v>
      </c>
      <c r="E1168" s="5"/>
      <c r="F1168" s="200" t="s">
        <v>2621</v>
      </c>
    </row>
    <row r="1169" spans="1:6" s="8" customFormat="1" x14ac:dyDescent="0.2">
      <c r="A1169" s="200" t="s">
        <v>2666</v>
      </c>
      <c r="B1169" s="200" t="s">
        <v>2744</v>
      </c>
      <c r="C1169" s="200" t="s">
        <v>2745</v>
      </c>
      <c r="D1169" s="200" t="s">
        <v>2746</v>
      </c>
      <c r="E1169" s="5"/>
      <c r="F1169" s="200" t="s">
        <v>2621</v>
      </c>
    </row>
    <row r="1170" spans="1:6" s="8" customFormat="1" x14ac:dyDescent="0.2">
      <c r="A1170" s="200" t="s">
        <v>2666</v>
      </c>
      <c r="B1170" s="200" t="s">
        <v>2747</v>
      </c>
      <c r="C1170" s="200" t="s">
        <v>2748</v>
      </c>
      <c r="D1170" s="200" t="s">
        <v>2749</v>
      </c>
      <c r="E1170" s="5"/>
      <c r="F1170" s="200" t="s">
        <v>2621</v>
      </c>
    </row>
    <row r="1171" spans="1:6" s="8" customFormat="1" x14ac:dyDescent="0.2">
      <c r="A1171" s="200" t="s">
        <v>2666</v>
      </c>
      <c r="B1171" s="200" t="s">
        <v>2750</v>
      </c>
      <c r="C1171" s="200" t="s">
        <v>2751</v>
      </c>
      <c r="D1171" s="200" t="s">
        <v>2752</v>
      </c>
      <c r="E1171" s="5"/>
      <c r="F1171" s="200" t="s">
        <v>2621</v>
      </c>
    </row>
    <row r="1172" spans="1:6" s="8" customFormat="1" x14ac:dyDescent="0.2">
      <c r="A1172" s="200" t="s">
        <v>2666</v>
      </c>
      <c r="B1172" s="200" t="s">
        <v>2753</v>
      </c>
      <c r="C1172" s="200" t="s">
        <v>2754</v>
      </c>
      <c r="D1172" s="200" t="s">
        <v>2755</v>
      </c>
      <c r="E1172" s="5"/>
      <c r="F1172" s="200" t="s">
        <v>2621</v>
      </c>
    </row>
    <row r="1173" spans="1:6" s="8" customFormat="1" x14ac:dyDescent="0.2">
      <c r="A1173" s="200" t="s">
        <v>2666</v>
      </c>
      <c r="B1173" s="200" t="s">
        <v>2756</v>
      </c>
      <c r="C1173" s="200" t="s">
        <v>2757</v>
      </c>
      <c r="D1173" s="200" t="s">
        <v>2758</v>
      </c>
      <c r="E1173" s="5"/>
      <c r="F1173" s="8" t="s">
        <v>2624</v>
      </c>
    </row>
    <row r="1174" spans="1:6" s="8" customFormat="1" x14ac:dyDescent="0.2">
      <c r="A1174" s="200" t="s">
        <v>2666</v>
      </c>
      <c r="B1174" s="200" t="s">
        <v>2759</v>
      </c>
      <c r="C1174" s="200" t="s">
        <v>2760</v>
      </c>
      <c r="D1174" s="200" t="s">
        <v>2761</v>
      </c>
      <c r="E1174" s="5"/>
      <c r="F1174" s="8" t="s">
        <v>2624</v>
      </c>
    </row>
    <row r="1175" spans="1:6" s="8" customFormat="1" x14ac:dyDescent="0.2">
      <c r="A1175" s="200" t="s">
        <v>2666</v>
      </c>
      <c r="B1175" s="200" t="s">
        <v>2762</v>
      </c>
      <c r="C1175" s="200" t="s">
        <v>2763</v>
      </c>
      <c r="D1175" s="200" t="s">
        <v>2764</v>
      </c>
      <c r="E1175" s="5"/>
      <c r="F1175" s="8" t="s">
        <v>2624</v>
      </c>
    </row>
    <row r="1176" spans="1:6" s="8" customFormat="1" x14ac:dyDescent="0.2">
      <c r="A1176" s="200" t="s">
        <v>2666</v>
      </c>
      <c r="B1176" s="200" t="s">
        <v>2765</v>
      </c>
      <c r="C1176" s="200" t="s">
        <v>2604</v>
      </c>
      <c r="D1176" s="200" t="s">
        <v>2605</v>
      </c>
      <c r="E1176" s="5"/>
      <c r="F1176" s="8" t="s">
        <v>2624</v>
      </c>
    </row>
    <row r="1177" spans="1:6" s="8" customFormat="1" x14ac:dyDescent="0.2">
      <c r="A1177" s="200" t="s">
        <v>2666</v>
      </c>
      <c r="B1177" s="200" t="s">
        <v>2766</v>
      </c>
      <c r="C1177" s="200" t="s">
        <v>2767</v>
      </c>
      <c r="D1177" s="200" t="s">
        <v>2768</v>
      </c>
      <c r="E1177" s="5"/>
      <c r="F1177" s="8" t="s">
        <v>2624</v>
      </c>
    </row>
    <row r="1178" spans="1:6" s="8" customFormat="1" x14ac:dyDescent="0.2">
      <c r="A1178" s="200" t="s">
        <v>2666</v>
      </c>
      <c r="B1178" s="200" t="s">
        <v>2769</v>
      </c>
      <c r="C1178" s="200" t="s">
        <v>2770</v>
      </c>
      <c r="D1178" s="200" t="s">
        <v>2771</v>
      </c>
      <c r="E1178" s="5"/>
      <c r="F1178" s="8" t="s">
        <v>2624</v>
      </c>
    </row>
    <row r="1179" spans="1:6" s="8" customFormat="1" x14ac:dyDescent="0.2">
      <c r="A1179" s="200" t="s">
        <v>2666</v>
      </c>
      <c r="B1179" s="200" t="s">
        <v>2772</v>
      </c>
      <c r="C1179" s="200" t="s">
        <v>2773</v>
      </c>
      <c r="D1179" s="200" t="s">
        <v>2774</v>
      </c>
      <c r="E1179" s="5"/>
      <c r="F1179" s="8" t="s">
        <v>2624</v>
      </c>
    </row>
    <row r="1180" spans="1:6" s="8" customFormat="1" x14ac:dyDescent="0.2">
      <c r="A1180" s="200" t="s">
        <v>2666</v>
      </c>
      <c r="B1180" s="200" t="s">
        <v>2775</v>
      </c>
      <c r="C1180" s="200" t="s">
        <v>2776</v>
      </c>
      <c r="D1180" s="200" t="s">
        <v>2777</v>
      </c>
      <c r="E1180" s="5"/>
      <c r="F1180" s="8" t="s">
        <v>2624</v>
      </c>
    </row>
    <row r="1181" spans="1:6" s="8" customFormat="1" x14ac:dyDescent="0.2">
      <c r="A1181" s="200" t="s">
        <v>2666</v>
      </c>
      <c r="B1181" s="200" t="s">
        <v>2778</v>
      </c>
      <c r="C1181" s="200" t="s">
        <v>2779</v>
      </c>
      <c r="D1181" s="200" t="s">
        <v>2780</v>
      </c>
      <c r="E1181" s="5"/>
      <c r="F1181" s="8" t="s">
        <v>2624</v>
      </c>
    </row>
    <row r="1182" spans="1:6" s="8" customFormat="1" x14ac:dyDescent="0.2">
      <c r="A1182" s="200" t="s">
        <v>2666</v>
      </c>
      <c r="B1182" s="200" t="s">
        <v>2781</v>
      </c>
      <c r="C1182" s="200" t="s">
        <v>2782</v>
      </c>
      <c r="D1182" s="200" t="s">
        <v>2783</v>
      </c>
      <c r="E1182" s="5"/>
      <c r="F1182" s="8" t="s">
        <v>2624</v>
      </c>
    </row>
    <row r="1183" spans="1:6" s="8" customFormat="1" x14ac:dyDescent="0.2">
      <c r="A1183" s="200" t="s">
        <v>2666</v>
      </c>
      <c r="B1183" s="200" t="s">
        <v>2784</v>
      </c>
      <c r="C1183" s="200" t="s">
        <v>2785</v>
      </c>
      <c r="D1183" s="200" t="s">
        <v>2786</v>
      </c>
      <c r="E1183" s="5"/>
      <c r="F1183" s="8" t="s">
        <v>2624</v>
      </c>
    </row>
    <row r="1184" spans="1:6" s="8" customFormat="1" x14ac:dyDescent="0.2">
      <c r="A1184" s="200" t="s">
        <v>2666</v>
      </c>
      <c r="B1184" s="200" t="s">
        <v>2787</v>
      </c>
      <c r="C1184" s="200" t="s">
        <v>2661</v>
      </c>
      <c r="D1184" s="200" t="s">
        <v>2662</v>
      </c>
      <c r="E1184" s="5"/>
      <c r="F1184" s="8" t="s">
        <v>2624</v>
      </c>
    </row>
    <row r="1185" spans="1:6" s="8" customFormat="1" x14ac:dyDescent="0.2">
      <c r="A1185" s="200" t="s">
        <v>2666</v>
      </c>
      <c r="B1185" s="200" t="s">
        <v>2788</v>
      </c>
      <c r="C1185" s="200" t="s">
        <v>2789</v>
      </c>
      <c r="D1185" s="200" t="s">
        <v>2790</v>
      </c>
      <c r="E1185" s="5"/>
      <c r="F1185" s="8" t="s">
        <v>2624</v>
      </c>
    </row>
    <row r="1186" spans="1:6" s="8" customFormat="1" x14ac:dyDescent="0.2">
      <c r="A1186" s="200" t="s">
        <v>2666</v>
      </c>
      <c r="B1186" s="200" t="s">
        <v>2791</v>
      </c>
      <c r="C1186" s="200" t="s">
        <v>2792</v>
      </c>
      <c r="D1186" s="200" t="s">
        <v>2793</v>
      </c>
      <c r="E1186" s="5"/>
      <c r="F1186" s="8" t="s">
        <v>2624</v>
      </c>
    </row>
    <row r="1187" spans="1:6" s="8" customFormat="1" x14ac:dyDescent="0.2">
      <c r="A1187" s="200" t="s">
        <v>2666</v>
      </c>
      <c r="B1187" s="200" t="s">
        <v>2794</v>
      </c>
      <c r="C1187" s="200" t="s">
        <v>2795</v>
      </c>
      <c r="D1187" s="200" t="s">
        <v>2796</v>
      </c>
      <c r="E1187" s="5"/>
      <c r="F1187" s="8" t="s">
        <v>2624</v>
      </c>
    </row>
    <row r="1188" spans="1:6" s="8" customFormat="1" x14ac:dyDescent="0.2">
      <c r="A1188" s="200" t="s">
        <v>2666</v>
      </c>
      <c r="B1188" s="200" t="s">
        <v>2797</v>
      </c>
      <c r="C1188" s="200" t="s">
        <v>2798</v>
      </c>
      <c r="D1188" s="200" t="s">
        <v>2799</v>
      </c>
      <c r="E1188" s="5"/>
      <c r="F1188" s="8" t="s">
        <v>2624</v>
      </c>
    </row>
    <row r="1189" spans="1:6" s="8" customFormat="1" x14ac:dyDescent="0.2">
      <c r="A1189" s="200" t="s">
        <v>2666</v>
      </c>
      <c r="B1189" s="200" t="s">
        <v>2800</v>
      </c>
      <c r="C1189" s="200" t="s">
        <v>2801</v>
      </c>
      <c r="D1189" s="200" t="s">
        <v>2802</v>
      </c>
      <c r="E1189" s="5"/>
      <c r="F1189" s="8" t="s">
        <v>2624</v>
      </c>
    </row>
    <row r="1190" spans="1:6" s="8" customFormat="1" x14ac:dyDescent="0.2">
      <c r="A1190" s="200" t="s">
        <v>2666</v>
      </c>
      <c r="B1190" s="200" t="s">
        <v>2803</v>
      </c>
      <c r="C1190" s="200" t="s">
        <v>2804</v>
      </c>
      <c r="D1190" s="200" t="s">
        <v>2805</v>
      </c>
      <c r="E1190" s="5"/>
      <c r="F1190" s="8" t="s">
        <v>2624</v>
      </c>
    </row>
    <row r="1191" spans="1:6" s="8" customFormat="1" x14ac:dyDescent="0.2">
      <c r="A1191" s="200" t="s">
        <v>2666</v>
      </c>
      <c r="B1191" s="200" t="s">
        <v>2806</v>
      </c>
      <c r="C1191" s="200" t="s">
        <v>2807</v>
      </c>
      <c r="D1191" s="200" t="s">
        <v>2808</v>
      </c>
      <c r="E1191" s="5"/>
      <c r="F1191" s="8" t="s">
        <v>2624</v>
      </c>
    </row>
    <row r="1192" spans="1:6" s="8" customFormat="1" x14ac:dyDescent="0.2">
      <c r="A1192" s="200" t="s">
        <v>2666</v>
      </c>
      <c r="B1192" s="200" t="s">
        <v>2809</v>
      </c>
      <c r="C1192" s="200" t="s">
        <v>2810</v>
      </c>
      <c r="D1192" s="200" t="s">
        <v>2811</v>
      </c>
      <c r="E1192" s="5"/>
      <c r="F1192" s="8" t="s">
        <v>2624</v>
      </c>
    </row>
    <row r="1193" spans="1:6" s="8" customFormat="1" x14ac:dyDescent="0.2">
      <c r="A1193" s="200" t="s">
        <v>2666</v>
      </c>
      <c r="B1193" s="200" t="s">
        <v>2812</v>
      </c>
      <c r="C1193" s="200" t="s">
        <v>2813</v>
      </c>
      <c r="D1193" s="200" t="s">
        <v>2814</v>
      </c>
      <c r="E1193" s="5"/>
      <c r="F1193" s="8" t="s">
        <v>2624</v>
      </c>
    </row>
    <row r="1194" spans="1:6" s="8" customFormat="1" x14ac:dyDescent="0.2">
      <c r="A1194" s="200" t="s">
        <v>2666</v>
      </c>
      <c r="B1194" s="200" t="s">
        <v>2815</v>
      </c>
      <c r="C1194" s="200" t="s">
        <v>2816</v>
      </c>
      <c r="D1194" s="200" t="s">
        <v>2817</v>
      </c>
      <c r="E1194" s="5"/>
      <c r="F1194" s="8" t="s">
        <v>2624</v>
      </c>
    </row>
    <row r="1195" spans="1:6" s="8" customFormat="1" x14ac:dyDescent="0.2">
      <c r="A1195" s="200" t="s">
        <v>2666</v>
      </c>
      <c r="B1195" s="200" t="s">
        <v>2818</v>
      </c>
      <c r="C1195" s="200" t="s">
        <v>2819</v>
      </c>
      <c r="D1195" s="200" t="s">
        <v>2820</v>
      </c>
      <c r="E1195" s="5"/>
      <c r="F1195" s="8" t="s">
        <v>2624</v>
      </c>
    </row>
    <row r="1196" spans="1:6" s="8" customFormat="1" x14ac:dyDescent="0.2">
      <c r="A1196" s="200" t="s">
        <v>2666</v>
      </c>
      <c r="B1196" s="200" t="s">
        <v>2821</v>
      </c>
      <c r="C1196" s="200" t="s">
        <v>2822</v>
      </c>
      <c r="D1196" s="200" t="s">
        <v>2823</v>
      </c>
      <c r="E1196" s="5"/>
      <c r="F1196" s="8" t="s">
        <v>2624</v>
      </c>
    </row>
    <row r="1197" spans="1:6" s="8" customFormat="1" x14ac:dyDescent="0.2">
      <c r="A1197" s="200" t="s">
        <v>2666</v>
      </c>
      <c r="B1197" s="200" t="s">
        <v>2824</v>
      </c>
      <c r="C1197" s="200" t="s">
        <v>2825</v>
      </c>
      <c r="D1197" s="200" t="s">
        <v>2826</v>
      </c>
      <c r="E1197" s="5"/>
      <c r="F1197" s="8" t="s">
        <v>2624</v>
      </c>
    </row>
    <row r="1198" spans="1:6" s="8" customFormat="1" x14ac:dyDescent="0.2">
      <c r="A1198" s="200" t="s">
        <v>2666</v>
      </c>
      <c r="B1198" s="200" t="s">
        <v>2827</v>
      </c>
      <c r="C1198" s="200" t="s">
        <v>2828</v>
      </c>
      <c r="D1198" s="200" t="s">
        <v>2829</v>
      </c>
      <c r="E1198" s="5"/>
      <c r="F1198" s="8" t="s">
        <v>2624</v>
      </c>
    </row>
    <row r="1199" spans="1:6" s="8" customFormat="1" x14ac:dyDescent="0.2">
      <c r="A1199" s="200" t="s">
        <v>2666</v>
      </c>
      <c r="B1199" s="200" t="s">
        <v>2830</v>
      </c>
      <c r="C1199" s="200" t="s">
        <v>2831</v>
      </c>
      <c r="D1199" s="200" t="s">
        <v>2832</v>
      </c>
      <c r="E1199" s="5"/>
      <c r="F1199" s="8" t="s">
        <v>2624</v>
      </c>
    </row>
    <row r="1200" spans="1:6" s="8" customFormat="1" x14ac:dyDescent="0.2">
      <c r="A1200" s="200" t="s">
        <v>2666</v>
      </c>
      <c r="B1200" s="200" t="s">
        <v>2833</v>
      </c>
      <c r="C1200" s="200" t="s">
        <v>2834</v>
      </c>
      <c r="D1200" s="200" t="s">
        <v>2835</v>
      </c>
      <c r="E1200" s="5"/>
      <c r="F1200" s="8" t="s">
        <v>2624</v>
      </c>
    </row>
    <row r="1201" spans="1:6" s="8" customFormat="1" x14ac:dyDescent="0.2">
      <c r="A1201" s="200" t="s">
        <v>2666</v>
      </c>
      <c r="B1201" s="200" t="s">
        <v>2836</v>
      </c>
      <c r="C1201" s="200" t="s">
        <v>2837</v>
      </c>
      <c r="D1201" s="200" t="s">
        <v>2838</v>
      </c>
      <c r="E1201" s="5"/>
      <c r="F1201" s="8" t="s">
        <v>2624</v>
      </c>
    </row>
    <row r="1202" spans="1:6" s="8" customFormat="1" x14ac:dyDescent="0.2">
      <c r="A1202" s="200" t="s">
        <v>2666</v>
      </c>
      <c r="B1202" s="200" t="s">
        <v>2839</v>
      </c>
      <c r="C1202" s="200" t="s">
        <v>2840</v>
      </c>
      <c r="D1202" s="200" t="s">
        <v>2841</v>
      </c>
      <c r="E1202" s="5"/>
      <c r="F1202" s="8" t="s">
        <v>2624</v>
      </c>
    </row>
    <row r="1203" spans="1:6" s="8" customFormat="1" x14ac:dyDescent="0.2">
      <c r="A1203" s="200" t="s">
        <v>2666</v>
      </c>
      <c r="B1203" s="200" t="s">
        <v>2842</v>
      </c>
      <c r="C1203" s="200" t="s">
        <v>2843</v>
      </c>
      <c r="D1203" s="200" t="s">
        <v>2844</v>
      </c>
      <c r="E1203" s="5"/>
      <c r="F1203" s="8" t="s">
        <v>2624</v>
      </c>
    </row>
    <row r="1204" spans="1:6" s="8" customFormat="1" x14ac:dyDescent="0.2">
      <c r="A1204" s="200" t="s">
        <v>2666</v>
      </c>
      <c r="B1204" s="200" t="s">
        <v>2845</v>
      </c>
      <c r="C1204" s="200" t="s">
        <v>2846</v>
      </c>
      <c r="D1204" s="200" t="s">
        <v>2847</v>
      </c>
      <c r="E1204" s="5"/>
      <c r="F1204" s="8" t="s">
        <v>2624</v>
      </c>
    </row>
    <row r="1205" spans="1:6" s="8" customFormat="1" x14ac:dyDescent="0.2">
      <c r="A1205" s="200" t="s">
        <v>2666</v>
      </c>
      <c r="B1205" s="200" t="s">
        <v>2848</v>
      </c>
      <c r="C1205" s="200" t="s">
        <v>2849</v>
      </c>
      <c r="D1205" s="200" t="s">
        <v>2850</v>
      </c>
      <c r="E1205" s="5"/>
      <c r="F1205" s="8" t="s">
        <v>2624</v>
      </c>
    </row>
    <row r="1206" spans="1:6" s="8" customFormat="1" x14ac:dyDescent="0.2">
      <c r="A1206" s="200" t="s">
        <v>2666</v>
      </c>
      <c r="B1206" s="200" t="s">
        <v>2851</v>
      </c>
      <c r="C1206" s="200" t="s">
        <v>2852</v>
      </c>
      <c r="D1206" s="200" t="s">
        <v>2853</v>
      </c>
      <c r="E1206" s="5"/>
      <c r="F1206" s="8" t="s">
        <v>2624</v>
      </c>
    </row>
    <row r="1207" spans="1:6" s="8" customFormat="1" x14ac:dyDescent="0.2">
      <c r="A1207" s="200" t="s">
        <v>2666</v>
      </c>
      <c r="B1207" s="200" t="s">
        <v>2854</v>
      </c>
      <c r="C1207" s="200" t="s">
        <v>2855</v>
      </c>
      <c r="D1207" s="200" t="s">
        <v>2856</v>
      </c>
      <c r="E1207" s="5"/>
      <c r="F1207" s="8" t="s">
        <v>2624</v>
      </c>
    </row>
    <row r="1208" spans="1:6" s="8" customFormat="1" x14ac:dyDescent="0.2">
      <c r="A1208" s="200" t="s">
        <v>2666</v>
      </c>
      <c r="B1208" s="200" t="s">
        <v>2857</v>
      </c>
      <c r="C1208" s="200" t="s">
        <v>2858</v>
      </c>
      <c r="D1208" s="200" t="s">
        <v>2859</v>
      </c>
      <c r="E1208" s="5"/>
      <c r="F1208" s="8" t="s">
        <v>2624</v>
      </c>
    </row>
    <row r="1209" spans="1:6" s="8" customFormat="1" x14ac:dyDescent="0.2">
      <c r="A1209" s="200" t="s">
        <v>2666</v>
      </c>
      <c r="B1209" s="200" t="s">
        <v>2860</v>
      </c>
      <c r="C1209" s="200" t="s">
        <v>2861</v>
      </c>
      <c r="D1209" s="200" t="s">
        <v>2862</v>
      </c>
      <c r="E1209" s="5"/>
      <c r="F1209" s="8" t="s">
        <v>2624</v>
      </c>
    </row>
    <row r="1210" spans="1:6" s="8" customFormat="1" x14ac:dyDescent="0.2">
      <c r="A1210" s="200" t="s">
        <v>2666</v>
      </c>
      <c r="B1210" s="200" t="s">
        <v>2863</v>
      </c>
      <c r="C1210" s="200" t="s">
        <v>2864</v>
      </c>
      <c r="D1210" s="200" t="s">
        <v>2865</v>
      </c>
      <c r="E1210" s="5"/>
      <c r="F1210" s="8" t="s">
        <v>2624</v>
      </c>
    </row>
    <row r="1211" spans="1:6" s="8" customFormat="1" x14ac:dyDescent="0.2">
      <c r="A1211" s="200" t="s">
        <v>2666</v>
      </c>
      <c r="B1211" s="200" t="s">
        <v>2866</v>
      </c>
      <c r="C1211" s="200" t="s">
        <v>2867</v>
      </c>
      <c r="D1211" s="200" t="s">
        <v>2868</v>
      </c>
      <c r="E1211" s="5"/>
      <c r="F1211" s="8" t="s">
        <v>2624</v>
      </c>
    </row>
    <row r="1212" spans="1:6" s="8" customFormat="1" x14ac:dyDescent="0.2">
      <c r="A1212" s="200" t="s">
        <v>2666</v>
      </c>
      <c r="B1212" s="200" t="s">
        <v>2869</v>
      </c>
      <c r="C1212" s="200" t="s">
        <v>2870</v>
      </c>
      <c r="D1212" s="200" t="s">
        <v>2871</v>
      </c>
      <c r="E1212" s="5"/>
      <c r="F1212" s="8" t="s">
        <v>2624</v>
      </c>
    </row>
    <row r="1213" spans="1:6" s="8" customFormat="1" x14ac:dyDescent="0.2">
      <c r="A1213" s="200" t="s">
        <v>2666</v>
      </c>
      <c r="B1213" s="200" t="s">
        <v>2872</v>
      </c>
      <c r="C1213" s="200" t="s">
        <v>2873</v>
      </c>
      <c r="D1213" s="200" t="s">
        <v>2874</v>
      </c>
      <c r="E1213" s="5"/>
      <c r="F1213" s="8" t="s">
        <v>2624</v>
      </c>
    </row>
    <row r="1214" spans="1:6" s="8" customFormat="1" x14ac:dyDescent="0.2">
      <c r="A1214" s="200" t="s">
        <v>2666</v>
      </c>
      <c r="B1214" s="200" t="s">
        <v>2875</v>
      </c>
      <c r="C1214" s="200" t="s">
        <v>2876</v>
      </c>
      <c r="D1214" s="200" t="s">
        <v>2877</v>
      </c>
      <c r="E1214" s="5"/>
      <c r="F1214" s="8" t="s">
        <v>2624</v>
      </c>
    </row>
    <row r="1215" spans="1:6" s="8" customFormat="1" x14ac:dyDescent="0.2">
      <c r="A1215" s="200" t="s">
        <v>2666</v>
      </c>
      <c r="B1215" s="200" t="s">
        <v>2878</v>
      </c>
      <c r="C1215" s="200" t="s">
        <v>2879</v>
      </c>
      <c r="D1215" s="200" t="s">
        <v>2880</v>
      </c>
      <c r="E1215" s="5"/>
      <c r="F1215" s="8" t="s">
        <v>2624</v>
      </c>
    </row>
    <row r="1216" spans="1:6" s="8" customFormat="1" x14ac:dyDescent="0.2">
      <c r="A1216" s="200" t="s">
        <v>2666</v>
      </c>
      <c r="B1216" s="200" t="s">
        <v>2881</v>
      </c>
      <c r="C1216" s="200" t="s">
        <v>2882</v>
      </c>
      <c r="D1216" s="200" t="s">
        <v>2883</v>
      </c>
      <c r="E1216" s="5"/>
      <c r="F1216" s="8" t="s">
        <v>2624</v>
      </c>
    </row>
    <row r="1217" spans="1:6" s="8" customFormat="1" x14ac:dyDescent="0.2">
      <c r="A1217" s="200" t="s">
        <v>2666</v>
      </c>
      <c r="B1217" s="200" t="s">
        <v>2884</v>
      </c>
      <c r="C1217" s="200" t="s">
        <v>2885</v>
      </c>
      <c r="D1217" s="200" t="s">
        <v>2886</v>
      </c>
      <c r="E1217" s="5"/>
      <c r="F1217" s="8" t="s">
        <v>2624</v>
      </c>
    </row>
    <row r="1218" spans="1:6" s="8" customFormat="1" x14ac:dyDescent="0.2">
      <c r="A1218" s="200" t="s">
        <v>2666</v>
      </c>
      <c r="B1218" s="200" t="s">
        <v>2887</v>
      </c>
      <c r="C1218" s="200" t="s">
        <v>2653</v>
      </c>
      <c r="D1218" s="200" t="s">
        <v>2654</v>
      </c>
      <c r="E1218" s="5"/>
      <c r="F1218" s="8" t="s">
        <v>2624</v>
      </c>
    </row>
    <row r="1219" spans="1:6" s="8" customFormat="1" x14ac:dyDescent="0.2">
      <c r="A1219" s="200" t="s">
        <v>2666</v>
      </c>
      <c r="B1219" s="200" t="s">
        <v>2888</v>
      </c>
      <c r="C1219" s="200" t="s">
        <v>2889</v>
      </c>
      <c r="D1219" s="200" t="s">
        <v>2890</v>
      </c>
      <c r="E1219" s="5"/>
      <c r="F1219" s="8" t="s">
        <v>2624</v>
      </c>
    </row>
    <row r="1220" spans="1:6" s="8" customFormat="1" x14ac:dyDescent="0.2">
      <c r="A1220" s="200" t="s">
        <v>2666</v>
      </c>
      <c r="B1220" s="200" t="s">
        <v>2891</v>
      </c>
      <c r="C1220" s="200" t="s">
        <v>2892</v>
      </c>
      <c r="D1220" s="200" t="s">
        <v>2893</v>
      </c>
      <c r="E1220" s="5"/>
      <c r="F1220" s="8" t="s">
        <v>2624</v>
      </c>
    </row>
    <row r="1221" spans="1:6" s="8" customFormat="1" x14ac:dyDescent="0.2">
      <c r="A1221" s="200" t="s">
        <v>2666</v>
      </c>
      <c r="B1221" s="200" t="s">
        <v>2894</v>
      </c>
      <c r="C1221" s="200" t="s">
        <v>2895</v>
      </c>
      <c r="D1221" s="200" t="s">
        <v>2896</v>
      </c>
      <c r="E1221" s="5"/>
      <c r="F1221" s="8" t="s">
        <v>2624</v>
      </c>
    </row>
    <row r="1222" spans="1:6" s="8" customFormat="1" x14ac:dyDescent="0.2">
      <c r="A1222" s="200" t="s">
        <v>2666</v>
      </c>
      <c r="B1222" s="200" t="s">
        <v>2897</v>
      </c>
      <c r="C1222" s="200" t="s">
        <v>2898</v>
      </c>
      <c r="D1222" s="200" t="s">
        <v>2899</v>
      </c>
      <c r="E1222" s="5"/>
      <c r="F1222" s="8" t="s">
        <v>2624</v>
      </c>
    </row>
    <row r="1223" spans="1:6" s="8" customFormat="1" x14ac:dyDescent="0.2">
      <c r="A1223" s="200" t="s">
        <v>2666</v>
      </c>
      <c r="B1223" s="200" t="s">
        <v>2900</v>
      </c>
      <c r="C1223" s="200" t="s">
        <v>2901</v>
      </c>
      <c r="D1223" s="200" t="s">
        <v>2902</v>
      </c>
      <c r="E1223" s="5"/>
      <c r="F1223" s="8" t="s">
        <v>2624</v>
      </c>
    </row>
    <row r="1224" spans="1:6" s="8" customFormat="1" x14ac:dyDescent="0.2">
      <c r="A1224" s="200" t="s">
        <v>2666</v>
      </c>
      <c r="B1224" s="200" t="s">
        <v>2903</v>
      </c>
      <c r="C1224" s="200" t="s">
        <v>2904</v>
      </c>
      <c r="D1224" s="200" t="s">
        <v>2905</v>
      </c>
      <c r="E1224" s="5"/>
      <c r="F1224" s="8" t="s">
        <v>2624</v>
      </c>
    </row>
    <row r="1225" spans="1:6" s="8" customFormat="1" x14ac:dyDescent="0.2">
      <c r="A1225" s="200" t="s">
        <v>2666</v>
      </c>
      <c r="B1225" s="200" t="s">
        <v>2906</v>
      </c>
      <c r="C1225" s="200" t="s">
        <v>2907</v>
      </c>
      <c r="D1225" s="200" t="s">
        <v>2908</v>
      </c>
      <c r="E1225" s="5"/>
      <c r="F1225" s="8" t="s">
        <v>2624</v>
      </c>
    </row>
    <row r="1226" spans="1:6" s="8" customFormat="1" x14ac:dyDescent="0.2">
      <c r="A1226" s="200" t="s">
        <v>2666</v>
      </c>
      <c r="B1226" s="200" t="s">
        <v>2909</v>
      </c>
      <c r="C1226" s="200" t="s">
        <v>2910</v>
      </c>
      <c r="D1226" s="200" t="s">
        <v>2911</v>
      </c>
      <c r="E1226" s="5"/>
      <c r="F1226" s="8" t="s">
        <v>2624</v>
      </c>
    </row>
    <row r="1227" spans="1:6" s="8" customFormat="1" x14ac:dyDescent="0.2">
      <c r="A1227" s="200" t="s">
        <v>2666</v>
      </c>
      <c r="B1227" s="200" t="s">
        <v>2912</v>
      </c>
      <c r="C1227" s="200" t="s">
        <v>2913</v>
      </c>
      <c r="D1227" s="200" t="s">
        <v>2914</v>
      </c>
      <c r="E1227" s="5"/>
      <c r="F1227" s="8" t="s">
        <v>2624</v>
      </c>
    </row>
    <row r="1228" spans="1:6" s="8" customFormat="1" x14ac:dyDescent="0.2">
      <c r="A1228" s="200" t="s">
        <v>2666</v>
      </c>
      <c r="B1228" s="200" t="s">
        <v>2915</v>
      </c>
      <c r="C1228" s="200" t="s">
        <v>2916</v>
      </c>
      <c r="D1228" s="200" t="s">
        <v>2917</v>
      </c>
      <c r="E1228" s="5"/>
      <c r="F1228" s="8" t="s">
        <v>2626</v>
      </c>
    </row>
    <row r="1229" spans="1:6" s="8" customFormat="1" x14ac:dyDescent="0.2">
      <c r="A1229" s="200" t="s">
        <v>2666</v>
      </c>
      <c r="B1229" s="200" t="s">
        <v>2918</v>
      </c>
      <c r="C1229" s="200" t="s">
        <v>2919</v>
      </c>
      <c r="D1229" s="200" t="s">
        <v>2920</v>
      </c>
      <c r="E1229" s="5"/>
      <c r="F1229" s="8" t="s">
        <v>2626</v>
      </c>
    </row>
    <row r="1230" spans="1:6" s="8" customFormat="1" x14ac:dyDescent="0.2">
      <c r="A1230" s="200" t="s">
        <v>2666</v>
      </c>
      <c r="B1230" s="200" t="s">
        <v>2921</v>
      </c>
      <c r="C1230" s="200" t="s">
        <v>2627</v>
      </c>
      <c r="D1230" s="200" t="s">
        <v>2628</v>
      </c>
      <c r="E1230" s="5"/>
      <c r="F1230" s="8" t="s">
        <v>2626</v>
      </c>
    </row>
    <row r="1231" spans="1:6" s="8" customFormat="1" x14ac:dyDescent="0.2">
      <c r="A1231" s="200" t="s">
        <v>2666</v>
      </c>
      <c r="B1231" s="200" t="s">
        <v>2922</v>
      </c>
      <c r="C1231" s="200" t="s">
        <v>2923</v>
      </c>
      <c r="D1231" s="200" t="s">
        <v>2924</v>
      </c>
      <c r="E1231" s="5"/>
      <c r="F1231" s="8" t="s">
        <v>2626</v>
      </c>
    </row>
    <row r="1232" spans="1:6" s="8" customFormat="1" x14ac:dyDescent="0.2">
      <c r="A1232" s="200" t="s">
        <v>2666</v>
      </c>
      <c r="B1232" s="200" t="s">
        <v>2925</v>
      </c>
      <c r="C1232" s="200" t="s">
        <v>2926</v>
      </c>
      <c r="D1232" s="200" t="s">
        <v>2927</v>
      </c>
      <c r="E1232" s="5"/>
      <c r="F1232" s="8" t="s">
        <v>2626</v>
      </c>
    </row>
    <row r="1233" spans="1:6" s="8" customFormat="1" x14ac:dyDescent="0.2">
      <c r="A1233" s="200" t="s">
        <v>2666</v>
      </c>
      <c r="B1233" s="200" t="s">
        <v>2928</v>
      </c>
      <c r="C1233" s="200" t="s">
        <v>2929</v>
      </c>
      <c r="D1233" s="200" t="s">
        <v>2930</v>
      </c>
      <c r="E1233" s="5"/>
      <c r="F1233" s="8" t="s">
        <v>2626</v>
      </c>
    </row>
    <row r="1234" spans="1:6" s="8" customFormat="1" x14ac:dyDescent="0.2">
      <c r="A1234" s="200" t="s">
        <v>2666</v>
      </c>
      <c r="B1234" s="200" t="s">
        <v>2931</v>
      </c>
      <c r="C1234" s="200" t="s">
        <v>2932</v>
      </c>
      <c r="D1234" s="200" t="s">
        <v>2933</v>
      </c>
      <c r="E1234" s="5"/>
      <c r="F1234" s="8" t="s">
        <v>2626</v>
      </c>
    </row>
    <row r="1235" spans="1:6" s="8" customFormat="1" x14ac:dyDescent="0.2">
      <c r="A1235" s="200" t="s">
        <v>2666</v>
      </c>
      <c r="B1235" s="200" t="s">
        <v>2934</v>
      </c>
      <c r="C1235" s="200" t="s">
        <v>2935</v>
      </c>
      <c r="D1235" s="200" t="s">
        <v>2936</v>
      </c>
      <c r="E1235" s="5"/>
      <c r="F1235" s="8" t="s">
        <v>2626</v>
      </c>
    </row>
    <row r="1236" spans="1:6" s="8" customFormat="1" x14ac:dyDescent="0.2">
      <c r="A1236" s="200" t="s">
        <v>2666</v>
      </c>
      <c r="B1236" s="200" t="s">
        <v>2937</v>
      </c>
      <c r="C1236" s="200" t="s">
        <v>2938</v>
      </c>
      <c r="D1236" s="200" t="s">
        <v>2939</v>
      </c>
      <c r="E1236" s="5"/>
      <c r="F1236" s="8" t="s">
        <v>2626</v>
      </c>
    </row>
    <row r="1237" spans="1:6" s="8" customFormat="1" x14ac:dyDescent="0.2">
      <c r="A1237" s="200" t="s">
        <v>2666</v>
      </c>
      <c r="B1237" s="200" t="s">
        <v>2940</v>
      </c>
      <c r="C1237" s="200" t="s">
        <v>2941</v>
      </c>
      <c r="D1237" s="200" t="s">
        <v>2942</v>
      </c>
      <c r="E1237" s="5"/>
      <c r="F1237" s="8" t="s">
        <v>2626</v>
      </c>
    </row>
    <row r="1238" spans="1:6" s="8" customFormat="1" x14ac:dyDescent="0.2">
      <c r="A1238" s="200" t="s">
        <v>2666</v>
      </c>
      <c r="B1238" s="200" t="s">
        <v>2943</v>
      </c>
      <c r="C1238" s="200" t="s">
        <v>2944</v>
      </c>
      <c r="D1238" s="200" t="s">
        <v>2945</v>
      </c>
      <c r="E1238" s="5"/>
      <c r="F1238" s="8" t="s">
        <v>2626</v>
      </c>
    </row>
    <row r="1239" spans="1:6" s="8" customFormat="1" x14ac:dyDescent="0.2">
      <c r="A1239" s="200" t="s">
        <v>2666</v>
      </c>
      <c r="B1239" s="200" t="s">
        <v>2946</v>
      </c>
      <c r="C1239" s="200" t="s">
        <v>2947</v>
      </c>
      <c r="D1239" s="200" t="s">
        <v>2948</v>
      </c>
      <c r="E1239" s="5"/>
      <c r="F1239" s="8" t="s">
        <v>2626</v>
      </c>
    </row>
    <row r="1240" spans="1:6" s="8" customFormat="1" x14ac:dyDescent="0.2">
      <c r="A1240" s="200" t="s">
        <v>2666</v>
      </c>
      <c r="B1240" s="200" t="s">
        <v>2949</v>
      </c>
      <c r="C1240" s="200" t="s">
        <v>2950</v>
      </c>
      <c r="D1240" s="200" t="s">
        <v>2951</v>
      </c>
      <c r="E1240" s="5"/>
      <c r="F1240" s="8" t="s">
        <v>2626</v>
      </c>
    </row>
    <row r="1241" spans="1:6" s="8" customFormat="1" x14ac:dyDescent="0.2">
      <c r="A1241" s="200" t="s">
        <v>2666</v>
      </c>
      <c r="B1241" s="200" t="s">
        <v>2952</v>
      </c>
      <c r="C1241" s="200" t="s">
        <v>2953</v>
      </c>
      <c r="D1241" s="200" t="s">
        <v>2954</v>
      </c>
      <c r="E1241" s="5"/>
      <c r="F1241" s="8" t="s">
        <v>2626</v>
      </c>
    </row>
    <row r="1242" spans="1:6" s="8" customFormat="1" x14ac:dyDescent="0.2">
      <c r="A1242" s="200" t="s">
        <v>2666</v>
      </c>
      <c r="B1242" s="200" t="s">
        <v>2955</v>
      </c>
      <c r="C1242" s="200" t="s">
        <v>2810</v>
      </c>
      <c r="D1242" s="200" t="s">
        <v>2811</v>
      </c>
      <c r="E1242" s="5"/>
      <c r="F1242" s="8" t="s">
        <v>2626</v>
      </c>
    </row>
    <row r="1243" spans="1:6" s="8" customFormat="1" x14ac:dyDescent="0.2">
      <c r="A1243" s="200" t="s">
        <v>2666</v>
      </c>
      <c r="B1243" s="200" t="s">
        <v>2956</v>
      </c>
      <c r="C1243" s="200" t="s">
        <v>2957</v>
      </c>
      <c r="D1243" s="200" t="s">
        <v>2958</v>
      </c>
      <c r="E1243" s="5"/>
      <c r="F1243" s="8" t="s">
        <v>2626</v>
      </c>
    </row>
    <row r="1244" spans="1:6" s="8" customFormat="1" x14ac:dyDescent="0.2">
      <c r="A1244" s="200" t="s">
        <v>2666</v>
      </c>
      <c r="B1244" s="200" t="s">
        <v>2959</v>
      </c>
      <c r="C1244" s="200" t="s">
        <v>2960</v>
      </c>
      <c r="D1244" s="200" t="s">
        <v>2961</v>
      </c>
      <c r="E1244" s="5"/>
      <c r="F1244" s="8" t="s">
        <v>2626</v>
      </c>
    </row>
    <row r="1245" spans="1:6" s="8" customFormat="1" x14ac:dyDescent="0.2">
      <c r="A1245" s="200" t="s">
        <v>2666</v>
      </c>
      <c r="B1245" s="200" t="s">
        <v>2962</v>
      </c>
      <c r="C1245" s="200" t="s">
        <v>2963</v>
      </c>
      <c r="D1245" s="200" t="s">
        <v>2964</v>
      </c>
      <c r="E1245" s="5"/>
      <c r="F1245" s="8" t="s">
        <v>2626</v>
      </c>
    </row>
    <row r="1246" spans="1:6" s="8" customFormat="1" x14ac:dyDescent="0.2">
      <c r="A1246" s="200" t="s">
        <v>2666</v>
      </c>
      <c r="B1246" s="200" t="s">
        <v>2965</v>
      </c>
      <c r="C1246" s="200" t="s">
        <v>2966</v>
      </c>
      <c r="D1246" s="200" t="s">
        <v>2967</v>
      </c>
      <c r="E1246" s="5"/>
      <c r="F1246" s="8" t="s">
        <v>2626</v>
      </c>
    </row>
    <row r="1247" spans="1:6" s="8" customFormat="1" x14ac:dyDescent="0.2">
      <c r="A1247" s="200" t="s">
        <v>2666</v>
      </c>
      <c r="B1247" s="200" t="s">
        <v>2968</v>
      </c>
      <c r="C1247" s="200" t="s">
        <v>2969</v>
      </c>
      <c r="D1247" s="200" t="s">
        <v>2970</v>
      </c>
      <c r="E1247" s="5"/>
      <c r="F1247" s="8" t="s">
        <v>2626</v>
      </c>
    </row>
    <row r="1248" spans="1:6" s="8" customFormat="1" x14ac:dyDescent="0.2">
      <c r="A1248" s="200" t="s">
        <v>2666</v>
      </c>
      <c r="B1248" s="200" t="s">
        <v>2971</v>
      </c>
      <c r="C1248" s="200" t="s">
        <v>2972</v>
      </c>
      <c r="D1248" s="200" t="s">
        <v>2973</v>
      </c>
      <c r="E1248" s="5"/>
      <c r="F1248" s="8" t="s">
        <v>2626</v>
      </c>
    </row>
    <row r="1249" spans="1:6" s="8" customFormat="1" x14ac:dyDescent="0.2">
      <c r="A1249" s="200" t="s">
        <v>2666</v>
      </c>
      <c r="B1249" s="200" t="s">
        <v>2974</v>
      </c>
      <c r="C1249" s="200" t="s">
        <v>2975</v>
      </c>
      <c r="D1249" s="200" t="s">
        <v>2976</v>
      </c>
      <c r="E1249" s="5"/>
      <c r="F1249" s="8" t="s">
        <v>2626</v>
      </c>
    </row>
    <row r="1250" spans="1:6" s="8" customFormat="1" x14ac:dyDescent="0.2">
      <c r="A1250" s="200" t="s">
        <v>2666</v>
      </c>
      <c r="B1250" s="200" t="s">
        <v>2977</v>
      </c>
      <c r="C1250" s="200" t="s">
        <v>2978</v>
      </c>
      <c r="D1250" s="200" t="s">
        <v>2979</v>
      </c>
      <c r="E1250" s="5"/>
      <c r="F1250" s="8" t="s">
        <v>2626</v>
      </c>
    </row>
    <row r="1251" spans="1:6" s="8" customFormat="1" x14ac:dyDescent="0.2">
      <c r="A1251" s="200" t="s">
        <v>2666</v>
      </c>
      <c r="B1251" s="200" t="s">
        <v>2980</v>
      </c>
      <c r="C1251" s="200" t="s">
        <v>2981</v>
      </c>
      <c r="D1251" s="200" t="s">
        <v>2982</v>
      </c>
      <c r="E1251" s="5"/>
      <c r="F1251" s="8" t="s">
        <v>2626</v>
      </c>
    </row>
    <row r="1252" spans="1:6" s="8" customFormat="1" x14ac:dyDescent="0.2">
      <c r="A1252" s="200" t="s">
        <v>2666</v>
      </c>
      <c r="B1252" s="200" t="s">
        <v>2983</v>
      </c>
      <c r="C1252" s="200" t="s">
        <v>2984</v>
      </c>
      <c r="D1252" s="200" t="s">
        <v>2985</v>
      </c>
      <c r="E1252" s="5"/>
      <c r="F1252" s="8" t="s">
        <v>2626</v>
      </c>
    </row>
    <row r="1253" spans="1:6" s="8" customFormat="1" x14ac:dyDescent="0.2">
      <c r="A1253" s="200" t="s">
        <v>2666</v>
      </c>
      <c r="B1253" s="200" t="s">
        <v>2986</v>
      </c>
      <c r="C1253" s="200" t="s">
        <v>2987</v>
      </c>
      <c r="D1253" s="200" t="s">
        <v>2988</v>
      </c>
      <c r="E1253" s="5"/>
      <c r="F1253" s="8" t="s">
        <v>2626</v>
      </c>
    </row>
    <row r="1254" spans="1:6" s="8" customFormat="1" x14ac:dyDescent="0.2">
      <c r="A1254" s="200" t="s">
        <v>2666</v>
      </c>
      <c r="B1254" s="200" t="s">
        <v>2989</v>
      </c>
      <c r="C1254" s="200" t="s">
        <v>2990</v>
      </c>
      <c r="D1254" s="200" t="s">
        <v>2991</v>
      </c>
      <c r="E1254" s="5"/>
      <c r="F1254" s="8" t="s">
        <v>2626</v>
      </c>
    </row>
    <row r="1255" spans="1:6" s="8" customFormat="1" x14ac:dyDescent="0.2">
      <c r="A1255" s="200" t="s">
        <v>2666</v>
      </c>
      <c r="B1255" s="200" t="s">
        <v>2992</v>
      </c>
      <c r="C1255" s="200" t="s">
        <v>2993</v>
      </c>
      <c r="D1255" s="200" t="s">
        <v>2994</v>
      </c>
      <c r="E1255" s="5"/>
      <c r="F1255" s="8" t="s">
        <v>2626</v>
      </c>
    </row>
    <row r="1256" spans="1:6" s="8" customFormat="1" x14ac:dyDescent="0.2">
      <c r="A1256" s="200" t="s">
        <v>2666</v>
      </c>
      <c r="B1256" s="200" t="s">
        <v>2995</v>
      </c>
      <c r="C1256" s="200" t="s">
        <v>2996</v>
      </c>
      <c r="D1256" s="200" t="s">
        <v>2997</v>
      </c>
      <c r="E1256" s="5"/>
      <c r="F1256" s="8" t="s">
        <v>2626</v>
      </c>
    </row>
    <row r="1257" spans="1:6" s="8" customFormat="1" x14ac:dyDescent="0.2">
      <c r="A1257" s="200" t="s">
        <v>2666</v>
      </c>
      <c r="B1257" s="200" t="s">
        <v>2998</v>
      </c>
      <c r="C1257" s="200" t="s">
        <v>2999</v>
      </c>
      <c r="D1257" s="200" t="s">
        <v>3000</v>
      </c>
      <c r="E1257" s="5"/>
      <c r="F1257" s="8" t="s">
        <v>2626</v>
      </c>
    </row>
    <row r="1258" spans="1:6" s="8" customFormat="1" x14ac:dyDescent="0.2">
      <c r="A1258" s="200" t="s">
        <v>2666</v>
      </c>
      <c r="B1258" s="200" t="s">
        <v>3001</v>
      </c>
      <c r="C1258" s="200" t="s">
        <v>3002</v>
      </c>
      <c r="D1258" s="200" t="s">
        <v>3003</v>
      </c>
      <c r="E1258" s="5"/>
      <c r="F1258" s="8" t="s">
        <v>2626</v>
      </c>
    </row>
    <row r="1259" spans="1:6" s="8" customFormat="1" x14ac:dyDescent="0.2">
      <c r="A1259" s="200" t="s">
        <v>2666</v>
      </c>
      <c r="B1259" s="200" t="s">
        <v>3004</v>
      </c>
      <c r="C1259" s="200" t="s">
        <v>3005</v>
      </c>
      <c r="D1259" s="200" t="s">
        <v>3006</v>
      </c>
      <c r="E1259" s="5"/>
      <c r="F1259" s="8" t="s">
        <v>2626</v>
      </c>
    </row>
    <row r="1260" spans="1:6" s="8" customFormat="1" x14ac:dyDescent="0.2">
      <c r="A1260" s="200" t="s">
        <v>2666</v>
      </c>
      <c r="B1260" s="200" t="s">
        <v>3007</v>
      </c>
      <c r="C1260" s="200" t="s">
        <v>3008</v>
      </c>
      <c r="D1260" s="200" t="s">
        <v>3009</v>
      </c>
      <c r="E1260" s="5"/>
      <c r="F1260" s="8" t="s">
        <v>2626</v>
      </c>
    </row>
    <row r="1261" spans="1:6" s="8" customFormat="1" x14ac:dyDescent="0.2">
      <c r="A1261" s="200" t="s">
        <v>2666</v>
      </c>
      <c r="B1261" s="200" t="s">
        <v>3010</v>
      </c>
      <c r="C1261" s="200" t="s">
        <v>3011</v>
      </c>
      <c r="D1261" s="200" t="s">
        <v>3012</v>
      </c>
      <c r="E1261" s="5"/>
      <c r="F1261" s="8" t="s">
        <v>2626</v>
      </c>
    </row>
    <row r="1262" spans="1:6" s="8" customFormat="1" x14ac:dyDescent="0.2">
      <c r="A1262" s="200" t="s">
        <v>2666</v>
      </c>
      <c r="B1262" s="200" t="s">
        <v>3013</v>
      </c>
      <c r="C1262" s="200" t="s">
        <v>3014</v>
      </c>
      <c r="D1262" s="200" t="s">
        <v>3015</v>
      </c>
      <c r="E1262" s="5"/>
      <c r="F1262" s="8" t="s">
        <v>2626</v>
      </c>
    </row>
    <row r="1263" spans="1:6" s="8" customFormat="1" x14ac:dyDescent="0.2">
      <c r="A1263" s="200" t="s">
        <v>2666</v>
      </c>
      <c r="B1263" s="200" t="s">
        <v>3016</v>
      </c>
      <c r="C1263" s="200" t="s">
        <v>3017</v>
      </c>
      <c r="D1263" s="200" t="s">
        <v>3018</v>
      </c>
      <c r="E1263" s="5"/>
      <c r="F1263" s="8" t="s">
        <v>2626</v>
      </c>
    </row>
    <row r="1264" spans="1:6" s="8" customFormat="1" x14ac:dyDescent="0.2">
      <c r="A1264" s="200" t="s">
        <v>2666</v>
      </c>
      <c r="B1264" s="200" t="s">
        <v>3019</v>
      </c>
      <c r="C1264" s="200" t="s">
        <v>3020</v>
      </c>
      <c r="D1264" s="200" t="s">
        <v>3021</v>
      </c>
      <c r="E1264" s="5"/>
      <c r="F1264" s="8" t="s">
        <v>2626</v>
      </c>
    </row>
    <row r="1265" spans="1:6" s="8" customFormat="1" x14ac:dyDescent="0.2">
      <c r="A1265" s="200" t="s">
        <v>2666</v>
      </c>
      <c r="B1265" s="200" t="s">
        <v>3022</v>
      </c>
      <c r="C1265" s="200" t="s">
        <v>3023</v>
      </c>
      <c r="D1265" s="200" t="s">
        <v>3024</v>
      </c>
      <c r="E1265" s="5"/>
      <c r="F1265" s="8" t="s">
        <v>2629</v>
      </c>
    </row>
    <row r="1266" spans="1:6" s="8" customFormat="1" x14ac:dyDescent="0.2">
      <c r="A1266" s="200" t="s">
        <v>2666</v>
      </c>
      <c r="B1266" s="200" t="s">
        <v>3025</v>
      </c>
      <c r="C1266" s="200" t="s">
        <v>2607</v>
      </c>
      <c r="D1266" s="200" t="s">
        <v>2608</v>
      </c>
      <c r="E1266" s="5"/>
      <c r="F1266" s="8" t="s">
        <v>2629</v>
      </c>
    </row>
    <row r="1267" spans="1:6" s="8" customFormat="1" x14ac:dyDescent="0.2">
      <c r="A1267" s="200" t="s">
        <v>2666</v>
      </c>
      <c r="B1267" s="200" t="s">
        <v>3026</v>
      </c>
      <c r="C1267" s="200" t="s">
        <v>3027</v>
      </c>
      <c r="D1267" s="200" t="s">
        <v>3028</v>
      </c>
      <c r="E1267" s="5"/>
      <c r="F1267" s="8" t="s">
        <v>2629</v>
      </c>
    </row>
    <row r="1268" spans="1:6" s="8" customFormat="1" x14ac:dyDescent="0.2">
      <c r="A1268" s="200" t="s">
        <v>2666</v>
      </c>
      <c r="B1268" s="200" t="s">
        <v>3029</v>
      </c>
      <c r="C1268" s="200" t="s">
        <v>3030</v>
      </c>
      <c r="D1268" s="200" t="s">
        <v>3031</v>
      </c>
      <c r="E1268" s="5"/>
      <c r="F1268" s="8" t="s">
        <v>2629</v>
      </c>
    </row>
    <row r="1269" spans="1:6" s="8" customFormat="1" x14ac:dyDescent="0.2">
      <c r="A1269" s="200" t="s">
        <v>2666</v>
      </c>
      <c r="B1269" s="200" t="s">
        <v>3032</v>
      </c>
      <c r="C1269" s="200" t="s">
        <v>3033</v>
      </c>
      <c r="D1269" s="200" t="s">
        <v>3034</v>
      </c>
      <c r="E1269" s="5"/>
      <c r="F1269" s="8" t="s">
        <v>2629</v>
      </c>
    </row>
    <row r="1270" spans="1:6" s="8" customFormat="1" x14ac:dyDescent="0.2">
      <c r="A1270" s="200" t="s">
        <v>2666</v>
      </c>
      <c r="B1270" s="200" t="s">
        <v>3035</v>
      </c>
      <c r="C1270" s="200" t="s">
        <v>3036</v>
      </c>
      <c r="D1270" s="200" t="s">
        <v>3037</v>
      </c>
      <c r="E1270" s="5"/>
      <c r="F1270" s="8" t="s">
        <v>2629</v>
      </c>
    </row>
    <row r="1271" spans="1:6" s="8" customFormat="1" x14ac:dyDescent="0.2">
      <c r="A1271" s="200" t="s">
        <v>2666</v>
      </c>
      <c r="B1271" s="200" t="s">
        <v>3038</v>
      </c>
      <c r="C1271" s="200" t="s">
        <v>3039</v>
      </c>
      <c r="D1271" s="200" t="s">
        <v>3040</v>
      </c>
      <c r="E1271" s="5"/>
      <c r="F1271" s="8" t="s">
        <v>2629</v>
      </c>
    </row>
    <row r="1272" spans="1:6" s="8" customFormat="1" x14ac:dyDescent="0.2">
      <c r="A1272" s="200" t="s">
        <v>2666</v>
      </c>
      <c r="B1272" s="200" t="s">
        <v>3041</v>
      </c>
      <c r="C1272" s="200" t="s">
        <v>3042</v>
      </c>
      <c r="D1272" s="200" t="s">
        <v>3043</v>
      </c>
      <c r="E1272" s="5"/>
      <c r="F1272" s="8" t="s">
        <v>2629</v>
      </c>
    </row>
    <row r="1273" spans="1:6" s="8" customFormat="1" x14ac:dyDescent="0.2">
      <c r="A1273" s="200" t="s">
        <v>2666</v>
      </c>
      <c r="B1273" s="200" t="s">
        <v>3044</v>
      </c>
      <c r="C1273" s="200" t="s">
        <v>3045</v>
      </c>
      <c r="D1273" s="200" t="s">
        <v>3046</v>
      </c>
      <c r="E1273" s="5"/>
      <c r="F1273" s="8" t="s">
        <v>2629</v>
      </c>
    </row>
    <row r="1274" spans="1:6" s="8" customFormat="1" x14ac:dyDescent="0.2">
      <c r="A1274" s="200" t="s">
        <v>2666</v>
      </c>
      <c r="B1274" s="200" t="s">
        <v>3047</v>
      </c>
      <c r="C1274" s="200" t="s">
        <v>3048</v>
      </c>
      <c r="D1274" s="200" t="s">
        <v>3049</v>
      </c>
      <c r="E1274" s="5"/>
      <c r="F1274" s="8" t="s">
        <v>2629</v>
      </c>
    </row>
    <row r="1275" spans="1:6" s="8" customFormat="1" x14ac:dyDescent="0.2">
      <c r="A1275" s="200" t="s">
        <v>2666</v>
      </c>
      <c r="B1275" s="200" t="s">
        <v>3050</v>
      </c>
      <c r="C1275" s="200" t="s">
        <v>3051</v>
      </c>
      <c r="D1275" s="200" t="s">
        <v>3052</v>
      </c>
      <c r="E1275" s="5"/>
      <c r="F1275" s="8" t="s">
        <v>2629</v>
      </c>
    </row>
    <row r="1276" spans="1:6" s="8" customFormat="1" x14ac:dyDescent="0.2">
      <c r="A1276" s="200" t="s">
        <v>2666</v>
      </c>
      <c r="B1276" s="200" t="s">
        <v>3053</v>
      </c>
      <c r="C1276" s="200" t="s">
        <v>3054</v>
      </c>
      <c r="D1276" s="200" t="s">
        <v>3055</v>
      </c>
      <c r="E1276" s="5"/>
      <c r="F1276" s="8" t="s">
        <v>2629</v>
      </c>
    </row>
    <row r="1277" spans="1:6" s="8" customFormat="1" x14ac:dyDescent="0.2">
      <c r="A1277" s="200" t="s">
        <v>2666</v>
      </c>
      <c r="B1277" s="200" t="s">
        <v>3056</v>
      </c>
      <c r="C1277" s="200" t="s">
        <v>3057</v>
      </c>
      <c r="D1277" s="200" t="s">
        <v>3058</v>
      </c>
      <c r="E1277" s="5"/>
      <c r="F1277" s="8" t="s">
        <v>2629</v>
      </c>
    </row>
    <row r="1278" spans="1:6" s="8" customFormat="1" x14ac:dyDescent="0.2">
      <c r="A1278" s="200" t="s">
        <v>2666</v>
      </c>
      <c r="B1278" s="200" t="s">
        <v>3059</v>
      </c>
      <c r="C1278" s="200" t="s">
        <v>3060</v>
      </c>
      <c r="D1278" s="200" t="s">
        <v>3061</v>
      </c>
      <c r="E1278" s="5"/>
      <c r="F1278" s="8" t="s">
        <v>2629</v>
      </c>
    </row>
    <row r="1279" spans="1:6" s="8" customFormat="1" x14ac:dyDescent="0.2">
      <c r="A1279" s="200" t="s">
        <v>2666</v>
      </c>
      <c r="B1279" s="200" t="s">
        <v>3062</v>
      </c>
      <c r="C1279" s="200" t="s">
        <v>3063</v>
      </c>
      <c r="D1279" s="200" t="s">
        <v>3064</v>
      </c>
      <c r="E1279" s="5"/>
      <c r="F1279" s="8" t="s">
        <v>2629</v>
      </c>
    </row>
    <row r="1280" spans="1:6" s="8" customFormat="1" x14ac:dyDescent="0.2">
      <c r="A1280" s="200" t="s">
        <v>2666</v>
      </c>
      <c r="B1280" s="200" t="s">
        <v>3065</v>
      </c>
      <c r="C1280" s="200" t="s">
        <v>3066</v>
      </c>
      <c r="D1280" s="200" t="s">
        <v>3067</v>
      </c>
      <c r="E1280" s="5"/>
      <c r="F1280" s="8" t="s">
        <v>2629</v>
      </c>
    </row>
    <row r="1281" spans="1:6" s="8" customFormat="1" x14ac:dyDescent="0.2">
      <c r="A1281" s="200" t="s">
        <v>2666</v>
      </c>
      <c r="B1281" s="200" t="s">
        <v>3068</v>
      </c>
      <c r="C1281" s="200" t="s">
        <v>3069</v>
      </c>
      <c r="D1281" s="200" t="s">
        <v>3070</v>
      </c>
      <c r="E1281" s="5"/>
      <c r="F1281" s="8" t="s">
        <v>2629</v>
      </c>
    </row>
    <row r="1282" spans="1:6" s="8" customFormat="1" x14ac:dyDescent="0.2">
      <c r="A1282" s="200" t="s">
        <v>2666</v>
      </c>
      <c r="B1282" s="200" t="s">
        <v>3071</v>
      </c>
      <c r="C1282" s="200" t="s">
        <v>3072</v>
      </c>
      <c r="D1282" s="200" t="s">
        <v>3073</v>
      </c>
      <c r="E1282" s="5"/>
      <c r="F1282" s="8" t="s">
        <v>2629</v>
      </c>
    </row>
    <row r="1283" spans="1:6" s="8" customFormat="1" x14ac:dyDescent="0.2">
      <c r="A1283" s="200" t="s">
        <v>2666</v>
      </c>
      <c r="B1283" s="200" t="s">
        <v>3074</v>
      </c>
      <c r="C1283" s="200" t="s">
        <v>3075</v>
      </c>
      <c r="D1283" s="200" t="s">
        <v>3076</v>
      </c>
      <c r="E1283" s="5"/>
      <c r="F1283" s="8" t="s">
        <v>2629</v>
      </c>
    </row>
    <row r="1284" spans="1:6" s="8" customFormat="1" x14ac:dyDescent="0.2">
      <c r="A1284" s="200" t="s">
        <v>2666</v>
      </c>
      <c r="B1284" s="200" t="s">
        <v>3077</v>
      </c>
      <c r="C1284" s="200" t="s">
        <v>3078</v>
      </c>
      <c r="D1284" s="200" t="s">
        <v>3079</v>
      </c>
      <c r="E1284" s="5"/>
      <c r="F1284" s="8" t="s">
        <v>2629</v>
      </c>
    </row>
    <row r="1285" spans="1:6" s="8" customFormat="1" x14ac:dyDescent="0.2">
      <c r="A1285" s="200" t="s">
        <v>2666</v>
      </c>
      <c r="B1285" s="200" t="s">
        <v>3080</v>
      </c>
      <c r="C1285" s="200" t="s">
        <v>3081</v>
      </c>
      <c r="D1285" s="200" t="s">
        <v>3082</v>
      </c>
      <c r="E1285" s="5"/>
      <c r="F1285" s="8" t="s">
        <v>2629</v>
      </c>
    </row>
    <row r="1286" spans="1:6" s="8" customFormat="1" x14ac:dyDescent="0.2">
      <c r="A1286" s="200" t="s">
        <v>2666</v>
      </c>
      <c r="B1286" s="200" t="s">
        <v>3083</v>
      </c>
      <c r="C1286" s="200" t="s">
        <v>3084</v>
      </c>
      <c r="D1286" s="200" t="s">
        <v>3085</v>
      </c>
      <c r="E1286" s="5"/>
      <c r="F1286" s="8" t="s">
        <v>2629</v>
      </c>
    </row>
    <row r="1287" spans="1:6" s="8" customFormat="1" x14ac:dyDescent="0.2">
      <c r="A1287" s="200" t="s">
        <v>2666</v>
      </c>
      <c r="B1287" s="200" t="s">
        <v>3086</v>
      </c>
      <c r="C1287" s="200" t="s">
        <v>3087</v>
      </c>
      <c r="D1287" s="200" t="s">
        <v>3088</v>
      </c>
      <c r="E1287" s="5"/>
      <c r="F1287" s="8" t="s">
        <v>2629</v>
      </c>
    </row>
    <row r="1288" spans="1:6" s="8" customFormat="1" x14ac:dyDescent="0.2">
      <c r="A1288" s="200" t="s">
        <v>2666</v>
      </c>
      <c r="B1288" s="200" t="s">
        <v>3089</v>
      </c>
      <c r="C1288" s="200" t="s">
        <v>3090</v>
      </c>
      <c r="D1288" s="200" t="s">
        <v>3091</v>
      </c>
      <c r="E1288" s="5"/>
      <c r="F1288" s="8" t="s">
        <v>2629</v>
      </c>
    </row>
    <row r="1289" spans="1:6" s="8" customFormat="1" x14ac:dyDescent="0.2">
      <c r="A1289" s="200" t="s">
        <v>2666</v>
      </c>
      <c r="B1289" s="200" t="s">
        <v>3092</v>
      </c>
      <c r="C1289" s="200" t="s">
        <v>3093</v>
      </c>
      <c r="D1289" s="200" t="s">
        <v>3094</v>
      </c>
      <c r="E1289" s="5"/>
      <c r="F1289" s="8" t="s">
        <v>2629</v>
      </c>
    </row>
    <row r="1290" spans="1:6" s="8" customFormat="1" x14ac:dyDescent="0.2">
      <c r="A1290" s="200" t="s">
        <v>2666</v>
      </c>
      <c r="B1290" s="200" t="s">
        <v>3095</v>
      </c>
      <c r="C1290" s="200" t="s">
        <v>3096</v>
      </c>
      <c r="D1290" s="200" t="s">
        <v>3097</v>
      </c>
      <c r="E1290" s="5"/>
      <c r="F1290" s="8" t="s">
        <v>2629</v>
      </c>
    </row>
    <row r="1291" spans="1:6" s="8" customFormat="1" x14ac:dyDescent="0.2">
      <c r="A1291" s="200" t="s">
        <v>2666</v>
      </c>
      <c r="B1291" s="200" t="s">
        <v>3098</v>
      </c>
      <c r="C1291" s="200" t="s">
        <v>3099</v>
      </c>
      <c r="D1291" s="200" t="s">
        <v>3100</v>
      </c>
      <c r="E1291" s="5"/>
      <c r="F1291" s="8" t="s">
        <v>2629</v>
      </c>
    </row>
    <row r="1292" spans="1:6" s="8" customFormat="1" x14ac:dyDescent="0.2">
      <c r="A1292" s="200" t="s">
        <v>2666</v>
      </c>
      <c r="B1292" s="200" t="s">
        <v>3101</v>
      </c>
      <c r="C1292" s="200" t="s">
        <v>3102</v>
      </c>
      <c r="D1292" s="200" t="s">
        <v>3103</v>
      </c>
      <c r="E1292" s="5"/>
      <c r="F1292" s="8" t="s">
        <v>2629</v>
      </c>
    </row>
    <row r="1293" spans="1:6" s="8" customFormat="1" x14ac:dyDescent="0.2">
      <c r="A1293" s="200" t="s">
        <v>2666</v>
      </c>
      <c r="B1293" s="200" t="s">
        <v>3104</v>
      </c>
      <c r="C1293" s="200" t="s">
        <v>3105</v>
      </c>
      <c r="D1293" s="200" t="s">
        <v>3106</v>
      </c>
      <c r="E1293" s="5"/>
      <c r="F1293" s="8" t="s">
        <v>2629</v>
      </c>
    </row>
    <row r="1294" spans="1:6" s="8" customFormat="1" x14ac:dyDescent="0.2">
      <c r="A1294" s="200" t="s">
        <v>2666</v>
      </c>
      <c r="B1294" s="200" t="s">
        <v>3107</v>
      </c>
      <c r="C1294" s="200" t="s">
        <v>3108</v>
      </c>
      <c r="D1294" s="200" t="s">
        <v>3109</v>
      </c>
      <c r="E1294" s="5"/>
      <c r="F1294" s="8" t="s">
        <v>2629</v>
      </c>
    </row>
    <row r="1295" spans="1:6" s="8" customFormat="1" x14ac:dyDescent="0.2">
      <c r="A1295" s="200" t="s">
        <v>2666</v>
      </c>
      <c r="B1295" s="200" t="s">
        <v>3110</v>
      </c>
      <c r="C1295" s="200" t="s">
        <v>3111</v>
      </c>
      <c r="D1295" s="200" t="s">
        <v>3112</v>
      </c>
      <c r="E1295" s="5"/>
      <c r="F1295" s="8" t="s">
        <v>2629</v>
      </c>
    </row>
    <row r="1296" spans="1:6" s="8" customFormat="1" x14ac:dyDescent="0.2">
      <c r="A1296" s="200" t="s">
        <v>2666</v>
      </c>
      <c r="B1296" s="200" t="s">
        <v>3113</v>
      </c>
      <c r="C1296" s="200" t="s">
        <v>3114</v>
      </c>
      <c r="D1296" s="200" t="s">
        <v>3115</v>
      </c>
      <c r="E1296" s="5"/>
      <c r="F1296" s="8" t="s">
        <v>2629</v>
      </c>
    </row>
    <row r="1297" spans="1:6" s="8" customFormat="1" x14ac:dyDescent="0.2">
      <c r="A1297" s="200" t="s">
        <v>2666</v>
      </c>
      <c r="B1297" s="200" t="s">
        <v>3116</v>
      </c>
      <c r="C1297" s="200" t="s">
        <v>3117</v>
      </c>
      <c r="D1297" s="200" t="s">
        <v>3118</v>
      </c>
      <c r="E1297" s="5"/>
      <c r="F1297" s="8" t="s">
        <v>2629</v>
      </c>
    </row>
    <row r="1298" spans="1:6" s="8" customFormat="1" x14ac:dyDescent="0.2">
      <c r="A1298" s="200" t="s">
        <v>2666</v>
      </c>
      <c r="B1298" s="200" t="s">
        <v>3119</v>
      </c>
      <c r="C1298" s="200" t="s">
        <v>3120</v>
      </c>
      <c r="D1298" s="200" t="s">
        <v>3121</v>
      </c>
      <c r="E1298" s="5"/>
      <c r="F1298" s="8" t="s">
        <v>2629</v>
      </c>
    </row>
    <row r="1299" spans="1:6" s="8" customFormat="1" x14ac:dyDescent="0.2">
      <c r="A1299" s="200" t="s">
        <v>2666</v>
      </c>
      <c r="B1299" s="200" t="s">
        <v>3122</v>
      </c>
      <c r="C1299" s="200" t="s">
        <v>3123</v>
      </c>
      <c r="D1299" s="200" t="s">
        <v>3124</v>
      </c>
      <c r="E1299" s="5"/>
      <c r="F1299" s="8" t="s">
        <v>2629</v>
      </c>
    </row>
    <row r="1300" spans="1:6" s="8" customFormat="1" x14ac:dyDescent="0.2">
      <c r="A1300" s="200" t="s">
        <v>2666</v>
      </c>
      <c r="B1300" s="200" t="s">
        <v>3125</v>
      </c>
      <c r="C1300" s="200" t="s">
        <v>3126</v>
      </c>
      <c r="D1300" s="200" t="s">
        <v>3127</v>
      </c>
      <c r="E1300" s="5"/>
      <c r="F1300" s="8" t="s">
        <v>2629</v>
      </c>
    </row>
    <row r="1301" spans="1:6" s="8" customFormat="1" x14ac:dyDescent="0.2">
      <c r="A1301" s="200" t="s">
        <v>2666</v>
      </c>
      <c r="B1301" s="200" t="s">
        <v>3128</v>
      </c>
      <c r="C1301" s="200" t="s">
        <v>3129</v>
      </c>
      <c r="D1301" s="200" t="s">
        <v>3130</v>
      </c>
      <c r="E1301" s="5"/>
      <c r="F1301" s="8" t="s">
        <v>2629</v>
      </c>
    </row>
    <row r="1302" spans="1:6" s="8" customFormat="1" x14ac:dyDescent="0.2">
      <c r="A1302" s="200" t="s">
        <v>2666</v>
      </c>
      <c r="B1302" s="200" t="s">
        <v>3131</v>
      </c>
      <c r="C1302" s="200" t="s">
        <v>3132</v>
      </c>
      <c r="D1302" s="200" t="s">
        <v>3133</v>
      </c>
      <c r="E1302" s="5"/>
      <c r="F1302" s="8" t="s">
        <v>2629</v>
      </c>
    </row>
    <row r="1303" spans="1:6" s="8" customFormat="1" x14ac:dyDescent="0.2">
      <c r="A1303" s="200" t="s">
        <v>2666</v>
      </c>
      <c r="B1303" s="200" t="s">
        <v>3134</v>
      </c>
      <c r="C1303" s="200" t="s">
        <v>3135</v>
      </c>
      <c r="D1303" s="200" t="s">
        <v>3136</v>
      </c>
      <c r="E1303" s="5"/>
      <c r="F1303" s="8" t="s">
        <v>2629</v>
      </c>
    </row>
    <row r="1304" spans="1:6" s="8" customFormat="1" x14ac:dyDescent="0.2">
      <c r="A1304" s="200" t="s">
        <v>2666</v>
      </c>
      <c r="B1304" s="200" t="s">
        <v>3137</v>
      </c>
      <c r="C1304" s="200" t="s">
        <v>3138</v>
      </c>
      <c r="D1304" s="200" t="s">
        <v>3139</v>
      </c>
      <c r="E1304" s="5"/>
      <c r="F1304" s="8" t="s">
        <v>2629</v>
      </c>
    </row>
    <row r="1305" spans="1:6" s="8" customFormat="1" x14ac:dyDescent="0.2">
      <c r="A1305" s="200" t="s">
        <v>2666</v>
      </c>
      <c r="B1305" s="200" t="s">
        <v>3140</v>
      </c>
      <c r="C1305" s="200" t="s">
        <v>3141</v>
      </c>
      <c r="D1305" s="200" t="s">
        <v>3142</v>
      </c>
      <c r="E1305" s="5"/>
      <c r="F1305" s="8" t="s">
        <v>2629</v>
      </c>
    </row>
    <row r="1306" spans="1:6" s="8" customFormat="1" x14ac:dyDescent="0.2">
      <c r="A1306" s="200" t="s">
        <v>2666</v>
      </c>
      <c r="B1306" s="200" t="s">
        <v>3143</v>
      </c>
      <c r="C1306" s="200" t="s">
        <v>3144</v>
      </c>
      <c r="D1306" s="200" t="s">
        <v>3145</v>
      </c>
      <c r="E1306" s="5"/>
      <c r="F1306" s="8" t="s">
        <v>2629</v>
      </c>
    </row>
    <row r="1307" spans="1:6" s="8" customFormat="1" x14ac:dyDescent="0.2">
      <c r="A1307" s="200" t="s">
        <v>2666</v>
      </c>
      <c r="B1307" s="200" t="s">
        <v>3146</v>
      </c>
      <c r="C1307" s="200" t="s">
        <v>3147</v>
      </c>
      <c r="D1307" s="200" t="s">
        <v>3148</v>
      </c>
      <c r="E1307" s="5"/>
      <c r="F1307" s="8" t="s">
        <v>2629</v>
      </c>
    </row>
    <row r="1308" spans="1:6" s="8" customFormat="1" x14ac:dyDescent="0.2">
      <c r="A1308" s="200" t="s">
        <v>2666</v>
      </c>
      <c r="B1308" s="200" t="s">
        <v>3149</v>
      </c>
      <c r="C1308" s="200" t="s">
        <v>3150</v>
      </c>
      <c r="D1308" s="200" t="s">
        <v>3151</v>
      </c>
      <c r="E1308" s="5"/>
      <c r="F1308" s="8" t="s">
        <v>2629</v>
      </c>
    </row>
    <row r="1309" spans="1:6" s="8" customFormat="1" x14ac:dyDescent="0.2">
      <c r="A1309" s="200" t="s">
        <v>2666</v>
      </c>
      <c r="B1309" s="200" t="s">
        <v>3152</v>
      </c>
      <c r="C1309" s="200" t="s">
        <v>3153</v>
      </c>
      <c r="D1309" s="200" t="s">
        <v>3154</v>
      </c>
      <c r="E1309" s="5"/>
      <c r="F1309" s="8" t="s">
        <v>2629</v>
      </c>
    </row>
    <row r="1310" spans="1:6" s="8" customFormat="1" x14ac:dyDescent="0.2">
      <c r="A1310" s="200" t="s">
        <v>2666</v>
      </c>
      <c r="B1310" s="200" t="s">
        <v>3155</v>
      </c>
      <c r="C1310" s="200" t="s">
        <v>3156</v>
      </c>
      <c r="D1310" s="200" t="s">
        <v>3157</v>
      </c>
      <c r="E1310" s="5"/>
      <c r="F1310" s="8" t="s">
        <v>2629</v>
      </c>
    </row>
    <row r="1311" spans="1:6" s="8" customFormat="1" x14ac:dyDescent="0.2">
      <c r="A1311" s="200" t="s">
        <v>2666</v>
      </c>
      <c r="B1311" s="200" t="s">
        <v>3158</v>
      </c>
      <c r="C1311" s="200" t="s">
        <v>3159</v>
      </c>
      <c r="D1311" s="200" t="s">
        <v>3160</v>
      </c>
      <c r="E1311" s="5"/>
      <c r="F1311" s="8" t="s">
        <v>2629</v>
      </c>
    </row>
    <row r="1312" spans="1:6" s="8" customFormat="1" x14ac:dyDescent="0.2">
      <c r="A1312" s="200" t="s">
        <v>2666</v>
      </c>
      <c r="B1312" s="200" t="s">
        <v>3161</v>
      </c>
      <c r="C1312" s="200" t="s">
        <v>3162</v>
      </c>
      <c r="D1312" s="200" t="s">
        <v>3163</v>
      </c>
      <c r="E1312" s="5"/>
      <c r="F1312" s="8" t="s">
        <v>2629</v>
      </c>
    </row>
    <row r="1313" spans="1:6" s="8" customFormat="1" x14ac:dyDescent="0.2">
      <c r="A1313" s="200" t="s">
        <v>2666</v>
      </c>
      <c r="B1313" s="200" t="s">
        <v>3164</v>
      </c>
      <c r="C1313" s="200" t="s">
        <v>3165</v>
      </c>
      <c r="D1313" s="200" t="s">
        <v>3166</v>
      </c>
      <c r="E1313" s="5"/>
      <c r="F1313" s="8" t="s">
        <v>2631</v>
      </c>
    </row>
    <row r="1314" spans="1:6" s="8" customFormat="1" x14ac:dyDescent="0.2">
      <c r="A1314" s="200" t="s">
        <v>2666</v>
      </c>
      <c r="B1314" s="200" t="s">
        <v>3167</v>
      </c>
      <c r="C1314" s="200" t="s">
        <v>3168</v>
      </c>
      <c r="D1314" s="200" t="s">
        <v>3169</v>
      </c>
      <c r="E1314" s="5"/>
      <c r="F1314" s="8" t="s">
        <v>2631</v>
      </c>
    </row>
    <row r="1315" spans="1:6" s="8" customFormat="1" x14ac:dyDescent="0.2">
      <c r="A1315" s="200" t="s">
        <v>2666</v>
      </c>
      <c r="B1315" s="200" t="s">
        <v>3170</v>
      </c>
      <c r="C1315" s="200" t="s">
        <v>3171</v>
      </c>
      <c r="D1315" s="200" t="s">
        <v>3172</v>
      </c>
      <c r="E1315" s="5"/>
      <c r="F1315" s="8" t="s">
        <v>2631</v>
      </c>
    </row>
    <row r="1316" spans="1:6" s="8" customFormat="1" x14ac:dyDescent="0.2">
      <c r="A1316" s="200" t="s">
        <v>2666</v>
      </c>
      <c r="B1316" s="200" t="s">
        <v>3173</v>
      </c>
      <c r="C1316" s="200" t="s">
        <v>3174</v>
      </c>
      <c r="D1316" s="200" t="s">
        <v>3175</v>
      </c>
      <c r="E1316" s="5"/>
      <c r="F1316" s="8" t="s">
        <v>2631</v>
      </c>
    </row>
    <row r="1317" spans="1:6" s="8" customFormat="1" x14ac:dyDescent="0.2">
      <c r="A1317" s="200" t="s">
        <v>2666</v>
      </c>
      <c r="B1317" s="200" t="s">
        <v>3176</v>
      </c>
      <c r="C1317" s="200" t="s">
        <v>3177</v>
      </c>
      <c r="D1317" s="200" t="s">
        <v>3178</v>
      </c>
      <c r="E1317" s="5"/>
      <c r="F1317" s="8" t="s">
        <v>2631</v>
      </c>
    </row>
    <row r="1318" spans="1:6" s="8" customFormat="1" x14ac:dyDescent="0.2">
      <c r="A1318" s="200" t="s">
        <v>2666</v>
      </c>
      <c r="B1318" s="200" t="s">
        <v>3179</v>
      </c>
      <c r="C1318" s="200" t="s">
        <v>3180</v>
      </c>
      <c r="D1318" s="200" t="s">
        <v>3181</v>
      </c>
      <c r="E1318" s="5"/>
      <c r="F1318" s="8" t="s">
        <v>2631</v>
      </c>
    </row>
    <row r="1319" spans="1:6" s="8" customFormat="1" x14ac:dyDescent="0.2">
      <c r="A1319" s="200" t="s">
        <v>2666</v>
      </c>
      <c r="B1319" s="200" t="s">
        <v>3182</v>
      </c>
      <c r="C1319" s="200" t="s">
        <v>2632</v>
      </c>
      <c r="D1319" s="200" t="s">
        <v>2633</v>
      </c>
      <c r="E1319" s="5"/>
      <c r="F1319" s="8" t="s">
        <v>2631</v>
      </c>
    </row>
    <row r="1320" spans="1:6" s="8" customFormat="1" x14ac:dyDescent="0.2">
      <c r="A1320" s="200" t="s">
        <v>2666</v>
      </c>
      <c r="B1320" s="200" t="s">
        <v>3183</v>
      </c>
      <c r="C1320" s="200" t="s">
        <v>3184</v>
      </c>
      <c r="D1320" s="200" t="s">
        <v>3185</v>
      </c>
      <c r="E1320" s="5"/>
      <c r="F1320" s="8" t="s">
        <v>2631</v>
      </c>
    </row>
    <row r="1321" spans="1:6" s="8" customFormat="1" x14ac:dyDescent="0.2">
      <c r="A1321" s="200" t="s">
        <v>2666</v>
      </c>
      <c r="B1321" s="200" t="s">
        <v>3186</v>
      </c>
      <c r="C1321" s="200" t="s">
        <v>3187</v>
      </c>
      <c r="D1321" s="200" t="s">
        <v>3188</v>
      </c>
      <c r="E1321" s="5"/>
      <c r="F1321" s="8" t="s">
        <v>2631</v>
      </c>
    </row>
    <row r="1322" spans="1:6" s="8" customFormat="1" x14ac:dyDescent="0.2">
      <c r="A1322" s="200" t="s">
        <v>2666</v>
      </c>
      <c r="B1322" s="200" t="s">
        <v>3189</v>
      </c>
      <c r="C1322" s="200" t="s">
        <v>3190</v>
      </c>
      <c r="D1322" s="200" t="s">
        <v>3191</v>
      </c>
      <c r="E1322" s="5"/>
      <c r="F1322" s="8" t="s">
        <v>2631</v>
      </c>
    </row>
    <row r="1323" spans="1:6" s="8" customFormat="1" x14ac:dyDescent="0.2">
      <c r="A1323" s="200" t="s">
        <v>2666</v>
      </c>
      <c r="B1323" s="200" t="s">
        <v>3192</v>
      </c>
      <c r="C1323" s="200" t="s">
        <v>3193</v>
      </c>
      <c r="D1323" s="200" t="s">
        <v>3194</v>
      </c>
      <c r="E1323" s="5"/>
      <c r="F1323" s="8" t="s">
        <v>2631</v>
      </c>
    </row>
    <row r="1324" spans="1:6" s="8" customFormat="1" x14ac:dyDescent="0.2">
      <c r="A1324" s="200" t="s">
        <v>2666</v>
      </c>
      <c r="B1324" s="200" t="s">
        <v>3195</v>
      </c>
      <c r="C1324" s="200" t="s">
        <v>3196</v>
      </c>
      <c r="D1324" s="200" t="s">
        <v>3197</v>
      </c>
      <c r="E1324" s="5"/>
      <c r="F1324" s="8" t="s">
        <v>2631</v>
      </c>
    </row>
    <row r="1325" spans="1:6" s="8" customFormat="1" x14ac:dyDescent="0.2">
      <c r="A1325" s="200" t="s">
        <v>2666</v>
      </c>
      <c r="B1325" s="200" t="s">
        <v>3198</v>
      </c>
      <c r="C1325" s="200" t="s">
        <v>3199</v>
      </c>
      <c r="D1325" s="200" t="s">
        <v>3200</v>
      </c>
      <c r="E1325" s="5"/>
      <c r="F1325" s="8" t="s">
        <v>2631</v>
      </c>
    </row>
    <row r="1326" spans="1:6" s="8" customFormat="1" x14ac:dyDescent="0.2">
      <c r="A1326" s="200" t="s">
        <v>2666</v>
      </c>
      <c r="B1326" s="200" t="s">
        <v>3201</v>
      </c>
      <c r="C1326" s="200" t="s">
        <v>3202</v>
      </c>
      <c r="D1326" s="200" t="s">
        <v>3203</v>
      </c>
      <c r="E1326" s="5"/>
      <c r="F1326" s="8" t="s">
        <v>2631</v>
      </c>
    </row>
    <row r="1327" spans="1:6" s="8" customFormat="1" x14ac:dyDescent="0.2">
      <c r="A1327" s="200" t="s">
        <v>2666</v>
      </c>
      <c r="B1327" s="200" t="s">
        <v>3204</v>
      </c>
      <c r="C1327" s="200" t="s">
        <v>3205</v>
      </c>
      <c r="D1327" s="200" t="s">
        <v>3206</v>
      </c>
      <c r="E1327" s="5"/>
      <c r="F1327" s="8" t="s">
        <v>2631</v>
      </c>
    </row>
    <row r="1328" spans="1:6" s="8" customFormat="1" x14ac:dyDescent="0.2">
      <c r="A1328" s="200" t="s">
        <v>2666</v>
      </c>
      <c r="B1328" s="200" t="s">
        <v>3207</v>
      </c>
      <c r="C1328" s="200" t="s">
        <v>3208</v>
      </c>
      <c r="D1328" s="200" t="s">
        <v>3209</v>
      </c>
      <c r="E1328" s="5"/>
      <c r="F1328" s="8" t="s">
        <v>2631</v>
      </c>
    </row>
    <row r="1329" spans="1:6" s="8" customFormat="1" x14ac:dyDescent="0.2">
      <c r="A1329" s="200" t="s">
        <v>2666</v>
      </c>
      <c r="B1329" s="200" t="s">
        <v>3210</v>
      </c>
      <c r="C1329" s="200" t="s">
        <v>3211</v>
      </c>
      <c r="D1329" s="200" t="s">
        <v>3212</v>
      </c>
      <c r="E1329" s="5"/>
      <c r="F1329" s="8" t="s">
        <v>2631</v>
      </c>
    </row>
    <row r="1330" spans="1:6" s="8" customFormat="1" x14ac:dyDescent="0.2">
      <c r="A1330" s="200" t="s">
        <v>2666</v>
      </c>
      <c r="B1330" s="200" t="s">
        <v>3213</v>
      </c>
      <c r="C1330" s="200" t="s">
        <v>3214</v>
      </c>
      <c r="D1330" s="200" t="s">
        <v>3215</v>
      </c>
      <c r="E1330" s="5"/>
      <c r="F1330" s="8" t="s">
        <v>2631</v>
      </c>
    </row>
    <row r="1331" spans="1:6" s="8" customFormat="1" x14ac:dyDescent="0.2">
      <c r="A1331" s="200" t="s">
        <v>2666</v>
      </c>
      <c r="B1331" s="200" t="s">
        <v>3216</v>
      </c>
      <c r="C1331" s="200" t="s">
        <v>3217</v>
      </c>
      <c r="D1331" s="200" t="s">
        <v>3218</v>
      </c>
      <c r="E1331" s="5"/>
      <c r="F1331" s="8" t="s">
        <v>2631</v>
      </c>
    </row>
    <row r="1332" spans="1:6" s="8" customFormat="1" x14ac:dyDescent="0.2">
      <c r="A1332" s="200" t="s">
        <v>2666</v>
      </c>
      <c r="B1332" s="200" t="s">
        <v>3219</v>
      </c>
      <c r="C1332" s="200" t="s">
        <v>3220</v>
      </c>
      <c r="D1332" s="200" t="s">
        <v>3221</v>
      </c>
      <c r="E1332" s="5"/>
      <c r="F1332" s="8" t="s">
        <v>2631</v>
      </c>
    </row>
    <row r="1333" spans="1:6" s="8" customFormat="1" x14ac:dyDescent="0.2">
      <c r="A1333" s="200" t="s">
        <v>2666</v>
      </c>
      <c r="B1333" s="200" t="s">
        <v>3222</v>
      </c>
      <c r="C1333" s="200" t="s">
        <v>3223</v>
      </c>
      <c r="D1333" s="200" t="s">
        <v>3224</v>
      </c>
      <c r="E1333" s="5"/>
      <c r="F1333" s="8" t="s">
        <v>2631</v>
      </c>
    </row>
    <row r="1334" spans="1:6" s="8" customFormat="1" x14ac:dyDescent="0.2">
      <c r="A1334" s="200" t="s">
        <v>2666</v>
      </c>
      <c r="B1334" s="200" t="s">
        <v>3225</v>
      </c>
      <c r="C1334" s="200" t="s">
        <v>3226</v>
      </c>
      <c r="D1334" s="200" t="s">
        <v>3227</v>
      </c>
      <c r="E1334" s="5"/>
      <c r="F1334" s="8" t="s">
        <v>2631</v>
      </c>
    </row>
    <row r="1335" spans="1:6" s="8" customFormat="1" x14ac:dyDescent="0.2">
      <c r="A1335" s="200" t="s">
        <v>2666</v>
      </c>
      <c r="B1335" s="200" t="s">
        <v>3228</v>
      </c>
      <c r="C1335" s="200" t="s">
        <v>3229</v>
      </c>
      <c r="D1335" s="200" t="s">
        <v>3230</v>
      </c>
      <c r="E1335" s="5"/>
      <c r="F1335" s="8" t="s">
        <v>2631</v>
      </c>
    </row>
    <row r="1336" spans="1:6" s="8" customFormat="1" x14ac:dyDescent="0.2">
      <c r="A1336" s="200" t="s">
        <v>2666</v>
      </c>
      <c r="B1336" s="200" t="s">
        <v>3231</v>
      </c>
      <c r="C1336" s="200" t="s">
        <v>3232</v>
      </c>
      <c r="D1336" s="200" t="s">
        <v>3233</v>
      </c>
      <c r="E1336" s="5"/>
      <c r="F1336" s="8" t="s">
        <v>2631</v>
      </c>
    </row>
    <row r="1337" spans="1:6" s="8" customFormat="1" x14ac:dyDescent="0.2">
      <c r="A1337" s="200" t="s">
        <v>2666</v>
      </c>
      <c r="B1337" s="200" t="s">
        <v>3234</v>
      </c>
      <c r="C1337" s="200" t="s">
        <v>3235</v>
      </c>
      <c r="D1337" s="200" t="s">
        <v>3236</v>
      </c>
      <c r="E1337" s="5"/>
      <c r="F1337" s="8" t="s">
        <v>2631</v>
      </c>
    </row>
    <row r="1338" spans="1:6" s="8" customFormat="1" x14ac:dyDescent="0.2">
      <c r="A1338" s="200" t="s">
        <v>2666</v>
      </c>
      <c r="B1338" s="200" t="s">
        <v>3237</v>
      </c>
      <c r="C1338" s="200" t="s">
        <v>3238</v>
      </c>
      <c r="D1338" s="200" t="s">
        <v>3239</v>
      </c>
      <c r="E1338" s="5"/>
      <c r="F1338" s="8" t="s">
        <v>2631</v>
      </c>
    </row>
    <row r="1339" spans="1:6" s="8" customFormat="1" x14ac:dyDescent="0.2">
      <c r="A1339" s="200" t="s">
        <v>2666</v>
      </c>
      <c r="B1339" s="200" t="s">
        <v>3240</v>
      </c>
      <c r="C1339" s="200" t="s">
        <v>3241</v>
      </c>
      <c r="D1339" s="200" t="s">
        <v>3242</v>
      </c>
      <c r="E1339" s="5"/>
      <c r="F1339" s="8" t="s">
        <v>2631</v>
      </c>
    </row>
    <row r="1340" spans="1:6" s="8" customFormat="1" x14ac:dyDescent="0.2">
      <c r="A1340" s="200" t="s">
        <v>2666</v>
      </c>
      <c r="B1340" s="200" t="s">
        <v>3243</v>
      </c>
      <c r="C1340" s="200" t="s">
        <v>3244</v>
      </c>
      <c r="D1340" s="200" t="s">
        <v>3245</v>
      </c>
      <c r="E1340" s="5"/>
      <c r="F1340" s="8" t="s">
        <v>2631</v>
      </c>
    </row>
    <row r="1341" spans="1:6" s="8" customFormat="1" x14ac:dyDescent="0.2">
      <c r="A1341" s="200" t="s">
        <v>2666</v>
      </c>
      <c r="B1341" s="200" t="s">
        <v>3246</v>
      </c>
      <c r="C1341" s="200" t="s">
        <v>3247</v>
      </c>
      <c r="D1341" s="200" t="s">
        <v>3248</v>
      </c>
      <c r="E1341" s="5"/>
      <c r="F1341" s="8" t="s">
        <v>2631</v>
      </c>
    </row>
    <row r="1342" spans="1:6" s="8" customFormat="1" x14ac:dyDescent="0.2">
      <c r="A1342" s="200" t="s">
        <v>2666</v>
      </c>
      <c r="B1342" s="200" t="s">
        <v>3249</v>
      </c>
      <c r="C1342" s="200" t="s">
        <v>3250</v>
      </c>
      <c r="D1342" s="200" t="s">
        <v>3251</v>
      </c>
      <c r="E1342" s="5"/>
      <c r="F1342" s="8" t="s">
        <v>2631</v>
      </c>
    </row>
    <row r="1343" spans="1:6" s="8" customFormat="1" x14ac:dyDescent="0.2">
      <c r="A1343" s="200" t="s">
        <v>2666</v>
      </c>
      <c r="B1343" s="200" t="s">
        <v>3252</v>
      </c>
      <c r="C1343" s="200" t="s">
        <v>3253</v>
      </c>
      <c r="D1343" s="200" t="s">
        <v>3254</v>
      </c>
      <c r="E1343" s="5"/>
      <c r="F1343" s="8" t="s">
        <v>2631</v>
      </c>
    </row>
    <row r="1344" spans="1:6" s="8" customFormat="1" x14ac:dyDescent="0.2">
      <c r="A1344" s="200" t="s">
        <v>2666</v>
      </c>
      <c r="B1344" s="200" t="s">
        <v>3255</v>
      </c>
      <c r="C1344" s="200" t="s">
        <v>3256</v>
      </c>
      <c r="D1344" s="200" t="s">
        <v>3257</v>
      </c>
      <c r="E1344" s="5"/>
      <c r="F1344" s="8" t="s">
        <v>2631</v>
      </c>
    </row>
    <row r="1345" spans="1:6" s="8" customFormat="1" x14ac:dyDescent="0.2">
      <c r="A1345" s="200" t="s">
        <v>2666</v>
      </c>
      <c r="B1345" s="200" t="s">
        <v>3258</v>
      </c>
      <c r="C1345" s="200" t="s">
        <v>3259</v>
      </c>
      <c r="D1345" s="200" t="s">
        <v>3260</v>
      </c>
      <c r="E1345" s="5"/>
      <c r="F1345" s="8" t="s">
        <v>2631</v>
      </c>
    </row>
    <row r="1346" spans="1:6" s="8" customFormat="1" x14ac:dyDescent="0.2">
      <c r="A1346" s="200" t="s">
        <v>2666</v>
      </c>
      <c r="B1346" s="200" t="s">
        <v>3261</v>
      </c>
      <c r="C1346" s="200" t="s">
        <v>3262</v>
      </c>
      <c r="D1346" s="200" t="s">
        <v>3263</v>
      </c>
      <c r="E1346" s="5"/>
      <c r="F1346" s="8" t="s">
        <v>2631</v>
      </c>
    </row>
    <row r="1347" spans="1:6" s="8" customFormat="1" x14ac:dyDescent="0.2">
      <c r="A1347" s="200" t="s">
        <v>2666</v>
      </c>
      <c r="B1347" s="200" t="s">
        <v>3264</v>
      </c>
      <c r="C1347" s="200" t="s">
        <v>3265</v>
      </c>
      <c r="D1347" s="200" t="s">
        <v>3266</v>
      </c>
      <c r="E1347" s="5"/>
      <c r="F1347" s="8" t="s">
        <v>2631</v>
      </c>
    </row>
    <row r="1348" spans="1:6" s="8" customFormat="1" x14ac:dyDescent="0.2">
      <c r="A1348" s="200" t="s">
        <v>2666</v>
      </c>
      <c r="B1348" s="200" t="s">
        <v>3267</v>
      </c>
      <c r="C1348" s="200" t="s">
        <v>3268</v>
      </c>
      <c r="D1348" s="200" t="s">
        <v>3269</v>
      </c>
      <c r="E1348" s="5"/>
      <c r="F1348" s="8" t="s">
        <v>2631</v>
      </c>
    </row>
    <row r="1349" spans="1:6" s="8" customFormat="1" x14ac:dyDescent="0.2">
      <c r="A1349" s="200" t="s">
        <v>2666</v>
      </c>
      <c r="B1349" s="200" t="s">
        <v>3270</v>
      </c>
      <c r="C1349" s="200" t="s">
        <v>3271</v>
      </c>
      <c r="D1349" s="200" t="s">
        <v>3272</v>
      </c>
      <c r="E1349" s="5"/>
      <c r="F1349" s="8" t="s">
        <v>2634</v>
      </c>
    </row>
    <row r="1350" spans="1:6" s="8" customFormat="1" x14ac:dyDescent="0.2">
      <c r="A1350" s="200" t="s">
        <v>2666</v>
      </c>
      <c r="B1350" s="200" t="s">
        <v>3273</v>
      </c>
      <c r="C1350" s="200" t="s">
        <v>3274</v>
      </c>
      <c r="D1350" s="200" t="s">
        <v>3275</v>
      </c>
      <c r="E1350" s="5"/>
      <c r="F1350" s="8" t="s">
        <v>2634</v>
      </c>
    </row>
    <row r="1351" spans="1:6" s="8" customFormat="1" x14ac:dyDescent="0.2">
      <c r="A1351" s="200" t="s">
        <v>2666</v>
      </c>
      <c r="B1351" s="200" t="s">
        <v>3276</v>
      </c>
      <c r="C1351" s="200" t="s">
        <v>3277</v>
      </c>
      <c r="D1351" s="200" t="s">
        <v>3278</v>
      </c>
      <c r="E1351" s="5"/>
      <c r="F1351" s="8" t="s">
        <v>2634</v>
      </c>
    </row>
    <row r="1352" spans="1:6" s="8" customFormat="1" x14ac:dyDescent="0.2">
      <c r="A1352" s="200" t="s">
        <v>2666</v>
      </c>
      <c r="B1352" s="200" t="s">
        <v>3279</v>
      </c>
      <c r="C1352" s="200" t="s">
        <v>3280</v>
      </c>
      <c r="D1352" s="200" t="s">
        <v>3281</v>
      </c>
      <c r="E1352" s="5"/>
      <c r="F1352" s="8" t="s">
        <v>2634</v>
      </c>
    </row>
    <row r="1353" spans="1:6" s="8" customFormat="1" x14ac:dyDescent="0.2">
      <c r="A1353" s="200" t="s">
        <v>2666</v>
      </c>
      <c r="B1353" s="200" t="s">
        <v>3282</v>
      </c>
      <c r="C1353" s="200" t="s">
        <v>3283</v>
      </c>
      <c r="D1353" s="200" t="s">
        <v>3284</v>
      </c>
      <c r="E1353" s="5"/>
      <c r="F1353" s="8" t="s">
        <v>2634</v>
      </c>
    </row>
    <row r="1354" spans="1:6" s="8" customFormat="1" x14ac:dyDescent="0.2">
      <c r="A1354" s="200" t="s">
        <v>2666</v>
      </c>
      <c r="B1354" s="200" t="s">
        <v>3285</v>
      </c>
      <c r="C1354" s="200" t="s">
        <v>3286</v>
      </c>
      <c r="D1354" s="200" t="s">
        <v>3287</v>
      </c>
      <c r="E1354" s="5"/>
      <c r="F1354" s="8" t="s">
        <v>2634</v>
      </c>
    </row>
    <row r="1355" spans="1:6" s="8" customFormat="1" x14ac:dyDescent="0.2">
      <c r="A1355" s="200" t="s">
        <v>2666</v>
      </c>
      <c r="B1355" s="200" t="s">
        <v>3288</v>
      </c>
      <c r="C1355" s="200" t="s">
        <v>3289</v>
      </c>
      <c r="D1355" s="200" t="s">
        <v>3290</v>
      </c>
      <c r="E1355" s="5"/>
      <c r="F1355" s="8" t="s">
        <v>2634</v>
      </c>
    </row>
    <row r="1356" spans="1:6" s="8" customFormat="1" x14ac:dyDescent="0.2">
      <c r="A1356" s="200" t="s">
        <v>2666</v>
      </c>
      <c r="B1356" s="200" t="s">
        <v>3291</v>
      </c>
      <c r="C1356" s="200" t="s">
        <v>3292</v>
      </c>
      <c r="D1356" s="200" t="s">
        <v>3293</v>
      </c>
      <c r="E1356" s="5"/>
      <c r="F1356" s="8" t="s">
        <v>2634</v>
      </c>
    </row>
    <row r="1357" spans="1:6" s="8" customFormat="1" x14ac:dyDescent="0.2">
      <c r="A1357" s="200" t="s">
        <v>2666</v>
      </c>
      <c r="B1357" s="200" t="s">
        <v>3294</v>
      </c>
      <c r="C1357" s="200" t="s">
        <v>3295</v>
      </c>
      <c r="D1357" s="200" t="s">
        <v>3296</v>
      </c>
      <c r="E1357" s="5"/>
      <c r="F1357" s="8" t="s">
        <v>2634</v>
      </c>
    </row>
    <row r="1358" spans="1:6" s="8" customFormat="1" x14ac:dyDescent="0.2">
      <c r="A1358" s="200" t="s">
        <v>2666</v>
      </c>
      <c r="B1358" s="200" t="s">
        <v>3297</v>
      </c>
      <c r="C1358" s="200" t="s">
        <v>3298</v>
      </c>
      <c r="D1358" s="200" t="s">
        <v>3299</v>
      </c>
      <c r="E1358" s="5"/>
      <c r="F1358" s="8" t="s">
        <v>2634</v>
      </c>
    </row>
    <row r="1359" spans="1:6" s="8" customFormat="1" x14ac:dyDescent="0.2">
      <c r="A1359" s="200" t="s">
        <v>2666</v>
      </c>
      <c r="B1359" s="200" t="s">
        <v>3300</v>
      </c>
      <c r="C1359" s="200" t="s">
        <v>3301</v>
      </c>
      <c r="D1359" s="200" t="s">
        <v>3302</v>
      </c>
      <c r="E1359" s="5"/>
      <c r="F1359" s="8" t="s">
        <v>2634</v>
      </c>
    </row>
    <row r="1360" spans="1:6" s="8" customFormat="1" x14ac:dyDescent="0.2">
      <c r="A1360" s="200" t="s">
        <v>2666</v>
      </c>
      <c r="B1360" s="200" t="s">
        <v>3303</v>
      </c>
      <c r="C1360" s="200" t="s">
        <v>3304</v>
      </c>
      <c r="D1360" s="200" t="s">
        <v>3305</v>
      </c>
      <c r="E1360" s="5"/>
      <c r="F1360" s="8" t="s">
        <v>2634</v>
      </c>
    </row>
    <row r="1361" spans="1:6" s="8" customFormat="1" x14ac:dyDescent="0.2">
      <c r="A1361" s="200" t="s">
        <v>2666</v>
      </c>
      <c r="B1361" s="200" t="s">
        <v>3306</v>
      </c>
      <c r="C1361" s="200" t="s">
        <v>3307</v>
      </c>
      <c r="D1361" s="200" t="s">
        <v>3308</v>
      </c>
      <c r="E1361" s="5"/>
      <c r="F1361" s="8" t="s">
        <v>2634</v>
      </c>
    </row>
    <row r="1362" spans="1:6" s="8" customFormat="1" x14ac:dyDescent="0.2">
      <c r="A1362" s="200" t="s">
        <v>2666</v>
      </c>
      <c r="B1362" s="200" t="s">
        <v>3309</v>
      </c>
      <c r="C1362" s="200" t="s">
        <v>3310</v>
      </c>
      <c r="D1362" s="200" t="s">
        <v>3311</v>
      </c>
      <c r="E1362" s="5"/>
      <c r="F1362" s="8" t="s">
        <v>2634</v>
      </c>
    </row>
    <row r="1363" spans="1:6" s="8" customFormat="1" x14ac:dyDescent="0.2">
      <c r="A1363" s="200" t="s">
        <v>2666</v>
      </c>
      <c r="B1363" s="200" t="s">
        <v>3312</v>
      </c>
      <c r="C1363" s="200" t="s">
        <v>3313</v>
      </c>
      <c r="D1363" s="200" t="s">
        <v>3314</v>
      </c>
      <c r="E1363" s="5"/>
      <c r="F1363" s="8" t="s">
        <v>2634</v>
      </c>
    </row>
    <row r="1364" spans="1:6" s="8" customFormat="1" x14ac:dyDescent="0.2">
      <c r="A1364" s="200" t="s">
        <v>2666</v>
      </c>
      <c r="B1364" s="200" t="s">
        <v>3315</v>
      </c>
      <c r="C1364" s="200" t="s">
        <v>3316</v>
      </c>
      <c r="D1364" s="200" t="s">
        <v>3317</v>
      </c>
      <c r="E1364" s="5"/>
      <c r="F1364" s="8" t="s">
        <v>2634</v>
      </c>
    </row>
    <row r="1365" spans="1:6" s="8" customFormat="1" x14ac:dyDescent="0.2">
      <c r="A1365" s="200" t="s">
        <v>2666</v>
      </c>
      <c r="B1365" s="200" t="s">
        <v>3318</v>
      </c>
      <c r="C1365" s="200" t="s">
        <v>3319</v>
      </c>
      <c r="D1365" s="200" t="s">
        <v>3320</v>
      </c>
      <c r="E1365" s="5"/>
      <c r="F1365" s="8" t="s">
        <v>2634</v>
      </c>
    </row>
    <row r="1366" spans="1:6" s="8" customFormat="1" x14ac:dyDescent="0.2">
      <c r="A1366" s="200" t="s">
        <v>2666</v>
      </c>
      <c r="B1366" s="200" t="s">
        <v>3321</v>
      </c>
      <c r="C1366" s="200" t="s">
        <v>3322</v>
      </c>
      <c r="D1366" s="200" t="s">
        <v>3323</v>
      </c>
      <c r="E1366" s="5"/>
      <c r="F1366" s="8" t="s">
        <v>2634</v>
      </c>
    </row>
    <row r="1367" spans="1:6" s="8" customFormat="1" x14ac:dyDescent="0.2">
      <c r="A1367" s="200" t="s">
        <v>2666</v>
      </c>
      <c r="B1367" s="200" t="s">
        <v>3324</v>
      </c>
      <c r="C1367" s="200" t="s">
        <v>2635</v>
      </c>
      <c r="D1367" s="200" t="s">
        <v>2636</v>
      </c>
      <c r="E1367" s="5"/>
      <c r="F1367" s="8" t="s">
        <v>2634</v>
      </c>
    </row>
    <row r="1368" spans="1:6" s="8" customFormat="1" x14ac:dyDescent="0.2">
      <c r="A1368" s="200" t="s">
        <v>2666</v>
      </c>
      <c r="B1368" s="200" t="s">
        <v>3325</v>
      </c>
      <c r="C1368" s="200" t="s">
        <v>3326</v>
      </c>
      <c r="D1368" s="200" t="s">
        <v>3327</v>
      </c>
      <c r="E1368" s="5"/>
      <c r="F1368" s="8" t="s">
        <v>2634</v>
      </c>
    </row>
    <row r="1369" spans="1:6" s="8" customFormat="1" x14ac:dyDescent="0.2">
      <c r="A1369" s="200" t="s">
        <v>2666</v>
      </c>
      <c r="B1369" s="200" t="s">
        <v>3328</v>
      </c>
      <c r="C1369" s="200" t="s">
        <v>3329</v>
      </c>
      <c r="D1369" s="200" t="s">
        <v>3330</v>
      </c>
      <c r="E1369" s="5"/>
      <c r="F1369" s="8" t="s">
        <v>2634</v>
      </c>
    </row>
    <row r="1370" spans="1:6" s="8" customFormat="1" x14ac:dyDescent="0.2">
      <c r="A1370" s="200" t="s">
        <v>2666</v>
      </c>
      <c r="B1370" s="200" t="s">
        <v>3331</v>
      </c>
      <c r="C1370" s="200" t="s">
        <v>3332</v>
      </c>
      <c r="D1370" s="200" t="s">
        <v>3333</v>
      </c>
      <c r="E1370" s="5"/>
      <c r="F1370" s="8" t="s">
        <v>2634</v>
      </c>
    </row>
    <row r="1371" spans="1:6" s="8" customFormat="1" x14ac:dyDescent="0.2">
      <c r="A1371" s="200" t="s">
        <v>2666</v>
      </c>
      <c r="B1371" s="200" t="s">
        <v>3334</v>
      </c>
      <c r="C1371" s="200" t="s">
        <v>3335</v>
      </c>
      <c r="D1371" s="200" t="s">
        <v>3336</v>
      </c>
      <c r="E1371" s="5"/>
      <c r="F1371" s="8" t="s">
        <v>2634</v>
      </c>
    </row>
    <row r="1372" spans="1:6" s="8" customFormat="1" x14ac:dyDescent="0.2">
      <c r="A1372" s="200" t="s">
        <v>2666</v>
      </c>
      <c r="B1372" s="200" t="s">
        <v>3337</v>
      </c>
      <c r="C1372" s="200" t="s">
        <v>3338</v>
      </c>
      <c r="D1372" s="200" t="s">
        <v>3339</v>
      </c>
      <c r="E1372" s="5"/>
      <c r="F1372" s="8" t="s">
        <v>2634</v>
      </c>
    </row>
    <row r="1373" spans="1:6" s="8" customFormat="1" x14ac:dyDescent="0.2">
      <c r="A1373" s="200" t="s">
        <v>2666</v>
      </c>
      <c r="B1373" s="200" t="s">
        <v>3340</v>
      </c>
      <c r="C1373" s="200" t="s">
        <v>3341</v>
      </c>
      <c r="D1373" s="200" t="s">
        <v>3342</v>
      </c>
      <c r="E1373" s="5"/>
      <c r="F1373" s="8" t="s">
        <v>2634</v>
      </c>
    </row>
    <row r="1374" spans="1:6" s="8" customFormat="1" x14ac:dyDescent="0.2">
      <c r="A1374" s="200" t="s">
        <v>2666</v>
      </c>
      <c r="B1374" s="200" t="s">
        <v>3343</v>
      </c>
      <c r="C1374" s="200" t="s">
        <v>3344</v>
      </c>
      <c r="D1374" s="200" t="s">
        <v>3345</v>
      </c>
      <c r="E1374" s="5"/>
      <c r="F1374" s="8" t="s">
        <v>2634</v>
      </c>
    </row>
    <row r="1375" spans="1:6" s="8" customFormat="1" x14ac:dyDescent="0.2">
      <c r="A1375" s="200" t="s">
        <v>2666</v>
      </c>
      <c r="B1375" s="200" t="s">
        <v>3346</v>
      </c>
      <c r="C1375" s="200" t="s">
        <v>3347</v>
      </c>
      <c r="D1375" s="200" t="s">
        <v>3348</v>
      </c>
      <c r="E1375" s="5"/>
      <c r="F1375" s="8" t="s">
        <v>2634</v>
      </c>
    </row>
    <row r="1376" spans="1:6" s="8" customFormat="1" x14ac:dyDescent="0.2">
      <c r="A1376" s="200" t="s">
        <v>2666</v>
      </c>
      <c r="B1376" s="200" t="s">
        <v>3349</v>
      </c>
      <c r="C1376" s="200" t="s">
        <v>3350</v>
      </c>
      <c r="D1376" s="200" t="s">
        <v>3351</v>
      </c>
      <c r="E1376" s="5"/>
      <c r="F1376" s="8" t="s">
        <v>2634</v>
      </c>
    </row>
    <row r="1377" spans="1:6" s="8" customFormat="1" x14ac:dyDescent="0.2">
      <c r="A1377" s="200" t="s">
        <v>2666</v>
      </c>
      <c r="B1377" s="200" t="s">
        <v>3352</v>
      </c>
      <c r="C1377" s="200" t="s">
        <v>3353</v>
      </c>
      <c r="D1377" s="200" t="s">
        <v>3354</v>
      </c>
      <c r="E1377" s="5"/>
      <c r="F1377" s="8" t="s">
        <v>2634</v>
      </c>
    </row>
    <row r="1378" spans="1:6" s="8" customFormat="1" x14ac:dyDescent="0.2">
      <c r="A1378" s="200" t="s">
        <v>2666</v>
      </c>
      <c r="B1378" s="200" t="s">
        <v>3355</v>
      </c>
      <c r="C1378" s="200" t="s">
        <v>3356</v>
      </c>
      <c r="D1378" s="200" t="s">
        <v>3357</v>
      </c>
      <c r="E1378" s="5"/>
      <c r="F1378" s="8" t="s">
        <v>2634</v>
      </c>
    </row>
    <row r="1379" spans="1:6" s="8" customFormat="1" x14ac:dyDescent="0.2">
      <c r="A1379" s="200" t="s">
        <v>2666</v>
      </c>
      <c r="B1379" s="200" t="s">
        <v>3358</v>
      </c>
      <c r="C1379" s="200" t="s">
        <v>3359</v>
      </c>
      <c r="D1379" s="200" t="s">
        <v>3360</v>
      </c>
      <c r="E1379" s="5"/>
      <c r="F1379" s="8" t="s">
        <v>2634</v>
      </c>
    </row>
    <row r="1380" spans="1:6" s="8" customFormat="1" x14ac:dyDescent="0.2">
      <c r="A1380" s="200" t="s">
        <v>2666</v>
      </c>
      <c r="B1380" s="200" t="s">
        <v>3361</v>
      </c>
      <c r="C1380" s="200" t="s">
        <v>3362</v>
      </c>
      <c r="D1380" s="200" t="s">
        <v>3363</v>
      </c>
      <c r="E1380" s="5"/>
      <c r="F1380" s="8" t="s">
        <v>2634</v>
      </c>
    </row>
    <row r="1381" spans="1:6" s="8" customFormat="1" x14ac:dyDescent="0.2">
      <c r="A1381" s="200" t="s">
        <v>2666</v>
      </c>
      <c r="B1381" s="200" t="s">
        <v>3364</v>
      </c>
      <c r="C1381" s="200" t="s">
        <v>3365</v>
      </c>
      <c r="D1381" s="200" t="s">
        <v>3366</v>
      </c>
      <c r="E1381" s="5"/>
      <c r="F1381" s="8" t="s">
        <v>2634</v>
      </c>
    </row>
    <row r="1382" spans="1:6" s="8" customFormat="1" x14ac:dyDescent="0.2">
      <c r="A1382" s="200" t="s">
        <v>2666</v>
      </c>
      <c r="B1382" s="200" t="s">
        <v>3367</v>
      </c>
      <c r="C1382" s="200" t="s">
        <v>3368</v>
      </c>
      <c r="D1382" s="200" t="s">
        <v>3369</v>
      </c>
      <c r="E1382" s="5"/>
      <c r="F1382" s="8" t="s">
        <v>2634</v>
      </c>
    </row>
    <row r="1383" spans="1:6" s="8" customFormat="1" x14ac:dyDescent="0.2">
      <c r="A1383" s="200" t="s">
        <v>2666</v>
      </c>
      <c r="B1383" s="200" t="s">
        <v>3370</v>
      </c>
      <c r="C1383" s="200" t="s">
        <v>3371</v>
      </c>
      <c r="D1383" s="200" t="s">
        <v>3372</v>
      </c>
      <c r="E1383" s="5"/>
      <c r="F1383" s="8" t="s">
        <v>2634</v>
      </c>
    </row>
    <row r="1384" spans="1:6" s="8" customFormat="1" x14ac:dyDescent="0.2">
      <c r="A1384" s="200" t="s">
        <v>2666</v>
      </c>
      <c r="B1384" s="200" t="s">
        <v>3373</v>
      </c>
      <c r="C1384" s="200" t="s">
        <v>3374</v>
      </c>
      <c r="D1384" s="200" t="s">
        <v>3375</v>
      </c>
      <c r="E1384" s="5"/>
      <c r="F1384" s="8" t="s">
        <v>2634</v>
      </c>
    </row>
    <row r="1385" spans="1:6" s="8" customFormat="1" x14ac:dyDescent="0.2">
      <c r="A1385" s="200" t="s">
        <v>2666</v>
      </c>
      <c r="B1385" s="200" t="s">
        <v>3376</v>
      </c>
      <c r="C1385" s="200" t="s">
        <v>3377</v>
      </c>
      <c r="D1385" s="200" t="s">
        <v>3378</v>
      </c>
      <c r="E1385" s="5"/>
      <c r="F1385" s="8" t="s">
        <v>2634</v>
      </c>
    </row>
    <row r="1386" spans="1:6" s="8" customFormat="1" x14ac:dyDescent="0.2">
      <c r="A1386" s="200" t="s">
        <v>2666</v>
      </c>
      <c r="B1386" s="200" t="s">
        <v>3379</v>
      </c>
      <c r="C1386" s="200" t="s">
        <v>3380</v>
      </c>
      <c r="D1386" s="200" t="s">
        <v>3381</v>
      </c>
      <c r="E1386" s="5"/>
      <c r="F1386" s="8" t="s">
        <v>2634</v>
      </c>
    </row>
    <row r="1387" spans="1:6" s="8" customFormat="1" x14ac:dyDescent="0.2">
      <c r="A1387" s="200" t="s">
        <v>2666</v>
      </c>
      <c r="B1387" s="200" t="s">
        <v>3382</v>
      </c>
      <c r="C1387" s="200" t="s">
        <v>3383</v>
      </c>
      <c r="D1387" s="200" t="s">
        <v>3384</v>
      </c>
      <c r="E1387" s="5"/>
      <c r="F1387" s="8" t="s">
        <v>2634</v>
      </c>
    </row>
    <row r="1388" spans="1:6" s="8" customFormat="1" x14ac:dyDescent="0.2">
      <c r="A1388" s="200" t="s">
        <v>2666</v>
      </c>
      <c r="B1388" s="200" t="s">
        <v>3385</v>
      </c>
      <c r="C1388" s="200" t="s">
        <v>3386</v>
      </c>
      <c r="D1388" s="200" t="s">
        <v>3387</v>
      </c>
      <c r="E1388" s="5"/>
      <c r="F1388" s="8" t="s">
        <v>2634</v>
      </c>
    </row>
    <row r="1389" spans="1:6" s="8" customFormat="1" x14ac:dyDescent="0.2">
      <c r="A1389" s="200" t="s">
        <v>2666</v>
      </c>
      <c r="B1389" s="200" t="s">
        <v>3388</v>
      </c>
      <c r="C1389" s="200" t="s">
        <v>3389</v>
      </c>
      <c r="D1389" s="200" t="s">
        <v>3390</v>
      </c>
      <c r="E1389" s="5"/>
      <c r="F1389" s="8" t="s">
        <v>2634</v>
      </c>
    </row>
    <row r="1390" spans="1:6" s="8" customFormat="1" x14ac:dyDescent="0.2">
      <c r="A1390" s="200" t="s">
        <v>2666</v>
      </c>
      <c r="B1390" s="200" t="s">
        <v>3391</v>
      </c>
      <c r="C1390" s="200" t="s">
        <v>3392</v>
      </c>
      <c r="D1390" s="200" t="s">
        <v>3393</v>
      </c>
      <c r="E1390" s="5"/>
      <c r="F1390" s="8" t="s">
        <v>2634</v>
      </c>
    </row>
    <row r="1391" spans="1:6" s="8" customFormat="1" x14ac:dyDescent="0.2">
      <c r="A1391" s="200" t="s">
        <v>2666</v>
      </c>
      <c r="B1391" s="200" t="s">
        <v>3394</v>
      </c>
      <c r="C1391" s="200" t="s">
        <v>3395</v>
      </c>
      <c r="D1391" s="200" t="s">
        <v>3396</v>
      </c>
      <c r="E1391" s="5"/>
      <c r="F1391" s="8" t="s">
        <v>2634</v>
      </c>
    </row>
    <row r="1392" spans="1:6" s="8" customFormat="1" x14ac:dyDescent="0.2">
      <c r="A1392" s="200" t="s">
        <v>2666</v>
      </c>
      <c r="B1392" s="200" t="s">
        <v>3397</v>
      </c>
      <c r="C1392" s="200" t="s">
        <v>3398</v>
      </c>
      <c r="D1392" s="200" t="s">
        <v>3399</v>
      </c>
      <c r="E1392" s="5"/>
      <c r="F1392" s="8" t="s">
        <v>2634</v>
      </c>
    </row>
    <row r="1393" spans="1:6" s="8" customFormat="1" x14ac:dyDescent="0.2">
      <c r="A1393" s="200" t="s">
        <v>2666</v>
      </c>
      <c r="B1393" s="200" t="s">
        <v>3400</v>
      </c>
      <c r="C1393" s="200" t="s">
        <v>3401</v>
      </c>
      <c r="D1393" s="200" t="s">
        <v>3402</v>
      </c>
      <c r="E1393" s="5"/>
      <c r="F1393" s="8" t="s">
        <v>2634</v>
      </c>
    </row>
    <row r="1394" spans="1:6" s="8" customFormat="1" x14ac:dyDescent="0.2">
      <c r="A1394" s="200" t="s">
        <v>2666</v>
      </c>
      <c r="B1394" s="200" t="s">
        <v>3403</v>
      </c>
      <c r="C1394" s="200" t="s">
        <v>3404</v>
      </c>
      <c r="D1394" s="200" t="s">
        <v>3405</v>
      </c>
      <c r="E1394" s="5"/>
      <c r="F1394" s="8" t="s">
        <v>2637</v>
      </c>
    </row>
    <row r="1395" spans="1:6" s="8" customFormat="1" x14ac:dyDescent="0.2">
      <c r="A1395" s="200" t="s">
        <v>2666</v>
      </c>
      <c r="B1395" s="200" t="s">
        <v>3406</v>
      </c>
      <c r="C1395" s="200" t="s">
        <v>3407</v>
      </c>
      <c r="D1395" s="200" t="s">
        <v>3408</v>
      </c>
      <c r="E1395" s="5"/>
      <c r="F1395" s="8" t="s">
        <v>2637</v>
      </c>
    </row>
    <row r="1396" spans="1:6" s="8" customFormat="1" x14ac:dyDescent="0.2">
      <c r="A1396" s="200" t="s">
        <v>2666</v>
      </c>
      <c r="B1396" s="200" t="s">
        <v>3409</v>
      </c>
      <c r="C1396" s="200" t="s">
        <v>3410</v>
      </c>
      <c r="D1396" s="200" t="s">
        <v>3411</v>
      </c>
      <c r="E1396" s="5"/>
      <c r="F1396" s="8" t="s">
        <v>2637</v>
      </c>
    </row>
    <row r="1397" spans="1:6" s="8" customFormat="1" x14ac:dyDescent="0.2">
      <c r="A1397" s="200" t="s">
        <v>2666</v>
      </c>
      <c r="B1397" s="200" t="s">
        <v>3412</v>
      </c>
      <c r="C1397" s="200" t="s">
        <v>3413</v>
      </c>
      <c r="D1397" s="200" t="s">
        <v>3414</v>
      </c>
      <c r="E1397" s="5"/>
      <c r="F1397" s="8" t="s">
        <v>2637</v>
      </c>
    </row>
    <row r="1398" spans="1:6" s="8" customFormat="1" x14ac:dyDescent="0.2">
      <c r="A1398" s="200" t="s">
        <v>2666</v>
      </c>
      <c r="B1398" s="200" t="s">
        <v>3415</v>
      </c>
      <c r="C1398" s="200" t="s">
        <v>3416</v>
      </c>
      <c r="D1398" s="200" t="s">
        <v>3417</v>
      </c>
      <c r="E1398" s="5"/>
      <c r="F1398" s="8" t="s">
        <v>2637</v>
      </c>
    </row>
    <row r="1399" spans="1:6" s="8" customFormat="1" x14ac:dyDescent="0.2">
      <c r="A1399" s="200" t="s">
        <v>2666</v>
      </c>
      <c r="B1399" s="200" t="s">
        <v>3418</v>
      </c>
      <c r="C1399" s="200" t="s">
        <v>3419</v>
      </c>
      <c r="D1399" s="200" t="s">
        <v>3420</v>
      </c>
      <c r="E1399" s="5"/>
      <c r="F1399" s="8" t="s">
        <v>2637</v>
      </c>
    </row>
    <row r="1400" spans="1:6" s="8" customFormat="1" x14ac:dyDescent="0.2">
      <c r="A1400" s="200" t="s">
        <v>2666</v>
      </c>
      <c r="B1400" s="200" t="s">
        <v>3421</v>
      </c>
      <c r="C1400" s="200" t="s">
        <v>3422</v>
      </c>
      <c r="D1400" s="200" t="s">
        <v>3423</v>
      </c>
      <c r="E1400" s="5"/>
      <c r="F1400" s="8" t="s">
        <v>2637</v>
      </c>
    </row>
    <row r="1401" spans="1:6" s="8" customFormat="1" x14ac:dyDescent="0.2">
      <c r="A1401" s="200" t="s">
        <v>2666</v>
      </c>
      <c r="B1401" s="200" t="s">
        <v>3424</v>
      </c>
      <c r="C1401" s="200" t="s">
        <v>3425</v>
      </c>
      <c r="D1401" s="200" t="s">
        <v>3426</v>
      </c>
      <c r="E1401" s="5"/>
      <c r="F1401" s="8" t="s">
        <v>2637</v>
      </c>
    </row>
    <row r="1402" spans="1:6" s="8" customFormat="1" x14ac:dyDescent="0.2">
      <c r="A1402" s="200" t="s">
        <v>2666</v>
      </c>
      <c r="B1402" s="200" t="s">
        <v>3427</v>
      </c>
      <c r="C1402" s="200" t="s">
        <v>3428</v>
      </c>
      <c r="D1402" s="200" t="s">
        <v>3429</v>
      </c>
      <c r="E1402" s="5"/>
      <c r="F1402" s="8" t="s">
        <v>2637</v>
      </c>
    </row>
    <row r="1403" spans="1:6" s="8" customFormat="1" x14ac:dyDescent="0.2">
      <c r="A1403" s="200" t="s">
        <v>2666</v>
      </c>
      <c r="B1403" s="200" t="s">
        <v>3430</v>
      </c>
      <c r="C1403" s="200" t="s">
        <v>3431</v>
      </c>
      <c r="D1403" s="200" t="s">
        <v>3432</v>
      </c>
      <c r="E1403" s="5"/>
      <c r="F1403" s="8" t="s">
        <v>2637</v>
      </c>
    </row>
    <row r="1404" spans="1:6" s="8" customFormat="1" x14ac:dyDescent="0.2">
      <c r="A1404" s="200" t="s">
        <v>2666</v>
      </c>
      <c r="B1404" s="200" t="s">
        <v>3433</v>
      </c>
      <c r="C1404" s="200" t="s">
        <v>3434</v>
      </c>
      <c r="D1404" s="200" t="s">
        <v>3435</v>
      </c>
      <c r="E1404" s="5"/>
      <c r="F1404" s="8" t="s">
        <v>2637</v>
      </c>
    </row>
    <row r="1405" spans="1:6" s="8" customFormat="1" x14ac:dyDescent="0.2">
      <c r="A1405" s="200" t="s">
        <v>2666</v>
      </c>
      <c r="B1405" s="200" t="s">
        <v>3436</v>
      </c>
      <c r="C1405" s="200" t="s">
        <v>3437</v>
      </c>
      <c r="D1405" s="200" t="s">
        <v>3438</v>
      </c>
      <c r="E1405" s="5"/>
      <c r="F1405" s="8" t="s">
        <v>2637</v>
      </c>
    </row>
    <row r="1406" spans="1:6" s="8" customFormat="1" x14ac:dyDescent="0.2">
      <c r="A1406" s="200" t="s">
        <v>2666</v>
      </c>
      <c r="B1406" s="200" t="s">
        <v>3439</v>
      </c>
      <c r="C1406" s="200" t="s">
        <v>3440</v>
      </c>
      <c r="D1406" s="200" t="s">
        <v>3441</v>
      </c>
      <c r="E1406" s="5"/>
      <c r="F1406" s="8" t="s">
        <v>2637</v>
      </c>
    </row>
    <row r="1407" spans="1:6" s="8" customFormat="1" x14ac:dyDescent="0.2">
      <c r="A1407" s="200" t="s">
        <v>2666</v>
      </c>
      <c r="B1407" s="200" t="s">
        <v>3442</v>
      </c>
      <c r="C1407" s="200" t="s">
        <v>3443</v>
      </c>
      <c r="D1407" s="200" t="s">
        <v>3444</v>
      </c>
      <c r="E1407" s="5"/>
      <c r="F1407" s="8" t="s">
        <v>2637</v>
      </c>
    </row>
    <row r="1408" spans="1:6" s="8" customFormat="1" x14ac:dyDescent="0.2">
      <c r="A1408" s="200" t="s">
        <v>2666</v>
      </c>
      <c r="B1408" s="200" t="s">
        <v>3445</v>
      </c>
      <c r="C1408" s="200" t="s">
        <v>3446</v>
      </c>
      <c r="D1408" s="200" t="s">
        <v>3447</v>
      </c>
      <c r="E1408" s="5"/>
      <c r="F1408" s="8" t="s">
        <v>2637</v>
      </c>
    </row>
    <row r="1409" spans="1:6" s="8" customFormat="1" x14ac:dyDescent="0.2">
      <c r="A1409" s="200" t="s">
        <v>2666</v>
      </c>
      <c r="B1409" s="200" t="s">
        <v>3448</v>
      </c>
      <c r="C1409" s="200" t="s">
        <v>3449</v>
      </c>
      <c r="D1409" s="200" t="s">
        <v>3450</v>
      </c>
      <c r="E1409" s="5"/>
      <c r="F1409" s="8" t="s">
        <v>2637</v>
      </c>
    </row>
    <row r="1410" spans="1:6" s="8" customFormat="1" x14ac:dyDescent="0.2">
      <c r="A1410" s="200" t="s">
        <v>2666</v>
      </c>
      <c r="B1410" s="200" t="s">
        <v>3451</v>
      </c>
      <c r="C1410" s="200" t="s">
        <v>3452</v>
      </c>
      <c r="D1410" s="200" t="s">
        <v>3453</v>
      </c>
      <c r="E1410" s="5"/>
      <c r="F1410" s="8" t="s">
        <v>2637</v>
      </c>
    </row>
    <row r="1411" spans="1:6" s="8" customFormat="1" x14ac:dyDescent="0.2">
      <c r="A1411" s="200" t="s">
        <v>2666</v>
      </c>
      <c r="B1411" s="200" t="s">
        <v>3454</v>
      </c>
      <c r="C1411" s="200" t="s">
        <v>3455</v>
      </c>
      <c r="D1411" s="200" t="s">
        <v>3456</v>
      </c>
      <c r="E1411" s="5"/>
      <c r="F1411" s="8" t="s">
        <v>2637</v>
      </c>
    </row>
    <row r="1412" spans="1:6" s="8" customFormat="1" x14ac:dyDescent="0.2">
      <c r="A1412" s="200" t="s">
        <v>2666</v>
      </c>
      <c r="B1412" s="200" t="s">
        <v>3457</v>
      </c>
      <c r="C1412" s="200" t="s">
        <v>3458</v>
      </c>
      <c r="D1412" s="200" t="s">
        <v>3459</v>
      </c>
      <c r="E1412" s="5"/>
      <c r="F1412" s="8" t="s">
        <v>2637</v>
      </c>
    </row>
    <row r="1413" spans="1:6" s="8" customFormat="1" x14ac:dyDescent="0.2">
      <c r="A1413" s="200" t="s">
        <v>2666</v>
      </c>
      <c r="B1413" s="200" t="s">
        <v>3460</v>
      </c>
      <c r="C1413" s="200" t="s">
        <v>3461</v>
      </c>
      <c r="D1413" s="200" t="s">
        <v>3462</v>
      </c>
      <c r="E1413" s="5"/>
      <c r="F1413" s="8" t="s">
        <v>2637</v>
      </c>
    </row>
    <row r="1414" spans="1:6" s="8" customFormat="1" x14ac:dyDescent="0.2">
      <c r="A1414" s="200" t="s">
        <v>2666</v>
      </c>
      <c r="B1414" s="200" t="s">
        <v>3463</v>
      </c>
      <c r="C1414" s="200" t="s">
        <v>3464</v>
      </c>
      <c r="D1414" s="200" t="s">
        <v>3465</v>
      </c>
      <c r="E1414" s="5"/>
      <c r="F1414" s="8" t="s">
        <v>2637</v>
      </c>
    </row>
    <row r="1415" spans="1:6" s="8" customFormat="1" x14ac:dyDescent="0.2">
      <c r="A1415" s="200" t="s">
        <v>2666</v>
      </c>
      <c r="B1415" s="200" t="s">
        <v>3466</v>
      </c>
      <c r="C1415" s="200" t="s">
        <v>3467</v>
      </c>
      <c r="D1415" s="200" t="s">
        <v>3468</v>
      </c>
      <c r="E1415" s="5"/>
      <c r="F1415" s="8" t="s">
        <v>2637</v>
      </c>
    </row>
    <row r="1416" spans="1:6" s="8" customFormat="1" x14ac:dyDescent="0.2">
      <c r="A1416" s="200" t="s">
        <v>2666</v>
      </c>
      <c r="B1416" s="200" t="s">
        <v>3469</v>
      </c>
      <c r="C1416" s="200" t="s">
        <v>3470</v>
      </c>
      <c r="D1416" s="200" t="s">
        <v>3471</v>
      </c>
      <c r="E1416" s="5"/>
      <c r="F1416" s="8" t="s">
        <v>2637</v>
      </c>
    </row>
    <row r="1417" spans="1:6" s="8" customFormat="1" x14ac:dyDescent="0.2">
      <c r="A1417" s="200" t="s">
        <v>2666</v>
      </c>
      <c r="B1417" s="200" t="s">
        <v>3472</v>
      </c>
      <c r="C1417" s="200" t="s">
        <v>3473</v>
      </c>
      <c r="D1417" s="200" t="s">
        <v>3474</v>
      </c>
      <c r="E1417" s="5"/>
      <c r="F1417" s="8" t="s">
        <v>2637</v>
      </c>
    </row>
    <row r="1418" spans="1:6" s="8" customFormat="1" x14ac:dyDescent="0.2">
      <c r="A1418" s="200" t="s">
        <v>2666</v>
      </c>
      <c r="B1418" s="200" t="s">
        <v>3475</v>
      </c>
      <c r="C1418" s="200" t="s">
        <v>3476</v>
      </c>
      <c r="D1418" s="200" t="s">
        <v>3477</v>
      </c>
      <c r="E1418" s="5"/>
      <c r="F1418" s="8" t="s">
        <v>2637</v>
      </c>
    </row>
    <row r="1419" spans="1:6" s="8" customFormat="1" x14ac:dyDescent="0.2">
      <c r="A1419" s="200" t="s">
        <v>2666</v>
      </c>
      <c r="B1419" s="200" t="s">
        <v>3478</v>
      </c>
      <c r="C1419" s="200" t="s">
        <v>3479</v>
      </c>
      <c r="D1419" s="200" t="s">
        <v>3480</v>
      </c>
      <c r="E1419" s="5"/>
      <c r="F1419" s="8" t="s">
        <v>2637</v>
      </c>
    </row>
    <row r="1420" spans="1:6" s="8" customFormat="1" x14ac:dyDescent="0.2">
      <c r="A1420" s="200" t="s">
        <v>2666</v>
      </c>
      <c r="B1420" s="200" t="s">
        <v>3481</v>
      </c>
      <c r="C1420" s="200" t="s">
        <v>3482</v>
      </c>
      <c r="D1420" s="200" t="s">
        <v>3483</v>
      </c>
      <c r="E1420" s="5"/>
      <c r="F1420" s="8" t="s">
        <v>2637</v>
      </c>
    </row>
    <row r="1421" spans="1:6" s="8" customFormat="1" x14ac:dyDescent="0.2">
      <c r="A1421" s="200" t="s">
        <v>2666</v>
      </c>
      <c r="B1421" s="200" t="s">
        <v>3484</v>
      </c>
      <c r="C1421" s="200" t="s">
        <v>3485</v>
      </c>
      <c r="D1421" s="200" t="s">
        <v>3486</v>
      </c>
      <c r="E1421" s="5"/>
      <c r="F1421" s="8" t="s">
        <v>2637</v>
      </c>
    </row>
    <row r="1422" spans="1:6" s="8" customFormat="1" x14ac:dyDescent="0.2">
      <c r="A1422" s="200" t="s">
        <v>2666</v>
      </c>
      <c r="B1422" s="200" t="s">
        <v>3487</v>
      </c>
      <c r="C1422" s="200" t="s">
        <v>3488</v>
      </c>
      <c r="D1422" s="200" t="s">
        <v>3489</v>
      </c>
      <c r="E1422" s="5"/>
      <c r="F1422" s="8" t="s">
        <v>2637</v>
      </c>
    </row>
    <row r="1423" spans="1:6" s="8" customFormat="1" x14ac:dyDescent="0.2">
      <c r="A1423" s="200" t="s">
        <v>2666</v>
      </c>
      <c r="B1423" s="200" t="s">
        <v>3490</v>
      </c>
      <c r="C1423" s="200" t="s">
        <v>3491</v>
      </c>
      <c r="D1423" s="200" t="s">
        <v>3492</v>
      </c>
      <c r="E1423" s="5"/>
      <c r="F1423" s="8" t="s">
        <v>2637</v>
      </c>
    </row>
    <row r="1424" spans="1:6" s="8" customFormat="1" x14ac:dyDescent="0.2">
      <c r="A1424" s="200" t="s">
        <v>2666</v>
      </c>
      <c r="B1424" s="200" t="s">
        <v>3493</v>
      </c>
      <c r="C1424" s="200" t="s">
        <v>3494</v>
      </c>
      <c r="D1424" s="200" t="s">
        <v>3495</v>
      </c>
      <c r="E1424" s="5"/>
      <c r="F1424" s="8" t="s">
        <v>2637</v>
      </c>
    </row>
    <row r="1425" spans="1:6" s="8" customFormat="1" x14ac:dyDescent="0.2">
      <c r="A1425" s="200" t="s">
        <v>2666</v>
      </c>
      <c r="B1425" s="200" t="s">
        <v>3496</v>
      </c>
      <c r="C1425" s="200" t="s">
        <v>3497</v>
      </c>
      <c r="D1425" s="200" t="s">
        <v>3498</v>
      </c>
      <c r="E1425" s="5"/>
      <c r="F1425" s="8" t="s">
        <v>2637</v>
      </c>
    </row>
    <row r="1426" spans="1:6" s="8" customFormat="1" x14ac:dyDescent="0.2">
      <c r="A1426" s="200" t="s">
        <v>2666</v>
      </c>
      <c r="B1426" s="200" t="s">
        <v>3499</v>
      </c>
      <c r="C1426" s="200" t="s">
        <v>3500</v>
      </c>
      <c r="D1426" s="200" t="s">
        <v>3501</v>
      </c>
      <c r="E1426" s="5"/>
      <c r="F1426" s="8" t="s">
        <v>2637</v>
      </c>
    </row>
    <row r="1427" spans="1:6" s="8" customFormat="1" x14ac:dyDescent="0.2">
      <c r="A1427" s="200" t="s">
        <v>2666</v>
      </c>
      <c r="B1427" s="200" t="s">
        <v>3502</v>
      </c>
      <c r="C1427" s="200" t="s">
        <v>3503</v>
      </c>
      <c r="D1427" s="200" t="s">
        <v>3504</v>
      </c>
      <c r="E1427" s="5"/>
      <c r="F1427" s="8" t="s">
        <v>2637</v>
      </c>
    </row>
    <row r="1428" spans="1:6" s="8" customFormat="1" x14ac:dyDescent="0.2">
      <c r="A1428" s="200" t="s">
        <v>2666</v>
      </c>
      <c r="B1428" s="200" t="s">
        <v>3505</v>
      </c>
      <c r="C1428" s="200" t="s">
        <v>3506</v>
      </c>
      <c r="D1428" s="200" t="s">
        <v>3507</v>
      </c>
      <c r="E1428" s="5"/>
      <c r="F1428" s="8" t="s">
        <v>2637</v>
      </c>
    </row>
    <row r="1429" spans="1:6" s="8" customFormat="1" x14ac:dyDescent="0.2">
      <c r="A1429" s="200" t="s">
        <v>2666</v>
      </c>
      <c r="B1429" s="200" t="s">
        <v>3508</v>
      </c>
      <c r="C1429" s="200" t="s">
        <v>3509</v>
      </c>
      <c r="D1429" s="200" t="s">
        <v>3510</v>
      </c>
      <c r="E1429" s="5"/>
      <c r="F1429" s="8" t="s">
        <v>2637</v>
      </c>
    </row>
    <row r="1430" spans="1:6" s="8" customFormat="1" x14ac:dyDescent="0.2">
      <c r="A1430" s="200" t="s">
        <v>2666</v>
      </c>
      <c r="B1430" s="200" t="s">
        <v>3511</v>
      </c>
      <c r="C1430" s="200" t="s">
        <v>3512</v>
      </c>
      <c r="D1430" s="200" t="s">
        <v>3513</v>
      </c>
      <c r="E1430" s="5"/>
      <c r="F1430" s="8" t="s">
        <v>2637</v>
      </c>
    </row>
    <row r="1431" spans="1:6" s="8" customFormat="1" x14ac:dyDescent="0.2">
      <c r="A1431" s="200" t="s">
        <v>2666</v>
      </c>
      <c r="B1431" s="200" t="s">
        <v>3514</v>
      </c>
      <c r="C1431" s="200" t="s">
        <v>3515</v>
      </c>
      <c r="D1431" s="200" t="s">
        <v>3516</v>
      </c>
      <c r="E1431" s="5"/>
      <c r="F1431" s="8" t="s">
        <v>2637</v>
      </c>
    </row>
    <row r="1432" spans="1:6" s="8" customFormat="1" x14ac:dyDescent="0.2">
      <c r="A1432" s="200" t="s">
        <v>2666</v>
      </c>
      <c r="B1432" s="200" t="s">
        <v>3517</v>
      </c>
      <c r="C1432" s="200" t="s">
        <v>3518</v>
      </c>
      <c r="D1432" s="200" t="s">
        <v>3519</v>
      </c>
      <c r="E1432" s="5"/>
      <c r="F1432" s="8" t="s">
        <v>2637</v>
      </c>
    </row>
    <row r="1433" spans="1:6" s="8" customFormat="1" x14ac:dyDescent="0.2">
      <c r="A1433" s="200" t="s">
        <v>2666</v>
      </c>
      <c r="B1433" s="200" t="s">
        <v>3520</v>
      </c>
      <c r="C1433" s="200" t="s">
        <v>3521</v>
      </c>
      <c r="D1433" s="200" t="s">
        <v>3522</v>
      </c>
      <c r="E1433" s="5"/>
      <c r="F1433" s="8" t="s">
        <v>2637</v>
      </c>
    </row>
    <row r="1434" spans="1:6" s="8" customFormat="1" x14ac:dyDescent="0.2">
      <c r="A1434" s="200" t="s">
        <v>2666</v>
      </c>
      <c r="B1434" s="200" t="s">
        <v>3523</v>
      </c>
      <c r="C1434" s="200" t="s">
        <v>3524</v>
      </c>
      <c r="D1434" s="200" t="s">
        <v>3525</v>
      </c>
      <c r="E1434" s="5"/>
      <c r="F1434" s="8" t="s">
        <v>2637</v>
      </c>
    </row>
    <row r="1435" spans="1:6" s="8" customFormat="1" x14ac:dyDescent="0.2">
      <c r="A1435" s="200" t="s">
        <v>2666</v>
      </c>
      <c r="B1435" s="200" t="s">
        <v>3526</v>
      </c>
      <c r="C1435" s="200" t="s">
        <v>2638</v>
      </c>
      <c r="D1435" s="200" t="s">
        <v>2639</v>
      </c>
      <c r="E1435" s="5"/>
      <c r="F1435" s="8" t="s">
        <v>2637</v>
      </c>
    </row>
    <row r="1436" spans="1:6" s="8" customFormat="1" x14ac:dyDescent="0.2">
      <c r="A1436" s="200" t="s">
        <v>2666</v>
      </c>
      <c r="B1436" s="200" t="s">
        <v>3527</v>
      </c>
      <c r="C1436" s="200" t="s">
        <v>3528</v>
      </c>
      <c r="D1436" s="200" t="s">
        <v>3529</v>
      </c>
      <c r="E1436" s="5"/>
      <c r="F1436" s="8" t="s">
        <v>2637</v>
      </c>
    </row>
    <row r="1437" spans="1:6" s="8" customFormat="1" x14ac:dyDescent="0.2">
      <c r="A1437" s="200" t="s">
        <v>2666</v>
      </c>
      <c r="B1437" s="200" t="s">
        <v>3530</v>
      </c>
      <c r="C1437" s="200" t="s">
        <v>3531</v>
      </c>
      <c r="D1437" s="200" t="s">
        <v>3532</v>
      </c>
      <c r="E1437" s="5"/>
      <c r="F1437" s="8" t="s">
        <v>2637</v>
      </c>
    </row>
    <row r="1438" spans="1:6" s="8" customFormat="1" x14ac:dyDescent="0.2">
      <c r="A1438" s="200" t="s">
        <v>2666</v>
      </c>
      <c r="B1438" s="200" t="s">
        <v>3533</v>
      </c>
      <c r="C1438" s="200" t="s">
        <v>3534</v>
      </c>
      <c r="D1438" s="200" t="s">
        <v>3535</v>
      </c>
      <c r="E1438" s="5"/>
      <c r="F1438" s="8" t="s">
        <v>2637</v>
      </c>
    </row>
    <row r="1439" spans="1:6" s="8" customFormat="1" x14ac:dyDescent="0.2">
      <c r="A1439" s="200" t="s">
        <v>2666</v>
      </c>
      <c r="B1439" s="200" t="s">
        <v>3536</v>
      </c>
      <c r="C1439" s="200" t="s">
        <v>3537</v>
      </c>
      <c r="D1439" s="200" t="s">
        <v>3538</v>
      </c>
      <c r="E1439" s="5"/>
      <c r="F1439" s="8" t="s">
        <v>2637</v>
      </c>
    </row>
    <row r="1440" spans="1:6" s="8" customFormat="1" x14ac:dyDescent="0.2">
      <c r="A1440" s="200" t="s">
        <v>2666</v>
      </c>
      <c r="B1440" s="200" t="s">
        <v>3539</v>
      </c>
      <c r="C1440" s="200" t="s">
        <v>3540</v>
      </c>
      <c r="D1440" s="200" t="s">
        <v>3541</v>
      </c>
      <c r="E1440" s="5"/>
      <c r="F1440" s="8" t="s">
        <v>2637</v>
      </c>
    </row>
    <row r="1441" spans="1:6" s="8" customFormat="1" x14ac:dyDescent="0.2">
      <c r="A1441" s="200" t="s">
        <v>2666</v>
      </c>
      <c r="B1441" s="200" t="s">
        <v>3542</v>
      </c>
      <c r="C1441" s="200" t="s">
        <v>3543</v>
      </c>
      <c r="D1441" s="200" t="s">
        <v>3544</v>
      </c>
      <c r="E1441" s="5"/>
      <c r="F1441" s="8" t="s">
        <v>2637</v>
      </c>
    </row>
    <row r="1442" spans="1:6" s="8" customFormat="1" x14ac:dyDescent="0.2">
      <c r="A1442" s="200" t="s">
        <v>2666</v>
      </c>
      <c r="B1442" s="200" t="s">
        <v>3545</v>
      </c>
      <c r="C1442" s="200" t="s">
        <v>3546</v>
      </c>
      <c r="D1442" s="200" t="s">
        <v>3547</v>
      </c>
      <c r="E1442" s="5"/>
      <c r="F1442" s="8" t="s">
        <v>2637</v>
      </c>
    </row>
    <row r="1443" spans="1:6" s="8" customFormat="1" x14ac:dyDescent="0.2">
      <c r="A1443" s="200" t="s">
        <v>2666</v>
      </c>
      <c r="B1443" s="200" t="s">
        <v>3548</v>
      </c>
      <c r="C1443" s="200" t="s">
        <v>3549</v>
      </c>
      <c r="D1443" s="200" t="s">
        <v>3550</v>
      </c>
      <c r="E1443" s="5"/>
      <c r="F1443" s="8" t="s">
        <v>2637</v>
      </c>
    </row>
    <row r="1444" spans="1:6" s="8" customFormat="1" x14ac:dyDescent="0.2">
      <c r="A1444" s="200" t="s">
        <v>2666</v>
      </c>
      <c r="B1444" s="200" t="s">
        <v>3551</v>
      </c>
      <c r="C1444" s="200" t="s">
        <v>3552</v>
      </c>
      <c r="D1444" s="200" t="s">
        <v>3553</v>
      </c>
      <c r="E1444" s="5"/>
      <c r="F1444" s="8" t="s">
        <v>2637</v>
      </c>
    </row>
    <row r="1445" spans="1:6" s="8" customFormat="1" x14ac:dyDescent="0.2">
      <c r="A1445" s="200" t="s">
        <v>2666</v>
      </c>
      <c r="B1445" s="200" t="s">
        <v>3554</v>
      </c>
      <c r="C1445" s="200" t="s">
        <v>3555</v>
      </c>
      <c r="D1445" s="200" t="s">
        <v>3556</v>
      </c>
      <c r="E1445" s="5"/>
      <c r="F1445" s="8" t="s">
        <v>2637</v>
      </c>
    </row>
    <row r="1446" spans="1:6" s="8" customFormat="1" x14ac:dyDescent="0.2">
      <c r="A1446" s="200" t="s">
        <v>2666</v>
      </c>
      <c r="B1446" s="200" t="s">
        <v>3557</v>
      </c>
      <c r="C1446" s="200" t="s">
        <v>3558</v>
      </c>
      <c r="D1446" s="200" t="s">
        <v>3559</v>
      </c>
      <c r="E1446" s="5"/>
      <c r="F1446" s="8" t="s">
        <v>2637</v>
      </c>
    </row>
    <row r="1447" spans="1:6" s="8" customFormat="1" x14ac:dyDescent="0.2">
      <c r="A1447" s="200" t="s">
        <v>2666</v>
      </c>
      <c r="B1447" s="200" t="s">
        <v>3560</v>
      </c>
      <c r="C1447" s="200" t="s">
        <v>3561</v>
      </c>
      <c r="D1447" s="200" t="s">
        <v>3562</v>
      </c>
      <c r="E1447" s="5"/>
      <c r="F1447" s="8" t="s">
        <v>2640</v>
      </c>
    </row>
    <row r="1448" spans="1:6" s="8" customFormat="1" x14ac:dyDescent="0.2">
      <c r="A1448" s="200" t="s">
        <v>2666</v>
      </c>
      <c r="B1448" s="200" t="s">
        <v>3563</v>
      </c>
      <c r="C1448" s="200" t="s">
        <v>3564</v>
      </c>
      <c r="D1448" s="200" t="s">
        <v>3565</v>
      </c>
      <c r="E1448" s="5"/>
      <c r="F1448" s="8" t="s">
        <v>2640</v>
      </c>
    </row>
    <row r="1449" spans="1:6" s="8" customFormat="1" x14ac:dyDescent="0.2">
      <c r="A1449" s="200" t="s">
        <v>2666</v>
      </c>
      <c r="B1449" s="200" t="s">
        <v>3566</v>
      </c>
      <c r="C1449" s="200" t="s">
        <v>3567</v>
      </c>
      <c r="D1449" s="200" t="s">
        <v>3568</v>
      </c>
      <c r="E1449" s="5"/>
      <c r="F1449" s="8" t="s">
        <v>2640</v>
      </c>
    </row>
    <row r="1450" spans="1:6" s="8" customFormat="1" x14ac:dyDescent="0.2">
      <c r="A1450" s="200" t="s">
        <v>2666</v>
      </c>
      <c r="B1450" s="200" t="s">
        <v>3569</v>
      </c>
      <c r="C1450" s="200" t="s">
        <v>3570</v>
      </c>
      <c r="D1450" s="200" t="s">
        <v>3571</v>
      </c>
      <c r="E1450" s="5"/>
      <c r="F1450" s="8" t="s">
        <v>2640</v>
      </c>
    </row>
    <row r="1451" spans="1:6" s="8" customFormat="1" x14ac:dyDescent="0.2">
      <c r="A1451" s="200" t="s">
        <v>2666</v>
      </c>
      <c r="B1451" s="200" t="s">
        <v>3572</v>
      </c>
      <c r="C1451" s="200" t="s">
        <v>3573</v>
      </c>
      <c r="D1451" s="200" t="s">
        <v>3574</v>
      </c>
      <c r="E1451" s="5"/>
      <c r="F1451" s="8" t="s">
        <v>2640</v>
      </c>
    </row>
    <row r="1452" spans="1:6" s="8" customFormat="1" x14ac:dyDescent="0.2">
      <c r="A1452" s="200" t="s">
        <v>2666</v>
      </c>
      <c r="B1452" s="200" t="s">
        <v>3575</v>
      </c>
      <c r="C1452" s="200" t="s">
        <v>3576</v>
      </c>
      <c r="D1452" s="200" t="s">
        <v>3577</v>
      </c>
      <c r="E1452" s="5"/>
      <c r="F1452" s="8" t="s">
        <v>2640</v>
      </c>
    </row>
    <row r="1453" spans="1:6" s="8" customFormat="1" x14ac:dyDescent="0.2">
      <c r="A1453" s="200" t="s">
        <v>2666</v>
      </c>
      <c r="B1453" s="200" t="s">
        <v>3578</v>
      </c>
      <c r="C1453" s="200" t="s">
        <v>3579</v>
      </c>
      <c r="D1453" s="200" t="s">
        <v>3580</v>
      </c>
      <c r="E1453" s="5"/>
      <c r="F1453" s="8" t="s">
        <v>2640</v>
      </c>
    </row>
    <row r="1454" spans="1:6" s="8" customFormat="1" x14ac:dyDescent="0.2">
      <c r="A1454" s="200" t="s">
        <v>2666</v>
      </c>
      <c r="B1454" s="200" t="s">
        <v>3581</v>
      </c>
      <c r="C1454" s="200" t="s">
        <v>3582</v>
      </c>
      <c r="D1454" s="200" t="s">
        <v>3583</v>
      </c>
      <c r="E1454" s="5"/>
      <c r="F1454" s="8" t="s">
        <v>2640</v>
      </c>
    </row>
    <row r="1455" spans="1:6" s="8" customFormat="1" x14ac:dyDescent="0.2">
      <c r="A1455" s="200" t="s">
        <v>2666</v>
      </c>
      <c r="B1455" s="200" t="s">
        <v>3584</v>
      </c>
      <c r="C1455" s="200" t="s">
        <v>3585</v>
      </c>
      <c r="D1455" s="200" t="s">
        <v>3586</v>
      </c>
      <c r="E1455" s="5"/>
      <c r="F1455" s="8" t="s">
        <v>2640</v>
      </c>
    </row>
    <row r="1456" spans="1:6" s="8" customFormat="1" x14ac:dyDescent="0.2">
      <c r="A1456" s="200" t="s">
        <v>2666</v>
      </c>
      <c r="B1456" s="200" t="s">
        <v>3587</v>
      </c>
      <c r="C1456" s="200" t="s">
        <v>3588</v>
      </c>
      <c r="D1456" s="200" t="s">
        <v>3589</v>
      </c>
      <c r="E1456" s="5"/>
      <c r="F1456" s="8" t="s">
        <v>2640</v>
      </c>
    </row>
    <row r="1457" spans="1:6" s="8" customFormat="1" x14ac:dyDescent="0.2">
      <c r="A1457" s="200" t="s">
        <v>2666</v>
      </c>
      <c r="B1457" s="200" t="s">
        <v>3590</v>
      </c>
      <c r="C1457" s="200" t="s">
        <v>2641</v>
      </c>
      <c r="D1457" s="200" t="s">
        <v>2642</v>
      </c>
      <c r="E1457" s="5"/>
      <c r="F1457" s="8" t="s">
        <v>2640</v>
      </c>
    </row>
    <row r="1458" spans="1:6" s="8" customFormat="1" x14ac:dyDescent="0.2">
      <c r="A1458" s="200" t="s">
        <v>2666</v>
      </c>
      <c r="B1458" s="200" t="s">
        <v>3591</v>
      </c>
      <c r="C1458" s="200" t="s">
        <v>3592</v>
      </c>
      <c r="D1458" s="200" t="s">
        <v>3593</v>
      </c>
      <c r="E1458" s="5"/>
      <c r="F1458" s="8" t="s">
        <v>2640</v>
      </c>
    </row>
    <row r="1459" spans="1:6" s="8" customFormat="1" x14ac:dyDescent="0.2">
      <c r="A1459" s="200" t="s">
        <v>2666</v>
      </c>
      <c r="B1459" s="200" t="s">
        <v>3594</v>
      </c>
      <c r="C1459" s="200" t="s">
        <v>3595</v>
      </c>
      <c r="D1459" s="200" t="s">
        <v>3596</v>
      </c>
      <c r="E1459" s="5"/>
      <c r="F1459" s="8" t="s">
        <v>2640</v>
      </c>
    </row>
    <row r="1460" spans="1:6" s="8" customFormat="1" x14ac:dyDescent="0.2">
      <c r="A1460" s="200" t="s">
        <v>2666</v>
      </c>
      <c r="B1460" s="200" t="s">
        <v>3597</v>
      </c>
      <c r="C1460" s="200" t="s">
        <v>3598</v>
      </c>
      <c r="D1460" s="200" t="s">
        <v>3599</v>
      </c>
      <c r="E1460" s="5"/>
      <c r="F1460" s="8" t="s">
        <v>2640</v>
      </c>
    </row>
    <row r="1461" spans="1:6" s="8" customFormat="1" x14ac:dyDescent="0.2">
      <c r="A1461" s="200" t="s">
        <v>2666</v>
      </c>
      <c r="B1461" s="200" t="s">
        <v>3600</v>
      </c>
      <c r="C1461" s="200" t="s">
        <v>3601</v>
      </c>
      <c r="D1461" s="200" t="s">
        <v>3602</v>
      </c>
      <c r="E1461" s="5"/>
      <c r="F1461" s="8" t="s">
        <v>2640</v>
      </c>
    </row>
    <row r="1462" spans="1:6" s="8" customFormat="1" x14ac:dyDescent="0.2">
      <c r="A1462" s="200" t="s">
        <v>2666</v>
      </c>
      <c r="B1462" s="200" t="s">
        <v>3603</v>
      </c>
      <c r="C1462" s="200" t="s">
        <v>3604</v>
      </c>
      <c r="D1462" s="200" t="s">
        <v>3605</v>
      </c>
      <c r="E1462" s="5"/>
      <c r="F1462" s="8" t="s">
        <v>2643</v>
      </c>
    </row>
    <row r="1463" spans="1:6" s="8" customFormat="1" x14ac:dyDescent="0.2">
      <c r="A1463" s="200" t="s">
        <v>2666</v>
      </c>
      <c r="B1463" s="200" t="s">
        <v>3606</v>
      </c>
      <c r="C1463" s="200" t="s">
        <v>3607</v>
      </c>
      <c r="D1463" s="200" t="s">
        <v>3608</v>
      </c>
      <c r="E1463" s="5"/>
      <c r="F1463" s="8" t="s">
        <v>2643</v>
      </c>
    </row>
    <row r="1464" spans="1:6" s="8" customFormat="1" x14ac:dyDescent="0.2">
      <c r="A1464" s="200" t="s">
        <v>2666</v>
      </c>
      <c r="B1464" s="200" t="s">
        <v>3609</v>
      </c>
      <c r="C1464" s="200" t="s">
        <v>3610</v>
      </c>
      <c r="D1464" s="200" t="s">
        <v>3611</v>
      </c>
      <c r="E1464" s="5"/>
      <c r="F1464" s="8" t="s">
        <v>2643</v>
      </c>
    </row>
    <row r="1465" spans="1:6" s="8" customFormat="1" x14ac:dyDescent="0.2">
      <c r="A1465" s="200" t="s">
        <v>2666</v>
      </c>
      <c r="B1465" s="200" t="s">
        <v>3612</v>
      </c>
      <c r="C1465" s="200" t="s">
        <v>3613</v>
      </c>
      <c r="D1465" s="200" t="s">
        <v>3614</v>
      </c>
      <c r="E1465" s="5"/>
      <c r="F1465" s="8" t="s">
        <v>2643</v>
      </c>
    </row>
    <row r="1466" spans="1:6" s="8" customFormat="1" x14ac:dyDescent="0.2">
      <c r="A1466" s="200" t="s">
        <v>2666</v>
      </c>
      <c r="B1466" s="200" t="s">
        <v>3615</v>
      </c>
      <c r="C1466" s="200" t="s">
        <v>3616</v>
      </c>
      <c r="D1466" s="200" t="s">
        <v>3617</v>
      </c>
      <c r="E1466" s="5"/>
      <c r="F1466" s="8" t="s">
        <v>2643</v>
      </c>
    </row>
    <row r="1467" spans="1:6" s="8" customFormat="1" x14ac:dyDescent="0.2">
      <c r="A1467" s="200" t="s">
        <v>2666</v>
      </c>
      <c r="B1467" s="200" t="s">
        <v>3618</v>
      </c>
      <c r="C1467" s="200" t="s">
        <v>3619</v>
      </c>
      <c r="D1467" s="200" t="s">
        <v>3620</v>
      </c>
      <c r="E1467" s="5"/>
      <c r="F1467" s="8" t="s">
        <v>2643</v>
      </c>
    </row>
    <row r="1468" spans="1:6" s="8" customFormat="1" x14ac:dyDescent="0.2">
      <c r="A1468" s="200" t="s">
        <v>2666</v>
      </c>
      <c r="B1468" s="200" t="s">
        <v>3621</v>
      </c>
      <c r="C1468" s="200" t="s">
        <v>3622</v>
      </c>
      <c r="D1468" s="200" t="s">
        <v>3623</v>
      </c>
      <c r="E1468" s="5"/>
      <c r="F1468" s="8" t="s">
        <v>2643</v>
      </c>
    </row>
    <row r="1469" spans="1:6" s="8" customFormat="1" x14ac:dyDescent="0.2">
      <c r="A1469" s="200" t="s">
        <v>2666</v>
      </c>
      <c r="B1469" s="200" t="s">
        <v>3624</v>
      </c>
      <c r="C1469" s="200" t="s">
        <v>3625</v>
      </c>
      <c r="D1469" s="200" t="s">
        <v>3626</v>
      </c>
      <c r="E1469" s="5"/>
      <c r="F1469" s="8" t="s">
        <v>2643</v>
      </c>
    </row>
    <row r="1470" spans="1:6" s="8" customFormat="1" x14ac:dyDescent="0.2">
      <c r="A1470" s="200" t="s">
        <v>2666</v>
      </c>
      <c r="B1470" s="200" t="s">
        <v>3627</v>
      </c>
      <c r="C1470" s="200" t="s">
        <v>3628</v>
      </c>
      <c r="D1470" s="200" t="s">
        <v>3629</v>
      </c>
      <c r="E1470" s="5"/>
      <c r="F1470" s="8" t="s">
        <v>2643</v>
      </c>
    </row>
    <row r="1471" spans="1:6" s="8" customFormat="1" x14ac:dyDescent="0.2">
      <c r="A1471" s="200" t="s">
        <v>2666</v>
      </c>
      <c r="B1471" s="200" t="s">
        <v>3630</v>
      </c>
      <c r="C1471" s="200" t="s">
        <v>3631</v>
      </c>
      <c r="D1471" s="200" t="s">
        <v>3632</v>
      </c>
      <c r="E1471" s="5"/>
      <c r="F1471" s="8" t="s">
        <v>2643</v>
      </c>
    </row>
    <row r="1472" spans="1:6" s="8" customFormat="1" x14ac:dyDescent="0.2">
      <c r="A1472" s="200" t="s">
        <v>2666</v>
      </c>
      <c r="B1472" s="200" t="s">
        <v>3633</v>
      </c>
      <c r="C1472" s="200" t="s">
        <v>3634</v>
      </c>
      <c r="D1472" s="200" t="s">
        <v>3635</v>
      </c>
      <c r="E1472" s="5"/>
      <c r="F1472" s="8" t="s">
        <v>2643</v>
      </c>
    </row>
    <row r="1473" spans="1:6" s="8" customFormat="1" x14ac:dyDescent="0.2">
      <c r="A1473" s="200" t="s">
        <v>2666</v>
      </c>
      <c r="B1473" s="200" t="s">
        <v>3636</v>
      </c>
      <c r="C1473" s="200" t="s">
        <v>3637</v>
      </c>
      <c r="D1473" s="200" t="s">
        <v>3638</v>
      </c>
      <c r="E1473" s="5"/>
      <c r="F1473" s="8" t="s">
        <v>2643</v>
      </c>
    </row>
    <row r="1474" spans="1:6" s="8" customFormat="1" x14ac:dyDescent="0.2">
      <c r="A1474" s="200" t="s">
        <v>2666</v>
      </c>
      <c r="B1474" s="200" t="s">
        <v>3639</v>
      </c>
      <c r="C1474" s="200" t="s">
        <v>3640</v>
      </c>
      <c r="D1474" s="200" t="s">
        <v>3641</v>
      </c>
      <c r="E1474" s="5"/>
      <c r="F1474" s="8" t="s">
        <v>2643</v>
      </c>
    </row>
    <row r="1475" spans="1:6" s="8" customFormat="1" x14ac:dyDescent="0.2">
      <c r="A1475" s="200" t="s">
        <v>2666</v>
      </c>
      <c r="B1475" s="200" t="s">
        <v>3642</v>
      </c>
      <c r="C1475" s="200" t="s">
        <v>3643</v>
      </c>
      <c r="D1475" s="200" t="s">
        <v>3644</v>
      </c>
      <c r="E1475" s="5"/>
      <c r="F1475" s="8" t="s">
        <v>2643</v>
      </c>
    </row>
    <row r="1476" spans="1:6" s="8" customFormat="1" x14ac:dyDescent="0.2">
      <c r="A1476" s="200" t="s">
        <v>2666</v>
      </c>
      <c r="B1476" s="200" t="s">
        <v>3645</v>
      </c>
      <c r="C1476" s="200" t="s">
        <v>3646</v>
      </c>
      <c r="D1476" s="200" t="s">
        <v>3647</v>
      </c>
      <c r="E1476" s="5"/>
      <c r="F1476" s="8" t="s">
        <v>2643</v>
      </c>
    </row>
    <row r="1477" spans="1:6" s="8" customFormat="1" x14ac:dyDescent="0.2">
      <c r="A1477" s="200" t="s">
        <v>2666</v>
      </c>
      <c r="B1477" s="200" t="s">
        <v>3648</v>
      </c>
      <c r="C1477" s="200" t="s">
        <v>3649</v>
      </c>
      <c r="D1477" s="200" t="s">
        <v>3650</v>
      </c>
      <c r="E1477" s="5"/>
      <c r="F1477" s="8" t="s">
        <v>2643</v>
      </c>
    </row>
    <row r="1478" spans="1:6" s="8" customFormat="1" x14ac:dyDescent="0.2">
      <c r="A1478" s="200" t="s">
        <v>2666</v>
      </c>
      <c r="B1478" s="200" t="s">
        <v>3651</v>
      </c>
      <c r="C1478" s="200" t="s">
        <v>3652</v>
      </c>
      <c r="D1478" s="200" t="s">
        <v>3653</v>
      </c>
      <c r="E1478" s="5"/>
      <c r="F1478" s="8" t="s">
        <v>2643</v>
      </c>
    </row>
    <row r="1479" spans="1:6" s="8" customFormat="1" x14ac:dyDescent="0.2">
      <c r="A1479" s="200" t="s">
        <v>2666</v>
      </c>
      <c r="B1479" s="200" t="s">
        <v>3654</v>
      </c>
      <c r="C1479" s="200" t="s">
        <v>3655</v>
      </c>
      <c r="D1479" s="200" t="s">
        <v>3656</v>
      </c>
      <c r="E1479" s="5"/>
      <c r="F1479" s="8" t="s">
        <v>2643</v>
      </c>
    </row>
    <row r="1480" spans="1:6" s="8" customFormat="1" x14ac:dyDescent="0.2">
      <c r="A1480" s="200" t="s">
        <v>2666</v>
      </c>
      <c r="B1480" s="200" t="s">
        <v>3657</v>
      </c>
      <c r="C1480" s="200" t="s">
        <v>3658</v>
      </c>
      <c r="D1480" s="200" t="s">
        <v>3659</v>
      </c>
      <c r="E1480" s="5"/>
      <c r="F1480" s="8" t="s">
        <v>2643</v>
      </c>
    </row>
    <row r="1481" spans="1:6" s="8" customFormat="1" x14ac:dyDescent="0.2">
      <c r="A1481" s="200" t="s">
        <v>2666</v>
      </c>
      <c r="B1481" s="200" t="s">
        <v>3660</v>
      </c>
      <c r="C1481" s="200" t="s">
        <v>2644</v>
      </c>
      <c r="D1481" s="200" t="s">
        <v>3661</v>
      </c>
      <c r="E1481" s="5"/>
      <c r="F1481" s="8" t="s">
        <v>2643</v>
      </c>
    </row>
    <row r="1482" spans="1:6" s="8" customFormat="1" x14ac:dyDescent="0.2">
      <c r="A1482" s="200" t="s">
        <v>2666</v>
      </c>
      <c r="B1482" s="200" t="s">
        <v>3662</v>
      </c>
      <c r="C1482" s="200" t="s">
        <v>3663</v>
      </c>
      <c r="D1482" s="200" t="s">
        <v>3664</v>
      </c>
      <c r="E1482" s="5"/>
      <c r="F1482" s="8" t="s">
        <v>2643</v>
      </c>
    </row>
    <row r="1483" spans="1:6" s="8" customFormat="1" x14ac:dyDescent="0.2">
      <c r="A1483" s="200" t="s">
        <v>2666</v>
      </c>
      <c r="B1483" s="200" t="s">
        <v>3665</v>
      </c>
      <c r="C1483" s="200" t="s">
        <v>3666</v>
      </c>
      <c r="D1483" s="200" t="s">
        <v>3667</v>
      </c>
      <c r="E1483" s="5"/>
      <c r="F1483" s="8" t="s">
        <v>2643</v>
      </c>
    </row>
    <row r="1484" spans="1:6" s="8" customFormat="1" x14ac:dyDescent="0.2">
      <c r="A1484" s="200" t="s">
        <v>2666</v>
      </c>
      <c r="B1484" s="200" t="s">
        <v>3668</v>
      </c>
      <c r="C1484" s="200" t="s">
        <v>3669</v>
      </c>
      <c r="D1484" s="200" t="s">
        <v>3670</v>
      </c>
      <c r="E1484" s="5"/>
      <c r="F1484" s="8" t="s">
        <v>2643</v>
      </c>
    </row>
    <row r="1485" spans="1:6" s="8" customFormat="1" x14ac:dyDescent="0.2">
      <c r="A1485" s="200" t="s">
        <v>2666</v>
      </c>
      <c r="B1485" s="200" t="s">
        <v>3671</v>
      </c>
      <c r="C1485" s="200" t="s">
        <v>3672</v>
      </c>
      <c r="D1485" s="200" t="s">
        <v>3673</v>
      </c>
      <c r="E1485" s="5"/>
      <c r="F1485" s="8" t="s">
        <v>2643</v>
      </c>
    </row>
    <row r="1486" spans="1:6" s="8" customFormat="1" x14ac:dyDescent="0.2">
      <c r="A1486" s="200" t="s">
        <v>2666</v>
      </c>
      <c r="B1486" s="200" t="s">
        <v>3674</v>
      </c>
      <c r="C1486" s="200" t="s">
        <v>3675</v>
      </c>
      <c r="D1486" s="200" t="s">
        <v>3676</v>
      </c>
      <c r="E1486" s="5"/>
      <c r="F1486" s="8" t="s">
        <v>2643</v>
      </c>
    </row>
    <row r="1487" spans="1:6" s="8" customFormat="1" x14ac:dyDescent="0.2">
      <c r="A1487" s="200" t="s">
        <v>2666</v>
      </c>
      <c r="B1487" s="200" t="s">
        <v>3677</v>
      </c>
      <c r="C1487" s="200" t="s">
        <v>3678</v>
      </c>
      <c r="D1487" s="200" t="s">
        <v>3679</v>
      </c>
      <c r="E1487" s="5"/>
      <c r="F1487" s="8" t="s">
        <v>2643</v>
      </c>
    </row>
    <row r="1488" spans="1:6" s="8" customFormat="1" x14ac:dyDescent="0.2">
      <c r="A1488" s="200" t="s">
        <v>2666</v>
      </c>
      <c r="B1488" s="200" t="s">
        <v>3680</v>
      </c>
      <c r="C1488" s="200" t="s">
        <v>3681</v>
      </c>
      <c r="D1488" s="200" t="s">
        <v>3682</v>
      </c>
      <c r="E1488" s="5"/>
      <c r="F1488" s="8" t="s">
        <v>2643</v>
      </c>
    </row>
    <row r="1489" spans="1:6" s="8" customFormat="1" x14ac:dyDescent="0.2">
      <c r="A1489" s="200" t="s">
        <v>2666</v>
      </c>
      <c r="B1489" s="200" t="s">
        <v>3683</v>
      </c>
      <c r="C1489" s="200" t="s">
        <v>3684</v>
      </c>
      <c r="D1489" s="200" t="s">
        <v>3685</v>
      </c>
      <c r="E1489" s="5"/>
      <c r="F1489" s="8" t="s">
        <v>2643</v>
      </c>
    </row>
    <row r="1490" spans="1:6" s="8" customFormat="1" x14ac:dyDescent="0.2">
      <c r="A1490" s="200" t="s">
        <v>2666</v>
      </c>
      <c r="B1490" s="200" t="s">
        <v>3686</v>
      </c>
      <c r="C1490" s="200" t="s">
        <v>3687</v>
      </c>
      <c r="D1490" s="200" t="s">
        <v>3688</v>
      </c>
      <c r="E1490" s="5"/>
      <c r="F1490" s="8" t="s">
        <v>2643</v>
      </c>
    </row>
    <row r="1491" spans="1:6" s="8" customFormat="1" x14ac:dyDescent="0.2">
      <c r="A1491" s="200" t="s">
        <v>2666</v>
      </c>
      <c r="B1491" s="200" t="s">
        <v>3689</v>
      </c>
      <c r="C1491" s="200" t="s">
        <v>3690</v>
      </c>
      <c r="D1491" s="200" t="s">
        <v>3691</v>
      </c>
      <c r="E1491" s="5"/>
      <c r="F1491" s="8" t="s">
        <v>2643</v>
      </c>
    </row>
    <row r="1492" spans="1:6" s="8" customFormat="1" x14ac:dyDescent="0.2">
      <c r="A1492" s="200" t="s">
        <v>2666</v>
      </c>
      <c r="B1492" s="200" t="s">
        <v>3692</v>
      </c>
      <c r="C1492" s="200" t="s">
        <v>3693</v>
      </c>
      <c r="D1492" s="200" t="s">
        <v>3694</v>
      </c>
      <c r="E1492" s="5"/>
      <c r="F1492" s="8" t="s">
        <v>2643</v>
      </c>
    </row>
    <row r="1493" spans="1:6" s="8" customFormat="1" x14ac:dyDescent="0.2">
      <c r="A1493" s="200" t="s">
        <v>2666</v>
      </c>
      <c r="B1493" s="200" t="s">
        <v>3695</v>
      </c>
      <c r="C1493" s="200" t="s">
        <v>3696</v>
      </c>
      <c r="D1493" s="200" t="s">
        <v>3697</v>
      </c>
      <c r="E1493" s="5"/>
      <c r="F1493" s="8" t="s">
        <v>2646</v>
      </c>
    </row>
    <row r="1494" spans="1:6" s="8" customFormat="1" x14ac:dyDescent="0.2">
      <c r="A1494" s="200" t="s">
        <v>2666</v>
      </c>
      <c r="B1494" s="200" t="s">
        <v>3698</v>
      </c>
      <c r="C1494" s="200" t="s">
        <v>3699</v>
      </c>
      <c r="D1494" s="200" t="s">
        <v>3700</v>
      </c>
      <c r="E1494" s="5"/>
      <c r="F1494" s="8" t="s">
        <v>2646</v>
      </c>
    </row>
    <row r="1495" spans="1:6" s="8" customFormat="1" x14ac:dyDescent="0.2">
      <c r="A1495" s="200" t="s">
        <v>2666</v>
      </c>
      <c r="B1495" s="200" t="s">
        <v>3701</v>
      </c>
      <c r="C1495" s="200" t="s">
        <v>3702</v>
      </c>
      <c r="D1495" s="200" t="s">
        <v>3703</v>
      </c>
      <c r="E1495" s="5"/>
      <c r="F1495" s="8" t="s">
        <v>2646</v>
      </c>
    </row>
    <row r="1496" spans="1:6" s="8" customFormat="1" x14ac:dyDescent="0.2">
      <c r="A1496" s="200" t="s">
        <v>2666</v>
      </c>
      <c r="B1496" s="200" t="s">
        <v>3704</v>
      </c>
      <c r="C1496" s="200" t="s">
        <v>3705</v>
      </c>
      <c r="D1496" s="200" t="s">
        <v>3706</v>
      </c>
      <c r="E1496" s="5"/>
      <c r="F1496" s="8" t="s">
        <v>2646</v>
      </c>
    </row>
    <row r="1497" spans="1:6" s="8" customFormat="1" x14ac:dyDescent="0.2">
      <c r="A1497" s="200" t="s">
        <v>2666</v>
      </c>
      <c r="B1497" s="200" t="s">
        <v>3707</v>
      </c>
      <c r="C1497" s="200" t="s">
        <v>3708</v>
      </c>
      <c r="D1497" s="200" t="s">
        <v>3709</v>
      </c>
      <c r="E1497" s="5"/>
      <c r="F1497" s="8" t="s">
        <v>2646</v>
      </c>
    </row>
    <row r="1498" spans="1:6" s="8" customFormat="1" x14ac:dyDescent="0.2">
      <c r="A1498" s="200" t="s">
        <v>2666</v>
      </c>
      <c r="B1498" s="200" t="s">
        <v>3710</v>
      </c>
      <c r="C1498" s="200" t="s">
        <v>3711</v>
      </c>
      <c r="D1498" s="200" t="s">
        <v>3712</v>
      </c>
      <c r="E1498" s="5"/>
      <c r="F1498" s="8" t="s">
        <v>2646</v>
      </c>
    </row>
    <row r="1499" spans="1:6" s="8" customFormat="1" x14ac:dyDescent="0.2">
      <c r="A1499" s="200" t="s">
        <v>2666</v>
      </c>
      <c r="B1499" s="200" t="s">
        <v>3713</v>
      </c>
      <c r="C1499" s="200" t="s">
        <v>3714</v>
      </c>
      <c r="D1499" s="200" t="s">
        <v>3715</v>
      </c>
      <c r="E1499" s="5"/>
      <c r="F1499" s="8" t="s">
        <v>2646</v>
      </c>
    </row>
    <row r="1500" spans="1:6" s="8" customFormat="1" x14ac:dyDescent="0.2">
      <c r="A1500" s="200" t="s">
        <v>2666</v>
      </c>
      <c r="B1500" s="200" t="s">
        <v>3716</v>
      </c>
      <c r="C1500" s="200" t="s">
        <v>3717</v>
      </c>
      <c r="D1500" s="200" t="s">
        <v>3718</v>
      </c>
      <c r="E1500" s="5"/>
      <c r="F1500" s="8" t="s">
        <v>2646</v>
      </c>
    </row>
    <row r="1501" spans="1:6" s="8" customFormat="1" x14ac:dyDescent="0.2">
      <c r="A1501" s="200" t="s">
        <v>2666</v>
      </c>
      <c r="B1501" s="200" t="s">
        <v>3719</v>
      </c>
      <c r="C1501" s="200" t="s">
        <v>3720</v>
      </c>
      <c r="D1501" s="200" t="s">
        <v>3721</v>
      </c>
      <c r="E1501" s="5"/>
      <c r="F1501" s="8" t="s">
        <v>2646</v>
      </c>
    </row>
    <row r="1502" spans="1:6" s="8" customFormat="1" x14ac:dyDescent="0.2">
      <c r="A1502" s="200" t="s">
        <v>2666</v>
      </c>
      <c r="B1502" s="200" t="s">
        <v>3722</v>
      </c>
      <c r="C1502" s="200" t="s">
        <v>3723</v>
      </c>
      <c r="D1502" s="200" t="s">
        <v>3724</v>
      </c>
      <c r="E1502" s="5"/>
      <c r="F1502" s="8" t="s">
        <v>2646</v>
      </c>
    </row>
    <row r="1503" spans="1:6" s="8" customFormat="1" x14ac:dyDescent="0.2">
      <c r="A1503" s="200" t="s">
        <v>2666</v>
      </c>
      <c r="B1503" s="200" t="s">
        <v>3725</v>
      </c>
      <c r="C1503" s="200" t="s">
        <v>3726</v>
      </c>
      <c r="D1503" s="200" t="s">
        <v>3727</v>
      </c>
      <c r="E1503" s="5"/>
      <c r="F1503" s="8" t="s">
        <v>2646</v>
      </c>
    </row>
    <row r="1504" spans="1:6" s="8" customFormat="1" x14ac:dyDescent="0.2">
      <c r="A1504" s="200" t="s">
        <v>2666</v>
      </c>
      <c r="B1504" s="200" t="s">
        <v>3728</v>
      </c>
      <c r="C1504" s="200" t="s">
        <v>3729</v>
      </c>
      <c r="D1504" s="200" t="s">
        <v>3730</v>
      </c>
      <c r="E1504" s="5"/>
      <c r="F1504" s="8" t="s">
        <v>2646</v>
      </c>
    </row>
    <row r="1505" spans="1:6" s="8" customFormat="1" x14ac:dyDescent="0.2">
      <c r="A1505" s="200" t="s">
        <v>2666</v>
      </c>
      <c r="B1505" s="200" t="s">
        <v>3731</v>
      </c>
      <c r="C1505" s="200" t="s">
        <v>3732</v>
      </c>
      <c r="D1505" s="200" t="s">
        <v>3733</v>
      </c>
      <c r="E1505" s="5"/>
      <c r="F1505" s="8" t="s">
        <v>2646</v>
      </c>
    </row>
    <row r="1506" spans="1:6" s="8" customFormat="1" x14ac:dyDescent="0.2">
      <c r="A1506" s="200" t="s">
        <v>2666</v>
      </c>
      <c r="B1506" s="200" t="s">
        <v>3734</v>
      </c>
      <c r="C1506" s="200" t="s">
        <v>3735</v>
      </c>
      <c r="D1506" s="200" t="s">
        <v>3736</v>
      </c>
      <c r="E1506" s="5"/>
      <c r="F1506" s="8" t="s">
        <v>2646</v>
      </c>
    </row>
    <row r="1507" spans="1:6" s="8" customFormat="1" x14ac:dyDescent="0.2">
      <c r="A1507" s="200" t="s">
        <v>2666</v>
      </c>
      <c r="B1507" s="200" t="s">
        <v>3737</v>
      </c>
      <c r="C1507" s="200" t="s">
        <v>3738</v>
      </c>
      <c r="D1507" s="200" t="s">
        <v>3739</v>
      </c>
      <c r="E1507" s="5"/>
      <c r="F1507" s="8" t="s">
        <v>2646</v>
      </c>
    </row>
    <row r="1508" spans="1:6" s="8" customFormat="1" x14ac:dyDescent="0.2">
      <c r="A1508" s="200" t="s">
        <v>2666</v>
      </c>
      <c r="B1508" s="200" t="s">
        <v>3740</v>
      </c>
      <c r="C1508" s="200" t="s">
        <v>3741</v>
      </c>
      <c r="D1508" s="200" t="s">
        <v>3742</v>
      </c>
      <c r="E1508" s="5"/>
      <c r="F1508" s="8" t="s">
        <v>2646</v>
      </c>
    </row>
    <row r="1509" spans="1:6" s="8" customFormat="1" x14ac:dyDescent="0.2">
      <c r="A1509" s="200" t="s">
        <v>2666</v>
      </c>
      <c r="B1509" s="200" t="s">
        <v>3743</v>
      </c>
      <c r="C1509" s="200" t="s">
        <v>3744</v>
      </c>
      <c r="D1509" s="200" t="s">
        <v>3745</v>
      </c>
      <c r="E1509" s="5"/>
      <c r="F1509" s="8" t="s">
        <v>2646</v>
      </c>
    </row>
    <row r="1510" spans="1:6" s="8" customFormat="1" x14ac:dyDescent="0.2">
      <c r="A1510" s="200" t="s">
        <v>2666</v>
      </c>
      <c r="B1510" s="200" t="s">
        <v>3746</v>
      </c>
      <c r="C1510" s="200" t="s">
        <v>3747</v>
      </c>
      <c r="D1510" s="200" t="s">
        <v>3748</v>
      </c>
      <c r="E1510" s="5"/>
      <c r="F1510" s="8" t="s">
        <v>2646</v>
      </c>
    </row>
    <row r="1511" spans="1:6" s="8" customFormat="1" x14ac:dyDescent="0.2">
      <c r="A1511" s="200" t="s">
        <v>2666</v>
      </c>
      <c r="B1511" s="200" t="s">
        <v>3749</v>
      </c>
      <c r="C1511" s="200" t="s">
        <v>3750</v>
      </c>
      <c r="D1511" s="200" t="s">
        <v>3751</v>
      </c>
      <c r="E1511" s="5"/>
      <c r="F1511" s="8" t="s">
        <v>2646</v>
      </c>
    </row>
    <row r="1512" spans="1:6" s="8" customFormat="1" x14ac:dyDescent="0.2">
      <c r="A1512" s="200" t="s">
        <v>2666</v>
      </c>
      <c r="B1512" s="200" t="s">
        <v>3752</v>
      </c>
      <c r="C1512" s="200" t="s">
        <v>3753</v>
      </c>
      <c r="D1512" s="200" t="s">
        <v>3754</v>
      </c>
      <c r="E1512" s="5"/>
      <c r="F1512" s="8" t="s">
        <v>2646</v>
      </c>
    </row>
    <row r="1513" spans="1:6" s="8" customFormat="1" x14ac:dyDescent="0.2">
      <c r="A1513" s="200" t="s">
        <v>2666</v>
      </c>
      <c r="B1513" s="200" t="s">
        <v>3755</v>
      </c>
      <c r="C1513" s="200" t="s">
        <v>3756</v>
      </c>
      <c r="D1513" s="200" t="s">
        <v>3757</v>
      </c>
      <c r="E1513" s="5"/>
      <c r="F1513" s="8" t="s">
        <v>2646</v>
      </c>
    </row>
    <row r="1514" spans="1:6" s="8" customFormat="1" x14ac:dyDescent="0.2">
      <c r="A1514" s="200" t="s">
        <v>2666</v>
      </c>
      <c r="B1514" s="200" t="s">
        <v>3758</v>
      </c>
      <c r="C1514" s="200" t="s">
        <v>3759</v>
      </c>
      <c r="D1514" s="200" t="s">
        <v>3760</v>
      </c>
      <c r="E1514" s="5"/>
      <c r="F1514" s="8" t="s">
        <v>2646</v>
      </c>
    </row>
    <row r="1515" spans="1:6" s="8" customFormat="1" x14ac:dyDescent="0.2">
      <c r="A1515" s="200" t="s">
        <v>2666</v>
      </c>
      <c r="B1515" s="200" t="s">
        <v>3761</v>
      </c>
      <c r="C1515" s="200" t="s">
        <v>3762</v>
      </c>
      <c r="D1515" s="200" t="s">
        <v>3763</v>
      </c>
      <c r="E1515" s="5"/>
      <c r="F1515" s="8" t="s">
        <v>2646</v>
      </c>
    </row>
    <row r="1516" spans="1:6" s="8" customFormat="1" x14ac:dyDescent="0.2">
      <c r="A1516" s="200" t="s">
        <v>2666</v>
      </c>
      <c r="B1516" s="200" t="s">
        <v>3764</v>
      </c>
      <c r="C1516" s="200" t="s">
        <v>3765</v>
      </c>
      <c r="D1516" s="200" t="s">
        <v>3766</v>
      </c>
      <c r="E1516" s="5"/>
      <c r="F1516" s="8" t="s">
        <v>2646</v>
      </c>
    </row>
    <row r="1517" spans="1:6" s="8" customFormat="1" x14ac:dyDescent="0.2">
      <c r="A1517" s="200" t="s">
        <v>2666</v>
      </c>
      <c r="B1517" s="200" t="s">
        <v>3767</v>
      </c>
      <c r="C1517" s="200" t="s">
        <v>3768</v>
      </c>
      <c r="D1517" s="200" t="s">
        <v>3769</v>
      </c>
      <c r="E1517" s="5"/>
      <c r="F1517" s="8" t="s">
        <v>2646</v>
      </c>
    </row>
    <row r="1518" spans="1:6" s="8" customFormat="1" x14ac:dyDescent="0.2">
      <c r="A1518" s="200" t="s">
        <v>2666</v>
      </c>
      <c r="B1518" s="200" t="s">
        <v>3770</v>
      </c>
      <c r="C1518" s="200" t="s">
        <v>3771</v>
      </c>
      <c r="D1518" s="200" t="s">
        <v>3772</v>
      </c>
      <c r="E1518" s="5"/>
      <c r="F1518" s="8" t="s">
        <v>2646</v>
      </c>
    </row>
    <row r="1519" spans="1:6" s="8" customFormat="1" x14ac:dyDescent="0.2">
      <c r="A1519" s="200" t="s">
        <v>2666</v>
      </c>
      <c r="B1519" s="200" t="s">
        <v>3773</v>
      </c>
      <c r="C1519" s="200" t="s">
        <v>3774</v>
      </c>
      <c r="D1519" s="200" t="s">
        <v>3775</v>
      </c>
      <c r="E1519" s="5"/>
      <c r="F1519" s="8" t="s">
        <v>2646</v>
      </c>
    </row>
    <row r="1520" spans="1:6" s="8" customFormat="1" x14ac:dyDescent="0.2">
      <c r="A1520" s="200" t="s">
        <v>2666</v>
      </c>
      <c r="B1520" s="200" t="s">
        <v>3776</v>
      </c>
      <c r="C1520" s="200" t="s">
        <v>3777</v>
      </c>
      <c r="D1520" s="200" t="s">
        <v>3778</v>
      </c>
      <c r="E1520" s="5"/>
      <c r="F1520" s="8" t="s">
        <v>2646</v>
      </c>
    </row>
    <row r="1521" spans="1:6" s="8" customFormat="1" x14ac:dyDescent="0.2">
      <c r="A1521" s="200" t="s">
        <v>2666</v>
      </c>
      <c r="B1521" s="200" t="s">
        <v>3779</v>
      </c>
      <c r="C1521" s="200" t="s">
        <v>3780</v>
      </c>
      <c r="D1521" s="200" t="s">
        <v>3781</v>
      </c>
      <c r="E1521" s="5"/>
      <c r="F1521" s="8" t="s">
        <v>2646</v>
      </c>
    </row>
    <row r="1522" spans="1:6" s="8" customFormat="1" x14ac:dyDescent="0.2">
      <c r="A1522" s="200" t="s">
        <v>2666</v>
      </c>
      <c r="B1522" s="200" t="s">
        <v>3782</v>
      </c>
      <c r="C1522" s="200" t="s">
        <v>3783</v>
      </c>
      <c r="D1522" s="200" t="s">
        <v>3784</v>
      </c>
      <c r="E1522" s="5"/>
      <c r="F1522" s="8" t="s">
        <v>2646</v>
      </c>
    </row>
    <row r="1523" spans="1:6" s="8" customFormat="1" x14ac:dyDescent="0.2">
      <c r="A1523" s="200" t="s">
        <v>2666</v>
      </c>
      <c r="B1523" s="200" t="s">
        <v>3785</v>
      </c>
      <c r="C1523" s="200" t="s">
        <v>3786</v>
      </c>
      <c r="D1523" s="200" t="s">
        <v>3787</v>
      </c>
      <c r="E1523" s="5"/>
      <c r="F1523" s="8" t="s">
        <v>2646</v>
      </c>
    </row>
    <row r="1524" spans="1:6" s="8" customFormat="1" x14ac:dyDescent="0.2">
      <c r="A1524" s="200" t="s">
        <v>2666</v>
      </c>
      <c r="B1524" s="200" t="s">
        <v>3788</v>
      </c>
      <c r="C1524" s="200" t="s">
        <v>3789</v>
      </c>
      <c r="D1524" s="200" t="s">
        <v>3790</v>
      </c>
      <c r="E1524" s="5"/>
      <c r="F1524" s="8" t="s">
        <v>2646</v>
      </c>
    </row>
    <row r="1525" spans="1:6" s="8" customFormat="1" x14ac:dyDescent="0.2">
      <c r="A1525" s="200" t="s">
        <v>2666</v>
      </c>
      <c r="B1525" s="200" t="s">
        <v>3791</v>
      </c>
      <c r="C1525" s="200" t="s">
        <v>3792</v>
      </c>
      <c r="D1525" s="200" t="s">
        <v>3793</v>
      </c>
      <c r="E1525" s="5"/>
      <c r="F1525" s="8" t="s">
        <v>2646</v>
      </c>
    </row>
    <row r="1526" spans="1:6" s="8" customFormat="1" x14ac:dyDescent="0.2">
      <c r="A1526" s="200" t="s">
        <v>2666</v>
      </c>
      <c r="B1526" s="200" t="s">
        <v>3794</v>
      </c>
      <c r="C1526" s="200" t="s">
        <v>3795</v>
      </c>
      <c r="D1526" s="200" t="s">
        <v>3796</v>
      </c>
      <c r="E1526" s="5"/>
      <c r="F1526" s="8" t="s">
        <v>2646</v>
      </c>
    </row>
    <row r="1527" spans="1:6" s="8" customFormat="1" x14ac:dyDescent="0.2">
      <c r="A1527" s="200" t="s">
        <v>2666</v>
      </c>
      <c r="B1527" s="200" t="s">
        <v>3797</v>
      </c>
      <c r="C1527" s="200" t="s">
        <v>3798</v>
      </c>
      <c r="D1527" s="200" t="s">
        <v>3799</v>
      </c>
      <c r="E1527" s="5"/>
      <c r="F1527" s="8" t="s">
        <v>2646</v>
      </c>
    </row>
    <row r="1528" spans="1:6" s="8" customFormat="1" x14ac:dyDescent="0.2">
      <c r="A1528" s="200" t="s">
        <v>2666</v>
      </c>
      <c r="B1528" s="200" t="s">
        <v>3800</v>
      </c>
      <c r="C1528" s="200" t="s">
        <v>3801</v>
      </c>
      <c r="D1528" s="200" t="s">
        <v>3802</v>
      </c>
      <c r="E1528" s="5"/>
      <c r="F1528" s="8" t="s">
        <v>2646</v>
      </c>
    </row>
    <row r="1529" spans="1:6" s="8" customFormat="1" x14ac:dyDescent="0.2">
      <c r="A1529" s="200" t="s">
        <v>2666</v>
      </c>
      <c r="B1529" s="200" t="s">
        <v>3803</v>
      </c>
      <c r="C1529" s="200" t="s">
        <v>3804</v>
      </c>
      <c r="D1529" s="200" t="s">
        <v>3805</v>
      </c>
      <c r="E1529" s="5"/>
      <c r="F1529" s="8" t="s">
        <v>2646</v>
      </c>
    </row>
    <row r="1530" spans="1:6" s="8" customFormat="1" x14ac:dyDescent="0.2">
      <c r="A1530" s="200" t="s">
        <v>2666</v>
      </c>
      <c r="B1530" s="200" t="s">
        <v>3806</v>
      </c>
      <c r="C1530" s="200" t="s">
        <v>3807</v>
      </c>
      <c r="D1530" s="200" t="s">
        <v>3808</v>
      </c>
      <c r="E1530" s="5"/>
      <c r="F1530" s="8" t="s">
        <v>2646</v>
      </c>
    </row>
    <row r="1531" spans="1:6" s="8" customFormat="1" x14ac:dyDescent="0.2">
      <c r="A1531" s="200" t="s">
        <v>2666</v>
      </c>
      <c r="B1531" s="200" t="s">
        <v>3809</v>
      </c>
      <c r="C1531" s="200" t="s">
        <v>3810</v>
      </c>
      <c r="D1531" s="200" t="s">
        <v>3811</v>
      </c>
      <c r="E1531" s="5"/>
      <c r="F1531" s="8" t="s">
        <v>2646</v>
      </c>
    </row>
    <row r="1532" spans="1:6" s="8" customFormat="1" x14ac:dyDescent="0.2">
      <c r="A1532" s="200" t="s">
        <v>2666</v>
      </c>
      <c r="B1532" s="200" t="s">
        <v>3812</v>
      </c>
      <c r="C1532" s="200" t="s">
        <v>3813</v>
      </c>
      <c r="D1532" s="200" t="s">
        <v>3814</v>
      </c>
      <c r="E1532" s="5"/>
      <c r="F1532" s="8" t="s">
        <v>2646</v>
      </c>
    </row>
    <row r="1533" spans="1:6" s="8" customFormat="1" x14ac:dyDescent="0.2">
      <c r="A1533" s="200" t="s">
        <v>2666</v>
      </c>
      <c r="B1533" s="200" t="s">
        <v>3815</v>
      </c>
      <c r="C1533" s="200" t="s">
        <v>3816</v>
      </c>
      <c r="D1533" s="200" t="s">
        <v>3817</v>
      </c>
      <c r="E1533" s="5"/>
      <c r="F1533" s="8" t="s">
        <v>2646</v>
      </c>
    </row>
    <row r="1534" spans="1:6" s="8" customFormat="1" x14ac:dyDescent="0.2">
      <c r="A1534" s="200" t="s">
        <v>2666</v>
      </c>
      <c r="B1534" s="200" t="s">
        <v>3818</v>
      </c>
      <c r="C1534" s="200" t="s">
        <v>3819</v>
      </c>
      <c r="D1534" s="200" t="s">
        <v>3820</v>
      </c>
      <c r="E1534" s="5"/>
      <c r="F1534" s="8" t="s">
        <v>2646</v>
      </c>
    </row>
    <row r="1535" spans="1:6" s="8" customFormat="1" x14ac:dyDescent="0.2">
      <c r="A1535" s="200" t="s">
        <v>2666</v>
      </c>
      <c r="B1535" s="200" t="s">
        <v>3821</v>
      </c>
      <c r="C1535" s="200" t="s">
        <v>3822</v>
      </c>
      <c r="D1535" s="200" t="s">
        <v>3823</v>
      </c>
      <c r="E1535" s="5"/>
      <c r="F1535" s="8" t="s">
        <v>2646</v>
      </c>
    </row>
    <row r="1536" spans="1:6" s="8" customFormat="1" x14ac:dyDescent="0.2">
      <c r="A1536" s="200" t="s">
        <v>2666</v>
      </c>
      <c r="B1536" s="200" t="s">
        <v>3824</v>
      </c>
      <c r="C1536" s="200" t="s">
        <v>3825</v>
      </c>
      <c r="D1536" s="200" t="s">
        <v>3826</v>
      </c>
      <c r="E1536" s="5"/>
      <c r="F1536" s="8" t="s">
        <v>2646</v>
      </c>
    </row>
    <row r="1537" spans="1:6" s="8" customFormat="1" x14ac:dyDescent="0.2">
      <c r="A1537" s="200" t="s">
        <v>2666</v>
      </c>
      <c r="B1537" s="200" t="s">
        <v>3827</v>
      </c>
      <c r="C1537" s="200" t="s">
        <v>3828</v>
      </c>
      <c r="D1537" s="200" t="s">
        <v>3829</v>
      </c>
      <c r="E1537" s="5"/>
      <c r="F1537" s="8" t="s">
        <v>2646</v>
      </c>
    </row>
    <row r="1538" spans="1:6" s="8" customFormat="1" x14ac:dyDescent="0.2">
      <c r="A1538" s="200" t="s">
        <v>2666</v>
      </c>
      <c r="B1538" s="200" t="s">
        <v>3830</v>
      </c>
      <c r="C1538" s="200" t="s">
        <v>3831</v>
      </c>
      <c r="D1538" s="200" t="s">
        <v>3832</v>
      </c>
      <c r="E1538" s="5"/>
      <c r="F1538" s="8" t="s">
        <v>2646</v>
      </c>
    </row>
    <row r="1539" spans="1:6" s="8" customFormat="1" x14ac:dyDescent="0.2">
      <c r="A1539" s="200" t="s">
        <v>2666</v>
      </c>
      <c r="B1539" s="200" t="s">
        <v>3833</v>
      </c>
      <c r="C1539" s="200" t="s">
        <v>3834</v>
      </c>
      <c r="D1539" s="200" t="s">
        <v>3835</v>
      </c>
      <c r="E1539" s="5"/>
      <c r="F1539" s="8" t="s">
        <v>2646</v>
      </c>
    </row>
    <row r="1540" spans="1:6" s="8" customFormat="1" x14ac:dyDescent="0.2">
      <c r="A1540" s="200" t="s">
        <v>2666</v>
      </c>
      <c r="B1540" s="200" t="s">
        <v>3836</v>
      </c>
      <c r="C1540" s="200" t="s">
        <v>3837</v>
      </c>
      <c r="D1540" s="200" t="s">
        <v>3838</v>
      </c>
      <c r="E1540" s="5"/>
      <c r="F1540" s="8" t="s">
        <v>2646</v>
      </c>
    </row>
    <row r="1541" spans="1:6" s="8" customFormat="1" x14ac:dyDescent="0.2">
      <c r="A1541" s="200" t="s">
        <v>2666</v>
      </c>
      <c r="B1541" s="200" t="s">
        <v>3839</v>
      </c>
      <c r="C1541" s="200" t="s">
        <v>3840</v>
      </c>
      <c r="D1541" s="200" t="s">
        <v>3841</v>
      </c>
      <c r="E1541" s="5"/>
      <c r="F1541" s="8" t="s">
        <v>2646</v>
      </c>
    </row>
    <row r="1542" spans="1:6" s="8" customFormat="1" x14ac:dyDescent="0.2">
      <c r="A1542" s="200" t="s">
        <v>2666</v>
      </c>
      <c r="B1542" s="200" t="s">
        <v>3842</v>
      </c>
      <c r="C1542" s="200" t="s">
        <v>3843</v>
      </c>
      <c r="D1542" s="200" t="s">
        <v>3844</v>
      </c>
      <c r="E1542" s="5"/>
      <c r="F1542" s="8" t="s">
        <v>2646</v>
      </c>
    </row>
    <row r="1543" spans="1:6" s="8" customFormat="1" x14ac:dyDescent="0.2">
      <c r="A1543" s="200" t="s">
        <v>2666</v>
      </c>
      <c r="B1543" s="200" t="s">
        <v>3845</v>
      </c>
      <c r="C1543" s="200" t="s">
        <v>3846</v>
      </c>
      <c r="D1543" s="200" t="s">
        <v>3847</v>
      </c>
      <c r="E1543" s="5"/>
      <c r="F1543" s="8" t="s">
        <v>2646</v>
      </c>
    </row>
    <row r="1544" spans="1:6" s="8" customFormat="1" x14ac:dyDescent="0.2">
      <c r="A1544" s="200" t="s">
        <v>2666</v>
      </c>
      <c r="B1544" s="200" t="s">
        <v>3848</v>
      </c>
      <c r="C1544" s="200" t="s">
        <v>3849</v>
      </c>
      <c r="D1544" s="200" t="s">
        <v>3850</v>
      </c>
      <c r="E1544" s="5"/>
      <c r="F1544" s="8" t="s">
        <v>2646</v>
      </c>
    </row>
    <row r="1545" spans="1:6" s="8" customFormat="1" x14ac:dyDescent="0.2">
      <c r="A1545" s="200" t="s">
        <v>2666</v>
      </c>
      <c r="B1545" s="200" t="s">
        <v>3851</v>
      </c>
      <c r="C1545" s="200" t="s">
        <v>3852</v>
      </c>
      <c r="D1545" s="200" t="s">
        <v>3853</v>
      </c>
      <c r="E1545" s="5"/>
      <c r="F1545" s="8" t="s">
        <v>2646</v>
      </c>
    </row>
    <row r="1546" spans="1:6" s="8" customFormat="1" x14ac:dyDescent="0.2">
      <c r="A1546" s="200" t="s">
        <v>2666</v>
      </c>
      <c r="B1546" s="200" t="s">
        <v>3854</v>
      </c>
      <c r="C1546" s="200" t="s">
        <v>3855</v>
      </c>
      <c r="D1546" s="200" t="s">
        <v>3856</v>
      </c>
      <c r="E1546" s="5"/>
      <c r="F1546" s="8" t="s">
        <v>2646</v>
      </c>
    </row>
    <row r="1547" spans="1:6" s="8" customFormat="1" x14ac:dyDescent="0.2">
      <c r="A1547" s="200" t="s">
        <v>2666</v>
      </c>
      <c r="B1547" s="200" t="s">
        <v>3857</v>
      </c>
      <c r="C1547" s="200" t="s">
        <v>3858</v>
      </c>
      <c r="D1547" s="200" t="s">
        <v>3859</v>
      </c>
      <c r="E1547" s="5"/>
      <c r="F1547" s="8" t="s">
        <v>2646</v>
      </c>
    </row>
    <row r="1548" spans="1:6" s="8" customFormat="1" x14ac:dyDescent="0.2">
      <c r="A1548" s="200" t="s">
        <v>2666</v>
      </c>
      <c r="B1548" s="200" t="s">
        <v>3860</v>
      </c>
      <c r="C1548" s="200" t="s">
        <v>3861</v>
      </c>
      <c r="D1548" s="200" t="s">
        <v>3862</v>
      </c>
      <c r="E1548" s="5"/>
      <c r="F1548" s="8" t="s">
        <v>2646</v>
      </c>
    </row>
    <row r="1549" spans="1:6" s="8" customFormat="1" x14ac:dyDescent="0.2">
      <c r="A1549" s="200" t="s">
        <v>2666</v>
      </c>
      <c r="B1549" s="200" t="s">
        <v>3863</v>
      </c>
      <c r="C1549" s="200" t="s">
        <v>3864</v>
      </c>
      <c r="D1549" s="200" t="s">
        <v>3865</v>
      </c>
      <c r="E1549" s="5"/>
      <c r="F1549" s="8" t="s">
        <v>2649</v>
      </c>
    </row>
    <row r="1550" spans="1:6" s="8" customFormat="1" x14ac:dyDescent="0.2">
      <c r="A1550" s="200" t="s">
        <v>2666</v>
      </c>
      <c r="B1550" s="200" t="s">
        <v>3866</v>
      </c>
      <c r="C1550" s="200" t="s">
        <v>3867</v>
      </c>
      <c r="D1550" s="200" t="s">
        <v>3868</v>
      </c>
      <c r="E1550" s="5"/>
      <c r="F1550" s="8" t="s">
        <v>2649</v>
      </c>
    </row>
    <row r="1551" spans="1:6" s="8" customFormat="1" x14ac:dyDescent="0.2">
      <c r="A1551" s="200" t="s">
        <v>2666</v>
      </c>
      <c r="B1551" s="200" t="s">
        <v>3869</v>
      </c>
      <c r="C1551" s="200" t="s">
        <v>3870</v>
      </c>
      <c r="D1551" s="200" t="s">
        <v>3871</v>
      </c>
      <c r="E1551" s="5"/>
      <c r="F1551" s="8" t="s">
        <v>2649</v>
      </c>
    </row>
    <row r="1552" spans="1:6" s="8" customFormat="1" x14ac:dyDescent="0.2">
      <c r="A1552" s="200" t="s">
        <v>2666</v>
      </c>
      <c r="B1552" s="200" t="s">
        <v>3872</v>
      </c>
      <c r="C1552" s="200" t="s">
        <v>3873</v>
      </c>
      <c r="D1552" s="200" t="s">
        <v>3874</v>
      </c>
      <c r="E1552" s="5"/>
      <c r="F1552" s="8" t="s">
        <v>2649</v>
      </c>
    </row>
    <row r="1553" spans="1:6" s="8" customFormat="1" x14ac:dyDescent="0.2">
      <c r="A1553" s="200" t="s">
        <v>2666</v>
      </c>
      <c r="B1553" s="200" t="s">
        <v>3875</v>
      </c>
      <c r="C1553" s="200" t="s">
        <v>3876</v>
      </c>
      <c r="D1553" s="200" t="s">
        <v>3877</v>
      </c>
      <c r="E1553" s="5"/>
      <c r="F1553" s="8" t="s">
        <v>2649</v>
      </c>
    </row>
    <row r="1554" spans="1:6" s="8" customFormat="1" x14ac:dyDescent="0.2">
      <c r="A1554" s="200" t="s">
        <v>2666</v>
      </c>
      <c r="B1554" s="200" t="s">
        <v>3878</v>
      </c>
      <c r="C1554" s="200" t="s">
        <v>3879</v>
      </c>
      <c r="D1554" s="200" t="s">
        <v>3880</v>
      </c>
      <c r="E1554" s="5"/>
      <c r="F1554" s="8" t="s">
        <v>2649</v>
      </c>
    </row>
    <row r="1555" spans="1:6" s="8" customFormat="1" x14ac:dyDescent="0.2">
      <c r="A1555" s="200" t="s">
        <v>2666</v>
      </c>
      <c r="B1555" s="200" t="s">
        <v>3881</v>
      </c>
      <c r="C1555" s="200" t="s">
        <v>3882</v>
      </c>
      <c r="D1555" s="200" t="s">
        <v>3883</v>
      </c>
      <c r="E1555" s="5"/>
      <c r="F1555" s="8" t="s">
        <v>2649</v>
      </c>
    </row>
    <row r="1556" spans="1:6" s="8" customFormat="1" x14ac:dyDescent="0.2">
      <c r="A1556" s="200" t="s">
        <v>2666</v>
      </c>
      <c r="B1556" s="200" t="s">
        <v>3884</v>
      </c>
      <c r="C1556" s="200" t="s">
        <v>2650</v>
      </c>
      <c r="D1556" s="200" t="s">
        <v>2651</v>
      </c>
      <c r="E1556" s="5"/>
      <c r="F1556" s="8" t="s">
        <v>2649</v>
      </c>
    </row>
    <row r="1557" spans="1:6" s="8" customFormat="1" x14ac:dyDescent="0.2">
      <c r="A1557" s="200" t="s">
        <v>2666</v>
      </c>
      <c r="B1557" s="200" t="s">
        <v>3885</v>
      </c>
      <c r="C1557" s="200" t="s">
        <v>3886</v>
      </c>
      <c r="D1557" s="200" t="s">
        <v>3887</v>
      </c>
      <c r="E1557" s="5"/>
      <c r="F1557" s="8" t="s">
        <v>2649</v>
      </c>
    </row>
    <row r="1558" spans="1:6" s="8" customFormat="1" x14ac:dyDescent="0.2">
      <c r="A1558" s="200" t="s">
        <v>2666</v>
      </c>
      <c r="B1558" s="200" t="s">
        <v>3888</v>
      </c>
      <c r="C1558" s="200" t="s">
        <v>3889</v>
      </c>
      <c r="D1558" s="200" t="s">
        <v>3890</v>
      </c>
      <c r="E1558" s="5"/>
      <c r="F1558" s="8" t="s">
        <v>2649</v>
      </c>
    </row>
    <row r="1559" spans="1:6" s="8" customFormat="1" x14ac:dyDescent="0.2">
      <c r="A1559" s="200" t="s">
        <v>2666</v>
      </c>
      <c r="B1559" s="200" t="s">
        <v>3891</v>
      </c>
      <c r="C1559" s="200" t="s">
        <v>3892</v>
      </c>
      <c r="D1559" s="200" t="s">
        <v>3893</v>
      </c>
      <c r="E1559" s="5"/>
      <c r="F1559" s="8" t="s">
        <v>2649</v>
      </c>
    </row>
    <row r="1560" spans="1:6" s="8" customFormat="1" x14ac:dyDescent="0.2">
      <c r="A1560" s="200" t="s">
        <v>2666</v>
      </c>
      <c r="B1560" s="200" t="s">
        <v>3894</v>
      </c>
      <c r="C1560" s="200" t="s">
        <v>3895</v>
      </c>
      <c r="D1560" s="200" t="s">
        <v>3896</v>
      </c>
      <c r="E1560" s="5"/>
      <c r="F1560" s="8" t="s">
        <v>2649</v>
      </c>
    </row>
    <row r="1561" spans="1:6" s="8" customFormat="1" x14ac:dyDescent="0.2">
      <c r="A1561" s="200" t="s">
        <v>2666</v>
      </c>
      <c r="B1561" s="200" t="s">
        <v>3897</v>
      </c>
      <c r="C1561" s="200" t="s">
        <v>3898</v>
      </c>
      <c r="D1561" s="200" t="s">
        <v>3899</v>
      </c>
      <c r="E1561" s="5"/>
      <c r="F1561" s="8" t="s">
        <v>2649</v>
      </c>
    </row>
    <row r="1562" spans="1:6" s="8" customFormat="1" x14ac:dyDescent="0.2">
      <c r="A1562" s="200" t="s">
        <v>2666</v>
      </c>
      <c r="B1562" s="200" t="s">
        <v>3900</v>
      </c>
      <c r="C1562" s="200" t="s">
        <v>3901</v>
      </c>
      <c r="D1562" s="200" t="s">
        <v>3902</v>
      </c>
      <c r="E1562" s="5"/>
      <c r="F1562" s="8" t="s">
        <v>2649</v>
      </c>
    </row>
    <row r="1563" spans="1:6" s="8" customFormat="1" x14ac:dyDescent="0.2">
      <c r="A1563" s="200" t="s">
        <v>2666</v>
      </c>
      <c r="B1563" s="200" t="s">
        <v>3903</v>
      </c>
      <c r="C1563" s="200" t="s">
        <v>3904</v>
      </c>
      <c r="D1563" s="200" t="s">
        <v>3905</v>
      </c>
      <c r="E1563" s="5"/>
      <c r="F1563" s="8" t="s">
        <v>2649</v>
      </c>
    </row>
    <row r="1564" spans="1:6" s="8" customFormat="1" x14ac:dyDescent="0.2">
      <c r="A1564" s="200" t="s">
        <v>2666</v>
      </c>
      <c r="B1564" s="200" t="s">
        <v>3906</v>
      </c>
      <c r="C1564" s="200" t="s">
        <v>3907</v>
      </c>
      <c r="D1564" s="200" t="s">
        <v>3908</v>
      </c>
      <c r="E1564" s="5"/>
      <c r="F1564" s="8" t="s">
        <v>2649</v>
      </c>
    </row>
    <row r="1565" spans="1:6" s="8" customFormat="1" x14ac:dyDescent="0.2">
      <c r="A1565" s="200" t="s">
        <v>2666</v>
      </c>
      <c r="B1565" s="200" t="s">
        <v>3909</v>
      </c>
      <c r="C1565" s="200" t="s">
        <v>3910</v>
      </c>
      <c r="D1565" s="200" t="s">
        <v>3911</v>
      </c>
      <c r="E1565" s="5"/>
      <c r="F1565" s="8" t="s">
        <v>2649</v>
      </c>
    </row>
    <row r="1566" spans="1:6" s="8" customFormat="1" x14ac:dyDescent="0.2">
      <c r="A1566" s="200" t="s">
        <v>2666</v>
      </c>
      <c r="B1566" s="200" t="s">
        <v>3912</v>
      </c>
      <c r="C1566" s="200" t="s">
        <v>3913</v>
      </c>
      <c r="D1566" s="200" t="s">
        <v>3914</v>
      </c>
      <c r="E1566" s="5"/>
      <c r="F1566" s="8" t="s">
        <v>2649</v>
      </c>
    </row>
    <row r="1567" spans="1:6" s="8" customFormat="1" x14ac:dyDescent="0.2">
      <c r="A1567" s="200" t="s">
        <v>2666</v>
      </c>
      <c r="B1567" s="200" t="s">
        <v>3915</v>
      </c>
      <c r="C1567" s="200" t="s">
        <v>3916</v>
      </c>
      <c r="D1567" s="200" t="s">
        <v>3917</v>
      </c>
      <c r="E1567" s="5"/>
      <c r="F1567" s="8" t="s">
        <v>2649</v>
      </c>
    </row>
    <row r="1568" spans="1:6" s="8" customFormat="1" x14ac:dyDescent="0.2">
      <c r="A1568" s="200" t="s">
        <v>2666</v>
      </c>
      <c r="B1568" s="200" t="s">
        <v>3918</v>
      </c>
      <c r="C1568" s="200" t="s">
        <v>3919</v>
      </c>
      <c r="D1568" s="200" t="s">
        <v>3920</v>
      </c>
      <c r="E1568" s="5"/>
      <c r="F1568" s="8" t="s">
        <v>2649</v>
      </c>
    </row>
    <row r="1569" spans="1:6" s="8" customFormat="1" x14ac:dyDescent="0.2">
      <c r="A1569" s="200" t="s">
        <v>2666</v>
      </c>
      <c r="B1569" s="200" t="s">
        <v>3921</v>
      </c>
      <c r="C1569" s="200" t="s">
        <v>3922</v>
      </c>
      <c r="D1569" s="200" t="s">
        <v>3923</v>
      </c>
      <c r="E1569" s="5"/>
      <c r="F1569" s="8" t="s">
        <v>2649</v>
      </c>
    </row>
    <row r="1570" spans="1:6" s="8" customFormat="1" x14ac:dyDescent="0.2">
      <c r="A1570" s="200" t="s">
        <v>2666</v>
      </c>
      <c r="B1570" s="200" t="s">
        <v>3924</v>
      </c>
      <c r="C1570" s="200" t="s">
        <v>3925</v>
      </c>
      <c r="D1570" s="200" t="s">
        <v>3926</v>
      </c>
      <c r="E1570" s="5"/>
      <c r="F1570" s="8" t="s">
        <v>2649</v>
      </c>
    </row>
    <row r="1571" spans="1:6" s="8" customFormat="1" x14ac:dyDescent="0.2">
      <c r="A1571" s="200" t="s">
        <v>2666</v>
      </c>
      <c r="B1571" s="200" t="s">
        <v>3885</v>
      </c>
      <c r="C1571" s="200" t="s">
        <v>3886</v>
      </c>
      <c r="D1571" s="200" t="s">
        <v>3887</v>
      </c>
      <c r="E1571" s="5"/>
      <c r="F1571" s="8" t="s">
        <v>2649</v>
      </c>
    </row>
    <row r="1572" spans="1:6" s="8" customFormat="1" x14ac:dyDescent="0.2">
      <c r="A1572" s="200" t="s">
        <v>2666</v>
      </c>
      <c r="B1572" s="200" t="s">
        <v>3927</v>
      </c>
      <c r="C1572" s="200" t="s">
        <v>3928</v>
      </c>
      <c r="D1572" s="200" t="s">
        <v>3929</v>
      </c>
      <c r="E1572" s="5"/>
      <c r="F1572" s="8" t="s">
        <v>2652</v>
      </c>
    </row>
    <row r="1573" spans="1:6" s="8" customFormat="1" x14ac:dyDescent="0.2">
      <c r="A1573" s="200" t="s">
        <v>2666</v>
      </c>
      <c r="B1573" s="200" t="s">
        <v>3930</v>
      </c>
      <c r="C1573" s="200" t="s">
        <v>3931</v>
      </c>
      <c r="D1573" s="200" t="s">
        <v>3932</v>
      </c>
      <c r="E1573" s="5"/>
      <c r="F1573" s="8" t="s">
        <v>2652</v>
      </c>
    </row>
    <row r="1574" spans="1:6" s="8" customFormat="1" x14ac:dyDescent="0.2">
      <c r="A1574" s="200" t="s">
        <v>2666</v>
      </c>
      <c r="B1574" s="200" t="s">
        <v>3933</v>
      </c>
      <c r="C1574" s="200" t="s">
        <v>3934</v>
      </c>
      <c r="D1574" s="200" t="s">
        <v>3935</v>
      </c>
      <c r="E1574" s="5"/>
      <c r="F1574" s="8" t="s">
        <v>2652</v>
      </c>
    </row>
    <row r="1575" spans="1:6" s="8" customFormat="1" x14ac:dyDescent="0.2">
      <c r="A1575" s="200" t="s">
        <v>2666</v>
      </c>
      <c r="B1575" s="200" t="s">
        <v>3936</v>
      </c>
      <c r="C1575" s="200" t="s">
        <v>3937</v>
      </c>
      <c r="D1575" s="200" t="s">
        <v>3938</v>
      </c>
      <c r="E1575" s="5"/>
      <c r="F1575" s="8" t="s">
        <v>2652</v>
      </c>
    </row>
    <row r="1576" spans="1:6" s="8" customFormat="1" x14ac:dyDescent="0.2">
      <c r="A1576" s="200" t="s">
        <v>2666</v>
      </c>
      <c r="B1576" s="200" t="s">
        <v>3939</v>
      </c>
      <c r="C1576" s="200" t="s">
        <v>3940</v>
      </c>
      <c r="D1576" s="200" t="s">
        <v>3941</v>
      </c>
      <c r="E1576" s="5"/>
      <c r="F1576" s="8" t="s">
        <v>2652</v>
      </c>
    </row>
    <row r="1577" spans="1:6" s="8" customFormat="1" x14ac:dyDescent="0.2">
      <c r="A1577" s="200" t="s">
        <v>2666</v>
      </c>
      <c r="B1577" s="200" t="s">
        <v>3942</v>
      </c>
      <c r="C1577" s="200" t="s">
        <v>3943</v>
      </c>
      <c r="D1577" s="200" t="s">
        <v>3944</v>
      </c>
      <c r="E1577" s="5"/>
      <c r="F1577" s="8" t="s">
        <v>2652</v>
      </c>
    </row>
    <row r="1578" spans="1:6" s="8" customFormat="1" x14ac:dyDescent="0.2">
      <c r="A1578" s="200" t="s">
        <v>2666</v>
      </c>
      <c r="B1578" s="200" t="s">
        <v>3945</v>
      </c>
      <c r="C1578" s="200" t="s">
        <v>3946</v>
      </c>
      <c r="D1578" s="200" t="s">
        <v>3947</v>
      </c>
      <c r="E1578" s="5"/>
      <c r="F1578" s="8" t="s">
        <v>2652</v>
      </c>
    </row>
    <row r="1579" spans="1:6" s="8" customFormat="1" x14ac:dyDescent="0.2">
      <c r="A1579" s="200" t="s">
        <v>2666</v>
      </c>
      <c r="B1579" s="200" t="s">
        <v>3948</v>
      </c>
      <c r="C1579" s="200" t="s">
        <v>3949</v>
      </c>
      <c r="D1579" s="200" t="s">
        <v>3950</v>
      </c>
      <c r="E1579" s="5"/>
      <c r="F1579" s="8" t="s">
        <v>2652</v>
      </c>
    </row>
    <row r="1580" spans="1:6" s="8" customFormat="1" x14ac:dyDescent="0.2">
      <c r="A1580" s="200" t="s">
        <v>2666</v>
      </c>
      <c r="B1580" s="200" t="s">
        <v>3951</v>
      </c>
      <c r="C1580" s="200" t="s">
        <v>3952</v>
      </c>
      <c r="D1580" s="200" t="s">
        <v>3953</v>
      </c>
      <c r="E1580" s="5"/>
      <c r="F1580" s="8" t="s">
        <v>2652</v>
      </c>
    </row>
    <row r="1581" spans="1:6" s="8" customFormat="1" x14ac:dyDescent="0.2">
      <c r="A1581" s="200" t="s">
        <v>2666</v>
      </c>
      <c r="B1581" s="200" t="s">
        <v>3954</v>
      </c>
      <c r="C1581" s="200" t="s">
        <v>3955</v>
      </c>
      <c r="D1581" s="200" t="s">
        <v>3956</v>
      </c>
      <c r="E1581" s="5"/>
      <c r="F1581" s="8" t="s">
        <v>2652</v>
      </c>
    </row>
    <row r="1582" spans="1:6" s="8" customFormat="1" x14ac:dyDescent="0.2">
      <c r="A1582" s="200" t="s">
        <v>2666</v>
      </c>
      <c r="B1582" s="200" t="s">
        <v>3957</v>
      </c>
      <c r="C1582" s="200" t="s">
        <v>3958</v>
      </c>
      <c r="D1582" s="200" t="s">
        <v>3959</v>
      </c>
      <c r="E1582" s="5"/>
      <c r="F1582" s="8" t="s">
        <v>2652</v>
      </c>
    </row>
    <row r="1583" spans="1:6" s="8" customFormat="1" x14ac:dyDescent="0.2">
      <c r="A1583" s="200" t="s">
        <v>2666</v>
      </c>
      <c r="B1583" s="200" t="s">
        <v>3960</v>
      </c>
      <c r="C1583" s="200" t="s">
        <v>3961</v>
      </c>
      <c r="D1583" s="200" t="s">
        <v>3962</v>
      </c>
      <c r="E1583" s="5"/>
      <c r="F1583" s="8" t="s">
        <v>2652</v>
      </c>
    </row>
    <row r="1584" spans="1:6" s="8" customFormat="1" x14ac:dyDescent="0.2">
      <c r="A1584" s="200" t="s">
        <v>2666</v>
      </c>
      <c r="B1584" s="200" t="s">
        <v>3963</v>
      </c>
      <c r="C1584" s="200" t="s">
        <v>3964</v>
      </c>
      <c r="D1584" s="200" t="s">
        <v>3965</v>
      </c>
      <c r="E1584" s="5"/>
      <c r="F1584" s="8" t="s">
        <v>2652</v>
      </c>
    </row>
    <row r="1585" spans="1:6" s="8" customFormat="1" x14ac:dyDescent="0.2">
      <c r="A1585" s="200" t="s">
        <v>2666</v>
      </c>
      <c r="B1585" s="200" t="s">
        <v>3966</v>
      </c>
      <c r="C1585" s="200" t="s">
        <v>3967</v>
      </c>
      <c r="D1585" s="200" t="s">
        <v>3968</v>
      </c>
      <c r="E1585" s="5"/>
      <c r="F1585" s="8" t="s">
        <v>2652</v>
      </c>
    </row>
    <row r="1586" spans="1:6" s="8" customFormat="1" x14ac:dyDescent="0.2">
      <c r="A1586" s="200" t="s">
        <v>2666</v>
      </c>
      <c r="B1586" s="200" t="s">
        <v>3969</v>
      </c>
      <c r="C1586" s="200" t="s">
        <v>3970</v>
      </c>
      <c r="D1586" s="200" t="s">
        <v>3971</v>
      </c>
      <c r="E1586" s="5"/>
      <c r="F1586" s="8" t="s">
        <v>2652</v>
      </c>
    </row>
    <row r="1587" spans="1:6" s="8" customFormat="1" x14ac:dyDescent="0.2">
      <c r="A1587" s="200" t="s">
        <v>2666</v>
      </c>
      <c r="B1587" s="200" t="s">
        <v>3972</v>
      </c>
      <c r="C1587" s="200" t="s">
        <v>3973</v>
      </c>
      <c r="D1587" s="200" t="s">
        <v>3974</v>
      </c>
      <c r="E1587" s="5"/>
      <c r="F1587" s="8" t="s">
        <v>2652</v>
      </c>
    </row>
    <row r="1588" spans="1:6" s="8" customFormat="1" x14ac:dyDescent="0.2">
      <c r="A1588" s="200" t="s">
        <v>2666</v>
      </c>
      <c r="B1588" s="200" t="s">
        <v>3975</v>
      </c>
      <c r="C1588" s="200" t="s">
        <v>3976</v>
      </c>
      <c r="D1588" s="200" t="s">
        <v>3977</v>
      </c>
      <c r="E1588" s="5"/>
      <c r="F1588" s="8" t="s">
        <v>2652</v>
      </c>
    </row>
    <row r="1589" spans="1:6" s="8" customFormat="1" x14ac:dyDescent="0.2">
      <c r="A1589" s="200" t="s">
        <v>2666</v>
      </c>
      <c r="B1589" s="200" t="s">
        <v>3978</v>
      </c>
      <c r="C1589" s="200" t="s">
        <v>3979</v>
      </c>
      <c r="D1589" s="200" t="s">
        <v>3980</v>
      </c>
      <c r="E1589" s="5"/>
      <c r="F1589" s="8" t="s">
        <v>2652</v>
      </c>
    </row>
    <row r="1590" spans="1:6" s="8" customFormat="1" x14ac:dyDescent="0.2">
      <c r="A1590" s="200" t="s">
        <v>2666</v>
      </c>
      <c r="B1590" s="200" t="s">
        <v>3981</v>
      </c>
      <c r="C1590" s="200" t="s">
        <v>3982</v>
      </c>
      <c r="D1590" s="200" t="s">
        <v>3983</v>
      </c>
      <c r="E1590" s="5"/>
      <c r="F1590" s="8" t="s">
        <v>2652</v>
      </c>
    </row>
    <row r="1591" spans="1:6" s="8" customFormat="1" x14ac:dyDescent="0.2">
      <c r="A1591" s="200" t="s">
        <v>2666</v>
      </c>
      <c r="B1591" s="200" t="s">
        <v>3984</v>
      </c>
      <c r="C1591" s="200" t="s">
        <v>3985</v>
      </c>
      <c r="D1591" s="200" t="s">
        <v>3986</v>
      </c>
      <c r="E1591" s="5"/>
      <c r="F1591" s="8" t="s">
        <v>2652</v>
      </c>
    </row>
    <row r="1592" spans="1:6" s="8" customFormat="1" x14ac:dyDescent="0.2">
      <c r="A1592" s="200" t="s">
        <v>2666</v>
      </c>
      <c r="B1592" s="200" t="s">
        <v>3987</v>
      </c>
      <c r="C1592" s="200" t="s">
        <v>3988</v>
      </c>
      <c r="D1592" s="200" t="s">
        <v>3989</v>
      </c>
      <c r="E1592" s="5"/>
      <c r="F1592" s="8" t="s">
        <v>2652</v>
      </c>
    </row>
    <row r="1593" spans="1:6" s="8" customFormat="1" x14ac:dyDescent="0.2">
      <c r="A1593" s="200" t="s">
        <v>2666</v>
      </c>
      <c r="B1593" s="200" t="s">
        <v>3990</v>
      </c>
      <c r="C1593" s="200" t="s">
        <v>3991</v>
      </c>
      <c r="D1593" s="200" t="s">
        <v>3992</v>
      </c>
      <c r="E1593" s="5"/>
      <c r="F1593" s="8" t="s">
        <v>2652</v>
      </c>
    </row>
    <row r="1594" spans="1:6" s="8" customFormat="1" x14ac:dyDescent="0.2">
      <c r="A1594" s="200" t="s">
        <v>2666</v>
      </c>
      <c r="B1594" s="200" t="s">
        <v>3993</v>
      </c>
      <c r="C1594" s="200" t="s">
        <v>3994</v>
      </c>
      <c r="D1594" s="200" t="s">
        <v>3995</v>
      </c>
      <c r="E1594" s="5"/>
      <c r="F1594" s="8" t="s">
        <v>2652</v>
      </c>
    </row>
    <row r="1595" spans="1:6" s="8" customFormat="1" x14ac:dyDescent="0.2">
      <c r="A1595" s="200" t="s">
        <v>2666</v>
      </c>
      <c r="B1595" s="200" t="s">
        <v>3996</v>
      </c>
      <c r="C1595" s="200" t="s">
        <v>3997</v>
      </c>
      <c r="D1595" s="200" t="s">
        <v>3998</v>
      </c>
      <c r="E1595" s="5"/>
      <c r="F1595" s="8" t="s">
        <v>2652</v>
      </c>
    </row>
    <row r="1596" spans="1:6" s="8" customFormat="1" x14ac:dyDescent="0.2">
      <c r="A1596" s="200" t="s">
        <v>2666</v>
      </c>
      <c r="B1596" s="200" t="s">
        <v>3999</v>
      </c>
      <c r="C1596" s="200" t="s">
        <v>4000</v>
      </c>
      <c r="D1596" s="200" t="s">
        <v>4001</v>
      </c>
      <c r="E1596" s="5"/>
      <c r="F1596" s="8" t="s">
        <v>2652</v>
      </c>
    </row>
    <row r="1597" spans="1:6" s="8" customFormat="1" x14ac:dyDescent="0.2">
      <c r="A1597" s="200" t="s">
        <v>2666</v>
      </c>
      <c r="B1597" s="200" t="s">
        <v>4002</v>
      </c>
      <c r="C1597" s="200" t="s">
        <v>2653</v>
      </c>
      <c r="D1597" s="200" t="s">
        <v>2654</v>
      </c>
      <c r="E1597" s="5"/>
      <c r="F1597" s="8" t="s">
        <v>2652</v>
      </c>
    </row>
    <row r="1598" spans="1:6" s="8" customFormat="1" x14ac:dyDescent="0.2">
      <c r="A1598" s="200" t="s">
        <v>2666</v>
      </c>
      <c r="B1598" s="200" t="s">
        <v>4003</v>
      </c>
      <c r="C1598" s="200" t="s">
        <v>4004</v>
      </c>
      <c r="D1598" s="200" t="s">
        <v>4005</v>
      </c>
      <c r="E1598" s="5"/>
      <c r="F1598" s="8" t="s">
        <v>2655</v>
      </c>
    </row>
    <row r="1599" spans="1:6" s="8" customFormat="1" x14ac:dyDescent="0.2">
      <c r="A1599" s="200" t="s">
        <v>2666</v>
      </c>
      <c r="B1599" s="200" t="s">
        <v>4006</v>
      </c>
      <c r="C1599" s="200" t="s">
        <v>4007</v>
      </c>
      <c r="D1599" s="200" t="s">
        <v>4008</v>
      </c>
      <c r="E1599" s="5"/>
      <c r="F1599" s="8" t="s">
        <v>2655</v>
      </c>
    </row>
    <row r="1600" spans="1:6" s="8" customFormat="1" x14ac:dyDescent="0.2">
      <c r="A1600" s="200" t="s">
        <v>2666</v>
      </c>
      <c r="B1600" s="200" t="s">
        <v>4009</v>
      </c>
      <c r="C1600" s="200" t="s">
        <v>4010</v>
      </c>
      <c r="D1600" s="200" t="s">
        <v>4011</v>
      </c>
      <c r="E1600" s="5"/>
      <c r="F1600" s="8" t="s">
        <v>2655</v>
      </c>
    </row>
    <row r="1601" spans="1:6" s="8" customFormat="1" x14ac:dyDescent="0.2">
      <c r="A1601" s="200" t="s">
        <v>2666</v>
      </c>
      <c r="B1601" s="200" t="s">
        <v>4012</v>
      </c>
      <c r="C1601" s="200" t="s">
        <v>4013</v>
      </c>
      <c r="D1601" s="200" t="s">
        <v>4014</v>
      </c>
      <c r="E1601" s="5"/>
      <c r="F1601" s="8" t="s">
        <v>2655</v>
      </c>
    </row>
    <row r="1602" spans="1:6" s="8" customFormat="1" x14ac:dyDescent="0.2">
      <c r="A1602" s="200" t="s">
        <v>2666</v>
      </c>
      <c r="B1602" s="200" t="s">
        <v>4015</v>
      </c>
      <c r="C1602" s="200" t="s">
        <v>4016</v>
      </c>
      <c r="D1602" s="200" t="s">
        <v>4017</v>
      </c>
      <c r="E1602" s="5"/>
      <c r="F1602" s="8" t="s">
        <v>2655</v>
      </c>
    </row>
    <row r="1603" spans="1:6" s="8" customFormat="1" x14ac:dyDescent="0.2">
      <c r="A1603" s="200" t="s">
        <v>2666</v>
      </c>
      <c r="B1603" s="200" t="s">
        <v>4018</v>
      </c>
      <c r="C1603" s="200" t="s">
        <v>4019</v>
      </c>
      <c r="D1603" s="200" t="s">
        <v>4020</v>
      </c>
      <c r="E1603" s="5"/>
      <c r="F1603" s="8" t="s">
        <v>2655</v>
      </c>
    </row>
    <row r="1604" spans="1:6" s="8" customFormat="1" x14ac:dyDescent="0.2">
      <c r="A1604" s="200" t="s">
        <v>2666</v>
      </c>
      <c r="B1604" s="200" t="s">
        <v>4021</v>
      </c>
      <c r="C1604" s="200" t="s">
        <v>4022</v>
      </c>
      <c r="D1604" s="200" t="s">
        <v>4023</v>
      </c>
      <c r="E1604" s="5"/>
      <c r="F1604" s="8" t="s">
        <v>2655</v>
      </c>
    </row>
    <row r="1605" spans="1:6" s="8" customFormat="1" x14ac:dyDescent="0.2">
      <c r="A1605" s="200" t="s">
        <v>2666</v>
      </c>
      <c r="B1605" s="200" t="s">
        <v>4024</v>
      </c>
      <c r="C1605" s="200" t="s">
        <v>4025</v>
      </c>
      <c r="D1605" s="200" t="s">
        <v>4026</v>
      </c>
      <c r="E1605" s="5"/>
      <c r="F1605" s="8" t="s">
        <v>2655</v>
      </c>
    </row>
    <row r="1606" spans="1:6" s="8" customFormat="1" x14ac:dyDescent="0.2">
      <c r="A1606" s="200" t="s">
        <v>2666</v>
      </c>
      <c r="B1606" s="200" t="s">
        <v>4027</v>
      </c>
      <c r="C1606" s="200" t="s">
        <v>4028</v>
      </c>
      <c r="D1606" s="200" t="s">
        <v>4029</v>
      </c>
      <c r="E1606" s="5"/>
      <c r="F1606" s="8" t="s">
        <v>2655</v>
      </c>
    </row>
    <row r="1607" spans="1:6" s="8" customFormat="1" x14ac:dyDescent="0.2">
      <c r="A1607" s="200" t="s">
        <v>2666</v>
      </c>
      <c r="B1607" s="200" t="s">
        <v>4030</v>
      </c>
      <c r="C1607" s="200" t="s">
        <v>4031</v>
      </c>
      <c r="D1607" s="200" t="s">
        <v>4032</v>
      </c>
      <c r="E1607" s="5"/>
      <c r="F1607" s="8" t="s">
        <v>2655</v>
      </c>
    </row>
    <row r="1608" spans="1:6" s="8" customFormat="1" x14ac:dyDescent="0.2">
      <c r="A1608" s="200" t="s">
        <v>2666</v>
      </c>
      <c r="B1608" s="200" t="s">
        <v>4033</v>
      </c>
      <c r="C1608" s="200" t="s">
        <v>4034</v>
      </c>
      <c r="D1608" s="200" t="s">
        <v>4035</v>
      </c>
      <c r="E1608" s="5"/>
      <c r="F1608" s="8" t="s">
        <v>2655</v>
      </c>
    </row>
    <row r="1609" spans="1:6" s="8" customFormat="1" x14ac:dyDescent="0.2">
      <c r="A1609" s="200" t="s">
        <v>2666</v>
      </c>
      <c r="B1609" s="200" t="s">
        <v>4036</v>
      </c>
      <c r="C1609" s="200" t="s">
        <v>4037</v>
      </c>
      <c r="D1609" s="200" t="s">
        <v>4038</v>
      </c>
      <c r="E1609" s="5"/>
      <c r="F1609" s="8" t="s">
        <v>2655</v>
      </c>
    </row>
    <row r="1610" spans="1:6" s="8" customFormat="1" x14ac:dyDescent="0.2">
      <c r="A1610" s="200" t="s">
        <v>2666</v>
      </c>
      <c r="B1610" s="200" t="s">
        <v>4039</v>
      </c>
      <c r="C1610" s="200" t="s">
        <v>4040</v>
      </c>
      <c r="D1610" s="200" t="s">
        <v>4041</v>
      </c>
      <c r="E1610" s="5"/>
      <c r="F1610" s="8" t="s">
        <v>2655</v>
      </c>
    </row>
    <row r="1611" spans="1:6" s="8" customFormat="1" x14ac:dyDescent="0.2">
      <c r="A1611" s="200" t="s">
        <v>2666</v>
      </c>
      <c r="B1611" s="200" t="s">
        <v>4042</v>
      </c>
      <c r="C1611" s="200" t="s">
        <v>2613</v>
      </c>
      <c r="D1611" s="200" t="s">
        <v>2614</v>
      </c>
      <c r="E1611" s="5"/>
      <c r="F1611" s="8" t="s">
        <v>2655</v>
      </c>
    </row>
    <row r="1612" spans="1:6" s="8" customFormat="1" x14ac:dyDescent="0.2">
      <c r="A1612" s="200" t="s">
        <v>2666</v>
      </c>
      <c r="B1612" s="200" t="s">
        <v>4043</v>
      </c>
      <c r="C1612" s="200" t="s">
        <v>4044</v>
      </c>
      <c r="D1612" s="200" t="s">
        <v>4045</v>
      </c>
      <c r="E1612" s="5"/>
      <c r="F1612" s="8" t="s">
        <v>2655</v>
      </c>
    </row>
    <row r="1613" spans="1:6" s="8" customFormat="1" x14ac:dyDescent="0.2">
      <c r="A1613" s="200" t="s">
        <v>2666</v>
      </c>
      <c r="B1613" s="200" t="s">
        <v>4046</v>
      </c>
      <c r="C1613" s="200" t="s">
        <v>4047</v>
      </c>
      <c r="D1613" s="200" t="s">
        <v>4048</v>
      </c>
      <c r="E1613" s="5"/>
      <c r="F1613" s="8" t="s">
        <v>2655</v>
      </c>
    </row>
    <row r="1614" spans="1:6" s="8" customFormat="1" x14ac:dyDescent="0.2">
      <c r="A1614" s="200" t="s">
        <v>2666</v>
      </c>
      <c r="B1614" s="200" t="s">
        <v>4049</v>
      </c>
      <c r="C1614" s="200" t="s">
        <v>4050</v>
      </c>
      <c r="D1614" s="200" t="s">
        <v>4051</v>
      </c>
      <c r="E1614" s="5"/>
      <c r="F1614" s="8" t="s">
        <v>2655</v>
      </c>
    </row>
    <row r="1615" spans="1:6" s="8" customFormat="1" x14ac:dyDescent="0.2">
      <c r="A1615" s="200" t="s">
        <v>2666</v>
      </c>
      <c r="B1615" s="200" t="s">
        <v>4052</v>
      </c>
      <c r="C1615" s="200" t="s">
        <v>4053</v>
      </c>
      <c r="D1615" s="200" t="s">
        <v>4054</v>
      </c>
      <c r="E1615" s="5"/>
      <c r="F1615" s="8" t="s">
        <v>2655</v>
      </c>
    </row>
    <row r="1616" spans="1:6" s="8" customFormat="1" x14ac:dyDescent="0.2">
      <c r="A1616" s="200" t="s">
        <v>2666</v>
      </c>
      <c r="B1616" s="200" t="s">
        <v>4055</v>
      </c>
      <c r="C1616" s="200" t="s">
        <v>4056</v>
      </c>
      <c r="D1616" s="200" t="s">
        <v>4057</v>
      </c>
      <c r="E1616" s="5"/>
      <c r="F1616" s="8" t="s">
        <v>2655</v>
      </c>
    </row>
    <row r="1617" spans="1:6" s="8" customFormat="1" x14ac:dyDescent="0.2">
      <c r="A1617" s="200" t="s">
        <v>2666</v>
      </c>
      <c r="B1617" s="200" t="s">
        <v>4058</v>
      </c>
      <c r="C1617" s="200" t="s">
        <v>4059</v>
      </c>
      <c r="D1617" s="200" t="s">
        <v>4060</v>
      </c>
      <c r="E1617" s="5"/>
      <c r="F1617" s="8" t="s">
        <v>2655</v>
      </c>
    </row>
    <row r="1618" spans="1:6" s="8" customFormat="1" x14ac:dyDescent="0.2">
      <c r="A1618" s="200" t="s">
        <v>2666</v>
      </c>
      <c r="B1618" s="200" t="s">
        <v>4061</v>
      </c>
      <c r="C1618" s="200" t="s">
        <v>4062</v>
      </c>
      <c r="D1618" s="200" t="s">
        <v>4063</v>
      </c>
      <c r="E1618" s="5"/>
      <c r="F1618" s="8" t="s">
        <v>2655</v>
      </c>
    </row>
    <row r="1619" spans="1:6" s="8" customFormat="1" x14ac:dyDescent="0.2">
      <c r="A1619" s="200" t="s">
        <v>2666</v>
      </c>
      <c r="B1619" s="200" t="s">
        <v>4064</v>
      </c>
      <c r="C1619" s="200" t="s">
        <v>4065</v>
      </c>
      <c r="D1619" s="200" t="s">
        <v>4066</v>
      </c>
      <c r="E1619" s="5"/>
      <c r="F1619" s="8" t="s">
        <v>2655</v>
      </c>
    </row>
    <row r="1620" spans="1:6" s="8" customFormat="1" x14ac:dyDescent="0.2">
      <c r="A1620" s="200" t="s">
        <v>2666</v>
      </c>
      <c r="B1620" s="200" t="s">
        <v>4067</v>
      </c>
      <c r="C1620" s="200" t="s">
        <v>4068</v>
      </c>
      <c r="D1620" s="200" t="s">
        <v>4069</v>
      </c>
      <c r="E1620" s="5"/>
      <c r="F1620" s="8" t="s">
        <v>2655</v>
      </c>
    </row>
    <row r="1621" spans="1:6" s="8" customFormat="1" x14ac:dyDescent="0.2">
      <c r="A1621" s="200" t="s">
        <v>2666</v>
      </c>
      <c r="B1621" s="200" t="s">
        <v>4070</v>
      </c>
      <c r="C1621" s="200" t="s">
        <v>4071</v>
      </c>
      <c r="D1621" s="200" t="s">
        <v>4072</v>
      </c>
      <c r="E1621" s="5"/>
      <c r="F1621" s="8" t="s">
        <v>2655</v>
      </c>
    </row>
    <row r="1622" spans="1:6" s="8" customFormat="1" x14ac:dyDescent="0.2">
      <c r="A1622" s="200" t="s">
        <v>2666</v>
      </c>
      <c r="B1622" s="200" t="s">
        <v>4073</v>
      </c>
      <c r="C1622" s="200" t="s">
        <v>4074</v>
      </c>
      <c r="D1622" s="200" t="s">
        <v>4075</v>
      </c>
      <c r="E1622" s="5"/>
      <c r="F1622" s="8" t="s">
        <v>2655</v>
      </c>
    </row>
    <row r="1623" spans="1:6" s="8" customFormat="1" x14ac:dyDescent="0.2">
      <c r="A1623" s="200" t="s">
        <v>2666</v>
      </c>
      <c r="B1623" s="200" t="s">
        <v>4076</v>
      </c>
      <c r="C1623" s="200" t="s">
        <v>4077</v>
      </c>
      <c r="D1623" s="200" t="s">
        <v>4078</v>
      </c>
      <c r="E1623" s="5"/>
      <c r="F1623" s="8" t="s">
        <v>2655</v>
      </c>
    </row>
    <row r="1624" spans="1:6" s="8" customFormat="1" x14ac:dyDescent="0.2">
      <c r="A1624" s="200" t="s">
        <v>2666</v>
      </c>
      <c r="B1624" s="200" t="s">
        <v>4079</v>
      </c>
      <c r="C1624" s="200" t="s">
        <v>4080</v>
      </c>
      <c r="D1624" s="200" t="s">
        <v>4081</v>
      </c>
      <c r="E1624" s="5"/>
      <c r="F1624" s="8" t="s">
        <v>2655</v>
      </c>
    </row>
    <row r="1625" spans="1:6" s="8" customFormat="1" x14ac:dyDescent="0.2">
      <c r="A1625" s="200" t="s">
        <v>2666</v>
      </c>
      <c r="B1625" s="200" t="s">
        <v>4082</v>
      </c>
      <c r="C1625" s="200" t="s">
        <v>4083</v>
      </c>
      <c r="D1625" s="200" t="s">
        <v>4084</v>
      </c>
      <c r="E1625" s="5"/>
      <c r="F1625" s="8" t="s">
        <v>2655</v>
      </c>
    </row>
    <row r="1626" spans="1:6" s="8" customFormat="1" x14ac:dyDescent="0.2">
      <c r="A1626" s="200" t="s">
        <v>2666</v>
      </c>
      <c r="B1626" s="200" t="s">
        <v>4085</v>
      </c>
      <c r="C1626" s="200" t="s">
        <v>4086</v>
      </c>
      <c r="D1626" s="200" t="s">
        <v>4087</v>
      </c>
      <c r="E1626" s="5"/>
      <c r="F1626" s="8" t="s">
        <v>2655</v>
      </c>
    </row>
    <row r="1627" spans="1:6" s="8" customFormat="1" x14ac:dyDescent="0.2">
      <c r="A1627" s="200" t="s">
        <v>2666</v>
      </c>
      <c r="B1627" s="200" t="s">
        <v>4088</v>
      </c>
      <c r="C1627" s="200" t="s">
        <v>4089</v>
      </c>
      <c r="D1627" s="200" t="s">
        <v>4090</v>
      </c>
      <c r="E1627" s="5"/>
      <c r="F1627" s="8" t="s">
        <v>2655</v>
      </c>
    </row>
    <row r="1628" spans="1:6" s="8" customFormat="1" x14ac:dyDescent="0.2">
      <c r="A1628" s="200" t="s">
        <v>2666</v>
      </c>
      <c r="B1628" s="200" t="s">
        <v>4091</v>
      </c>
      <c r="C1628" s="200" t="s">
        <v>4092</v>
      </c>
      <c r="D1628" s="200" t="s">
        <v>4093</v>
      </c>
      <c r="E1628" s="5"/>
      <c r="F1628" s="8" t="s">
        <v>2655</v>
      </c>
    </row>
    <row r="1629" spans="1:6" s="8" customFormat="1" x14ac:dyDescent="0.2">
      <c r="A1629" s="200" t="s">
        <v>2666</v>
      </c>
      <c r="B1629" s="200" t="s">
        <v>4094</v>
      </c>
      <c r="C1629" s="200" t="s">
        <v>4095</v>
      </c>
      <c r="D1629" s="200" t="s">
        <v>4096</v>
      </c>
      <c r="E1629" s="5"/>
      <c r="F1629" s="8" t="s">
        <v>2655</v>
      </c>
    </row>
    <row r="1630" spans="1:6" s="8" customFormat="1" x14ac:dyDescent="0.2">
      <c r="A1630" s="200" t="s">
        <v>2666</v>
      </c>
      <c r="B1630" s="200" t="s">
        <v>4097</v>
      </c>
      <c r="C1630" s="200" t="s">
        <v>4098</v>
      </c>
      <c r="D1630" s="200" t="s">
        <v>4099</v>
      </c>
      <c r="E1630" s="5"/>
      <c r="F1630" s="8" t="s">
        <v>2655</v>
      </c>
    </row>
    <row r="1631" spans="1:6" s="8" customFormat="1" x14ac:dyDescent="0.2">
      <c r="A1631" s="200" t="s">
        <v>2666</v>
      </c>
      <c r="B1631" s="200" t="s">
        <v>4100</v>
      </c>
      <c r="C1631" s="200" t="s">
        <v>4101</v>
      </c>
      <c r="D1631" s="200" t="s">
        <v>4102</v>
      </c>
      <c r="E1631" s="5"/>
      <c r="F1631" s="8" t="s">
        <v>2655</v>
      </c>
    </row>
    <row r="1632" spans="1:6" s="8" customFormat="1" x14ac:dyDescent="0.2">
      <c r="A1632" s="200" t="s">
        <v>2666</v>
      </c>
      <c r="B1632" s="200" t="s">
        <v>4103</v>
      </c>
      <c r="C1632" s="200" t="s">
        <v>4104</v>
      </c>
      <c r="D1632" s="200" t="s">
        <v>4105</v>
      </c>
      <c r="E1632" s="5"/>
      <c r="F1632" s="8" t="s">
        <v>2655</v>
      </c>
    </row>
    <row r="1633" spans="1:6" s="8" customFormat="1" x14ac:dyDescent="0.2">
      <c r="A1633" s="200" t="s">
        <v>2666</v>
      </c>
      <c r="B1633" s="200" t="s">
        <v>4106</v>
      </c>
      <c r="C1633" s="200" t="s">
        <v>4107</v>
      </c>
      <c r="D1633" s="200" t="s">
        <v>4108</v>
      </c>
      <c r="E1633" s="5"/>
      <c r="F1633" s="8" t="s">
        <v>2657</v>
      </c>
    </row>
    <row r="1634" spans="1:6" s="8" customFormat="1" x14ac:dyDescent="0.2">
      <c r="A1634" s="200" t="s">
        <v>2666</v>
      </c>
      <c r="B1634" s="200" t="s">
        <v>4109</v>
      </c>
      <c r="C1634" s="200" t="s">
        <v>4110</v>
      </c>
      <c r="D1634" s="200" t="s">
        <v>4111</v>
      </c>
      <c r="E1634" s="5"/>
      <c r="F1634" s="8" t="s">
        <v>2657</v>
      </c>
    </row>
    <row r="1635" spans="1:6" s="8" customFormat="1" x14ac:dyDescent="0.2">
      <c r="A1635" s="200" t="s">
        <v>2666</v>
      </c>
      <c r="B1635" s="200" t="s">
        <v>4112</v>
      </c>
      <c r="C1635" s="200" t="s">
        <v>4113</v>
      </c>
      <c r="D1635" s="200" t="s">
        <v>4114</v>
      </c>
      <c r="E1635" s="5"/>
      <c r="F1635" s="8" t="s">
        <v>2657</v>
      </c>
    </row>
    <row r="1636" spans="1:6" s="8" customFormat="1" x14ac:dyDescent="0.2">
      <c r="A1636" s="200" t="s">
        <v>2666</v>
      </c>
      <c r="B1636" s="200" t="s">
        <v>4115</v>
      </c>
      <c r="C1636" s="200" t="s">
        <v>4116</v>
      </c>
      <c r="D1636" s="200" t="s">
        <v>4117</v>
      </c>
      <c r="E1636" s="5"/>
      <c r="F1636" s="8" t="s">
        <v>2657</v>
      </c>
    </row>
    <row r="1637" spans="1:6" s="8" customFormat="1" x14ac:dyDescent="0.2">
      <c r="A1637" s="200" t="s">
        <v>2666</v>
      </c>
      <c r="B1637" s="200" t="s">
        <v>4118</v>
      </c>
      <c r="C1637" s="200" t="s">
        <v>4119</v>
      </c>
      <c r="D1637" s="200" t="s">
        <v>4120</v>
      </c>
      <c r="E1637" s="5"/>
      <c r="F1637" s="8" t="s">
        <v>2657</v>
      </c>
    </row>
    <row r="1638" spans="1:6" s="8" customFormat="1" x14ac:dyDescent="0.2">
      <c r="A1638" s="200" t="s">
        <v>2666</v>
      </c>
      <c r="B1638" s="200" t="s">
        <v>4121</v>
      </c>
      <c r="C1638" s="200" t="s">
        <v>2597</v>
      </c>
      <c r="D1638" s="200" t="s">
        <v>2598</v>
      </c>
      <c r="E1638" s="5"/>
      <c r="F1638" s="8" t="s">
        <v>2657</v>
      </c>
    </row>
    <row r="1639" spans="1:6" s="8" customFormat="1" x14ac:dyDescent="0.2">
      <c r="A1639" s="200" t="s">
        <v>2666</v>
      </c>
      <c r="B1639" s="200" t="s">
        <v>4122</v>
      </c>
      <c r="C1639" s="200" t="s">
        <v>4123</v>
      </c>
      <c r="D1639" s="200" t="s">
        <v>4124</v>
      </c>
      <c r="E1639" s="5"/>
      <c r="F1639" s="8" t="s">
        <v>2657</v>
      </c>
    </row>
    <row r="1640" spans="1:6" s="8" customFormat="1" x14ac:dyDescent="0.2">
      <c r="A1640" s="200" t="s">
        <v>2666</v>
      </c>
      <c r="B1640" s="200" t="s">
        <v>4125</v>
      </c>
      <c r="C1640" s="200" t="s">
        <v>4126</v>
      </c>
      <c r="D1640" s="200" t="s">
        <v>4127</v>
      </c>
      <c r="E1640" s="5"/>
      <c r="F1640" s="8" t="s">
        <v>2657</v>
      </c>
    </row>
    <row r="1641" spans="1:6" s="8" customFormat="1" x14ac:dyDescent="0.2">
      <c r="A1641" s="200" t="s">
        <v>2666</v>
      </c>
      <c r="B1641" s="200" t="s">
        <v>4128</v>
      </c>
      <c r="C1641" s="200" t="s">
        <v>4129</v>
      </c>
      <c r="D1641" s="200" t="s">
        <v>4130</v>
      </c>
      <c r="E1641" s="5"/>
      <c r="F1641" s="8" t="s">
        <v>2657</v>
      </c>
    </row>
    <row r="1642" spans="1:6" s="8" customFormat="1" x14ac:dyDescent="0.2">
      <c r="A1642" s="200" t="s">
        <v>2666</v>
      </c>
      <c r="B1642" s="200" t="s">
        <v>4131</v>
      </c>
      <c r="C1642" s="200" t="s">
        <v>4132</v>
      </c>
      <c r="D1642" s="200" t="s">
        <v>4133</v>
      </c>
      <c r="E1642" s="5"/>
      <c r="F1642" s="8" t="s">
        <v>2657</v>
      </c>
    </row>
    <row r="1643" spans="1:6" s="8" customFormat="1" x14ac:dyDescent="0.2">
      <c r="A1643" s="200" t="s">
        <v>2666</v>
      </c>
      <c r="B1643" s="200" t="s">
        <v>4134</v>
      </c>
      <c r="C1643" s="200" t="s">
        <v>4135</v>
      </c>
      <c r="D1643" s="200" t="s">
        <v>4136</v>
      </c>
      <c r="E1643" s="5"/>
      <c r="F1643" s="8" t="s">
        <v>2657</v>
      </c>
    </row>
    <row r="1644" spans="1:6" s="8" customFormat="1" x14ac:dyDescent="0.2">
      <c r="A1644" s="200" t="s">
        <v>2666</v>
      </c>
      <c r="B1644" s="200" t="s">
        <v>4137</v>
      </c>
      <c r="C1644" s="200" t="s">
        <v>4138</v>
      </c>
      <c r="D1644" s="200" t="s">
        <v>4139</v>
      </c>
      <c r="E1644" s="5"/>
      <c r="F1644" s="8" t="s">
        <v>2657</v>
      </c>
    </row>
    <row r="1645" spans="1:6" s="8" customFormat="1" x14ac:dyDescent="0.2">
      <c r="A1645" s="200" t="s">
        <v>2666</v>
      </c>
      <c r="B1645" s="200" t="s">
        <v>4140</v>
      </c>
      <c r="C1645" s="200" t="s">
        <v>4141</v>
      </c>
      <c r="D1645" s="200" t="s">
        <v>4142</v>
      </c>
      <c r="E1645" s="5"/>
      <c r="F1645" s="8" t="s">
        <v>2657</v>
      </c>
    </row>
    <row r="1646" spans="1:6" s="8" customFormat="1" x14ac:dyDescent="0.2">
      <c r="A1646" s="200" t="s">
        <v>2666</v>
      </c>
      <c r="B1646" s="200" t="s">
        <v>4143</v>
      </c>
      <c r="C1646" s="200" t="s">
        <v>4144</v>
      </c>
      <c r="D1646" s="200" t="s">
        <v>4145</v>
      </c>
      <c r="E1646" s="5"/>
      <c r="F1646" s="8" t="s">
        <v>2657</v>
      </c>
    </row>
    <row r="1647" spans="1:6" s="8" customFormat="1" x14ac:dyDescent="0.2">
      <c r="A1647" s="200" t="s">
        <v>2666</v>
      </c>
      <c r="B1647" s="200" t="s">
        <v>4146</v>
      </c>
      <c r="C1647" s="200" t="s">
        <v>4147</v>
      </c>
      <c r="D1647" s="200" t="s">
        <v>4148</v>
      </c>
      <c r="E1647" s="5"/>
      <c r="F1647" s="8" t="s">
        <v>2657</v>
      </c>
    </row>
    <row r="1648" spans="1:6" s="8" customFormat="1" x14ac:dyDescent="0.2">
      <c r="A1648" s="200" t="s">
        <v>2666</v>
      </c>
      <c r="B1648" s="200" t="s">
        <v>4149</v>
      </c>
      <c r="C1648" s="200" t="s">
        <v>4150</v>
      </c>
      <c r="D1648" s="200" t="s">
        <v>4151</v>
      </c>
      <c r="E1648" s="5"/>
      <c r="F1648" s="8" t="s">
        <v>2657</v>
      </c>
    </row>
    <row r="1649" spans="1:6" s="8" customFormat="1" x14ac:dyDescent="0.2">
      <c r="A1649" s="200" t="s">
        <v>2666</v>
      </c>
      <c r="B1649" s="200" t="s">
        <v>4152</v>
      </c>
      <c r="C1649" s="200" t="s">
        <v>4153</v>
      </c>
      <c r="D1649" s="200" t="s">
        <v>4154</v>
      </c>
      <c r="E1649" s="5"/>
      <c r="F1649" s="8" t="s">
        <v>2657</v>
      </c>
    </row>
    <row r="1650" spans="1:6" s="8" customFormat="1" x14ac:dyDescent="0.2">
      <c r="A1650" s="200" t="s">
        <v>2666</v>
      </c>
      <c r="B1650" s="200" t="s">
        <v>4155</v>
      </c>
      <c r="C1650" s="200" t="s">
        <v>4156</v>
      </c>
      <c r="D1650" s="200" t="s">
        <v>4157</v>
      </c>
      <c r="E1650" s="5"/>
      <c r="F1650" s="8" t="s">
        <v>2658</v>
      </c>
    </row>
    <row r="1651" spans="1:6" s="8" customFormat="1" x14ac:dyDescent="0.2">
      <c r="A1651" s="200" t="s">
        <v>2666</v>
      </c>
      <c r="B1651" s="200" t="s">
        <v>4158</v>
      </c>
      <c r="C1651" s="200" t="s">
        <v>2618</v>
      </c>
      <c r="D1651" s="200" t="s">
        <v>2619</v>
      </c>
      <c r="E1651" s="5"/>
      <c r="F1651" s="8" t="s">
        <v>2658</v>
      </c>
    </row>
    <row r="1652" spans="1:6" s="8" customFormat="1" x14ac:dyDescent="0.2">
      <c r="A1652" s="200" t="s">
        <v>2666</v>
      </c>
      <c r="B1652" s="200" t="s">
        <v>4159</v>
      </c>
      <c r="C1652" s="200" t="s">
        <v>4160</v>
      </c>
      <c r="D1652" s="200" t="s">
        <v>4161</v>
      </c>
      <c r="E1652" s="5"/>
      <c r="F1652" s="8" t="s">
        <v>2658</v>
      </c>
    </row>
    <row r="1653" spans="1:6" s="8" customFormat="1" x14ac:dyDescent="0.2">
      <c r="A1653" s="200" t="s">
        <v>2666</v>
      </c>
      <c r="B1653" s="200" t="s">
        <v>4162</v>
      </c>
      <c r="C1653" s="200" t="s">
        <v>4163</v>
      </c>
      <c r="D1653" s="200" t="s">
        <v>4164</v>
      </c>
      <c r="E1653" s="5"/>
      <c r="F1653" s="8" t="s">
        <v>2658</v>
      </c>
    </row>
    <row r="1654" spans="1:6" s="8" customFormat="1" x14ac:dyDescent="0.2">
      <c r="A1654" s="200" t="s">
        <v>2666</v>
      </c>
      <c r="B1654" s="200" t="s">
        <v>4165</v>
      </c>
      <c r="C1654" s="200" t="s">
        <v>4166</v>
      </c>
      <c r="D1654" s="200" t="s">
        <v>4167</v>
      </c>
      <c r="E1654" s="5"/>
      <c r="F1654" s="8" t="s">
        <v>2658</v>
      </c>
    </row>
    <row r="1655" spans="1:6" s="8" customFormat="1" x14ac:dyDescent="0.2">
      <c r="A1655" s="200" t="s">
        <v>2666</v>
      </c>
      <c r="B1655" s="200" t="s">
        <v>4168</v>
      </c>
      <c r="C1655" s="200" t="s">
        <v>4169</v>
      </c>
      <c r="D1655" s="200" t="s">
        <v>4170</v>
      </c>
      <c r="E1655" s="5"/>
      <c r="F1655" s="8" t="s">
        <v>2658</v>
      </c>
    </row>
    <row r="1656" spans="1:6" s="8" customFormat="1" x14ac:dyDescent="0.2">
      <c r="A1656" s="200" t="s">
        <v>2666</v>
      </c>
      <c r="B1656" s="200" t="s">
        <v>4171</v>
      </c>
      <c r="C1656" s="200" t="s">
        <v>4172</v>
      </c>
      <c r="D1656" s="200" t="s">
        <v>4173</v>
      </c>
      <c r="E1656" s="5"/>
      <c r="F1656" s="8" t="s">
        <v>2660</v>
      </c>
    </row>
    <row r="1657" spans="1:6" s="8" customFormat="1" x14ac:dyDescent="0.2">
      <c r="A1657" s="200" t="s">
        <v>2666</v>
      </c>
      <c r="B1657" s="200" t="s">
        <v>4174</v>
      </c>
      <c r="C1657" s="200" t="s">
        <v>4175</v>
      </c>
      <c r="D1657" s="200" t="s">
        <v>4176</v>
      </c>
      <c r="E1657" s="5"/>
      <c r="F1657" s="8" t="s">
        <v>2660</v>
      </c>
    </row>
    <row r="1658" spans="1:6" s="8" customFormat="1" x14ac:dyDescent="0.2">
      <c r="A1658" s="200" t="s">
        <v>2666</v>
      </c>
      <c r="B1658" s="200" t="s">
        <v>4177</v>
      </c>
      <c r="C1658" s="200" t="s">
        <v>4178</v>
      </c>
      <c r="D1658" s="200" t="s">
        <v>4179</v>
      </c>
      <c r="E1658" s="5"/>
      <c r="F1658" s="8" t="s">
        <v>2660</v>
      </c>
    </row>
    <row r="1659" spans="1:6" s="8" customFormat="1" x14ac:dyDescent="0.2">
      <c r="A1659" s="200" t="s">
        <v>2666</v>
      </c>
      <c r="B1659" s="200" t="s">
        <v>4180</v>
      </c>
      <c r="C1659" s="200" t="s">
        <v>4181</v>
      </c>
      <c r="D1659" s="200" t="s">
        <v>4182</v>
      </c>
      <c r="E1659" s="5"/>
      <c r="F1659" s="8" t="s">
        <v>2660</v>
      </c>
    </row>
    <row r="1660" spans="1:6" s="8" customFormat="1" x14ac:dyDescent="0.2">
      <c r="A1660" s="200" t="s">
        <v>2666</v>
      </c>
      <c r="B1660" s="200" t="s">
        <v>4183</v>
      </c>
      <c r="C1660" s="200" t="s">
        <v>4184</v>
      </c>
      <c r="D1660" s="200" t="s">
        <v>4185</v>
      </c>
      <c r="E1660" s="5"/>
      <c r="F1660" s="8" t="s">
        <v>2660</v>
      </c>
    </row>
    <row r="1661" spans="1:6" s="8" customFormat="1" x14ac:dyDescent="0.2">
      <c r="A1661" s="200" t="s">
        <v>2666</v>
      </c>
      <c r="B1661" s="200" t="s">
        <v>4186</v>
      </c>
      <c r="C1661" s="200" t="s">
        <v>4187</v>
      </c>
      <c r="D1661" s="200" t="s">
        <v>4188</v>
      </c>
      <c r="E1661" s="5"/>
      <c r="F1661" s="8" t="s">
        <v>2660</v>
      </c>
    </row>
    <row r="1662" spans="1:6" s="8" customFormat="1" x14ac:dyDescent="0.2">
      <c r="A1662" s="200" t="s">
        <v>2666</v>
      </c>
      <c r="B1662" s="200" t="s">
        <v>4189</v>
      </c>
      <c r="C1662" s="200" t="s">
        <v>2661</v>
      </c>
      <c r="D1662" s="200" t="s">
        <v>4190</v>
      </c>
      <c r="E1662" s="5"/>
      <c r="F1662" s="8" t="s">
        <v>2660</v>
      </c>
    </row>
    <row r="1663" spans="1:6" s="8" customFormat="1" x14ac:dyDescent="0.2">
      <c r="A1663" s="200" t="s">
        <v>2666</v>
      </c>
      <c r="B1663" s="200" t="s">
        <v>4191</v>
      </c>
      <c r="C1663" s="200" t="s">
        <v>4107</v>
      </c>
      <c r="D1663" s="200" t="s">
        <v>4108</v>
      </c>
      <c r="E1663" s="5"/>
      <c r="F1663" s="8" t="s">
        <v>2660</v>
      </c>
    </row>
    <row r="1664" spans="1:6" s="8" customFormat="1" x14ac:dyDescent="0.2">
      <c r="A1664" s="200" t="s">
        <v>2666</v>
      </c>
      <c r="B1664" s="200" t="s">
        <v>4192</v>
      </c>
      <c r="C1664" s="200" t="s">
        <v>4193</v>
      </c>
      <c r="D1664" s="200" t="s">
        <v>4194</v>
      </c>
      <c r="E1664" s="5"/>
      <c r="F1664" s="8" t="s">
        <v>2660</v>
      </c>
    </row>
    <row r="1665" spans="1:6" s="8" customFormat="1" x14ac:dyDescent="0.2">
      <c r="A1665" s="200" t="s">
        <v>2666</v>
      </c>
      <c r="B1665" s="200" t="s">
        <v>4195</v>
      </c>
      <c r="C1665" s="200" t="s">
        <v>4196</v>
      </c>
      <c r="D1665" s="200" t="s">
        <v>4197</v>
      </c>
      <c r="E1665" s="5"/>
      <c r="F1665" s="8" t="s">
        <v>2660</v>
      </c>
    </row>
    <row r="1666" spans="1:6" s="8" customFormat="1" x14ac:dyDescent="0.2">
      <c r="A1666" s="200" t="s">
        <v>2666</v>
      </c>
      <c r="B1666" s="200" t="s">
        <v>4198</v>
      </c>
      <c r="C1666" s="200" t="s">
        <v>4199</v>
      </c>
      <c r="D1666" s="200" t="s">
        <v>4200</v>
      </c>
      <c r="E1666" s="5"/>
      <c r="F1666" s="8" t="s">
        <v>2660</v>
      </c>
    </row>
    <row r="1667" spans="1:6" s="8" customFormat="1" x14ac:dyDescent="0.2">
      <c r="A1667" s="200" t="s">
        <v>2666</v>
      </c>
      <c r="B1667" s="200" t="s">
        <v>4201</v>
      </c>
      <c r="C1667" s="200" t="s">
        <v>4202</v>
      </c>
      <c r="D1667" s="200" t="s">
        <v>4203</v>
      </c>
      <c r="E1667" s="5"/>
      <c r="F1667" s="8" t="s">
        <v>2660</v>
      </c>
    </row>
    <row r="1668" spans="1:6" s="8" customFormat="1" x14ac:dyDescent="0.2">
      <c r="A1668" s="200" t="s">
        <v>2666</v>
      </c>
      <c r="B1668" s="200" t="s">
        <v>4204</v>
      </c>
      <c r="C1668" s="200" t="s">
        <v>4205</v>
      </c>
      <c r="D1668" s="200" t="s">
        <v>4206</v>
      </c>
      <c r="E1668" s="5"/>
      <c r="F1668" s="8" t="s">
        <v>2660</v>
      </c>
    </row>
    <row r="1669" spans="1:6" s="8" customFormat="1" x14ac:dyDescent="0.2">
      <c r="A1669" s="200" t="s">
        <v>2666</v>
      </c>
      <c r="B1669" s="200" t="s">
        <v>4207</v>
      </c>
      <c r="C1669" s="200" t="s">
        <v>4208</v>
      </c>
      <c r="D1669" s="200" t="s">
        <v>4209</v>
      </c>
      <c r="E1669" s="5"/>
      <c r="F1669" s="8" t="s">
        <v>2660</v>
      </c>
    </row>
    <row r="1670" spans="1:6" s="8" customFormat="1" x14ac:dyDescent="0.2">
      <c r="A1670" s="200" t="s">
        <v>2666</v>
      </c>
      <c r="B1670" s="200" t="s">
        <v>4210</v>
      </c>
      <c r="C1670" s="200" t="s">
        <v>4211</v>
      </c>
      <c r="D1670" s="200" t="s">
        <v>4212</v>
      </c>
      <c r="E1670" s="5"/>
      <c r="F1670" s="8" t="s">
        <v>2660</v>
      </c>
    </row>
    <row r="1671" spans="1:6" s="8" customFormat="1" x14ac:dyDescent="0.2">
      <c r="A1671" s="200" t="s">
        <v>2666</v>
      </c>
      <c r="B1671" s="200" t="s">
        <v>4213</v>
      </c>
      <c r="C1671" s="200" t="s">
        <v>4214</v>
      </c>
      <c r="D1671" s="200" t="s">
        <v>4215</v>
      </c>
      <c r="E1671" s="5"/>
      <c r="F1671" s="8" t="s">
        <v>2660</v>
      </c>
    </row>
    <row r="1672" spans="1:6" s="8" customFormat="1" x14ac:dyDescent="0.2">
      <c r="A1672" s="200" t="s">
        <v>2666</v>
      </c>
      <c r="B1672" s="200" t="s">
        <v>4216</v>
      </c>
      <c r="C1672" s="200" t="s">
        <v>4217</v>
      </c>
      <c r="D1672" s="200" t="s">
        <v>4218</v>
      </c>
      <c r="E1672" s="5"/>
      <c r="F1672" s="8" t="s">
        <v>2660</v>
      </c>
    </row>
    <row r="1673" spans="1:6" s="8" customFormat="1" x14ac:dyDescent="0.2">
      <c r="A1673" s="200" t="s">
        <v>2666</v>
      </c>
      <c r="B1673" s="200" t="s">
        <v>4219</v>
      </c>
      <c r="C1673" s="200" t="s">
        <v>4220</v>
      </c>
      <c r="D1673" s="200" t="s">
        <v>4221</v>
      </c>
      <c r="E1673" s="5"/>
      <c r="F1673" s="8" t="s">
        <v>2660</v>
      </c>
    </row>
    <row r="1674" spans="1:6" s="8" customFormat="1" x14ac:dyDescent="0.2">
      <c r="A1674" s="200" t="s">
        <v>2666</v>
      </c>
      <c r="B1674" s="200" t="s">
        <v>4222</v>
      </c>
      <c r="C1674" s="200" t="s">
        <v>4223</v>
      </c>
      <c r="D1674" s="200" t="s">
        <v>4224</v>
      </c>
      <c r="E1674" s="5"/>
      <c r="F1674" s="8" t="s">
        <v>2660</v>
      </c>
    </row>
    <row r="1675" spans="1:6" s="8" customFormat="1" x14ac:dyDescent="0.2">
      <c r="A1675" s="200" t="s">
        <v>2666</v>
      </c>
      <c r="B1675" s="200" t="s">
        <v>4225</v>
      </c>
      <c r="C1675" s="200" t="s">
        <v>4226</v>
      </c>
      <c r="D1675" s="200" t="s">
        <v>4227</v>
      </c>
      <c r="E1675" s="5"/>
      <c r="F1675" s="8" t="s">
        <v>2660</v>
      </c>
    </row>
    <row r="1676" spans="1:6" s="8" customFormat="1" x14ac:dyDescent="0.2">
      <c r="A1676" s="200" t="s">
        <v>2666</v>
      </c>
      <c r="B1676" s="200" t="s">
        <v>4228</v>
      </c>
      <c r="C1676" s="200" t="s">
        <v>4229</v>
      </c>
      <c r="D1676" s="200" t="s">
        <v>4230</v>
      </c>
      <c r="E1676" s="5"/>
      <c r="F1676" s="8" t="s">
        <v>2663</v>
      </c>
    </row>
    <row r="1677" spans="1:6" s="8" customFormat="1" x14ac:dyDescent="0.2">
      <c r="A1677" s="200" t="s">
        <v>2666</v>
      </c>
      <c r="B1677" s="200" t="s">
        <v>4231</v>
      </c>
      <c r="C1677" s="200" t="s">
        <v>4232</v>
      </c>
      <c r="D1677" s="200" t="s">
        <v>4233</v>
      </c>
      <c r="E1677" s="5"/>
      <c r="F1677" s="8" t="s">
        <v>2663</v>
      </c>
    </row>
    <row r="1678" spans="1:6" s="8" customFormat="1" x14ac:dyDescent="0.2">
      <c r="A1678" s="200" t="s">
        <v>2666</v>
      </c>
      <c r="B1678" s="200" t="s">
        <v>4234</v>
      </c>
      <c r="C1678" s="200" t="s">
        <v>4235</v>
      </c>
      <c r="D1678" s="200" t="s">
        <v>4236</v>
      </c>
      <c r="E1678" s="5"/>
      <c r="F1678" s="8" t="s">
        <v>2663</v>
      </c>
    </row>
    <row r="1679" spans="1:6" s="8" customFormat="1" x14ac:dyDescent="0.2">
      <c r="A1679" s="200" t="s">
        <v>2666</v>
      </c>
      <c r="B1679" s="200" t="s">
        <v>4237</v>
      </c>
      <c r="C1679" s="200" t="s">
        <v>4238</v>
      </c>
      <c r="D1679" s="200" t="s">
        <v>4239</v>
      </c>
      <c r="E1679" s="5"/>
      <c r="F1679" s="8" t="s">
        <v>2663</v>
      </c>
    </row>
    <row r="1680" spans="1:6" s="8" customFormat="1" x14ac:dyDescent="0.2">
      <c r="A1680" s="200" t="s">
        <v>2666</v>
      </c>
      <c r="B1680" s="200" t="s">
        <v>4240</v>
      </c>
      <c r="C1680" s="200" t="s">
        <v>4241</v>
      </c>
      <c r="D1680" s="200" t="s">
        <v>4242</v>
      </c>
      <c r="E1680" s="5"/>
      <c r="F1680" s="8" t="s">
        <v>2663</v>
      </c>
    </row>
    <row r="1681" spans="1:6" s="8" customFormat="1" x14ac:dyDescent="0.2">
      <c r="A1681" s="200" t="s">
        <v>2666</v>
      </c>
      <c r="B1681" s="200" t="s">
        <v>4243</v>
      </c>
      <c r="C1681" s="200" t="s">
        <v>4244</v>
      </c>
      <c r="D1681" s="200" t="s">
        <v>4245</v>
      </c>
      <c r="E1681" s="5"/>
      <c r="F1681" s="8" t="s">
        <v>2663</v>
      </c>
    </row>
    <row r="1682" spans="1:6" s="8" customFormat="1" x14ac:dyDescent="0.2">
      <c r="A1682" s="200" t="s">
        <v>2666</v>
      </c>
      <c r="B1682" s="200" t="s">
        <v>4246</v>
      </c>
      <c r="C1682" s="200" t="s">
        <v>4247</v>
      </c>
      <c r="D1682" s="200" t="s">
        <v>4248</v>
      </c>
      <c r="E1682" s="5"/>
      <c r="F1682" s="8" t="s">
        <v>2663</v>
      </c>
    </row>
    <row r="1683" spans="1:6" s="8" customFormat="1" x14ac:dyDescent="0.2">
      <c r="A1683" s="200" t="s">
        <v>2666</v>
      </c>
      <c r="B1683" s="200" t="s">
        <v>4249</v>
      </c>
      <c r="C1683" s="200" t="s">
        <v>4250</v>
      </c>
      <c r="D1683" s="200" t="s">
        <v>4251</v>
      </c>
      <c r="E1683" s="5"/>
      <c r="F1683" s="8" t="s">
        <v>2663</v>
      </c>
    </row>
    <row r="1684" spans="1:6" s="8" customFormat="1" x14ac:dyDescent="0.2">
      <c r="A1684" s="200" t="s">
        <v>2666</v>
      </c>
      <c r="B1684" s="200" t="s">
        <v>4252</v>
      </c>
      <c r="C1684" s="200" t="s">
        <v>4253</v>
      </c>
      <c r="D1684" s="200" t="s">
        <v>4254</v>
      </c>
      <c r="E1684" s="5"/>
      <c r="F1684" s="8" t="s">
        <v>2663</v>
      </c>
    </row>
    <row r="1685" spans="1:6" s="8" customFormat="1" x14ac:dyDescent="0.2">
      <c r="A1685" s="200" t="s">
        <v>2666</v>
      </c>
      <c r="B1685" s="200" t="s">
        <v>4255</v>
      </c>
      <c r="C1685" s="200" t="s">
        <v>4256</v>
      </c>
      <c r="D1685" s="200" t="s">
        <v>4257</v>
      </c>
      <c r="E1685" s="5"/>
      <c r="F1685" s="8" t="s">
        <v>2663</v>
      </c>
    </row>
    <row r="1686" spans="1:6" s="8" customFormat="1" x14ac:dyDescent="0.2">
      <c r="A1686" s="200" t="s">
        <v>2666</v>
      </c>
      <c r="B1686" s="200" t="s">
        <v>4258</v>
      </c>
      <c r="C1686" s="200" t="s">
        <v>4259</v>
      </c>
      <c r="D1686" s="200" t="s">
        <v>4260</v>
      </c>
      <c r="E1686" s="5"/>
      <c r="F1686" s="8" t="s">
        <v>2663</v>
      </c>
    </row>
    <row r="1687" spans="1:6" s="8" customFormat="1" x14ac:dyDescent="0.2">
      <c r="A1687" s="200" t="s">
        <v>2666</v>
      </c>
      <c r="B1687" s="200" t="s">
        <v>4261</v>
      </c>
      <c r="C1687" s="200" t="s">
        <v>4262</v>
      </c>
      <c r="D1687" s="200" t="s">
        <v>4263</v>
      </c>
      <c r="E1687" s="5"/>
      <c r="F1687" s="8" t="s">
        <v>2663</v>
      </c>
    </row>
    <row r="1688" spans="1:6" s="8" customFormat="1" x14ac:dyDescent="0.2">
      <c r="A1688" s="200" t="s">
        <v>2666</v>
      </c>
      <c r="B1688" s="200" t="s">
        <v>4264</v>
      </c>
      <c r="C1688" s="200" t="s">
        <v>4265</v>
      </c>
      <c r="D1688" s="200" t="s">
        <v>4266</v>
      </c>
      <c r="E1688" s="5"/>
      <c r="F1688" s="8" t="s">
        <v>2663</v>
      </c>
    </row>
    <row r="1689" spans="1:6" s="8" customFormat="1" x14ac:dyDescent="0.2">
      <c r="A1689" s="200" t="s">
        <v>2666</v>
      </c>
      <c r="B1689" s="200" t="s">
        <v>4267</v>
      </c>
      <c r="C1689" s="200" t="s">
        <v>4268</v>
      </c>
      <c r="D1689" s="200" t="s">
        <v>4269</v>
      </c>
      <c r="E1689" s="5"/>
      <c r="F1689" s="8" t="s">
        <v>2663</v>
      </c>
    </row>
    <row r="1690" spans="1:6" s="8" customFormat="1" x14ac:dyDescent="0.2">
      <c r="A1690" s="200" t="s">
        <v>2666</v>
      </c>
      <c r="B1690" s="200" t="s">
        <v>4270</v>
      </c>
      <c r="C1690" s="200" t="s">
        <v>4271</v>
      </c>
      <c r="D1690" s="200" t="s">
        <v>4272</v>
      </c>
      <c r="E1690" s="5"/>
      <c r="F1690" s="8" t="s">
        <v>2663</v>
      </c>
    </row>
    <row r="1691" spans="1:6" s="8" customFormat="1" x14ac:dyDescent="0.2">
      <c r="A1691" s="200" t="s">
        <v>2666</v>
      </c>
      <c r="B1691" s="200" t="s">
        <v>4273</v>
      </c>
      <c r="C1691" s="200" t="s">
        <v>4274</v>
      </c>
      <c r="D1691" s="200" t="s">
        <v>4275</v>
      </c>
      <c r="E1691" s="5"/>
      <c r="F1691" s="8" t="s">
        <v>2663</v>
      </c>
    </row>
    <row r="1692" spans="1:6" s="8" customFormat="1" x14ac:dyDescent="0.2">
      <c r="A1692" s="200" t="s">
        <v>2666</v>
      </c>
      <c r="B1692" s="200" t="s">
        <v>4276</v>
      </c>
      <c r="C1692" s="200" t="s">
        <v>4277</v>
      </c>
      <c r="D1692" s="200" t="s">
        <v>4278</v>
      </c>
      <c r="E1692" s="5"/>
      <c r="F1692" s="8" t="s">
        <v>2663</v>
      </c>
    </row>
    <row r="1693" spans="1:6" s="8" customFormat="1" x14ac:dyDescent="0.2">
      <c r="A1693" s="200" t="s">
        <v>2666</v>
      </c>
      <c r="B1693" s="200" t="s">
        <v>4279</v>
      </c>
      <c r="C1693" s="200" t="s">
        <v>4280</v>
      </c>
      <c r="D1693" s="200" t="s">
        <v>4281</v>
      </c>
      <c r="E1693" s="5"/>
      <c r="F1693" s="8" t="s">
        <v>2663</v>
      </c>
    </row>
    <row r="1694" spans="1:6" s="8" customFormat="1" x14ac:dyDescent="0.2">
      <c r="A1694" s="200" t="s">
        <v>2666</v>
      </c>
      <c r="B1694" s="200" t="s">
        <v>4282</v>
      </c>
      <c r="C1694" s="200" t="s">
        <v>4283</v>
      </c>
      <c r="D1694" s="200" t="s">
        <v>4284</v>
      </c>
      <c r="E1694" s="5"/>
      <c r="F1694" s="8" t="s">
        <v>2663</v>
      </c>
    </row>
    <row r="1695" spans="1:6" s="8" customFormat="1" x14ac:dyDescent="0.2">
      <c r="A1695" s="200" t="s">
        <v>2666</v>
      </c>
      <c r="B1695" s="200" t="s">
        <v>4285</v>
      </c>
      <c r="C1695" s="200" t="s">
        <v>4286</v>
      </c>
      <c r="D1695" s="200" t="s">
        <v>4287</v>
      </c>
      <c r="E1695" s="5"/>
      <c r="F1695" s="8" t="s">
        <v>2663</v>
      </c>
    </row>
    <row r="1696" spans="1:6" s="8" customFormat="1" x14ac:dyDescent="0.2">
      <c r="A1696" s="200" t="s">
        <v>2666</v>
      </c>
      <c r="B1696" s="200" t="s">
        <v>4288</v>
      </c>
      <c r="C1696" s="200" t="s">
        <v>4289</v>
      </c>
      <c r="D1696" s="200" t="s">
        <v>4290</v>
      </c>
      <c r="E1696" s="5"/>
      <c r="F1696" s="8" t="s">
        <v>2663</v>
      </c>
    </row>
    <row r="1697" spans="1:6" s="8" customFormat="1" x14ac:dyDescent="0.2">
      <c r="A1697" s="200" t="s">
        <v>2666</v>
      </c>
      <c r="B1697" s="200" t="s">
        <v>4291</v>
      </c>
      <c r="C1697" s="200" t="s">
        <v>4292</v>
      </c>
      <c r="D1697" s="200" t="s">
        <v>4293</v>
      </c>
      <c r="E1697" s="5"/>
      <c r="F1697" s="8" t="s">
        <v>2663</v>
      </c>
    </row>
    <row r="1698" spans="1:6" s="8" customFormat="1" x14ac:dyDescent="0.2">
      <c r="A1698" s="200" t="s">
        <v>2666</v>
      </c>
      <c r="B1698" s="200" t="s">
        <v>4294</v>
      </c>
      <c r="C1698" s="200" t="s">
        <v>2664</v>
      </c>
      <c r="D1698" s="200" t="s">
        <v>2665</v>
      </c>
      <c r="E1698" s="5"/>
      <c r="F1698" s="8" t="s">
        <v>2663</v>
      </c>
    </row>
    <row r="1699" spans="1:6" s="8" customFormat="1" x14ac:dyDescent="0.2">
      <c r="A1699" s="200" t="s">
        <v>2666</v>
      </c>
      <c r="B1699" s="200" t="s">
        <v>4295</v>
      </c>
      <c r="C1699" s="200" t="s">
        <v>4296</v>
      </c>
      <c r="D1699" s="200" t="s">
        <v>4297</v>
      </c>
      <c r="E1699" s="5"/>
      <c r="F1699" s="8" t="s">
        <v>2663</v>
      </c>
    </row>
    <row r="1700" spans="1:6" s="8" customFormat="1" x14ac:dyDescent="0.2">
      <c r="A1700" s="200" t="s">
        <v>2666</v>
      </c>
      <c r="B1700" s="200" t="s">
        <v>4298</v>
      </c>
      <c r="C1700" s="200" t="s">
        <v>4299</v>
      </c>
      <c r="D1700" s="200" t="s">
        <v>4300</v>
      </c>
      <c r="E1700" s="5"/>
      <c r="F1700" s="8" t="s">
        <v>2663</v>
      </c>
    </row>
    <row r="1701" spans="1:6" s="8" customFormat="1" x14ac:dyDescent="0.2">
      <c r="A1701" s="200" t="s">
        <v>2666</v>
      </c>
      <c r="B1701" s="200" t="s">
        <v>4301</v>
      </c>
      <c r="C1701" s="200" t="s">
        <v>4302</v>
      </c>
      <c r="D1701" s="200" t="s">
        <v>4303</v>
      </c>
      <c r="E1701" s="5"/>
      <c r="F1701" s="8" t="s">
        <v>2663</v>
      </c>
    </row>
    <row r="1702" spans="1:6" s="8" customFormat="1" x14ac:dyDescent="0.2">
      <c r="A1702" s="200" t="s">
        <v>2666</v>
      </c>
      <c r="B1702" s="200" t="s">
        <v>4304</v>
      </c>
      <c r="C1702" s="200" t="s">
        <v>4305</v>
      </c>
      <c r="D1702" s="200" t="s">
        <v>4306</v>
      </c>
      <c r="E1702" s="5"/>
      <c r="F1702" s="8" t="s">
        <v>2663</v>
      </c>
    </row>
    <row r="1703" spans="1:6" s="8" customFormat="1" x14ac:dyDescent="0.2">
      <c r="A1703" s="200" t="s">
        <v>2666</v>
      </c>
      <c r="B1703" s="200" t="s">
        <v>4307</v>
      </c>
      <c r="C1703" s="200" t="s">
        <v>4308</v>
      </c>
      <c r="D1703" s="200" t="s">
        <v>4309</v>
      </c>
      <c r="E1703" s="5"/>
      <c r="F1703" s="8" t="s">
        <v>2663</v>
      </c>
    </row>
  </sheetData>
  <autoFilter ref="B1:B804" xr:uid="{00000000-0009-0000-0000-000001000000}"/>
  <conditionalFormatting sqref="D10 D12:D15 D17:D26">
    <cfRule type="duplicateValues" dxfId="607" priority="2475"/>
  </conditionalFormatting>
  <conditionalFormatting sqref="D12:D15 D17:D37">
    <cfRule type="duplicateValues" dxfId="606" priority="2479"/>
  </conditionalFormatting>
  <conditionalFormatting sqref="D48">
    <cfRule type="duplicateValues" dxfId="605" priority="826"/>
    <cfRule type="duplicateValues" dxfId="604" priority="827"/>
    <cfRule type="duplicateValues" dxfId="603" priority="828"/>
    <cfRule type="duplicateValues" dxfId="602" priority="829"/>
    <cfRule type="duplicateValues" dxfId="601" priority="838"/>
    <cfRule type="duplicateValues" dxfId="600" priority="839"/>
    <cfRule type="duplicateValues" dxfId="599" priority="840"/>
    <cfRule type="duplicateValues" dxfId="598" priority="2480"/>
    <cfRule type="duplicateValues" dxfId="597" priority="2488"/>
    <cfRule type="duplicateValues" dxfId="596" priority="2489"/>
  </conditionalFormatting>
  <conditionalFormatting sqref="D51">
    <cfRule type="duplicateValues" dxfId="595" priority="802"/>
    <cfRule type="duplicateValues" dxfId="594" priority="803"/>
    <cfRule type="duplicateValues" dxfId="593" priority="804"/>
    <cfRule type="duplicateValues" dxfId="592" priority="2522"/>
    <cfRule type="duplicateValues" dxfId="591" priority="2530"/>
    <cfRule type="duplicateValues" dxfId="590" priority="2531"/>
  </conditionalFormatting>
  <conditionalFormatting sqref="D40">
    <cfRule type="duplicateValues" dxfId="589" priority="850"/>
    <cfRule type="duplicateValues" dxfId="588" priority="851"/>
    <cfRule type="duplicateValues" dxfId="587" priority="852"/>
    <cfRule type="duplicateValues" dxfId="586" priority="2564"/>
    <cfRule type="duplicateValues" dxfId="585" priority="2568"/>
    <cfRule type="duplicateValues" dxfId="584" priority="2569"/>
  </conditionalFormatting>
  <conditionalFormatting sqref="D42">
    <cfRule type="duplicateValues" dxfId="583" priority="780"/>
    <cfRule type="duplicateValues" dxfId="582" priority="781"/>
    <cfRule type="duplicateValues" dxfId="581" priority="2586"/>
    <cfRule type="duplicateValues" dxfId="580" priority="2594"/>
    <cfRule type="duplicateValues" dxfId="579" priority="2595"/>
  </conditionalFormatting>
  <conditionalFormatting sqref="D44">
    <cfRule type="duplicateValues" dxfId="578" priority="749"/>
    <cfRule type="duplicateValues" dxfId="577" priority="750"/>
    <cfRule type="duplicateValues" dxfId="576" priority="751"/>
    <cfRule type="duplicateValues" dxfId="575" priority="752"/>
    <cfRule type="duplicateValues" dxfId="574" priority="753"/>
    <cfRule type="duplicateValues" dxfId="573" priority="767"/>
    <cfRule type="duplicateValues" dxfId="572" priority="768"/>
    <cfRule type="duplicateValues" dxfId="571" priority="2608"/>
    <cfRule type="duplicateValues" dxfId="570" priority="2616"/>
    <cfRule type="duplicateValues" dxfId="569" priority="2617"/>
  </conditionalFormatting>
  <conditionalFormatting sqref="D43">
    <cfRule type="duplicateValues" dxfId="568" priority="725"/>
    <cfRule type="duplicateValues" dxfId="567" priority="726"/>
    <cfRule type="duplicateValues" dxfId="566" priority="727"/>
    <cfRule type="duplicateValues" dxfId="565" priority="728"/>
    <cfRule type="duplicateValues" dxfId="564" priority="729"/>
    <cfRule type="duplicateValues" dxfId="563" priority="743"/>
    <cfRule type="duplicateValues" dxfId="562" priority="744"/>
    <cfRule type="duplicateValues" dxfId="561" priority="2606"/>
    <cfRule type="duplicateValues" dxfId="560" priority="2636"/>
    <cfRule type="duplicateValues" dxfId="559" priority="2637"/>
  </conditionalFormatting>
  <conditionalFormatting sqref="D47">
    <cfRule type="duplicateValues" dxfId="558" priority="716"/>
    <cfRule type="duplicateValues" dxfId="557" priority="717"/>
    <cfRule type="duplicateValues" dxfId="556" priority="718"/>
    <cfRule type="duplicateValues" dxfId="555" priority="2646"/>
    <cfRule type="duplicateValues" dxfId="554" priority="2648"/>
    <cfRule type="duplicateValues" dxfId="553" priority="2649"/>
  </conditionalFormatting>
  <conditionalFormatting sqref="D49">
    <cfRule type="duplicateValues" dxfId="552" priority="706"/>
    <cfRule type="duplicateValues" dxfId="551" priority="707"/>
    <cfRule type="duplicateValues" dxfId="550" priority="708"/>
    <cfRule type="duplicateValues" dxfId="549" priority="2654"/>
    <cfRule type="duplicateValues" dxfId="548" priority="2656"/>
    <cfRule type="duplicateValues" dxfId="547" priority="2657"/>
  </conditionalFormatting>
  <conditionalFormatting sqref="D50">
    <cfRule type="duplicateValues" dxfId="546" priority="696"/>
    <cfRule type="duplicateValues" dxfId="545" priority="697"/>
    <cfRule type="duplicateValues" dxfId="544" priority="698"/>
    <cfRule type="duplicateValues" dxfId="543" priority="2662"/>
    <cfRule type="duplicateValues" dxfId="542" priority="2664"/>
    <cfRule type="duplicateValues" dxfId="541" priority="2665"/>
  </conditionalFormatting>
  <conditionalFormatting sqref="D39">
    <cfRule type="duplicateValues" dxfId="540" priority="688"/>
    <cfRule type="duplicateValues" dxfId="539" priority="689"/>
    <cfRule type="duplicateValues" dxfId="538" priority="690"/>
    <cfRule type="duplicateValues" dxfId="537" priority="2670"/>
    <cfRule type="duplicateValues" dxfId="536" priority="2674"/>
    <cfRule type="duplicateValues" dxfId="535" priority="2675"/>
  </conditionalFormatting>
  <conditionalFormatting sqref="D41">
    <cfRule type="duplicateValues" dxfId="534" priority="676"/>
    <cfRule type="duplicateValues" dxfId="533" priority="677"/>
    <cfRule type="duplicateValues" dxfId="532" priority="678"/>
    <cfRule type="duplicateValues" dxfId="531" priority="2678"/>
    <cfRule type="duplicateValues" dxfId="530" priority="2680"/>
    <cfRule type="duplicateValues" dxfId="529" priority="2681"/>
  </conditionalFormatting>
  <conditionalFormatting sqref="D45">
    <cfRule type="duplicateValues" dxfId="528" priority="666"/>
    <cfRule type="duplicateValues" dxfId="527" priority="667"/>
    <cfRule type="duplicateValues" dxfId="526" priority="668"/>
    <cfRule type="duplicateValues" dxfId="525" priority="2686"/>
    <cfRule type="duplicateValues" dxfId="524" priority="2688"/>
    <cfRule type="duplicateValues" dxfId="523" priority="2689"/>
  </conditionalFormatting>
  <conditionalFormatting sqref="D54">
    <cfRule type="duplicateValues" dxfId="522" priority="662"/>
    <cfRule type="duplicateValues" dxfId="521" priority="663"/>
    <cfRule type="duplicateValues" dxfId="520" priority="2696"/>
    <cfRule type="duplicateValues" dxfId="519" priority="2698"/>
    <cfRule type="duplicateValues" dxfId="518" priority="2699"/>
  </conditionalFormatting>
  <conditionalFormatting sqref="D52">
    <cfRule type="duplicateValues" dxfId="517" priority="653"/>
    <cfRule type="duplicateValues" dxfId="516" priority="654"/>
    <cfRule type="duplicateValues" dxfId="515" priority="655"/>
    <cfRule type="duplicateValues" dxfId="514" priority="656"/>
  </conditionalFormatting>
  <conditionalFormatting sqref="D56">
    <cfRule type="duplicateValues" dxfId="513" priority="644"/>
    <cfRule type="duplicateValues" dxfId="512" priority="645"/>
    <cfRule type="duplicateValues" dxfId="511" priority="646"/>
    <cfRule type="duplicateValues" dxfId="510" priority="2704"/>
    <cfRule type="duplicateValues" dxfId="509" priority="2708"/>
    <cfRule type="duplicateValues" dxfId="508" priority="2709"/>
  </conditionalFormatting>
  <conditionalFormatting sqref="D57">
    <cfRule type="duplicateValues" dxfId="507" priority="637"/>
    <cfRule type="duplicateValues" dxfId="506" priority="638"/>
    <cfRule type="duplicateValues" dxfId="505" priority="639"/>
    <cfRule type="duplicateValues" dxfId="504" priority="640"/>
  </conditionalFormatting>
  <conditionalFormatting sqref="D60">
    <cfRule type="duplicateValues" dxfId="503" priority="616"/>
    <cfRule type="duplicateValues" dxfId="502" priority="617"/>
    <cfRule type="duplicateValues" dxfId="501" priority="619"/>
    <cfRule type="duplicateValues" dxfId="500" priority="620"/>
    <cfRule type="duplicateValues" dxfId="499" priority="621"/>
    <cfRule type="duplicateValues" dxfId="498" priority="622"/>
    <cfRule type="duplicateValues" dxfId="497" priority="623"/>
    <cfRule type="duplicateValues" dxfId="496" priority="2740"/>
    <cfRule type="duplicateValues" dxfId="495" priority="2750"/>
    <cfRule type="duplicateValues" dxfId="494" priority="2751"/>
  </conditionalFormatting>
  <conditionalFormatting sqref="D58">
    <cfRule type="duplicateValues" dxfId="493" priority="587"/>
    <cfRule type="duplicateValues" dxfId="492" priority="588"/>
    <cfRule type="duplicateValues" dxfId="491" priority="589"/>
    <cfRule type="duplicateValues" dxfId="490" priority="590"/>
    <cfRule type="duplicateValues" dxfId="489" priority="599"/>
    <cfRule type="duplicateValues" dxfId="488" priority="600"/>
    <cfRule type="duplicateValues" dxfId="487" priority="601"/>
    <cfRule type="duplicateValues" dxfId="486" priority="2770"/>
    <cfRule type="duplicateValues" dxfId="485" priority="2778"/>
    <cfRule type="duplicateValues" dxfId="484" priority="2779"/>
  </conditionalFormatting>
  <conditionalFormatting sqref="D38">
    <cfRule type="duplicateValues" dxfId="483" priority="551"/>
    <cfRule type="duplicateValues" dxfId="482" priority="552"/>
    <cfRule type="duplicateValues" dxfId="481" priority="553"/>
    <cfRule type="duplicateValues" dxfId="480" priority="554"/>
    <cfRule type="duplicateValues" dxfId="479" priority="563"/>
    <cfRule type="duplicateValues" dxfId="478" priority="564"/>
    <cfRule type="duplicateValues" dxfId="477" priority="565"/>
    <cfRule type="duplicateValues" dxfId="476" priority="2812"/>
    <cfRule type="duplicateValues" dxfId="475" priority="2820"/>
    <cfRule type="duplicateValues" dxfId="474" priority="2821"/>
  </conditionalFormatting>
  <conditionalFormatting sqref="D55">
    <cfRule type="duplicateValues" dxfId="473" priority="527"/>
    <cfRule type="duplicateValues" dxfId="472" priority="528"/>
    <cfRule type="duplicateValues" dxfId="471" priority="529"/>
    <cfRule type="duplicateValues" dxfId="470" priority="2854"/>
    <cfRule type="duplicateValues" dxfId="469" priority="2862"/>
    <cfRule type="duplicateValues" dxfId="468" priority="2863"/>
  </conditionalFormatting>
  <conditionalFormatting sqref="D61">
    <cfRule type="duplicateValues" dxfId="467" priority="864"/>
    <cfRule type="duplicateValues" dxfId="466" priority="865"/>
    <cfRule type="duplicateValues" dxfId="465" priority="866"/>
    <cfRule type="duplicateValues" dxfId="464" priority="2896"/>
    <cfRule type="duplicateValues" dxfId="463" priority="2898"/>
    <cfRule type="duplicateValues" dxfId="462" priority="2899"/>
  </conditionalFormatting>
  <conditionalFormatting sqref="D59">
    <cfRule type="duplicateValues" dxfId="461" priority="488"/>
    <cfRule type="duplicateValues" dxfId="460" priority="489"/>
    <cfRule type="duplicateValues" dxfId="459" priority="490"/>
    <cfRule type="duplicateValues" dxfId="458" priority="491"/>
    <cfRule type="duplicateValues" dxfId="457" priority="492"/>
    <cfRule type="duplicateValues" dxfId="456" priority="506"/>
    <cfRule type="duplicateValues" dxfId="455" priority="507"/>
    <cfRule type="duplicateValues" dxfId="454" priority="508"/>
    <cfRule type="duplicateValues" dxfId="453" priority="2908"/>
    <cfRule type="duplicateValues" dxfId="452" priority="2918"/>
    <cfRule type="duplicateValues" dxfId="451" priority="2919"/>
  </conditionalFormatting>
  <conditionalFormatting sqref="D53">
    <cfRule type="duplicateValues" dxfId="450" priority="456"/>
    <cfRule type="duplicateValues" dxfId="449" priority="457"/>
    <cfRule type="duplicateValues" dxfId="448" priority="458"/>
    <cfRule type="duplicateValues" dxfId="447" priority="459"/>
    <cfRule type="duplicateValues" dxfId="446" priority="468"/>
    <cfRule type="duplicateValues" dxfId="445" priority="469"/>
    <cfRule type="duplicateValues" dxfId="444" priority="470"/>
    <cfRule type="duplicateValues" dxfId="443" priority="2940"/>
    <cfRule type="duplicateValues" dxfId="442" priority="2948"/>
    <cfRule type="duplicateValues" dxfId="441" priority="2949"/>
  </conditionalFormatting>
  <conditionalFormatting sqref="D48 D51 D40 D46">
    <cfRule type="duplicateValues" dxfId="440" priority="2578"/>
  </conditionalFormatting>
  <conditionalFormatting sqref="D42:D44">
    <cfRule type="duplicateValues" dxfId="439" priority="2694"/>
  </conditionalFormatting>
  <conditionalFormatting sqref="D41:D45 D47 D49:D50 D39 D52 D56 D54">
    <cfRule type="duplicateValues" dxfId="438" priority="2712"/>
  </conditionalFormatting>
  <conditionalFormatting sqref="D56 D41:D45 D47 D49:D50 D39 D52 D54">
    <cfRule type="duplicateValues" dxfId="437" priority="2726"/>
  </conditionalFormatting>
  <conditionalFormatting sqref="D57:D58 D60:D61">
    <cfRule type="duplicateValues" dxfId="436" priority="2904"/>
  </conditionalFormatting>
  <conditionalFormatting sqref="D10">
    <cfRule type="duplicateValues" dxfId="435" priority="424"/>
    <cfRule type="duplicateValues" dxfId="434" priority="425"/>
    <cfRule type="duplicateValues" dxfId="433" priority="426"/>
    <cfRule type="duplicateValues" dxfId="432" priority="427"/>
    <cfRule type="duplicateValues" dxfId="431" priority="428"/>
    <cfRule type="duplicateValues" dxfId="430" priority="429"/>
    <cfRule type="duplicateValues" dxfId="429" priority="438"/>
  </conditionalFormatting>
  <conditionalFormatting sqref="D31">
    <cfRule type="duplicateValues" dxfId="428" priority="419"/>
    <cfRule type="duplicateValues" dxfId="427" priority="420"/>
    <cfRule type="duplicateValues" dxfId="426" priority="421"/>
    <cfRule type="duplicateValues" dxfId="425" priority="422"/>
    <cfRule type="duplicateValues" dxfId="424" priority="423"/>
  </conditionalFormatting>
  <conditionalFormatting sqref="D29">
    <cfRule type="duplicateValues" dxfId="423" priority="412"/>
    <cfRule type="duplicateValues" dxfId="422" priority="413"/>
    <cfRule type="duplicateValues" dxfId="421" priority="414"/>
    <cfRule type="duplicateValues" dxfId="420" priority="415"/>
    <cfRule type="duplicateValues" dxfId="419" priority="416"/>
    <cfRule type="duplicateValues" dxfId="418" priority="417"/>
    <cfRule type="duplicateValues" dxfId="417" priority="418"/>
  </conditionalFormatting>
  <conditionalFormatting sqref="D15">
    <cfRule type="duplicateValues" dxfId="416" priority="430"/>
    <cfRule type="duplicateValues" dxfId="415" priority="431"/>
    <cfRule type="duplicateValues" dxfId="414" priority="432"/>
    <cfRule type="duplicateValues" dxfId="413" priority="433"/>
    <cfRule type="duplicateValues" dxfId="412" priority="434"/>
    <cfRule type="duplicateValues" dxfId="411" priority="435"/>
    <cfRule type="duplicateValues" dxfId="410" priority="436"/>
  </conditionalFormatting>
  <conditionalFormatting sqref="D13">
    <cfRule type="duplicateValues" dxfId="409" priority="405"/>
    <cfRule type="duplicateValues" dxfId="408" priority="406"/>
    <cfRule type="duplicateValues" dxfId="407" priority="407"/>
    <cfRule type="duplicateValues" dxfId="406" priority="408"/>
    <cfRule type="duplicateValues" dxfId="405" priority="409"/>
    <cfRule type="duplicateValues" dxfId="404" priority="410"/>
    <cfRule type="duplicateValues" dxfId="403" priority="411"/>
  </conditionalFormatting>
  <conditionalFormatting sqref="D18">
    <cfRule type="duplicateValues" dxfId="402" priority="398"/>
    <cfRule type="duplicateValues" dxfId="401" priority="399"/>
    <cfRule type="duplicateValues" dxfId="400" priority="400"/>
    <cfRule type="duplicateValues" dxfId="399" priority="401"/>
    <cfRule type="duplicateValues" dxfId="398" priority="402"/>
    <cfRule type="duplicateValues" dxfId="397" priority="403"/>
    <cfRule type="duplicateValues" dxfId="396" priority="404"/>
  </conditionalFormatting>
  <conditionalFormatting sqref="D33">
    <cfRule type="duplicateValues" dxfId="395" priority="380"/>
    <cfRule type="duplicateValues" dxfId="394" priority="381"/>
    <cfRule type="duplicateValues" dxfId="393" priority="382"/>
    <cfRule type="duplicateValues" dxfId="392" priority="383"/>
    <cfRule type="duplicateValues" dxfId="391" priority="384"/>
    <cfRule type="duplicateValues" dxfId="390" priority="385"/>
    <cfRule type="duplicateValues" dxfId="389" priority="386"/>
    <cfRule type="duplicateValues" dxfId="388" priority="387"/>
    <cfRule type="duplicateValues" dxfId="387" priority="388"/>
    <cfRule type="duplicateValues" dxfId="386" priority="389"/>
    <cfRule type="duplicateValues" dxfId="385" priority="390"/>
    <cfRule type="duplicateValues" dxfId="384" priority="391"/>
    <cfRule type="duplicateValues" dxfId="383" priority="392"/>
    <cfRule type="duplicateValues" dxfId="382" priority="393"/>
    <cfRule type="duplicateValues" dxfId="381" priority="394"/>
    <cfRule type="duplicateValues" dxfId="380" priority="395"/>
    <cfRule type="duplicateValues" dxfId="379" priority="396"/>
    <cfRule type="duplicateValues" dxfId="378" priority="397"/>
  </conditionalFormatting>
  <conditionalFormatting sqref="D14">
    <cfRule type="duplicateValues" dxfId="377" priority="359"/>
    <cfRule type="duplicateValues" dxfId="376" priority="360"/>
    <cfRule type="duplicateValues" dxfId="375" priority="361"/>
    <cfRule type="duplicateValues" dxfId="374" priority="362"/>
    <cfRule type="duplicateValues" dxfId="373" priority="363"/>
    <cfRule type="duplicateValues" dxfId="372" priority="364"/>
    <cfRule type="duplicateValues" dxfId="371" priority="365"/>
    <cfRule type="duplicateValues" dxfId="370" priority="366"/>
    <cfRule type="duplicateValues" dxfId="369" priority="367"/>
    <cfRule type="duplicateValues" dxfId="368" priority="368"/>
    <cfRule type="duplicateValues" dxfId="367" priority="369"/>
    <cfRule type="duplicateValues" dxfId="366" priority="370"/>
    <cfRule type="duplicateValues" dxfId="365" priority="371"/>
    <cfRule type="duplicateValues" dxfId="364" priority="372"/>
    <cfRule type="duplicateValues" dxfId="363" priority="373"/>
    <cfRule type="duplicateValues" dxfId="362" priority="374"/>
    <cfRule type="duplicateValues" dxfId="361" priority="375"/>
    <cfRule type="duplicateValues" dxfId="360" priority="376"/>
    <cfRule type="duplicateValues" dxfId="359" priority="377"/>
    <cfRule type="duplicateValues" dxfId="358" priority="378"/>
    <cfRule type="duplicateValues" dxfId="357" priority="379"/>
  </conditionalFormatting>
  <conditionalFormatting sqref="D32">
    <cfRule type="duplicateValues" dxfId="356" priority="337"/>
    <cfRule type="duplicateValues" dxfId="355" priority="338"/>
    <cfRule type="duplicateValues" dxfId="354" priority="339"/>
    <cfRule type="duplicateValues" dxfId="353" priority="340"/>
    <cfRule type="duplicateValues" dxfId="352" priority="341"/>
    <cfRule type="duplicateValues" dxfId="351" priority="342"/>
    <cfRule type="duplicateValues" dxfId="350" priority="343"/>
    <cfRule type="duplicateValues" dxfId="349" priority="344"/>
    <cfRule type="duplicateValues" dxfId="348" priority="345"/>
    <cfRule type="duplicateValues" dxfId="347" priority="346"/>
    <cfRule type="duplicateValues" dxfId="346" priority="347"/>
    <cfRule type="duplicateValues" dxfId="345" priority="348"/>
    <cfRule type="duplicateValues" dxfId="344" priority="349"/>
    <cfRule type="duplicateValues" dxfId="343" priority="350"/>
    <cfRule type="duplicateValues" dxfId="342" priority="351"/>
    <cfRule type="duplicateValues" dxfId="341" priority="352"/>
    <cfRule type="duplicateValues" dxfId="340" priority="353"/>
    <cfRule type="duplicateValues" dxfId="339" priority="354"/>
    <cfRule type="duplicateValues" dxfId="338" priority="355"/>
    <cfRule type="duplicateValues" dxfId="337" priority="356"/>
    <cfRule type="duplicateValues" dxfId="336" priority="357"/>
    <cfRule type="duplicateValues" dxfId="335" priority="358"/>
  </conditionalFormatting>
  <conditionalFormatting sqref="D17">
    <cfRule type="duplicateValues" dxfId="334" priority="314"/>
    <cfRule type="duplicateValues" dxfId="333" priority="315"/>
    <cfRule type="duplicateValues" dxfId="332" priority="316"/>
    <cfRule type="duplicateValues" dxfId="331" priority="317"/>
    <cfRule type="duplicateValues" dxfId="330" priority="318"/>
    <cfRule type="duplicateValues" dxfId="329" priority="319"/>
    <cfRule type="duplicateValues" dxfId="328" priority="320"/>
    <cfRule type="duplicateValues" dxfId="327" priority="321"/>
    <cfRule type="duplicateValues" dxfId="326" priority="322"/>
    <cfRule type="duplicateValues" dxfId="325" priority="323"/>
    <cfRule type="duplicateValues" dxfId="324" priority="324"/>
    <cfRule type="duplicateValues" dxfId="323" priority="325"/>
    <cfRule type="duplicateValues" dxfId="322" priority="326"/>
    <cfRule type="duplicateValues" dxfId="321" priority="327"/>
    <cfRule type="duplicateValues" dxfId="320" priority="328"/>
    <cfRule type="duplicateValues" dxfId="319" priority="329"/>
    <cfRule type="duplicateValues" dxfId="318" priority="330"/>
    <cfRule type="duplicateValues" dxfId="317" priority="331"/>
    <cfRule type="duplicateValues" dxfId="316" priority="332"/>
    <cfRule type="duplicateValues" dxfId="315" priority="333"/>
    <cfRule type="duplicateValues" dxfId="314" priority="334"/>
    <cfRule type="duplicateValues" dxfId="313" priority="335"/>
    <cfRule type="duplicateValues" dxfId="312" priority="336"/>
  </conditionalFormatting>
  <conditionalFormatting sqref="D21">
    <cfRule type="duplicateValues" dxfId="311" priority="308"/>
    <cfRule type="duplicateValues" dxfId="310" priority="309"/>
    <cfRule type="duplicateValues" dxfId="309" priority="310"/>
    <cfRule type="duplicateValues" dxfId="308" priority="311"/>
    <cfRule type="duplicateValues" dxfId="307" priority="312"/>
    <cfRule type="duplicateValues" dxfId="306" priority="313"/>
  </conditionalFormatting>
  <conditionalFormatting sqref="D36">
    <cfRule type="duplicateValues" dxfId="305" priority="93"/>
    <cfRule type="duplicateValues" dxfId="304" priority="94"/>
    <cfRule type="duplicateValues" dxfId="303" priority="95"/>
    <cfRule type="duplicateValues" dxfId="302" priority="96"/>
    <cfRule type="duplicateValues" dxfId="301" priority="97"/>
    <cfRule type="duplicateValues" dxfId="300" priority="98"/>
    <cfRule type="duplicateValues" dxfId="299" priority="99"/>
    <cfRule type="duplicateValues" dxfId="298" priority="100"/>
    <cfRule type="duplicateValues" dxfId="297" priority="101"/>
    <cfRule type="duplicateValues" dxfId="296" priority="102"/>
    <cfRule type="duplicateValues" dxfId="295" priority="103"/>
    <cfRule type="duplicateValues" dxfId="294" priority="104"/>
    <cfRule type="duplicateValues" dxfId="293" priority="105"/>
    <cfRule type="duplicateValues" dxfId="292" priority="106"/>
    <cfRule type="duplicateValues" dxfId="291" priority="107"/>
    <cfRule type="duplicateValues" dxfId="290" priority="108"/>
    <cfRule type="duplicateValues" dxfId="289" priority="109"/>
    <cfRule type="duplicateValues" dxfId="288" priority="110"/>
    <cfRule type="duplicateValues" dxfId="287" priority="111"/>
    <cfRule type="duplicateValues" dxfId="286" priority="112"/>
    <cfRule type="duplicateValues" dxfId="285" priority="113"/>
    <cfRule type="duplicateValues" dxfId="284" priority="114"/>
    <cfRule type="duplicateValues" dxfId="283" priority="115"/>
    <cfRule type="duplicateValues" dxfId="282" priority="116"/>
    <cfRule type="duplicateValues" dxfId="281" priority="117"/>
    <cfRule type="duplicateValues" dxfId="280" priority="118"/>
    <cfRule type="duplicateValues" dxfId="279" priority="119"/>
    <cfRule type="duplicateValues" dxfId="278" priority="307"/>
  </conditionalFormatting>
  <conditionalFormatting sqref="D37">
    <cfRule type="duplicateValues" dxfId="277" priority="283"/>
    <cfRule type="duplicateValues" dxfId="276" priority="284"/>
    <cfRule type="duplicateValues" dxfId="275" priority="285"/>
    <cfRule type="duplicateValues" dxfId="274" priority="286"/>
    <cfRule type="duplicateValues" dxfId="273" priority="287"/>
    <cfRule type="duplicateValues" dxfId="272" priority="288"/>
    <cfRule type="duplicateValues" dxfId="271" priority="289"/>
    <cfRule type="duplicateValues" dxfId="270" priority="290"/>
    <cfRule type="duplicateValues" dxfId="269" priority="291"/>
    <cfRule type="duplicateValues" dxfId="268" priority="292"/>
    <cfRule type="duplicateValues" dxfId="267" priority="293"/>
    <cfRule type="duplicateValues" dxfId="266" priority="294"/>
    <cfRule type="duplicateValues" dxfId="265" priority="295"/>
    <cfRule type="duplicateValues" dxfId="264" priority="296"/>
    <cfRule type="duplicateValues" dxfId="263" priority="297"/>
    <cfRule type="duplicateValues" dxfId="262" priority="298"/>
    <cfRule type="duplicateValues" dxfId="261" priority="299"/>
    <cfRule type="duplicateValues" dxfId="260" priority="300"/>
    <cfRule type="duplicateValues" dxfId="259" priority="301"/>
    <cfRule type="duplicateValues" dxfId="258" priority="302"/>
    <cfRule type="duplicateValues" dxfId="257" priority="303"/>
    <cfRule type="duplicateValues" dxfId="256" priority="304"/>
    <cfRule type="duplicateValues" dxfId="255" priority="305"/>
    <cfRule type="duplicateValues" dxfId="254" priority="306"/>
  </conditionalFormatting>
  <conditionalFormatting sqref="D23">
    <cfRule type="duplicateValues" dxfId="253" priority="259"/>
    <cfRule type="duplicateValues" dxfId="252" priority="260"/>
    <cfRule type="duplicateValues" dxfId="251" priority="261"/>
    <cfRule type="duplicateValues" dxfId="250" priority="262"/>
    <cfRule type="duplicateValues" dxfId="249" priority="263"/>
    <cfRule type="duplicateValues" dxfId="248" priority="264"/>
    <cfRule type="duplicateValues" dxfId="247" priority="265"/>
    <cfRule type="duplicateValues" dxfId="246" priority="266"/>
    <cfRule type="duplicateValues" dxfId="245" priority="267"/>
    <cfRule type="duplicateValues" dxfId="244" priority="268"/>
    <cfRule type="duplicateValues" dxfId="243" priority="269"/>
    <cfRule type="duplicateValues" dxfId="242" priority="270"/>
    <cfRule type="duplicateValues" dxfId="241" priority="271"/>
    <cfRule type="duplicateValues" dxfId="240" priority="272"/>
    <cfRule type="duplicateValues" dxfId="239" priority="273"/>
    <cfRule type="duplicateValues" dxfId="238" priority="274"/>
    <cfRule type="duplicateValues" dxfId="237" priority="275"/>
    <cfRule type="duplicateValues" dxfId="236" priority="276"/>
    <cfRule type="duplicateValues" dxfId="235" priority="277"/>
    <cfRule type="duplicateValues" dxfId="234" priority="278"/>
    <cfRule type="duplicateValues" dxfId="233" priority="279"/>
    <cfRule type="duplicateValues" dxfId="232" priority="280"/>
    <cfRule type="duplicateValues" dxfId="231" priority="281"/>
    <cfRule type="duplicateValues" dxfId="230" priority="282"/>
  </conditionalFormatting>
  <conditionalFormatting sqref="D24">
    <cfRule type="duplicateValues" dxfId="229" priority="235"/>
    <cfRule type="duplicateValues" dxfId="228" priority="236"/>
    <cfRule type="duplicateValues" dxfId="227" priority="237"/>
    <cfRule type="duplicateValues" dxfId="226" priority="238"/>
    <cfRule type="duplicateValues" dxfId="225" priority="239"/>
    <cfRule type="duplicateValues" dxfId="224" priority="240"/>
    <cfRule type="duplicateValues" dxfId="223" priority="241"/>
    <cfRule type="duplicateValues" dxfId="222" priority="242"/>
    <cfRule type="duplicateValues" dxfId="221" priority="243"/>
    <cfRule type="duplicateValues" dxfId="220" priority="244"/>
    <cfRule type="duplicateValues" dxfId="219" priority="245"/>
    <cfRule type="duplicateValues" dxfId="218" priority="246"/>
    <cfRule type="duplicateValues" dxfId="217" priority="247"/>
    <cfRule type="duplicateValues" dxfId="216" priority="248"/>
    <cfRule type="duplicateValues" dxfId="215" priority="249"/>
    <cfRule type="duplicateValues" dxfId="214" priority="250"/>
    <cfRule type="duplicateValues" dxfId="213" priority="251"/>
    <cfRule type="duplicateValues" dxfId="212" priority="252"/>
    <cfRule type="duplicateValues" dxfId="211" priority="253"/>
    <cfRule type="duplicateValues" dxfId="210" priority="254"/>
    <cfRule type="duplicateValues" dxfId="209" priority="255"/>
    <cfRule type="duplicateValues" dxfId="208" priority="256"/>
    <cfRule type="duplicateValues" dxfId="207" priority="257"/>
    <cfRule type="duplicateValues" dxfId="206" priority="258"/>
  </conditionalFormatting>
  <conditionalFormatting sqref="D22">
    <cfRule type="duplicateValues" dxfId="205" priority="217"/>
    <cfRule type="duplicateValues" dxfId="204" priority="218"/>
    <cfRule type="duplicateValues" dxfId="203" priority="219"/>
    <cfRule type="duplicateValues" dxfId="202" priority="220"/>
    <cfRule type="duplicateValues" dxfId="201" priority="221"/>
    <cfRule type="duplicateValues" dxfId="200" priority="222"/>
    <cfRule type="duplicateValues" dxfId="199" priority="223"/>
    <cfRule type="duplicateValues" dxfId="198" priority="224"/>
    <cfRule type="duplicateValues" dxfId="197" priority="225"/>
    <cfRule type="duplicateValues" dxfId="196" priority="226"/>
    <cfRule type="duplicateValues" dxfId="195" priority="227"/>
    <cfRule type="duplicateValues" dxfId="194" priority="228"/>
    <cfRule type="duplicateValues" dxfId="193" priority="229"/>
    <cfRule type="duplicateValues" dxfId="192" priority="230"/>
    <cfRule type="duplicateValues" dxfId="191" priority="231"/>
    <cfRule type="duplicateValues" dxfId="190" priority="232"/>
    <cfRule type="duplicateValues" dxfId="189" priority="233"/>
    <cfRule type="duplicateValues" dxfId="188" priority="234"/>
  </conditionalFormatting>
  <conditionalFormatting sqref="D28">
    <cfRule type="duplicateValues" dxfId="187" priority="214"/>
    <cfRule type="duplicateValues" dxfId="186" priority="215"/>
    <cfRule type="duplicateValues" dxfId="185" priority="216"/>
  </conditionalFormatting>
  <conditionalFormatting sqref="D20">
    <cfRule type="duplicateValues" dxfId="184" priority="211"/>
    <cfRule type="duplicateValues" dxfId="183" priority="212"/>
    <cfRule type="duplicateValues" dxfId="182" priority="213"/>
  </conditionalFormatting>
  <conditionalFormatting sqref="D19">
    <cfRule type="duplicateValues" dxfId="181" priority="208"/>
    <cfRule type="duplicateValues" dxfId="180" priority="209"/>
    <cfRule type="duplicateValues" dxfId="179" priority="210"/>
  </conditionalFormatting>
  <conditionalFormatting sqref="D26">
    <cfRule type="duplicateValues" dxfId="178" priority="188"/>
    <cfRule type="duplicateValues" dxfId="177" priority="189"/>
    <cfRule type="duplicateValues" dxfId="176" priority="190"/>
    <cfRule type="duplicateValues" dxfId="175" priority="191"/>
    <cfRule type="duplicateValues" dxfId="174" priority="192"/>
    <cfRule type="duplicateValues" dxfId="173" priority="193"/>
    <cfRule type="duplicateValues" dxfId="172" priority="194"/>
    <cfRule type="duplicateValues" dxfId="171" priority="195"/>
    <cfRule type="duplicateValues" dxfId="170" priority="196"/>
    <cfRule type="duplicateValues" dxfId="169" priority="197"/>
    <cfRule type="duplicateValues" dxfId="168" priority="198"/>
    <cfRule type="duplicateValues" dxfId="167" priority="199"/>
    <cfRule type="duplicateValues" dxfId="166" priority="200"/>
    <cfRule type="duplicateValues" dxfId="165" priority="201"/>
    <cfRule type="duplicateValues" dxfId="164" priority="202"/>
    <cfRule type="duplicateValues" dxfId="163" priority="203"/>
    <cfRule type="duplicateValues" dxfId="162" priority="204"/>
    <cfRule type="duplicateValues" dxfId="161" priority="205"/>
    <cfRule type="duplicateValues" dxfId="160" priority="206"/>
    <cfRule type="duplicateValues" dxfId="159" priority="207"/>
  </conditionalFormatting>
  <conditionalFormatting sqref="D25">
    <cfRule type="duplicateValues" dxfId="158" priority="168"/>
    <cfRule type="duplicateValues" dxfId="157" priority="169"/>
    <cfRule type="duplicateValues" dxfId="156" priority="170"/>
    <cfRule type="duplicateValues" dxfId="155" priority="171"/>
    <cfRule type="duplicateValues" dxfId="154" priority="172"/>
    <cfRule type="duplicateValues" dxfId="153" priority="173"/>
    <cfRule type="duplicateValues" dxfId="152" priority="174"/>
    <cfRule type="duplicateValues" dxfId="151" priority="175"/>
    <cfRule type="duplicateValues" dxfId="150" priority="176"/>
    <cfRule type="duplicateValues" dxfId="149" priority="177"/>
    <cfRule type="duplicateValues" dxfId="148" priority="178"/>
    <cfRule type="duplicateValues" dxfId="147" priority="179"/>
    <cfRule type="duplicateValues" dxfId="146" priority="180"/>
    <cfRule type="duplicateValues" dxfId="145" priority="181"/>
    <cfRule type="duplicateValues" dxfId="144" priority="182"/>
    <cfRule type="duplicateValues" dxfId="143" priority="183"/>
    <cfRule type="duplicateValues" dxfId="142" priority="184"/>
    <cfRule type="duplicateValues" dxfId="141" priority="185"/>
    <cfRule type="duplicateValues" dxfId="140" priority="186"/>
    <cfRule type="duplicateValues" dxfId="139" priority="187"/>
  </conditionalFormatting>
  <conditionalFormatting sqref="D12">
    <cfRule type="duplicateValues" dxfId="138" priority="148"/>
    <cfRule type="duplicateValues" dxfId="137" priority="149"/>
    <cfRule type="duplicateValues" dxfId="136" priority="150"/>
    <cfRule type="duplicateValues" dxfId="135" priority="151"/>
    <cfRule type="duplicateValues" dxfId="134" priority="152"/>
    <cfRule type="duplicateValues" dxfId="133" priority="153"/>
    <cfRule type="duplicateValues" dxfId="132" priority="154"/>
    <cfRule type="duplicateValues" dxfId="131" priority="155"/>
    <cfRule type="duplicateValues" dxfId="130" priority="156"/>
    <cfRule type="duplicateValues" dxfId="129" priority="157"/>
    <cfRule type="duplicateValues" dxfId="128" priority="158"/>
    <cfRule type="duplicateValues" dxfId="127" priority="159"/>
    <cfRule type="duplicateValues" dxfId="126" priority="160"/>
    <cfRule type="duplicateValues" dxfId="125" priority="161"/>
    <cfRule type="duplicateValues" dxfId="124" priority="162"/>
    <cfRule type="duplicateValues" dxfId="123" priority="163"/>
    <cfRule type="duplicateValues" dxfId="122" priority="164"/>
    <cfRule type="duplicateValues" dxfId="121" priority="165"/>
    <cfRule type="duplicateValues" dxfId="120" priority="166"/>
    <cfRule type="duplicateValues" dxfId="119" priority="167"/>
  </conditionalFormatting>
  <conditionalFormatting sqref="D34">
    <cfRule type="duplicateValues" dxfId="118" priority="120"/>
    <cfRule type="duplicateValues" dxfId="117" priority="121"/>
    <cfRule type="duplicateValues" dxfId="116" priority="122"/>
    <cfRule type="duplicateValues" dxfId="115" priority="123"/>
    <cfRule type="duplicateValues" dxfId="114" priority="124"/>
    <cfRule type="duplicateValues" dxfId="113" priority="125"/>
    <cfRule type="duplicateValues" dxfId="112" priority="126"/>
    <cfRule type="duplicateValues" dxfId="111" priority="127"/>
    <cfRule type="duplicateValues" dxfId="110" priority="128"/>
    <cfRule type="duplicateValues" dxfId="109" priority="129"/>
    <cfRule type="duplicateValues" dxfId="108" priority="130"/>
    <cfRule type="duplicateValues" dxfId="107" priority="131"/>
    <cfRule type="duplicateValues" dxfId="106" priority="132"/>
    <cfRule type="duplicateValues" dxfId="105" priority="133"/>
    <cfRule type="duplicateValues" dxfId="104" priority="134"/>
    <cfRule type="duplicateValues" dxfId="103" priority="135"/>
    <cfRule type="duplicateValues" dxfId="102" priority="136"/>
    <cfRule type="duplicateValues" dxfId="101" priority="137"/>
    <cfRule type="duplicateValues" dxfId="100" priority="138"/>
    <cfRule type="duplicateValues" dxfId="99" priority="139"/>
    <cfRule type="duplicateValues" dxfId="98" priority="140"/>
    <cfRule type="duplicateValues" dxfId="97" priority="141"/>
    <cfRule type="duplicateValues" dxfId="96" priority="142"/>
    <cfRule type="duplicateValues" dxfId="95" priority="143"/>
    <cfRule type="duplicateValues" dxfId="94" priority="144"/>
    <cfRule type="duplicateValues" dxfId="93" priority="145"/>
    <cfRule type="duplicateValues" dxfId="92" priority="146"/>
    <cfRule type="duplicateValues" dxfId="91" priority="147"/>
  </conditionalFormatting>
  <conditionalFormatting sqref="D35">
    <cfRule type="duplicateValues" dxfId="90" priority="65"/>
    <cfRule type="duplicateValues" dxfId="89" priority="66"/>
    <cfRule type="duplicateValues" dxfId="88" priority="67"/>
    <cfRule type="duplicateValues" dxfId="87" priority="68"/>
    <cfRule type="duplicateValues" dxfId="86" priority="69"/>
    <cfRule type="duplicateValues" dxfId="85" priority="70"/>
    <cfRule type="duplicateValues" dxfId="84" priority="71"/>
    <cfRule type="duplicateValues" dxfId="83" priority="72"/>
    <cfRule type="duplicateValues" dxfId="82" priority="73"/>
    <cfRule type="duplicateValues" dxfId="81" priority="74"/>
    <cfRule type="duplicateValues" dxfId="80" priority="75"/>
    <cfRule type="duplicateValues" dxfId="79" priority="76"/>
    <cfRule type="duplicateValues" dxfId="78" priority="77"/>
    <cfRule type="duplicateValues" dxfId="77" priority="78"/>
    <cfRule type="duplicateValues" dxfId="76" priority="79"/>
    <cfRule type="duplicateValues" dxfId="75" priority="80"/>
    <cfRule type="duplicateValues" dxfId="74" priority="81"/>
    <cfRule type="duplicateValues" dxfId="73" priority="82"/>
    <cfRule type="duplicateValues" dxfId="72" priority="83"/>
    <cfRule type="duplicateValues" dxfId="71" priority="84"/>
    <cfRule type="duplicateValues" dxfId="70" priority="85"/>
    <cfRule type="duplicateValues" dxfId="69" priority="86"/>
    <cfRule type="duplicateValues" dxfId="68" priority="87"/>
    <cfRule type="duplicateValues" dxfId="67" priority="88"/>
    <cfRule type="duplicateValues" dxfId="66" priority="89"/>
    <cfRule type="duplicateValues" dxfId="65" priority="90"/>
    <cfRule type="duplicateValues" dxfId="64" priority="91"/>
    <cfRule type="duplicateValues" dxfId="63" priority="92"/>
  </conditionalFormatting>
  <conditionalFormatting sqref="D30">
    <cfRule type="duplicateValues" dxfId="62" priority="37"/>
    <cfRule type="duplicateValues" dxfId="61" priority="38"/>
    <cfRule type="duplicateValues" dxfId="60" priority="39"/>
    <cfRule type="duplicateValues" dxfId="59" priority="40"/>
    <cfRule type="duplicateValues" dxfId="58" priority="41"/>
    <cfRule type="duplicateValues" dxfId="57" priority="42"/>
    <cfRule type="duplicateValues" dxfId="56" priority="43"/>
    <cfRule type="duplicateValues" dxfId="55" priority="44"/>
    <cfRule type="duplicateValues" dxfId="54" priority="45"/>
    <cfRule type="duplicateValues" dxfId="53" priority="46"/>
    <cfRule type="duplicateValues" dxfId="52" priority="47"/>
    <cfRule type="duplicateValues" dxfId="51" priority="48"/>
    <cfRule type="duplicateValues" dxfId="50" priority="49"/>
    <cfRule type="duplicateValues" dxfId="49" priority="50"/>
    <cfRule type="duplicateValues" dxfId="48" priority="51"/>
    <cfRule type="duplicateValues" dxfId="47" priority="52"/>
    <cfRule type="duplicateValues" dxfId="46" priority="53"/>
    <cfRule type="duplicateValues" dxfId="45" priority="54"/>
    <cfRule type="duplicateValues" dxfId="44" priority="55"/>
    <cfRule type="duplicateValues" dxfId="43" priority="56"/>
    <cfRule type="duplicateValues" dxfId="42" priority="57"/>
    <cfRule type="duplicateValues" dxfId="41" priority="58"/>
    <cfRule type="duplicateValues" dxfId="40" priority="59"/>
    <cfRule type="duplicateValues" dxfId="39" priority="60"/>
    <cfRule type="duplicateValues" dxfId="38" priority="61"/>
    <cfRule type="duplicateValues" dxfId="37" priority="62"/>
    <cfRule type="duplicateValues" dxfId="36" priority="63"/>
    <cfRule type="duplicateValues" dxfId="35" priority="64"/>
  </conditionalFormatting>
  <conditionalFormatting sqref="D27">
    <cfRule type="duplicateValues" dxfId="34" priority="34"/>
    <cfRule type="duplicateValues" dxfId="33" priority="35"/>
    <cfRule type="duplicateValues" dxfId="32" priority="36"/>
  </conditionalFormatting>
  <conditionalFormatting sqref="D16">
    <cfRule type="duplicateValues" dxfId="31" priority="31"/>
    <cfRule type="duplicateValues" dxfId="30" priority="32"/>
    <cfRule type="duplicateValues" dxfId="29" priority="33"/>
  </conditionalFormatting>
  <conditionalFormatting sqref="D11">
    <cfRule type="duplicateValues" dxfId="28" priority="3"/>
    <cfRule type="duplicateValues" dxfId="27" priority="4"/>
    <cfRule type="duplicateValues" dxfId="26" priority="5"/>
    <cfRule type="duplicateValues" dxfId="25" priority="6"/>
    <cfRule type="duplicateValues" dxfId="24" priority="7"/>
    <cfRule type="duplicateValues" dxfId="23" priority="8"/>
    <cfRule type="duplicateValues" dxfId="22" priority="9"/>
    <cfRule type="duplicateValues" dxfId="21" priority="10"/>
    <cfRule type="duplicateValues" dxfId="20" priority="11"/>
    <cfRule type="duplicateValues" dxfId="19" priority="12"/>
    <cfRule type="duplicateValues" dxfId="18" priority="13"/>
    <cfRule type="duplicateValues" dxfId="17" priority="14"/>
    <cfRule type="duplicateValues" dxfId="16" priority="15"/>
    <cfRule type="duplicateValues" dxfId="15" priority="16"/>
    <cfRule type="duplicateValues" dxfId="14" priority="17"/>
    <cfRule type="duplicateValues" dxfId="13" priority="18"/>
    <cfRule type="duplicateValues" dxfId="12" priority="19"/>
    <cfRule type="duplicateValues" dxfId="11" priority="20"/>
    <cfRule type="duplicateValues" dxfId="10" priority="21"/>
    <cfRule type="duplicateValues" dxfId="9" priority="22"/>
    <cfRule type="duplicateValues" dxfId="8" priority="23"/>
    <cfRule type="duplicateValues" dxfId="7" priority="24"/>
    <cfRule type="duplicateValues" dxfId="6" priority="25"/>
    <cfRule type="duplicateValues" dxfId="5" priority="26"/>
    <cfRule type="duplicateValues" dxfId="4" priority="27"/>
    <cfRule type="duplicateValues" dxfId="3" priority="28"/>
    <cfRule type="duplicateValues" dxfId="2" priority="29"/>
    <cfRule type="duplicateValues" dxfId="1" priority="30"/>
  </conditionalFormatting>
  <conditionalFormatting sqref="D28:D37">
    <cfRule type="duplicateValues" dxfId="0" priority="437"/>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A2" sqref="A1:A2"/>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4591</v>
      </c>
      <c r="B1" s="6" t="s">
        <v>4592</v>
      </c>
      <c r="C1" s="6" t="s">
        <v>4593</v>
      </c>
      <c r="D1" s="6" t="s">
        <v>4594</v>
      </c>
    </row>
    <row r="2" spans="1:4" x14ac:dyDescent="0.2">
      <c r="A2" s="3" t="s">
        <v>4595</v>
      </c>
      <c r="B2" s="4" t="s">
        <v>4596</v>
      </c>
      <c r="C2" t="s">
        <v>48</v>
      </c>
      <c r="D2" s="3" t="s">
        <v>4597</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G8" sqref="G8"/>
    </sheetView>
  </sheetViews>
  <sheetFormatPr baseColWidth="10" defaultColWidth="10.83203125" defaultRowHeight="15" x14ac:dyDescent="0.2"/>
  <cols>
    <col min="1" max="2" width="10.83203125" style="89" customWidth="1"/>
    <col min="3" max="3" width="15.1640625" style="103" customWidth="1"/>
    <col min="4" max="4" width="22.33203125" style="104" customWidth="1"/>
    <col min="5" max="5" width="28.6640625" style="105" customWidth="1"/>
    <col min="6" max="6" width="32" style="105" customWidth="1"/>
    <col min="7" max="7" width="10.83203125" style="89" customWidth="1"/>
    <col min="8" max="16384" width="10.83203125" style="89"/>
  </cols>
  <sheetData>
    <row r="2" spans="2:6" x14ac:dyDescent="0.2">
      <c r="C2" s="90"/>
      <c r="D2" s="91"/>
      <c r="E2" s="92"/>
      <c r="F2" s="92"/>
    </row>
    <row r="3" spans="2:6" ht="48" customHeight="1" x14ac:dyDescent="0.2">
      <c r="B3" s="93"/>
      <c r="C3" s="94" t="s">
        <v>4598</v>
      </c>
      <c r="D3" s="95" t="s">
        <v>4599</v>
      </c>
      <c r="E3" s="96" t="s">
        <v>4600</v>
      </c>
      <c r="F3" s="96" t="s">
        <v>4601</v>
      </c>
    </row>
    <row r="4" spans="2:6" ht="16" customHeight="1" x14ac:dyDescent="0.2">
      <c r="B4" s="93"/>
      <c r="C4" s="7"/>
      <c r="D4" s="97" t="s">
        <v>4393</v>
      </c>
      <c r="E4" s="98" t="s">
        <v>4394</v>
      </c>
      <c r="F4" s="194" t="s">
        <v>4395</v>
      </c>
    </row>
    <row r="5" spans="2:6" ht="16" customHeight="1" x14ac:dyDescent="0.2">
      <c r="B5" s="93"/>
      <c r="C5" s="7" t="s">
        <v>4602</v>
      </c>
      <c r="D5" s="97" t="s">
        <v>4365</v>
      </c>
      <c r="E5" s="98" t="s">
        <v>1518</v>
      </c>
      <c r="F5" s="195" t="s">
        <v>1519</v>
      </c>
    </row>
    <row r="6" spans="2:6" ht="16" customHeight="1" x14ac:dyDescent="0.2">
      <c r="B6" s="93"/>
      <c r="C6" s="7"/>
      <c r="D6" s="97" t="s">
        <v>4396</v>
      </c>
      <c r="E6" s="98" t="s">
        <v>4397</v>
      </c>
      <c r="F6" s="195" t="s">
        <v>4398</v>
      </c>
    </row>
    <row r="7" spans="2:6" ht="16" customHeight="1" x14ac:dyDescent="0.2">
      <c r="B7" s="93"/>
      <c r="C7" s="7"/>
      <c r="D7" s="97" t="s">
        <v>4399</v>
      </c>
      <c r="E7" s="98" t="s">
        <v>4400</v>
      </c>
      <c r="F7" s="195" t="s">
        <v>4401</v>
      </c>
    </row>
    <row r="8" spans="2:6" ht="16" customHeight="1" x14ac:dyDescent="0.2">
      <c r="B8" s="93"/>
      <c r="C8" s="7" t="s">
        <v>4602</v>
      </c>
      <c r="D8" s="97" t="s">
        <v>4366</v>
      </c>
      <c r="E8" s="98" t="s">
        <v>1520</v>
      </c>
      <c r="F8" s="195" t="s">
        <v>1521</v>
      </c>
    </row>
    <row r="9" spans="2:6" ht="16" customHeight="1" x14ac:dyDescent="0.2">
      <c r="B9" s="93"/>
      <c r="C9" s="7" t="s">
        <v>4602</v>
      </c>
      <c r="D9" s="97" t="s">
        <v>4367</v>
      </c>
      <c r="E9" s="98" t="s">
        <v>1522</v>
      </c>
      <c r="F9" s="195" t="s">
        <v>1523</v>
      </c>
    </row>
    <row r="10" spans="2:6" ht="16" customHeight="1" x14ac:dyDescent="0.2">
      <c r="B10" s="93"/>
      <c r="C10" s="130"/>
      <c r="D10" s="97" t="s">
        <v>4402</v>
      </c>
      <c r="E10" s="99" t="s">
        <v>4403</v>
      </c>
      <c r="F10" s="196" t="s">
        <v>4404</v>
      </c>
    </row>
    <row r="11" spans="2:6" ht="16" customHeight="1" x14ac:dyDescent="0.2">
      <c r="B11" s="93"/>
      <c r="C11" s="7"/>
      <c r="D11" s="97" t="s">
        <v>4405</v>
      </c>
      <c r="E11" s="98" t="s">
        <v>4406</v>
      </c>
      <c r="F11" s="195" t="s">
        <v>4407</v>
      </c>
    </row>
    <row r="12" spans="2:6" ht="16" customHeight="1" x14ac:dyDescent="0.2">
      <c r="B12" s="93"/>
      <c r="C12" s="7" t="s">
        <v>4602</v>
      </c>
      <c r="D12" s="97" t="s">
        <v>4368</v>
      </c>
      <c r="E12" s="98" t="s">
        <v>1524</v>
      </c>
      <c r="F12" s="195" t="s">
        <v>1525</v>
      </c>
    </row>
    <row r="13" spans="2:6" ht="16" customHeight="1" x14ac:dyDescent="0.2">
      <c r="B13" s="93"/>
      <c r="C13" s="7"/>
      <c r="D13" s="97" t="s">
        <v>4408</v>
      </c>
      <c r="E13" s="98" t="s">
        <v>4409</v>
      </c>
      <c r="F13" s="195" t="s">
        <v>4410</v>
      </c>
    </row>
    <row r="14" spans="2:6" ht="16" customHeight="1" x14ac:dyDescent="0.2">
      <c r="B14" s="93"/>
      <c r="C14" s="7"/>
      <c r="D14" s="97" t="s">
        <v>4411</v>
      </c>
      <c r="E14" s="98" t="s">
        <v>4412</v>
      </c>
      <c r="F14" s="195" t="s">
        <v>4413</v>
      </c>
    </row>
    <row r="15" spans="2:6" ht="16" customHeight="1" x14ac:dyDescent="0.2">
      <c r="B15" s="93"/>
      <c r="C15" s="7"/>
      <c r="D15" s="97" t="s">
        <v>4414</v>
      </c>
      <c r="E15" s="98" t="s">
        <v>4415</v>
      </c>
      <c r="F15" s="195" t="s">
        <v>4416</v>
      </c>
    </row>
    <row r="16" spans="2:6" ht="16" customHeight="1" x14ac:dyDescent="0.2">
      <c r="B16" s="93"/>
      <c r="C16" s="7"/>
      <c r="D16" s="97" t="s">
        <v>4417</v>
      </c>
      <c r="E16" s="98" t="s">
        <v>4418</v>
      </c>
      <c r="F16" s="195" t="s">
        <v>4419</v>
      </c>
    </row>
    <row r="17" spans="2:6" ht="16" customHeight="1" x14ac:dyDescent="0.2">
      <c r="B17" s="93"/>
      <c r="C17" s="130"/>
      <c r="D17" s="97" t="s">
        <v>4420</v>
      </c>
      <c r="E17" s="99" t="s">
        <v>4421</v>
      </c>
      <c r="F17" s="196" t="s">
        <v>4422</v>
      </c>
    </row>
    <row r="18" spans="2:6" ht="16" customHeight="1" x14ac:dyDescent="0.2">
      <c r="B18" s="93"/>
      <c r="C18" s="7" t="s">
        <v>4602</v>
      </c>
      <c r="D18" s="97" t="s">
        <v>4369</v>
      </c>
      <c r="E18" s="98" t="s">
        <v>1526</v>
      </c>
      <c r="F18" s="195" t="s">
        <v>1527</v>
      </c>
    </row>
    <row r="19" spans="2:6" ht="16" customHeight="1" x14ac:dyDescent="0.2">
      <c r="B19" s="93"/>
      <c r="C19" s="7" t="s">
        <v>4602</v>
      </c>
      <c r="D19" s="97" t="s">
        <v>4370</v>
      </c>
      <c r="E19" s="98" t="s">
        <v>1528</v>
      </c>
      <c r="F19" s="195" t="s">
        <v>1529</v>
      </c>
    </row>
    <row r="20" spans="2:6" ht="16" customHeight="1" x14ac:dyDescent="0.2">
      <c r="B20" s="93"/>
      <c r="C20" s="7" t="s">
        <v>4602</v>
      </c>
      <c r="D20" s="97" t="s">
        <v>4371</v>
      </c>
      <c r="E20" s="98" t="s">
        <v>1530</v>
      </c>
      <c r="F20" s="195" t="s">
        <v>1531</v>
      </c>
    </row>
    <row r="21" spans="2:6" ht="16" customHeight="1" x14ac:dyDescent="0.2">
      <c r="B21" s="93"/>
      <c r="C21" s="7" t="s">
        <v>4602</v>
      </c>
      <c r="D21" s="97" t="s">
        <v>4372</v>
      </c>
      <c r="E21" s="98" t="s">
        <v>1532</v>
      </c>
      <c r="F21" s="195" t="s">
        <v>1533</v>
      </c>
    </row>
    <row r="22" spans="2:6" ht="16" customHeight="1" x14ac:dyDescent="0.2">
      <c r="B22" s="93"/>
      <c r="C22" s="7" t="s">
        <v>4602</v>
      </c>
      <c r="D22" s="97" t="s">
        <v>4373</v>
      </c>
      <c r="E22" s="98" t="s">
        <v>1534</v>
      </c>
      <c r="F22" s="195" t="s">
        <v>1535</v>
      </c>
    </row>
    <row r="23" spans="2:6" ht="16" customHeight="1" x14ac:dyDescent="0.2">
      <c r="B23" s="93"/>
      <c r="C23" s="7" t="s">
        <v>4602</v>
      </c>
      <c r="D23" s="97" t="s">
        <v>4374</v>
      </c>
      <c r="E23" s="98" t="s">
        <v>1536</v>
      </c>
      <c r="F23" s="195" t="s">
        <v>1537</v>
      </c>
    </row>
    <row r="24" spans="2:6" ht="16" customHeight="1" x14ac:dyDescent="0.2">
      <c r="B24" s="93"/>
      <c r="C24" s="7"/>
      <c r="D24" s="97" t="s">
        <v>4423</v>
      </c>
      <c r="E24" s="98" t="s">
        <v>4424</v>
      </c>
      <c r="F24" s="195" t="s">
        <v>4425</v>
      </c>
    </row>
    <row r="25" spans="2:6" ht="16" customHeight="1" x14ac:dyDescent="0.2">
      <c r="B25" s="93"/>
      <c r="C25" s="130"/>
      <c r="D25" s="97" t="s">
        <v>4426</v>
      </c>
      <c r="E25" s="99" t="s">
        <v>4427</v>
      </c>
      <c r="F25" s="196" t="s">
        <v>4428</v>
      </c>
    </row>
    <row r="26" spans="2:6" ht="16" customHeight="1" x14ac:dyDescent="0.2">
      <c r="B26" s="93"/>
      <c r="C26" s="7"/>
      <c r="D26" s="97" t="s">
        <v>4429</v>
      </c>
      <c r="E26" s="98" t="s">
        <v>4430</v>
      </c>
      <c r="F26" s="195" t="s">
        <v>4431</v>
      </c>
    </row>
    <row r="27" spans="2:6" ht="16" customHeight="1" x14ac:dyDescent="0.2">
      <c r="B27" s="93"/>
      <c r="C27" s="7" t="s">
        <v>4602</v>
      </c>
      <c r="D27" s="97" t="s">
        <v>4375</v>
      </c>
      <c r="E27" s="98" t="s">
        <v>1538</v>
      </c>
      <c r="F27" s="195" t="s">
        <v>1539</v>
      </c>
    </row>
    <row r="28" spans="2:6" ht="16" customHeight="1" x14ac:dyDescent="0.2">
      <c r="B28" s="93"/>
      <c r="C28" s="7"/>
      <c r="D28" s="97" t="s">
        <v>4435</v>
      </c>
      <c r="E28" s="98" t="s">
        <v>4436</v>
      </c>
      <c r="F28" s="195" t="s">
        <v>4437</v>
      </c>
    </row>
    <row r="29" spans="2:6" ht="16" customHeight="1" x14ac:dyDescent="0.2">
      <c r="B29" s="93"/>
      <c r="C29" s="7"/>
      <c r="D29" s="97" t="s">
        <v>4438</v>
      </c>
      <c r="E29" s="98" t="s">
        <v>4439</v>
      </c>
      <c r="F29" s="195" t="s">
        <v>4440</v>
      </c>
    </row>
    <row r="30" spans="2:6" ht="16" customHeight="1" x14ac:dyDescent="0.2">
      <c r="B30" s="93"/>
      <c r="C30" s="7"/>
      <c r="D30" s="97" t="s">
        <v>4441</v>
      </c>
      <c r="E30" s="98" t="s">
        <v>4442</v>
      </c>
      <c r="F30" s="195" t="s">
        <v>4443</v>
      </c>
    </row>
    <row r="31" spans="2:6" ht="16" customHeight="1" x14ac:dyDescent="0.2">
      <c r="B31" s="93"/>
      <c r="C31" s="7"/>
      <c r="D31" s="97" t="s">
        <v>4444</v>
      </c>
      <c r="E31" s="98" t="s">
        <v>4445</v>
      </c>
      <c r="F31" s="195" t="s">
        <v>4446</v>
      </c>
    </row>
    <row r="32" spans="2:6" ht="16" customHeight="1" x14ac:dyDescent="0.2">
      <c r="B32" s="93"/>
      <c r="C32" s="7"/>
      <c r="D32" s="97" t="s">
        <v>4447</v>
      </c>
      <c r="E32" s="98" t="s">
        <v>4448</v>
      </c>
      <c r="F32" s="195" t="s">
        <v>4449</v>
      </c>
    </row>
    <row r="33" spans="2:6" ht="32" customHeight="1" x14ac:dyDescent="0.2">
      <c r="B33" s="93"/>
      <c r="C33" s="7" t="s">
        <v>4602</v>
      </c>
      <c r="D33" s="97" t="s">
        <v>4376</v>
      </c>
      <c r="E33" s="98" t="s">
        <v>1540</v>
      </c>
      <c r="F33" s="195" t="s">
        <v>1541</v>
      </c>
    </row>
    <row r="34" spans="2:6" ht="16" customHeight="1" x14ac:dyDescent="0.2">
      <c r="B34" s="93"/>
      <c r="C34" s="7"/>
      <c r="D34" s="97" t="s">
        <v>4432</v>
      </c>
      <c r="E34" s="98" t="s">
        <v>4433</v>
      </c>
      <c r="F34" s="195" t="s">
        <v>4434</v>
      </c>
    </row>
    <row r="35" spans="2:6" ht="16" customHeight="1" x14ac:dyDescent="0.2">
      <c r="B35" s="93"/>
      <c r="C35" s="130"/>
      <c r="D35" s="97" t="s">
        <v>4450</v>
      </c>
      <c r="E35" s="99" t="s">
        <v>4451</v>
      </c>
      <c r="F35" s="196" t="s">
        <v>4452</v>
      </c>
    </row>
    <row r="36" spans="2:6" ht="16" customHeight="1" x14ac:dyDescent="0.2">
      <c r="B36" s="93"/>
      <c r="C36" s="7" t="s">
        <v>4602</v>
      </c>
      <c r="D36" s="97" t="s">
        <v>4377</v>
      </c>
      <c r="E36" s="98" t="s">
        <v>1542</v>
      </c>
      <c r="F36" s="195" t="s">
        <v>1543</v>
      </c>
    </row>
    <row r="37" spans="2:6" ht="16" customHeight="1" x14ac:dyDescent="0.2">
      <c r="B37" s="93"/>
      <c r="C37" s="7" t="s">
        <v>4602</v>
      </c>
      <c r="D37" s="97" t="s">
        <v>4380</v>
      </c>
      <c r="E37" s="98" t="s">
        <v>1544</v>
      </c>
      <c r="F37" s="195" t="s">
        <v>1545</v>
      </c>
    </row>
    <row r="38" spans="2:6" ht="16" customHeight="1" x14ac:dyDescent="0.2">
      <c r="B38" s="93"/>
      <c r="C38" s="7"/>
      <c r="D38" s="97" t="s">
        <v>4453</v>
      </c>
      <c r="E38" s="98" t="s">
        <v>4454</v>
      </c>
      <c r="F38" s="195" t="s">
        <v>4455</v>
      </c>
    </row>
    <row r="39" spans="2:6" ht="16" customHeight="1" x14ac:dyDescent="0.2">
      <c r="B39" s="93"/>
      <c r="C39" s="7" t="s">
        <v>4602</v>
      </c>
      <c r="D39" s="97" t="s">
        <v>4381</v>
      </c>
      <c r="E39" s="98" t="s">
        <v>1546</v>
      </c>
      <c r="F39" s="195" t="s">
        <v>1547</v>
      </c>
    </row>
    <row r="40" spans="2:6" ht="16" customHeight="1" x14ac:dyDescent="0.2">
      <c r="B40" s="93"/>
      <c r="C40" s="7" t="s">
        <v>4602</v>
      </c>
      <c r="D40" s="97" t="s">
        <v>4382</v>
      </c>
      <c r="E40" s="98" t="s">
        <v>1548</v>
      </c>
      <c r="F40" s="195" t="s">
        <v>1549</v>
      </c>
    </row>
    <row r="41" spans="2:6" ht="16" customHeight="1" x14ac:dyDescent="0.2">
      <c r="B41" s="93"/>
      <c r="C41" s="7" t="s">
        <v>4602</v>
      </c>
      <c r="D41" s="97" t="s">
        <v>4383</v>
      </c>
      <c r="E41" s="98" t="s">
        <v>1550</v>
      </c>
      <c r="F41" s="195" t="s">
        <v>1551</v>
      </c>
    </row>
    <row r="42" spans="2:6" ht="16" customHeight="1" x14ac:dyDescent="0.2">
      <c r="B42" s="93"/>
      <c r="C42" s="7" t="s">
        <v>4602</v>
      </c>
      <c r="D42" s="97" t="s">
        <v>4384</v>
      </c>
      <c r="E42" s="98" t="s">
        <v>1552</v>
      </c>
      <c r="F42" s="195" t="s">
        <v>4385</v>
      </c>
    </row>
    <row r="43" spans="2:6" ht="16" customHeight="1" x14ac:dyDescent="0.2">
      <c r="B43" s="93"/>
      <c r="C43" s="7" t="s">
        <v>4602</v>
      </c>
      <c r="D43" s="97" t="s">
        <v>4386</v>
      </c>
      <c r="E43" s="98" t="s">
        <v>1554</v>
      </c>
      <c r="F43" s="195" t="s">
        <v>1555</v>
      </c>
    </row>
    <row r="44" spans="2:6" ht="16" customHeight="1" x14ac:dyDescent="0.2">
      <c r="B44" s="93"/>
      <c r="C44" s="7"/>
      <c r="D44" s="97" t="s">
        <v>4456</v>
      </c>
      <c r="E44" s="98" t="s">
        <v>4457</v>
      </c>
      <c r="F44" s="195" t="s">
        <v>4458</v>
      </c>
    </row>
    <row r="45" spans="2:6" ht="16" customHeight="1" x14ac:dyDescent="0.2">
      <c r="B45" s="93"/>
      <c r="C45" s="7" t="s">
        <v>4602</v>
      </c>
      <c r="D45" s="97" t="s">
        <v>4378</v>
      </c>
      <c r="E45" s="98" t="s">
        <v>1556</v>
      </c>
      <c r="F45" s="195" t="s">
        <v>1557</v>
      </c>
    </row>
    <row r="46" spans="2:6" ht="16" customHeight="1" x14ac:dyDescent="0.2">
      <c r="B46" s="93"/>
      <c r="C46" s="7" t="s">
        <v>4602</v>
      </c>
      <c r="D46" s="97" t="s">
        <v>4379</v>
      </c>
      <c r="E46" s="98" t="s">
        <v>1558</v>
      </c>
      <c r="F46" s="195" t="s">
        <v>1559</v>
      </c>
    </row>
    <row r="47" spans="2:6" ht="16" customHeight="1" x14ac:dyDescent="0.2">
      <c r="B47" s="93"/>
      <c r="C47" s="130"/>
      <c r="D47" s="97" t="s">
        <v>4459</v>
      </c>
      <c r="E47" s="99" t="s">
        <v>4460</v>
      </c>
      <c r="F47" s="196" t="s">
        <v>4461</v>
      </c>
    </row>
    <row r="48" spans="2:6" ht="16" customHeight="1" x14ac:dyDescent="0.2">
      <c r="B48" s="93"/>
      <c r="C48" s="7"/>
      <c r="D48" s="97" t="s">
        <v>4462</v>
      </c>
      <c r="E48" s="98" t="s">
        <v>4463</v>
      </c>
      <c r="F48" s="195" t="s">
        <v>4464</v>
      </c>
    </row>
    <row r="49" spans="2:6" ht="16" customHeight="1" x14ac:dyDescent="0.2">
      <c r="B49" s="93"/>
      <c r="C49" s="7"/>
      <c r="D49" s="97" t="s">
        <v>4465</v>
      </c>
      <c r="E49" s="98" t="s">
        <v>4466</v>
      </c>
      <c r="F49" s="195" t="s">
        <v>4467</v>
      </c>
    </row>
    <row r="50" spans="2:6" ht="16" customHeight="1" x14ac:dyDescent="0.2">
      <c r="B50" s="93"/>
      <c r="C50" s="7"/>
      <c r="D50" s="97" t="s">
        <v>4468</v>
      </c>
      <c r="E50" s="98" t="s">
        <v>4469</v>
      </c>
      <c r="F50" s="195" t="s">
        <v>4470</v>
      </c>
    </row>
    <row r="51" spans="2:6" ht="16" customHeight="1" x14ac:dyDescent="0.2">
      <c r="B51" s="93"/>
      <c r="C51" s="7"/>
      <c r="D51" s="97" t="s">
        <v>4471</v>
      </c>
      <c r="E51" s="98" t="s">
        <v>4472</v>
      </c>
      <c r="F51" s="195" t="s">
        <v>4473</v>
      </c>
    </row>
    <row r="52" spans="2:6" ht="16" customHeight="1" x14ac:dyDescent="0.2">
      <c r="B52" s="93"/>
      <c r="C52" s="130"/>
      <c r="D52" s="97" t="s">
        <v>4474</v>
      </c>
      <c r="E52" s="99" t="s">
        <v>4475</v>
      </c>
      <c r="F52" s="196" t="s">
        <v>4476</v>
      </c>
    </row>
    <row r="53" spans="2:6" ht="16" customHeight="1" x14ac:dyDescent="0.2">
      <c r="B53" s="93"/>
      <c r="C53" s="7"/>
      <c r="D53" s="97" t="s">
        <v>4477</v>
      </c>
      <c r="E53" s="98" t="s">
        <v>4478</v>
      </c>
      <c r="F53" s="195" t="s">
        <v>4479</v>
      </c>
    </row>
    <row r="54" spans="2:6" ht="16" customHeight="1" x14ac:dyDescent="0.2">
      <c r="B54" s="93"/>
      <c r="C54" s="7"/>
      <c r="D54" s="97" t="s">
        <v>4498</v>
      </c>
      <c r="E54" s="98" t="s">
        <v>4499</v>
      </c>
      <c r="F54" s="195" t="s">
        <v>4500</v>
      </c>
    </row>
    <row r="55" spans="2:6" ht="16" customHeight="1" x14ac:dyDescent="0.2">
      <c r="B55" s="93"/>
      <c r="C55" s="7"/>
      <c r="D55" s="97" t="s">
        <v>4501</v>
      </c>
      <c r="E55" s="98" t="s">
        <v>4502</v>
      </c>
      <c r="F55" s="195" t="s">
        <v>4503</v>
      </c>
    </row>
    <row r="56" spans="2:6" ht="16" customHeight="1" x14ac:dyDescent="0.2">
      <c r="B56" s="93"/>
      <c r="C56" s="7"/>
      <c r="D56" s="97" t="s">
        <v>4504</v>
      </c>
      <c r="E56" s="98" t="s">
        <v>4505</v>
      </c>
      <c r="F56" s="195" t="s">
        <v>4506</v>
      </c>
    </row>
    <row r="57" spans="2:6" ht="16" customHeight="1" x14ac:dyDescent="0.2">
      <c r="B57" s="93"/>
      <c r="C57" s="7"/>
      <c r="D57" s="97" t="s">
        <v>4507</v>
      </c>
      <c r="E57" s="98" t="s">
        <v>4508</v>
      </c>
      <c r="F57" s="195" t="s">
        <v>4509</v>
      </c>
    </row>
    <row r="58" spans="2:6" ht="16" customHeight="1" x14ac:dyDescent="0.2">
      <c r="B58" s="93"/>
      <c r="C58" s="7"/>
      <c r="D58" s="97" t="s">
        <v>4510</v>
      </c>
      <c r="E58" s="98" t="s">
        <v>4511</v>
      </c>
      <c r="F58" s="195" t="s">
        <v>4512</v>
      </c>
    </row>
    <row r="59" spans="2:6" ht="16" customHeight="1" x14ac:dyDescent="0.2">
      <c r="B59" s="93"/>
      <c r="C59" s="7"/>
      <c r="D59" s="97" t="s">
        <v>4513</v>
      </c>
      <c r="E59" s="98" t="s">
        <v>4514</v>
      </c>
      <c r="F59" s="195" t="s">
        <v>4515</v>
      </c>
    </row>
    <row r="60" spans="2:6" ht="16" customHeight="1" x14ac:dyDescent="0.2">
      <c r="B60" s="93"/>
      <c r="C60" s="7" t="s">
        <v>4602</v>
      </c>
      <c r="D60" s="97" t="s">
        <v>4390</v>
      </c>
      <c r="E60" s="98" t="s">
        <v>1560</v>
      </c>
      <c r="F60" s="195" t="s">
        <v>1561</v>
      </c>
    </row>
    <row r="61" spans="2:6" ht="16" customHeight="1" x14ac:dyDescent="0.2">
      <c r="B61" s="93"/>
      <c r="C61" s="7"/>
      <c r="D61" s="97" t="s">
        <v>4516</v>
      </c>
      <c r="E61" s="98" t="s">
        <v>4517</v>
      </c>
      <c r="F61" s="195" t="s">
        <v>4518</v>
      </c>
    </row>
    <row r="62" spans="2:6" ht="16" customHeight="1" x14ac:dyDescent="0.2">
      <c r="B62" s="93"/>
      <c r="C62" s="7"/>
      <c r="D62" s="97" t="s">
        <v>4480</v>
      </c>
      <c r="E62" s="98" t="s">
        <v>4481</v>
      </c>
      <c r="F62" s="195" t="s">
        <v>4482</v>
      </c>
    </row>
    <row r="63" spans="2:6" ht="16" customHeight="1" x14ac:dyDescent="0.2">
      <c r="B63" s="93"/>
      <c r="C63" s="7" t="s">
        <v>4602</v>
      </c>
      <c r="D63" s="97" t="s">
        <v>4387</v>
      </c>
      <c r="E63" s="98" t="s">
        <v>1562</v>
      </c>
      <c r="F63" s="195" t="s">
        <v>1563</v>
      </c>
    </row>
    <row r="64" spans="2:6" ht="16" customHeight="1" x14ac:dyDescent="0.2">
      <c r="B64" s="93"/>
      <c r="C64" s="7" t="s">
        <v>4602</v>
      </c>
      <c r="D64" s="97" t="s">
        <v>4388</v>
      </c>
      <c r="E64" s="98" t="s">
        <v>1564</v>
      </c>
      <c r="F64" s="195" t="s">
        <v>1565</v>
      </c>
    </row>
    <row r="65" spans="2:6" ht="16" customHeight="1" x14ac:dyDescent="0.2">
      <c r="B65" s="93"/>
      <c r="C65" s="7"/>
      <c r="D65" s="97" t="s">
        <v>4483</v>
      </c>
      <c r="E65" s="98" t="s">
        <v>4484</v>
      </c>
      <c r="F65" s="195" t="s">
        <v>4485</v>
      </c>
    </row>
    <row r="66" spans="2:6" ht="16" customHeight="1" x14ac:dyDescent="0.2">
      <c r="B66" s="93"/>
      <c r="C66" s="7"/>
      <c r="D66" s="97" t="s">
        <v>4486</v>
      </c>
      <c r="E66" s="98" t="s">
        <v>4487</v>
      </c>
      <c r="F66" s="195" t="s">
        <v>4488</v>
      </c>
    </row>
    <row r="67" spans="2:6" ht="16" customHeight="1" x14ac:dyDescent="0.2">
      <c r="B67" s="93"/>
      <c r="C67" s="7" t="s">
        <v>4602</v>
      </c>
      <c r="D67" s="97" t="s">
        <v>4389</v>
      </c>
      <c r="E67" s="98" t="s">
        <v>1566</v>
      </c>
      <c r="F67" s="195" t="s">
        <v>1567</v>
      </c>
    </row>
    <row r="68" spans="2:6" ht="16" customHeight="1" x14ac:dyDescent="0.2">
      <c r="B68" s="93"/>
      <c r="C68" s="7"/>
      <c r="D68" s="97" t="s">
        <v>4489</v>
      </c>
      <c r="E68" s="98" t="s">
        <v>4490</v>
      </c>
      <c r="F68" s="195" t="s">
        <v>4491</v>
      </c>
    </row>
    <row r="69" spans="2:6" ht="16" customHeight="1" x14ac:dyDescent="0.2">
      <c r="B69" s="93"/>
      <c r="C69" s="7"/>
      <c r="D69" s="97" t="s">
        <v>4492</v>
      </c>
      <c r="E69" s="98" t="s">
        <v>4493</v>
      </c>
      <c r="F69" s="195" t="s">
        <v>4494</v>
      </c>
    </row>
    <row r="70" spans="2:6" ht="16" customHeight="1" x14ac:dyDescent="0.2">
      <c r="B70" s="93"/>
      <c r="C70" s="7"/>
      <c r="D70" s="97" t="s">
        <v>4495</v>
      </c>
      <c r="E70" s="98" t="s">
        <v>4496</v>
      </c>
      <c r="F70" s="195" t="s">
        <v>4497</v>
      </c>
    </row>
    <row r="71" spans="2:6" ht="16" customHeight="1" x14ac:dyDescent="0.2">
      <c r="B71" s="93"/>
      <c r="C71" s="130"/>
      <c r="D71" s="97" t="s">
        <v>4519</v>
      </c>
      <c r="E71" s="99" t="s">
        <v>4520</v>
      </c>
      <c r="F71" s="196" t="s">
        <v>4521</v>
      </c>
    </row>
    <row r="72" spans="2:6" ht="16" customHeight="1" x14ac:dyDescent="0.2">
      <c r="B72" s="93"/>
      <c r="C72" s="7"/>
      <c r="D72" s="97" t="s">
        <v>4522</v>
      </c>
      <c r="E72" s="98" t="s">
        <v>4523</v>
      </c>
      <c r="F72" s="195" t="s">
        <v>4524</v>
      </c>
    </row>
    <row r="73" spans="2:6" ht="16" customHeight="1" x14ac:dyDescent="0.2">
      <c r="B73" s="93"/>
      <c r="C73" s="7"/>
      <c r="D73" s="97" t="s">
        <v>4525</v>
      </c>
      <c r="E73" s="98" t="s">
        <v>4526</v>
      </c>
      <c r="F73" s="195" t="s">
        <v>4527</v>
      </c>
    </row>
    <row r="74" spans="2:6" ht="16" customHeight="1" x14ac:dyDescent="0.2">
      <c r="B74" s="93"/>
      <c r="C74" s="7"/>
      <c r="D74" s="97" t="s">
        <v>4528</v>
      </c>
      <c r="E74" s="98" t="s">
        <v>4529</v>
      </c>
      <c r="F74" s="195" t="s">
        <v>4530</v>
      </c>
    </row>
    <row r="75" spans="2:6" ht="16" customHeight="1" x14ac:dyDescent="0.2">
      <c r="B75" s="93"/>
      <c r="C75" s="7"/>
      <c r="D75" s="97" t="s">
        <v>4531</v>
      </c>
      <c r="E75" s="98" t="s">
        <v>4532</v>
      </c>
      <c r="F75" s="195" t="s">
        <v>4533</v>
      </c>
    </row>
    <row r="76" spans="2:6" ht="16" customHeight="1" x14ac:dyDescent="0.2">
      <c r="B76" s="93"/>
      <c r="C76" s="7" t="s">
        <v>4602</v>
      </c>
      <c r="D76" s="97" t="s">
        <v>4391</v>
      </c>
      <c r="E76" s="98" t="s">
        <v>1568</v>
      </c>
      <c r="F76" s="195" t="s">
        <v>1569</v>
      </c>
    </row>
    <row r="77" spans="2:6" ht="16" customHeight="1" x14ac:dyDescent="0.2">
      <c r="B77" s="93"/>
      <c r="C77" s="7"/>
      <c r="D77" s="97" t="s">
        <v>4534</v>
      </c>
      <c r="E77" s="98" t="s">
        <v>4535</v>
      </c>
      <c r="F77" s="195" t="s">
        <v>4536</v>
      </c>
    </row>
    <row r="78" spans="2:6" ht="16" customHeight="1" x14ac:dyDescent="0.2">
      <c r="B78" s="93"/>
      <c r="C78" s="7" t="s">
        <v>4602</v>
      </c>
      <c r="D78" s="97" t="s">
        <v>4392</v>
      </c>
      <c r="E78" s="98" t="s">
        <v>1570</v>
      </c>
      <c r="F78" s="195" t="s">
        <v>1571</v>
      </c>
    </row>
    <row r="79" spans="2:6" ht="16" customHeight="1" x14ac:dyDescent="0.2">
      <c r="B79" s="93"/>
      <c r="C79" s="7"/>
      <c r="D79" s="97" t="s">
        <v>4537</v>
      </c>
      <c r="E79" s="98" t="s">
        <v>4538</v>
      </c>
      <c r="F79" s="195" t="s">
        <v>4539</v>
      </c>
    </row>
    <row r="80" spans="2:6" ht="16" customHeight="1" x14ac:dyDescent="0.2">
      <c r="B80" s="93"/>
      <c r="C80" s="130"/>
      <c r="D80" s="97" t="s">
        <v>4540</v>
      </c>
      <c r="E80" s="99" t="s">
        <v>4541</v>
      </c>
      <c r="F80" s="196" t="s">
        <v>4542</v>
      </c>
    </row>
    <row r="81" spans="2:6" ht="16" customHeight="1" x14ac:dyDescent="0.2">
      <c r="B81" s="93"/>
      <c r="C81" s="7"/>
      <c r="D81" s="97" t="s">
        <v>4543</v>
      </c>
      <c r="E81" s="98" t="s">
        <v>4544</v>
      </c>
      <c r="F81" s="195" t="s">
        <v>4545</v>
      </c>
    </row>
    <row r="82" spans="2:6" ht="16" customHeight="1" x14ac:dyDescent="0.2">
      <c r="B82" s="93"/>
      <c r="C82" s="7"/>
      <c r="D82" s="97" t="s">
        <v>4546</v>
      </c>
      <c r="E82" s="98" t="s">
        <v>4547</v>
      </c>
      <c r="F82" s="195" t="s">
        <v>4548</v>
      </c>
    </row>
    <row r="83" spans="2:6" ht="16" customHeight="1" x14ac:dyDescent="0.2">
      <c r="B83" s="93"/>
      <c r="C83" s="7"/>
      <c r="D83" s="97" t="s">
        <v>4549</v>
      </c>
      <c r="E83" s="98" t="s">
        <v>4550</v>
      </c>
      <c r="F83" s="195" t="s">
        <v>4551</v>
      </c>
    </row>
    <row r="84" spans="2:6" ht="16" customHeight="1" x14ac:dyDescent="0.2">
      <c r="B84" s="93"/>
      <c r="C84" s="7"/>
      <c r="D84" s="97" t="s">
        <v>4552</v>
      </c>
      <c r="E84" s="98" t="s">
        <v>4553</v>
      </c>
      <c r="F84" s="195" t="s">
        <v>4554</v>
      </c>
    </row>
    <row r="85" spans="2:6" ht="16" customHeight="1" x14ac:dyDescent="0.2">
      <c r="B85" s="93"/>
      <c r="C85" s="7"/>
      <c r="D85" s="97" t="s">
        <v>4555</v>
      </c>
      <c r="E85" s="98" t="s">
        <v>4556</v>
      </c>
      <c r="F85" s="195" t="s">
        <v>4557</v>
      </c>
    </row>
    <row r="86" spans="2:6" ht="16" customHeight="1" x14ac:dyDescent="0.2">
      <c r="B86" s="93"/>
      <c r="C86" s="130"/>
      <c r="D86" s="97" t="s">
        <v>4558</v>
      </c>
      <c r="E86" s="99" t="s">
        <v>4559</v>
      </c>
      <c r="F86" s="196" t="s">
        <v>4560</v>
      </c>
    </row>
    <row r="87" spans="2:6" ht="16" customHeight="1" x14ac:dyDescent="0.2">
      <c r="B87" s="93"/>
      <c r="C87" s="7"/>
      <c r="D87" s="97" t="s">
        <v>4561</v>
      </c>
      <c r="E87" s="98" t="s">
        <v>4562</v>
      </c>
      <c r="F87" s="195" t="s">
        <v>4563</v>
      </c>
    </row>
    <row r="88" spans="2:6" ht="16" customHeight="1" x14ac:dyDescent="0.2">
      <c r="B88" s="93"/>
      <c r="C88" s="7"/>
      <c r="D88" s="97" t="s">
        <v>4564</v>
      </c>
      <c r="E88" s="98" t="s">
        <v>4565</v>
      </c>
      <c r="F88" s="195" t="s">
        <v>4566</v>
      </c>
    </row>
    <row r="89" spans="2:6" ht="16" customHeight="1" x14ac:dyDescent="0.2">
      <c r="B89" s="93"/>
      <c r="C89" s="7"/>
      <c r="D89" s="97" t="s">
        <v>4567</v>
      </c>
      <c r="E89" s="98" t="s">
        <v>4568</v>
      </c>
      <c r="F89" s="195" t="s">
        <v>4569</v>
      </c>
    </row>
    <row r="90" spans="2:6" ht="16" customHeight="1" x14ac:dyDescent="0.2">
      <c r="B90" s="93"/>
      <c r="C90" s="7"/>
      <c r="D90" s="97" t="s">
        <v>4570</v>
      </c>
      <c r="E90" s="98" t="s">
        <v>4571</v>
      </c>
      <c r="F90" s="195" t="s">
        <v>4572</v>
      </c>
    </row>
    <row r="91" spans="2:6" ht="16" customHeight="1" x14ac:dyDescent="0.2">
      <c r="B91" s="93"/>
      <c r="C91" s="7"/>
      <c r="D91" s="97" t="s">
        <v>4573</v>
      </c>
      <c r="E91" s="98" t="s">
        <v>4574</v>
      </c>
      <c r="F91" s="195" t="s">
        <v>4575</v>
      </c>
    </row>
    <row r="92" spans="2:6" ht="16" customHeight="1" x14ac:dyDescent="0.2">
      <c r="B92" s="93"/>
      <c r="C92" s="7"/>
      <c r="D92" s="97" t="s">
        <v>4576</v>
      </c>
      <c r="E92" s="98" t="s">
        <v>4577</v>
      </c>
      <c r="F92" s="195" t="s">
        <v>4578</v>
      </c>
    </row>
    <row r="93" spans="2:6" ht="16" customHeight="1" x14ac:dyDescent="0.2">
      <c r="B93" s="93"/>
      <c r="C93" s="130"/>
      <c r="D93" s="97" t="s">
        <v>4579</v>
      </c>
      <c r="E93" s="99" t="s">
        <v>4580</v>
      </c>
      <c r="F93" s="196" t="s">
        <v>4581</v>
      </c>
    </row>
    <row r="94" spans="2:6" x14ac:dyDescent="0.2">
      <c r="C94" s="100"/>
      <c r="D94" s="101"/>
      <c r="E94" s="102"/>
      <c r="F94" s="102"/>
    </row>
  </sheetData>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
  <sheetViews>
    <sheetView zoomScale="85" zoomScaleNormal="85" workbookViewId="0">
      <selection activeCell="E5" sqref="E5"/>
    </sheetView>
  </sheetViews>
  <sheetFormatPr baseColWidth="10" defaultColWidth="10.83203125" defaultRowHeight="16" x14ac:dyDescent="0.2"/>
  <cols>
    <col min="1" max="1" width="10.83203125" style="9" customWidth="1"/>
    <col min="2" max="2" width="27.6640625" style="9" customWidth="1"/>
    <col min="3" max="4" width="20.83203125" style="9" customWidth="1"/>
    <col min="5" max="6" width="46.5" style="25" customWidth="1"/>
    <col min="7" max="7" width="20.83203125" style="162" customWidth="1"/>
    <col min="8" max="8" width="20.83203125" style="9" customWidth="1"/>
    <col min="9" max="9" width="10.83203125" style="9" customWidth="1"/>
    <col min="10" max="16384" width="10.83203125" style="9"/>
  </cols>
  <sheetData>
    <row r="1" spans="1:10" ht="17" customHeight="1" thickBot="1" x14ac:dyDescent="0.25">
      <c r="B1" s="10"/>
      <c r="C1" s="10"/>
      <c r="D1" s="10"/>
      <c r="E1" s="22"/>
      <c r="F1" s="22"/>
      <c r="G1" s="160"/>
      <c r="H1" s="10"/>
    </row>
    <row r="2" spans="1:10" s="25" customFormat="1" ht="17" customHeight="1" thickBot="1" x14ac:dyDescent="0.25">
      <c r="A2" s="41"/>
      <c r="B2" s="42" t="s">
        <v>4603</v>
      </c>
      <c r="C2" s="43" t="s">
        <v>4604</v>
      </c>
      <c r="D2" s="155" t="s">
        <v>4605</v>
      </c>
      <c r="E2" s="157" t="s">
        <v>4606</v>
      </c>
      <c r="F2" s="23" t="s">
        <v>4607</v>
      </c>
      <c r="G2" s="163" t="s">
        <v>4608</v>
      </c>
      <c r="H2" s="44" t="s">
        <v>4609</v>
      </c>
      <c r="I2" s="45"/>
    </row>
    <row r="3" spans="1:10" ht="31.75" customHeight="1" x14ac:dyDescent="0.2">
      <c r="A3" s="11"/>
      <c r="B3" s="17" t="s">
        <v>4610</v>
      </c>
      <c r="C3" s="126">
        <v>16</v>
      </c>
      <c r="D3" s="166">
        <f>IF(C3="","",C3)</f>
        <v>16</v>
      </c>
      <c r="E3" s="128" t="s">
        <v>4611</v>
      </c>
      <c r="F3" s="127" t="s">
        <v>4612</v>
      </c>
      <c r="G3" s="193">
        <v>18</v>
      </c>
      <c r="H3" s="179">
        <v>18</v>
      </c>
      <c r="I3" s="12"/>
    </row>
    <row r="4" spans="1:10" ht="43.5" customHeight="1" x14ac:dyDescent="0.2">
      <c r="A4" s="11"/>
      <c r="B4" s="17" t="s">
        <v>4613</v>
      </c>
      <c r="C4" s="237" t="s">
        <v>4614</v>
      </c>
      <c r="D4" s="237" t="s">
        <v>4615</v>
      </c>
      <c r="E4" s="182" t="s">
        <v>4616</v>
      </c>
      <c r="F4" s="127" t="s">
        <v>4617</v>
      </c>
      <c r="G4" s="192" t="s">
        <v>4618</v>
      </c>
      <c r="H4" s="180" t="s">
        <v>4619</v>
      </c>
      <c r="I4" s="12"/>
    </row>
    <row r="5" spans="1:10" ht="48" customHeight="1" x14ac:dyDescent="0.2">
      <c r="A5" s="11"/>
      <c r="B5" s="17" t="s">
        <v>4620</v>
      </c>
      <c r="C5" s="237" t="s">
        <v>4621</v>
      </c>
      <c r="D5" s="237" t="s">
        <v>4622</v>
      </c>
      <c r="E5" s="182" t="s">
        <v>4623</v>
      </c>
      <c r="F5" s="128" t="s">
        <v>4624</v>
      </c>
      <c r="G5" s="189" t="s">
        <v>4625</v>
      </c>
      <c r="H5" s="177" t="s">
        <v>4626</v>
      </c>
      <c r="I5" s="12"/>
    </row>
    <row r="6" spans="1:10" x14ac:dyDescent="0.2">
      <c r="A6" s="11"/>
      <c r="B6" s="17" t="s">
        <v>4627</v>
      </c>
      <c r="C6" s="237" t="s">
        <v>4628</v>
      </c>
      <c r="D6" s="237" t="s">
        <v>4629</v>
      </c>
      <c r="E6" s="182"/>
      <c r="F6" s="236"/>
      <c r="G6" s="189"/>
      <c r="H6" s="177"/>
      <c r="I6" s="12"/>
    </row>
    <row r="7" spans="1:10" x14ac:dyDescent="0.2">
      <c r="A7" s="11"/>
      <c r="B7" s="17" t="s">
        <v>4630</v>
      </c>
      <c r="C7" s="237" t="s">
        <v>4631</v>
      </c>
      <c r="D7" s="237" t="s">
        <v>4632</v>
      </c>
      <c r="E7" s="182"/>
      <c r="F7" s="236"/>
      <c r="G7" s="189"/>
      <c r="H7" s="177"/>
      <c r="I7" s="12"/>
    </row>
    <row r="8" spans="1:10" s="147" customFormat="1" ht="80" customHeight="1" x14ac:dyDescent="0.2">
      <c r="A8" s="143"/>
      <c r="B8" s="144" t="s">
        <v>4633</v>
      </c>
      <c r="C8" s="167" t="s">
        <v>4634</v>
      </c>
      <c r="D8" s="240" t="s">
        <v>4635</v>
      </c>
      <c r="E8" s="182" t="s">
        <v>4636</v>
      </c>
      <c r="F8" s="145" t="s">
        <v>4637</v>
      </c>
      <c r="G8" s="189" t="s">
        <v>4634</v>
      </c>
      <c r="H8" s="178" t="s">
        <v>4638</v>
      </c>
      <c r="I8" s="146"/>
    </row>
    <row r="9" spans="1:10" ht="80" customHeight="1" x14ac:dyDescent="0.2">
      <c r="A9" s="11"/>
      <c r="B9" s="144" t="s">
        <v>4639</v>
      </c>
      <c r="C9" s="237" t="s">
        <v>4640</v>
      </c>
      <c r="D9" s="237" t="s">
        <v>4641</v>
      </c>
      <c r="E9" s="183" t="s">
        <v>4642</v>
      </c>
      <c r="F9" s="181" t="s">
        <v>4643</v>
      </c>
      <c r="G9" s="190" t="s">
        <v>4644</v>
      </c>
      <c r="H9" s="13" t="s">
        <v>4645</v>
      </c>
      <c r="I9" s="12"/>
      <c r="J9" s="203"/>
    </row>
    <row r="10" spans="1:10" s="147" customFormat="1" ht="58" customHeight="1" x14ac:dyDescent="0.2">
      <c r="A10" s="143"/>
      <c r="B10" s="201" t="s">
        <v>4646</v>
      </c>
      <c r="C10" s="241" t="s">
        <v>4647</v>
      </c>
      <c r="D10" s="241" t="s">
        <v>4648</v>
      </c>
      <c r="E10" s="158" t="s">
        <v>4649</v>
      </c>
      <c r="F10" s="15" t="s">
        <v>4650</v>
      </c>
      <c r="G10" s="191" t="s">
        <v>4651</v>
      </c>
      <c r="H10" s="148" t="s">
        <v>4652</v>
      </c>
      <c r="I10" s="146"/>
    </row>
    <row r="11" spans="1:10" s="147" customFormat="1" ht="63" customHeight="1" thickBot="1" x14ac:dyDescent="0.25">
      <c r="A11" s="143"/>
      <c r="B11" s="202" t="s">
        <v>4653</v>
      </c>
      <c r="C11" s="204">
        <v>0.1</v>
      </c>
      <c r="D11" s="168">
        <f>IF(C11&lt;&gt;"",C11,"")</f>
        <v>0.1</v>
      </c>
      <c r="E11" s="184" t="s">
        <v>4654</v>
      </c>
      <c r="F11" s="14" t="s">
        <v>4655</v>
      </c>
      <c r="G11" s="164">
        <v>0.2</v>
      </c>
      <c r="H11" s="176">
        <v>0.2</v>
      </c>
      <c r="I11" s="146"/>
    </row>
    <row r="12" spans="1:10" ht="28.75" customHeight="1" x14ac:dyDescent="0.2">
      <c r="A12" s="11"/>
      <c r="B12" s="18" t="s">
        <v>4656</v>
      </c>
      <c r="C12" s="238" t="s">
        <v>4657</v>
      </c>
      <c r="D12" s="239" t="s">
        <v>4658</v>
      </c>
      <c r="E12" s="185" t="s">
        <v>4659</v>
      </c>
      <c r="F12" s="187" t="s">
        <v>4660</v>
      </c>
      <c r="G12" s="188" t="s">
        <v>4661</v>
      </c>
      <c r="H12" s="175" t="s">
        <v>4662</v>
      </c>
      <c r="I12" s="12"/>
    </row>
    <row r="13" spans="1:10" s="40" customFormat="1" ht="5.5" customHeight="1" thickBot="1" x14ac:dyDescent="0.25">
      <c r="A13" s="35"/>
      <c r="B13" s="36"/>
      <c r="C13" s="88"/>
      <c r="D13" s="156"/>
      <c r="E13" s="159"/>
      <c r="F13" s="37"/>
      <c r="G13" s="165"/>
      <c r="H13" s="38"/>
      <c r="I13" s="39"/>
    </row>
    <row r="14" spans="1:10" ht="158.5" customHeight="1" x14ac:dyDescent="0.2">
      <c r="A14" s="11"/>
      <c r="B14" s="31" t="s">
        <v>4663</v>
      </c>
      <c r="C14" s="123">
        <v>0.91</v>
      </c>
      <c r="D14" s="205">
        <f>IF(C14="","",C14)</f>
        <v>0.91</v>
      </c>
      <c r="E14" s="198" t="s">
        <v>4664</v>
      </c>
      <c r="F14" s="32" t="s">
        <v>4665</v>
      </c>
      <c r="G14" s="169">
        <v>0.91</v>
      </c>
      <c r="H14" s="170">
        <v>0.91</v>
      </c>
      <c r="I14" s="12"/>
    </row>
    <row r="15" spans="1:10" ht="160" customHeight="1" x14ac:dyDescent="0.2">
      <c r="A15" s="11"/>
      <c r="B15" s="19" t="s">
        <v>4666</v>
      </c>
      <c r="C15" s="124">
        <v>0.91</v>
      </c>
      <c r="D15" s="206">
        <f>IF(C15="","",C15)</f>
        <v>0.91</v>
      </c>
      <c r="E15" s="199" t="s">
        <v>4667</v>
      </c>
      <c r="F15" s="33" t="s">
        <v>4668</v>
      </c>
      <c r="G15" s="171">
        <v>0.91</v>
      </c>
      <c r="H15" s="172">
        <v>0.91</v>
      </c>
      <c r="I15" s="12"/>
    </row>
    <row r="16" spans="1:10" ht="141" customHeight="1" thickBot="1" x14ac:dyDescent="0.25">
      <c r="A16" s="11"/>
      <c r="B16" s="20" t="s">
        <v>4669</v>
      </c>
      <c r="C16" s="125">
        <v>0.05</v>
      </c>
      <c r="D16" s="207">
        <f>IF(C16="","",C16)</f>
        <v>0.05</v>
      </c>
      <c r="E16" s="186" t="s">
        <v>4670</v>
      </c>
      <c r="F16" s="34" t="s">
        <v>4671</v>
      </c>
      <c r="G16" s="173">
        <v>0.05</v>
      </c>
      <c r="H16" s="174">
        <v>0.05</v>
      </c>
      <c r="I16" s="12"/>
    </row>
    <row r="17" spans="2:8" x14ac:dyDescent="0.2">
      <c r="B17" s="16"/>
      <c r="C17" s="16"/>
      <c r="D17" s="16"/>
      <c r="E17" s="24"/>
      <c r="F17" s="24"/>
      <c r="G17" s="161"/>
      <c r="H17" s="16"/>
    </row>
  </sheetData>
  <dataValidations count="1">
    <dataValidation type="list" showInputMessage="1" showErrorMessage="1" sqref="C8" xr:uid="{00000000-0002-0000-0400-000000000000}">
      <formula1>"العام العادي,  العام الماضي"</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Microsoft Office User</cp:lastModifiedBy>
  <dcterms:created xsi:type="dcterms:W3CDTF">2021-01-05T14:16:30Z</dcterms:created>
  <dcterms:modified xsi:type="dcterms:W3CDTF">2023-08-07T07:21:15Z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2023-08-07T07:19:40Z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b14078e2-5d9f-4f61-8458-1b2299f61259</vt:lpwstr>
  </property>
  <property fmtid="{D5CDD505-2E9C-101B-9397-08002B2CF9AE}" pid="8" name="MSIP_Label_46ec50b2-b191-4ad7-ba82-7deb0436e358_ContentBits">
    <vt:lpwstr>0</vt:lpwstr>
  </property>
</Properties>
</file>