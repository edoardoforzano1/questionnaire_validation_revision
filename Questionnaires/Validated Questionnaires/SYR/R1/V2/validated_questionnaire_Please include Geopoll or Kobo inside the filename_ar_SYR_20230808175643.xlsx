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externalReferences>
    <externalReference xmlns:r="http://schemas.openxmlformats.org/officeDocument/2006/relationships" r:id="rId6"/>
  </externalReferences>
  <definedNames>
    <definedName name="_xlnm._FilterDatabase" localSheetId="0" hidden="1">'survey'!$A$1:$AB$373</definedName>
    <definedName name="_xlnm._FilterDatabase" localSheetId="1" hidden="1">'choices'!$A$1:$A$1717</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theme="1"/>
      <sz val="11"/>
    </font>
    <font>
      <name val="Ubuntu Mono"/>
      <family val="3"/>
      <color theme="1"/>
      <sz val="8"/>
    </font>
    <font>
      <name val="Ubuntu Mono"/>
      <family val="3"/>
      <color theme="1"/>
      <sz val="11"/>
    </font>
    <font>
      <name val="Calibri"/>
      <family val="2"/>
      <i val="1"/>
      <color theme="1"/>
      <sz val="11"/>
    </font>
    <font>
      <name val="Ubuntu Mono"/>
      <family val="3"/>
      <color theme="1"/>
      <sz val="11"/>
    </font>
    <font>
      <name val="Ubuntu Mono"/>
      <family val="3"/>
      <sz val="11"/>
    </font>
    <font>
      <name val="Ubuntu Mono"/>
      <family val="3"/>
      <color theme="5"/>
      <sz val="11"/>
    </font>
    <font>
      <name val="Calibri"/>
      <family val="2"/>
      <b val="1"/>
      <color theme="1"/>
      <sz val="12"/>
      <scheme val="minor"/>
    </font>
    <font>
      <name val="Calibri"/>
      <family val="2"/>
      <sz val="12"/>
      <scheme val="minor"/>
    </font>
    <font>
      <name val="Calibri"/>
      <family val="2"/>
      <i val="1"/>
      <color theme="1"/>
      <sz val="11"/>
      <scheme val="minor"/>
    </font>
    <font>
      <name val="Calibri"/>
      <family val="2"/>
      <i val="1"/>
      <sz val="11"/>
      <scheme val="minor"/>
    </font>
    <font>
      <name val="Calibri"/>
      <family val="2"/>
      <b val="1"/>
      <color rgb="FF0070C0"/>
      <sz val="11"/>
      <scheme val="minor"/>
    </font>
    <font>
      <name val="Calibri"/>
      <family val="2"/>
      <color theme="1"/>
      <sz val="10.5"/>
      <scheme val="minor"/>
    </font>
  </fonts>
  <fills count="16">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theme="0" tint="-0.3499862666707358"/>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0" tint="-0.1499984740745262"/>
        <bgColor indexed="64"/>
      </patternFill>
    </fill>
    <fill>
      <patternFill patternType="solid">
        <fgColor rgb="FFFF0000"/>
        <bgColor indexed="64"/>
      </patternFill>
    </fill>
    <fill>
      <patternFill patternType="solid">
        <fgColor rgb="FF00B050"/>
        <bgColor indexed="64"/>
      </patternFill>
    </fill>
  </fills>
  <borders count="54">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theme="1"/>
      </left>
      <right style="thin">
        <color indexed="64"/>
      </right>
      <top/>
      <bottom style="medium">
        <color indexed="64"/>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9">
    <xf numFmtId="0" fontId="9" fillId="0" borderId="0"/>
    <xf numFmtId="0" fontId="6" fillId="0" borderId="0"/>
    <xf numFmtId="0" fontId="9" fillId="0" borderId="0"/>
    <xf numFmtId="0" fontId="14"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xf numFmtId="43" fontId="9" fillId="0" borderId="0"/>
  </cellStyleXfs>
  <cellXfs count="399">
    <xf numFmtId="0" fontId="0" fillId="0" borderId="0" pivotButton="0" quotePrefix="0" xfId="0"/>
    <xf numFmtId="0" fontId="8" fillId="2" borderId="0" applyProtection="1" pivotButton="0" quotePrefix="0" xfId="0">
      <protection locked="0" hidden="0"/>
    </xf>
    <xf numFmtId="0" fontId="8"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0" fillId="2" borderId="0" applyProtection="1" pivotButton="0" quotePrefix="0" xfId="0">
      <protection locked="0" hidden="0"/>
    </xf>
    <xf numFmtId="0" fontId="8" fillId="0" borderId="0" pivotButton="0" quotePrefix="0" xfId="0"/>
    <xf numFmtId="0" fontId="20"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4" fillId="0" borderId="2" pivotButton="0" quotePrefix="0" xfId="10"/>
    <xf numFmtId="0" fontId="4" fillId="0" borderId="13" pivotButton="0" quotePrefix="0" xfId="10"/>
    <xf numFmtId="0" fontId="4" fillId="0" borderId="6" pivotButton="0" quotePrefix="0" xfId="10"/>
    <xf numFmtId="0" fontId="4" fillId="0" borderId="23" pivotButton="0" quotePrefix="0" xfId="10"/>
    <xf numFmtId="0" fontId="17" fillId="0" borderId="26" applyAlignment="1" pivotButton="0" quotePrefix="0" xfId="10">
      <alignment horizontal="center" vertical="center" wrapText="1"/>
    </xf>
    <xf numFmtId="0" fontId="17" fillId="0" borderId="31" applyAlignment="1" pivotButton="0" quotePrefix="0" xfId="10">
      <alignment vertical="center" wrapText="1"/>
    </xf>
    <xf numFmtId="0" fontId="17" fillId="0" borderId="19" applyAlignment="1" pivotButton="0" quotePrefix="0" xfId="10">
      <alignment vertical="center" wrapText="1"/>
    </xf>
    <xf numFmtId="0" fontId="4" fillId="0" borderId="3" pivotButton="0" quotePrefix="0" xfId="10"/>
    <xf numFmtId="0" fontId="16" fillId="0" borderId="10" applyAlignment="1" pivotButton="0" quotePrefix="0" xfId="5">
      <alignment horizontal="left" vertical="center"/>
    </xf>
    <xf numFmtId="0" fontId="16"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1" fillId="0" borderId="35" applyAlignment="1" applyProtection="1" pivotButton="0" quotePrefix="0" xfId="0">
      <alignment horizontal="center" vertical="center" wrapText="1"/>
      <protection locked="0" hidden="0"/>
    </xf>
    <xf numFmtId="0" fontId="4" fillId="0" borderId="13" applyAlignment="1" pivotButton="0" quotePrefix="0" xfId="10">
      <alignment vertical="center"/>
    </xf>
    <xf numFmtId="0" fontId="18" fillId="0" borderId="25" applyAlignment="1" pivotButton="0" quotePrefix="0" xfId="10">
      <alignment horizontal="center" vertical="center"/>
    </xf>
    <xf numFmtId="0" fontId="4" fillId="0" borderId="3" applyAlignment="1" pivotButton="0" quotePrefix="0" xfId="10">
      <alignment vertical="center"/>
    </xf>
    <xf numFmtId="0" fontId="4"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2" fillId="0" borderId="15" applyAlignment="1" pivotButton="0" quotePrefix="0" xfId="10">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4" fillId="5" borderId="6" pivotButton="0" quotePrefix="0" xfId="10"/>
    <xf numFmtId="0" fontId="16" fillId="5" borderId="30" applyAlignment="1" pivotButton="0" quotePrefix="0" xfId="10">
      <alignment vertical="center"/>
    </xf>
    <xf numFmtId="0" fontId="17" fillId="5" borderId="31" applyAlignment="1" pivotButton="0" quotePrefix="0" xfId="10">
      <alignment vertical="center" wrapText="1"/>
    </xf>
    <xf numFmtId="0" fontId="17" fillId="5" borderId="32" applyAlignment="1" pivotButton="0" quotePrefix="0" xfId="10">
      <alignment horizontal="center" vertical="center" wrapText="1"/>
    </xf>
    <xf numFmtId="0" fontId="4" fillId="5" borderId="23" pivotButton="0" quotePrefix="0" xfId="10"/>
    <xf numFmtId="0" fontId="4" fillId="5" borderId="2" pivotButton="0" quotePrefix="0" xfId="10"/>
    <xf numFmtId="0" fontId="4" fillId="0" borderId="6" applyAlignment="1" pivotButton="0" quotePrefix="0" xfId="10">
      <alignment vertical="center"/>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4" fillId="0" borderId="23" applyAlignment="1" pivotButton="0" quotePrefix="0" xfId="10">
      <alignment vertical="center"/>
    </xf>
    <xf numFmtId="0" fontId="8" fillId="0" borderId="0" applyAlignment="1" pivotButton="0" quotePrefix="0" xfId="0">
      <alignment vertical="top"/>
    </xf>
    <xf numFmtId="0" fontId="8" fillId="2" borderId="0" applyAlignment="1" applyProtection="1" pivotButton="0" quotePrefix="0" xfId="0">
      <alignment vertical="top" wrapText="1"/>
      <protection locked="0" hidden="0"/>
    </xf>
    <xf numFmtId="0" fontId="8" fillId="2" borderId="0" applyAlignment="1" applyProtection="1" pivotButton="0" quotePrefix="0" xfId="0">
      <alignment vertical="top"/>
      <protection locked="0" hidden="0"/>
    </xf>
    <xf numFmtId="0" fontId="8"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10" fillId="0"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11" fillId="2" borderId="0" applyAlignment="1" applyProtection="1" pivotButton="0" quotePrefix="0" xfId="0">
      <alignment vertical="top" wrapText="1"/>
      <protection locked="0" hidden="0"/>
    </xf>
    <xf numFmtId="0" fontId="10" fillId="0" borderId="0" applyAlignment="1" pivotButton="0" quotePrefix="0" xfId="0">
      <alignment vertical="top"/>
    </xf>
    <xf numFmtId="0" fontId="10" fillId="0" borderId="0" applyAlignment="1" pivotButton="0" quotePrefix="0" xfId="0">
      <alignment vertical="top" wrapText="1"/>
    </xf>
    <xf numFmtId="0" fontId="21" fillId="0" borderId="0" applyAlignment="1" pivotButton="0" quotePrefix="0" xfId="0">
      <alignment vertical="top"/>
    </xf>
    <xf numFmtId="0" fontId="11" fillId="2" borderId="0"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23" fillId="0" borderId="0" applyAlignment="1" applyProtection="1" pivotButton="0" quotePrefix="0" xfId="0">
      <alignment vertical="top"/>
      <protection locked="0" hidden="0"/>
    </xf>
    <xf numFmtId="0" fontId="10" fillId="0" borderId="1" applyAlignment="1" pivotButton="0" quotePrefix="0" xfId="0">
      <alignment vertical="top"/>
    </xf>
    <xf numFmtId="0" fontId="10" fillId="2" borderId="0" applyAlignment="1" applyProtection="1" pivotButton="0" quotePrefix="0" xfId="0">
      <alignment vertical="top" wrapText="1"/>
      <protection locked="0" hidden="0"/>
    </xf>
    <xf numFmtId="0" fontId="12" fillId="0" borderId="0" applyAlignment="1" applyProtection="1" pivotButton="0" quotePrefix="0" xfId="0">
      <alignment vertical="top"/>
      <protection locked="0" hidden="0"/>
    </xf>
    <xf numFmtId="0" fontId="10" fillId="2" borderId="0" applyAlignment="1" applyProtection="1" pivotButton="0" quotePrefix="0" xfId="0">
      <alignment vertical="top"/>
      <protection locked="0" hidden="0"/>
    </xf>
    <xf numFmtId="0" fontId="0" fillId="0" borderId="1" applyAlignment="1" pivotButton="0" quotePrefix="0" xfId="0">
      <alignment vertical="top"/>
    </xf>
    <xf numFmtId="0" fontId="12" fillId="2" borderId="0" applyAlignment="1" applyProtection="1" pivotButton="0" quotePrefix="0" xfId="0">
      <alignment vertical="top"/>
      <protection locked="0" hidden="0"/>
    </xf>
    <xf numFmtId="0" fontId="12" fillId="0" borderId="0" applyAlignment="1" pivotButton="0" quotePrefix="0" xfId="0">
      <alignment vertical="top"/>
    </xf>
    <xf numFmtId="164" fontId="10" fillId="0" borderId="0" applyAlignment="1" applyProtection="1" pivotButton="0" quotePrefix="0" xfId="0">
      <alignment vertical="top"/>
      <protection locked="0" hidden="0"/>
    </xf>
    <xf numFmtId="9" fontId="10" fillId="0"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2" borderId="0" applyAlignment="1" applyProtection="1" pivotButton="0" quotePrefix="0" xfId="0">
      <alignment horizontal="center" vertical="center" wrapText="1"/>
      <protection locked="0" hidden="0"/>
    </xf>
    <xf numFmtId="0" fontId="8" fillId="2"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11" fillId="0" borderId="0" applyAlignment="1" applyProtection="1" pivotButton="0" quotePrefix="0" xfId="0">
      <alignment vertical="center"/>
      <protection locked="0" hidden="0"/>
    </xf>
    <xf numFmtId="0" fontId="10" fillId="0" borderId="0" applyAlignment="1" pivotButton="0" quotePrefix="0" xfId="0">
      <alignment vertical="center"/>
    </xf>
    <xf numFmtId="0" fontId="8" fillId="0" borderId="0" applyAlignment="1" pivotButton="0" quotePrefix="0" xfId="0">
      <alignment vertical="center"/>
    </xf>
    <xf numFmtId="0" fontId="23" fillId="0" borderId="0" applyAlignment="1" pivotButton="0" quotePrefix="0" xfId="0">
      <alignment vertical="center"/>
    </xf>
    <xf numFmtId="0" fontId="11" fillId="0" borderId="0" applyAlignment="1" pivotButton="0" quotePrefix="0" xfId="0">
      <alignment vertical="center"/>
    </xf>
    <xf numFmtId="0" fontId="10" fillId="0" borderId="1" applyAlignment="1" pivotButton="0" quotePrefix="0" xfId="0">
      <alignment vertical="center"/>
    </xf>
    <xf numFmtId="0" fontId="10" fillId="0" borderId="0" applyAlignment="1" applyProtection="1" pivotButton="0" quotePrefix="0" xfId="0">
      <alignment vertical="center"/>
      <protection locked="0" hidden="0"/>
    </xf>
    <xf numFmtId="0" fontId="21" fillId="0" borderId="0" applyAlignment="1" pivotButton="0" quotePrefix="0" xfId="0">
      <alignment vertical="center"/>
    </xf>
    <xf numFmtId="0" fontId="4" fillId="5" borderId="24" applyAlignment="1" pivotButton="0" quotePrefix="0" xfId="10">
      <alignment horizontal="center" vertical="center"/>
    </xf>
    <xf numFmtId="0" fontId="0" fillId="0" borderId="2" pivotButton="0" quotePrefix="0" xfId="0"/>
    <xf numFmtId="0" fontId="10"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8"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10" fillId="0" borderId="7" applyAlignment="1" pivotButton="0" quotePrefix="0" xfId="0">
      <alignment horizontal="center" vertical="center"/>
    </xf>
    <xf numFmtId="0" fontId="10" fillId="0" borderId="7" applyAlignment="1" pivotButton="0" quotePrefix="0" xfId="0">
      <alignment wrapText="1"/>
    </xf>
    <xf numFmtId="0" fontId="21" fillId="0" borderId="7" applyAlignment="1" pivotButton="0" quotePrefix="0" xfId="0">
      <alignment wrapText="1"/>
    </xf>
    <xf numFmtId="0" fontId="10"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0"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wrapText="1"/>
      <protection locked="0" hidden="0"/>
    </xf>
    <xf numFmtId="0" fontId="26" fillId="2" borderId="0" applyAlignment="1" applyProtection="1" pivotButton="0" quotePrefix="0" xfId="0">
      <alignment vertical="top"/>
      <protection locked="0" hidden="0"/>
    </xf>
    <xf numFmtId="9" fontId="11"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10" fillId="0" borderId="0" applyAlignment="1" applyProtection="1" pivotButton="0" quotePrefix="0" xfId="7">
      <alignment vertical="top"/>
      <protection locked="0" hidden="0"/>
    </xf>
    <xf numFmtId="165" fontId="10" fillId="0" borderId="0" applyAlignment="1" applyProtection="1" pivotButton="0" quotePrefix="0" xfId="0">
      <alignment vertical="top"/>
      <protection locked="0" hidden="0"/>
    </xf>
    <xf numFmtId="165" fontId="10" fillId="0" borderId="0" applyAlignment="1" applyProtection="1" pivotButton="0" quotePrefix="0" xfId="0">
      <alignment vertical="top" wrapText="1"/>
      <protection locked="0" hidden="0"/>
    </xf>
    <xf numFmtId="9" fontId="10" fillId="0" borderId="0" applyAlignment="1" applyProtection="1" pivotButton="0" quotePrefix="0" xfId="7">
      <alignment vertical="top" wrapText="1"/>
      <protection locked="0" hidden="0"/>
    </xf>
    <xf numFmtId="165" fontId="11" fillId="0" borderId="0" applyAlignment="1" applyProtection="1" pivotButton="0" quotePrefix="0" xfId="0">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164" fontId="4" fillId="2" borderId="16" applyAlignment="1" pivotButton="0" quotePrefix="0" xfId="10">
      <alignment horizontal="center" vertical="center"/>
    </xf>
    <xf numFmtId="164" fontId="4" fillId="2" borderId="7" applyAlignment="1" pivotButton="0" quotePrefix="0" xfId="10">
      <alignment horizontal="center" vertical="center"/>
    </xf>
    <xf numFmtId="164" fontId="4" fillId="2" borderId="4" applyAlignment="1" pivotButton="0" quotePrefix="0" xfId="10">
      <alignment horizontal="center" vertical="center"/>
    </xf>
    <xf numFmtId="1" fontId="24" fillId="2" borderId="7" applyAlignment="1" applyProtection="1" pivotButton="0" quotePrefix="0" xfId="5">
      <alignment horizontal="center" vertical="center"/>
      <protection locked="0" hidden="0"/>
    </xf>
    <xf numFmtId="0" fontId="16" fillId="0" borderId="9" applyAlignment="1" pivotButton="0" quotePrefix="0" xfId="5">
      <alignment vertical="center" wrapText="1"/>
    </xf>
    <xf numFmtId="0" fontId="16" fillId="0" borderId="7" applyAlignment="1" pivotButton="0" quotePrefix="0" xfId="5">
      <alignment vertical="center" wrapText="1"/>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10" fillId="0" borderId="0" applyAlignment="1" applyProtection="1" pivotButton="0" quotePrefix="0" xfId="0">
      <alignment horizontal="right" vertical="top"/>
      <protection locked="0" hidden="0"/>
    </xf>
    <xf numFmtId="165" fontId="10" fillId="0" borderId="0" applyAlignment="1" applyProtection="1" pivotButton="0" quotePrefix="0" xfId="0">
      <alignment horizontal="right" vertical="top"/>
      <protection locked="0" hidden="0"/>
    </xf>
    <xf numFmtId="165" fontId="10"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10" fillId="0" borderId="0" applyAlignment="1" applyProtection="1" pivotButton="0" quotePrefix="0" xfId="0">
      <alignment horizontal="right" vertical="top" wrapText="1"/>
      <protection locked="0" hidden="0"/>
    </xf>
    <xf numFmtId="165" fontId="11" fillId="0" borderId="0" applyAlignment="1" applyProtection="1" pivotButton="0" quotePrefix="0" xfId="0">
      <alignment horizontal="right" vertical="top"/>
      <protection locked="0" hidden="0"/>
    </xf>
    <xf numFmtId="0" fontId="8" fillId="0" borderId="29"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5" fillId="0" borderId="6" pivotButton="0" quotePrefix="0" xfId="5"/>
    <xf numFmtId="0" fontId="16" fillId="0" borderId="8" applyAlignment="1" pivotButton="0" quotePrefix="0" xfId="5">
      <alignment vertical="center"/>
    </xf>
    <xf numFmtId="0" fontId="16" fillId="0" borderId="19" applyAlignment="1" pivotButton="0" quotePrefix="0" xfId="5">
      <alignment horizontal="left" vertical="center" wrapText="1"/>
    </xf>
    <xf numFmtId="0" fontId="5" fillId="0" borderId="23" pivotButton="0" quotePrefix="0" xfId="5"/>
    <xf numFmtId="0" fontId="5" fillId="0" borderId="2" pivotButton="0" quotePrefix="0" xfId="5"/>
    <xf numFmtId="0" fontId="17" fillId="0" borderId="26" applyAlignment="1" pivotButton="0" quotePrefix="0" xfId="5">
      <alignment horizontal="center" vertical="center" wrapText="1"/>
    </xf>
    <xf numFmtId="165" fontId="10" fillId="7" borderId="0" applyAlignment="1" applyProtection="1" pivotButton="0" quotePrefix="0" xfId="0">
      <alignment horizontal="right" vertical="top"/>
      <protection locked="0" hidden="0"/>
    </xf>
    <xf numFmtId="9" fontId="10" fillId="7" borderId="0" applyAlignment="1" applyProtection="1" pivotButton="0" quotePrefix="0" xfId="7">
      <alignment vertical="top"/>
      <protection locked="0" hidden="0"/>
    </xf>
    <xf numFmtId="9" fontId="10" fillId="0" borderId="0" applyAlignment="1" pivotButton="0" quotePrefix="0" xfId="7">
      <alignment vertical="top"/>
    </xf>
    <xf numFmtId="165" fontId="10" fillId="0" borderId="0" applyAlignment="1" pivotButton="0" quotePrefix="0" xfId="0">
      <alignment vertical="top"/>
    </xf>
    <xf numFmtId="0" fontId="10"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18" fillId="0" borderId="38" applyAlignment="1" pivotButton="0" quotePrefix="0" xfId="10">
      <alignment horizontal="center" vertical="center"/>
    </xf>
    <xf numFmtId="0" fontId="4" fillId="5" borderId="39" applyAlignment="1" pivotButton="0" quotePrefix="0" xfId="10">
      <alignment horizontal="center" vertical="center"/>
    </xf>
    <xf numFmtId="0" fontId="18" fillId="0" borderId="40" applyAlignment="1" pivotButton="0" quotePrefix="0" xfId="10">
      <alignment horizontal="center" vertical="center"/>
    </xf>
    <xf numFmtId="0" fontId="17" fillId="0" borderId="33" applyAlignment="1" pivotButton="0" quotePrefix="0" xfId="17">
      <alignment vertical="center" wrapText="1"/>
    </xf>
    <xf numFmtId="0" fontId="17" fillId="5" borderId="42" applyAlignment="1" pivotButton="0" quotePrefix="0" xfId="10">
      <alignment vertical="center" wrapText="1"/>
    </xf>
    <xf numFmtId="0" fontId="3" fillId="0" borderId="13" pivotButton="0" quotePrefix="0" xfId="17"/>
    <xf numFmtId="0" fontId="3" fillId="0" borderId="3" pivotButton="0" quotePrefix="0" xfId="17"/>
    <xf numFmtId="0" fontId="3" fillId="0" borderId="2" pivotButton="0" quotePrefix="0" xfId="17"/>
    <xf numFmtId="0" fontId="18" fillId="0" borderId="40" applyAlignment="1" pivotButton="0" quotePrefix="0" xfId="17">
      <alignment horizontal="center" vertical="center"/>
    </xf>
    <xf numFmtId="2" fontId="17" fillId="0" borderId="42" applyAlignment="1" pivotButton="0" quotePrefix="0" xfId="17">
      <alignment horizontal="center" vertical="center" wrapText="1"/>
    </xf>
    <xf numFmtId="0" fontId="17" fillId="5" borderId="42" applyAlignment="1" pivotButton="0" quotePrefix="0" xfId="17">
      <alignment horizontal="center" vertical="center" wrapText="1"/>
    </xf>
    <xf numFmtId="0" fontId="3" fillId="5" borderId="7" applyAlignment="1" pivotButton="0" quotePrefix="0" xfId="17">
      <alignment horizontal="center" vertical="center"/>
    </xf>
    <xf numFmtId="0" fontId="3" fillId="3" borderId="7" applyAlignment="1" applyProtection="1" pivotButton="0" quotePrefix="0" xfId="17">
      <alignment horizontal="center" vertical="center"/>
      <protection locked="0" hidden="0"/>
    </xf>
    <xf numFmtId="4" fontId="3" fillId="5" borderId="4" applyAlignment="1" pivotButton="0" quotePrefix="0" xfId="17">
      <alignment horizontal="center" vertical="center"/>
    </xf>
    <xf numFmtId="164" fontId="17" fillId="0" borderId="44" applyAlignment="1" pivotButton="0" quotePrefix="0" xfId="7">
      <alignment horizontal="center" vertical="center" wrapText="1"/>
    </xf>
    <xf numFmtId="164" fontId="17" fillId="0" borderId="36" applyAlignment="1" pivotButton="0" quotePrefix="0" xfId="7">
      <alignment horizontal="center" vertical="center" wrapText="1"/>
    </xf>
    <xf numFmtId="164" fontId="17" fillId="0" borderId="45"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43" applyAlignment="1" pivotButton="0" quotePrefix="0" xfId="7">
      <alignment horizontal="center" vertical="center" wrapText="1"/>
    </xf>
    <xf numFmtId="164" fontId="17" fillId="0" borderId="22" applyAlignment="1" pivotButton="0" quotePrefix="0" xfId="7">
      <alignment horizontal="center" vertical="center" wrapText="1"/>
    </xf>
    <xf numFmtId="0" fontId="27" fillId="0" borderId="28" applyAlignment="1" pivotButton="0" quotePrefix="0" xfId="10">
      <alignment horizontal="center" vertical="center" wrapText="1"/>
    </xf>
    <xf numFmtId="0" fontId="28" fillId="0" borderId="32" applyAlignment="1" pivotButton="0" quotePrefix="0" xfId="5">
      <alignment horizontal="center" vertical="center" wrapText="1"/>
    </xf>
    <xf numFmtId="0" fontId="28" fillId="0" borderId="26" applyAlignment="1" pivotButton="0" quotePrefix="0" xfId="10">
      <alignment horizontal="center" vertical="center" wrapText="1"/>
    </xf>
    <xf numFmtId="0" fontId="28" fillId="0" borderId="26" applyAlignment="1" pivotButton="0" quotePrefix="0" xfId="5">
      <alignment horizontal="center" vertical="center" wrapText="1"/>
    </xf>
    <xf numFmtId="0" fontId="28" fillId="0" borderId="37" applyAlignment="1" pivotButton="0" quotePrefix="0" xfId="5">
      <alignment horizontal="center" vertical="center"/>
    </xf>
    <xf numFmtId="0" fontId="28" fillId="0" borderId="28" applyAlignment="1" pivotButton="0" quotePrefix="0" xfId="10">
      <alignment horizontal="center" vertical="center" wrapText="1"/>
    </xf>
    <xf numFmtId="0" fontId="17" fillId="0" borderId="19" applyAlignment="1" pivotButton="0" quotePrefix="0" xfId="5">
      <alignment horizontal="left" vertical="center" wrapText="1"/>
    </xf>
    <xf numFmtId="0" fontId="16" fillId="0" borderId="7" applyAlignment="1" pivotButton="0" quotePrefix="0" xfId="17">
      <alignment vertical="center" wrapText="1"/>
    </xf>
    <xf numFmtId="0" fontId="17" fillId="0" borderId="7" applyAlignment="1" pivotButton="0" quotePrefix="0" xfId="17">
      <alignment vertical="center" wrapText="1"/>
    </xf>
    <xf numFmtId="0" fontId="17" fillId="0" borderId="46" applyAlignment="1" pivotButton="0" quotePrefix="0" xfId="5">
      <alignment vertical="center" wrapText="1"/>
    </xf>
    <xf numFmtId="0" fontId="16" fillId="0" borderId="34" applyAlignment="1" pivotButton="0" quotePrefix="0" xfId="5">
      <alignment wrapText="1"/>
    </xf>
    <xf numFmtId="0" fontId="17" fillId="0" borderId="43" applyAlignment="1" pivotButton="0" quotePrefix="0" xfId="5">
      <alignment vertical="center" wrapText="1"/>
    </xf>
    <xf numFmtId="0" fontId="16" fillId="0" borderId="27" applyAlignment="1" pivotButton="0" quotePrefix="0" xfId="5">
      <alignment horizontal="left" vertical="center" wrapText="1"/>
    </xf>
    <xf numFmtId="0" fontId="16" fillId="0" borderId="41" applyAlignment="1" pivotButton="0" quotePrefix="0" xfId="5">
      <alignment horizontal="center" vertical="center" wrapText="1"/>
    </xf>
    <xf numFmtId="0" fontId="16" fillId="0" borderId="33" applyAlignment="1" pivotButton="0" quotePrefix="0" xfId="5">
      <alignment horizontal="center" vertical="center" wrapText="1"/>
    </xf>
    <xf numFmtId="0" fontId="17" fillId="0" borderId="33" applyAlignment="1" pivotButton="0" quotePrefix="0" xfId="5">
      <alignment horizontal="center" vertical="center" wrapText="1"/>
    </xf>
    <xf numFmtId="0" fontId="17" fillId="0" borderId="7" applyAlignment="1" pivotButton="0" quotePrefix="0" xfId="5">
      <alignment horizontal="center" vertical="center" wrapText="1"/>
    </xf>
    <xf numFmtId="0" fontId="16" fillId="0" borderId="34" applyAlignment="1" pivotButton="0" quotePrefix="0" xfId="5">
      <alignment horizontal="center" vertical="center" wrapText="1"/>
    </xf>
    <xf numFmtId="0" fontId="9" fillId="0" borderId="7" applyAlignment="1" pivotButton="0" quotePrefix="0" xfId="17">
      <alignment horizontal="center" vertical="center"/>
    </xf>
    <xf numFmtId="0" fontId="10" fillId="0" borderId="7" applyAlignment="1" pivotButton="0" quotePrefix="0" xfId="0">
      <alignment readingOrder="2"/>
    </xf>
    <xf numFmtId="0" fontId="10" fillId="0" borderId="9" applyAlignment="1" pivotButton="0" quotePrefix="0" xfId="0">
      <alignment readingOrder="2"/>
    </xf>
    <xf numFmtId="0" fontId="21" fillId="0" borderId="9" applyAlignment="1" pivotButton="0" quotePrefix="0" xfId="0">
      <alignment readingOrder="2"/>
    </xf>
    <xf numFmtId="0" fontId="10" fillId="0" borderId="0" applyAlignment="1" pivotButton="0" quotePrefix="0" xfId="3">
      <alignment horizontal="right" vertical="top" wrapText="1"/>
    </xf>
    <xf numFmtId="0" fontId="17" fillId="0" borderId="44" applyAlignment="1" pivotButton="0" quotePrefix="0" xfId="5">
      <alignment vertical="center" wrapText="1"/>
    </xf>
    <xf numFmtId="0" fontId="17" fillId="0" borderId="45" applyAlignment="1" pivotButton="0" quotePrefix="0" xfId="5">
      <alignment vertical="center" wrapText="1"/>
    </xf>
    <xf numFmtId="0" fontId="10" fillId="0" borderId="0" pivotButton="0" quotePrefix="0" xfId="0"/>
    <xf numFmtId="0" fontId="16" fillId="0" borderId="47" applyAlignment="1" pivotButton="0" quotePrefix="0" xfId="5">
      <alignment vertical="center"/>
    </xf>
    <xf numFmtId="0" fontId="16" fillId="0" borderId="48" applyAlignment="1" pivotButton="0" quotePrefix="0" xfId="5">
      <alignment vertical="center" wrapText="1"/>
    </xf>
    <xf numFmtId="0" fontId="2" fillId="0" borderId="2" pivotButton="0" quotePrefix="0" xfId="10"/>
    <xf numFmtId="2" fontId="2" fillId="3" borderId="42" applyAlignment="1" applyProtection="1" pivotButton="0" quotePrefix="0" xfId="5">
      <alignment horizontal="center" vertical="center"/>
      <protection locked="0" hidden="0"/>
    </xf>
    <xf numFmtId="164" fontId="2" fillId="5" borderId="16" applyAlignment="1" pivotButton="0" quotePrefix="0" xfId="7">
      <alignment horizontal="center" vertical="center"/>
    </xf>
    <xf numFmtId="164" fontId="2" fillId="5" borderId="7" applyAlignment="1" pivotButton="0" quotePrefix="0" xfId="7">
      <alignment horizontal="center" vertical="center"/>
    </xf>
    <xf numFmtId="164" fontId="2" fillId="5" borderId="4" applyAlignment="1" pivotButton="0" quotePrefix="0" xfId="7">
      <alignment horizontal="center" vertical="center"/>
    </xf>
    <xf numFmtId="0" fontId="10" fillId="5" borderId="0" applyAlignment="1" pivotButton="0" quotePrefix="0" xfId="0">
      <alignment vertical="top"/>
    </xf>
    <xf numFmtId="0" fontId="10" fillId="5" borderId="0" applyAlignment="1" pivotButton="0" quotePrefix="0" xfId="0">
      <alignment vertical="top" wrapText="1"/>
    </xf>
    <xf numFmtId="0" fontId="10" fillId="5" borderId="0" applyAlignment="1" applyProtection="1" pivotButton="0" quotePrefix="0" xfId="0">
      <alignment vertical="top"/>
      <protection locked="0" hidden="0"/>
    </xf>
    <xf numFmtId="0" fontId="10" fillId="5" borderId="0" applyAlignment="1" pivotButton="0" quotePrefix="0" xfId="0">
      <alignment vertical="center"/>
    </xf>
    <xf numFmtId="165" fontId="10" fillId="5" borderId="0" applyAlignment="1" applyProtection="1" pivotButton="0" quotePrefix="0" xfId="0">
      <alignment horizontal="right" vertical="top"/>
      <protection locked="0" hidden="0"/>
    </xf>
    <xf numFmtId="165" fontId="10" fillId="5" borderId="0" applyAlignment="1" applyProtection="1" pivotButton="0" quotePrefix="0" xfId="0">
      <alignment vertical="top"/>
      <protection locked="0" hidden="0"/>
    </xf>
    <xf numFmtId="0" fontId="0" fillId="5" borderId="0" applyAlignment="1" applyProtection="1" pivotButton="0" quotePrefix="0" xfId="0">
      <alignment vertical="top"/>
      <protection locked="0" hidden="0"/>
    </xf>
    <xf numFmtId="9" fontId="10" fillId="5" borderId="0" applyAlignment="1" applyProtection="1" pivotButton="0" quotePrefix="0" xfId="7">
      <alignment vertical="top"/>
      <protection locked="0" hidden="0"/>
    </xf>
    <xf numFmtId="0" fontId="0" fillId="5" borderId="0" applyProtection="1" pivotButton="0" quotePrefix="0" xfId="0">
      <protection locked="0" hidden="0"/>
    </xf>
    <xf numFmtId="0" fontId="30" fillId="0" borderId="0" pivotButton="0" quotePrefix="0" xfId="0"/>
    <xf numFmtId="0" fontId="30" fillId="8" borderId="7" pivotButton="0" quotePrefix="0" xfId="0"/>
    <xf numFmtId="0" fontId="30" fillId="8" borderId="33" pivotButton="0" quotePrefix="0" xfId="0"/>
    <xf numFmtId="0" fontId="30" fillId="0" borderId="49" pivotButton="0" quotePrefix="0" xfId="0"/>
    <xf numFmtId="0" fontId="0" fillId="0" borderId="0" applyAlignment="1" pivotButton="0" quotePrefix="0" xfId="0">
      <alignment wrapText="1"/>
    </xf>
    <xf numFmtId="0" fontId="31" fillId="0" borderId="49" pivotButton="0" quotePrefix="0" xfId="0"/>
    <xf numFmtId="0" fontId="0" fillId="0" borderId="49" pivotButton="0" quotePrefix="0" xfId="0"/>
    <xf numFmtId="0" fontId="0" fillId="0" borderId="49" applyAlignment="1" pivotButton="0" quotePrefix="0" xfId="0">
      <alignment vertical="top"/>
    </xf>
    <xf numFmtId="0" fontId="29" fillId="0" borderId="0" pivotButton="0" quotePrefix="0" xfId="0"/>
    <xf numFmtId="0" fontId="31" fillId="0" borderId="0" pivotButton="0" quotePrefix="0" xfId="0"/>
    <xf numFmtId="0" fontId="31" fillId="8" borderId="33" pivotButton="0" quotePrefix="0" xfId="0"/>
    <xf numFmtId="0" fontId="31" fillId="8" borderId="7" pivotButton="0" quotePrefix="0" xfId="0"/>
    <xf numFmtId="0" fontId="29" fillId="0" borderId="49" pivotButton="0" quotePrefix="0" xfId="0"/>
    <xf numFmtId="0" fontId="32" fillId="0" borderId="49" pivotButton="0" quotePrefix="0" xfId="0"/>
    <xf numFmtId="0" fontId="29" fillId="0" borderId="49" applyAlignment="1" pivotButton="0" quotePrefix="0" xfId="0">
      <alignment wrapText="1"/>
    </xf>
    <xf numFmtId="0" fontId="29" fillId="8" borderId="33" pivotButton="0" quotePrefix="0" xfId="0"/>
    <xf numFmtId="0" fontId="29" fillId="8" borderId="7" pivotButton="0" quotePrefix="0" xfId="0"/>
    <xf numFmtId="0" fontId="21" fillId="0" borderId="0" applyProtection="1" pivotButton="0" quotePrefix="0" xfId="0">
      <protection locked="0" hidden="0"/>
    </xf>
    <xf numFmtId="0" fontId="0" fillId="5" borderId="0" pivotButton="0" quotePrefix="0" xfId="0"/>
    <xf numFmtId="0" fontId="16" fillId="0" borderId="51" applyAlignment="1" pivotButton="0" quotePrefix="0" xfId="5">
      <alignment vertical="center" wrapText="1"/>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2" borderId="7" applyAlignment="1" applyProtection="1" pivotButton="0" quotePrefix="0" xfId="17">
      <alignment horizontal="center" vertical="center"/>
      <protection locked="0" hidden="0"/>
    </xf>
    <xf numFmtId="0" fontId="1" fillId="0" borderId="7" applyAlignment="1" pivotButton="0" quotePrefix="0" xfId="5">
      <alignment horizontal="center" vertical="center"/>
    </xf>
    <xf numFmtId="0" fontId="1" fillId="3" borderId="7" applyAlignment="1" applyProtection="1" pivotButton="0" quotePrefix="0" xfId="5">
      <alignment horizontal="center" vertical="center"/>
      <protection locked="0" hidden="0"/>
    </xf>
    <xf numFmtId="0" fontId="33" fillId="0" borderId="0" pivotButton="0" quotePrefix="0" xfId="0"/>
    <xf numFmtId="0" fontId="0" fillId="0" borderId="0" applyAlignment="1" pivotButton="0" quotePrefix="0" xfId="0">
      <alignment vertical="center"/>
    </xf>
    <xf numFmtId="0" fontId="0" fillId="2" borderId="1" applyAlignment="1" applyProtection="1" pivotButton="0" quotePrefix="0" xfId="0">
      <alignment vertical="top" wrapText="1"/>
      <protection locked="0" hidden="0"/>
    </xf>
    <xf numFmtId="0" fontId="0" fillId="3"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1" applyAlignment="1" pivotButton="0" quotePrefix="0" xfId="0">
      <alignment vertical="center"/>
    </xf>
    <xf numFmtId="0" fontId="34" fillId="0" borderId="0" pivotButton="0" quotePrefix="0" xfId="0"/>
    <xf numFmtId="0" fontId="0" fillId="0" borderId="0" applyAlignment="1" pivotButton="0" quotePrefix="0" xfId="0">
      <alignment horizontal="right" vertical="top"/>
    </xf>
    <xf numFmtId="0" fontId="10" fillId="0" borderId="50" pivotButton="0" quotePrefix="0" xfId="0"/>
    <xf numFmtId="0" fontId="12" fillId="0" borderId="0" applyProtection="1" pivotButton="0" quotePrefix="0" xfId="0">
      <protection locked="0" hidden="0"/>
    </xf>
    <xf numFmtId="0" fontId="12" fillId="0" borderId="0" pivotButton="0" quotePrefix="0" xfId="0"/>
    <xf numFmtId="0" fontId="13" fillId="0" borderId="0" applyProtection="1" pivotButton="0" quotePrefix="0" xfId="0">
      <protection locked="0" hidden="0"/>
    </xf>
    <xf numFmtId="0" fontId="12" fillId="0" borderId="0" applyAlignment="1" pivotButton="0" quotePrefix="0" xfId="0">
      <alignment vertical="center" wrapText="1" readingOrder="2"/>
    </xf>
    <xf numFmtId="0" fontId="10" fillId="0" borderId="0" applyAlignment="1" pivotButton="0" quotePrefix="0" xfId="0">
      <alignment readingOrder="2"/>
    </xf>
    <xf numFmtId="0" fontId="11" fillId="0" borderId="0" applyProtection="1" pivotButton="0" quotePrefix="0" xfId="0">
      <protection locked="0" hidden="0"/>
    </xf>
    <xf numFmtId="0" fontId="17" fillId="0" borderId="0" pivotButton="0" quotePrefix="0" xfId="0"/>
    <xf numFmtId="0" fontId="29" fillId="0" borderId="0" applyAlignment="1" applyProtection="1" pivotButton="0" quotePrefix="0" xfId="0">
      <alignment vertical="top"/>
      <protection locked="0" hidden="0"/>
    </xf>
    <xf numFmtId="0" fontId="29" fillId="0" borderId="0" applyAlignment="1" pivotButton="0" quotePrefix="0" xfId="0">
      <alignment vertical="center"/>
    </xf>
    <xf numFmtId="165" fontId="17" fillId="0" borderId="0" applyAlignment="1" applyProtection="1" pivotButton="0" quotePrefix="0" xfId="0">
      <alignment horizontal="right" vertical="top"/>
      <protection locked="0" hidden="0"/>
    </xf>
    <xf numFmtId="9" fontId="17" fillId="0" borderId="0" applyAlignment="1" applyProtection="1" pivotButton="0" quotePrefix="0" xfId="7">
      <alignment vertical="top"/>
      <protection locked="0" hidden="0"/>
    </xf>
    <xf numFmtId="165" fontId="17" fillId="0" borderId="0" applyAlignment="1" applyProtection="1" pivotButton="0" quotePrefix="0" xfId="0">
      <alignment vertical="top"/>
      <protection locked="0" hidden="0"/>
    </xf>
    <xf numFmtId="0" fontId="37" fillId="0" borderId="7" applyAlignment="1" pivotButton="0" quotePrefix="0" xfId="18">
      <alignment horizontal="left" vertical="center"/>
    </xf>
    <xf numFmtId="0" fontId="37" fillId="0" borderId="4" applyAlignment="1" pivotButton="0" quotePrefix="0" xfId="18">
      <alignment horizontal="left" vertical="center"/>
    </xf>
    <xf numFmtId="49" fontId="0" fillId="0" borderId="0" applyAlignment="1" applyProtection="1" pivotButton="0" quotePrefix="0" xfId="0">
      <alignment vertical="top" wrapText="1"/>
      <protection locked="0" hidden="0"/>
    </xf>
    <xf numFmtId="0" fontId="10" fillId="0" borderId="0" applyAlignment="1" applyProtection="1" pivotButton="0" quotePrefix="0" xfId="0">
      <alignment vertical="center" wrapText="1"/>
      <protection locked="0" hidden="0"/>
    </xf>
    <xf numFmtId="0" fontId="10" fillId="0" borderId="0" applyAlignment="1" pivotButton="0" quotePrefix="0" xfId="0">
      <alignment vertical="center" wrapText="1"/>
    </xf>
    <xf numFmtId="0" fontId="23" fillId="0" borderId="0" applyAlignment="1" applyProtection="1" pivotButton="0" quotePrefix="0" xfId="0">
      <alignment vertical="top" wrapText="1"/>
      <protection locked="0" hidden="0"/>
    </xf>
    <xf numFmtId="0" fontId="10" fillId="0" borderId="1" applyAlignment="1" pivotButton="0" quotePrefix="0" xfId="0">
      <alignment vertical="center" wrapText="1"/>
    </xf>
    <xf numFmtId="0" fontId="8" fillId="7" borderId="0" applyAlignment="1" pivotButton="0" quotePrefix="0" xfId="0">
      <alignment vertical="center" wrapText="1"/>
    </xf>
    <xf numFmtId="0" fontId="31" fillId="0" borderId="49" applyAlignment="1" pivotButton="0" quotePrefix="0" xfId="0">
      <alignment wrapText="1"/>
    </xf>
    <xf numFmtId="0" fontId="0" fillId="0" borderId="0" applyAlignment="1" applyProtection="1" pivotButton="0" quotePrefix="0" xfId="0">
      <alignment vertical="center" wrapText="1"/>
      <protection locked="0" hidden="0"/>
    </xf>
    <xf numFmtId="0" fontId="0" fillId="0" borderId="1" applyAlignment="1" pivotButton="0" quotePrefix="0" xfId="0">
      <alignment vertical="center" wrapText="1"/>
    </xf>
    <xf numFmtId="0" fontId="10" fillId="5" borderId="0" applyAlignment="1" pivotButton="0" quotePrefix="0" xfId="0">
      <alignment vertical="center" wrapText="1"/>
    </xf>
    <xf numFmtId="0" fontId="8" fillId="0" borderId="0" applyAlignment="1" pivotButton="0" quotePrefix="0" xfId="0">
      <alignment vertical="center" wrapText="1"/>
    </xf>
    <xf numFmtId="0" fontId="17" fillId="0" borderId="0" applyAlignment="1" pivotButton="0" quotePrefix="0" xfId="0">
      <alignment wrapText="1"/>
    </xf>
    <xf numFmtId="0" fontId="7" fillId="0" borderId="0" applyAlignment="1" pivotButton="0" quotePrefix="0" xfId="0">
      <alignment vertical="center" wrapText="1"/>
    </xf>
    <xf numFmtId="0" fontId="8" fillId="0" borderId="0" applyAlignment="1" applyProtection="1" pivotButton="0" quotePrefix="0" xfId="0">
      <alignment vertical="center" wrapText="1"/>
      <protection locked="0" hidden="0"/>
    </xf>
    <xf numFmtId="0" fontId="11" fillId="0" borderId="0" applyAlignment="1" applyProtection="1" pivotButton="0" quotePrefix="0" xfId="0">
      <alignment vertical="center" wrapText="1"/>
      <protection locked="0" hidden="0"/>
    </xf>
    <xf numFmtId="0" fontId="15" fillId="0" borderId="0" applyAlignment="1" applyProtection="1" pivotButton="0" quotePrefix="0" xfId="0">
      <alignment vertical="center" wrapText="1"/>
      <protection locked="0" hidden="0"/>
    </xf>
    <xf numFmtId="0" fontId="26" fillId="0" borderId="0" applyAlignment="1" pivotButton="0" quotePrefix="0" xfId="0">
      <alignment vertical="center" wrapText="1"/>
    </xf>
    <xf numFmtId="0" fontId="8" fillId="10" borderId="0" applyAlignment="1" pivotButton="0" quotePrefix="0" xfId="0">
      <alignment vertical="top"/>
    </xf>
    <xf numFmtId="0" fontId="21" fillId="10" borderId="0" applyAlignment="1" pivotButton="0" quotePrefix="0" xfId="0">
      <alignment vertical="top"/>
    </xf>
    <xf numFmtId="0" fontId="21" fillId="10" borderId="0" applyAlignment="1" applyProtection="1" pivotButton="0" quotePrefix="0" xfId="0">
      <alignment vertical="top"/>
      <protection locked="0" hidden="0"/>
    </xf>
    <xf numFmtId="0" fontId="36" fillId="0" borderId="16" applyAlignment="1" pivotButton="0" quotePrefix="0" xfId="0">
      <alignment vertical="center"/>
    </xf>
    <xf numFmtId="0" fontId="36" fillId="0" borderId="52" applyAlignment="1" pivotButton="0" quotePrefix="0" xfId="0">
      <alignment vertical="center"/>
    </xf>
    <xf numFmtId="0" fontId="36" fillId="0" borderId="7" applyAlignment="1" pivotButton="0" quotePrefix="0" xfId="0">
      <alignment vertical="center"/>
    </xf>
    <xf numFmtId="0" fontId="36" fillId="0" borderId="9" applyAlignment="1" pivotButton="0" quotePrefix="0" xfId="0">
      <alignment vertical="center"/>
    </xf>
    <xf numFmtId="0" fontId="37" fillId="0" borderId="16" applyAlignment="1" pivotButton="0" quotePrefix="0" xfId="0">
      <alignment horizontal="left" vertical="center"/>
    </xf>
    <xf numFmtId="0" fontId="1" fillId="0" borderId="7" applyAlignment="1" pivotButton="0" quotePrefix="0" xfId="0">
      <alignment vertical="center"/>
    </xf>
    <xf numFmtId="0" fontId="37" fillId="0" borderId="7" applyAlignment="1" pivotButton="0" quotePrefix="0" xfId="0">
      <alignment horizontal="left" vertical="center"/>
    </xf>
    <xf numFmtId="0" fontId="37" fillId="0" borderId="4" applyAlignment="1" pivotButton="0" quotePrefix="0" xfId="0">
      <alignment horizontal="left" vertical="center"/>
    </xf>
    <xf numFmtId="0" fontId="38" fillId="0" borderId="0" applyAlignment="1" pivotButton="0" quotePrefix="0" xfId="0">
      <alignment vertical="top"/>
    </xf>
    <xf numFmtId="0" fontId="38" fillId="0" borderId="0" applyAlignment="1" applyProtection="1" pivotButton="0" quotePrefix="0" xfId="0">
      <alignment vertical="top"/>
      <protection locked="0" hidden="0"/>
    </xf>
    <xf numFmtId="0" fontId="38" fillId="0" borderId="0" applyAlignment="1" pivotButton="0" quotePrefix="0" xfId="0">
      <alignment vertical="center"/>
    </xf>
    <xf numFmtId="0" fontId="38" fillId="0" borderId="0" applyAlignment="1" pivotButton="0" quotePrefix="0" xfId="0">
      <alignment vertical="center" wrapText="1"/>
    </xf>
    <xf numFmtId="165" fontId="39" fillId="0" borderId="0" applyAlignment="1" applyProtection="1" pivotButton="0" quotePrefix="0" xfId="0">
      <alignment horizontal="right" vertical="top"/>
      <protection locked="0" hidden="0"/>
    </xf>
    <xf numFmtId="9" fontId="39" fillId="0" borderId="0" applyAlignment="1" applyProtection="1" pivotButton="0" quotePrefix="0" xfId="7">
      <alignment vertical="top"/>
      <protection locked="0" hidden="0"/>
    </xf>
    <xf numFmtId="165" fontId="39" fillId="0" borderId="0" applyAlignment="1" applyProtection="1" pivotButton="0" quotePrefix="0" xfId="0">
      <alignment vertical="top"/>
      <protection locked="0" hidden="0"/>
    </xf>
    <xf numFmtId="0" fontId="39" fillId="0"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0" fontId="21" fillId="0" borderId="0" applyAlignment="1" pivotButton="0" quotePrefix="0" xfId="0">
      <alignment vertical="center" wrapText="1"/>
    </xf>
    <xf numFmtId="0" fontId="35" fillId="0" borderId="0" applyAlignment="1" pivotButton="0" quotePrefix="0" xfId="0">
      <alignment wrapText="1"/>
    </xf>
    <xf numFmtId="0" fontId="34" fillId="0" borderId="0" applyAlignment="1" pivotButton="0" quotePrefix="0" xfId="0">
      <alignment wrapText="1"/>
    </xf>
    <xf numFmtId="0" fontId="17" fillId="11" borderId="0" applyAlignment="1" pivotButton="0" quotePrefix="0" xfId="0">
      <alignment wrapText="1"/>
    </xf>
    <xf numFmtId="0" fontId="0" fillId="11" borderId="0" applyAlignment="1" pivotButton="0" quotePrefix="0" xfId="0">
      <alignment vertical="center"/>
    </xf>
    <xf numFmtId="0" fontId="40" fillId="0" borderId="0" pivotButton="0" quotePrefix="0" xfId="0"/>
    <xf numFmtId="0" fontId="40" fillId="0" borderId="0" applyAlignment="1" pivotButton="0" quotePrefix="0" xfId="0">
      <alignment vertical="center" wrapText="1"/>
    </xf>
    <xf numFmtId="0" fontId="10" fillId="7" borderId="0" pivotButton="0" quotePrefix="0" xfId="0"/>
    <xf numFmtId="49" fontId="37" fillId="12" borderId="16" applyAlignment="1" pivotButton="0" quotePrefix="0" xfId="0">
      <alignment horizontal="left" vertical="center"/>
    </xf>
    <xf numFmtId="49" fontId="37" fillId="12" borderId="7" applyAlignment="1" pivotButton="0" quotePrefix="0" xfId="0">
      <alignment horizontal="left" vertical="center"/>
    </xf>
    <xf numFmtId="49" fontId="37" fillId="12" borderId="4" applyAlignment="1" pivotButton="0" quotePrefix="0" xfId="0">
      <alignment horizontal="left" vertical="center"/>
    </xf>
    <xf numFmtId="49" fontId="37" fillId="0" borderId="9" applyAlignment="1" pivotButton="0" quotePrefix="0" xfId="0">
      <alignment horizontal="left" vertical="center"/>
    </xf>
    <xf numFmtId="49" fontId="37" fillId="0" borderId="7" applyAlignment="1" pivotButton="0" quotePrefix="0" xfId="0">
      <alignment horizontal="left" vertical="center"/>
    </xf>
    <xf numFmtId="49" fontId="37" fillId="5" borderId="7" applyAlignment="1" pivotButton="0" quotePrefix="0" xfId="0">
      <alignment horizontal="left" vertical="center"/>
    </xf>
    <xf numFmtId="49" fontId="24" fillId="0" borderId="24" applyAlignment="1" pivotButton="0" quotePrefix="0" xfId="0">
      <alignment vertical="center"/>
    </xf>
    <xf numFmtId="49" fontId="37" fillId="12" borderId="9" applyAlignment="1" pivotButton="0" quotePrefix="0" xfId="0">
      <alignment horizontal="left" vertical="center"/>
    </xf>
    <xf numFmtId="49" fontId="37" fillId="12" borderId="52" applyAlignment="1" pivotButton="0" quotePrefix="0" xfId="0">
      <alignment horizontal="left" vertical="center"/>
    </xf>
    <xf numFmtId="49" fontId="37" fillId="0" borderId="16" applyAlignment="1" pivotButton="0" quotePrefix="0" xfId="0">
      <alignment horizontal="left" vertical="center"/>
    </xf>
    <xf numFmtId="49" fontId="37" fillId="0" borderId="4" applyAlignment="1" pivotButton="0" quotePrefix="0" xfId="0">
      <alignment horizontal="left" vertical="center"/>
    </xf>
    <xf numFmtId="0" fontId="37" fillId="13" borderId="16" applyAlignment="1" pivotButton="0" quotePrefix="0" xfId="0">
      <alignment horizontal="left" vertical="center"/>
    </xf>
    <xf numFmtId="0" fontId="37" fillId="13" borderId="7" applyAlignment="1" pivotButton="0" quotePrefix="0" xfId="0">
      <alignment horizontal="left" vertical="center"/>
    </xf>
    <xf numFmtId="0" fontId="37" fillId="13" borderId="52" applyAlignment="1" pivotButton="0" quotePrefix="0" xfId="0">
      <alignment horizontal="left" vertical="center"/>
    </xf>
    <xf numFmtId="0" fontId="37" fillId="13" borderId="9" applyAlignment="1" pivotButton="0" quotePrefix="0" xfId="0">
      <alignment horizontal="left" vertical="center"/>
    </xf>
    <xf numFmtId="0" fontId="0" fillId="11" borderId="0" applyAlignment="1" pivotButton="0" quotePrefix="0" xfId="0">
      <alignment vertical="center" wrapText="1"/>
    </xf>
    <xf numFmtId="0" fontId="23" fillId="0" borderId="0" applyAlignment="1" pivotButton="0" quotePrefix="0" xfId="0">
      <alignment vertical="center" wrapText="1"/>
    </xf>
    <xf numFmtId="0" fontId="15" fillId="0" borderId="0" applyAlignment="1" pivotButton="0" quotePrefix="0" xfId="0">
      <alignment vertical="center" wrapText="1"/>
    </xf>
    <xf numFmtId="0" fontId="41" fillId="0" borderId="0" pivotButton="0" quotePrefix="0" xfId="0"/>
    <xf numFmtId="0" fontId="21" fillId="7" borderId="0" applyAlignment="1" pivotButton="0" quotePrefix="0" xfId="0">
      <alignment vertical="center" wrapText="1"/>
    </xf>
    <xf numFmtId="0" fontId="10" fillId="7" borderId="0" applyAlignment="1" pivotButton="0" quotePrefix="0" xfId="0">
      <alignment vertical="top" wrapText="1"/>
    </xf>
    <xf numFmtId="0" fontId="0" fillId="7" borderId="0" applyAlignment="1" pivotButton="0" quotePrefix="0" xfId="0">
      <alignment vertical="top"/>
    </xf>
    <xf numFmtId="0" fontId="0" fillId="7" borderId="0" applyAlignment="1" applyProtection="1" pivotButton="0" quotePrefix="0" xfId="0">
      <alignment vertical="top"/>
      <protection locked="0" hidden="0"/>
    </xf>
    <xf numFmtId="165" fontId="10" fillId="7" borderId="0" applyAlignment="1" applyProtection="1" pivotButton="0" quotePrefix="0" xfId="0">
      <alignment vertical="top"/>
      <protection locked="0" hidden="0"/>
    </xf>
    <xf numFmtId="0" fontId="0" fillId="7" borderId="0" applyAlignment="1" applyProtection="1" pivotButton="0" quotePrefix="0" xfId="0">
      <alignment vertical="top" wrapText="1"/>
      <protection locked="0" hidden="0"/>
    </xf>
    <xf numFmtId="0" fontId="10" fillId="7" borderId="0" applyAlignment="1" pivotButton="0" quotePrefix="0" xfId="0">
      <alignment vertical="center"/>
    </xf>
    <xf numFmtId="0" fontId="0" fillId="7" borderId="0" applyAlignment="1" applyProtection="1" pivotButton="0" quotePrefix="0" xfId="0">
      <alignment vertical="center"/>
      <protection locked="0" hidden="0"/>
    </xf>
    <xf numFmtId="0" fontId="10" fillId="7" borderId="0" applyAlignment="1" pivotButton="0" quotePrefix="0" xfId="0">
      <alignment vertical="top"/>
    </xf>
    <xf numFmtId="0" fontId="10" fillId="7" borderId="0" applyAlignment="1" applyProtection="1" pivotButton="0" quotePrefix="0" xfId="0">
      <alignment vertical="top"/>
      <protection locked="0" hidden="0"/>
    </xf>
    <xf numFmtId="0" fontId="0" fillId="7" borderId="0" applyAlignment="1" pivotButton="0" quotePrefix="0" xfId="0">
      <alignment vertical="center"/>
    </xf>
    <xf numFmtId="0" fontId="10" fillId="0" borderId="0" applyAlignment="1" pivotButton="0" quotePrefix="0" xfId="2">
      <alignment horizontal="left" vertical="center" wrapText="1"/>
    </xf>
    <xf numFmtId="0" fontId="10" fillId="7" borderId="0" applyAlignment="1" applyProtection="1" pivotButton="0" quotePrefix="0" xfId="0">
      <alignment vertical="center"/>
      <protection locked="0" hidden="0"/>
    </xf>
    <xf numFmtId="164" fontId="10" fillId="7" borderId="0" applyAlignment="1" applyProtection="1" pivotButton="0" quotePrefix="0" xfId="0">
      <alignment vertical="top"/>
      <protection locked="0" hidden="0"/>
    </xf>
    <xf numFmtId="0" fontId="10" fillId="7" borderId="0" applyAlignment="1" pivotButton="0" quotePrefix="0" xfId="2">
      <alignment horizontal="left" vertical="center" wrapText="1"/>
    </xf>
    <xf numFmtId="0" fontId="0" fillId="7" borderId="53" applyAlignment="1" pivotButton="0" quotePrefix="0" xfId="0">
      <alignment vertical="top"/>
    </xf>
    <xf numFmtId="0" fontId="0" fillId="7" borderId="53" applyAlignment="1" applyProtection="1" pivotButton="0" quotePrefix="0" xfId="0">
      <alignment vertical="top" wrapText="1"/>
      <protection locked="0" hidden="0"/>
    </xf>
    <xf numFmtId="0" fontId="0" fillId="7" borderId="53" applyAlignment="1" applyProtection="1" pivotButton="0" quotePrefix="0" xfId="0">
      <alignment horizontal="right" vertical="top" wrapText="1"/>
      <protection locked="0" hidden="0"/>
    </xf>
    <xf numFmtId="0" fontId="0" fillId="7" borderId="53" applyAlignment="1" applyProtection="1" pivotButton="0" quotePrefix="0" xfId="0">
      <alignment vertical="top"/>
      <protection locked="0" hidden="0"/>
    </xf>
    <xf numFmtId="0" fontId="0" fillId="7" borderId="53" applyAlignment="1" pivotButton="0" quotePrefix="0" xfId="0">
      <alignment vertical="center"/>
    </xf>
    <xf numFmtId="165" fontId="10" fillId="7" borderId="53" applyAlignment="1" applyProtection="1" pivotButton="0" quotePrefix="0" xfId="0">
      <alignment horizontal="right" vertical="top"/>
      <protection locked="0" hidden="0"/>
    </xf>
    <xf numFmtId="164" fontId="10" fillId="7" borderId="53" applyAlignment="1" applyProtection="1" pivotButton="0" quotePrefix="0" xfId="0">
      <alignment vertical="top"/>
      <protection locked="0" hidden="0"/>
    </xf>
    <xf numFmtId="165" fontId="10" fillId="7" borderId="53" applyAlignment="1" applyProtection="1" pivotButton="0" quotePrefix="0" xfId="0">
      <alignment vertical="top"/>
      <protection locked="0" hidden="0"/>
    </xf>
    <xf numFmtId="0" fontId="10" fillId="7" borderId="53" applyAlignment="1" applyProtection="1" pivotButton="0" quotePrefix="0" xfId="0">
      <alignment vertical="top"/>
      <protection locked="0" hidden="0"/>
    </xf>
    <xf numFmtId="9" fontId="10" fillId="7" borderId="0" applyAlignment="1" applyProtection="1" pivotButton="0" quotePrefix="0" xfId="0">
      <alignment vertical="top"/>
      <protection locked="0" hidden="0"/>
    </xf>
    <xf numFmtId="0" fontId="0" fillId="7" borderId="0" applyProtection="1" pivotButton="0" quotePrefix="0" xfId="0">
      <protection locked="0" hidden="0"/>
    </xf>
    <xf numFmtId="0" fontId="0" fillId="7" borderId="0" applyAlignment="1" applyProtection="1" pivotButton="0" quotePrefix="0" xfId="0">
      <alignment horizontal="left" vertical="top"/>
      <protection locked="0" hidden="0"/>
    </xf>
    <xf numFmtId="0" fontId="10" fillId="7" borderId="0" applyAlignment="1" applyProtection="1" pivotButton="0" quotePrefix="0" xfId="0">
      <alignment vertical="top" wrapText="1"/>
      <protection locked="0" hidden="0"/>
    </xf>
    <xf numFmtId="0" fontId="12" fillId="7" borderId="0" applyAlignment="1" applyProtection="1" pivotButton="0" quotePrefix="0" xfId="0">
      <alignment vertical="top"/>
      <protection locked="0" hidden="0"/>
    </xf>
    <xf numFmtId="0" fontId="0" fillId="7" borderId="0" pivotButton="0" quotePrefix="0" xfId="0"/>
    <xf numFmtId="0" fontId="12" fillId="7" borderId="0" applyAlignment="1" pivotButton="0" quotePrefix="0" xfId="0">
      <alignment horizontal="left" vertical="top"/>
    </xf>
    <xf numFmtId="0" fontId="38" fillId="0" borderId="0" applyAlignment="1" pivotButton="0" quotePrefix="0" xfId="0">
      <alignment horizontal="left" vertical="top"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0" fontId="10" fillId="0" borderId="0" applyAlignment="1" applyProtection="1" pivotButton="0" quotePrefix="0" xfId="0">
      <alignment horizontal="left" vertical="top" wrapText="1"/>
      <protection locked="0" hidden="0"/>
    </xf>
    <xf numFmtId="0" fontId="10" fillId="0" borderId="0" applyAlignment="1" pivotButton="0" quotePrefix="0" xfId="0">
      <alignment horizontal="left" vertical="top" wrapText="1"/>
    </xf>
    <xf numFmtId="0" fontId="8" fillId="10" borderId="0" applyAlignment="1" pivotButton="0" quotePrefix="0" xfId="0">
      <alignment horizontal="left" vertical="top" wrapText="1"/>
    </xf>
    <xf numFmtId="0" fontId="10" fillId="0" borderId="1" applyAlignment="1" pivotButton="0" quotePrefix="0" xfId="0">
      <alignment horizontal="left" vertical="top" wrapText="1"/>
    </xf>
    <xf numFmtId="0" fontId="10" fillId="0" borderId="0" applyAlignment="1" applyProtection="1" pivotButton="0" quotePrefix="0" xfId="0">
      <alignment horizontal="left" vertical="top"/>
      <protection locked="0" hidden="0"/>
    </xf>
    <xf numFmtId="0" fontId="10" fillId="7" borderId="0" applyAlignment="1" applyProtection="1" pivotButton="0" quotePrefix="0" xfId="0">
      <alignment horizontal="left" vertical="top" wrapText="1"/>
      <protection locked="0" hidden="0"/>
    </xf>
    <xf numFmtId="0" fontId="0" fillId="0" borderId="1" applyAlignment="1" pivotButton="0" quotePrefix="0" xfId="0">
      <alignment horizontal="left" vertical="top" wrapText="1"/>
    </xf>
    <xf numFmtId="0" fontId="10" fillId="0" borderId="0" applyAlignment="1" pivotButton="0" quotePrefix="0" xfId="2">
      <alignment horizontal="left" vertical="top" wrapText="1"/>
    </xf>
    <xf numFmtId="0" fontId="0" fillId="0" borderId="0" applyAlignment="1" applyProtection="1" pivotButton="0" quotePrefix="0" xfId="0">
      <alignment horizontal="left" vertical="top" wrapText="1"/>
      <protection locked="0" hidden="0"/>
    </xf>
    <xf numFmtId="49" fontId="0" fillId="0" borderId="0" applyAlignment="1" applyProtection="1" pivotButton="0" quotePrefix="0" xfId="0">
      <alignment horizontal="left" vertical="top" wrapText="1"/>
      <protection locked="0" hidden="0"/>
    </xf>
    <xf numFmtId="0" fontId="10" fillId="7" borderId="0" applyAlignment="1" pivotButton="0" quotePrefix="0" xfId="2">
      <alignment horizontal="left" vertical="top" wrapText="1"/>
    </xf>
    <xf numFmtId="0" fontId="0" fillId="7" borderId="0" applyAlignment="1" pivotButton="0" quotePrefix="0" xfId="0">
      <alignment horizontal="left" vertical="top" wrapText="1"/>
    </xf>
    <xf numFmtId="0" fontId="8" fillId="10" borderId="0" applyAlignment="1" pivotButton="0" quotePrefix="0" xfId="0">
      <alignment horizontal="left" vertical="top"/>
    </xf>
    <xf numFmtId="0" fontId="10" fillId="0" borderId="0" applyAlignment="1" pivotButton="0" quotePrefix="0" xfId="3">
      <alignment horizontal="left" vertical="top" wrapText="1"/>
    </xf>
    <xf numFmtId="0" fontId="10" fillId="0" borderId="0" applyAlignment="1" pivotButton="0" quotePrefix="0" xfId="0">
      <alignment horizontal="left" wrapText="1"/>
    </xf>
    <xf numFmtId="0" fontId="0" fillId="9" borderId="0" applyAlignment="1" pivotButton="0" quotePrefix="0" xfId="0">
      <alignment horizontal="left" vertical="top" wrapText="1"/>
    </xf>
    <xf numFmtId="0" fontId="0" fillId="14" borderId="0" applyAlignment="1" pivotButton="0" quotePrefix="0" xfId="0">
      <alignment horizontal="left" vertical="top" wrapText="1"/>
    </xf>
    <xf numFmtId="0" fontId="21" fillId="0" borderId="0" applyAlignment="1" pivotButton="0" quotePrefix="0" xfId="0">
      <alignment horizontal="left" vertical="top" wrapText="1"/>
    </xf>
    <xf numFmtId="0" fontId="21" fillId="0" borderId="0" applyAlignment="1" pivotButton="0" quotePrefix="0" xfId="0">
      <alignment horizontal="left" vertical="center" wrapText="1"/>
    </xf>
    <xf numFmtId="0" fontId="10" fillId="9" borderId="0" applyAlignment="1" pivotButton="0" quotePrefix="0" xfId="0">
      <alignment horizontal="left" vertical="top" wrapText="1"/>
    </xf>
    <xf numFmtId="0" fontId="10" fillId="7" borderId="0" applyAlignment="1" pivotButton="0" quotePrefix="0" xfId="0">
      <alignment horizontal="left" vertical="top" wrapText="1"/>
    </xf>
    <xf numFmtId="0" fontId="0" fillId="0" borderId="0" applyAlignment="1" pivotButton="0" quotePrefix="0" xfId="0">
      <alignment horizontal="left" wrapText="1" readingOrder="2"/>
    </xf>
    <xf numFmtId="0" fontId="0" fillId="0" borderId="0" applyAlignment="1" pivotButton="0" quotePrefix="0" xfId="0">
      <alignment horizontal="left" wrapText="1" readingOrder="1"/>
    </xf>
    <xf numFmtId="0" fontId="0" fillId="0" borderId="0" applyAlignment="1" pivotButton="0" quotePrefix="0" xfId="0">
      <alignment horizontal="left" vertical="center" wrapText="1"/>
    </xf>
    <xf numFmtId="0" fontId="10" fillId="7" borderId="53" applyAlignment="1" pivotButton="0" quotePrefix="0" xfId="3">
      <alignment horizontal="left" vertical="center" wrapText="1"/>
    </xf>
    <xf numFmtId="0" fontId="0" fillId="7" borderId="53" applyAlignment="1" pivotButton="0" quotePrefix="0" xfId="0">
      <alignment horizontal="left" vertical="top" wrapText="1"/>
    </xf>
    <xf numFmtId="0" fontId="10" fillId="7" borderId="0" applyAlignment="1" pivotButton="0" quotePrefix="0" xfId="3">
      <alignment horizontal="left" vertical="center" wrapText="1"/>
    </xf>
    <xf numFmtId="0" fontId="0" fillId="7" borderId="0" applyAlignment="1" pivotButton="0" quotePrefix="0" xfId="0">
      <alignment horizontal="left" vertical="top"/>
    </xf>
    <xf numFmtId="0" fontId="9" fillId="0" borderId="0" applyAlignment="1" pivotButton="0" quotePrefix="0" xfId="2">
      <alignment horizontal="left" vertical="center" wrapText="1"/>
    </xf>
    <xf numFmtId="0" fontId="8" fillId="7" borderId="0" applyAlignment="1" pivotButton="0" quotePrefix="0" xfId="0">
      <alignment horizontal="left" vertical="top" wrapText="1"/>
    </xf>
    <xf numFmtId="0" fontId="10" fillId="0" borderId="0" applyAlignment="1" applyProtection="1" pivotButton="0" quotePrefix="0" xfId="3">
      <alignment horizontal="left" vertical="center" wrapText="1"/>
      <protection locked="0" hidden="0"/>
    </xf>
    <xf numFmtId="0" fontId="0" fillId="7" borderId="0" applyAlignment="1" pivotButton="0" quotePrefix="0" xfId="2">
      <alignment horizontal="left" vertical="center" wrapText="1"/>
    </xf>
    <xf numFmtId="0" fontId="0" fillId="15" borderId="0" applyAlignment="1" pivotButton="0" quotePrefix="0" xfId="0">
      <alignment vertical="center"/>
    </xf>
    <xf numFmtId="0" fontId="10" fillId="15" borderId="0" applyAlignment="1" pivotButton="0" quotePrefix="0" xfId="0">
      <alignment vertical="center"/>
    </xf>
    <xf numFmtId="0" fontId="0" fillId="15" borderId="0" applyAlignment="1" pivotButton="0" quotePrefix="0" xfId="0">
      <alignment vertical="top"/>
    </xf>
    <xf numFmtId="0" fontId="0" fillId="7" borderId="0" applyAlignment="1" pivotButton="0" quotePrefix="0" xfId="0">
      <alignment vertical="center"/>
    </xf>
  </cellXfs>
  <cellStyles count="19">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 name="Comma" xfId="18" builtinId="3"/>
  </cellStyles>
  <dxfs count="6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row r="19">
          <cell r="D19">
            <v>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5"/>
  <sheetViews>
    <sheetView tabSelected="1" zoomScale="70" zoomScaleNormal="70" workbookViewId="0">
      <pane ySplit="1" topLeftCell="A10" activePane="bottomLeft" state="frozen"/>
      <selection activeCell="D1" sqref="D1"/>
      <selection pane="bottomLeft" activeCell="D10" sqref="D10"/>
    </sheetView>
  </sheetViews>
  <sheetFormatPr baseColWidth="8" defaultColWidth="8.77734375" defaultRowHeight="14.4"/>
  <cols>
    <col width="29.6640625" customWidth="1" style="28" min="1" max="1"/>
    <col width="26.6640625" customWidth="1" style="28" min="2" max="2"/>
    <col width="63.6640625" customWidth="1" style="29" min="3" max="3"/>
    <col width="51" customWidth="1" style="265" min="4" max="4"/>
    <col width="8.77734375" customWidth="1" style="29" min="5" max="5"/>
    <col width="18.88671875" customWidth="1" style="28" min="6" max="7"/>
    <col width="8.77734375" customWidth="1" style="28" min="8" max="8"/>
    <col width="8.88671875" customWidth="1" style="246" min="9" max="9"/>
    <col width="11.44140625" customWidth="1" style="246" min="10" max="10"/>
    <col width="25.5546875" customWidth="1" style="272" min="11" max="11"/>
    <col width="20.109375" customWidth="1" style="246" min="12" max="13"/>
    <col width="31" customWidth="1" style="272" min="14" max="14"/>
    <col width="30.109375" customWidth="1" style="246" min="15" max="15"/>
    <col width="21.33203125" customWidth="1" style="246" min="16" max="16"/>
    <col width="41.109375" customWidth="1" style="246" min="17" max="17"/>
    <col width="8.77734375" customWidth="1" style="28" min="18" max="20"/>
    <col width="5.44140625" customWidth="1" style="28" min="21" max="23"/>
    <col width="8.33203125" customWidth="1" style="131" min="24" max="24"/>
    <col width="11" customWidth="1" style="114" min="25" max="25"/>
    <col width="14.109375" customWidth="1" style="52" min="26" max="26"/>
    <col width="6.33203125" customWidth="1" style="52" min="27" max="27"/>
    <col width="8.77734375" customWidth="1" style="52" min="28" max="28"/>
    <col width="8.77734375" customWidth="1" style="28" min="29" max="29"/>
    <col width="8.77734375" customWidth="1" style="28" min="30" max="16384"/>
  </cols>
  <sheetData>
    <row r="1" ht="97.05" customFormat="1" customHeight="1" s="78" thickBot="1">
      <c r="A1" s="74" t="inlineStr">
        <is>
          <t>type</t>
        </is>
      </c>
      <c r="B1" s="74" t="inlineStr">
        <is>
          <t>name</t>
        </is>
      </c>
      <c r="C1" s="75" t="inlineStr">
        <is>
          <t>label::Arabic (ar)</t>
        </is>
      </c>
      <c r="D1" s="75" t="inlineStr">
        <is>
          <t>label::English (en)</t>
        </is>
      </c>
      <c r="E1" s="76" t="inlineStr">
        <is>
          <t>label::</t>
        </is>
      </c>
      <c r="F1" s="74" t="inlineStr">
        <is>
          <t>hint::English (en)</t>
        </is>
      </c>
      <c r="G1" s="74" t="inlineStr">
        <is>
          <t>hint::Arabic (ar)</t>
        </is>
      </c>
      <c r="H1" s="77" t="inlineStr">
        <is>
          <t>hint::</t>
        </is>
      </c>
      <c r="I1" s="74" t="inlineStr">
        <is>
          <t>required</t>
        </is>
      </c>
      <c r="J1" s="74" t="inlineStr">
        <is>
          <t>appearance</t>
        </is>
      </c>
      <c r="K1" s="75" t="inlineStr">
        <is>
          <t>constraint</t>
        </is>
      </c>
      <c r="L1" s="74" t="inlineStr">
        <is>
          <t>constraint_message::English (en)</t>
        </is>
      </c>
      <c r="M1" s="74" t="inlineStr">
        <is>
          <t>constraint_message::Arabic (ar)</t>
        </is>
      </c>
      <c r="N1" s="75" t="inlineStr">
        <is>
          <t>relevant</t>
        </is>
      </c>
      <c r="O1" s="74" t="inlineStr">
        <is>
          <t>choice_filter</t>
        </is>
      </c>
      <c r="P1" s="74" t="inlineStr">
        <is>
          <t>parameters</t>
        </is>
      </c>
      <c r="Q1" s="74" t="inlineStr">
        <is>
          <t>calculation</t>
        </is>
      </c>
      <c r="R1" s="78" t="inlineStr">
        <is>
          <t>trigger</t>
        </is>
      </c>
      <c r="S1" s="78" t="inlineStr">
        <is>
          <t>default</t>
        </is>
      </c>
      <c r="V1" s="137" t="inlineStr">
        <is>
          <t xml:space="preserve">Mandatory </t>
        </is>
      </c>
      <c r="X1" s="138" t="inlineStr">
        <is>
          <t>New question duration (sec)</t>
        </is>
      </c>
      <c r="Y1" s="139" t="inlineStr">
        <is>
          <t>Estimated percentage of repondents</t>
        </is>
      </c>
      <c r="Z1" s="140" t="inlineStr">
        <is>
          <t>Weighted time</t>
        </is>
      </c>
      <c r="AA1" s="21" t="inlineStr">
        <is>
          <t>Weighted time for core vars</t>
        </is>
      </c>
      <c r="AB1" s="79" t="n"/>
    </row>
    <row r="2" customFormat="1" s="294">
      <c r="A2" s="293" t="inlineStr">
        <is>
          <t>start</t>
        </is>
      </c>
      <c r="B2" s="293" t="inlineStr">
        <is>
          <t>start</t>
        </is>
      </c>
      <c r="C2" s="360" t="n"/>
      <c r="D2" s="360" t="n"/>
      <c r="E2" s="65" t="n"/>
      <c r="F2" s="293" t="n"/>
      <c r="G2" s="293" t="n"/>
      <c r="H2" s="65" t="n"/>
      <c r="I2" s="295" t="n"/>
      <c r="J2" s="295" t="n"/>
      <c r="K2" s="296" t="n"/>
      <c r="L2" s="295" t="n"/>
      <c r="M2" s="295" t="n"/>
      <c r="N2" s="296" t="n"/>
      <c r="O2" s="295" t="n"/>
      <c r="P2" s="295" t="n"/>
      <c r="Q2" s="295" t="n"/>
      <c r="X2" s="297" t="n"/>
      <c r="Y2" s="298" t="n"/>
      <c r="Z2" s="299">
        <f>IF(X2&lt;&gt;"",X2*Y2,"")</f>
        <v/>
      </c>
      <c r="AA2" s="299">
        <f>IF(AND(X2&lt;&gt;"",V2="yes"),X2*Y2,"")</f>
        <v/>
      </c>
      <c r="AB2" s="300" t="n"/>
    </row>
    <row r="3" customFormat="1" s="294">
      <c r="A3" s="293" t="inlineStr">
        <is>
          <t>end</t>
        </is>
      </c>
      <c r="B3" s="293" t="inlineStr">
        <is>
          <t>end</t>
        </is>
      </c>
      <c r="C3" s="360" t="n"/>
      <c r="D3" s="360" t="n"/>
      <c r="E3" s="65" t="n"/>
      <c r="F3" s="293" t="n"/>
      <c r="G3" s="293" t="n"/>
      <c r="H3" s="65" t="n"/>
      <c r="I3" s="295" t="n"/>
      <c r="J3" s="295" t="n"/>
      <c r="K3" s="296" t="n"/>
      <c r="L3" s="295" t="n"/>
      <c r="M3" s="295" t="n"/>
      <c r="N3" s="296" t="n"/>
      <c r="O3" s="295" t="n"/>
      <c r="P3" s="295" t="n"/>
      <c r="Q3" s="295" t="n"/>
      <c r="X3" s="297" t="n"/>
      <c r="Y3" s="298" t="n"/>
      <c r="Z3" s="299">
        <f>IF(X3&lt;&gt;"",X3*Y3,"")</f>
        <v/>
      </c>
      <c r="AA3" s="299">
        <f>IF(AND(X3&lt;&gt;"",V3="yes"),X3*Y3,"")</f>
        <v/>
      </c>
      <c r="AB3" s="300" t="n"/>
    </row>
    <row r="4" customFormat="1" s="294">
      <c r="A4" s="293" t="inlineStr">
        <is>
          <t>today</t>
        </is>
      </c>
      <c r="B4" s="293" t="inlineStr">
        <is>
          <t>today</t>
        </is>
      </c>
      <c r="C4" s="360" t="n"/>
      <c r="D4" s="360" t="n"/>
      <c r="E4" s="65" t="n"/>
      <c r="F4" s="293" t="n"/>
      <c r="G4" s="293" t="n"/>
      <c r="H4" s="65" t="n"/>
      <c r="I4" s="295" t="n"/>
      <c r="J4" s="295" t="n"/>
      <c r="K4" s="296" t="n"/>
      <c r="L4" s="295" t="n"/>
      <c r="M4" s="295" t="n"/>
      <c r="N4" s="296" t="n"/>
      <c r="O4" s="295" t="n"/>
      <c r="P4" s="295" t="n"/>
      <c r="Q4" s="295" t="n"/>
      <c r="X4" s="297" t="n"/>
      <c r="Y4" s="298" t="n"/>
      <c r="Z4" s="299">
        <f>IF(X4&lt;&gt;"",X4*Y4,"")</f>
        <v/>
      </c>
      <c r="AA4" s="299">
        <f>IF(AND(X4&lt;&gt;"",V4="yes"),X4*Y4,"")</f>
        <v/>
      </c>
      <c r="AB4" s="300" t="n"/>
    </row>
    <row r="5" customFormat="1" s="294">
      <c r="A5" s="293" t="inlineStr">
        <is>
          <t>deviceid</t>
        </is>
      </c>
      <c r="B5" s="293" t="inlineStr">
        <is>
          <t>deviceid</t>
        </is>
      </c>
      <c r="C5" s="360" t="n"/>
      <c r="D5" s="360" t="n"/>
      <c r="E5" s="65" t="n"/>
      <c r="F5" s="293" t="n"/>
      <c r="G5" s="293" t="n"/>
      <c r="H5" s="65" t="n"/>
      <c r="I5" s="295" t="n"/>
      <c r="J5" s="295" t="n"/>
      <c r="K5" s="296" t="n"/>
      <c r="L5" s="295" t="n"/>
      <c r="M5" s="295" t="n"/>
      <c r="N5" s="296" t="n"/>
      <c r="O5" s="295" t="n"/>
      <c r="P5" s="295" t="n"/>
      <c r="Q5" s="295" t="n"/>
      <c r="X5" s="297" t="n"/>
      <c r="Y5" s="298" t="n"/>
      <c r="Z5" s="299">
        <f>IF(X5&lt;&gt;"",X5*Y5,"")</f>
        <v/>
      </c>
      <c r="AA5" s="299">
        <f>IF(AND(X5&lt;&gt;"",V5="yes"),X5*Y5,"")</f>
        <v/>
      </c>
      <c r="AB5" s="300" t="n"/>
    </row>
    <row r="6" customFormat="1" s="294">
      <c r="A6" s="293" t="inlineStr">
        <is>
          <t>audit</t>
        </is>
      </c>
      <c r="B6" s="293" t="inlineStr">
        <is>
          <t>audit</t>
        </is>
      </c>
      <c r="C6" s="360" t="n"/>
      <c r="D6" s="360" t="n"/>
      <c r="E6" s="65" t="n"/>
      <c r="F6" s="293" t="n"/>
      <c r="G6" s="293" t="n"/>
      <c r="H6" s="65" t="n"/>
      <c r="I6" s="295" t="n"/>
      <c r="J6" s="295" t="n"/>
      <c r="K6" s="296" t="n"/>
      <c r="L6" s="295" t="n"/>
      <c r="M6" s="295" t="n"/>
      <c r="N6" s="296" t="n"/>
      <c r="O6" s="295" t="n"/>
      <c r="P6" s="295" t="n"/>
      <c r="Q6" s="295" t="n"/>
      <c r="X6" s="297" t="n"/>
      <c r="Y6" s="298" t="n"/>
      <c r="Z6" s="299" t="n"/>
      <c r="AA6" s="299" t="n"/>
      <c r="AB6" s="300" t="n"/>
    </row>
    <row r="7" ht="16.05" customHeight="1">
      <c r="A7" t="inlineStr">
        <is>
          <t>dateTime</t>
        </is>
      </c>
      <c r="B7" s="51" t="inlineStr">
        <is>
          <t>Interview_start_Time</t>
        </is>
      </c>
      <c r="C7" s="361" t="inlineStr">
        <is>
          <t>وقت بداية المقابلة</t>
        </is>
      </c>
      <c r="D7" s="362" t="inlineStr">
        <is>
          <t>Interview Start Time</t>
        </is>
      </c>
      <c r="E7" s="47" t="n"/>
      <c r="F7" s="51" t="n"/>
      <c r="G7" s="51" t="n"/>
      <c r="H7" s="48" t="n"/>
      <c r="I7" s="243" t="inlineStr">
        <is>
          <t>true</t>
        </is>
      </c>
      <c r="J7" s="243" t="n"/>
      <c r="K7" s="26" t="n"/>
      <c r="L7" s="243" t="n"/>
      <c r="M7" s="243" t="n"/>
      <c r="N7" s="26" t="n"/>
      <c r="O7" s="243" t="n"/>
      <c r="P7" s="243" t="n"/>
      <c r="Q7" s="243" t="n"/>
      <c r="S7" s="243" t="n"/>
      <c r="V7" s="28" t="inlineStr">
        <is>
          <t>no</t>
        </is>
      </c>
      <c r="X7" s="132" t="n"/>
      <c r="Z7" s="115" t="n"/>
    </row>
    <row r="8" ht="16.05" customFormat="1" customHeight="1" s="52">
      <c r="A8" s="52" t="inlineStr">
        <is>
          <t>select_one enumteam</t>
        </is>
      </c>
      <c r="B8" s="52" t="inlineStr">
        <is>
          <t>enum_team</t>
        </is>
      </c>
      <c r="C8" s="363" t="inlineStr">
        <is>
          <t xml:space="preserve"> فريق جمع البيانات (حسب المنطقة)</t>
        </is>
      </c>
      <c r="D8" s="363" t="inlineStr">
        <is>
          <t>Enumerator team number or code (according to the district)</t>
        </is>
      </c>
      <c r="E8" s="65" t="n"/>
      <c r="H8" s="67" t="n"/>
      <c r="I8" s="86" t="inlineStr">
        <is>
          <t>true</t>
        </is>
      </c>
      <c r="J8" s="86" t="n"/>
      <c r="K8" s="30" t="n"/>
      <c r="L8" s="86" t="n"/>
      <c r="M8" s="86" t="n"/>
      <c r="N8" s="266" t="n"/>
      <c r="O8" s="86" t="n"/>
      <c r="P8" s="86" t="n"/>
      <c r="Q8" s="86" t="n"/>
      <c r="X8" s="132" t="n"/>
      <c r="Y8" s="114" t="n"/>
      <c r="Z8" s="115" t="n"/>
      <c r="AA8" s="115" t="n"/>
    </row>
    <row r="9" customFormat="1" s="52">
      <c r="A9" t="inlineStr">
        <is>
          <t>dateTime</t>
        </is>
      </c>
      <c r="B9" s="328" t="inlineStr">
        <is>
          <t>First_update_time</t>
        </is>
      </c>
      <c r="C9" s="363" t="n"/>
      <c r="D9" s="363" t="n"/>
      <c r="E9" s="65" t="n"/>
      <c r="H9" s="67" t="n"/>
      <c r="I9" s="86" t="n"/>
      <c r="J9" s="86" t="n"/>
      <c r="K9" s="30" t="n"/>
      <c r="L9" s="86" t="n"/>
      <c r="M9" s="86" t="n"/>
      <c r="N9" s="266" t="n"/>
      <c r="O9" s="86" t="n"/>
      <c r="P9" s="86" t="n"/>
      <c r="Q9" s="328" t="inlineStr">
        <is>
          <t>if(${First_update_time}='', now(), ${First_update_time})</t>
        </is>
      </c>
      <c r="R9" s="328" t="inlineStr">
        <is>
          <t>${enum_team}</t>
        </is>
      </c>
      <c r="X9" s="132" t="n"/>
      <c r="Y9" s="114" t="n"/>
      <c r="Z9" s="115" t="n"/>
      <c r="AA9" s="115" t="n"/>
    </row>
    <row r="10" ht="16.05" customFormat="1" customHeight="1" s="52">
      <c r="A10" s="55" t="inlineStr">
        <is>
          <t>select_one enumerator</t>
        </is>
      </c>
      <c r="B10" s="55" t="inlineStr">
        <is>
          <t>enumerator</t>
        </is>
      </c>
      <c r="C10" s="364" t="inlineStr">
        <is>
          <t>رمز جامع البيانات</t>
        </is>
      </c>
      <c r="D10" s="364" t="inlineStr">
        <is>
          <t>Code of enumerator</t>
        </is>
      </c>
      <c r="E10" s="65" t="n"/>
      <c r="F10" s="55" t="n"/>
      <c r="G10" s="55" t="n"/>
      <c r="H10" s="67" t="n"/>
      <c r="I10" s="81" t="inlineStr">
        <is>
          <t>true</t>
        </is>
      </c>
      <c r="J10" s="81" t="n"/>
      <c r="K10" s="267" t="n"/>
      <c r="L10" s="81" t="n"/>
      <c r="M10" s="81" t="n"/>
      <c r="N10" s="267" t="n"/>
      <c r="O10" s="86" t="inlineStr">
        <is>
          <t>my_filter_admin=${enum_team}</t>
        </is>
      </c>
      <c r="P10" s="81" t="n"/>
      <c r="Q10" s="81" t="n"/>
      <c r="V10" s="52" t="inlineStr">
        <is>
          <t>yes</t>
        </is>
      </c>
      <c r="X10" s="132" t="n"/>
      <c r="Y10" s="114" t="n"/>
      <c r="Z10" s="115">
        <f>IF(X10&lt;&gt;"",X10*Y10,"")</f>
        <v/>
      </c>
      <c r="AA10" s="115">
        <f>IF(AND(X10&lt;&gt;"",V10="yes"),X10*Y10,"")</f>
        <v/>
      </c>
    </row>
    <row r="11" ht="31.95" customHeight="1">
      <c r="A11" s="51" t="inlineStr">
        <is>
          <t>text</t>
        </is>
      </c>
      <c r="B11" s="51" t="inlineStr">
        <is>
          <t>enumerator_</t>
        </is>
      </c>
      <c r="C11" s="362" t="inlineStr">
        <is>
          <t>اسم جامع البيانات</t>
        </is>
      </c>
      <c r="D11" s="362" t="inlineStr">
        <is>
          <t>Name of enumerator</t>
        </is>
      </c>
      <c r="E11" s="59" t="n"/>
      <c r="F11" s="51" t="n"/>
      <c r="G11" s="51" t="n"/>
      <c r="H11" s="60" t="n"/>
      <c r="I11" s="81" t="inlineStr">
        <is>
          <t>true</t>
        </is>
      </c>
      <c r="J11" s="243" t="n"/>
      <c r="K11" s="325" t="inlineStr">
        <is>
          <t>string-length(.)&gt;=3</t>
        </is>
      </c>
      <c r="L11" s="306" t="inlineStr">
        <is>
          <t>عفوا، الرجاء تقديم نص و شرح اكثر وضوحا.</t>
        </is>
      </c>
      <c r="M11" s="306" t="inlineStr">
        <is>
          <t>Sorry, Please provide a much more meaningful text</t>
        </is>
      </c>
      <c r="N11" s="26" t="n"/>
      <c r="O11" s="243" t="n"/>
      <c r="P11" s="243" t="n"/>
      <c r="Q11" s="243" t="n"/>
      <c r="V11" s="28" t="inlineStr">
        <is>
          <t>yes</t>
        </is>
      </c>
      <c r="X11" s="132" t="n"/>
      <c r="Z11" s="115">
        <f>IF(X11&lt;&gt;"",X11*Y11,"")</f>
        <v/>
      </c>
      <c r="AA11" s="115">
        <f>IF(AND(X11&lt;&gt;"",V11="yes"),X11*Y11,"")</f>
        <v/>
      </c>
    </row>
    <row r="12" ht="105.75" customHeight="1">
      <c r="A12" s="51" t="inlineStr">
        <is>
          <t>note</t>
        </is>
      </c>
      <c r="B12" s="51" t="inlineStr">
        <is>
          <t>introduction</t>
        </is>
      </c>
      <c r="C12" s="301" t="inlineStr">
        <is>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is>
      </c>
      <c r="D12" s="30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E12" s="59" t="n"/>
      <c r="F12" s="51" t="inlineStr">
        <is>
          <t>[INSTRUCTIONS: ADDRESS QUESTIONS FROM RESPONDENT, IF ANY.]</t>
        </is>
      </c>
      <c r="G12" s="51" t="inlineStr">
        <is>
          <t>[تعليمات: أجب عن أسئلة المُجيب ، إن وجدت]</t>
        </is>
      </c>
      <c r="H12" s="60" t="n"/>
      <c r="I12" s="243" t="inlineStr">
        <is>
          <t>false</t>
        </is>
      </c>
      <c r="J12" s="243" t="n"/>
      <c r="K12" s="26" t="n"/>
      <c r="L12" s="243" t="n"/>
      <c r="M12" s="243" t="n"/>
      <c r="N12" s="26" t="n"/>
      <c r="O12" s="243" t="n"/>
      <c r="P12" s="243" t="n"/>
      <c r="Q12" s="243" t="n"/>
      <c r="V12" s="28" t="inlineStr">
        <is>
          <t>no</t>
        </is>
      </c>
      <c r="X12" s="132" t="n">
        <v>50.82254028320312</v>
      </c>
      <c r="Z12" s="115">
        <f>IF(X12&lt;&gt;"",X12*Y12,"")</f>
        <v/>
      </c>
      <c r="AA12" s="115">
        <f>IF(AND(X12&lt;&gt;"",V12="yes"),X12*Y12,"")</f>
        <v/>
      </c>
    </row>
    <row r="13" ht="16.05" customHeight="1">
      <c r="A13" s="51" t="inlineStr">
        <is>
          <t>select_one yesno</t>
        </is>
      </c>
      <c r="B13" s="51" t="inlineStr">
        <is>
          <t>resp_agree</t>
        </is>
      </c>
      <c r="C13" s="362" t="inlineStr">
        <is>
          <t>هل لديك رغبة في بالمشاركة في هذه الدراسة؟</t>
        </is>
      </c>
      <c r="D13" s="362" t="inlineStr">
        <is>
          <t>Are you interested in participating in this survey?</t>
        </is>
      </c>
      <c r="E13" s="59" t="n"/>
      <c r="F13" s="51" t="n"/>
      <c r="G13" s="51" t="n"/>
      <c r="H13" s="60" t="n"/>
      <c r="I13" s="243" t="inlineStr">
        <is>
          <t>true</t>
        </is>
      </c>
      <c r="J13" s="243" t="n"/>
      <c r="K13" s="26" t="n"/>
      <c r="L13" s="243" t="n"/>
      <c r="M13" s="243" t="n"/>
      <c r="N13" s="26" t="n"/>
      <c r="O13" s="243" t="n"/>
      <c r="P13" s="243" t="n"/>
      <c r="Q13" s="243" t="n"/>
      <c r="V13" s="28" t="inlineStr">
        <is>
          <t>yes</t>
        </is>
      </c>
      <c r="X13" s="132" t="n">
        <v>3.5</v>
      </c>
      <c r="Y13" s="114">
        <f>1</f>
        <v/>
      </c>
      <c r="Z13" s="115">
        <f>IF(X13&lt;&gt;"",X13*Y13,"")</f>
        <v/>
      </c>
      <c r="AA13" s="115">
        <f>IF(AND(X13&lt;&gt;"",V13="yes"),X13*Y13,"")</f>
        <v/>
      </c>
    </row>
    <row r="14" ht="16.05" customFormat="1" customHeight="1" s="52">
      <c r="A14" s="55" t="inlineStr">
        <is>
          <t>note</t>
        </is>
      </c>
      <c r="B14" s="55" t="inlineStr">
        <is>
          <t>Refusal</t>
        </is>
      </c>
      <c r="C14" s="364" t="inlineStr">
        <is>
          <t>شكراً جزيلاً على وقتك، سنقوم بحذف إسمك من دراسة اليوم.</t>
        </is>
      </c>
      <c r="D14" s="364" t="inlineStr">
        <is>
          <t>Thank you for your time, you will be removed from today's survey.</t>
        </is>
      </c>
      <c r="E14" s="65" t="n"/>
      <c r="F14" s="55" t="n"/>
      <c r="G14" s="55" t="n"/>
      <c r="H14" s="67" t="n"/>
      <c r="I14" s="81" t="inlineStr">
        <is>
          <t>false</t>
        </is>
      </c>
      <c r="J14" s="81" t="n"/>
      <c r="K14" s="267" t="n"/>
      <c r="L14" s="81" t="n"/>
      <c r="M14" s="81" t="n"/>
      <c r="N14" s="267" t="inlineStr">
        <is>
          <t>${resp_agree} = '2'</t>
        </is>
      </c>
      <c r="O14" s="81" t="n"/>
      <c r="P14" s="81" t="n"/>
      <c r="Q14" s="81" t="n"/>
      <c r="V14" s="52" t="inlineStr">
        <is>
          <t>no</t>
        </is>
      </c>
      <c r="X14" s="132" t="n">
        <v>0</v>
      </c>
      <c r="Y14" s="114" t="n">
        <v>1</v>
      </c>
      <c r="Z14" s="115">
        <f>IF(X14&lt;&gt;"",X14*Y14,"")</f>
        <v/>
      </c>
      <c r="AA14" s="115">
        <f>IF(AND(X14&lt;&gt;"",V14="yes"),X14*Y14,"")</f>
        <v/>
      </c>
    </row>
    <row r="15" ht="16.05" customFormat="1" customHeight="1" s="49">
      <c r="A15" s="282" t="inlineStr">
        <is>
          <t>begin_group</t>
        </is>
      </c>
      <c r="B15" s="282" t="inlineStr">
        <is>
          <t>eligibility</t>
        </is>
      </c>
      <c r="C15" s="365" t="inlineStr">
        <is>
          <t>1. معايير الأهلية</t>
        </is>
      </c>
      <c r="D15" s="365" t="inlineStr">
        <is>
          <t>1. ELIGIBILITY CRITERIA</t>
        </is>
      </c>
      <c r="E15" s="47" t="n"/>
      <c r="F15" s="46" t="n"/>
      <c r="G15" s="46" t="n"/>
      <c r="H15" s="48" t="n"/>
      <c r="I15" s="243" t="inlineStr">
        <is>
          <t>false</t>
        </is>
      </c>
      <c r="J15" s="243" t="n"/>
      <c r="K15" s="26" t="n"/>
      <c r="L15" s="243" t="n"/>
      <c r="M15" s="243" t="n"/>
      <c r="N15" s="26" t="inlineStr">
        <is>
          <t>${resp_agree} = '1'</t>
        </is>
      </c>
      <c r="O15" s="82" t="n"/>
      <c r="P15" s="82" t="n"/>
      <c r="Q15" s="82" t="n"/>
      <c r="V15" s="28" t="inlineStr">
        <is>
          <t>yes</t>
        </is>
      </c>
      <c r="X15" s="132" t="n"/>
      <c r="Y15" s="114" t="n"/>
      <c r="Z15" s="115">
        <f>IF(X15&lt;&gt;"",X15*Y15,"")</f>
        <v/>
      </c>
      <c r="AA15" s="115">
        <f>IF(AND(X15&lt;&gt;"",V15="yes"),X15*Y15,"")</f>
        <v/>
      </c>
      <c r="AB15" s="50" t="n"/>
    </row>
    <row r="16" ht="31.95" customFormat="1" customHeight="1" s="53">
      <c r="A16" s="55" t="inlineStr">
        <is>
          <t>text</t>
        </is>
      </c>
      <c r="B16" s="55" t="inlineStr">
        <is>
          <t>resp_firstname</t>
        </is>
      </c>
      <c r="C16" s="362" t="inlineStr">
        <is>
          <t>1.1 ما اسمك؟</t>
        </is>
      </c>
      <c r="D16" s="362" t="inlineStr">
        <is>
          <t>1.1 What is your first name?</t>
        </is>
      </c>
      <c r="E16" s="54" t="n"/>
      <c r="F16" s="52" t="inlineStr">
        <is>
          <t>[INSTRUCTIONS: RECORD THE RESPONDENT'S FIRST NAME. ENTER 999 FOR REFUSED]</t>
        </is>
      </c>
      <c r="G16" s="52" t="inlineStr">
        <is>
          <t>[تعليمات: سجل اسم المجيب. أدخل 999 في حالة الرفض]</t>
        </is>
      </c>
      <c r="H16" s="58" t="n"/>
      <c r="I16" s="81" t="inlineStr">
        <is>
          <t>true</t>
        </is>
      </c>
      <c r="J16" s="81" t="n"/>
      <c r="K16" s="325" t="inlineStr">
        <is>
          <t>string-length(.)&gt;=3</t>
        </is>
      </c>
      <c r="L16" s="306" t="inlineStr">
        <is>
          <t>عفوا، الرجاء تقديم نص و شرح اكثر وضوحا.</t>
        </is>
      </c>
      <c r="M16" s="306" t="inlineStr">
        <is>
          <t>Sorry, Please provide a much more meaningful text</t>
        </is>
      </c>
      <c r="N16" s="267" t="n"/>
      <c r="O16" s="81" t="n"/>
      <c r="P16" s="81" t="n"/>
      <c r="Q16" s="81" t="n"/>
      <c r="V16" s="52" t="inlineStr">
        <is>
          <t>yes</t>
        </is>
      </c>
      <c r="X16" s="132" t="n">
        <v>10</v>
      </c>
      <c r="Y16" s="114">
        <f>1</f>
        <v/>
      </c>
      <c r="Z16" s="115">
        <f>IF(X16&lt;&gt;"",X16*Y16,"")</f>
        <v/>
      </c>
      <c r="AA16" s="115">
        <f>IF(AND(X16&lt;&gt;"",V16="yes"),X16*Y16,"")</f>
        <v/>
      </c>
      <c r="AB16" s="52" t="n"/>
    </row>
    <row r="17" ht="31.95" customFormat="1" customHeight="1" s="53">
      <c r="A17" s="55" t="inlineStr">
        <is>
          <t>text</t>
        </is>
      </c>
      <c r="B17" s="55" t="inlineStr">
        <is>
          <t>resp_lastname</t>
        </is>
      </c>
      <c r="C17" s="362" t="inlineStr">
        <is>
          <t>1.2 ما هو لقبك\كنيتك؟</t>
        </is>
      </c>
      <c r="D17" s="362" t="inlineStr">
        <is>
          <t>1.2 What is your last name?</t>
        </is>
      </c>
      <c r="E17" s="54" t="n"/>
      <c r="F17" s="52" t="inlineStr">
        <is>
          <t>[INSTRUCTIONS: RECORD THE RESPONDENT'S LAST NAME. ENTER 999 FOR REFUSED]</t>
        </is>
      </c>
      <c r="G17" s="52" t="inlineStr">
        <is>
          <t>[تعليمات: سجل اسم عائلة المجيب. أدخل 999 في حالة الرفض]</t>
        </is>
      </c>
      <c r="H17" s="58" t="n"/>
      <c r="I17" s="81" t="inlineStr">
        <is>
          <t>true</t>
        </is>
      </c>
      <c r="J17" s="81" t="n"/>
      <c r="K17" s="325" t="inlineStr">
        <is>
          <t>string-length(.)&gt;=3</t>
        </is>
      </c>
      <c r="L17" s="306" t="inlineStr">
        <is>
          <t>عفوا، الرجاء تقديم نص و شرح اكثر وضوحا.</t>
        </is>
      </c>
      <c r="M17" s="306" t="inlineStr">
        <is>
          <t>Sorry, Please provide a much more meaningful text</t>
        </is>
      </c>
      <c r="N17" s="267" t="n"/>
      <c r="O17" s="81" t="n"/>
      <c r="P17" s="81" t="n"/>
      <c r="Q17" s="81" t="n"/>
      <c r="V17" s="52" t="inlineStr">
        <is>
          <t>yes</t>
        </is>
      </c>
      <c r="X17" s="132" t="n">
        <v>10</v>
      </c>
      <c r="Y17" s="114">
        <f>1</f>
        <v/>
      </c>
      <c r="Z17" s="115">
        <f>IF(X17&lt;&gt;"",X17*Y17,"")</f>
        <v/>
      </c>
      <c r="AA17" s="115">
        <f>IF(AND(X17&lt;&gt;"",V17="yes"),X17*Y17,"")</f>
        <v/>
      </c>
      <c r="AB17" s="52" t="n"/>
    </row>
    <row r="18" ht="31.95" customHeight="1">
      <c r="A18" s="51" t="inlineStr">
        <is>
          <t>integer</t>
        </is>
      </c>
      <c r="B18" s="51" t="inlineStr">
        <is>
          <t>resp_age</t>
        </is>
      </c>
      <c r="C18" s="362" t="inlineStr">
        <is>
          <t>1.3 كم عمرك؟</t>
        </is>
      </c>
      <c r="D18" s="362" t="inlineStr">
        <is>
          <t>1.3 How old are you?</t>
        </is>
      </c>
      <c r="E18" s="65" t="n"/>
      <c r="F18" s="55" t="inlineStr">
        <is>
          <t>[INSTRUCTIONS: RECORD AGE IN NUMBER OF YEARS. ROUND UP TO NEAREST WHOLE NUMBER. IF THE RESPONDENT GIVES BIRTH YEAR, REPEAT THE QUESTION. ENTER 888 FOR DON'T KNOW.]</t>
        </is>
      </c>
      <c r="G18" s="51" t="inlineStr">
        <is>
          <t>[تعليمات: سجل العمر في عدد السنوات. قم بالتقريب لأقرب رقم كامل. إذا أعطى المجيب سنة الميلاد ، فكرر السؤال. أدخل 888 إذا كان الجواب لا أعرف]</t>
        </is>
      </c>
      <c r="H18" s="60" t="n"/>
      <c r="I18" s="243" t="inlineStr">
        <is>
          <t>true</t>
        </is>
      </c>
      <c r="J18" s="243" t="n"/>
      <c r="K18" s="26" t="inlineStr">
        <is>
          <t>(. &gt;= 16 and . &lt;= 100) or . = 888</t>
        </is>
      </c>
      <c r="L18" s="243" t="n"/>
      <c r="M18" s="243" t="n"/>
      <c r="N18" s="26" t="n"/>
      <c r="O18" s="243" t="n"/>
      <c r="P18" s="243" t="n"/>
      <c r="Q18" s="243" t="n"/>
      <c r="V18" s="28" t="inlineStr">
        <is>
          <t>yes</t>
        </is>
      </c>
      <c r="X18" s="132" t="n">
        <v>13.75307273864746</v>
      </c>
      <c r="Y18" s="114">
        <f>1</f>
        <v/>
      </c>
      <c r="Z18" s="115">
        <f>IF(X18&lt;&gt;"",X18*Y18,"")</f>
        <v/>
      </c>
      <c r="AA18" s="115">
        <f>IF(AND(X18&lt;&gt;"",V18="yes"),X18*Y18,"")</f>
        <v/>
      </c>
    </row>
    <row r="19" ht="16.05" customFormat="1" customHeight="1" s="52">
      <c r="A19" s="52" t="inlineStr">
        <is>
          <t>select_one gender</t>
        </is>
      </c>
      <c r="B19" s="52" t="inlineStr">
        <is>
          <t>resp_gender</t>
        </is>
      </c>
      <c r="C19" s="362" t="inlineStr">
        <is>
          <t>1.4 ما هو جنس المجيب؟</t>
        </is>
      </c>
      <c r="D19" s="362" t="inlineStr">
        <is>
          <t>1.4 What is the gender of the respondent?</t>
        </is>
      </c>
      <c r="E19" s="65" t="n"/>
      <c r="F19" s="52" t="inlineStr">
        <is>
          <t>[INSTRUCTIONS: DO NOT ASK THIS QUESTION OUT LOUD. SELECT THE GENDER OF THE RESPONDENT.]</t>
        </is>
      </c>
      <c r="G19" s="52" t="inlineStr">
        <is>
          <t>[تعليمات: لا تطرح هذا السؤال. حدد جنس المجيب]</t>
        </is>
      </c>
      <c r="H19" s="67" t="n"/>
      <c r="I19" s="86" t="inlineStr">
        <is>
          <t>true</t>
        </is>
      </c>
      <c r="J19" s="86" t="n"/>
      <c r="K19" s="266" t="n"/>
      <c r="L19" s="86" t="n"/>
      <c r="M19" s="86" t="n"/>
      <c r="N19" s="266" t="n"/>
      <c r="O19" s="86" t="n"/>
      <c r="P19" s="86" t="n"/>
      <c r="Q19" s="86" t="n"/>
      <c r="V19" s="52" t="inlineStr">
        <is>
          <t>no</t>
        </is>
      </c>
      <c r="X19" s="132" t="n">
        <v>2.117356061935425</v>
      </c>
      <c r="Y19" s="114">
        <f>1</f>
        <v/>
      </c>
      <c r="Z19" s="115">
        <f>IF(X19&lt;&gt;"",X19*Y19,"")</f>
        <v/>
      </c>
      <c r="AA19" s="115">
        <f>IF(AND(X19&lt;&gt;"",V19="yes"),X19*Y19,"")</f>
        <v/>
      </c>
    </row>
    <row r="20" ht="96" customFormat="1" customHeight="1" s="63">
      <c r="A20" s="55" t="inlineStr">
        <is>
          <t>text</t>
        </is>
      </c>
      <c r="B20" s="55" t="inlineStr">
        <is>
          <t>phone_number_personal</t>
        </is>
      </c>
      <c r="C20" s="362" t="inlineStr">
        <is>
          <t>1.5 ما هو رقم هاتفك؟</t>
        </is>
      </c>
      <c r="D20" s="362" t="inlineStr">
        <is>
          <t>1.5 What is your phone number?</t>
        </is>
      </c>
      <c r="E20" s="65" t="n"/>
      <c r="F20" s="52" t="n"/>
      <c r="G20" s="52" t="n"/>
      <c r="H20" s="67" t="n"/>
      <c r="I20" s="81" t="inlineStr">
        <is>
          <t>false</t>
        </is>
      </c>
      <c r="J20" s="81" t="inlineStr">
        <is>
          <t>numbers</t>
        </is>
      </c>
      <c r="K20" s="221" t="inlineStr">
        <is>
          <t>regex(.,'^(\+?( |-|\.)?\d{1,2}( |-|\.)?)?(\(?\d{3}\)?|\d{3})( |-|\.)?(\d{2,3}( |-|\.)?\d{4,6})$')</t>
        </is>
      </c>
      <c r="L20" t="inlineStr">
        <is>
          <t>Please enter a valid phone number</t>
        </is>
      </c>
      <c r="M20" t="inlineStr">
        <is>
          <t>الرجاء ادخال رقم هاتف صحيح</t>
        </is>
      </c>
      <c r="N20" s="268" t="n"/>
      <c r="O20" s="106" t="n"/>
      <c r="P20" s="106" t="n"/>
      <c r="Q20" s="83" t="n"/>
      <c r="V20" s="108" t="inlineStr">
        <is>
          <t>yes - panel</t>
        </is>
      </c>
      <c r="X20" s="132" t="n">
        <v>10</v>
      </c>
      <c r="Y20" s="114">
        <f>1</f>
        <v/>
      </c>
      <c r="Z20" s="115">
        <f>IF(X20&lt;&gt;"",X20*Y20,"")</f>
        <v/>
      </c>
      <c r="AA20" s="115">
        <f>IF(AND(X20&lt;&gt;"",V20="yes"),X20*Y20,"")</f>
        <v/>
      </c>
    </row>
    <row r="21" ht="16.05" customFormat="1" customHeight="1" s="63">
      <c r="A21" s="55" t="inlineStr">
        <is>
          <t>select_one contact_info</t>
        </is>
      </c>
      <c r="B21" s="55" t="inlineStr">
        <is>
          <t>contact_2</t>
        </is>
      </c>
      <c r="C21" s="362" t="inlineStr">
        <is>
          <t>1.6 هل يمكن أن تعطيني رقم هاتف إضافي يخصك ، أو يخص قريبًا أو صديقًا يمكن الوصول إليك من خلاله؟</t>
        </is>
      </c>
      <c r="D21" s="362" t="inlineStr">
        <is>
          <t>1.6 Can you give me an additional phone number belonging to you, a relative or a friend at which you can be reached?</t>
        </is>
      </c>
      <c r="E21" s="65" t="n"/>
      <c r="F21" s="52" t="n"/>
      <c r="G21" s="52" t="n"/>
      <c r="H21" s="67" t="n"/>
      <c r="I21" s="81" t="inlineStr">
        <is>
          <t>false</t>
        </is>
      </c>
      <c r="J21" s="81" t="n"/>
      <c r="K21" s="326" t="n"/>
      <c r="L21" s="81" t="n"/>
      <c r="M21" s="81" t="n"/>
      <c r="N21" s="267" t="n"/>
      <c r="O21" s="106" t="n"/>
      <c r="P21" s="106" t="n"/>
      <c r="Q21" s="83" t="n"/>
      <c r="V21" s="108" t="inlineStr">
        <is>
          <t>yes - panel</t>
        </is>
      </c>
      <c r="X21" s="132" t="n">
        <v>10</v>
      </c>
      <c r="Y21" s="114">
        <f>1</f>
        <v/>
      </c>
      <c r="Z21" s="115">
        <f>IF(X21&lt;&gt;"",X21*Y21,"")</f>
        <v/>
      </c>
      <c r="AA21" s="115">
        <f>IF(AND(X21&lt;&gt;"",V21="yes"),X21*Y21,"")</f>
        <v/>
      </c>
    </row>
    <row r="22" ht="96" customFormat="1" customHeight="1" s="63">
      <c r="A22" s="55" t="inlineStr">
        <is>
          <t>text</t>
        </is>
      </c>
      <c r="B22" s="55" t="inlineStr">
        <is>
          <t>phone_number_2</t>
        </is>
      </c>
      <c r="C22" s="362" t="inlineStr">
        <is>
          <t>1.7 ما هو رقم الهاتف الإضافي؟</t>
        </is>
      </c>
      <c r="D22" s="362" t="inlineStr">
        <is>
          <t>1.7 What is the additional phone number?</t>
        </is>
      </c>
      <c r="E22" s="65" t="n"/>
      <c r="F22" s="52" t="n"/>
      <c r="G22" s="52" t="n"/>
      <c r="H22" s="67" t="n"/>
      <c r="I22" s="81" t="inlineStr">
        <is>
          <t>false</t>
        </is>
      </c>
      <c r="J22" s="81" t="inlineStr">
        <is>
          <t>numbers</t>
        </is>
      </c>
      <c r="K22" s="221" t="inlineStr">
        <is>
          <t>regex(.,'^(\+?( |-|\.)?\d{1,2}( |-|\.)?)?(\(?\d{3}\)?|\d{3})( |-|\.)?(\d{2,3}( |-|\.)?\d{4,6})$')</t>
        </is>
      </c>
      <c r="L22" t="inlineStr">
        <is>
          <t>Please enter a valid phone number</t>
        </is>
      </c>
      <c r="M22" t="inlineStr">
        <is>
          <t>الرجاء ادخال رقم هاتف صحيح</t>
        </is>
      </c>
      <c r="N22" s="267" t="inlineStr">
        <is>
          <t xml:space="preserve">${contact_2} = '1' or ${contact_2} = '2' or ${contact_2} = '3' </t>
        </is>
      </c>
      <c r="O22" s="106" t="n"/>
      <c r="P22" s="106" t="n"/>
      <c r="Q22" s="83" t="n"/>
      <c r="V22" s="108" t="inlineStr">
        <is>
          <t>yes - panel</t>
        </is>
      </c>
      <c r="X22" s="132" t="n">
        <v>10</v>
      </c>
      <c r="Y22" s="114">
        <f>1</f>
        <v/>
      </c>
      <c r="Z22" s="115">
        <f>IF(X22&lt;&gt;"",X22*Y22,"")</f>
        <v/>
      </c>
      <c r="AA22" s="115">
        <f>IF(AND(X22&lt;&gt;"",V22="yes"),X22*Y22,"")</f>
        <v/>
      </c>
    </row>
    <row r="23" ht="31.95" customFormat="1" customHeight="1" s="63">
      <c r="A23" s="55" t="inlineStr">
        <is>
          <t>text</t>
        </is>
      </c>
      <c r="B23" s="55" t="inlineStr">
        <is>
          <t>contact_2_name</t>
        </is>
      </c>
      <c r="C23" s="362" t="inlineStr">
        <is>
          <t>1.8 ما هو اسم صاحب رقم الهاتف الإضافي الذي قمت بمشاركته؟</t>
        </is>
      </c>
      <c r="D23" s="362" t="inlineStr">
        <is>
          <t>1.8 What is the name of the contact?</t>
        </is>
      </c>
      <c r="E23" s="65" t="n"/>
      <c r="F23" s="52" t="n"/>
      <c r="G23" s="52" t="n"/>
      <c r="H23" s="67" t="n"/>
      <c r="I23" s="81" t="inlineStr">
        <is>
          <t>false</t>
        </is>
      </c>
      <c r="J23" s="81" t="n"/>
      <c r="K23" s="325" t="inlineStr">
        <is>
          <t>string-length(.)&gt;=3</t>
        </is>
      </c>
      <c r="L23" s="306" t="inlineStr">
        <is>
          <t>عفوا، الرجاء تقديم نص و شرح اكثر وضوحا.</t>
        </is>
      </c>
      <c r="M23" s="306" t="inlineStr">
        <is>
          <t>Sorry, Please provide a much more meaningful text</t>
        </is>
      </c>
      <c r="N23" s="267" t="inlineStr">
        <is>
          <t xml:space="preserve">${contact_2} = '2' or ${contact_2} = '3' </t>
        </is>
      </c>
      <c r="O23" s="106" t="n"/>
      <c r="P23" s="106" t="n"/>
      <c r="Q23" s="83" t="n"/>
      <c r="V23" s="108" t="inlineStr">
        <is>
          <t>yes - panel</t>
        </is>
      </c>
      <c r="X23" s="132" t="n">
        <v>10</v>
      </c>
      <c r="Y23" s="114">
        <f>1</f>
        <v/>
      </c>
      <c r="Z23" s="115">
        <f>IF(X23&lt;&gt;"",X23*Y23,"")</f>
        <v/>
      </c>
      <c r="AA23" s="115">
        <f>IF(AND(X23&lt;&gt;"",V23="yes"),X23*Y23,"")</f>
        <v/>
      </c>
    </row>
    <row r="24" ht="16.05" customHeight="1">
      <c r="A24" s="51" t="inlineStr">
        <is>
          <t>select_one admin1</t>
        </is>
      </c>
      <c r="B24" s="51" t="inlineStr">
        <is>
          <t>adm1_pcode</t>
        </is>
      </c>
      <c r="C24" s="362" t="inlineStr">
        <is>
          <t>1.9 حاليًا ، في أي محافظة تقيم أسرتك؟</t>
        </is>
      </c>
      <c r="D24" s="362" t="inlineStr">
        <is>
          <t>1.9 Currently, in which Governorate does your household reside?</t>
        </is>
      </c>
      <c r="E24" s="59" t="n"/>
      <c r="F24" s="51" t="inlineStr">
        <is>
          <t>[HINT: HOUSEHOLD CONSISTS OF ALL MEMBERS LIVING TOGETHER, SHARING RESOURCES &amp; EATING FROM THE SAME POT.]</t>
        </is>
      </c>
      <c r="G24" s="51" t="inlineStr">
        <is>
          <t>[ملحوظة: تتكون الأسرة من جميع الأعضاء الذين يعيشون معًا ، ويتشاركون الموارد ويأكلون من نفس القدر]</t>
        </is>
      </c>
      <c r="H24" s="60" t="n"/>
      <c r="I24" s="243" t="inlineStr">
        <is>
          <t>true</t>
        </is>
      </c>
      <c r="J24" s="243" t="inlineStr">
        <is>
          <t>autocomplete</t>
        </is>
      </c>
      <c r="K24" s="26" t="n"/>
      <c r="L24" s="83" t="n"/>
      <c r="M24" s="83" t="n"/>
      <c r="N24" s="26" t="n"/>
      <c r="O24" s="243" t="n"/>
      <c r="P24" s="243" t="n"/>
      <c r="Q24" s="243" t="n"/>
      <c r="V24" s="28" t="inlineStr">
        <is>
          <t>yes</t>
        </is>
      </c>
      <c r="X24" s="132" t="n">
        <v>8.800000000000001</v>
      </c>
      <c r="Y24" s="114">
        <f>1</f>
        <v/>
      </c>
      <c r="Z24" s="115">
        <f>IF(X24&lt;&gt;"",X24*Y24,"")</f>
        <v/>
      </c>
      <c r="AA24" s="115">
        <f>IF(AND(X24&lt;&gt;"",V24="yes"),X24*Y24,"")</f>
        <v/>
      </c>
    </row>
    <row r="25">
      <c r="A25" s="51" t="inlineStr">
        <is>
          <t>calculate</t>
        </is>
      </c>
      <c r="B25" s="51" t="inlineStr">
        <is>
          <t>adm1_name</t>
        </is>
      </c>
      <c r="C25" s="362" t="n"/>
      <c r="D25" s="362" t="n"/>
      <c r="E25" s="59" t="n"/>
      <c r="F25" s="51" t="n"/>
      <c r="G25" s="51" t="n"/>
      <c r="H25" s="60" t="n"/>
      <c r="I25" s="243" t="n"/>
      <c r="J25" s="243" t="n"/>
      <c r="K25" s="26" t="n"/>
      <c r="L25" s="243" t="n"/>
      <c r="M25" s="243" t="n"/>
      <c r="N25" s="26" t="n"/>
      <c r="O25" s="243" t="n"/>
      <c r="P25" s="243" t="n"/>
      <c r="Q25" s="243" t="inlineStr">
        <is>
          <t>jr:choice-name(${adm1_pcode},'${adm1_pcode}')</t>
        </is>
      </c>
      <c r="V25" s="28" t="inlineStr">
        <is>
          <t>yes</t>
        </is>
      </c>
      <c r="X25" s="132" t="n"/>
      <c r="Y25" s="114">
        <f>1</f>
        <v/>
      </c>
      <c r="Z25" s="115">
        <f>IF(X25&lt;&gt;"",X25*Y25,"")</f>
        <v/>
      </c>
      <c r="AA25" s="115">
        <f>IF(AND(X25&lt;&gt;"",V25="yes"),X25*Y25,"")</f>
        <v/>
      </c>
    </row>
    <row r="26" ht="16.05" customHeight="1">
      <c r="A26" s="51" t="inlineStr">
        <is>
          <t>select_one admin2</t>
        </is>
      </c>
      <c r="B26" s="51" t="inlineStr">
        <is>
          <t xml:space="preserve">adm2_pcode </t>
        </is>
      </c>
      <c r="C26" s="362" t="inlineStr">
        <is>
          <t>1.10 حاليًا ، في أي منطقة تقيم أسرتك؟</t>
        </is>
      </c>
      <c r="D26" s="362" t="inlineStr">
        <is>
          <t>1.10 Currently, in which District does your household reside?</t>
        </is>
      </c>
      <c r="E26" s="59" t="n"/>
      <c r="F26" s="51" t="inlineStr">
        <is>
          <t>[HINT: HOUSEHOLD CONSISTS OF ALL MEMBERS LIVING TOGETHER, SHARING RESOURCES &amp; EATING FROM THE SAME POT.]</t>
        </is>
      </c>
      <c r="G26" s="51" t="inlineStr">
        <is>
          <t>[ملحوظة: تتكون الأسرة من جميع الأعضاء الذين يعيشون معًا ، ويتشاركون الموارد ويأكلون من نفس القدر]</t>
        </is>
      </c>
      <c r="H26" s="60" t="n"/>
      <c r="I26" s="243" t="inlineStr">
        <is>
          <t>true</t>
        </is>
      </c>
      <c r="J26" s="243" t="inlineStr">
        <is>
          <t>autocomplete</t>
        </is>
      </c>
      <c r="K26" s="26" t="n"/>
      <c r="L26" s="243" t="n"/>
      <c r="M26" s="243" t="n"/>
      <c r="N26" s="26" t="n"/>
      <c r="O26" s="243" t="inlineStr">
        <is>
          <t>my_filter_admin=${adm1_pcode}</t>
        </is>
      </c>
      <c r="P26" s="243" t="n"/>
      <c r="Q26" s="243" t="n"/>
      <c r="V26" s="28" t="inlineStr">
        <is>
          <t>yes</t>
        </is>
      </c>
      <c r="X26" s="132" t="n">
        <v>10.4</v>
      </c>
      <c r="Y26" s="114">
        <f>1</f>
        <v/>
      </c>
      <c r="Z26" s="115">
        <f>IF(X26&lt;&gt;"",X26*Y26,"")</f>
        <v/>
      </c>
      <c r="AA26" s="115">
        <f>IF(AND(X26&lt;&gt;"",V26="yes"),X26*Y26,"")</f>
        <v/>
      </c>
    </row>
    <row r="27">
      <c r="A27" s="51" t="inlineStr">
        <is>
          <t>calculate</t>
        </is>
      </c>
      <c r="B27" s="51" t="inlineStr">
        <is>
          <t>adm2_name</t>
        </is>
      </c>
      <c r="C27" s="362" t="n"/>
      <c r="D27" s="362" t="n"/>
      <c r="E27" s="59" t="n"/>
      <c r="F27" s="51" t="n"/>
      <c r="G27" s="51" t="n"/>
      <c r="H27" s="60" t="n"/>
      <c r="I27" s="243" t="n"/>
      <c r="J27" s="243" t="n"/>
      <c r="K27" s="26" t="n"/>
      <c r="L27" s="243" t="n"/>
      <c r="M27" s="243" t="n"/>
      <c r="N27" s="26" t="n"/>
      <c r="O27" s="243" t="n"/>
      <c r="P27" s="243" t="n"/>
      <c r="Q27" s="243" t="inlineStr">
        <is>
          <t>jr:choice-name(${adm2_pcode},'${adm2_pcode}')</t>
        </is>
      </c>
      <c r="V27" s="28" t="inlineStr">
        <is>
          <t>yes</t>
        </is>
      </c>
      <c r="X27" s="132" t="n"/>
      <c r="Y27" s="114">
        <f>1</f>
        <v/>
      </c>
      <c r="Z27" s="115">
        <f>IF(X27&lt;&gt;"",X27*Y27,"")</f>
        <v/>
      </c>
      <c r="AA27" s="115">
        <f>IF(AND(X27&lt;&gt;"",V27="yes"),X27*Y27,"")</f>
        <v/>
      </c>
    </row>
    <row r="28" ht="16.05" customHeight="1">
      <c r="A28" s="51" t="inlineStr">
        <is>
          <t>select_one admin3</t>
        </is>
      </c>
      <c r="B28" s="51" t="inlineStr">
        <is>
          <t>adm3_pcode</t>
        </is>
      </c>
      <c r="C28" s="362" t="inlineStr">
        <is>
          <t>1.11 حاليًا ، في أي ناحية تقيم أسرتك؟</t>
        </is>
      </c>
      <c r="D28" s="362" t="inlineStr">
        <is>
          <t>1.11 Currently, in which Sub-District does your household reside?</t>
        </is>
      </c>
      <c r="E28" s="59" t="n"/>
      <c r="F28" s="51" t="inlineStr">
        <is>
          <t>[HINT: HOUSEHOLD CONSISTS OF ALL MEMBERS LIVING TOGETHER, SHARING RESOURCES &amp; EATING FROM THE SAME POT.]</t>
        </is>
      </c>
      <c r="G28" s="51" t="inlineStr">
        <is>
          <t>[ملحوظة: تتكون الأسرة من جميع الأعضاء الذين يعيشون معًا ، ويتشاركون الموارد ويأكلون من نفس القدر]</t>
        </is>
      </c>
      <c r="H28" s="60" t="n"/>
      <c r="I28" s="243" t="inlineStr">
        <is>
          <t>true</t>
        </is>
      </c>
      <c r="J28" s="243" t="inlineStr">
        <is>
          <t>autocomplete</t>
        </is>
      </c>
      <c r="K28" s="26" t="n"/>
      <c r="L28" s="83" t="n"/>
      <c r="M28" s="83" t="n"/>
      <c r="N28" s="26" t="n"/>
      <c r="O28" s="243" t="inlineStr">
        <is>
          <t>my_filter_admin=${adm2_pcode}</t>
        </is>
      </c>
      <c r="P28" s="243" t="n"/>
      <c r="Q28" s="243" t="n"/>
      <c r="V28" s="28" t="inlineStr">
        <is>
          <t>yes</t>
        </is>
      </c>
      <c r="X28" s="132" t="n">
        <v>8.800000000000001</v>
      </c>
      <c r="Y28" s="114">
        <f>1</f>
        <v/>
      </c>
      <c r="Z28" s="115">
        <f>IF(X28&lt;&gt;"",X28*Y28,"")</f>
        <v/>
      </c>
      <c r="AA28" s="115">
        <f>IF(AND(X28&lt;&gt;"",V28="yes"),X28*Y28,"")</f>
        <v/>
      </c>
    </row>
    <row r="29">
      <c r="A29" s="51" t="inlineStr">
        <is>
          <t>calculate</t>
        </is>
      </c>
      <c r="B29" s="51" t="inlineStr">
        <is>
          <t>adm3_name</t>
        </is>
      </c>
      <c r="C29" s="362" t="n"/>
      <c r="D29" s="362" t="n"/>
      <c r="E29" s="59" t="n"/>
      <c r="F29" s="51" t="n"/>
      <c r="G29" s="51" t="n"/>
      <c r="H29" s="60" t="n"/>
      <c r="I29" s="243" t="n"/>
      <c r="J29" s="243" t="n"/>
      <c r="K29" s="26" t="n"/>
      <c r="L29" s="243" t="n"/>
      <c r="M29" s="243" t="n"/>
      <c r="N29" s="26" t="n"/>
      <c r="O29" s="243" t="n"/>
      <c r="P29" s="243" t="n"/>
      <c r="Q29" s="243" t="inlineStr">
        <is>
          <t>jr:choice-name(${adm3_pcode},'${adm3_pcode}')</t>
        </is>
      </c>
      <c r="V29" s="28" t="inlineStr">
        <is>
          <t>yes</t>
        </is>
      </c>
      <c r="X29" s="132" t="n"/>
      <c r="Y29" s="114">
        <f>1</f>
        <v/>
      </c>
      <c r="Z29" s="115">
        <f>IF(X29&lt;&gt;"",X29*Y29,"")</f>
        <v/>
      </c>
      <c r="AA29" s="115">
        <f>IF(AND(X29&lt;&gt;"",V29="yes"),X29*Y29,"")</f>
        <v/>
      </c>
    </row>
    <row r="30" ht="16.05" customHeight="1">
      <c r="A30" s="51" t="inlineStr">
        <is>
          <t>select_one admin4</t>
        </is>
      </c>
      <c r="B30" s="51" t="inlineStr">
        <is>
          <t xml:space="preserve">adm4_pcode </t>
        </is>
      </c>
      <c r="C30" s="362" t="inlineStr">
        <is>
          <t>1.12 حاليًا ، في أي مجتمع تقيم أسرتك؟</t>
        </is>
      </c>
      <c r="D30" s="362" t="inlineStr">
        <is>
          <t>1.12 Currently, in which Community does your household reside?</t>
        </is>
      </c>
      <c r="E30" s="59" t="n"/>
      <c r="F30" s="51" t="inlineStr">
        <is>
          <t>[HINT: HOUSEHOLD CONSISTS OF ALL MEMBERS LIVING TOGETHER, SHARING RESOURCES &amp; EATING FROM THE SAME POT.]</t>
        </is>
      </c>
      <c r="G30" s="51" t="inlineStr">
        <is>
          <t>[ملحوظة: تتكون الأسرة من جميع الأعضاء الذين يعيشون معًا ، ويتشاركون الموارد ويأكلون من نفس القدر]</t>
        </is>
      </c>
      <c r="H30" s="60" t="n"/>
      <c r="I30" s="243" t="inlineStr">
        <is>
          <t>true</t>
        </is>
      </c>
      <c r="J30" s="243" t="inlineStr">
        <is>
          <t>autocomplete</t>
        </is>
      </c>
      <c r="K30" s="26" t="n"/>
      <c r="L30" s="243" t="n"/>
      <c r="M30" s="243" t="n"/>
      <c r="N30" s="26" t="n"/>
      <c r="O30" s="243" t="inlineStr">
        <is>
          <t>my_filter_admin=${adm3_pcode}</t>
        </is>
      </c>
      <c r="P30" s="243" t="n"/>
      <c r="Q30" s="243" t="n"/>
      <c r="V30" s="28" t="inlineStr">
        <is>
          <t>yes</t>
        </is>
      </c>
      <c r="X30" s="132" t="n">
        <v>10.4</v>
      </c>
      <c r="Y30" s="114">
        <f>1</f>
        <v/>
      </c>
      <c r="Z30" s="115">
        <f>IF(X30&lt;&gt;"",X30*Y30,"")</f>
        <v/>
      </c>
      <c r="AA30" s="115">
        <f>IF(AND(X30&lt;&gt;"",V30="yes"),X30*Y30,"")</f>
        <v/>
      </c>
    </row>
    <row r="31">
      <c r="A31" s="51" t="inlineStr">
        <is>
          <t>calculate</t>
        </is>
      </c>
      <c r="B31" s="51" t="inlineStr">
        <is>
          <t>adm4_name</t>
        </is>
      </c>
      <c r="C31" s="362" t="n"/>
      <c r="D31" s="362" t="n"/>
      <c r="E31" s="59" t="n"/>
      <c r="F31" s="51" t="n"/>
      <c r="G31" s="51" t="n"/>
      <c r="H31" s="60" t="n"/>
      <c r="I31" s="243" t="n"/>
      <c r="J31" s="243" t="n"/>
      <c r="K31" s="26" t="n"/>
      <c r="L31" s="243" t="n"/>
      <c r="M31" s="243" t="n"/>
      <c r="N31" s="26" t="n"/>
      <c r="O31" s="243" t="n"/>
      <c r="P31" s="243" t="n"/>
      <c r="Q31" s="243" t="inlineStr">
        <is>
          <t>jr:choice-name(${adm4_pcode},'${adm4_pcode}')</t>
        </is>
      </c>
      <c r="V31" s="28" t="inlineStr">
        <is>
          <t>yes</t>
        </is>
      </c>
      <c r="X31" s="132" t="n"/>
      <c r="Y31" s="114">
        <f>1</f>
        <v/>
      </c>
      <c r="Z31" s="115">
        <f>IF(X31&lt;&gt;"",X31*Y31,"")</f>
        <v/>
      </c>
      <c r="AA31" s="115">
        <f>IF(AND(X31&lt;&gt;"",V31="yes"),X31*Y31,"")</f>
        <v/>
      </c>
    </row>
    <row r="32" ht="76.2" customFormat="1" customHeight="1" s="29">
      <c r="A32" s="27" t="inlineStr">
        <is>
          <t>select_one agricactivity</t>
        </is>
      </c>
      <c r="B32" s="27" t="inlineStr">
        <is>
          <t>hh_agricactivity</t>
        </is>
      </c>
      <c r="C32" s="362" t="inlineStr">
        <is>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is>
      </c>
      <c r="D32" s="362" t="inlineStr">
        <is>
          <t>1.13 Have you or anyone in your household been producing vegetables, crops, livestock or fish and aquaculture for household consumption or for sale in the past 12 months, including household members currently away for transhumance?</t>
        </is>
      </c>
      <c r="E32" s="59" t="n"/>
      <c r="F32" s="2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32" s="27" t="inlineStr">
        <is>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is>
      </c>
      <c r="H32" s="59" t="n"/>
      <c r="I32" s="26" t="inlineStr">
        <is>
          <t>true</t>
        </is>
      </c>
      <c r="J32" s="26" t="n"/>
      <c r="K32" s="26" t="n"/>
      <c r="L32" s="26" t="n"/>
      <c r="M32" s="26" t="n"/>
      <c r="N32" s="26" t="n"/>
      <c r="O32" s="26" t="n"/>
      <c r="P32" s="26" t="n"/>
      <c r="Q32" s="26" t="n"/>
      <c r="V32" s="29" t="inlineStr">
        <is>
          <t>yes</t>
        </is>
      </c>
      <c r="X32" s="135" t="n">
        <v>31.37237739562988</v>
      </c>
      <c r="Y32" s="114">
        <f>1</f>
        <v/>
      </c>
      <c r="Z32" s="116">
        <f>IF(X32&lt;&gt;"",X32*Y32,"")</f>
        <v/>
      </c>
      <c r="AA32" s="116">
        <f>IF(AND(X32&lt;&gt;"",V32="yes"),X32*Y32,"")</f>
        <v/>
      </c>
      <c r="AB32" s="30" t="n"/>
    </row>
    <row r="33" ht="54.75" customFormat="1" customHeight="1" s="29">
      <c r="A33" s="51" t="inlineStr">
        <is>
          <t>select_one yes_no</t>
        </is>
      </c>
      <c r="B33" s="27" t="inlineStr">
        <is>
          <t>hh_agricactivity_conflict</t>
        </is>
      </c>
      <c r="C33" s="362" t="inlineStr">
        <is>
          <t>1.14 هل قام أي شخص في أسرتك بإنتاج المحاصيل أو الثروة الحيوانية أو الأسماك وتربية الأحياء المائية للاستهلاك المنزلي أو للبيع منذ بداية الصراع عام ٢٠١١؟</t>
        </is>
      </c>
      <c r="D33" s="362" t="inlineStr">
        <is>
          <t>1.14 Have you or anyone in your household been producing vegetables, crops, livestock or fish and aquaculture for household consumption or for sale since the start of the conflict in 2011?</t>
        </is>
      </c>
      <c r="E33" s="59" t="n"/>
      <c r="F33" s="27" t="inlineStr">
        <is>
          <t>[HINT FOR PROBING: Did you cultivate any plants to sale or consume? Did you raise any animals with the intent of selling or consuming them or their products like meat, milk, wool or leather?]</t>
        </is>
      </c>
      <c r="G33" s="27" t="inlineStr">
        <is>
          <t>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t>
        </is>
      </c>
      <c r="H33" s="59" t="n"/>
      <c r="I33" s="26" t="inlineStr">
        <is>
          <t>true</t>
        </is>
      </c>
      <c r="J33" s="26" t="n"/>
      <c r="K33" s="26" t="n"/>
      <c r="L33" s="26" t="n"/>
      <c r="M33" s="26" t="n"/>
      <c r="N33" s="26" t="inlineStr">
        <is>
          <t>${hh_agricactivity}='4'</t>
        </is>
      </c>
      <c r="O33" s="26" t="n"/>
      <c r="P33" s="26" t="n"/>
      <c r="Q33" s="26" t="n"/>
      <c r="X33" s="135" t="n"/>
      <c r="Y33" s="114" t="n"/>
      <c r="Z33" s="116" t="n"/>
      <c r="AA33" s="116" t="n"/>
      <c r="AB33" s="30" t="n"/>
    </row>
    <row r="34" ht="54.75" customFormat="1" customHeight="1" s="29">
      <c r="A34" s="51" t="inlineStr">
        <is>
          <t>select_one yes_no</t>
        </is>
      </c>
      <c r="B34" s="27" t="inlineStr">
        <is>
          <t>hh_agricactivity_ever</t>
        </is>
      </c>
      <c r="C34" s="362" t="inlineStr">
        <is>
          <t>1.15 هل قام أي شخص في أسرتك بإنتاج المحاصيل أو الثروة الحيوانية أو الأسماك وتربية الأحياء المائية للاستهلاك المنزلي أو للبيع من قبل؟</t>
        </is>
      </c>
      <c r="D34" s="362" t="inlineStr">
        <is>
          <t>1.15 Have you or anyone in your household ever produced vegetables, crops, livestock or fish and aquaculture for household consumption or for sale?</t>
        </is>
      </c>
      <c r="E34" s="59" t="n"/>
      <c r="F34" s="27" t="inlineStr">
        <is>
          <t>[HINT FOR PROBING: Did you cultivate any plants to sale or consume? Did you raise any animals with the intent of selling or consuming them or their products like meat, milk, wool or leather?]</t>
        </is>
      </c>
      <c r="G34" s="27" t="inlineStr">
        <is>
          <t>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t>
        </is>
      </c>
      <c r="H34" s="59" t="n"/>
      <c r="I34" s="26" t="inlineStr">
        <is>
          <t>true</t>
        </is>
      </c>
      <c r="J34" s="26" t="n"/>
      <c r="K34" s="26" t="n"/>
      <c r="L34" s="26" t="n"/>
      <c r="M34" s="26" t="n"/>
      <c r="N34" s="26" t="inlineStr">
        <is>
          <t>${hh_agricactivity_conflict}='2'</t>
        </is>
      </c>
      <c r="O34" s="26" t="n"/>
      <c r="P34" s="26" t="n"/>
      <c r="Q34" s="26" t="n"/>
      <c r="X34" s="135" t="n"/>
      <c r="Y34" s="114" t="n"/>
      <c r="Z34" s="116" t="n"/>
      <c r="AA34" s="116" t="n"/>
      <c r="AB34" s="30" t="n"/>
    </row>
    <row r="35" ht="48" customFormat="1" customHeight="1" s="29">
      <c r="A35" s="27" t="inlineStr">
        <is>
          <t>select_one agric_checktime</t>
        </is>
      </c>
      <c r="B35" s="27" t="inlineStr">
        <is>
          <t>hh_agricactivity_stopduration</t>
        </is>
      </c>
      <c r="C35" s="362" t="inlineStr">
        <is>
          <t>1.16 منذ متى توقفت أسرتك عن الأنشطة الزراعية؟</t>
        </is>
      </c>
      <c r="D35" s="362" t="inlineStr">
        <is>
          <t>1.16 For how long has your household stopped agricultural activities?</t>
        </is>
      </c>
      <c r="E35" s="59" t="n"/>
      <c r="F35" s="51" t="n"/>
      <c r="G35" s="27" t="n"/>
      <c r="H35" s="59" t="n"/>
      <c r="I35" s="26" t="inlineStr">
        <is>
          <t>true</t>
        </is>
      </c>
      <c r="J35" s="26" t="n"/>
      <c r="K35" s="26" t="n"/>
      <c r="L35" s="26" t="n"/>
      <c r="M35" s="26" t="n"/>
      <c r="N35" s="26" t="inlineStr">
        <is>
          <t>${hh_agricactivity}='4' and (${hh_agricactivity_conflict}='1' or  ${hh_agricactivity_ever}='1')</t>
        </is>
      </c>
      <c r="O35" s="26" t="n"/>
      <c r="P35" s="26" t="n"/>
      <c r="Q35" s="26" t="n"/>
      <c r="X35" s="135" t="n"/>
      <c r="Y35" s="114" t="n"/>
      <c r="Z35" s="116" t="n"/>
      <c r="AA35" s="116" t="n"/>
      <c r="AB35" s="30" t="n"/>
    </row>
    <row r="36" ht="48" customFormat="1" customHeight="1" s="29">
      <c r="A36" s="27" t="inlineStr">
        <is>
          <t>select_one reason_stop</t>
        </is>
      </c>
      <c r="B36" s="27" t="inlineStr">
        <is>
          <t>hh_agricactivity_stopreason</t>
        </is>
      </c>
      <c r="C36" s="362" t="inlineStr">
        <is>
          <t>1.17 لماذا أوقفت أسرتك أنشطتها الزراعية؟</t>
        </is>
      </c>
      <c r="D36" s="362" t="inlineStr">
        <is>
          <t>1.17 Why has your household stopped agricultural activities?</t>
        </is>
      </c>
      <c r="E36" s="59" t="n"/>
      <c r="F36" s="51" t="n"/>
      <c r="G36" s="27" t="n"/>
      <c r="H36" s="59" t="n"/>
      <c r="I36" s="26" t="inlineStr">
        <is>
          <t>true</t>
        </is>
      </c>
      <c r="J36" s="26" t="n"/>
      <c r="K36" s="26" t="n"/>
      <c r="L36" s="26" t="n"/>
      <c r="M36" s="26" t="n"/>
      <c r="N36" s="26" t="inlineStr">
        <is>
          <t>${hh_agricactivity}='4' and (${hh_agricactivity_conflict}='1' or  ${hh_agricactivity_ever}='1')</t>
        </is>
      </c>
      <c r="O36" s="26" t="n"/>
      <c r="P36" s="26" t="n"/>
      <c r="Q36" s="26" t="n"/>
      <c r="X36" s="135" t="n"/>
      <c r="Y36" s="114" t="n"/>
      <c r="Z36" s="116" t="n"/>
      <c r="AA36" s="116" t="n"/>
      <c r="AB36" s="30" t="n"/>
    </row>
    <row r="37" ht="31.95" customHeight="1">
      <c r="A37" s="51" t="inlineStr">
        <is>
          <t>text</t>
        </is>
      </c>
      <c r="B37" s="27" t="inlineStr">
        <is>
          <t>hh_agricactivity_stopreason_otherspecify</t>
        </is>
      </c>
      <c r="C37" s="362" t="inlineStr">
        <is>
          <t>1.18 إذا كانت الإجابة "آخر"، حدد</t>
        </is>
      </c>
      <c r="D37" s="362" t="inlineStr">
        <is>
          <t>1.18 If other, specify.</t>
        </is>
      </c>
      <c r="E37" s="65" t="n"/>
      <c r="F37" s="52" t="inlineStr">
        <is>
          <t>[INSTRUCTIONS: RECORD THE OPEN RESPONSE GIVEN IN FEW WORDS. ENTER 888 FOR DON'T KNOW AND 999 FOR REFUSED]</t>
        </is>
      </c>
      <c r="G37" s="52" t="inlineStr">
        <is>
          <t>[تعليمات: سجل في بضع كلمات الاستجابة المفتوحة المعطاة . أدخل 888 للا أعرف و 999 في حالة الرفض]</t>
        </is>
      </c>
      <c r="H37" s="60" t="n"/>
      <c r="I37" s="243" t="inlineStr">
        <is>
          <t>true</t>
        </is>
      </c>
      <c r="J37" s="243" t="n"/>
      <c r="K37" s="325" t="inlineStr">
        <is>
          <t>string-length(.)&gt;=3</t>
        </is>
      </c>
      <c r="L37" s="306" t="inlineStr">
        <is>
          <t>عفوا، الرجاء تقديم نص و شرح اكثر وضوحا.</t>
        </is>
      </c>
      <c r="M37" s="306" t="inlineStr">
        <is>
          <t>Sorry, Please provide a much more meaningful text</t>
        </is>
      </c>
      <c r="N37" s="266" t="inlineStr">
        <is>
          <t>${hh_agricactivity_stopreason} = 'other'</t>
        </is>
      </c>
      <c r="O37" s="243" t="n"/>
      <c r="P37" s="243" t="n"/>
      <c r="Q37" s="243" t="n"/>
      <c r="V37" s="28" t="inlineStr">
        <is>
          <t>yes</t>
        </is>
      </c>
      <c r="X37" s="132" t="n"/>
      <c r="Y37" s="114">
        <f>'Additional information'!$C$14</f>
        <v/>
      </c>
      <c r="Z37" s="115">
        <f>IF(X37&lt;&gt;"",X37*Y37,"")</f>
        <v/>
      </c>
      <c r="AA37" s="115">
        <f>IF(AND(X37&lt;&gt;"",V37="yes"),X37*Y37,"")</f>
        <v/>
      </c>
    </row>
    <row r="38" ht="48" customFormat="1" customHeight="1" s="29">
      <c r="A38" s="27" t="inlineStr">
        <is>
          <t>select_one yes_no</t>
        </is>
      </c>
      <c r="B38" s="27" t="inlineStr">
        <is>
          <t>hh_agricactivity_resume_will</t>
        </is>
      </c>
      <c r="C38" s="362" t="inlineStr">
        <is>
          <t>1.19 هل تنوي استئناف النشاط الزراعي؟</t>
        </is>
      </c>
      <c r="D38" s="362" t="inlineStr">
        <is>
          <t>1.19 Are you willing to resume agricultural activity ?</t>
        </is>
      </c>
      <c r="E38" s="59" t="n"/>
      <c r="F38" s="51" t="n"/>
      <c r="G38" s="27" t="n"/>
      <c r="H38" s="59" t="n"/>
      <c r="I38" s="26" t="inlineStr">
        <is>
          <t>true</t>
        </is>
      </c>
      <c r="J38" s="26" t="n"/>
      <c r="K38" s="26" t="n"/>
      <c r="L38" s="26" t="n"/>
      <c r="M38" s="26" t="n"/>
      <c r="N38" s="26" t="inlineStr">
        <is>
          <t>${hh_agricactivity}='4' and (${hh_agricactivity_conflict}='1' or  ${hh_agricactivity_ever}='1')</t>
        </is>
      </c>
      <c r="O38" s="26" t="n"/>
      <c r="P38" s="26" t="n"/>
      <c r="Q38" s="26" t="n"/>
      <c r="X38" s="135" t="n"/>
      <c r="Y38" s="114" t="n"/>
      <c r="Z38" s="116" t="n"/>
      <c r="AA38" s="116" t="n"/>
      <c r="AB38" s="30" t="n"/>
    </row>
    <row r="39" ht="64.05" customHeight="1">
      <c r="A39" s="28" t="inlineStr">
        <is>
          <t>select_one agric_checkresume</t>
        </is>
      </c>
      <c r="B39" s="27" t="inlineStr">
        <is>
          <t>hh_agricactivity_resume_date</t>
        </is>
      </c>
      <c r="C39" s="362" t="inlineStr">
        <is>
          <t>1.20 متى تعتقد أن أسرتك ستكون قادر على استئناف الأنشطة الزراعية؟</t>
        </is>
      </c>
      <c r="D39" s="362" t="inlineStr">
        <is>
          <t>1.20 When do you think that your household will be able to resume agricultural activities?</t>
        </is>
      </c>
      <c r="E39" s="59" t="n"/>
      <c r="H39" s="60" t="n"/>
      <c r="I39" s="246" t="inlineStr">
        <is>
          <t>true</t>
        </is>
      </c>
      <c r="N39" s="26" t="inlineStr">
        <is>
          <t>${hh_agricactivity}='4' and (${hh_agricactivity_conflict}='1' or  ${hh_agricactivity_ever}='1') and ${hh_agricactivity_resume_will}='1'</t>
        </is>
      </c>
      <c r="X39" s="132" t="n"/>
      <c r="Y39" s="114">
        <f>1</f>
        <v/>
      </c>
      <c r="Z39" s="115">
        <f>IF(X39&lt;&gt;"",X39*Y39,"")</f>
        <v/>
      </c>
      <c r="AA39" s="115">
        <f>IF(AND(X39&lt;&gt;"",V39="yes"),X39*Y39,"")</f>
        <v/>
      </c>
    </row>
    <row r="40" ht="22.8" customFormat="1" customHeight="1" s="52" thickBot="1">
      <c r="A40" s="64" t="inlineStr">
        <is>
          <t>end_group</t>
        </is>
      </c>
      <c r="B40" s="64" t="n"/>
      <c r="C40" s="366" t="n"/>
      <c r="D40" s="367" t="n"/>
      <c r="E40" s="61" t="n"/>
      <c r="F40" s="64" t="n"/>
      <c r="G40" s="64" t="n"/>
      <c r="H40" s="62" t="n"/>
      <c r="I40" s="85" t="n"/>
      <c r="J40" s="85" t="n"/>
      <c r="K40" s="269" t="n"/>
      <c r="L40" s="85" t="n"/>
      <c r="M40" s="85" t="n"/>
      <c r="N40" s="269" t="n"/>
      <c r="O40" s="85" t="n"/>
      <c r="P40" s="85" t="n"/>
      <c r="Q40" s="85" t="n"/>
      <c r="X40" s="132" t="n"/>
      <c r="Y40" s="114" t="n"/>
      <c r="Z40" s="115">
        <f>IF(X40&lt;&gt;"",X40*Y40,"")</f>
        <v/>
      </c>
      <c r="AA40" s="115">
        <f>IF(AND(X40&lt;&gt;"",V40="yes"),X40*Y40,"")</f>
        <v/>
      </c>
    </row>
    <row r="41" ht="57.75" customFormat="1" customHeight="1" s="49" thickTop="1">
      <c r="A41" s="282" t="inlineStr">
        <is>
          <t>begin_group</t>
        </is>
      </c>
      <c r="B41" s="282" t="inlineStr">
        <is>
          <t>generalInfo</t>
        </is>
      </c>
      <c r="C41" s="365" t="inlineStr">
        <is>
          <t>2. معلومات عامة</t>
        </is>
      </c>
      <c r="D41" s="365" t="inlineStr">
        <is>
          <t>2. GENERAL INFORMATION</t>
        </is>
      </c>
      <c r="E41" s="47" t="n"/>
      <c r="F41" s="46" t="n"/>
      <c r="G41" s="46" t="n"/>
      <c r="H41" s="48" t="n"/>
      <c r="I41" s="82" t="inlineStr">
        <is>
          <t>false</t>
        </is>
      </c>
      <c r="J41" s="82" t="n"/>
      <c r="K41" s="275" t="n"/>
      <c r="L41" s="82" t="n"/>
      <c r="M41" s="82" t="n"/>
      <c r="N41" s="270" t="inlineStr">
        <is>
          <t>${resp_agree} = '1' and ${hh_agricactivity} != 'ref' and ${hh_agricactivity} != 'dk'</t>
        </is>
      </c>
      <c r="O41" s="82" t="n"/>
      <c r="P41" s="82" t="n"/>
      <c r="Q41" s="82" t="n"/>
      <c r="V41" s="28" t="inlineStr">
        <is>
          <t>yes</t>
        </is>
      </c>
      <c r="X41" s="132" t="n"/>
      <c r="Y41" s="114" t="n"/>
      <c r="Z41" s="115">
        <f>IF(X41&lt;&gt;"",X41*Y41,"")</f>
        <v/>
      </c>
      <c r="AA41" s="115">
        <f>IF(AND(X41&lt;&gt;"",V41="yes"),X41*Y41,"")</f>
        <v/>
      </c>
      <c r="AB41" s="50" t="n"/>
    </row>
    <row r="42" ht="16.05" customHeight="1">
      <c r="A42" s="51" t="inlineStr">
        <is>
          <t>select_one yes_no</t>
        </is>
      </c>
      <c r="B42" s="51" t="inlineStr">
        <is>
          <t>resp_id</t>
        </is>
      </c>
      <c r="C42" s="362" t="inlineStr">
        <is>
          <t>2.1 هل أنت رب الأسرة ؟</t>
        </is>
      </c>
      <c r="D42" s="362" t="inlineStr">
        <is>
          <t>2.1 Are you the head of household?</t>
        </is>
      </c>
      <c r="E42" s="59" t="n"/>
      <c r="F42" s="51" t="inlineStr">
        <is>
          <t>[HINT: HOUSEHOLD CONSISTS OF ALL MEMBERS LIVING TOGETHER, SHARING RESOURCES &amp; EATING FROM THE SAME POT]</t>
        </is>
      </c>
      <c r="G42" s="249" t="inlineStr">
        <is>
          <t xml:space="preserve"> [.ملحوظة: تتكون الأسرة من جميع الأعضاء الذين يعيشون معًا ، ويتشاركون الموارد ويأكلون من نفس القدر] </t>
        </is>
      </c>
      <c r="H42" s="60" t="n"/>
      <c r="I42" s="243" t="inlineStr">
        <is>
          <t>true</t>
        </is>
      </c>
      <c r="J42" s="243" t="n"/>
      <c r="K42" s="26" t="n"/>
      <c r="L42" s="243" t="n"/>
      <c r="M42" s="243" t="n"/>
      <c r="N42" s="26" t="n"/>
      <c r="O42" s="243" t="n"/>
      <c r="P42" s="243" t="n"/>
      <c r="Q42" s="243" t="n"/>
      <c r="V42" s="28" t="inlineStr">
        <is>
          <t>yes</t>
        </is>
      </c>
      <c r="X42" s="149" t="n"/>
      <c r="Y42" s="150" t="n"/>
      <c r="Z42" s="115" t="n"/>
      <c r="AA42" s="115" t="n"/>
    </row>
    <row r="43" ht="16.05" customHeight="1">
      <c r="A43" s="51" t="inlineStr">
        <is>
          <t>select_one gender</t>
        </is>
      </c>
      <c r="B43" s="51" t="inlineStr">
        <is>
          <t>hh_gender</t>
        </is>
      </c>
      <c r="C43" s="362" t="inlineStr">
        <is>
          <t>2.2 هل رب أسرتك ذكر أم أنثى؟</t>
        </is>
      </c>
      <c r="D43" s="362" t="inlineStr">
        <is>
          <t xml:space="preserve">2.2 Is the head of your household male or female? </t>
        </is>
      </c>
      <c r="E43" s="59" t="n"/>
      <c r="F43" s="51" t="inlineStr">
        <is>
          <t>[HINT: HOUSEHOLD CONSISTS OF ALL MEMBERS LIVING TOGETHER, SHARING RESOURCES &amp; EATING FROM THE SAME POT]</t>
        </is>
      </c>
      <c r="G43" s="249" t="inlineStr">
        <is>
          <t xml:space="preserve"> [.ملحوظة: تتكون الأسرة من جميع الأعضاء الذين يعيشون معًا ، ويتشاركون الموارد ويأكلون من نفس القدر] </t>
        </is>
      </c>
      <c r="H43" s="60" t="n"/>
      <c r="I43" s="243" t="inlineStr">
        <is>
          <t>true</t>
        </is>
      </c>
      <c r="J43" s="243" t="n"/>
      <c r="K43" s="26" t="n"/>
      <c r="L43" s="243" t="n"/>
      <c r="M43" s="243" t="n"/>
      <c r="N43" s="26" t="inlineStr">
        <is>
          <t>${resp_id} != '1'</t>
        </is>
      </c>
      <c r="O43" s="243" t="n"/>
      <c r="P43" s="243" t="n"/>
      <c r="Q43" s="243" t="n"/>
      <c r="V43" s="28" t="inlineStr">
        <is>
          <t>yes</t>
        </is>
      </c>
      <c r="X43" s="132" t="n">
        <v>10.08573150634766</v>
      </c>
      <c r="Y43" s="114">
        <f>1</f>
        <v/>
      </c>
      <c r="Z43" s="115">
        <f>IF(X43&lt;&gt;"",X43*Y43,"")</f>
        <v/>
      </c>
      <c r="AA43" s="115">
        <f>IF(AND(X43&lt;&gt;"",V43="yes"),X43*Y43,"")</f>
        <v/>
      </c>
    </row>
    <row r="44" ht="16.05" customHeight="1">
      <c r="A44" s="51" t="inlineStr">
        <is>
          <t>select_one edu</t>
        </is>
      </c>
      <c r="B44" s="51" t="inlineStr">
        <is>
          <t>hh_education</t>
        </is>
      </c>
      <c r="C44" s="362" t="inlineStr">
        <is>
          <t>2.3 ما هو المستوى التعليمي الذي وصل إليه رب الأسرة؟</t>
        </is>
      </c>
      <c r="D44" s="362" t="inlineStr">
        <is>
          <t xml:space="preserve">2.3 What is the educational level attained by the head of household? </t>
        </is>
      </c>
      <c r="E44" s="59" t="n"/>
      <c r="F44" s="51" t="inlineStr">
        <is>
          <t>[HINT: HOUSEHOLD CONSISTS OF ALL MEMBERS LIVING TOGETHER, SHARING RESOURCES &amp; EATING FROM THE SAME POT]</t>
        </is>
      </c>
      <c r="G44" s="249" t="inlineStr">
        <is>
          <t xml:space="preserve"> [.ملحوظة: تتكون الأسرة من جميع الأعضاء الذين يعيشون معًا ، ويتشاركون الموارد ويأكلون من نفس القدر] </t>
        </is>
      </c>
      <c r="H44" s="60" t="n"/>
      <c r="I44" s="243" t="inlineStr">
        <is>
          <t>true</t>
        </is>
      </c>
      <c r="J44" s="243" t="n"/>
      <c r="K44" s="26" t="n"/>
      <c r="L44" s="243" t="n"/>
      <c r="M44" s="243" t="n"/>
      <c r="N44" s="26" t="n"/>
      <c r="O44" s="243" t="n"/>
      <c r="P44" s="243" t="n"/>
      <c r="Q44" s="243" t="n"/>
      <c r="V44" s="28" t="inlineStr">
        <is>
          <t>yes</t>
        </is>
      </c>
      <c r="X44" s="132" t="n">
        <v>12.89403438568115</v>
      </c>
      <c r="Y44" s="114">
        <f>1</f>
        <v/>
      </c>
      <c r="Z44" s="115">
        <f>IF(X44&lt;&gt;"",X44*Y44,"")</f>
        <v/>
      </c>
      <c r="AA44" s="115">
        <f>IF(AND(X44&lt;&gt;"",V44="yes"),X44*Y44,"")</f>
        <v/>
      </c>
    </row>
    <row r="45" ht="16.05" customFormat="1" customHeight="1" s="338">
      <c r="A45" s="338" t="inlineStr">
        <is>
          <t>select_one water</t>
        </is>
      </c>
      <c r="B45" s="338" t="inlineStr">
        <is>
          <t>hh_wealth_water</t>
        </is>
      </c>
      <c r="C45" s="368" t="inlineStr">
        <is>
          <t>2.4 من أين تأتي المياه التي تشربونها في المنزل؟</t>
        </is>
      </c>
      <c r="D45" s="368" t="inlineStr">
        <is>
          <t>2.4 Where does the water that you drink at home come from?</t>
        </is>
      </c>
      <c r="E45" s="356" t="n"/>
      <c r="F45" s="357" t="n"/>
      <c r="G45" s="357" t="n"/>
      <c r="I45" s="336" t="inlineStr">
        <is>
          <t>true</t>
        </is>
      </c>
      <c r="J45" s="341" t="n"/>
      <c r="K45" s="341" t="n"/>
      <c r="L45" s="341" t="n"/>
      <c r="M45" s="341" t="n"/>
      <c r="N45" s="341" t="n"/>
      <c r="O45" s="341" t="n"/>
      <c r="P45" s="341" t="n"/>
      <c r="V45" s="338" t="inlineStr">
        <is>
          <t>yes</t>
        </is>
      </c>
      <c r="X45" s="149" t="n">
        <v>15.26582908630371</v>
      </c>
      <c r="Y45" s="150">
        <f>1</f>
        <v/>
      </c>
      <c r="Z45" s="333">
        <f>IF(AND(X45&lt;&gt;"",V45="yes"),X45*Y45,"")</f>
        <v/>
      </c>
    </row>
    <row r="46" ht="16.05" customFormat="1" customHeight="1" s="217">
      <c r="A46" s="51" t="inlineStr">
        <is>
          <t>integer</t>
        </is>
      </c>
      <c r="B46" s="223" t="inlineStr">
        <is>
          <t>HHSize_adultM</t>
        </is>
      </c>
      <c r="C46" s="362" t="inlineStr">
        <is>
          <t>2.5 كم عدد الذكور البالغين (بين ١٨ و ٦٠ سنة) الذين يعيشون في منزلك؟</t>
        </is>
      </c>
      <c r="D46" s="362" t="inlineStr">
        <is>
          <t>2.5 How many adult males (between 18 and 60) are living in your household?</t>
        </is>
      </c>
      <c r="E46" s="59" t="n"/>
      <c r="F46" s="51" t="inlineStr">
        <is>
          <t>[HINT: HOUSEHOLD CONSISTS OF ALL MEMBERS LIVING TOGETHER, SHARING RESOURCES &amp; EATING FROM THE SAME POT. ENTER 888 FOR DON'T KNOW AND 999 FOR REFUSED]</t>
        </is>
      </c>
      <c r="G46"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6" s="60" t="n"/>
      <c r="I46" s="243" t="inlineStr">
        <is>
          <t>true</t>
        </is>
      </c>
      <c r="J46" s="222" t="n"/>
      <c r="K46" s="271" t="inlineStr">
        <is>
          <t>.&gt;=0 and .&lt;25</t>
        </is>
      </c>
      <c r="L46" s="222" t="n"/>
      <c r="M46" s="222" t="n"/>
      <c r="N46" s="271" t="n"/>
      <c r="O46" s="222" t="n"/>
      <c r="P46" s="222" t="n"/>
      <c r="Q46" s="222" t="n"/>
      <c r="R46" s="220" t="n"/>
      <c r="S46" s="220" t="n"/>
      <c r="T46" s="220" t="n"/>
      <c r="U46" s="220" t="n"/>
      <c r="V46" s="219" t="n"/>
      <c r="W46" s="218" t="n"/>
      <c r="X46" s="218" t="n"/>
      <c r="Y46" s="218" t="n"/>
    </row>
    <row r="47" ht="16.05" customFormat="1" customHeight="1" s="217">
      <c r="A47" s="51" t="inlineStr">
        <is>
          <t>integer</t>
        </is>
      </c>
      <c r="B47" s="223" t="inlineStr">
        <is>
          <t>HHSize_adultF</t>
        </is>
      </c>
      <c r="C47" s="362" t="inlineStr">
        <is>
          <t>2.6 كم عدد الإناث البالغات (بين ١٨ و ٦٠ سنة) اللواتي يعشن في منزلك؟</t>
        </is>
      </c>
      <c r="D47" s="362" t="inlineStr">
        <is>
          <t>2.6 How many adult females (between 18 and 60) are living in your household?</t>
        </is>
      </c>
      <c r="E47" s="59" t="n"/>
      <c r="F47" s="51" t="inlineStr">
        <is>
          <t>[HINT: HOUSEHOLD CONSISTS OF ALL MEMBERS LIVING TOGETHER, SHARING RESOURCES &amp; EATING FROM THE SAME POT. ENTER 888 FOR DON'T KNOW AND 999 FOR REFUSED]</t>
        </is>
      </c>
      <c r="G47"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7" s="60" t="n"/>
      <c r="I47" s="243" t="inlineStr">
        <is>
          <t>true</t>
        </is>
      </c>
      <c r="J47" s="222" t="n"/>
      <c r="K47" s="271" t="inlineStr">
        <is>
          <t>.&gt;=0 and .&lt;25</t>
        </is>
      </c>
      <c r="L47" s="222" t="n"/>
      <c r="M47" s="222" t="n"/>
      <c r="N47" s="271" t="n"/>
      <c r="O47" s="222" t="n"/>
      <c r="P47" s="222" t="n"/>
      <c r="Q47" s="222" t="n"/>
      <c r="R47" s="220" t="n"/>
      <c r="S47" s="220" t="n"/>
      <c r="T47" s="220" t="n"/>
      <c r="U47" s="220" t="n"/>
      <c r="V47" s="219" t="n"/>
      <c r="W47" s="218" t="n"/>
      <c r="X47" s="218" t="n"/>
      <c r="Y47" s="218" t="n"/>
    </row>
    <row r="48" ht="16.05" customFormat="1" customHeight="1" s="217">
      <c r="A48" s="51" t="inlineStr">
        <is>
          <t>integer</t>
        </is>
      </c>
      <c r="B48" s="223" t="inlineStr">
        <is>
          <t>HHSize_elderly</t>
        </is>
      </c>
      <c r="C48" s="362" t="inlineStr">
        <is>
          <t>2.7كم عدد المسنين (فوق ٦٠ سنة) الذين يعيشون في منزلك؟</t>
        </is>
      </c>
      <c r="D48" s="362" t="inlineStr">
        <is>
          <t>2.7How many elderly (above 60) are living in your household?</t>
        </is>
      </c>
      <c r="E48" s="59" t="n"/>
      <c r="F48" s="51" t="inlineStr">
        <is>
          <t>[HINT: HOUSEHOLD CONSISTS OF ALL MEMBERS LIVING TOGETHER, SHARING RESOURCES &amp; EATING FROM THE SAME POT. ENTER 888 FOR DON'T KNOW AND 999 FOR REFUSED]</t>
        </is>
      </c>
      <c r="G48"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8" s="60" t="n"/>
      <c r="I48" s="243" t="inlineStr">
        <is>
          <t>true</t>
        </is>
      </c>
      <c r="J48" s="222" t="n"/>
      <c r="K48" s="271" t="inlineStr">
        <is>
          <t>.&gt;=0 and .&lt;25</t>
        </is>
      </c>
      <c r="L48" s="222" t="n"/>
      <c r="M48" s="222" t="n"/>
      <c r="N48" s="271" t="n"/>
      <c r="O48" s="222" t="n"/>
      <c r="P48" s="222" t="n"/>
      <c r="Q48" s="222" t="n"/>
      <c r="R48" s="220" t="n"/>
      <c r="S48" s="220" t="n"/>
      <c r="T48" s="220" t="n"/>
      <c r="U48" s="220" t="n"/>
      <c r="V48" s="219" t="n"/>
      <c r="W48" s="218" t="n"/>
      <c r="X48" s="218" t="n"/>
      <c r="Y48" s="218" t="n"/>
    </row>
    <row r="49" ht="16.05" customFormat="1" customHeight="1" s="226">
      <c r="A49" s="51" t="inlineStr">
        <is>
          <t>integer</t>
        </is>
      </c>
      <c r="B49" s="223" t="inlineStr">
        <is>
          <t>HHSize_child</t>
        </is>
      </c>
      <c r="C49" s="362" t="inlineStr">
        <is>
          <t>2.8كم عدد القاصرين (بين ٠ و ١٧ سنة) الذين يعيشون في منزلك؟</t>
        </is>
      </c>
      <c r="D49" s="362" t="inlineStr">
        <is>
          <t>2.8How many minors (between 0 and 17) are living in your household?</t>
        </is>
      </c>
      <c r="E49" s="59" t="n"/>
      <c r="F49" s="51" t="inlineStr">
        <is>
          <t>[HINT: HOUSEHOLD CONSISTS OF ALL MEMBERS LIVING TOGETHER, SHARING RESOURCES &amp; EATING FROM THE SAME POT. ENTER 888 FOR DON'T KNOW AND 999 FOR REFUSED]</t>
        </is>
      </c>
      <c r="G49"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9" s="60" t="n"/>
      <c r="I49" s="243" t="inlineStr">
        <is>
          <t>true</t>
        </is>
      </c>
      <c r="J49" s="222" t="n"/>
      <c r="K49" s="271" t="inlineStr">
        <is>
          <t>.&gt;=0 and .&lt;25</t>
        </is>
      </c>
      <c r="L49" s="222" t="n"/>
      <c r="M49" s="222" t="n"/>
      <c r="N49" s="271" t="n"/>
      <c r="O49" s="222" t="n"/>
      <c r="P49" s="222" t="n"/>
      <c r="Q49" s="222" t="n"/>
      <c r="R49" s="222" t="n"/>
      <c r="S49" s="222" t="n"/>
      <c r="T49" s="222" t="n"/>
      <c r="U49" s="222" t="n"/>
      <c r="V49" s="227" t="n"/>
      <c r="W49" s="228" t="n"/>
      <c r="X49" s="228" t="n"/>
      <c r="Y49" s="228" t="n"/>
    </row>
    <row r="50" ht="16.05" customFormat="1" customHeight="1" s="226">
      <c r="A50" s="51" t="inlineStr">
        <is>
          <t>integer</t>
        </is>
      </c>
      <c r="B50" s="223" t="inlineStr">
        <is>
          <t>Dis_num</t>
        </is>
      </c>
      <c r="C50" s="362" t="inlineStr">
        <is>
          <t>2.9هل يوجد في الأسرة أشخاص من ذوي الاحتياجات الخاصة؟ إذا كانت الإجابة بنعم ، فكم عددها؟</t>
        </is>
      </c>
      <c r="D50" s="362" t="inlineStr">
        <is>
          <t>2.9Does your household include disabled persons? If yes how many disabled?</t>
        </is>
      </c>
      <c r="E50" s="59" t="n"/>
      <c r="F50" s="51" t="inlineStr">
        <is>
          <t>[HINT: HOUSEHOLD CONSISTS OF ALL MEMBERS LIVING TOGETHER, SHARING RESOURCES &amp; EATING FROM THE SAME POT. ENTER 888 FOR DON'T KNOW AND 999 FOR REFUSED]</t>
        </is>
      </c>
      <c r="G50"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50" s="60" t="n"/>
      <c r="I50" s="243" t="inlineStr">
        <is>
          <t>true</t>
        </is>
      </c>
      <c r="J50" s="222" t="n"/>
      <c r="K50" s="271" t="inlineStr">
        <is>
          <t>.&gt;=0 and .&lt;25</t>
        </is>
      </c>
      <c r="L50" s="222" t="n"/>
      <c r="M50" s="222" t="n"/>
      <c r="N50" s="271" t="n"/>
      <c r="O50" s="222" t="n"/>
      <c r="P50" s="222" t="n"/>
      <c r="Q50" s="222" t="n"/>
      <c r="R50" s="222" t="n"/>
      <c r="S50" s="222" t="n"/>
      <c r="T50" s="222" t="n"/>
      <c r="U50" s="222" t="n"/>
      <c r="V50" s="227" t="n"/>
      <c r="W50" s="228" t="n"/>
      <c r="X50" s="228" t="n"/>
      <c r="Y50" s="228" t="n"/>
    </row>
    <row r="51" ht="90.75" customFormat="1" customHeight="1" s="52">
      <c r="A51" s="52" t="inlineStr">
        <is>
          <t>select_one residence</t>
        </is>
      </c>
      <c r="B51" s="224" t="inlineStr">
        <is>
          <t>hh_residencetype</t>
        </is>
      </c>
      <c r="C51" s="362" t="inlineStr">
        <is>
          <t>2.10أي من أنواع الإقامة التالية يصف إقامتك بشكل أفضل؟</t>
        </is>
      </c>
      <c r="D51" s="362" t="inlineStr">
        <is>
          <t>2.10Which in the following types of residence best describes your residence?</t>
        </is>
      </c>
      <c r="E51" s="59" t="n"/>
      <c r="F51" s="30" t="inlineStr">
        <is>
          <t>[INSTRUCTIONS: READ OUT THE OPTIONS.]
[HINT: IF RESPONDENT IS ONLY AWAY FROM THE HOUSEHOLD FOR SHORT SEASONAL WORK (&lt;6 MONTHS) OR TRANSHUMANCE, MAKE SURE TO REFER TO THEIR HOUSEHOLD BACK WHERE THEY TYPICALLY ARE LOCATED.]</t>
        </is>
      </c>
      <c r="G51" s="30" t="inlineStr">
        <is>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is>
      </c>
      <c r="H51" s="60" t="n"/>
      <c r="I51" s="86" t="inlineStr">
        <is>
          <t>true</t>
        </is>
      </c>
      <c r="J51" s="86" t="n"/>
      <c r="K51" s="266" t="n"/>
      <c r="L51" s="86" t="n"/>
      <c r="M51" s="86" t="n"/>
      <c r="N51" s="266" t="n"/>
      <c r="O51" s="86" t="n"/>
      <c r="P51" s="86" t="n"/>
      <c r="Q51" s="86" t="n"/>
      <c r="V51" s="52" t="inlineStr">
        <is>
          <t>no</t>
        </is>
      </c>
      <c r="X51" s="132" t="n">
        <v>30.64618873596191</v>
      </c>
      <c r="Y51" s="114">
        <f>1</f>
        <v/>
      </c>
      <c r="Z51" s="115">
        <f>IF(X51&lt;&gt;"",X51*Y51,"")</f>
        <v/>
      </c>
      <c r="AA51" s="115">
        <f>IF(AND(X51&lt;&gt;"",V51="yes"),X51*Y51,"")</f>
        <v/>
      </c>
    </row>
    <row r="52" ht="16.05" customFormat="1" customHeight="1" s="225">
      <c r="A52" s="229" t="inlineStr">
        <is>
          <t>select_one yes_no</t>
        </is>
      </c>
      <c r="B52" s="229" t="inlineStr">
        <is>
          <t>Host_IDP</t>
        </is>
      </c>
      <c r="C52" s="362" t="inlineStr">
        <is>
          <t>2.11 هل تستضيف أسرتك حاليا أي عائلات أو أشخاص نازحين؟</t>
        </is>
      </c>
      <c r="D52" s="362" t="inlineStr">
        <is>
          <t>2.11 Are you presently hosting any displaced families or people?</t>
        </is>
      </c>
      <c r="E52" s="59" t="n"/>
      <c r="F52" s="230" t="n"/>
      <c r="G52" s="231" t="n"/>
      <c r="H52" s="60" t="n"/>
      <c r="I52" s="86" t="inlineStr">
        <is>
          <t>true</t>
        </is>
      </c>
      <c r="J52" s="229" t="n"/>
      <c r="K52" s="231" t="n"/>
      <c r="L52" s="229" t="n"/>
      <c r="M52" s="229" t="n"/>
      <c r="N52" s="231" t="n"/>
      <c r="O52" s="229" t="n"/>
      <c r="P52" s="229" t="n"/>
      <c r="Q52" s="229" t="n"/>
      <c r="R52" s="229" t="n"/>
      <c r="S52" s="229" t="n"/>
      <c r="T52" s="229" t="n"/>
      <c r="U52" s="229" t="n"/>
      <c r="V52" s="232" t="n"/>
      <c r="W52" s="233" t="n"/>
      <c r="X52" s="233" t="n"/>
      <c r="Y52" s="233" t="n"/>
    </row>
    <row r="53" ht="16.05" customFormat="1" customHeight="1" s="225">
      <c r="A53" s="229" t="inlineStr">
        <is>
          <t>integer</t>
        </is>
      </c>
      <c r="B53" s="229" t="inlineStr">
        <is>
          <t>Host_IDP_num</t>
        </is>
      </c>
      <c r="C53" s="362" t="inlineStr">
        <is>
          <t>2.12 يرجى تحديد عدد النازحين الذين تستضيفهم أسرتك</t>
        </is>
      </c>
      <c r="D53" s="362" t="inlineStr">
        <is>
          <t>2.12 Please provide the number of IDPs hosted by your household.</t>
        </is>
      </c>
      <c r="E53" s="59" t="n"/>
      <c r="F53" s="230" t="n"/>
      <c r="G53" s="231" t="n"/>
      <c r="H53" s="60" t="n"/>
      <c r="I53" s="86" t="inlineStr">
        <is>
          <t>true</t>
        </is>
      </c>
      <c r="J53" s="229" t="n"/>
      <c r="K53" s="271" t="inlineStr">
        <is>
          <t>.&gt;=0 and .&lt;50</t>
        </is>
      </c>
      <c r="L53" s="86" t="n"/>
      <c r="M53" s="229" t="n"/>
      <c r="N53" s="231" t="inlineStr">
        <is>
          <t>${Host_IDP}='1'</t>
        </is>
      </c>
      <c r="O53" s="229" t="n"/>
      <c r="P53" s="229" t="n"/>
      <c r="Q53" s="229" t="n"/>
      <c r="R53" s="229" t="n"/>
      <c r="S53" s="229" t="n"/>
      <c r="T53" s="229" t="n"/>
      <c r="U53" s="229" t="n"/>
      <c r="V53" s="232" t="n"/>
      <c r="W53" s="233" t="n"/>
      <c r="X53" s="233" t="n"/>
      <c r="Y53" s="233" t="n"/>
    </row>
    <row r="54" ht="112.05" customFormat="1" customHeight="1" s="52">
      <c r="A54" s="52" t="inlineStr">
        <is>
          <t>select_multiple asset_prod</t>
        </is>
      </c>
      <c r="B54" s="52" t="inlineStr">
        <is>
          <t>hh_asset_prod</t>
        </is>
      </c>
      <c r="C54" s="362" t="inlineStr">
        <is>
          <t>2.13 هل تمتلك أسرتك أي من الأصول الإنتاجية الآتية ؟</t>
        </is>
      </c>
      <c r="D54" s="362" t="inlineStr">
        <is>
          <t xml:space="preserve">2.13 Does your household own any of the following productive assets? </t>
        </is>
      </c>
      <c r="E54" s="65" t="n"/>
      <c r="F54" s="52" t="inlineStr">
        <is>
          <t>[INSTRUCTIONS: MULTIPLE RESPONSES POSSIBLE. READ ANSWER OPTIONS OUT LOUD.]</t>
        </is>
      </c>
      <c r="G54" s="52" t="inlineStr">
        <is>
          <t>[تعليمات: عدة استجابات محتملة. يرجي قراءة اختيارات الإجابة بصوت مرتفع]</t>
        </is>
      </c>
      <c r="H54" s="67" t="n"/>
      <c r="I54" s="86" t="inlineStr">
        <is>
          <t>true</t>
        </is>
      </c>
      <c r="J54" s="86" t="n"/>
      <c r="K54" s="266" t="inlineStr">
        <is>
          <t>if(selected(.,'none') or selected(.,'dk') or selected(.,'ref'), count-selected(.) = 1, count-selected(.) &gt;= 1)</t>
        </is>
      </c>
      <c r="L54" s="86" t="n"/>
      <c r="M54" s="86" t="n"/>
      <c r="N54" s="266" t="n"/>
      <c r="O54" s="86" t="n"/>
      <c r="P54" s="86" t="n"/>
      <c r="Q54" s="86" t="n"/>
      <c r="V54" s="52" t="inlineStr">
        <is>
          <t>no</t>
        </is>
      </c>
      <c r="X54" s="132" t="n">
        <v>17</v>
      </c>
      <c r="Y54" s="114">
        <f>1</f>
        <v/>
      </c>
      <c r="Z54" s="115">
        <f>IF(X54&lt;&gt;"",X54*Y54,"")</f>
        <v/>
      </c>
      <c r="AA54" s="115">
        <f>IF(AND(X54&lt;&gt;"",V54="yes"),X54*Y54,"")</f>
        <v/>
      </c>
    </row>
    <row r="55" ht="112.05" customFormat="1" customHeight="1" s="52">
      <c r="A55" s="52" t="inlineStr">
        <is>
          <t>select_multiple asset_transp</t>
        </is>
      </c>
      <c r="B55" s="52" t="inlineStr">
        <is>
          <t>hh_asset_transp</t>
        </is>
      </c>
      <c r="C55" s="362" t="inlineStr">
        <is>
          <t>2.14 هل تمتلك انت أو اي فرد من أفراد أسرتك أي من أصول النقل التالية ؟</t>
        </is>
      </c>
      <c r="D55" s="362" t="inlineStr">
        <is>
          <t xml:space="preserve">2.14 Do you or any member of household own any of the following transportation assets? </t>
        </is>
      </c>
      <c r="E55" s="65" t="n"/>
      <c r="F55" s="52" t="inlineStr">
        <is>
          <t>[INSTRUCTIONS: MULTIPLE RESPONSES POSSIBLE. READ ANSWER OPTIONS OUT LOUD.]</t>
        </is>
      </c>
      <c r="G55" s="52" t="inlineStr">
        <is>
          <t>[تعليمات: عدة استجابات محتملة. يرجي قراءة اختيارات الإجابة بصوت مرتفع]</t>
        </is>
      </c>
      <c r="H55" s="67" t="n"/>
      <c r="I55" s="86" t="inlineStr">
        <is>
          <t>true</t>
        </is>
      </c>
      <c r="J55" s="86" t="n"/>
      <c r="K55" s="266" t="inlineStr">
        <is>
          <t>if(selected(.,'none') or selected(.,'dk') or selected(.,'ref'), count-selected(.) = 1, count-selected(.) &gt;= 1)</t>
        </is>
      </c>
      <c r="L55" s="86" t="n"/>
      <c r="M55" s="86" t="n"/>
      <c r="N55" s="266" t="n"/>
      <c r="O55" s="86" t="n"/>
      <c r="P55" s="86" t="n"/>
      <c r="Q55" s="86" t="n"/>
      <c r="V55" s="52" t="inlineStr">
        <is>
          <t>no</t>
        </is>
      </c>
      <c r="X55" s="132" t="n">
        <v>17</v>
      </c>
      <c r="Y55" s="114">
        <f>1</f>
        <v/>
      </c>
      <c r="Z55" s="115">
        <f>IF(X55&lt;&gt;"",X55*Y55,"")</f>
        <v/>
      </c>
      <c r="AA55" s="115">
        <f>IF(AND(X55&lt;&gt;"",V55="yes"),X55*Y55,"")</f>
        <v/>
      </c>
    </row>
    <row r="56" ht="31.95" customHeight="1">
      <c r="A56" s="52" t="inlineStr">
        <is>
          <t>select_one sourceelec</t>
        </is>
      </c>
      <c r="B56" s="55" t="inlineStr">
        <is>
          <t>source_elecmain</t>
        </is>
      </c>
      <c r="C56" s="362" t="inlineStr">
        <is>
          <t>2.15 ما هو مصدر الكهرباء الذي تستخدمه معظم الوقت في منزلك؟</t>
        </is>
      </c>
      <c r="D56" s="362" t="inlineStr">
        <is>
          <t>2.15 What source of electricity is used most of the time in your household?</t>
        </is>
      </c>
      <c r="E56" s="65" t="n"/>
      <c r="F56" s="30" t="inlineStr">
        <is>
          <t>[INSTRUCTIONS: READ OUT THE OPTIONS.]</t>
        </is>
      </c>
      <c r="G56" s="55" t="inlineStr">
        <is>
          <t>[تعليمات: اقرأ الخيارات]</t>
        </is>
      </c>
      <c r="H56" s="67" t="n"/>
      <c r="I56" s="86" t="inlineStr">
        <is>
          <t>true</t>
        </is>
      </c>
      <c r="J56" s="81" t="n"/>
      <c r="K56" s="267" t="n"/>
      <c r="L56" s="81" t="n"/>
      <c r="M56" s="81" t="n"/>
      <c r="N56" s="267" t="n"/>
      <c r="O56" s="81" t="n"/>
      <c r="P56" s="81" t="n"/>
      <c r="Q56" s="81" t="n"/>
      <c r="X56" s="132" t="n"/>
      <c r="Z56" s="115" t="n"/>
      <c r="AA56" s="115" t="n"/>
    </row>
    <row r="57" ht="31.95" customHeight="1">
      <c r="A57" s="52" t="inlineStr">
        <is>
          <t>text</t>
        </is>
      </c>
      <c r="B57" s="55" t="inlineStr">
        <is>
          <t>source_elecmain_other</t>
        </is>
      </c>
      <c r="C57" s="362" t="inlineStr">
        <is>
          <t>2.16 إذا كانت الإجابة "آخر"، حدد</t>
        </is>
      </c>
      <c r="D57" s="362" t="inlineStr">
        <is>
          <t>2.16 If other, specify</t>
        </is>
      </c>
      <c r="E57" s="59" t="n"/>
      <c r="F57" s="55" t="inlineStr">
        <is>
          <t>[INSTRUCTIONS: RECORD THE OPEN RESPONSE GIVEN IN FEW WORDS. ENTER 888 FOR DON'T KNOW AND 999 FOR REFUSED]</t>
        </is>
      </c>
      <c r="G57" s="52" t="inlineStr">
        <is>
          <t>[تعليمات: سجل في بضع كلمات الاستجابة المفتوحة المعطاة . أدخل 888 للا أعرف و 999 في حالة الرفض]</t>
        </is>
      </c>
      <c r="H57" s="60" t="n"/>
      <c r="I57" s="86" t="inlineStr">
        <is>
          <t>true</t>
        </is>
      </c>
      <c r="K57" s="325" t="inlineStr">
        <is>
          <t>string-length(.)&gt;=3</t>
        </is>
      </c>
      <c r="L57" s="306" t="inlineStr">
        <is>
          <t>عفوا، الرجاء تقديم نص و شرح اكثر وضوحا.</t>
        </is>
      </c>
      <c r="M57" s="306" t="inlineStr">
        <is>
          <t>Sorry, Please provide a much more meaningful text</t>
        </is>
      </c>
      <c r="N57" s="272" t="inlineStr">
        <is>
          <t>${source_elecmain} = 'other'</t>
        </is>
      </c>
      <c r="X57" s="132" t="n"/>
      <c r="Y57" s="114">
        <f>1</f>
        <v/>
      </c>
      <c r="Z57" s="115">
        <f>IF(X57&lt;&gt;"",X57*Y57,"")</f>
        <v/>
      </c>
      <c r="AA57" s="115">
        <f>IF(AND(X57&lt;&gt;"",V57="yes"),X57*Y57,"")</f>
        <v/>
      </c>
    </row>
    <row r="58" ht="28.05" customHeight="1">
      <c r="A58" s="52" t="inlineStr">
        <is>
          <t>integer</t>
        </is>
      </c>
      <c r="B58" s="55" t="inlineStr">
        <is>
          <t>source_elecmain_price</t>
        </is>
      </c>
      <c r="C58" s="362" t="inlineStr">
        <is>
          <t>2.17 كم تنفق شهرياً على هذا المصدر للكهرباء؟ (بالدولار الأمريكي)</t>
        </is>
      </c>
      <c r="D58" s="362" t="inlineStr">
        <is>
          <t>2.17 How much do you spend per month on this source of electricity? (in USD)</t>
        </is>
      </c>
      <c r="E58" s="59" t="n"/>
      <c r="H58" s="60" t="n"/>
      <c r="I58" s="86" t="inlineStr">
        <is>
          <t>true</t>
        </is>
      </c>
      <c r="K58" s="271" t="inlineStr">
        <is>
          <t>.&gt;=0 and .&lt;=150</t>
        </is>
      </c>
      <c r="N58" s="272" t="inlineStr">
        <is>
          <t xml:space="preserve">${source_elecmain} != '1' and ${source_elecmain} != 'ref' and ${source_elecmain} != 'dk' </t>
        </is>
      </c>
      <c r="X58" s="132" t="n"/>
      <c r="Z58" s="115" t="n"/>
      <c r="AA58" s="115" t="n"/>
    </row>
    <row r="59" ht="31.95" customHeight="1">
      <c r="A59" s="52" t="inlineStr">
        <is>
          <t>select_one sourceelec2</t>
        </is>
      </c>
      <c r="B59" s="55" t="inlineStr">
        <is>
          <t>source_elec2</t>
        </is>
      </c>
      <c r="C59" s="362" t="inlineStr">
        <is>
          <t>2.18 ما هو ثاني أكثر مصدر للكهرباء استخدامًا في منزلك؟</t>
        </is>
      </c>
      <c r="D59" s="362" t="inlineStr">
        <is>
          <t>2.18 What is the second most used source of electricity in your household?</t>
        </is>
      </c>
      <c r="E59" s="59" t="n"/>
      <c r="F59" s="30" t="inlineStr">
        <is>
          <t>[INSTRUCTIONS: READ OUT THE OPTIONS.]</t>
        </is>
      </c>
      <c r="G59" s="28" t="inlineStr">
        <is>
          <t>[تعليمات: اقرأ الخيارات]</t>
        </is>
      </c>
      <c r="H59" s="60" t="n"/>
      <c r="I59" s="86" t="inlineStr">
        <is>
          <t>true</t>
        </is>
      </c>
      <c r="K59" s="272" t="inlineStr">
        <is>
          <t>${source_elec2} != ${source_elecmain}</t>
        </is>
      </c>
      <c r="N59" s="272" t="inlineStr">
        <is>
          <t xml:space="preserve">${source_elecmain} != '1' and ${source_elecmain} != 'ref'  and ${source_elecmain} != 'dk' </t>
        </is>
      </c>
      <c r="X59" s="132" t="n"/>
      <c r="Z59" s="115" t="n"/>
      <c r="AA59" s="115" t="n"/>
    </row>
    <row r="60" ht="31.95" customHeight="1">
      <c r="A60" s="52" t="inlineStr">
        <is>
          <t>text</t>
        </is>
      </c>
      <c r="B60" s="55" t="inlineStr">
        <is>
          <t>source_elec2_other</t>
        </is>
      </c>
      <c r="C60" s="362" t="inlineStr">
        <is>
          <t>2.19 إذا كانت الإجابة "آخر"، حدد</t>
        </is>
      </c>
      <c r="D60" s="362" t="inlineStr">
        <is>
          <t>2.19 If other, specify</t>
        </is>
      </c>
      <c r="E60" s="59" t="n"/>
      <c r="F60" s="55" t="inlineStr">
        <is>
          <t>[INSTRUCTIONS: RECORD THE OPEN RESPONSE GIVEN IN FEW WORDS. ENTER 888 FOR DON'T KNOW AND 999 FOR REFUSED]</t>
        </is>
      </c>
      <c r="G60" s="52" t="inlineStr">
        <is>
          <t>[تعليمات: سجل في بضع كلمات الاستجابة المفتوحة المعطاة . أدخل 888 للا أعرف و 999 في حالة الرفض]</t>
        </is>
      </c>
      <c r="H60" s="60" t="n"/>
      <c r="I60" s="86" t="inlineStr">
        <is>
          <t>true</t>
        </is>
      </c>
      <c r="K60" s="325" t="inlineStr">
        <is>
          <t>string-length(.)&gt;=3</t>
        </is>
      </c>
      <c r="L60" s="306" t="inlineStr">
        <is>
          <t>عفوا، الرجاء تقديم نص و شرح اكثر وضوحا.</t>
        </is>
      </c>
      <c r="M60" s="306" t="inlineStr">
        <is>
          <t>Sorry, Please provide a much more meaningful text</t>
        </is>
      </c>
      <c r="N60" s="272" t="inlineStr">
        <is>
          <t>${source_elecmain} != '1' and ${source_elecmain} != 'ref'  and ${source_elecmain} != 'dk' and ${source_elec2} = 'other'</t>
        </is>
      </c>
      <c r="X60" s="132" t="n"/>
      <c r="Z60" s="115" t="n"/>
      <c r="AA60" s="115" t="n"/>
    </row>
    <row r="61" ht="31.95" customHeight="1">
      <c r="A61" s="52" t="inlineStr">
        <is>
          <t>integer</t>
        </is>
      </c>
      <c r="B61" s="55" t="inlineStr">
        <is>
          <t>source_elec2_price</t>
        </is>
      </c>
      <c r="C61" s="362" t="inlineStr">
        <is>
          <t>2.20 كم تنفق شهرياً على هذا المصدر للكهرباء؟ (بالدولار الأمريكي)</t>
        </is>
      </c>
      <c r="D61" s="362" t="inlineStr">
        <is>
          <t>2.20 How much do you spend per month on this source of electricity? (in USD)</t>
        </is>
      </c>
      <c r="E61" s="59" t="n"/>
      <c r="H61" s="60" t="n"/>
      <c r="I61" s="86" t="inlineStr">
        <is>
          <t>true</t>
        </is>
      </c>
      <c r="K61" s="271" t="inlineStr">
        <is>
          <t>.&gt;=0 and .&lt;=150</t>
        </is>
      </c>
      <c r="N61" s="272" t="inlineStr">
        <is>
          <t xml:space="preserve">${source_elecmain} != '1' and ${source_elecmain} != 'ref'  and ${source_elecmain} != 'dk'  and ${source_elec2} != '7' and ${source_elec2} != 'ref'  and ${source_elec2} != 'dk' </t>
        </is>
      </c>
      <c r="X61" s="132" t="n"/>
      <c r="Z61" s="115" t="n"/>
      <c r="AA61" s="115" t="n"/>
    </row>
    <row r="62" ht="16.05" customHeight="1" thickBot="1">
      <c r="A62" s="68" t="inlineStr">
        <is>
          <t>end_group</t>
        </is>
      </c>
      <c r="B62" s="68" t="n"/>
      <c r="C62" s="369" t="n"/>
      <c r="D62" s="369" t="n"/>
      <c r="E62" s="244" t="n"/>
      <c r="F62" s="68" t="n"/>
      <c r="G62" s="68" t="n"/>
      <c r="H62" s="73" t="n"/>
      <c r="I62" s="247" t="n"/>
      <c r="J62" s="247" t="n"/>
      <c r="K62" s="273" t="n"/>
      <c r="L62" s="247" t="n"/>
      <c r="M62" s="247" t="n"/>
      <c r="N62" s="273" t="n"/>
      <c r="O62" s="247" t="n"/>
      <c r="P62" s="247" t="n"/>
      <c r="Q62" s="247" t="n"/>
      <c r="X62" s="132" t="n"/>
      <c r="Y62" s="114">
        <f>1</f>
        <v/>
      </c>
      <c r="Z62" s="115">
        <f>IF(X62&lt;&gt;"",X62*Y62,"")</f>
        <v/>
      </c>
      <c r="AA62" s="115">
        <f>IF(AND(X62&lt;&gt;"",V62="yes"),X62*Y62,"")</f>
        <v/>
      </c>
    </row>
    <row r="63" ht="54" customFormat="1" customHeight="1" s="49" thickTop="1">
      <c r="A63" s="283" t="inlineStr">
        <is>
          <t>begin_group</t>
        </is>
      </c>
      <c r="B63" s="283" t="inlineStr">
        <is>
          <t>Income_Shocks_group</t>
        </is>
      </c>
      <c r="C63" s="365" t="inlineStr">
        <is>
          <t>3. مصادر الدخل وسبل العيش والصدمات</t>
        </is>
      </c>
      <c r="D63" s="365" t="inlineStr">
        <is>
          <t>3. INCOME SOURCES, LIVELIHOODS AND SHOCKS</t>
        </is>
      </c>
      <c r="E63" s="121" t="n"/>
      <c r="F63" s="57" t="n"/>
      <c r="G63" s="57" t="n"/>
      <c r="H63" s="122" t="n"/>
      <c r="I63" s="87" t="inlineStr">
        <is>
          <t>false</t>
        </is>
      </c>
      <c r="J63" s="87" t="n"/>
      <c r="K63" s="302" t="n"/>
      <c r="L63" s="87" t="n"/>
      <c r="M63" s="87" t="n"/>
      <c r="N63" s="329" t="inlineStr">
        <is>
          <t>${resp_agree} = '1' and ${hh_agricactivity} != 'dk' and ${hh_agricactivity} != 'ref'</t>
        </is>
      </c>
      <c r="O63" s="87" t="n"/>
      <c r="P63" s="87" t="n"/>
      <c r="Q63" s="87" t="n"/>
      <c r="V63" s="28" t="inlineStr">
        <is>
          <t>yes</t>
        </is>
      </c>
      <c r="X63" s="132" t="n"/>
      <c r="Y63" s="114">
        <f>1</f>
        <v/>
      </c>
      <c r="Z63" s="115">
        <f>IF(X63&lt;&gt;"",X63*Y63,"")</f>
        <v/>
      </c>
      <c r="AA63" s="115">
        <f>IF(AND(X63&lt;&gt;"",V63="yes"),X63*Y63,"")</f>
        <v/>
      </c>
      <c r="AB63" s="50" t="n"/>
    </row>
    <row r="64" ht="64.05" customFormat="1" customHeight="1" s="214">
      <c r="A64" s="208" t="inlineStr">
        <is>
          <t>select_one incomesource1</t>
        </is>
      </c>
      <c r="B64" s="208" t="inlineStr">
        <is>
          <t>income_main</t>
        </is>
      </c>
      <c r="C64" s="362" t="inlineStr">
        <is>
          <t>3.1 ما هو مصدر الدخل الرئيسي لأسرتك منذ الزلزال؟</t>
        </is>
      </c>
      <c r="D64" s="362" t="inlineStr">
        <is>
          <t>3.1 What has your household's main source of income been since the earthquake?</t>
        </is>
      </c>
      <c r="E64" s="65" t="n"/>
      <c r="F64" s="210" t="inlineStr">
        <is>
          <t>[INSTRUCTIONS: REFUSED OPTIONS SHOULD BE AVOIDED AS MUCH AS POSSIBLE.]</t>
        </is>
      </c>
      <c r="G64" s="214" t="inlineStr">
        <is>
          <t>[تعليمات: يجب تجنب الخيار "رفض الإجابة" قدر الإمكان]</t>
        </is>
      </c>
      <c r="H64" s="67" t="n"/>
      <c r="I64" s="211" t="inlineStr">
        <is>
          <t>true</t>
        </is>
      </c>
      <c r="J64" s="211" t="inlineStr">
        <is>
          <t>minimal</t>
        </is>
      </c>
      <c r="K64" s="267" t="n"/>
      <c r="L64" s="211" t="n"/>
      <c r="M64" s="81" t="n"/>
      <c r="N64" s="274" t="n"/>
      <c r="O64" s="26" t="inlineStr">
        <is>
          <t>if(${hh_agricactivity}='1',agfilter1='1',if(${hh_agricactivity}='2',agfilter2='2',if(${hh_agricactivity}='3',agfilter3='3',agfilter4='4')))</t>
        </is>
      </c>
      <c r="P64" s="211" t="n"/>
      <c r="Q64" s="211" t="n"/>
      <c r="V64" s="214" t="inlineStr">
        <is>
          <t>yes</t>
        </is>
      </c>
      <c r="X64" s="212" t="n">
        <v>36.92873382568359</v>
      </c>
      <c r="Y64" s="215">
        <f>1</f>
        <v/>
      </c>
      <c r="Z64" s="213">
        <f>IF(X64&lt;&gt;"",X64*Y64,"")</f>
        <v/>
      </c>
      <c r="AA64" s="213">
        <f>IF(AND(X64&lt;&gt;"",V64="yes"),X64*Y64,"")</f>
        <v/>
      </c>
      <c r="AB64" s="210" t="n"/>
    </row>
    <row r="65">
      <c r="A65" s="55" t="inlineStr">
        <is>
          <t>calculate</t>
        </is>
      </c>
      <c r="B65" s="55" t="inlineStr">
        <is>
          <t>incomemain</t>
        </is>
      </c>
      <c r="C65" s="364" t="n"/>
      <c r="D65" s="364" t="n"/>
      <c r="E65" s="65" t="n"/>
      <c r="F65" s="52" t="n"/>
      <c r="G65" s="52" t="n"/>
      <c r="H65" s="67" t="n"/>
      <c r="I65" s="81" t="n"/>
      <c r="J65" s="81" t="n"/>
      <c r="L65" s="81" t="n"/>
      <c r="M65" s="81" t="n"/>
      <c r="N65" s="267" t="n"/>
      <c r="O65" s="81" t="n"/>
      <c r="P65" s="81" t="n"/>
      <c r="Q65" s="81" t="inlineStr">
        <is>
          <t>jr:choice-name(${income_main},'${income_main}')</t>
        </is>
      </c>
      <c r="V65" s="28" t="inlineStr">
        <is>
          <t>yes</t>
        </is>
      </c>
      <c r="X65" s="132" t="n"/>
      <c r="Y65" s="114">
        <f>1</f>
        <v/>
      </c>
      <c r="Z65" s="115">
        <f>IF(X65&lt;&gt;"",X65*Y65,"")</f>
        <v/>
      </c>
      <c r="AA65" s="115">
        <f>IF(AND(X65&lt;&gt;"",V65="yes"),X65*Y65,"")</f>
        <v/>
      </c>
    </row>
    <row r="66" ht="48" customHeight="1">
      <c r="A66" s="55" t="inlineStr">
        <is>
          <t>select_one yes_no</t>
        </is>
      </c>
      <c r="B66" s="55" t="inlineStr">
        <is>
          <t>income_main_crop_check</t>
        </is>
      </c>
      <c r="C66" s="362" t="inlineStr">
        <is>
          <t>3.2 هل المحاصيل التي تبيعها هي من إنتاجك أنت أو أي شخص في أسرتك؟</t>
        </is>
      </c>
      <c r="D66" s="362" t="inlineStr">
        <is>
          <t xml:space="preserve">3.2 Are the crops that you sell produced by you or anyone in your household? </t>
        </is>
      </c>
      <c r="E66" s="65" t="n"/>
      <c r="F66" s="52" t="n"/>
      <c r="G66" s="52" t="n"/>
      <c r="H66" s="67" t="n"/>
      <c r="I66" s="81" t="inlineStr">
        <is>
          <t>true</t>
        </is>
      </c>
      <c r="J66" s="81" t="n"/>
      <c r="K66" s="267" t="n"/>
      <c r="L66" s="81" t="n"/>
      <c r="M66" s="81" t="n"/>
      <c r="N66" s="267" t="inlineStr">
        <is>
          <t xml:space="preserve">${income_main} = '1' or ${income_main} = '2' or ${income_main} = '3' </t>
        </is>
      </c>
      <c r="O66" s="81" t="n"/>
      <c r="P66" s="81" t="n"/>
      <c r="Q66" s="81" t="n"/>
      <c r="V66" s="28" t="inlineStr">
        <is>
          <t>yes</t>
        </is>
      </c>
      <c r="X66" s="132" t="n">
        <v>0</v>
      </c>
      <c r="Y66" s="114">
        <f>1</f>
        <v/>
      </c>
      <c r="Z66" s="115">
        <f>IF(X66&lt;&gt;"",X66*Y66,"")</f>
        <v/>
      </c>
      <c r="AA66" s="115">
        <f>IF(AND(X66&lt;&gt;"",V66="yes"),X66*Y66,"")</f>
        <v/>
      </c>
    </row>
    <row r="67" ht="16.05" customHeight="1">
      <c r="A67" s="55" t="inlineStr">
        <is>
          <t>select_one yes_no</t>
        </is>
      </c>
      <c r="B67" s="55" t="inlineStr">
        <is>
          <t>income_main_ls_check</t>
        </is>
      </c>
      <c r="C67" s="362" t="inlineStr">
        <is>
          <t>3.3 هل المواشي ومنتجاتها التي تبيعها هي من إنتاجك أنت أو أي شخص في أسرتك؟</t>
        </is>
      </c>
      <c r="D67" s="362" t="inlineStr">
        <is>
          <t xml:space="preserve">3.3 Are the livestock and livestock products that you sell produced by you or anyone in your household? </t>
        </is>
      </c>
      <c r="E67" s="65" t="n"/>
      <c r="F67" s="52" t="n"/>
      <c r="G67" s="52" t="n"/>
      <c r="H67" s="67" t="n"/>
      <c r="I67" s="81" t="inlineStr">
        <is>
          <t>true</t>
        </is>
      </c>
      <c r="J67" s="81" t="n"/>
      <c r="K67" s="267" t="n"/>
      <c r="L67" s="81" t="n"/>
      <c r="M67" s="81" t="n"/>
      <c r="N67" s="267" t="inlineStr">
        <is>
          <t>${income_main} = '4'</t>
        </is>
      </c>
      <c r="O67" s="81" t="n"/>
      <c r="P67" s="81" t="n"/>
      <c r="Q67" s="81" t="n"/>
      <c r="V67" s="28" t="inlineStr">
        <is>
          <t>yes</t>
        </is>
      </c>
      <c r="X67" s="132" t="n">
        <v>0</v>
      </c>
      <c r="Y67" s="114">
        <f>1</f>
        <v/>
      </c>
      <c r="Z67" s="115">
        <f>IF(X67&lt;&gt;"",X67*Y67,"")</f>
        <v/>
      </c>
      <c r="AA67" s="115">
        <f>IF(AND(X67&lt;&gt;"",V67="yes"),X67*Y67,"")</f>
        <v/>
      </c>
    </row>
    <row r="68" ht="16.05" customHeight="1">
      <c r="A68" s="55" t="inlineStr">
        <is>
          <t>select_one yes_no</t>
        </is>
      </c>
      <c r="B68" s="55" t="inlineStr">
        <is>
          <t>income_main_fish_check</t>
        </is>
      </c>
      <c r="C68" s="362" t="inlineStr">
        <is>
          <t>3.4 هل الأسماك/منتجات الأسماك التي تبيعها هي من إنتاجك أنت أو أي شخص في أسرتك؟</t>
        </is>
      </c>
      <c r="D68" s="362" t="inlineStr">
        <is>
          <t xml:space="preserve">3.4 Are the fish and/or fish products that you sell also captured or harvested by you or anyone in your household? </t>
        </is>
      </c>
      <c r="E68" s="65" t="n"/>
      <c r="F68" s="52" t="n"/>
      <c r="G68" s="52" t="n"/>
      <c r="H68" s="67" t="n"/>
      <c r="I68" s="81" t="inlineStr">
        <is>
          <t>true</t>
        </is>
      </c>
      <c r="J68" s="81" t="n"/>
      <c r="K68" s="267" t="n"/>
      <c r="L68" s="81" t="n"/>
      <c r="M68" s="81" t="n"/>
      <c r="N68" s="267" t="inlineStr">
        <is>
          <t>${income_main} = '6'</t>
        </is>
      </c>
      <c r="O68" s="81" t="n"/>
      <c r="P68" s="81" t="n"/>
      <c r="Q68" s="81" t="n"/>
      <c r="V68" s="28" t="inlineStr">
        <is>
          <t>yes</t>
        </is>
      </c>
      <c r="X68" s="132" t="n">
        <v>0</v>
      </c>
      <c r="Y68" s="114">
        <f>1</f>
        <v/>
      </c>
      <c r="Z68" s="115">
        <f>IF(X68&lt;&gt;"",X68*Y68,"")</f>
        <v/>
      </c>
      <c r="AA68" s="115">
        <f>IF(AND(X68&lt;&gt;"",V68="yes"),X68*Y68,"")</f>
        <v/>
      </c>
    </row>
    <row r="69" ht="31.95" customFormat="1" customHeight="1" s="55">
      <c r="A69" s="55" t="inlineStr">
        <is>
          <t>select_one gender_inc_1</t>
        </is>
      </c>
      <c r="B69" s="55" t="inlineStr">
        <is>
          <t>income_main_gender</t>
        </is>
      </c>
      <c r="C69" s="362" t="inlineStr">
        <is>
          <t xml:space="preserve">3.5 ما هو جنس الفرد ( الأفراد ) داخل الاسرة الذين يحصلون علي الدخل من هذا المصدر ؟ </t>
        </is>
      </c>
      <c r="D69" s="362" t="inlineStr">
        <is>
          <t xml:space="preserve">3.5 What is the gender of the household member(s) generating income from this source? </t>
        </is>
      </c>
      <c r="E69" s="67" t="n"/>
      <c r="H69" s="67" t="n"/>
      <c r="I69" s="81" t="inlineStr">
        <is>
          <t>true</t>
        </is>
      </c>
      <c r="J69" s="81" t="n"/>
      <c r="K69" s="267" t="n"/>
      <c r="L69" s="81" t="n"/>
      <c r="M69" s="81" t="n"/>
      <c r="N69" s="267" t="inlineStr">
        <is>
          <t>${income_main} != '19' and ${income_main} != 'ref'</t>
        </is>
      </c>
      <c r="O69" s="81" t="n"/>
      <c r="P69" s="81" t="n"/>
      <c r="Q69" s="81" t="n"/>
      <c r="X69" s="133" t="n"/>
      <c r="Y69" s="151" t="n"/>
      <c r="Z69" s="152" t="n"/>
      <c r="AA69" s="152" t="n"/>
    </row>
    <row r="70" ht="31.95" customFormat="1" customHeight="1" s="55">
      <c r="A70" s="55" t="inlineStr">
        <is>
          <t>select_one gender_inc_2</t>
        </is>
      </c>
      <c r="B70" s="55" t="inlineStr">
        <is>
          <t>income_main_control</t>
        </is>
      </c>
      <c r="C70" s="362" t="inlineStr">
        <is>
          <t>3.6 من هو المتحكم فى الدخل الذي تكسبه الاسرة من هذا المصدر ؟</t>
        </is>
      </c>
      <c r="D70" s="362" t="inlineStr">
        <is>
          <t xml:space="preserve">3.6 Who controls the revenue that is earned from this source? </t>
        </is>
      </c>
      <c r="E70" s="67" t="n"/>
      <c r="H70" s="67" t="n"/>
      <c r="I70" s="81" t="inlineStr">
        <is>
          <t>true</t>
        </is>
      </c>
      <c r="J70" s="81" t="n"/>
      <c r="K70" s="267" t="n"/>
      <c r="L70" s="81" t="n"/>
      <c r="M70" s="81" t="n"/>
      <c r="N70" s="267" t="inlineStr">
        <is>
          <t>${income_main} != '19' and ${income_main} != 'ref'</t>
        </is>
      </c>
      <c r="O70" s="81" t="n"/>
      <c r="P70" s="81" t="n"/>
      <c r="Q70" s="81" t="n"/>
      <c r="X70" s="133" t="n"/>
      <c r="Y70" s="151" t="n"/>
      <c r="Z70" s="152" t="n"/>
      <c r="AA70" s="152" t="n"/>
    </row>
    <row r="71" ht="31.95" customHeight="1">
      <c r="A71" s="55" t="inlineStr">
        <is>
          <t>select_one change2</t>
        </is>
      </c>
      <c r="B71" s="55" t="inlineStr">
        <is>
          <t>income_main_comp</t>
        </is>
      </c>
      <c r="C71" s="362" t="inlineStr">
        <is>
          <t>3.7 هل تغير دخل أسرتك من ${incomemain} منذ الزلزال مقارنة بنفس الفترة من السنة العادية؟</t>
        </is>
      </c>
      <c r="D71" s="362" t="inlineStr">
        <is>
          <t>3.7 Has your household's income from ${incomemain} changed since the earthquake compared to the same period of a normal year?</t>
        </is>
      </c>
      <c r="E71" s="67" t="n"/>
      <c r="H71" s="67" t="n"/>
      <c r="I71" s="81" t="inlineStr">
        <is>
          <t>true</t>
        </is>
      </c>
      <c r="J71" s="81" t="n"/>
      <c r="K71" s="267" t="n"/>
      <c r="L71" s="81" t="n"/>
      <c r="M71" s="81" t="n"/>
      <c r="N71" s="267" t="inlineStr">
        <is>
          <t>${income_main} != '19' and ${income_main} != 'ref'</t>
        </is>
      </c>
      <c r="Q71" s="81" t="n"/>
      <c r="V71" s="28" t="inlineStr">
        <is>
          <t>yes</t>
        </is>
      </c>
      <c r="X71" s="132" t="n">
        <v>27.24216651916504</v>
      </c>
      <c r="Y71" s="114">
        <f>1</f>
        <v/>
      </c>
      <c r="Z71" s="115">
        <f>IF(X71&lt;&gt;"",X71*Y71,"")</f>
        <v/>
      </c>
      <c r="AA71" s="115">
        <f>IF(AND(X71&lt;&gt;"",V71="yes"),X71*Y71,"")</f>
        <v/>
      </c>
    </row>
    <row r="72" ht="79.95" customFormat="1" customHeight="1" s="214">
      <c r="A72" s="208" t="inlineStr">
        <is>
          <t>select_one incomesource2</t>
        </is>
      </c>
      <c r="B72" s="208" t="inlineStr">
        <is>
          <t>income_sec</t>
        </is>
      </c>
      <c r="C72" s="362" t="inlineStr">
        <is>
          <t>3.8 ما هو ثاني أهم مصدر دخل لأسرتك منذ الزلزال ؟</t>
        </is>
      </c>
      <c r="D72" s="362" t="inlineStr">
        <is>
          <t>3.8 What has your household's second most important source of income been since the earthquake?</t>
        </is>
      </c>
      <c r="E72" s="67" t="n"/>
      <c r="F72" s="210" t="inlineStr">
        <is>
          <t>[INSTRUCTIONS: DON'T KNOW AND REFUSED OPTIONS SHOULD BE AVOIDED AS MUCH AS POSSIBLE.]</t>
        </is>
      </c>
      <c r="G72" s="214" t="inlineStr">
        <is>
          <t>[تعليمات: يجب تجنب خيارات الإجابة "لا أعرف" و "رفض الإجابة" قدر الإمكان]</t>
        </is>
      </c>
      <c r="H72" s="67" t="n"/>
      <c r="I72" s="211" t="inlineStr">
        <is>
          <t>true</t>
        </is>
      </c>
      <c r="J72" s="211" t="inlineStr">
        <is>
          <t>minimal</t>
        </is>
      </c>
      <c r="K72" s="274" t="n"/>
      <c r="L72" s="211" t="n"/>
      <c r="M72" s="81" t="n"/>
      <c r="N72" s="267" t="inlineStr">
        <is>
          <t>${income_main} != '19' and ${income_main} != 'ref'</t>
        </is>
      </c>
      <c r="O72" s="267" t="inlineStr">
        <is>
          <t>if(${hh_agricactivity}='1',agfilter1='1',if(${hh_agricactivity}='2',agfilter2='2',if(${hh_agricactivity}='3',agfilter3='3',agfilter4='4'))) and not(selected(${income_main}, name))</t>
        </is>
      </c>
      <c r="P72" s="211" t="n"/>
      <c r="Q72" s="211" t="n"/>
      <c r="V72" s="214" t="inlineStr">
        <is>
          <t>yes</t>
        </is>
      </c>
      <c r="X72" s="212" t="n">
        <v>25.30800437927246</v>
      </c>
      <c r="Y72" s="215">
        <f>1</f>
        <v/>
      </c>
      <c r="Z72" s="213">
        <f>IF(X72&lt;&gt;"",X72*Y72,"")</f>
        <v/>
      </c>
      <c r="AA72" s="213">
        <f>IF(AND(X72&lt;&gt;"",V72="yes"),X72*Y72,"")</f>
        <v/>
      </c>
      <c r="AB72" s="210" t="n"/>
    </row>
    <row r="73">
      <c r="A73" s="55" t="inlineStr">
        <is>
          <t>calculate</t>
        </is>
      </c>
      <c r="B73" s="55" t="inlineStr">
        <is>
          <t>incomesec</t>
        </is>
      </c>
      <c r="C73" s="364" t="n"/>
      <c r="D73" s="364" t="n"/>
      <c r="E73" s="65" t="n"/>
      <c r="F73" s="52" t="n"/>
      <c r="G73" s="52" t="n"/>
      <c r="H73" s="67" t="n"/>
      <c r="I73" s="81" t="n"/>
      <c r="J73" s="81" t="n"/>
      <c r="K73" s="267" t="n"/>
      <c r="L73" s="81" t="n"/>
      <c r="M73" s="81" t="n"/>
      <c r="N73" s="267" t="n"/>
      <c r="O73" s="81" t="n"/>
      <c r="P73" s="81" t="n"/>
      <c r="Q73" s="81" t="inlineStr">
        <is>
          <t>jr:choice-name(${income_sec},'${income_sec}')</t>
        </is>
      </c>
      <c r="V73" s="28" t="inlineStr">
        <is>
          <t>yes</t>
        </is>
      </c>
      <c r="X73" s="132" t="n"/>
      <c r="Y73" s="114">
        <f>1</f>
        <v/>
      </c>
      <c r="Z73" s="115">
        <f>IF(X73&lt;&gt;"",X73*Y73,"")</f>
        <v/>
      </c>
      <c r="AA73" s="115">
        <f>IF(AND(X73&lt;&gt;"",V73="yes"),X73*Y73,"")</f>
        <v/>
      </c>
    </row>
    <row r="74" ht="31.95" customHeight="1">
      <c r="A74" s="55" t="inlineStr">
        <is>
          <t>select_one yes_no</t>
        </is>
      </c>
      <c r="B74" s="55" t="inlineStr">
        <is>
          <t>income_sec_crop_check</t>
        </is>
      </c>
      <c r="C74" s="362" t="inlineStr">
        <is>
          <t>3.9 هل المحاصيل التي تبيعها هي من إنتاجك أنت أو أي شخص في أسرتك؟</t>
        </is>
      </c>
      <c r="D74" s="362" t="inlineStr">
        <is>
          <t xml:space="preserve">3.9 Are the crops that you sell produced by you or anyone in your household? </t>
        </is>
      </c>
      <c r="E74" s="65" t="n"/>
      <c r="F74" s="52" t="n"/>
      <c r="G74" s="52" t="n"/>
      <c r="H74" s="67" t="n"/>
      <c r="I74" s="81" t="inlineStr">
        <is>
          <t>true</t>
        </is>
      </c>
      <c r="J74" s="81" t="n"/>
      <c r="K74" s="267" t="n"/>
      <c r="L74" s="81" t="n"/>
      <c r="M74" s="81" t="n"/>
      <c r="N74" s="267" t="inlineStr">
        <is>
          <t xml:space="preserve">${income_sec} = '1' or ${income_sec} = '2' or ${income_sec} = '3' </t>
        </is>
      </c>
      <c r="O74" s="81" t="n"/>
      <c r="P74" s="81" t="n"/>
      <c r="Q74" s="81" t="n"/>
      <c r="V74" s="28" t="inlineStr">
        <is>
          <t>yes</t>
        </is>
      </c>
      <c r="X74" s="132" t="n">
        <v>0</v>
      </c>
      <c r="Y74" s="114">
        <f>1</f>
        <v/>
      </c>
      <c r="Z74" s="115">
        <f>IF(X74&lt;&gt;"",X74*Y74,"")</f>
        <v/>
      </c>
      <c r="AA74" s="115">
        <f>IF(AND(X74&lt;&gt;"",V74="yes"),X74*Y74,"")</f>
        <v/>
      </c>
    </row>
    <row r="75" ht="16.05" customHeight="1">
      <c r="A75" s="55" t="inlineStr">
        <is>
          <t>select_one yes_no</t>
        </is>
      </c>
      <c r="B75" s="55" t="inlineStr">
        <is>
          <t>income_sec_ls_check</t>
        </is>
      </c>
      <c r="C75" s="362" t="inlineStr">
        <is>
          <t>3.10 هل المواشي ومنتجاتها التي تبيعها هي من إنتاجك أنت أو أي شخص في أسرتك؟</t>
        </is>
      </c>
      <c r="D75" s="362" t="inlineStr">
        <is>
          <t xml:space="preserve">3.10 Are the livestock and livestock products that you sell produced by you or anyone in your household? </t>
        </is>
      </c>
      <c r="E75" s="65" t="n"/>
      <c r="F75" s="52" t="n"/>
      <c r="G75" s="52" t="n"/>
      <c r="H75" s="67" t="n"/>
      <c r="I75" s="81" t="inlineStr">
        <is>
          <t>true</t>
        </is>
      </c>
      <c r="J75" s="81" t="n"/>
      <c r="K75" s="267" t="n"/>
      <c r="L75" s="81" t="n"/>
      <c r="M75" s="81" t="n"/>
      <c r="N75" s="267" t="inlineStr">
        <is>
          <t>${income_sec} = '4'</t>
        </is>
      </c>
      <c r="O75" s="81" t="n"/>
      <c r="P75" s="81" t="n"/>
      <c r="Q75" s="81" t="n"/>
      <c r="V75" s="28" t="inlineStr">
        <is>
          <t>yes</t>
        </is>
      </c>
      <c r="X75" s="132" t="n">
        <v>0</v>
      </c>
      <c r="Y75" s="114">
        <f>1</f>
        <v/>
      </c>
      <c r="Z75" s="115">
        <f>IF(X75&lt;&gt;"",X75*Y75,"")</f>
        <v/>
      </c>
      <c r="AA75" s="115">
        <f>IF(AND(X75&lt;&gt;"",V75="yes"),X75*Y75,"")</f>
        <v/>
      </c>
    </row>
    <row r="76" ht="16.05" customHeight="1">
      <c r="A76" s="55" t="inlineStr">
        <is>
          <t>select_one yes_no</t>
        </is>
      </c>
      <c r="B76" s="55" t="inlineStr">
        <is>
          <t>income_sec_fish_check</t>
        </is>
      </c>
      <c r="C76" s="362" t="inlineStr">
        <is>
          <t>3.11 هل الأسماك/منتجات الأسماك التي تبيعها هي من إنتاجك أنت أو أي شخص في أسرتك؟</t>
        </is>
      </c>
      <c r="D76" s="362" t="inlineStr">
        <is>
          <t xml:space="preserve">3.11 Are the fish products that you sell produced by you or anyone in your household? </t>
        </is>
      </c>
      <c r="E76" s="65" t="n"/>
      <c r="F76" s="52" t="n"/>
      <c r="G76" s="52" t="n"/>
      <c r="H76" s="67" t="n"/>
      <c r="I76" s="81" t="inlineStr">
        <is>
          <t>true</t>
        </is>
      </c>
      <c r="J76" s="81" t="n"/>
      <c r="K76" s="267" t="n"/>
      <c r="L76" s="81" t="n"/>
      <c r="M76" s="81" t="n"/>
      <c r="N76" s="267" t="inlineStr">
        <is>
          <t>${income_sec} = '6'</t>
        </is>
      </c>
      <c r="O76" s="81" t="n"/>
      <c r="P76" s="81" t="n"/>
      <c r="Q76" s="81" t="n"/>
      <c r="V76" s="28" t="inlineStr">
        <is>
          <t>yes</t>
        </is>
      </c>
      <c r="X76" s="132" t="n">
        <v>0</v>
      </c>
      <c r="Y76" s="114">
        <f>1</f>
        <v/>
      </c>
      <c r="Z76" s="115">
        <f>IF(X76&lt;&gt;"",X76*Y76,"")</f>
        <v/>
      </c>
      <c r="AA76" s="115">
        <f>IF(AND(X76&lt;&gt;"",V76="yes"),X76*Y76,"")</f>
        <v/>
      </c>
    </row>
    <row r="77" ht="79.95" customHeight="1">
      <c r="A77" s="55" t="inlineStr">
        <is>
          <t>select_one change2</t>
        </is>
      </c>
      <c r="B77" s="55" t="inlineStr">
        <is>
          <t>income_sec_comp</t>
        </is>
      </c>
      <c r="C77" s="362" t="inlineStr">
        <is>
          <t>3.12 هل تغير دخل أسرتك من ${incomesec} منذ الزلزال مقارنة بنفس الفترة من السنة العادية؟</t>
        </is>
      </c>
      <c r="D77" s="362" t="inlineStr">
        <is>
          <t>3.12 Has your household's income from ${incomesec} changed since the earthquake compared to the same period of a normal year?</t>
        </is>
      </c>
      <c r="E77" s="67" t="n"/>
      <c r="H77" s="67" t="n"/>
      <c r="I77" s="81" t="inlineStr">
        <is>
          <t>true</t>
        </is>
      </c>
      <c r="J77" s="81" t="n"/>
      <c r="K77" s="267" t="n"/>
      <c r="L77" s="81" t="n"/>
      <c r="M77" s="81" t="n"/>
      <c r="N77" s="267" t="inlineStr">
        <is>
          <t xml:space="preserve">${income_main} != '19' and ${income_main} != 'ref' and ${income_sec} != '19' and ${income_sec} != 'dk' and ${income_sec} != 'ref' </t>
        </is>
      </c>
      <c r="O77" s="267" t="n"/>
      <c r="P77" s="81" t="n"/>
      <c r="Q77" s="81" t="n"/>
      <c r="V77" s="28" t="inlineStr">
        <is>
          <t>yes</t>
        </is>
      </c>
      <c r="X77" s="132" t="n">
        <v>21.19325637817383</v>
      </c>
      <c r="Y77" s="114">
        <f>1</f>
        <v/>
      </c>
      <c r="Z77" s="115">
        <f>IF(X77&lt;&gt;"",X77*Y77,"")</f>
        <v/>
      </c>
      <c r="AA77" s="115">
        <f>IF(AND(X77&lt;&gt;"",V77="yes"),X77*Y77,"")</f>
        <v/>
      </c>
    </row>
    <row r="78" ht="96" customFormat="1" customHeight="1" s="214">
      <c r="A78" s="208" t="inlineStr">
        <is>
          <t>select_one incomesource3</t>
        </is>
      </c>
      <c r="B78" s="208" t="inlineStr">
        <is>
          <t>income_third</t>
        </is>
      </c>
      <c r="C78" s="362" t="inlineStr">
        <is>
          <t>3.13 ما هو ثالث أهم مصدر دخل لأسرتك منذ الزلزال؟</t>
        </is>
      </c>
      <c r="D78" s="362" t="inlineStr">
        <is>
          <t>3.13 What has your household's third most important source of income been since the earthquake?</t>
        </is>
      </c>
      <c r="E78" s="67" t="n"/>
      <c r="F78" s="210" t="inlineStr">
        <is>
          <t>[INSTRUCTIONS: DON'T KNOW AND REFUSED OPTIONS SHOULD BE AVOIDED AS MUCH AS POSSIBLE.]</t>
        </is>
      </c>
      <c r="G78" s="210" t="inlineStr">
        <is>
          <t>[تعليمات: يجب تجنب خيارات الإجابة "لا أعرف" و "رفض الإجابة" قدر الإمكان]</t>
        </is>
      </c>
      <c r="H78" s="67" t="n"/>
      <c r="I78" s="211" t="inlineStr">
        <is>
          <t>true</t>
        </is>
      </c>
      <c r="J78" s="211" t="inlineStr">
        <is>
          <t>minimal</t>
        </is>
      </c>
      <c r="K78" s="274" t="n"/>
      <c r="L78" s="211" t="n"/>
      <c r="M78" s="81" t="n"/>
      <c r="N78" s="267" t="inlineStr">
        <is>
          <t xml:space="preserve">${income_main} != '19' and ${income_main} != 'ref' and ${income_sec} != '19' and ${income_sec} != 'ref' and ${income_sec} != 'dk' </t>
        </is>
      </c>
      <c r="O78" s="267" t="inlineStr">
        <is>
          <t>if(${hh_agricactivity}='1',agfilter1='1',if(${hh_agricactivity}='2',agfilter2='2',if(${hh_agricactivity}='3',agfilter3='3',agfilter4='4'))) and not(selected(${income_main}, name) or selected(${income_sec}, name))</t>
        </is>
      </c>
      <c r="P78" s="211" t="n"/>
      <c r="Q78" s="211" t="n"/>
      <c r="V78" s="214" t="inlineStr">
        <is>
          <t>yes</t>
        </is>
      </c>
      <c r="X78" s="212" t="n">
        <v>20.22992706298828</v>
      </c>
      <c r="Y78" s="215">
        <f>1</f>
        <v/>
      </c>
      <c r="Z78" s="213">
        <f>IF(X78&lt;&gt;"",X78*Y78,"")</f>
        <v/>
      </c>
      <c r="AA78" s="213">
        <f>IF(AND(X78&lt;&gt;"",V78="yes"),X78*Y78,"")</f>
        <v/>
      </c>
      <c r="AB78" s="210" t="n"/>
    </row>
    <row r="79">
      <c r="A79" s="55" t="inlineStr">
        <is>
          <t>calculate</t>
        </is>
      </c>
      <c r="B79" s="55" t="inlineStr">
        <is>
          <t>incomethird</t>
        </is>
      </c>
      <c r="C79" s="364" t="n"/>
      <c r="D79" s="364" t="n"/>
      <c r="E79" s="67" t="n"/>
      <c r="F79" s="52" t="n"/>
      <c r="G79" s="52" t="n"/>
      <c r="H79" s="67" t="n"/>
      <c r="I79" s="81" t="n"/>
      <c r="J79" s="81" t="n"/>
      <c r="K79" s="267" t="n"/>
      <c r="L79" s="81" t="n"/>
      <c r="M79" s="81" t="n"/>
      <c r="N79" s="267" t="n"/>
      <c r="O79" s="81" t="n"/>
      <c r="P79" s="81" t="n"/>
      <c r="Q79" s="81" t="inlineStr">
        <is>
          <t>jr:choice-name(${income_third},'${income_third}')</t>
        </is>
      </c>
      <c r="V79" s="28" t="inlineStr">
        <is>
          <t>yes</t>
        </is>
      </c>
      <c r="X79" s="132" t="n"/>
      <c r="Y79" s="114">
        <f>1</f>
        <v/>
      </c>
      <c r="Z79" s="115">
        <f>IF(X79&lt;&gt;"",X79*Y79,"")</f>
        <v/>
      </c>
      <c r="AA79" s="115">
        <f>IF(AND(X79&lt;&gt;"",V79="yes"),X79*Y79,"")</f>
        <v/>
      </c>
    </row>
    <row r="80" ht="48" customHeight="1">
      <c r="A80" s="55" t="inlineStr">
        <is>
          <t>select_one yes_no</t>
        </is>
      </c>
      <c r="B80" s="55" t="inlineStr">
        <is>
          <t>income_third_crop_check</t>
        </is>
      </c>
      <c r="C80" s="362" t="inlineStr">
        <is>
          <t>3.14 هل المحاصيل التي تبيعها هي من إنتاجك أنت أو أي شخص في أسرتك؟</t>
        </is>
      </c>
      <c r="D80" s="362" t="inlineStr">
        <is>
          <t xml:space="preserve">3.14 Are the crops that you sell produced by you or anyone in your household? </t>
        </is>
      </c>
      <c r="E80" s="67" t="n"/>
      <c r="F80" s="52" t="n"/>
      <c r="G80" s="52" t="n"/>
      <c r="H80" s="67" t="n"/>
      <c r="I80" s="81" t="inlineStr">
        <is>
          <t>true</t>
        </is>
      </c>
      <c r="J80" s="81" t="n"/>
      <c r="K80" s="267" t="n"/>
      <c r="L80" s="81" t="n"/>
      <c r="M80" s="81" t="n"/>
      <c r="N80" s="267" t="inlineStr">
        <is>
          <t xml:space="preserve">${income_third} = '1' or ${income_third} = '2' or ${income_third} = '3' </t>
        </is>
      </c>
      <c r="O80" s="81" t="n"/>
      <c r="P80" s="81" t="n"/>
      <c r="Q80" s="81" t="n"/>
      <c r="V80" s="28" t="inlineStr">
        <is>
          <t>yes</t>
        </is>
      </c>
      <c r="X80" s="132" t="n">
        <v>0</v>
      </c>
      <c r="Y80" s="114">
        <f>1</f>
        <v/>
      </c>
      <c r="Z80" s="115">
        <f>IF(X80&lt;&gt;"",X80*Y80,"")</f>
        <v/>
      </c>
      <c r="AA80" s="115">
        <f>IF(AND(X80&lt;&gt;"",V80="yes"),X80*Y80,"")</f>
        <v/>
      </c>
    </row>
    <row r="81" ht="16.05" customHeight="1">
      <c r="A81" s="55" t="inlineStr">
        <is>
          <t>select_one yes_no</t>
        </is>
      </c>
      <c r="B81" s="55" t="inlineStr">
        <is>
          <t>income_third_ls_check</t>
        </is>
      </c>
      <c r="C81" s="362" t="inlineStr">
        <is>
          <t>3.15 هل المواشي ومنتجاتها التي تبيعها هي من إنتاجك أنت أو أي شخص في أسرتك؟</t>
        </is>
      </c>
      <c r="D81" s="362" t="inlineStr">
        <is>
          <t xml:space="preserve">3.15 Are the livestock and livestock products that you sell produced by you or anyone in your household? </t>
        </is>
      </c>
      <c r="E81" s="67" t="n"/>
      <c r="F81" s="52" t="n"/>
      <c r="G81" s="52" t="n"/>
      <c r="H81" s="67" t="n"/>
      <c r="I81" s="81" t="inlineStr">
        <is>
          <t>true</t>
        </is>
      </c>
      <c r="J81" s="81" t="n"/>
      <c r="K81" s="267" t="n"/>
      <c r="L81" s="81" t="n"/>
      <c r="M81" s="81" t="n"/>
      <c r="N81" s="267" t="inlineStr">
        <is>
          <t>${income_third} = '4'</t>
        </is>
      </c>
      <c r="O81" s="81" t="n"/>
      <c r="P81" s="81" t="n"/>
      <c r="Q81" s="81" t="n"/>
      <c r="V81" s="28" t="inlineStr">
        <is>
          <t>yes</t>
        </is>
      </c>
      <c r="X81" s="132" t="n">
        <v>0</v>
      </c>
      <c r="Y81" s="114">
        <f>1</f>
        <v/>
      </c>
      <c r="Z81" s="115">
        <f>IF(X81&lt;&gt;"",X81*Y81,"")</f>
        <v/>
      </c>
      <c r="AA81" s="115">
        <f>IF(AND(X81&lt;&gt;"",V81="yes"),X81*Y81,"")</f>
        <v/>
      </c>
    </row>
    <row r="82" ht="16.05" customHeight="1">
      <c r="A82" s="55" t="inlineStr">
        <is>
          <t>select_one yes_no</t>
        </is>
      </c>
      <c r="B82" s="55" t="inlineStr">
        <is>
          <t>income_third_fish_check</t>
        </is>
      </c>
      <c r="C82" s="362" t="inlineStr">
        <is>
          <t>3.16 هل الأسماك/منتجات الأسماك التي تبيعها هي من إنتاجك أنت أو أي شخص في أسرتك؟</t>
        </is>
      </c>
      <c r="D82" s="362" t="inlineStr">
        <is>
          <t xml:space="preserve">3.16 Are the fish products that you sell produced by you or anyone in your household? </t>
        </is>
      </c>
      <c r="E82" s="67" t="n"/>
      <c r="F82" s="52" t="n"/>
      <c r="G82" s="52" t="n"/>
      <c r="H82" s="67" t="n"/>
      <c r="I82" s="81" t="inlineStr">
        <is>
          <t>true</t>
        </is>
      </c>
      <c r="J82" s="81" t="n"/>
      <c r="K82" s="267" t="n"/>
      <c r="L82" s="81" t="n"/>
      <c r="M82" s="81" t="n"/>
      <c r="N82" s="267" t="inlineStr">
        <is>
          <t>${income_third} = '6'</t>
        </is>
      </c>
      <c r="O82" s="81" t="n"/>
      <c r="P82" s="81" t="n"/>
      <c r="Q82" s="81" t="n"/>
      <c r="V82" s="28" t="inlineStr">
        <is>
          <t>yes</t>
        </is>
      </c>
      <c r="X82" s="132" t="n">
        <v>0</v>
      </c>
      <c r="Y82" s="114">
        <f>1</f>
        <v/>
      </c>
      <c r="Z82" s="115">
        <f>IF(X82&lt;&gt;"",X82*Y82,"")</f>
        <v/>
      </c>
      <c r="AA82" s="115">
        <f>IF(AND(X82&lt;&gt;"",V82="yes"),X82*Y82,"")</f>
        <v/>
      </c>
    </row>
    <row r="83" ht="127.95" customHeight="1">
      <c r="A83" s="55" t="inlineStr">
        <is>
          <t>select_one change2</t>
        </is>
      </c>
      <c r="B83" s="55" t="inlineStr">
        <is>
          <t>income_third_comp</t>
        </is>
      </c>
      <c r="C83" s="362" t="inlineStr">
        <is>
          <t>3.17 هل تغير دخل أسرتك من ${incomethird} منذ الزلزال مقارنة بنفس الفترة من السنة العادية؟</t>
        </is>
      </c>
      <c r="D83" s="362" t="inlineStr">
        <is>
          <t>3.17 Has your household's income from ${incomethird} changed since the earthquake compared to the same period of a normal year?</t>
        </is>
      </c>
      <c r="E83" s="67" t="n"/>
      <c r="H83" s="67" t="n"/>
      <c r="I83" s="81" t="inlineStr">
        <is>
          <t>true</t>
        </is>
      </c>
      <c r="J83" s="81" t="n"/>
      <c r="K83" s="267" t="n"/>
      <c r="L83" s="81" t="n"/>
      <c r="M83" s="81" t="n"/>
      <c r="N83" s="267" t="inlineStr">
        <is>
          <t xml:space="preserve">${income_main} != '19' and ${income_main} != 'ref' and ${income_sec} != '19' and ${income_sec} != 'ref' and ${income_sec} != 'dk' and ${income_third} != '19' and ${income_third} != 'ref' and ${income_third} != 'dk' </t>
        </is>
      </c>
      <c r="P83" s="81" t="n"/>
      <c r="Q83" s="81" t="n"/>
      <c r="V83" s="28" t="inlineStr">
        <is>
          <t>yes</t>
        </is>
      </c>
      <c r="X83" s="132" t="n">
        <v>16.34839630126953</v>
      </c>
      <c r="Y83" s="52" t="n"/>
      <c r="Z83" s="28" t="n"/>
      <c r="AA83" s="28" t="n"/>
      <c r="AB83" s="28" t="n"/>
    </row>
    <row r="84" ht="118.2" customFormat="1" customHeight="1" s="214">
      <c r="A84" s="208" t="inlineStr">
        <is>
          <t>select_one incomesource1</t>
        </is>
      </c>
      <c r="B84" s="208" t="inlineStr">
        <is>
          <t>income_main_lastyear</t>
        </is>
      </c>
      <c r="C84" s="362" t="inlineStr">
        <is>
          <t>3.18 ماذا كان مصدر الدخل الرئيسي لأسرتك خلال نفس الفترة من العام الماضي؟</t>
        </is>
      </c>
      <c r="D84" s="362" t="inlineStr">
        <is>
          <t>3.18 What was your household's main source of income during the same period of last year?</t>
        </is>
      </c>
      <c r="E84" s="67" t="n"/>
      <c r="F84" s="210" t="inlineStr">
        <is>
          <t>[INSTRUCTIONS: REFUSED OPTIONS SHOULD BE AVOIDED AS MUCH AS POSSIBLE.]</t>
        </is>
      </c>
      <c r="G84" s="214" t="inlineStr">
        <is>
          <t>[تعليمات: يجب تجنب الخيار "رفض الإجابة" قدر الإمكان]</t>
        </is>
      </c>
      <c r="H84" s="67" t="n"/>
      <c r="I84" s="211" t="inlineStr">
        <is>
          <t>true</t>
        </is>
      </c>
      <c r="J84" s="211" t="inlineStr">
        <is>
          <t>minimal</t>
        </is>
      </c>
      <c r="K84" s="274" t="n"/>
      <c r="L84" s="211" t="n"/>
      <c r="M84" s="81" t="n"/>
      <c r="N84" s="274" t="n"/>
      <c r="O84" s="267" t="inlineStr">
        <is>
          <t>if(${hh_agricactivity}='1',agfilter1='1',if(${hh_agricactivity}='2',agfilter2='2',if(${hh_agricactivity}='3',agfilter3='3',agfilter4='4')))</t>
        </is>
      </c>
      <c r="P84" s="211" t="n"/>
      <c r="Q84" s="211" t="n"/>
      <c r="V84" s="214" t="inlineStr">
        <is>
          <t>yes</t>
        </is>
      </c>
      <c r="X84" s="212" t="n">
        <v>36.92873382568359</v>
      </c>
      <c r="Y84" s="215">
        <f>1</f>
        <v/>
      </c>
      <c r="Z84" s="213">
        <f>IF(X84&lt;&gt;"",X84*Y84,"")</f>
        <v/>
      </c>
      <c r="AA84" s="213">
        <f>IF(AND(X84&lt;&gt;"",V84="yes"),X84*Y84,"")</f>
        <v/>
      </c>
      <c r="AB84" s="210" t="n"/>
    </row>
    <row r="85" ht="112.05" customHeight="1">
      <c r="A85" s="55" t="inlineStr">
        <is>
          <t>select_multiple shock</t>
        </is>
      </c>
      <c r="B85" s="55" t="inlineStr">
        <is>
          <t>shock</t>
        </is>
      </c>
      <c r="C85" s="362" t="inlineStr">
        <is>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is>
      </c>
      <c r="D85" s="362" t="inlineStr">
        <is>
          <t xml:space="preserve">3.19 Has your household or community faced any particular disaster or crisis affecting your household's ability to raise an income and/or to produce food for self consumption since the earthquake, and if so, which ones? </t>
        </is>
      </c>
      <c r="E85" s="65" t="n"/>
      <c r="F85" s="55" t="inlineStr">
        <is>
          <t>[INSTRUCTIONS: SELECT RELEVANT SHOCKS EXPERIENCED BY THE HOUSEHOLD. MULTIPLE RESPONSES POSSIBLE. REFER TO ECONOMIC SHOCKS, CROP AND LIVESTOCK SHOCKS, INTRA-HOUSEHOLD SHOCK, NATURAL HAZARDS AND HUMAN-INDUCED HAZARDS.]</t>
        </is>
      </c>
      <c r="G85" s="55" t="inlineStr">
        <is>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is>
      </c>
      <c r="H85" s="67" t="n"/>
      <c r="I85" s="81" t="inlineStr">
        <is>
          <t>true</t>
        </is>
      </c>
      <c r="J85" s="81" t="n"/>
      <c r="K85" s="267" t="inlineStr">
        <is>
          <t>if(selected(.,'noshock') or selected(.,'dk') or selected(.,'ref'), count-selected(.) = 1, count-selected(.) &gt;= 1)</t>
        </is>
      </c>
      <c r="L85" s="81" t="n"/>
      <c r="M85" s="81" t="n"/>
      <c r="N85" s="267" t="n"/>
      <c r="O85" s="81" t="n"/>
      <c r="P85" s="81" t="n"/>
      <c r="Q85" s="81" t="n"/>
      <c r="V85" s="28" t="inlineStr">
        <is>
          <t>yes</t>
        </is>
      </c>
      <c r="X85" s="132" t="n">
        <v>46.24752807617188</v>
      </c>
      <c r="Y85" s="114">
        <f>1</f>
        <v/>
      </c>
      <c r="Z85" s="115">
        <f>IF(X85&lt;&gt;"",X85*Y85,"")</f>
        <v/>
      </c>
      <c r="AA85" s="115">
        <f>IF(AND(X85&lt;&gt;"",V85="yes"),X85*Y85,"")</f>
        <v/>
      </c>
    </row>
    <row r="86" ht="16.05" customHeight="1" thickBot="1">
      <c r="A86" s="64" t="inlineStr">
        <is>
          <t>end_group</t>
        </is>
      </c>
      <c r="B86" s="64" t="n"/>
      <c r="C86" s="366" t="n"/>
      <c r="D86" s="366" t="n"/>
      <c r="E86" s="61" t="n"/>
      <c r="F86" s="64" t="n"/>
      <c r="G86" s="64" t="n"/>
      <c r="H86" s="62" t="n"/>
      <c r="I86" s="85" t="n"/>
      <c r="J86" s="85" t="n"/>
      <c r="K86" s="269" t="n"/>
      <c r="L86" s="85" t="n"/>
      <c r="M86" s="85" t="n"/>
      <c r="N86" s="269" t="n"/>
      <c r="O86" s="85" t="n"/>
      <c r="P86" s="85" t="n"/>
      <c r="Q86" s="85" t="n"/>
      <c r="X86" s="132" t="n"/>
      <c r="Y86" s="52" t="n"/>
      <c r="Z86" s="115">
        <f>IF(X86&lt;&gt;"",X86*Y86,"")</f>
        <v/>
      </c>
      <c r="AA86" s="115">
        <f>IF(AND(X86&lt;&gt;"",V86="yes"),X86*Y86,"")</f>
        <v/>
      </c>
    </row>
    <row r="87" ht="97.05" customFormat="1" customHeight="1" s="49" thickTop="1">
      <c r="A87" s="282" t="inlineStr">
        <is>
          <t>begin_group</t>
        </is>
      </c>
      <c r="B87" s="282" t="inlineStr">
        <is>
          <t>CropProduction_group</t>
        </is>
      </c>
      <c r="C87" s="365" t="inlineStr">
        <is>
          <t>4. إنتاج المحاصيل</t>
        </is>
      </c>
      <c r="D87" s="365" t="inlineStr">
        <is>
          <t>4. CROP PRODUCTION</t>
        </is>
      </c>
      <c r="E87" s="47" t="n"/>
      <c r="F87" s="46" t="n"/>
      <c r="G87" s="46" t="n"/>
      <c r="H87" s="48" t="n"/>
      <c r="I87" s="82" t="inlineStr">
        <is>
          <t>false</t>
        </is>
      </c>
      <c r="J87" s="82" t="n"/>
      <c r="K87" s="275" t="n"/>
      <c r="L87" s="82" t="n"/>
      <c r="M87" s="82" t="n"/>
      <c r="N87" s="275" t="inlineStr">
        <is>
          <t>${resp_agree} = '1' and (${hh_agricactivity}='1' or ${hh_agricactivity} = '3' or ${income_main_crop_check}='1' or ${income_sec_crop_check}='1' or ${income_third_crop_check}='1')</t>
        </is>
      </c>
      <c r="P87" s="82" t="n"/>
      <c r="Q87" s="82" t="n"/>
      <c r="V87" s="28" t="inlineStr">
        <is>
          <t>yes</t>
        </is>
      </c>
      <c r="X87" s="132" t="n"/>
      <c r="Y87" s="50" t="n"/>
      <c r="Z87" s="115">
        <f>IF(X87&lt;&gt;"",X87*Y87,"")</f>
        <v/>
      </c>
      <c r="AA87" s="115">
        <f>IF(AND(X87&lt;&gt;"",V87="yes"),X87*Y87,"")</f>
        <v/>
      </c>
      <c r="AB87" s="50" t="n"/>
    </row>
    <row r="88" ht="31.95" customFormat="1" customHeight="1" s="29">
      <c r="A88" s="27" t="inlineStr">
        <is>
          <t>note</t>
        </is>
      </c>
      <c r="B88" s="27" t="inlineStr">
        <is>
          <t>crp_intro</t>
        </is>
      </c>
      <c r="C88" s="370" t="inlineStr">
        <is>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is>
      </c>
      <c r="D88" s="362" t="inlineStr">
        <is>
          <t>We will now ask you some questions about crop production which apply to you and anyone in your household that is involved in crop production or sales. All questions refer to the crops grown during the wet season.</t>
        </is>
      </c>
      <c r="E88" s="59" t="n"/>
      <c r="F88" s="27" t="n"/>
      <c r="G88" s="27" t="n"/>
      <c r="H88" s="59" t="n"/>
      <c r="I88" s="26" t="inlineStr">
        <is>
          <t>false</t>
        </is>
      </c>
      <c r="J88" s="26" t="n"/>
      <c r="K88" s="26" t="n"/>
      <c r="L88" s="26" t="n"/>
      <c r="M88" s="26" t="n"/>
      <c r="N88" s="26" t="n"/>
      <c r="O88" s="26" t="n"/>
      <c r="P88" s="26" t="n"/>
      <c r="Q88" s="26" t="n"/>
      <c r="V88" s="29" t="inlineStr">
        <is>
          <t>yes</t>
        </is>
      </c>
      <c r="X88" s="135" t="n">
        <v>7.5</v>
      </c>
      <c r="Y88" s="117">
        <f>'Additional information'!$C$14</f>
        <v/>
      </c>
      <c r="Z88" s="116">
        <f>IF(X88&lt;&gt;"",X88*Y88,"")</f>
        <v/>
      </c>
      <c r="AA88" s="116">
        <f>IF(AND(X88&lt;&gt;"",V88="yes"),X88*Y88,"")</f>
        <v/>
      </c>
      <c r="AB88" s="30" t="n"/>
    </row>
    <row r="89" ht="16.05" customFormat="1" customHeight="1" s="52">
      <c r="A89" s="55" t="inlineStr">
        <is>
          <t>decimal</t>
        </is>
      </c>
      <c r="B89" s="55" t="inlineStr">
        <is>
          <t>crp_landsize_num</t>
        </is>
      </c>
      <c r="C89" s="362" t="inlineStr">
        <is>
          <t>4.1 ما هو الحجم الإجمالي للأرض التي يمكنك الوصول إليها لإنتاج المحاصيل؟؟</t>
        </is>
      </c>
      <c r="D89" s="362" t="inlineStr">
        <is>
          <t>4.1 What is the total size of the land you have access to for crop production?</t>
        </is>
      </c>
      <c r="E89" s="65" t="n"/>
      <c r="F89" s="55" t="inlineStr">
        <is>
          <t>[INSTRUCTIONS: RECORD THE TOTAL LAND SIZE PROVIDED BY THE RESPONDENT. WRITE 888 FOR DON'T KNOW AND 999 FOR REFUSED. MEASUREMENT UNIT WILL BE SPECIFIED IN THE FOLLOWING QUESTION.]</t>
        </is>
      </c>
      <c r="G89" s="55" t="inlineStr">
        <is>
          <t>[تعليمات: سجل إجمالي حجم الأرض الذي ذكره المجيب. اكتب 888 للا أعرف و 999 في حالة الرفض. سيتم تحديد وحدة القياس في السؤال التالي]</t>
        </is>
      </c>
      <c r="H89" s="67" t="n"/>
      <c r="I89" s="81" t="inlineStr">
        <is>
          <t>true</t>
        </is>
      </c>
      <c r="J89" s="81" t="n"/>
      <c r="K89" s="267" t="inlineStr">
        <is>
          <t>. &gt;= 0</t>
        </is>
      </c>
      <c r="L89" s="81" t="n"/>
      <c r="M89" s="81" t="n"/>
      <c r="N89" s="267" t="n"/>
      <c r="O89" s="81" t="n"/>
      <c r="P89" s="81" t="n"/>
      <c r="Q89" s="81" t="n"/>
      <c r="V89" s="52" t="inlineStr">
        <is>
          <t>yes</t>
        </is>
      </c>
      <c r="X89" s="132" t="n">
        <v>17</v>
      </c>
      <c r="Y89" s="114">
        <f>'Additional information'!$C$14</f>
        <v/>
      </c>
      <c r="Z89" s="115">
        <f>IF(X89&lt;&gt;"",X89*Y89,"")</f>
        <v/>
      </c>
      <c r="AA89" s="115">
        <f>IF(AND(X89&lt;&gt;"",V89="yes"),X89*Y89,"")</f>
        <v/>
      </c>
    </row>
    <row r="90" ht="31.95" customFormat="1" customHeight="1" s="52">
      <c r="A90" s="55" t="inlineStr">
        <is>
          <t>select_one landsize_unit</t>
        </is>
      </c>
      <c r="B90" s="55" t="inlineStr">
        <is>
          <t>crp_landsize_unit</t>
        </is>
      </c>
      <c r="C90" s="362" t="inlineStr">
        <is>
          <t>4.2 وحدة قياس مساحة الارض:</t>
        </is>
      </c>
      <c r="D90" s="362" t="inlineStr">
        <is>
          <t xml:space="preserve">4.2 Unit of measurement for land size: </t>
        </is>
      </c>
      <c r="E90" s="65" t="n"/>
      <c r="F90" s="55" t="inlineStr">
        <is>
          <t>[INSTRUCTIONS: DO NOT READ QUESTION. SELECT UNIT OF MEASUREMENT IN WHICH LAND SIZE WAS PROVIDED.]</t>
        </is>
      </c>
      <c r="G90" s="153" t="inlineStr">
        <is>
          <t>[تعليمات: لا تقرأ السؤال. حدد وحدة القياس لمساحة الأرض]</t>
        </is>
      </c>
      <c r="H90" s="67" t="n"/>
      <c r="I90" s="81" t="inlineStr">
        <is>
          <t>true</t>
        </is>
      </c>
      <c r="J90" s="81" t="n"/>
      <c r="K90" s="267" t="n"/>
      <c r="L90" s="81" t="n"/>
      <c r="M90" s="81" t="n"/>
      <c r="N90" s="267" t="inlineStr">
        <is>
          <t>${crp_landsize_num} != 888 and ${crp_landsize_num} != 999</t>
        </is>
      </c>
      <c r="O90" s="81" t="n"/>
      <c r="P90" s="81" t="n"/>
      <c r="Q90" s="81" t="n"/>
      <c r="V90" s="52" t="inlineStr">
        <is>
          <t>yes</t>
        </is>
      </c>
      <c r="X90" s="132" t="n">
        <v>0</v>
      </c>
      <c r="Y90" s="114">
        <f>'Additional information'!$C$14</f>
        <v/>
      </c>
      <c r="Z90" s="115">
        <f>IF(X90&lt;&gt;"",X90*Y90,"")</f>
        <v/>
      </c>
      <c r="AA90" s="115">
        <f>IF(AND(X90&lt;&gt;"",V90="yes"),X90*Y90,"")</f>
        <v/>
      </c>
    </row>
    <row r="91" ht="48" customFormat="1" customHeight="1" s="52">
      <c r="A91" s="55" t="inlineStr">
        <is>
          <t>decimal</t>
        </is>
      </c>
      <c r="B91" s="56" t="inlineStr">
        <is>
          <t>AreaPlanted</t>
        </is>
      </c>
      <c r="C91" s="362" t="inlineStr">
        <is>
          <t>4.3 ما هو الحجم الإجمالي للأرض التي زرعتها هذا العام؟</t>
        </is>
      </c>
      <c r="D91" s="362" t="inlineStr">
        <is>
          <t>4.3 What is the total size of land that you have planted this year?</t>
        </is>
      </c>
      <c r="E91" s="65" t="n"/>
      <c r="F91" s="55" t="inlineStr">
        <is>
          <t>Using the same unit of measure that was chosen</t>
        </is>
      </c>
      <c r="G91" s="153" t="inlineStr">
        <is>
          <t>باستخدام نفس وحدة القياس التي تم اختيارها</t>
        </is>
      </c>
      <c r="H91" s="67" t="n"/>
      <c r="I91" s="81" t="inlineStr">
        <is>
          <t>true</t>
        </is>
      </c>
      <c r="J91" s="81" t="n"/>
      <c r="K91" s="267" t="inlineStr">
        <is>
          <t>. &lt;= ${crp_landsize_num}</t>
        </is>
      </c>
      <c r="L91" s="81" t="n"/>
      <c r="M91" s="81" t="n"/>
      <c r="N91" s="267" t="n"/>
      <c r="O91" s="81" t="n"/>
      <c r="P91" s="81" t="n"/>
      <c r="Q91" s="81" t="n"/>
      <c r="X91" s="132" t="n"/>
      <c r="Y91" s="114" t="n"/>
      <c r="Z91" s="115" t="n"/>
      <c r="AA91" s="115" t="n"/>
    </row>
    <row r="92" ht="31.95" customHeight="1">
      <c r="A92" s="51" t="inlineStr">
        <is>
          <t>select_one crop</t>
        </is>
      </c>
      <c r="B92" s="51" t="inlineStr">
        <is>
          <t>crp_main</t>
        </is>
      </c>
      <c r="C92" s="362" t="inlineStr">
        <is>
          <t>4.4 ما هو المحصول الرئيسي الذي تزرعه أسرتك من أجل الغذاء وتوليد الدخل في موسم الأمطار ، إن وجد؟</t>
        </is>
      </c>
      <c r="D92" s="362" t="inlineStr">
        <is>
          <t>4.4 What is the main crop that your household grows for food or income generation in wet season, if any?</t>
        </is>
      </c>
      <c r="E92" s="59" t="n"/>
      <c r="F92" s="51" t="inlineStr">
        <is>
          <t>[INSTRUCTIONS: "NO CROP PRODUCTION" APPEARS AT THE END OF THE LIST OF OPTIONS.]</t>
        </is>
      </c>
      <c r="G92" s="27" t="inlineStr">
        <is>
          <t>[تعليمات: "لا إنتاج للمحصول" في آخر الخيارات في النهاية]</t>
        </is>
      </c>
      <c r="H92" s="60" t="n"/>
      <c r="I92" s="243" t="inlineStr">
        <is>
          <t>true</t>
        </is>
      </c>
      <c r="J92" s="243" t="inlineStr">
        <is>
          <t>autocomplete</t>
        </is>
      </c>
      <c r="K92" s="26" t="n"/>
      <c r="L92" s="243" t="n"/>
      <c r="M92" s="243" t="n"/>
      <c r="N92" s="26" t="n"/>
      <c r="O92" s="243" t="n"/>
      <c r="P92" s="243" t="n"/>
      <c r="Q92" s="243" t="n"/>
      <c r="V92" s="28" t="inlineStr">
        <is>
          <t>yes</t>
        </is>
      </c>
      <c r="X92" s="132" t="n">
        <v>27.05755233764648</v>
      </c>
      <c r="Y92" s="114">
        <f>'Additional information'!$C$14</f>
        <v/>
      </c>
      <c r="Z92" s="115">
        <f>IF(X92&lt;&gt;"",X92*Y92,"")</f>
        <v/>
      </c>
      <c r="AA92" s="115">
        <f>IF(AND(X92&lt;&gt;"",V92="yes"),X92*Y92,"")</f>
        <v/>
      </c>
    </row>
    <row r="93">
      <c r="A93" s="51" t="inlineStr">
        <is>
          <t>calculate</t>
        </is>
      </c>
      <c r="B93" s="51" t="inlineStr">
        <is>
          <t>crpmain</t>
        </is>
      </c>
      <c r="C93" s="371" t="n"/>
      <c r="D93" s="372" t="n"/>
      <c r="E93" s="59" t="n"/>
      <c r="H93" s="60" t="n"/>
      <c r="I93" s="243" t="n"/>
      <c r="J93" s="243" t="n"/>
      <c r="K93" s="26" t="n"/>
      <c r="L93" s="243" t="n"/>
      <c r="M93" s="243" t="n"/>
      <c r="N93" s="26" t="n"/>
      <c r="O93" s="243" t="n"/>
      <c r="P93" s="243" t="n"/>
      <c r="Q93" s="243" t="inlineStr">
        <is>
          <t>jr:choice-name(${crp_main},'${crp_main}')</t>
        </is>
      </c>
      <c r="V93" s="28" t="inlineStr">
        <is>
          <t>yes</t>
        </is>
      </c>
      <c r="X93" s="132" t="n"/>
      <c r="Y93" s="114">
        <f>'Additional information'!$C$14</f>
        <v/>
      </c>
      <c r="Z93" s="115">
        <f>IF(X93&lt;&gt;"",X93*Y93,"")</f>
        <v/>
      </c>
      <c r="AA93" s="115">
        <f>IF(AND(X93&lt;&gt;"",V93="yes"),X93*Y93,"")</f>
        <v/>
      </c>
    </row>
    <row r="94" ht="16.05" customFormat="1" customHeight="1" s="332">
      <c r="A94" s="331" t="inlineStr">
        <is>
          <t>select_one cropcheck</t>
        </is>
      </c>
      <c r="B94" s="331" t="inlineStr">
        <is>
          <t>crp_main_check</t>
        </is>
      </c>
      <c r="C94" s="373" t="inlineStr">
        <is>
          <t>4.5 لماذا لم تنتج أي محاصيل في الموسم الحالي ؟</t>
        </is>
      </c>
      <c r="D94" s="374" t="inlineStr">
        <is>
          <t>4.5 Why did you not produce any crops in Current season?</t>
        </is>
      </c>
      <c r="E94" s="59" t="n"/>
      <c r="I94" s="398" t="inlineStr">
        <is>
          <t>true</t>
        </is>
      </c>
      <c r="J94" s="398" t="n"/>
      <c r="K94" s="398" t="n"/>
      <c r="L94" s="398" t="n"/>
      <c r="N94" s="395" t="inlineStr">
        <is>
          <t>${crp_main} = '777'</t>
        </is>
      </c>
      <c r="O94" s="398" t="n"/>
      <c r="P94" s="398" t="n"/>
      <c r="V94" s="332" t="inlineStr">
        <is>
          <t>yes</t>
        </is>
      </c>
      <c r="X94" s="149" t="n">
        <v>0</v>
      </c>
      <c r="Y94" s="150">
        <f>'[1]Additional information'!$D$18</f>
        <v/>
      </c>
      <c r="Z94" s="333">
        <f>IF(X94&lt;&gt;"",X94*Y94,"")</f>
        <v/>
      </c>
      <c r="AA94" s="338" t="n"/>
    </row>
    <row r="95">
      <c r="A95" s="282" t="inlineStr">
        <is>
          <t>begin_group</t>
        </is>
      </c>
      <c r="B95" s="282" t="inlineStr">
        <is>
          <t>cul_area</t>
        </is>
      </c>
      <c r="C95" s="375" t="inlineStr">
        <is>
          <t>المساحة المزروعة</t>
        </is>
      </c>
      <c r="D95" s="375" t="inlineStr">
        <is>
          <t>The cultivated area</t>
        </is>
      </c>
      <c r="E95" s="59" t="n"/>
      <c r="H95" s="60" t="n"/>
      <c r="I95" s="243" t="n"/>
      <c r="J95" s="243" t="inlineStr">
        <is>
          <t>field-list</t>
        </is>
      </c>
      <c r="K95" s="26" t="n"/>
      <c r="L95" s="243" t="n"/>
      <c r="M95" s="243" t="n"/>
      <c r="N95" s="26" t="n"/>
      <c r="O95" s="243" t="n"/>
      <c r="P95" s="243" t="n"/>
      <c r="Q95" s="243" t="n"/>
      <c r="X95" s="132" t="n"/>
      <c r="Z95" s="115" t="n"/>
      <c r="AA95" s="115" t="n"/>
    </row>
    <row r="96" ht="16.05" customHeight="1">
      <c r="A96" s="56" t="inlineStr">
        <is>
          <t>note</t>
        </is>
      </c>
      <c r="B96" s="56" t="inlineStr">
        <is>
          <t>crp_area_change</t>
        </is>
      </c>
      <c r="C96" s="376" t="inlineStr">
        <is>
          <t>هل يمكنك من فضلك تحديد المساحة التي قمت بزراعتها في الأشهر الثلاثة الماضية لكل مجموعة من المحاصيل أدناه:</t>
        </is>
      </c>
      <c r="D96" s="377" t="inlineStr">
        <is>
          <t>Can you please indicate the area you have cultivated in the past three months for each group of crops below</t>
        </is>
      </c>
      <c r="E96" s="59" t="n"/>
      <c r="F96" s="51" t="n"/>
      <c r="G96" s="27" t="n"/>
      <c r="H96" s="60" t="n"/>
      <c r="I96" s="81" t="inlineStr">
        <is>
          <t>false</t>
        </is>
      </c>
      <c r="J96" s="243" t="n"/>
      <c r="K96" s="276" t="n"/>
      <c r="L96" s="257" t="n"/>
      <c r="M96" s="257" t="n"/>
      <c r="N96" s="276" t="inlineStr">
        <is>
          <t>${AreaPlanted} &gt; 0</t>
        </is>
      </c>
      <c r="O96" s="258" t="n"/>
      <c r="P96" s="258" t="n"/>
      <c r="Q96" s="259" t="n"/>
      <c r="R96" s="258" t="n"/>
      <c r="S96" s="258" t="n"/>
      <c r="T96" s="258" t="n"/>
      <c r="U96" s="258" t="n"/>
      <c r="V96" s="258" t="n"/>
      <c r="W96" s="258" t="n"/>
      <c r="X96" s="260" t="n"/>
      <c r="Y96" s="261" t="n"/>
      <c r="Z96" s="262" t="n"/>
      <c r="AA96" s="115" t="n"/>
    </row>
    <row r="97" ht="31.95" customHeight="1">
      <c r="A97" s="56" t="inlineStr">
        <is>
          <t>decimal</t>
        </is>
      </c>
      <c r="B97" s="56" t="inlineStr">
        <is>
          <t>AreaPlantedGrains</t>
        </is>
      </c>
      <c r="C97" s="378" t="inlineStr">
        <is>
          <t>4.5 الحبوب والمحاصيل الزيتية (القمح والذرة و حبة البركة ، إلخ)</t>
        </is>
      </c>
      <c r="D97" s="362" t="inlineStr">
        <is>
          <t>4.5 Grains and oil crops (wheat, corn, black caraway, etc)</t>
        </is>
      </c>
      <c r="E97" s="59" t="n"/>
      <c r="F97" s="51" t="n"/>
      <c r="G97" s="27" t="n"/>
      <c r="H97" s="60" t="n"/>
      <c r="I97" s="81" t="inlineStr">
        <is>
          <t>true</t>
        </is>
      </c>
      <c r="J97" s="243" t="n"/>
      <c r="K97" s="276" t="inlineStr">
        <is>
          <t>.&lt;=${AreaPlanted} and .&gt;=0</t>
        </is>
      </c>
      <c r="L97" s="257" t="inlineStr">
        <is>
          <t xml:space="preserve">This a positive number that shouldn't exceed the total area planted </t>
        </is>
      </c>
      <c r="M97" s="257" t="inlineStr">
        <is>
          <t>هذا رقم موجب لا ينبغي أن يتجاوز إجمالي المساحة المزروعة</t>
        </is>
      </c>
      <c r="N97" s="276" t="inlineStr">
        <is>
          <t>${AreaPlanted} &gt; 0</t>
        </is>
      </c>
      <c r="O97" s="258" t="n"/>
      <c r="P97" s="258" t="n"/>
      <c r="Q97" s="259" t="n"/>
      <c r="R97" s="258" t="n"/>
      <c r="S97" s="258" t="n"/>
      <c r="T97" s="258" t="n"/>
      <c r="U97" s="258" t="n"/>
      <c r="V97" s="258" t="n"/>
      <c r="W97" s="258" t="n"/>
      <c r="X97" s="260" t="n"/>
      <c r="Y97" s="261" t="n"/>
      <c r="Z97" s="262" t="n"/>
      <c r="AA97" s="115" t="n"/>
    </row>
    <row r="98" ht="16.05" customHeight="1">
      <c r="A98" s="55" t="inlineStr">
        <is>
          <t>select_one landsize_unit</t>
        </is>
      </c>
      <c r="B98" s="56" t="inlineStr">
        <is>
          <t>AreaPlantedGrains_unit</t>
        </is>
      </c>
      <c r="C98" s="362" t="inlineStr">
        <is>
          <t>4.6 وحدة قياس مساحة الارض:</t>
        </is>
      </c>
      <c r="D98" s="362" t="inlineStr">
        <is>
          <t xml:space="preserve">4.6 Unit of measurement for land size: </t>
        </is>
      </c>
      <c r="E98" s="59" t="n"/>
      <c r="F98" s="51" t="n"/>
      <c r="G98" s="27" t="n"/>
      <c r="H98" s="60" t="n"/>
      <c r="I98" s="81" t="inlineStr">
        <is>
          <t>true</t>
        </is>
      </c>
      <c r="J98" s="211" t="inlineStr">
        <is>
          <t>minimal</t>
        </is>
      </c>
      <c r="K98" s="276" t="n"/>
      <c r="L98" s="257" t="n"/>
      <c r="M98" s="257" t="n"/>
      <c r="N98" s="276" t="inlineStr">
        <is>
          <t>${AreaPlantedGrains} &gt; 0</t>
        </is>
      </c>
      <c r="O98" s="86" t="inlineStr">
        <is>
          <t>my_filter_admin=${crp_landsize_unit}</t>
        </is>
      </c>
      <c r="P98" s="258" t="n"/>
      <c r="Q98" s="259" t="n"/>
      <c r="R98" s="258" t="n"/>
      <c r="S98" s="258" t="n"/>
      <c r="T98" s="258" t="n"/>
      <c r="U98" s="258" t="n"/>
      <c r="V98" s="258" t="n"/>
      <c r="W98" s="258" t="n"/>
      <c r="X98" s="260" t="n"/>
      <c r="Y98" s="261" t="n"/>
      <c r="Z98" s="262" t="n"/>
      <c r="AA98" s="115" t="n"/>
    </row>
    <row r="99" ht="16.05" customHeight="1">
      <c r="A99" s="56" t="inlineStr">
        <is>
          <t>select_one AreaPlantedcompare</t>
        </is>
      </c>
      <c r="B99" s="56" t="inlineStr">
        <is>
          <t>AreacompareGrains</t>
        </is>
      </c>
      <c r="C99" s="379" t="inlineStr">
        <is>
          <t>4.7 مقارنة بالعام الماضي ، حدد ما إذا كانت المساحة التي قمت بزراعتها هذا العام قد زادت أو انخفضت لنفس الفترة بالنسبة للحبوب والمحاصيل الزيتية؟</t>
        </is>
      </c>
      <c r="D99" s="379" t="inlineStr">
        <is>
          <t xml:space="preserve">4.7 Compared to last year, indicate if the area you have cultivated this year increased or decreased for the same period for grains and oil crops? </t>
        </is>
      </c>
      <c r="E99" s="59" t="n"/>
      <c r="F99" s="51" t="n"/>
      <c r="G99" s="27" t="n"/>
      <c r="H99" s="60" t="n"/>
      <c r="I99" s="81" t="inlineStr">
        <is>
          <t>true</t>
        </is>
      </c>
      <c r="J99" s="211" t="inlineStr">
        <is>
          <t>minimal</t>
        </is>
      </c>
      <c r="K99" s="276" t="n"/>
      <c r="L99" s="257" t="n"/>
      <c r="M99" s="257" t="n"/>
      <c r="N99" s="276" t="inlineStr">
        <is>
          <t>${AreaPlantedGrains} &gt; 0</t>
        </is>
      </c>
      <c r="O99" s="258" t="n"/>
      <c r="P99" s="258" t="n"/>
      <c r="Q99" s="259" t="n"/>
      <c r="R99" s="258" t="n"/>
      <c r="S99" s="258" t="n"/>
      <c r="T99" s="258" t="n"/>
      <c r="U99" s="258" t="n"/>
      <c r="V99" s="258" t="n"/>
      <c r="W99" s="258" t="n"/>
      <c r="X99" s="260" t="n"/>
      <c r="Y99" s="261" t="n"/>
      <c r="Z99" s="262" t="n"/>
      <c r="AA99" s="115" t="n"/>
    </row>
    <row r="100" ht="48" customHeight="1">
      <c r="A100" s="55" t="inlineStr">
        <is>
          <t>select_one change_reason</t>
        </is>
      </c>
      <c r="B100" s="56" t="inlineStr">
        <is>
          <t>AreacompareGrains_reason</t>
        </is>
      </c>
      <c r="C100" s="362" t="inlineStr">
        <is>
          <t>4.8 ما هو سبب هذا التغيير؟</t>
        </is>
      </c>
      <c r="D100" s="362" t="inlineStr">
        <is>
          <t>4.8 What is the reason for this change?</t>
        </is>
      </c>
      <c r="E100" s="59" t="n"/>
      <c r="F100" s="51" t="n"/>
      <c r="G100" s="27" t="n"/>
      <c r="H100" s="60" t="n"/>
      <c r="I100" s="81" t="inlineStr">
        <is>
          <t>true</t>
        </is>
      </c>
      <c r="J100" s="211" t="inlineStr">
        <is>
          <t>minimal</t>
        </is>
      </c>
      <c r="K100" s="276" t="n"/>
      <c r="L100" s="257" t="n"/>
      <c r="M100" s="257" t="n"/>
      <c r="N100" s="276" t="inlineStr">
        <is>
          <t>${AreacompareGrains} = '5' or ${AreacompareGrains} = '6' or ${AreacompareGrains} = '7'</t>
        </is>
      </c>
      <c r="O100" s="258" t="n"/>
      <c r="P100" s="258" t="n"/>
      <c r="Q100" s="259" t="n"/>
      <c r="R100" s="258" t="n"/>
      <c r="S100" s="258" t="n"/>
      <c r="T100" s="258" t="n"/>
      <c r="U100" s="258" t="n"/>
      <c r="V100" s="258" t="n"/>
      <c r="W100" s="258" t="n"/>
      <c r="X100" s="260" t="n"/>
      <c r="Y100" s="261" t="n"/>
      <c r="Z100" s="262" t="n"/>
      <c r="AA100" s="115" t="n"/>
    </row>
    <row r="101" ht="31.95" customHeight="1">
      <c r="A101" s="52" t="inlineStr">
        <is>
          <t>text</t>
        </is>
      </c>
      <c r="B101" s="56" t="inlineStr">
        <is>
          <t>AreacompareGrains_reason_other</t>
        </is>
      </c>
      <c r="C101" s="362" t="inlineStr">
        <is>
          <t>4.9 إذا كانت الإجابة "آخر"، حدد</t>
        </is>
      </c>
      <c r="D101" s="362" t="inlineStr">
        <is>
          <t>4.9 If other, specify</t>
        </is>
      </c>
      <c r="E101" s="59" t="n"/>
      <c r="F101" s="55" t="inlineStr">
        <is>
          <t>[INSTRUCTIONS: RECORD THE OPEN RESPONSE GIVEN IN FEW WORDS. ENTER 888 FOR DON'T KNOW AND 999 FOR REFUSED]</t>
        </is>
      </c>
      <c r="G101" s="52" t="inlineStr">
        <is>
          <t>[تعليمات: سجل في بضع كلمات الاستجابة المفتوحة المعطاة . أدخل 888 للا أعرف و 999 في حالة الرفض]</t>
        </is>
      </c>
      <c r="H101" s="60" t="n"/>
      <c r="I101" s="81" t="inlineStr">
        <is>
          <t>true</t>
        </is>
      </c>
      <c r="J101" s="243" t="n"/>
      <c r="K101" s="325" t="inlineStr">
        <is>
          <t>string-length(.)&gt;=3</t>
        </is>
      </c>
      <c r="L101" s="306" t="inlineStr">
        <is>
          <t>عفوا، الرجاء تقديم نص و شرح اكثر وضوحا.</t>
        </is>
      </c>
      <c r="M101" s="306" t="inlineStr">
        <is>
          <t>Sorry, Please provide a much more meaningful text</t>
        </is>
      </c>
      <c r="N101" s="276" t="inlineStr">
        <is>
          <t>${AreacompareGrains_reason} = 'other'</t>
        </is>
      </c>
      <c r="O101" s="258" t="n"/>
      <c r="P101" s="258" t="n"/>
      <c r="Q101" s="259" t="n"/>
      <c r="R101" s="258" t="n"/>
      <c r="S101" s="258" t="n"/>
      <c r="T101" s="258" t="n"/>
      <c r="U101" s="258" t="n"/>
      <c r="V101" s="258" t="n"/>
      <c r="W101" s="258" t="n"/>
      <c r="X101" s="260" t="n"/>
      <c r="Y101" s="261" t="n"/>
      <c r="Z101" s="262" t="n"/>
      <c r="AA101" s="115" t="n"/>
    </row>
    <row r="102" ht="31.95" customHeight="1">
      <c r="A102" s="56" t="inlineStr">
        <is>
          <t>decimal</t>
        </is>
      </c>
      <c r="B102" s="56" t="inlineStr">
        <is>
          <t>AreaPlantedVeg</t>
        </is>
      </c>
      <c r="C102" s="378" t="inlineStr">
        <is>
          <t>4.10 الخضار والفواكه السنوية (الطماطم والسبانخ والكوسا والفراولة والبطيخ وغيرها)</t>
        </is>
      </c>
      <c r="D102" s="362" t="inlineStr">
        <is>
          <t>4.10 Vegetables and annual fruits (tomatoes, spinach, squash, strawberries, melons etc)</t>
        </is>
      </c>
      <c r="E102" s="59" t="n"/>
      <c r="F102" s="51" t="n"/>
      <c r="G102" s="27" t="n"/>
      <c r="H102" s="60" t="n"/>
      <c r="I102" s="81" t="inlineStr">
        <is>
          <t>true</t>
        </is>
      </c>
      <c r="J102" s="243" t="n"/>
      <c r="K102" s="276" t="inlineStr">
        <is>
          <t>.&lt;=${AreaPlanted} and .&gt;=0</t>
        </is>
      </c>
      <c r="L102" s="257" t="inlineStr">
        <is>
          <t xml:space="preserve">This a positive number that shouldn't exceed the total area planted </t>
        </is>
      </c>
      <c r="M102" s="257" t="inlineStr">
        <is>
          <t>هذا رقم موجب لا ينبغي أن يتجاوز إجمالي المساحة المزروعة</t>
        </is>
      </c>
      <c r="N102" s="276" t="inlineStr">
        <is>
          <t>${AreaPlanted} &gt; 0</t>
        </is>
      </c>
      <c r="O102" s="258" t="n"/>
      <c r="P102" s="258" t="n"/>
      <c r="Q102" s="259" t="n"/>
      <c r="R102" s="258" t="n"/>
      <c r="S102" s="258" t="n"/>
      <c r="T102" s="258" t="n"/>
      <c r="U102" s="258" t="n"/>
      <c r="V102" s="258" t="n"/>
      <c r="W102" s="258" t="n"/>
      <c r="X102" s="260" t="n"/>
      <c r="Y102" s="261" t="n"/>
      <c r="Z102" s="262" t="n"/>
      <c r="AA102" s="115" t="n"/>
    </row>
    <row r="103" ht="16.05" customHeight="1">
      <c r="A103" s="55" t="inlineStr">
        <is>
          <t>select_one landsize_unit</t>
        </is>
      </c>
      <c r="B103" s="56" t="inlineStr">
        <is>
          <t>AreaPlantedVeg_unit</t>
        </is>
      </c>
      <c r="C103" s="362" t="inlineStr">
        <is>
          <t>4.11 وحدة قياس مساحة الارض:</t>
        </is>
      </c>
      <c r="D103" s="362" t="inlineStr">
        <is>
          <t xml:space="preserve">4.11 Unit of measurement for land size: </t>
        </is>
      </c>
      <c r="E103" s="59" t="n"/>
      <c r="F103" s="51" t="n"/>
      <c r="G103" s="27" t="n"/>
      <c r="H103" s="60" t="n"/>
      <c r="I103" s="81" t="inlineStr">
        <is>
          <t>true</t>
        </is>
      </c>
      <c r="J103" s="211" t="inlineStr">
        <is>
          <t>minimal</t>
        </is>
      </c>
      <c r="K103" s="304" t="n"/>
      <c r="L103" s="248" t="n"/>
      <c r="M103" s="248" t="n"/>
      <c r="N103" s="276" t="inlineStr">
        <is>
          <t>${AreaPlantedVeg} &gt; 0</t>
        </is>
      </c>
      <c r="O103" s="86" t="inlineStr">
        <is>
          <t>my_filter_admin=${crp_landsize_unit}</t>
        </is>
      </c>
      <c r="P103" s="28" t="n"/>
      <c r="Q103" s="243" t="n"/>
      <c r="X103" s="132" t="n"/>
      <c r="Z103" s="115" t="n"/>
      <c r="AA103" s="115" t="n"/>
    </row>
    <row r="104" ht="31.95" customHeight="1">
      <c r="A104" s="56" t="inlineStr">
        <is>
          <t>select_one AreaPlantedcompare</t>
        </is>
      </c>
      <c r="B104" s="56" t="inlineStr">
        <is>
          <t>AreacompareVeg</t>
        </is>
      </c>
      <c r="C104" s="362" t="inlineStr">
        <is>
          <t>4.12 مقارنة بالعام الماضي ، حدد ما إذا كانت المساحة التي قمت بزراعتها هذا العام قد زادت أو انخفضت لنفس الفترة بالنسبة للخضار و الفواكه السنوية؟</t>
        </is>
      </c>
      <c r="D104" s="362" t="inlineStr">
        <is>
          <t xml:space="preserve">4.12 Compared to last year, indicate if the area you have cultivated this year increased or decreased for the same period for vegetables and annual fruits? </t>
        </is>
      </c>
      <c r="E104" s="59" t="n"/>
      <c r="F104" s="51" t="n"/>
      <c r="G104" s="27" t="n"/>
      <c r="H104" s="60" t="n"/>
      <c r="I104" s="81" t="inlineStr">
        <is>
          <t>true</t>
        </is>
      </c>
      <c r="J104" s="211" t="inlineStr">
        <is>
          <t>minimal</t>
        </is>
      </c>
      <c r="K104" s="276" t="n"/>
      <c r="L104" s="257" t="n"/>
      <c r="M104" s="257" t="n"/>
      <c r="N104" s="276" t="inlineStr">
        <is>
          <t>${AreaPlantedVeg} &gt; 0</t>
        </is>
      </c>
      <c r="O104" s="258" t="n"/>
      <c r="P104" s="28" t="n"/>
      <c r="Q104" s="243" t="n"/>
      <c r="X104" s="132" t="n"/>
      <c r="Z104" s="115" t="n"/>
      <c r="AA104" s="115" t="n"/>
    </row>
    <row r="105" ht="48" customHeight="1">
      <c r="A105" s="55" t="inlineStr">
        <is>
          <t>select_one change_reason</t>
        </is>
      </c>
      <c r="B105" s="56" t="inlineStr">
        <is>
          <t>AreacompareVeg_reason</t>
        </is>
      </c>
      <c r="C105" s="362" t="inlineStr">
        <is>
          <t>4.13 ما هو سبب هذا التغيير؟</t>
        </is>
      </c>
      <c r="D105" s="362" t="inlineStr">
        <is>
          <t>4.13 What is the reason for this change?</t>
        </is>
      </c>
      <c r="E105" s="59" t="n"/>
      <c r="F105" s="51" t="n"/>
      <c r="G105" s="27" t="n"/>
      <c r="H105" s="60" t="n"/>
      <c r="I105" s="81" t="inlineStr">
        <is>
          <t>true</t>
        </is>
      </c>
      <c r="J105" s="211" t="inlineStr">
        <is>
          <t>minimal</t>
        </is>
      </c>
      <c r="K105" s="276" t="n"/>
      <c r="L105" s="257" t="n"/>
      <c r="M105" s="257" t="n"/>
      <c r="N105" s="276" t="inlineStr">
        <is>
          <t>${AreacompareVeg} = '5' or ${AreacompareVeg} = '6' or ${AreacompareVeg} = '7'</t>
        </is>
      </c>
      <c r="O105" s="258" t="n"/>
      <c r="P105" s="28" t="n"/>
      <c r="Q105" s="243" t="n"/>
      <c r="X105" s="132" t="n"/>
      <c r="Z105" s="115" t="n"/>
      <c r="AA105" s="115" t="n"/>
    </row>
    <row r="106" ht="31.95" customHeight="1">
      <c r="A106" s="52" t="inlineStr">
        <is>
          <t>text</t>
        </is>
      </c>
      <c r="B106" s="56" t="inlineStr">
        <is>
          <t>AreacompareVeg_reason_other</t>
        </is>
      </c>
      <c r="C106" s="362" t="inlineStr">
        <is>
          <t>4.14 إذا كانت الإجابة "آخر"، حدد</t>
        </is>
      </c>
      <c r="D106" s="362" t="inlineStr">
        <is>
          <t>4.14 If other, specify</t>
        </is>
      </c>
      <c r="E106" s="59" t="n"/>
      <c r="F106" s="55" t="inlineStr">
        <is>
          <t>[INSTRUCTIONS: RECORD THE OPEN RESPONSE GIVEN IN FEW WORDS. ENTER 888 FOR DON'T KNOW AND 999 FOR REFUSED]</t>
        </is>
      </c>
      <c r="G106" s="52" t="inlineStr">
        <is>
          <t>[تعليمات: سجل في بضع كلمات الاستجابة المفتوحة المعطاة . أدخل 888 للا أعرف و 999 في حالة الرفض]</t>
        </is>
      </c>
      <c r="H106" s="60" t="n"/>
      <c r="I106" s="81" t="inlineStr">
        <is>
          <t>true</t>
        </is>
      </c>
      <c r="J106" s="243" t="n"/>
      <c r="K106" s="325" t="inlineStr">
        <is>
          <t>string-length(.)&gt;=3</t>
        </is>
      </c>
      <c r="L106" s="306" t="inlineStr">
        <is>
          <t>عفوا، الرجاء تقديم نص و شرح اكثر وضوحا.</t>
        </is>
      </c>
      <c r="M106" s="306" t="inlineStr">
        <is>
          <t>Sorry, Please provide a much more meaningful text</t>
        </is>
      </c>
      <c r="N106" s="276" t="inlineStr">
        <is>
          <t>${AreacompareVeg_reason} = 'other'</t>
        </is>
      </c>
      <c r="O106" s="258" t="n"/>
      <c r="P106" s="28" t="n"/>
      <c r="Q106" s="243" t="n"/>
      <c r="X106" s="132" t="n"/>
      <c r="Z106" s="115" t="n"/>
      <c r="AA106" s="115" t="n"/>
    </row>
    <row r="107" ht="31.95" customHeight="1">
      <c r="A107" s="56" t="inlineStr">
        <is>
          <t>decimal</t>
        </is>
      </c>
      <c r="B107" s="56" t="inlineStr">
        <is>
          <t>AreaPlantedPerennial</t>
        </is>
      </c>
      <c r="C107" s="378" t="inlineStr">
        <is>
          <t>4.15 المحاصيل المعمرة (الزيتون وأشجار الفاكهة والمكسرات)</t>
        </is>
      </c>
      <c r="D107" s="362" t="inlineStr">
        <is>
          <t xml:space="preserve">4.15 Perennial fruits (olives, fruit and nut trees) </t>
        </is>
      </c>
      <c r="E107" s="59" t="n"/>
      <c r="F107" s="51" t="n"/>
      <c r="G107" s="27" t="n"/>
      <c r="H107" s="60" t="n"/>
      <c r="I107" s="81" t="inlineStr">
        <is>
          <t>true</t>
        </is>
      </c>
      <c r="J107" s="243" t="n"/>
      <c r="K107" s="276" t="inlineStr">
        <is>
          <t>.&lt;=${AreaPlanted} and .&gt;=0</t>
        </is>
      </c>
      <c r="L107" s="257" t="inlineStr">
        <is>
          <t xml:space="preserve">This a positive number that shouldn't exceed the total area planted </t>
        </is>
      </c>
      <c r="M107" s="257" t="inlineStr">
        <is>
          <t>هذا رقم موجب لا ينبغي أن يتجاوز إجمالي المساحة المزروعة</t>
        </is>
      </c>
      <c r="N107" s="276" t="inlineStr">
        <is>
          <t>${AreaPlanted} &gt; 0</t>
        </is>
      </c>
      <c r="O107" s="258" t="n"/>
      <c r="P107" s="28" t="n"/>
      <c r="Q107" s="243" t="n"/>
      <c r="X107" s="132" t="n"/>
      <c r="Z107" s="115" t="n"/>
      <c r="AA107" s="115" t="n"/>
    </row>
    <row r="108" ht="16.05" customHeight="1">
      <c r="A108" s="55" t="inlineStr">
        <is>
          <t>select_one landsize_unit</t>
        </is>
      </c>
      <c r="B108" s="56" t="inlineStr">
        <is>
          <t>AreaPlantedPerennial_unit</t>
        </is>
      </c>
      <c r="C108" s="362" t="inlineStr">
        <is>
          <t>4.16 وحدة قياس مساحة الارض:</t>
        </is>
      </c>
      <c r="D108" s="362" t="inlineStr">
        <is>
          <t xml:space="preserve">4.16 Unit of measurement for land size: </t>
        </is>
      </c>
      <c r="E108" s="59" t="n"/>
      <c r="F108" s="51" t="n"/>
      <c r="G108" s="27" t="n"/>
      <c r="H108" s="60" t="n"/>
      <c r="I108" s="81" t="inlineStr">
        <is>
          <t>true</t>
        </is>
      </c>
      <c r="J108" s="211" t="inlineStr">
        <is>
          <t>minimal</t>
        </is>
      </c>
      <c r="K108" s="276" t="n"/>
      <c r="L108" s="257" t="n"/>
      <c r="M108" s="257" t="n"/>
      <c r="N108" s="276" t="inlineStr">
        <is>
          <t>${AreaPlantedPerennial} &gt; 0</t>
        </is>
      </c>
      <c r="O108" s="86" t="inlineStr">
        <is>
          <t>my_filter_admin=${crp_landsize_unit}</t>
        </is>
      </c>
      <c r="P108" s="28" t="n"/>
      <c r="Q108" s="243" t="n"/>
      <c r="X108" s="132" t="n"/>
      <c r="Z108" s="115" t="n"/>
      <c r="AA108" s="115" t="n"/>
    </row>
    <row r="109" ht="16.05" customHeight="1">
      <c r="A109" s="56" t="inlineStr">
        <is>
          <t>select_one AreaPlantedcompare</t>
        </is>
      </c>
      <c r="B109" s="56" t="inlineStr">
        <is>
          <t>AreacomparePerennial</t>
        </is>
      </c>
      <c r="C109" s="362" t="inlineStr">
        <is>
          <t>4.17 مقارنة بالعام الماضي ، حدد ما إذا كانت المساحة التي قمت بزراعتها هذا العام قد زادت أو انخفضت لنفس الفترة بالنسبة للمحاصيل المعمرة؟</t>
        </is>
      </c>
      <c r="D109" s="362" t="inlineStr">
        <is>
          <t xml:space="preserve">4.17 Compared to last year, indicate if the area planted with perennial fruits this year increased or decreased for the same period? </t>
        </is>
      </c>
      <c r="E109" s="59" t="n"/>
      <c r="F109" s="51" t="n"/>
      <c r="G109" s="27" t="n"/>
      <c r="H109" s="60" t="n"/>
      <c r="I109" s="81" t="inlineStr">
        <is>
          <t>true</t>
        </is>
      </c>
      <c r="J109" s="211" t="inlineStr">
        <is>
          <t>minimal</t>
        </is>
      </c>
      <c r="K109" s="276" t="n"/>
      <c r="L109" s="257" t="n"/>
      <c r="M109" s="257" t="n"/>
      <c r="N109" s="276" t="inlineStr">
        <is>
          <t>${AreaPlantedPerennial} &gt; 0</t>
        </is>
      </c>
      <c r="O109" s="258" t="n"/>
      <c r="P109" s="258" t="n"/>
      <c r="Q109" s="243" t="n"/>
      <c r="X109" s="132" t="n"/>
      <c r="Z109" s="115" t="n"/>
      <c r="AA109" s="115" t="n"/>
    </row>
    <row r="110" ht="48" customHeight="1">
      <c r="A110" s="55" t="inlineStr">
        <is>
          <t>select_one change_reason</t>
        </is>
      </c>
      <c r="B110" s="56" t="inlineStr">
        <is>
          <t>AreacomparePerennial_reason</t>
        </is>
      </c>
      <c r="C110" s="362" t="inlineStr">
        <is>
          <t>4.18 ما هو سبب هذا التغيير؟</t>
        </is>
      </c>
      <c r="D110" s="362" t="inlineStr">
        <is>
          <t>4.18 What is the reason for this change?</t>
        </is>
      </c>
      <c r="E110" s="59" t="n"/>
      <c r="F110" s="51" t="n"/>
      <c r="G110" s="27" t="n"/>
      <c r="H110" s="60" t="n"/>
      <c r="I110" s="81" t="inlineStr">
        <is>
          <t>true</t>
        </is>
      </c>
      <c r="J110" s="211" t="inlineStr">
        <is>
          <t>minimal</t>
        </is>
      </c>
      <c r="K110" s="276" t="n"/>
      <c r="L110" s="257" t="n"/>
      <c r="M110" s="257" t="n"/>
      <c r="N110" s="276" t="inlineStr">
        <is>
          <t>${AreacomparePerennial} = '5' or ${AreacomparePerennial} = '6' or ${AreacomparePerennial} = '7'</t>
        </is>
      </c>
      <c r="O110" s="258" t="n"/>
      <c r="P110" s="258" t="n"/>
      <c r="Q110" s="243" t="n"/>
      <c r="X110" s="132" t="n"/>
      <c r="Z110" s="115" t="n"/>
      <c r="AA110" s="115" t="n"/>
    </row>
    <row r="111" ht="31.95" customHeight="1">
      <c r="A111" s="52" t="inlineStr">
        <is>
          <t>text</t>
        </is>
      </c>
      <c r="B111" s="56" t="inlineStr">
        <is>
          <t>AreacomparePerennial_reason_other</t>
        </is>
      </c>
      <c r="C111" s="362" t="inlineStr">
        <is>
          <t>4.19 إذا كانت الإجابة "آخر"، حدد</t>
        </is>
      </c>
      <c r="D111" s="362" t="inlineStr">
        <is>
          <t>4.19 If other, specify</t>
        </is>
      </c>
      <c r="E111" s="59" t="n"/>
      <c r="F111" s="55" t="inlineStr">
        <is>
          <t>[INSTRUCTIONS: RECORD THE OPEN RESPONSE GIVEN IN FEW WORDS. ENTER 888 FOR DON'T KNOW AND 999 FOR REFUSED]</t>
        </is>
      </c>
      <c r="G111" s="52" t="inlineStr">
        <is>
          <t>[تعليمات: سجل في بضع كلمات الاستجابة المفتوحة المعطاة . أدخل 888 للا أعرف و 999 في حالة الرفض]</t>
        </is>
      </c>
      <c r="H111" s="60" t="n"/>
      <c r="I111" s="81" t="inlineStr">
        <is>
          <t>true</t>
        </is>
      </c>
      <c r="J111" s="243" t="n"/>
      <c r="K111" s="325" t="inlineStr">
        <is>
          <t>string-length(.)&gt;=3</t>
        </is>
      </c>
      <c r="L111" s="306" t="inlineStr">
        <is>
          <t>عفوا، الرجاء تقديم نص و شرح اكثر وضوحا.</t>
        </is>
      </c>
      <c r="M111" s="306" t="inlineStr">
        <is>
          <t>Sorry, Please provide a much more meaningful text</t>
        </is>
      </c>
      <c r="N111" s="276" t="inlineStr">
        <is>
          <t>${AreacomparePerennial_reason} = 'other'</t>
        </is>
      </c>
      <c r="O111" s="258" t="n"/>
      <c r="P111" s="258" t="n"/>
      <c r="Q111" s="243" t="n"/>
      <c r="X111" s="132" t="n"/>
      <c r="Z111" s="115" t="n"/>
      <c r="AA111" s="115" t="n"/>
    </row>
    <row r="112" ht="31.95" customHeight="1">
      <c r="A112" s="56" t="inlineStr">
        <is>
          <t>decimal</t>
        </is>
      </c>
      <c r="B112" s="56" t="inlineStr">
        <is>
          <t>AreaPlantedPulses</t>
        </is>
      </c>
      <c r="C112" s="378" t="inlineStr">
        <is>
          <t>4.20 البقول (الفول ، البازلاء ، الحمص ، العدس ، إلخ)</t>
        </is>
      </c>
      <c r="D112" s="362" t="inlineStr">
        <is>
          <t>4.20 Pulses (beans, peas, chickpeas, lentils, etc.)</t>
        </is>
      </c>
      <c r="E112" s="59" t="n"/>
      <c r="F112" s="51" t="n"/>
      <c r="G112" s="27" t="n"/>
      <c r="H112" s="60" t="n"/>
      <c r="I112" s="81" t="inlineStr">
        <is>
          <t>true</t>
        </is>
      </c>
      <c r="J112" s="243" t="n"/>
      <c r="K112" s="276" t="inlineStr">
        <is>
          <t>.&lt;=${AreaPlanted} and .&gt;=0</t>
        </is>
      </c>
      <c r="L112" s="257" t="inlineStr">
        <is>
          <t xml:space="preserve">This a positive number that shouldn't exceed the total area planted </t>
        </is>
      </c>
      <c r="M112" s="257" t="inlineStr">
        <is>
          <t>هذا رقم موجب لا ينبغي أن يتجاوز إجمالي المساحة المزروعة</t>
        </is>
      </c>
      <c r="N112" s="276" t="inlineStr">
        <is>
          <t>${AreaPlanted} &gt; 0</t>
        </is>
      </c>
      <c r="O112" s="258" t="n"/>
      <c r="P112" s="258" t="n"/>
      <c r="Q112" s="243" t="n"/>
      <c r="X112" s="132" t="n"/>
      <c r="Z112" s="115" t="n"/>
      <c r="AA112" s="115" t="n"/>
    </row>
    <row r="113" ht="16.05" customHeight="1">
      <c r="A113" s="55" t="inlineStr">
        <is>
          <t>select_one landsize_unit</t>
        </is>
      </c>
      <c r="B113" s="56" t="inlineStr">
        <is>
          <t>AreaPlantedPulses_unit</t>
        </is>
      </c>
      <c r="C113" s="362" t="inlineStr">
        <is>
          <t>4.21 وحدة قياس مساحة الارض:</t>
        </is>
      </c>
      <c r="D113" s="362" t="inlineStr">
        <is>
          <t xml:space="preserve">4.21 Unit of measurement for land size: </t>
        </is>
      </c>
      <c r="E113" s="59" t="n"/>
      <c r="F113" s="51" t="n"/>
      <c r="G113" s="27" t="n"/>
      <c r="H113" s="60" t="n"/>
      <c r="I113" s="81" t="inlineStr">
        <is>
          <t>true</t>
        </is>
      </c>
      <c r="J113" s="243" t="n"/>
      <c r="K113" s="304" t="n"/>
      <c r="L113" s="248" t="n"/>
      <c r="M113" s="248" t="n"/>
      <c r="N113" s="276" t="inlineStr">
        <is>
          <t>${AreaPlantedPulses} &gt; 0</t>
        </is>
      </c>
      <c r="O113" s="86" t="inlineStr">
        <is>
          <t>my_filter_admin=${crp_landsize_unit}</t>
        </is>
      </c>
      <c r="P113" s="28" t="n"/>
      <c r="Q113" s="243" t="n"/>
      <c r="X113" s="132" t="n"/>
      <c r="Z113" s="115" t="n"/>
      <c r="AA113" s="115" t="n"/>
    </row>
    <row r="114" ht="16.05" customHeight="1">
      <c r="A114" s="56" t="inlineStr">
        <is>
          <t>select_one AreaPlantedcompare</t>
        </is>
      </c>
      <c r="B114" s="56" t="inlineStr">
        <is>
          <t>AreacomparePulses</t>
        </is>
      </c>
      <c r="C114" s="362" t="inlineStr">
        <is>
          <t>4.22 مقارنة بالعام الماضي ، حدد ما إذا كانت المساحة التي قمت بزراعتها هذا العام قد زادت أو انخفضت لنفس الفترة بالنسبة للبقول؟</t>
        </is>
      </c>
      <c r="D114" s="362" t="inlineStr">
        <is>
          <t xml:space="preserve">4.22 Compared to last year, indicate if the area you have cultivated this year increased or decreased for the same period for pulses? </t>
        </is>
      </c>
      <c r="E114" s="59" t="n"/>
      <c r="F114" s="51" t="n"/>
      <c r="G114" s="27" t="n"/>
      <c r="H114" s="60" t="n"/>
      <c r="I114" s="81" t="inlineStr">
        <is>
          <t>true</t>
        </is>
      </c>
      <c r="J114" s="211" t="inlineStr">
        <is>
          <t>minimal</t>
        </is>
      </c>
      <c r="K114" s="276" t="n"/>
      <c r="L114" s="257" t="n"/>
      <c r="M114" s="257" t="n"/>
      <c r="N114" s="276" t="inlineStr">
        <is>
          <t>${AreaPlantedPulses} &gt; 0</t>
        </is>
      </c>
      <c r="O114" s="258" t="n"/>
      <c r="P114" s="258" t="n"/>
      <c r="Q114" s="259" t="n"/>
      <c r="R114" s="258" t="n"/>
      <c r="S114" s="258" t="n"/>
      <c r="X114" s="132" t="n"/>
      <c r="Z114" s="115" t="n"/>
      <c r="AA114" s="115" t="n"/>
    </row>
    <row r="115" ht="48" customHeight="1">
      <c r="A115" s="55" t="inlineStr">
        <is>
          <t>select_one change_reason</t>
        </is>
      </c>
      <c r="B115" s="56" t="inlineStr">
        <is>
          <t>AreacomparePulses_reason</t>
        </is>
      </c>
      <c r="C115" s="362" t="inlineStr">
        <is>
          <t>4.23 ما هو سبب هذا التغيير؟</t>
        </is>
      </c>
      <c r="D115" s="362" t="inlineStr">
        <is>
          <t>4.23 What is the reason for this change?</t>
        </is>
      </c>
      <c r="E115" s="59" t="n"/>
      <c r="F115" s="51" t="n"/>
      <c r="G115" s="27" t="n"/>
      <c r="H115" s="60" t="n"/>
      <c r="I115" s="81" t="inlineStr">
        <is>
          <t>true</t>
        </is>
      </c>
      <c r="J115" s="211" t="inlineStr">
        <is>
          <t>minimal</t>
        </is>
      </c>
      <c r="K115" s="276" t="n"/>
      <c r="L115" s="257" t="n"/>
      <c r="M115" s="257" t="n"/>
      <c r="N115" s="276" t="inlineStr">
        <is>
          <t>${AreacomparePulses} = '5' or ${AreacomparePulses} = '6' or ${AreacomparePulses} = '7'</t>
        </is>
      </c>
      <c r="O115" s="258" t="n"/>
      <c r="P115" s="258" t="n"/>
      <c r="Q115" s="259" t="n"/>
      <c r="R115" s="258" t="n"/>
      <c r="S115" s="258" t="n"/>
      <c r="X115" s="132" t="n"/>
      <c r="Z115" s="115" t="n"/>
      <c r="AA115" s="115" t="n"/>
    </row>
    <row r="116" ht="31.95" customHeight="1">
      <c r="A116" s="52" t="inlineStr">
        <is>
          <t>text</t>
        </is>
      </c>
      <c r="B116" s="56" t="inlineStr">
        <is>
          <t>AreacomparePulses_reason_other</t>
        </is>
      </c>
      <c r="C116" s="362" t="inlineStr">
        <is>
          <t>4.24 إذا كانت الإجابة "آخر"، حدد</t>
        </is>
      </c>
      <c r="D116" s="362" t="inlineStr">
        <is>
          <t>4.24 If other, specify</t>
        </is>
      </c>
      <c r="E116" s="59" t="n"/>
      <c r="F116" s="55" t="inlineStr">
        <is>
          <t>[INSTRUCTIONS: RECORD THE OPEN RESPONSE GIVEN IN FEW WORDS. ENTER 888 FOR DON'T KNOW AND 999 FOR REFUSED]</t>
        </is>
      </c>
      <c r="G116" s="52" t="inlineStr">
        <is>
          <t>[تعليمات: سجل في بضع كلمات الاستجابة المفتوحة المعطاة . أدخل 888 للا أعرف و 999 في حالة الرفض]</t>
        </is>
      </c>
      <c r="H116" s="60" t="n"/>
      <c r="I116" s="81" t="inlineStr">
        <is>
          <t>true</t>
        </is>
      </c>
      <c r="J116" s="211" t="inlineStr">
        <is>
          <t>minimal</t>
        </is>
      </c>
      <c r="K116" s="325" t="inlineStr">
        <is>
          <t>string-length(.)&gt;=3</t>
        </is>
      </c>
      <c r="L116" s="306" t="inlineStr">
        <is>
          <t>عفوا، الرجاء تقديم نص و شرح اكثر وضوحا.</t>
        </is>
      </c>
      <c r="M116" s="306" t="inlineStr">
        <is>
          <t>Sorry, Please provide a much more meaningful text</t>
        </is>
      </c>
      <c r="N116" s="276" t="inlineStr">
        <is>
          <t>${AreacomparePulses_reason} = 'other'</t>
        </is>
      </c>
      <c r="O116" s="258" t="n"/>
      <c r="P116" s="258" t="n"/>
      <c r="Q116" s="259" t="n"/>
      <c r="R116" s="258" t="n"/>
      <c r="S116" s="258" t="n"/>
      <c r="X116" s="132" t="n"/>
      <c r="Z116" s="115" t="n"/>
      <c r="AA116" s="115" t="n"/>
    </row>
    <row r="117" ht="31.95" customHeight="1">
      <c r="A117" s="56" t="inlineStr">
        <is>
          <t>decimal</t>
        </is>
      </c>
      <c r="B117" s="56" t="inlineStr">
        <is>
          <t>AreaPlantedTuber</t>
        </is>
      </c>
      <c r="C117" s="378" t="inlineStr">
        <is>
          <t>4.25 الدرنات والمحاصيل الجذرية (البطاطا والجزر والفجل واللفت والشمندر وغيرها)</t>
        </is>
      </c>
      <c r="D117" s="362" t="inlineStr">
        <is>
          <t>4.25 Tubers and root crops (potatoes, carrots, radish, turnips, beetroots etc)</t>
        </is>
      </c>
      <c r="E117" s="59" t="n"/>
      <c r="F117" s="51" t="n"/>
      <c r="G117" s="27" t="n"/>
      <c r="H117" s="60" t="n"/>
      <c r="I117" s="81" t="inlineStr">
        <is>
          <t>true</t>
        </is>
      </c>
      <c r="J117" s="243" t="n"/>
      <c r="K117" s="276" t="inlineStr">
        <is>
          <t>.&lt;=${AreaPlanted} and .&gt;=0</t>
        </is>
      </c>
      <c r="L117" s="257" t="inlineStr">
        <is>
          <t xml:space="preserve">This a positive number that shouldn't exceed the total area planted </t>
        </is>
      </c>
      <c r="M117" s="257" t="inlineStr">
        <is>
          <t>هذا رقم موجب لا ينبغي أن يتجاوز إجمالي المساحة المزروعة</t>
        </is>
      </c>
      <c r="N117" s="276" t="inlineStr">
        <is>
          <t>${AreaPlanted} &gt; 0</t>
        </is>
      </c>
      <c r="O117" s="258" t="n"/>
      <c r="P117" s="258" t="n"/>
      <c r="Q117" s="259" t="n"/>
      <c r="R117" s="258" t="n"/>
      <c r="S117" s="258" t="n"/>
      <c r="X117" s="132" t="n"/>
      <c r="Z117" s="115" t="n"/>
      <c r="AA117" s="115" t="n"/>
    </row>
    <row r="118" ht="16.05" customHeight="1">
      <c r="A118" s="55" t="inlineStr">
        <is>
          <t>select_one landsize_unit</t>
        </is>
      </c>
      <c r="B118" s="56" t="inlineStr">
        <is>
          <t>AreaPlantedTuber_unit</t>
        </is>
      </c>
      <c r="C118" s="362" t="inlineStr">
        <is>
          <t>4.26 وحدة قياس مساحة الارض:</t>
        </is>
      </c>
      <c r="D118" s="362" t="inlineStr">
        <is>
          <t xml:space="preserve">4.26 Unit of measurement for land size: </t>
        </is>
      </c>
      <c r="E118" s="59" t="n"/>
      <c r="F118" s="51" t="n"/>
      <c r="G118" s="27" t="n"/>
      <c r="H118" s="60" t="n"/>
      <c r="I118" s="81" t="inlineStr">
        <is>
          <t>true</t>
        </is>
      </c>
      <c r="J118" s="211" t="inlineStr">
        <is>
          <t>minimal</t>
        </is>
      </c>
      <c r="K118" s="276" t="n"/>
      <c r="L118" s="257" t="n"/>
      <c r="M118" s="257" t="n"/>
      <c r="N118" s="276" t="inlineStr">
        <is>
          <t>${AreaPlantedTuber} &gt; 0</t>
        </is>
      </c>
      <c r="O118" s="86" t="inlineStr">
        <is>
          <t>my_filter_admin=${crp_landsize_unit}</t>
        </is>
      </c>
      <c r="P118" s="258" t="n"/>
      <c r="Q118" s="259" t="n"/>
      <c r="R118" s="258" t="n"/>
      <c r="S118" s="258" t="n"/>
      <c r="X118" s="132" t="n"/>
      <c r="Z118" s="115" t="n"/>
      <c r="AA118" s="115" t="n"/>
    </row>
    <row r="119" ht="31.95" customHeight="1">
      <c r="A119" s="56" t="inlineStr">
        <is>
          <t>select_one AreaPlantedcompare</t>
        </is>
      </c>
      <c r="B119" s="56" t="inlineStr">
        <is>
          <t>AreacompareTuber</t>
        </is>
      </c>
      <c r="C119" s="362" t="inlineStr">
        <is>
          <t>4.27 مقارنة بالعام الماضي ، حدد ما إذا كانت المساحة التي قمت بزراعتها هذا العام قد زادت أو انخفضت لنفس الفترة بالنسبة للدرنات والمحاصيل الجذرية؟</t>
        </is>
      </c>
      <c r="D119" s="362" t="inlineStr">
        <is>
          <t xml:space="preserve">4.27 Compared to last year, indicate if the area you have cultivated this year increased or decreased for the same period for tubers and root crops? </t>
        </is>
      </c>
      <c r="E119" s="59" t="n"/>
      <c r="F119" s="51" t="n"/>
      <c r="G119" s="27" t="n"/>
      <c r="H119" s="60" t="n"/>
      <c r="I119" s="81" t="inlineStr">
        <is>
          <t>true</t>
        </is>
      </c>
      <c r="J119" s="211" t="inlineStr">
        <is>
          <t>minimal</t>
        </is>
      </c>
      <c r="K119" s="276" t="n"/>
      <c r="L119" s="257" t="n"/>
      <c r="M119" s="257" t="n"/>
      <c r="N119" s="276" t="inlineStr">
        <is>
          <t>${AreaPlantedTuber} &gt; 0</t>
        </is>
      </c>
      <c r="O119" s="258" t="n"/>
      <c r="P119" s="258" t="n"/>
      <c r="Q119" s="259" t="n"/>
      <c r="R119" s="258" t="n"/>
      <c r="S119" s="258" t="n"/>
      <c r="X119" s="132" t="n"/>
      <c r="Z119" s="115" t="n"/>
      <c r="AA119" s="115" t="n"/>
    </row>
    <row r="120" ht="48" customHeight="1">
      <c r="A120" s="55" t="inlineStr">
        <is>
          <t>select_one change_reason</t>
        </is>
      </c>
      <c r="B120" s="56" t="inlineStr">
        <is>
          <t>AreacompareTuber_reason</t>
        </is>
      </c>
      <c r="C120" s="362" t="inlineStr">
        <is>
          <t>4.28 ما هو سبب هذا التغيير؟</t>
        </is>
      </c>
      <c r="D120" s="362" t="inlineStr">
        <is>
          <t>4.28 What is the reason for this change?</t>
        </is>
      </c>
      <c r="E120" s="59" t="n"/>
      <c r="F120" s="51" t="n"/>
      <c r="G120" s="27" t="n"/>
      <c r="H120" s="60" t="n"/>
      <c r="I120" s="81" t="inlineStr">
        <is>
          <t>true</t>
        </is>
      </c>
      <c r="J120" s="211" t="inlineStr">
        <is>
          <t>minimal</t>
        </is>
      </c>
      <c r="K120" s="276" t="n"/>
      <c r="L120" s="257" t="n"/>
      <c r="M120" s="257" t="n"/>
      <c r="N120" s="276" t="inlineStr">
        <is>
          <t>${AreacompareTuber} = '5' or ${AreacompareTuber} = '6' or ${AreacompareTuber} = '7'</t>
        </is>
      </c>
      <c r="O120" s="258" t="n"/>
      <c r="P120" s="258" t="n"/>
      <c r="Q120" s="259" t="n"/>
      <c r="R120" s="258" t="n"/>
      <c r="S120" s="258" t="n"/>
      <c r="X120" s="132" t="n"/>
      <c r="Z120" s="115" t="n"/>
      <c r="AA120" s="115" t="n"/>
    </row>
    <row r="121" ht="31.95" customHeight="1">
      <c r="A121" s="52" t="inlineStr">
        <is>
          <t>text</t>
        </is>
      </c>
      <c r="B121" s="56" t="inlineStr">
        <is>
          <t>AreacompareTuber_reason_other</t>
        </is>
      </c>
      <c r="C121" s="362" t="inlineStr">
        <is>
          <t>4.29 إذا كانت الإجابة "آخر"، حدد</t>
        </is>
      </c>
      <c r="D121" s="362" t="inlineStr">
        <is>
          <t>4.29 If other, specify</t>
        </is>
      </c>
      <c r="E121" s="59" t="n"/>
      <c r="F121" s="55" t="inlineStr">
        <is>
          <t>[INSTRUCTIONS: RECORD THE OPEN RESPONSE GIVEN IN FEW WORDS. ENTER 888 FOR DON'T KNOW AND 999 FOR REFUSED]</t>
        </is>
      </c>
      <c r="G121" s="52" t="inlineStr">
        <is>
          <t>[تعليمات: سجل في بضع كلمات الاستجابة المفتوحة المعطاة . أدخل 888 للا أعرف و 999 في حالة الرفض]</t>
        </is>
      </c>
      <c r="H121" s="60" t="n"/>
      <c r="I121" s="81" t="inlineStr">
        <is>
          <t>true</t>
        </is>
      </c>
      <c r="J121" s="243" t="n"/>
      <c r="K121" s="325" t="inlineStr">
        <is>
          <t>string-length(.)&gt;=3</t>
        </is>
      </c>
      <c r="L121" s="306" t="inlineStr">
        <is>
          <t>عفوا، الرجاء تقديم نص و شرح اكثر وضوحا.</t>
        </is>
      </c>
      <c r="M121" s="306" t="inlineStr">
        <is>
          <t>Sorry, Please provide a much more meaningful text</t>
        </is>
      </c>
      <c r="N121" s="276" t="inlineStr">
        <is>
          <t>${AreacompareTuber_reason} = 'other'</t>
        </is>
      </c>
      <c r="O121" s="258" t="n"/>
      <c r="P121" s="258" t="n"/>
      <c r="Q121" s="259" t="n"/>
      <c r="R121" s="258" t="n"/>
      <c r="S121" s="258" t="n"/>
      <c r="X121" s="132" t="n"/>
      <c r="Z121" s="115" t="n"/>
      <c r="AA121" s="115" t="n"/>
    </row>
    <row r="122" ht="16.05" customHeight="1">
      <c r="A122" s="50" t="inlineStr">
        <is>
          <t>calculate</t>
        </is>
      </c>
      <c r="B122" s="56" t="inlineStr">
        <is>
          <t>AreaPlanted_</t>
        </is>
      </c>
      <c r="C122" s="362" t="n"/>
      <c r="D122" s="362" t="n"/>
      <c r="E122" s="59" t="n"/>
      <c r="F122" s="55" t="n"/>
      <c r="G122" s="52" t="n"/>
      <c r="H122" s="60" t="n"/>
      <c r="I122" s="81" t="n"/>
      <c r="J122" s="243" t="n"/>
      <c r="K122" s="276" t="n"/>
      <c r="L122" s="257" t="n"/>
      <c r="M122" s="257" t="n"/>
      <c r="N122" s="276" t="n"/>
      <c r="O122" s="258" t="n"/>
      <c r="P122" s="258" t="n"/>
      <c r="Q122" s="222" t="inlineStr">
        <is>
          <t>${AreaPlantedGrains} + ${AreaPlantedVeg} + ${AreaPlantedPerennial} + ${AreaPlantedPulses} + ${AreaPlantedTuber}</t>
        </is>
      </c>
      <c r="R122" s="258" t="n"/>
      <c r="S122" s="258" t="n"/>
      <c r="X122" s="132" t="n"/>
      <c r="Z122" s="115" t="n"/>
      <c r="AA122" s="115" t="n"/>
    </row>
    <row r="123" ht="31.95" customHeight="1">
      <c r="A123" s="52" t="inlineStr">
        <is>
          <t>text</t>
        </is>
      </c>
      <c r="B123" s="56" t="inlineStr">
        <is>
          <t>datacheck</t>
        </is>
      </c>
      <c r="C123" s="380" t="inlineStr">
        <is>
          <t>إذا ظهر لك هذا السؤال فيجب التأكد من المساحات المزروعة لأن مجموع مساحات الأراضي المزروعة يجب أن يكون أصغر او يساوي مساحة الأرض الكلية التي تمت زراعتها هذا العام و إلا فاذكر سببا منطقيا لذلك</t>
        </is>
      </c>
      <c r="D123" s="381" t="inlineStr">
        <is>
          <t>If this question appears to you, you must check the cultivated areas, because the total cultivated land area must be less than or equal to the total land area that was cultivated this year, otherwise, provide a logical reason for that.</t>
        </is>
      </c>
      <c r="E123" s="59" t="n"/>
      <c r="F123" s="55" t="n"/>
      <c r="G123" s="52" t="n"/>
      <c r="H123" s="60" t="n"/>
      <c r="I123" s="81" t="inlineStr">
        <is>
          <t>true</t>
        </is>
      </c>
      <c r="J123" s="243" t="n"/>
      <c r="K123" s="325" t="inlineStr">
        <is>
          <t>string-length(.)&gt;=3</t>
        </is>
      </c>
      <c r="L123" s="306" t="inlineStr">
        <is>
          <t>عفوا، الرجاء تقديم نص و شرح اكثر وضوحا.</t>
        </is>
      </c>
      <c r="M123" s="306" t="inlineStr">
        <is>
          <t>Sorry, Please provide a much more meaningful text</t>
        </is>
      </c>
      <c r="N123" s="276" t="inlineStr">
        <is>
          <t>${AreaPlanted_} &gt; ${AreaPlanted}</t>
        </is>
      </c>
      <c r="O123" s="258" t="n"/>
      <c r="P123" s="258" t="n"/>
      <c r="Q123" s="226" t="n"/>
      <c r="R123" s="258" t="n"/>
      <c r="S123" s="258" t="n"/>
      <c r="X123" s="132" t="n"/>
      <c r="Z123" s="115" t="n"/>
      <c r="AA123" s="115" t="n"/>
    </row>
    <row r="124" ht="16.05" customHeight="1" thickBot="1">
      <c r="A124" s="68" t="inlineStr">
        <is>
          <t>end_group</t>
        </is>
      </c>
      <c r="B124" s="56" t="n"/>
      <c r="C124" s="362" t="n"/>
      <c r="D124" s="362" t="n"/>
      <c r="E124" s="59" t="n"/>
      <c r="F124" s="55" t="n"/>
      <c r="G124" s="52" t="n"/>
      <c r="H124" s="60" t="n"/>
      <c r="I124" s="81" t="n"/>
      <c r="J124" s="243" t="n"/>
      <c r="K124" s="276" t="n"/>
      <c r="L124" s="257" t="n"/>
      <c r="M124" s="257" t="n"/>
      <c r="N124" s="276" t="n"/>
      <c r="O124" s="258" t="n"/>
      <c r="P124" s="258" t="n"/>
      <c r="Q124" s="259" t="n"/>
      <c r="R124" s="258" t="n"/>
      <c r="S124" s="258" t="n"/>
      <c r="X124" s="132" t="n"/>
      <c r="Z124" s="115" t="n"/>
      <c r="AA124" s="115" t="n"/>
    </row>
    <row r="125" ht="177" customHeight="1" thickTop="1">
      <c r="A125" s="209" t="inlineStr">
        <is>
          <t>select_multiple AreaDamage</t>
        </is>
      </c>
      <c r="B125" s="56" t="inlineStr">
        <is>
          <t>AreaDamage</t>
        </is>
      </c>
      <c r="C125" s="362" t="inlineStr">
        <is>
          <t>4.30 هل تسبب الزلزال في الضرر لأي من المحاصيل التي قمت بزراعتها؟</t>
        </is>
      </c>
      <c r="D125" s="362" t="inlineStr">
        <is>
          <t>4.30 Did the earthquake cause damage any of the crops that you cultivated?</t>
        </is>
      </c>
      <c r="E125" s="59" t="n"/>
      <c r="F125" s="28" t="inlineStr">
        <is>
          <t>[INSTRUCTIONS: MULTIPLE RESPONSES POSSIBLE. SELECT OPTION(S) THAT BEST FIT THE INFORMATION PROVIDED BY THE RESPONDENTS.]</t>
        </is>
      </c>
      <c r="G125" s="28" t="inlineStr">
        <is>
          <t>[تعليمات: عدة استجابات محتملة. حدد الخيار (الخيارات) الأنسب للمعلومات المقدمة من المجيب]</t>
        </is>
      </c>
      <c r="H125" s="60" t="n"/>
      <c r="I125" s="81" t="inlineStr">
        <is>
          <t>true</t>
        </is>
      </c>
      <c r="J125" s="243" t="n"/>
      <c r="K125" s="276" t="inlineStr">
        <is>
          <t xml:space="preserve">not(selected(.,'1') and count-selected(.) &gt;=  2) and  not(selected(.,'7') and count-selected(.) &gt;=  2) and not(selected(.,'8') and count-selected(.) &gt;=  2)   </t>
        </is>
      </c>
      <c r="L125" s="257" t="n"/>
      <c r="M125" s="257" t="n"/>
      <c r="N125" s="276" t="inlineStr">
        <is>
          <t>${AreaPlanted} &gt; 0</t>
        </is>
      </c>
      <c r="O125" s="258" t="n"/>
      <c r="P125" s="258" t="n"/>
      <c r="Q125" s="259" t="n"/>
      <c r="R125" s="258" t="n"/>
      <c r="S125" s="258" t="n"/>
      <c r="X125" s="132" t="n"/>
      <c r="Z125" s="115" t="n"/>
      <c r="AA125" s="115" t="n"/>
    </row>
    <row r="126" ht="16.05" customHeight="1">
      <c r="A126" s="55" t="inlineStr">
        <is>
          <t>select_one prop_25</t>
        </is>
      </c>
      <c r="B126" s="56" t="inlineStr">
        <is>
          <t>Grain_damage</t>
        </is>
      </c>
      <c r="C126" s="362" t="inlineStr">
        <is>
          <t>4.31 ما هي نسبة الحبوب والمحاصيل الزيتية التي تضررت من جراء الزلزال؟</t>
        </is>
      </c>
      <c r="D126" s="362" t="inlineStr">
        <is>
          <t>4.31 How much of your grain and oil crops have been damaged by the earthquake?</t>
        </is>
      </c>
      <c r="E126" s="59" t="n"/>
      <c r="F126" s="51" t="n"/>
      <c r="G126" s="27" t="n"/>
      <c r="H126" s="60" t="n"/>
      <c r="I126" s="81" t="inlineStr">
        <is>
          <t>true</t>
        </is>
      </c>
      <c r="J126" s="243" t="n"/>
      <c r="K126" s="276" t="n"/>
      <c r="L126" s="257" t="n"/>
      <c r="M126" s="257" t="n"/>
      <c r="N126" s="276" t="inlineStr">
        <is>
          <t>selected(${AreaDamage}, '2')</t>
        </is>
      </c>
      <c r="O126" s="258" t="n"/>
      <c r="P126" s="258" t="n"/>
      <c r="Q126" s="259" t="n"/>
      <c r="R126" s="258" t="n"/>
      <c r="S126" s="258" t="n"/>
      <c r="X126" s="132" t="n"/>
      <c r="Z126" s="115" t="n"/>
      <c r="AA126" s="115" t="n"/>
    </row>
    <row r="127" ht="16.05" customHeight="1">
      <c r="A127" s="55" t="inlineStr">
        <is>
          <t>select_one prop_25</t>
        </is>
      </c>
      <c r="B127" s="56" t="inlineStr">
        <is>
          <t>VegAnnual_damage</t>
        </is>
      </c>
      <c r="C127" s="362" t="inlineStr">
        <is>
          <t>4.32 ما هي نسبة الخضراوات ومحاصيل الفاكهة السنوية التي تضررت من جراء الزلزال؟</t>
        </is>
      </c>
      <c r="D127" s="362" t="inlineStr">
        <is>
          <t>4.32 How much of your vegetables and annual fruit crops have been damaged by the earthquake?</t>
        </is>
      </c>
      <c r="E127" s="59" t="n"/>
      <c r="F127" s="51" t="n"/>
      <c r="G127" s="27" t="n"/>
      <c r="H127" s="60" t="n"/>
      <c r="I127" s="81" t="inlineStr">
        <is>
          <t>true</t>
        </is>
      </c>
      <c r="J127" s="243" t="n"/>
      <c r="K127" s="276" t="n"/>
      <c r="L127" s="257" t="n"/>
      <c r="M127" s="257" t="n"/>
      <c r="N127" s="276" t="inlineStr">
        <is>
          <t>selected(${AreaDamage}, '3')</t>
        </is>
      </c>
      <c r="O127" s="258" t="n"/>
      <c r="P127" s="258" t="n"/>
      <c r="Q127" s="259" t="n"/>
      <c r="R127" s="258" t="n"/>
      <c r="S127" s="258" t="n"/>
      <c r="X127" s="132" t="n"/>
      <c r="Z127" s="115" t="n"/>
      <c r="AA127" s="115" t="n"/>
    </row>
    <row r="128" ht="16.05" customHeight="1">
      <c r="A128" s="55" t="inlineStr">
        <is>
          <t>select_one prop_25</t>
        </is>
      </c>
      <c r="B128" s="56" t="inlineStr">
        <is>
          <t>Perennial_damage</t>
        </is>
      </c>
      <c r="C128" s="362" t="inlineStr">
        <is>
          <t>4.33 ما هي نسبة المحاصيل المعمرة التي تضررت من جراء الزلزال؟</t>
        </is>
      </c>
      <c r="D128" s="362" t="inlineStr">
        <is>
          <t>4.33 How much of your perennial fruit crops have been damaged by the earthquake?</t>
        </is>
      </c>
      <c r="E128" s="59" t="n"/>
      <c r="F128" s="51" t="n"/>
      <c r="G128" s="27" t="n"/>
      <c r="H128" s="60" t="n"/>
      <c r="I128" s="81" t="inlineStr">
        <is>
          <t>true</t>
        </is>
      </c>
      <c r="J128" s="243" t="n"/>
      <c r="K128" s="304" t="n"/>
      <c r="L128" s="248" t="n"/>
      <c r="M128" s="248" t="n"/>
      <c r="N128" s="276" t="inlineStr">
        <is>
          <t>selected(${AreaDamage}, '4')</t>
        </is>
      </c>
      <c r="O128" s="28" t="n"/>
      <c r="P128" s="28" t="n"/>
      <c r="Q128" s="243" t="n"/>
      <c r="X128" s="132" t="n"/>
      <c r="Z128" s="115" t="n"/>
      <c r="AA128" s="115" t="n"/>
    </row>
    <row r="129" ht="16.05" customHeight="1">
      <c r="A129" s="55" t="inlineStr">
        <is>
          <t>select_one prop_25</t>
        </is>
      </c>
      <c r="B129" s="56" t="inlineStr">
        <is>
          <t>Pulses_damage</t>
        </is>
      </c>
      <c r="C129" s="362" t="inlineStr">
        <is>
          <t>4.34 ما هي نسبة البقول التي تضررت من جراء الزلزال؟</t>
        </is>
      </c>
      <c r="D129" s="362" t="inlineStr">
        <is>
          <t>4.34 How much of your pulses have been damaged by the earthquake?</t>
        </is>
      </c>
      <c r="E129" s="59" t="n"/>
      <c r="F129" s="51" t="n"/>
      <c r="G129" s="27" t="n"/>
      <c r="H129" s="60" t="n"/>
      <c r="I129" s="81" t="inlineStr">
        <is>
          <t>true</t>
        </is>
      </c>
      <c r="J129" s="243" t="n"/>
      <c r="K129" s="304" t="n"/>
      <c r="L129" s="248" t="n"/>
      <c r="M129" s="248" t="n"/>
      <c r="N129" s="276" t="inlineStr">
        <is>
          <t>selected(${AreaDamage}, '5')</t>
        </is>
      </c>
      <c r="O129" s="28" t="n"/>
      <c r="P129" s="28" t="n"/>
      <c r="Q129" s="243" t="n"/>
      <c r="X129" s="132" t="n"/>
      <c r="Z129" s="115" t="n"/>
      <c r="AA129" s="115" t="n"/>
    </row>
    <row r="130" ht="16.05" customHeight="1">
      <c r="A130" s="55" t="inlineStr">
        <is>
          <t>select_one prop_25</t>
        </is>
      </c>
      <c r="B130" s="56" t="inlineStr">
        <is>
          <t>TubersRoots_Damage</t>
        </is>
      </c>
      <c r="C130" s="362" t="inlineStr">
        <is>
          <t>4.35 ما هي نسبة الدرنات والمحاصيل الجذرية التي تضررت من جراء الزلزال؟</t>
        </is>
      </c>
      <c r="D130" s="362" t="inlineStr">
        <is>
          <t>4.35 How much of your tubers and root crops have been damaged by the earthquake?</t>
        </is>
      </c>
      <c r="E130" s="59" t="n"/>
      <c r="F130" s="51" t="n"/>
      <c r="G130" s="27" t="n"/>
      <c r="H130" s="60" t="n"/>
      <c r="I130" s="81" t="inlineStr">
        <is>
          <t>true</t>
        </is>
      </c>
      <c r="J130" s="243" t="n"/>
      <c r="K130" s="304" t="n"/>
      <c r="L130" s="248" t="n"/>
      <c r="M130" s="248" t="n"/>
      <c r="N130" s="276" t="inlineStr">
        <is>
          <t>selected(${AreaDamage}, '6')</t>
        </is>
      </c>
      <c r="O130" s="28" t="n"/>
      <c r="P130" s="28" t="n"/>
      <c r="Q130" s="243" t="n"/>
      <c r="X130" s="132" t="n"/>
      <c r="Z130" s="115" t="n"/>
      <c r="AA130" s="115" t="n"/>
    </row>
    <row r="131">
      <c r="A131" s="282" t="inlineStr">
        <is>
          <t>begin_group</t>
        </is>
      </c>
      <c r="B131" s="282" t="inlineStr">
        <is>
          <t>Harvest_level</t>
        </is>
      </c>
      <c r="C131" s="375" t="inlineStr">
        <is>
          <t>مقارنة مستوى الحصاد</t>
        </is>
      </c>
      <c r="D131" s="375" t="inlineStr">
        <is>
          <t>Harvest level comparison</t>
        </is>
      </c>
      <c r="E131" s="59" t="n"/>
      <c r="F131" s="51" t="n"/>
      <c r="G131" s="27" t="n"/>
      <c r="H131" s="60" t="n"/>
      <c r="I131" s="81" t="n"/>
      <c r="J131" s="243" t="inlineStr">
        <is>
          <t>field-list</t>
        </is>
      </c>
      <c r="K131" s="304" t="n"/>
      <c r="L131" s="248" t="n"/>
      <c r="M131" s="248" t="n"/>
      <c r="N131" s="304" t="n"/>
      <c r="O131" s="28" t="n"/>
      <c r="P131" s="28" t="n"/>
      <c r="Q131" s="243" t="n"/>
      <c r="X131" s="132" t="n"/>
      <c r="Z131" s="115" t="n"/>
      <c r="AA131" s="115" t="n"/>
    </row>
    <row r="132" ht="31.95" customHeight="1">
      <c r="A132" s="56" t="inlineStr">
        <is>
          <t>note</t>
        </is>
      </c>
      <c r="B132" s="330" t="inlineStr">
        <is>
          <t>crp_harv_change</t>
        </is>
      </c>
      <c r="C132" s="376" t="inlineStr">
        <is>
          <t>لكل مجموعة من هذه المحاصيل التي تزرعها ، كيف يمكنك تقدير مستوى محصولك هذا العام ، مقارنة بما كنت تحصده في السنة العادية لنفس المساحة؟</t>
        </is>
      </c>
      <c r="D132" s="377" t="inlineStr">
        <is>
          <t>For each of these groups of crops you are cultivating, how would you estimate the level of your harvest this year, compared to what you would harvest in a normal year for the same area?</t>
        </is>
      </c>
      <c r="E132" s="59" t="n"/>
      <c r="F132" s="51" t="n"/>
      <c r="G132" s="27" t="n"/>
      <c r="H132" s="60" t="n"/>
      <c r="I132" s="81" t="inlineStr">
        <is>
          <t>false</t>
        </is>
      </c>
      <c r="J132" s="243" t="n"/>
      <c r="K132" s="304" t="n"/>
      <c r="L132" s="248" t="n"/>
      <c r="M132" s="248" t="n"/>
      <c r="N132" s="276" t="inlineStr">
        <is>
          <t>${AreaPlanted} &gt; 0</t>
        </is>
      </c>
      <c r="O132" s="28" t="n"/>
      <c r="P132" s="28" t="n"/>
      <c r="Q132" s="243" t="n"/>
      <c r="X132" s="132" t="n"/>
      <c r="Z132" s="115" t="n"/>
      <c r="AA132" s="115" t="n"/>
    </row>
    <row r="133" ht="16.05" customHeight="1">
      <c r="A133" s="56" t="inlineStr">
        <is>
          <t>select_one harvest</t>
        </is>
      </c>
      <c r="B133" s="56" t="inlineStr">
        <is>
          <t>Cropharvest_Grains</t>
        </is>
      </c>
      <c r="C133" s="382" t="inlineStr">
        <is>
          <t>4.36 الحبوب والمحاصيل الزيتية (القمح والذرة وحبة البركة ، إلخ)</t>
        </is>
      </c>
      <c r="D133" s="364" t="inlineStr">
        <is>
          <t>4.36 Grains and oil crops (wheat, corn, black caraway, etc)</t>
        </is>
      </c>
      <c r="E133" s="59" t="n"/>
      <c r="F133" s="51" t="n"/>
      <c r="G133" s="27" t="n"/>
      <c r="H133" s="60" t="n"/>
      <c r="I133" s="81" t="inlineStr">
        <is>
          <t>true</t>
        </is>
      </c>
      <c r="J133" s="243" t="inlineStr">
        <is>
          <t>minimal</t>
        </is>
      </c>
      <c r="K133" s="304" t="n"/>
      <c r="L133" s="248" t="n"/>
      <c r="M133" s="248" t="n"/>
      <c r="N133" s="305" t="inlineStr">
        <is>
          <t>${AreaPlanted} &gt; 0</t>
        </is>
      </c>
      <c r="O133" s="28" t="n"/>
      <c r="P133" s="28" t="n"/>
      <c r="Q133" s="243" t="n"/>
      <c r="X133" s="132" t="n"/>
      <c r="Z133" s="115" t="n"/>
      <c r="AA133" s="115" t="n"/>
    </row>
    <row r="134" ht="48" customHeight="1">
      <c r="A134" s="55" t="inlineStr">
        <is>
          <t>select_one change_reason</t>
        </is>
      </c>
      <c r="B134" s="56" t="inlineStr">
        <is>
          <t>Cropharvest_Grains_reason</t>
        </is>
      </c>
      <c r="C134" s="362" t="inlineStr">
        <is>
          <t>4.37 ما سبب هذا التغيير في محصول الحصاد؟</t>
        </is>
      </c>
      <c r="D134" s="362" t="inlineStr">
        <is>
          <t>4.37 What is the reason for this change in yield?</t>
        </is>
      </c>
      <c r="E134" s="59" t="n"/>
      <c r="F134" s="51" t="n"/>
      <c r="G134" s="27" t="n"/>
      <c r="H134" s="60" t="n"/>
      <c r="I134" s="81" t="inlineStr">
        <is>
          <t>true</t>
        </is>
      </c>
      <c r="J134" s="243" t="inlineStr">
        <is>
          <t>minimal</t>
        </is>
      </c>
      <c r="K134" s="304" t="n"/>
      <c r="L134" s="248" t="n"/>
      <c r="M134" s="248" t="n"/>
      <c r="N134" s="276" t="inlineStr">
        <is>
          <t>${Cropharvest_Grains} = '5' or ${Cropharvest_Grains} = '6' or ${Cropharvest_Grains} = '7'</t>
        </is>
      </c>
      <c r="O134" s="28" t="n"/>
      <c r="P134" s="28" t="n"/>
      <c r="Q134" s="243" t="n"/>
      <c r="X134" s="132" t="n"/>
      <c r="Z134" s="115" t="n"/>
      <c r="AA134" s="115" t="n"/>
    </row>
    <row r="135" ht="31.95" customHeight="1">
      <c r="A135" s="52" t="inlineStr">
        <is>
          <t>text</t>
        </is>
      </c>
      <c r="B135" s="56" t="inlineStr">
        <is>
          <t>Cropharvest_Grains_reason_other</t>
        </is>
      </c>
      <c r="C135" s="362" t="inlineStr">
        <is>
          <t>4.38 إذا كانت الإجابة "آخر"، حدد</t>
        </is>
      </c>
      <c r="D135" s="362" t="inlineStr">
        <is>
          <t>4.38 If other, specify</t>
        </is>
      </c>
      <c r="E135" s="59" t="n"/>
      <c r="F135" s="55" t="inlineStr">
        <is>
          <t>[INSTRUCTIONS: RECORD THE OPEN RESPONSE GIVEN IN FEW WORDS. ENTER 888 FOR DON'T KNOW AND 999 FOR REFUSED]</t>
        </is>
      </c>
      <c r="G135" s="52" t="inlineStr">
        <is>
          <t>[تعليمات: سجل في بضع كلمات الاستجابة المفتوحة المعطاة . أدخل 888 للا أعرف و 999 في حالة الرفض]</t>
        </is>
      </c>
      <c r="H135" s="60" t="n"/>
      <c r="I135" s="81" t="inlineStr">
        <is>
          <t>true</t>
        </is>
      </c>
      <c r="J135" s="243" t="n"/>
      <c r="K135" s="325" t="inlineStr">
        <is>
          <t>string-length(.)&gt;=3</t>
        </is>
      </c>
      <c r="L135" s="306" t="inlineStr">
        <is>
          <t>عفوا، الرجاء تقديم نص و شرح اكثر وضوحا.</t>
        </is>
      </c>
      <c r="M135" s="306" t="inlineStr">
        <is>
          <t>Sorry, Please provide a much more meaningful text</t>
        </is>
      </c>
      <c r="N135" s="276" t="inlineStr">
        <is>
          <t>${Cropharvest_Grains_reason} = 'other'</t>
        </is>
      </c>
      <c r="O135" s="28" t="n"/>
      <c r="P135" s="28" t="n"/>
      <c r="Q135" s="243" t="n"/>
      <c r="X135" s="132" t="n"/>
      <c r="Z135" s="115" t="n"/>
      <c r="AA135" s="115" t="n"/>
    </row>
    <row r="136" ht="16.05" customHeight="1">
      <c r="A136" s="56" t="inlineStr">
        <is>
          <t>select_one harvest</t>
        </is>
      </c>
      <c r="B136" s="56" t="inlineStr">
        <is>
          <t>Cropharvest_Veg</t>
        </is>
      </c>
      <c r="C136" s="378" t="inlineStr">
        <is>
          <t>4.39 الخضار والفواكه السنوية (الطماطم والسبانخ والكوسا والفراولة والبطيخ وغيرها)</t>
        </is>
      </c>
      <c r="D136" s="362" t="inlineStr">
        <is>
          <t>4.39 Vegetables and annual fruits (tomatoes, spinach, squash, strawberries, melons etc)</t>
        </is>
      </c>
      <c r="E136" s="59" t="n"/>
      <c r="F136" s="51" t="n"/>
      <c r="G136" s="27" t="n"/>
      <c r="H136" s="60" t="n"/>
      <c r="I136" s="81" t="inlineStr">
        <is>
          <t>true</t>
        </is>
      </c>
      <c r="J136" s="243" t="inlineStr">
        <is>
          <t>minimal</t>
        </is>
      </c>
      <c r="K136" s="304" t="n"/>
      <c r="L136" s="248" t="n"/>
      <c r="M136" s="248" t="n"/>
      <c r="N136" s="305" t="inlineStr">
        <is>
          <t>${AreaPlanted} &gt; 0</t>
        </is>
      </c>
      <c r="O136" s="28" t="n"/>
      <c r="P136" s="28" t="n"/>
      <c r="Q136" s="243" t="n"/>
      <c r="X136" s="132" t="n"/>
      <c r="Z136" s="115" t="n"/>
      <c r="AA136" s="115" t="n"/>
    </row>
    <row r="137" ht="48" customHeight="1">
      <c r="A137" s="55" t="inlineStr">
        <is>
          <t>select_one change_reason</t>
        </is>
      </c>
      <c r="B137" s="56" t="inlineStr">
        <is>
          <t>Cropharvest_Veg_reason</t>
        </is>
      </c>
      <c r="C137" s="362" t="inlineStr">
        <is>
          <t>4.40 ما سبب هذا التغيير في محصول الحصاد؟</t>
        </is>
      </c>
      <c r="D137" s="362" t="inlineStr">
        <is>
          <t>4.40 What is the reason for this change in yield?</t>
        </is>
      </c>
      <c r="E137" s="59" t="n"/>
      <c r="F137" s="51" t="n"/>
      <c r="G137" s="27" t="n"/>
      <c r="H137" s="60" t="n"/>
      <c r="I137" s="81" t="inlineStr">
        <is>
          <t>true</t>
        </is>
      </c>
      <c r="J137" s="243" t="inlineStr">
        <is>
          <t>minimal</t>
        </is>
      </c>
      <c r="K137" s="304" t="n"/>
      <c r="L137" s="248" t="n"/>
      <c r="M137" s="248" t="n"/>
      <c r="N137" s="276" t="inlineStr">
        <is>
          <t>${Cropharvest_Veg} = '5' or ${Cropharvest_Veg} = '6' or ${Cropharvest_Veg} = '7'</t>
        </is>
      </c>
      <c r="O137" s="28" t="n"/>
      <c r="P137" s="28" t="n"/>
      <c r="Q137" s="243" t="n"/>
      <c r="X137" s="132" t="n"/>
      <c r="Z137" s="115" t="n"/>
      <c r="AA137" s="115" t="n"/>
    </row>
    <row r="138" ht="31.95" customHeight="1">
      <c r="A138" s="52" t="inlineStr">
        <is>
          <t>text</t>
        </is>
      </c>
      <c r="B138" s="56" t="inlineStr">
        <is>
          <t>Cropharvest_Veg_reason_other</t>
        </is>
      </c>
      <c r="C138" s="362" t="inlineStr">
        <is>
          <t>4.41 إذا كانت الإجابة "آخر"، حدد</t>
        </is>
      </c>
      <c r="D138" s="362" t="inlineStr">
        <is>
          <t>4.41 If other, specify</t>
        </is>
      </c>
      <c r="E138" s="59" t="n"/>
      <c r="F138" s="55" t="inlineStr">
        <is>
          <t>[INSTRUCTIONS: RECORD THE OPEN RESPONSE GIVEN IN FEW WORDS. ENTER 888 FOR DON'T KNOW AND 999 FOR REFUSED]</t>
        </is>
      </c>
      <c r="G138" s="52" t="inlineStr">
        <is>
          <t>[تعليمات: سجل في بضع كلمات الاستجابة المفتوحة المعطاة . أدخل 888 للا أعرف و 999 في حالة الرفض]</t>
        </is>
      </c>
      <c r="H138" s="60" t="n"/>
      <c r="I138" s="81" t="inlineStr">
        <is>
          <t>true</t>
        </is>
      </c>
      <c r="J138" s="243" t="n"/>
      <c r="K138" s="325" t="inlineStr">
        <is>
          <t>string-length(.)&gt;=3</t>
        </is>
      </c>
      <c r="L138" s="306" t="inlineStr">
        <is>
          <t>عفوا، الرجاء تقديم نص و شرح اكثر وضوحا.</t>
        </is>
      </c>
      <c r="M138" s="306" t="inlineStr">
        <is>
          <t>Sorry, Please provide a much more meaningful text</t>
        </is>
      </c>
      <c r="N138" s="276" t="inlineStr">
        <is>
          <t>${Cropharvest_Veg_reason} = 'other'</t>
        </is>
      </c>
      <c r="O138" s="28" t="n"/>
      <c r="P138" s="28" t="n"/>
      <c r="Q138" s="243" t="n"/>
      <c r="X138" s="132" t="n"/>
      <c r="Z138" s="115" t="n"/>
      <c r="AA138" s="115" t="n"/>
    </row>
    <row r="139" ht="16.05" customHeight="1">
      <c r="A139" s="56" t="inlineStr">
        <is>
          <t>select_one harvest</t>
        </is>
      </c>
      <c r="B139" s="56" t="inlineStr">
        <is>
          <t>Cropharvest_Perennial</t>
        </is>
      </c>
      <c r="C139" s="378" t="inlineStr">
        <is>
          <t>4.42 المحاصيل المعمرة (الزيتون وأشجار الفاكهة والمكسرات)</t>
        </is>
      </c>
      <c r="D139" s="362" t="inlineStr">
        <is>
          <t xml:space="preserve">4.42 Perennial crops (olives, fruit and nut trees) </t>
        </is>
      </c>
      <c r="E139" s="59" t="n"/>
      <c r="F139" s="51" t="n"/>
      <c r="G139" s="27" t="n"/>
      <c r="H139" s="60" t="n"/>
      <c r="I139" s="81" t="inlineStr">
        <is>
          <t>true</t>
        </is>
      </c>
      <c r="J139" s="243" t="inlineStr">
        <is>
          <t>minimal</t>
        </is>
      </c>
      <c r="K139" s="304" t="n"/>
      <c r="L139" s="248" t="n"/>
      <c r="M139" s="248" t="n"/>
      <c r="N139" s="305" t="inlineStr">
        <is>
          <t>${AreaPlanted} &gt; 0</t>
        </is>
      </c>
      <c r="O139" s="28" t="n"/>
      <c r="P139" s="28" t="n"/>
      <c r="Q139" s="243" t="n"/>
      <c r="X139" s="132" t="n"/>
      <c r="Z139" s="115" t="n"/>
      <c r="AA139" s="115" t="n"/>
    </row>
    <row r="140" ht="48" customHeight="1">
      <c r="A140" s="55" t="inlineStr">
        <is>
          <t>select_one change_reason</t>
        </is>
      </c>
      <c r="B140" s="56" t="inlineStr">
        <is>
          <t>Cropharvest_Perennial_reason</t>
        </is>
      </c>
      <c r="C140" s="362" t="inlineStr">
        <is>
          <t>4.43 ما سبب هذا التغيير في محصول الحصاد؟</t>
        </is>
      </c>
      <c r="D140" s="362" t="inlineStr">
        <is>
          <t>4.43 What is the reason for this change in yield?</t>
        </is>
      </c>
      <c r="E140" s="59" t="n"/>
      <c r="F140" s="51" t="n"/>
      <c r="G140" s="27" t="n"/>
      <c r="H140" s="60" t="n"/>
      <c r="I140" s="81" t="inlineStr">
        <is>
          <t>true</t>
        </is>
      </c>
      <c r="J140" s="243" t="inlineStr">
        <is>
          <t>minimal</t>
        </is>
      </c>
      <c r="K140" s="304" t="n"/>
      <c r="L140" s="248" t="n"/>
      <c r="M140" s="248" t="n"/>
      <c r="N140" s="276" t="inlineStr">
        <is>
          <t>${Cropharvest_Perennial} = '5' or ${Cropharvest_Perennial} = '6' or ${Cropharvest_Perennial} = '7'</t>
        </is>
      </c>
      <c r="O140" s="28" t="n"/>
      <c r="P140" s="28" t="n"/>
      <c r="Q140" s="243" t="n"/>
      <c r="X140" s="132" t="n"/>
      <c r="Z140" s="115" t="n"/>
      <c r="AA140" s="115" t="n"/>
    </row>
    <row r="141" ht="31.95" customHeight="1">
      <c r="A141" s="52" t="inlineStr">
        <is>
          <t>text</t>
        </is>
      </c>
      <c r="B141" s="56" t="inlineStr">
        <is>
          <t>Cropharvest_Perennial_reason_other</t>
        </is>
      </c>
      <c r="C141" s="362" t="inlineStr">
        <is>
          <t>4.44 إذا كانت الإجابة "آخر"، حدد</t>
        </is>
      </c>
      <c r="D141" s="362" t="inlineStr">
        <is>
          <t>4.44 If other, specify</t>
        </is>
      </c>
      <c r="E141" s="59" t="n"/>
      <c r="F141" s="55" t="inlineStr">
        <is>
          <t>[INSTRUCTIONS: RECORD THE OPEN RESPONSE GIVEN IN FEW WORDS. ENTER 888 FOR DON'T KNOW AND 999 FOR REFUSED]</t>
        </is>
      </c>
      <c r="G141" s="52" t="inlineStr">
        <is>
          <t>[تعليمات: سجل في بضع كلمات الاستجابة المفتوحة المعطاة . أدخل 888 للا أعرف و 999 في حالة الرفض]</t>
        </is>
      </c>
      <c r="H141" s="60" t="n"/>
      <c r="I141" s="81" t="inlineStr">
        <is>
          <t>true</t>
        </is>
      </c>
      <c r="J141" s="243" t="n"/>
      <c r="K141" s="325" t="inlineStr">
        <is>
          <t>string-length(.)&gt;=3</t>
        </is>
      </c>
      <c r="L141" s="306" t="inlineStr">
        <is>
          <t>عفوا، الرجاء تقديم نص و شرح اكثر وضوحا.</t>
        </is>
      </c>
      <c r="M141" s="306" t="inlineStr">
        <is>
          <t>Sorry, Please provide a much more meaningful text</t>
        </is>
      </c>
      <c r="N141" s="276" t="inlineStr">
        <is>
          <t>${Cropharvest_Perennial_reason} = 'other'</t>
        </is>
      </c>
      <c r="O141" s="28" t="n"/>
      <c r="P141" s="28" t="n"/>
      <c r="Q141" s="243" t="n"/>
      <c r="X141" s="132" t="n"/>
      <c r="Z141" s="115" t="n"/>
      <c r="AA141" s="115" t="n"/>
    </row>
    <row r="142" ht="16.05" customHeight="1">
      <c r="A142" s="56" t="inlineStr">
        <is>
          <t>select_one harvest</t>
        </is>
      </c>
      <c r="B142" s="56" t="inlineStr">
        <is>
          <t>Cropharvest_Pulses</t>
        </is>
      </c>
      <c r="C142" s="378" t="inlineStr">
        <is>
          <t>4.45 البقول (الفول ، البازلاء ، الحمص ، العدس ، إلخ)</t>
        </is>
      </c>
      <c r="D142" s="362" t="inlineStr">
        <is>
          <t>4.45 Pulses (beans, peas, chickpeas, lentils, etc.)</t>
        </is>
      </c>
      <c r="E142" s="59" t="n"/>
      <c r="F142" s="51" t="n"/>
      <c r="G142" s="27" t="n"/>
      <c r="H142" s="60" t="n"/>
      <c r="I142" s="81" t="inlineStr">
        <is>
          <t>true</t>
        </is>
      </c>
      <c r="J142" s="243" t="inlineStr">
        <is>
          <t>minimal</t>
        </is>
      </c>
      <c r="K142" s="304" t="n"/>
      <c r="L142" s="248" t="n"/>
      <c r="M142" s="248" t="n"/>
      <c r="N142" s="305" t="inlineStr">
        <is>
          <t>${AreaPlanted} &gt; 0</t>
        </is>
      </c>
      <c r="O142" s="28" t="n"/>
      <c r="P142" s="28" t="n"/>
      <c r="Q142" s="243" t="n"/>
      <c r="X142" s="132" t="n"/>
      <c r="Z142" s="115" t="n"/>
      <c r="AA142" s="115" t="n"/>
    </row>
    <row r="143" ht="48" customHeight="1">
      <c r="A143" s="55" t="inlineStr">
        <is>
          <t>select_one change_reason</t>
        </is>
      </c>
      <c r="B143" s="56" t="inlineStr">
        <is>
          <t>Cropharvest_Pulses_reason</t>
        </is>
      </c>
      <c r="C143" s="362" t="inlineStr">
        <is>
          <t>4.46 ما سبب هذا التغيير في محصول الحصاد؟</t>
        </is>
      </c>
      <c r="D143" s="362" t="inlineStr">
        <is>
          <t>4.46 What is the reason for this change in yield?</t>
        </is>
      </c>
      <c r="E143" s="59" t="n"/>
      <c r="F143" s="51" t="n"/>
      <c r="G143" s="27" t="n"/>
      <c r="H143" s="60" t="n"/>
      <c r="I143" s="81" t="inlineStr">
        <is>
          <t>true</t>
        </is>
      </c>
      <c r="J143" s="243" t="inlineStr">
        <is>
          <t>minimal</t>
        </is>
      </c>
      <c r="K143" s="304" t="n"/>
      <c r="L143" s="248" t="n"/>
      <c r="M143" s="248" t="n"/>
      <c r="N143" s="276" t="inlineStr">
        <is>
          <t>${Cropharvest_Pulses} = '5' or ${Cropharvest_Pulses} = '6' or ${Cropharvest_Pulses} = '7'</t>
        </is>
      </c>
      <c r="O143" s="28" t="n"/>
      <c r="P143" s="28" t="n"/>
      <c r="Q143" s="243" t="n"/>
      <c r="X143" s="132" t="n"/>
      <c r="Z143" s="115" t="n"/>
      <c r="AA143" s="115" t="n"/>
    </row>
    <row r="144" ht="31.95" customHeight="1">
      <c r="A144" s="52" t="inlineStr">
        <is>
          <t>text</t>
        </is>
      </c>
      <c r="B144" s="56" t="inlineStr">
        <is>
          <t>Cropharvest_Pulses_reason_other</t>
        </is>
      </c>
      <c r="C144" s="362" t="inlineStr">
        <is>
          <t>4.47 إذا كانت الإجابة "آخر"، حدد</t>
        </is>
      </c>
      <c r="D144" s="362" t="inlineStr">
        <is>
          <t>4.47 If other, specify</t>
        </is>
      </c>
      <c r="E144" s="59" t="n"/>
      <c r="F144" s="55" t="inlineStr">
        <is>
          <t>[INSTRUCTIONS: RECORD THE OPEN RESPONSE GIVEN IN FEW WORDS. ENTER 888 FOR DON'T KNOW AND 999 FOR REFUSED]</t>
        </is>
      </c>
      <c r="G144" s="52" t="inlineStr">
        <is>
          <t>[تعليمات: سجل في بضع كلمات الاستجابة المفتوحة المعطاة . أدخل 888 للا أعرف و 999 في حالة الرفض]</t>
        </is>
      </c>
      <c r="H144" s="60" t="n"/>
      <c r="I144" s="81" t="inlineStr">
        <is>
          <t>true</t>
        </is>
      </c>
      <c r="J144" s="243" t="n"/>
      <c r="K144" s="325" t="inlineStr">
        <is>
          <t>string-length(.)&gt;=3</t>
        </is>
      </c>
      <c r="L144" s="306" t="inlineStr">
        <is>
          <t>عفوا، الرجاء تقديم نص و شرح اكثر وضوحا.</t>
        </is>
      </c>
      <c r="M144" s="306" t="inlineStr">
        <is>
          <t>Sorry, Please provide a much more meaningful text</t>
        </is>
      </c>
      <c r="N144" s="276" t="inlineStr">
        <is>
          <t>${Cropharvest_Pulses_reason} = 'other'</t>
        </is>
      </c>
      <c r="O144" s="28" t="n"/>
      <c r="P144" s="28" t="n"/>
      <c r="Q144" s="243" t="n"/>
      <c r="X144" s="132" t="n"/>
      <c r="Z144" s="115" t="n"/>
      <c r="AA144" s="115" t="n"/>
    </row>
    <row r="145" ht="16.05" customHeight="1">
      <c r="A145" s="56" t="inlineStr">
        <is>
          <t>select_one harvest</t>
        </is>
      </c>
      <c r="B145" s="56" t="inlineStr">
        <is>
          <t>Cropharvest_Tuber</t>
        </is>
      </c>
      <c r="C145" s="378" t="inlineStr">
        <is>
          <t>4.48 الدرنات والمحاصيل الجذرية (البطاطا والجزر والفجل واللفت والشمندر وغيرها)</t>
        </is>
      </c>
      <c r="D145" s="362" t="inlineStr">
        <is>
          <t>4.48 Tubers and root crops (potatoes, carrots, radish, turnips, beetroots etc)</t>
        </is>
      </c>
      <c r="E145" s="59" t="n"/>
      <c r="F145" s="51" t="n"/>
      <c r="G145" s="27" t="n"/>
      <c r="H145" s="60" t="n"/>
      <c r="I145" s="81" t="inlineStr">
        <is>
          <t>true</t>
        </is>
      </c>
      <c r="J145" s="243" t="inlineStr">
        <is>
          <t>minimal</t>
        </is>
      </c>
      <c r="K145" s="304" t="n"/>
      <c r="L145" s="248" t="n"/>
      <c r="M145" s="248" t="n"/>
      <c r="N145" s="305" t="inlineStr">
        <is>
          <t>${AreaPlanted} &gt; 0</t>
        </is>
      </c>
      <c r="O145" s="28" t="n"/>
      <c r="P145" s="28" t="n"/>
      <c r="Q145" s="243" t="n"/>
      <c r="X145" s="132" t="n"/>
      <c r="Z145" s="115" t="n"/>
      <c r="AA145" s="115" t="n"/>
    </row>
    <row r="146" ht="48" customHeight="1">
      <c r="A146" s="55" t="inlineStr">
        <is>
          <t>select_one change_reason</t>
        </is>
      </c>
      <c r="B146" s="56" t="inlineStr">
        <is>
          <t>Cropharvest_Tuber_reason</t>
        </is>
      </c>
      <c r="C146" s="362" t="inlineStr">
        <is>
          <t>4.49 ما سبب هذا التغيير في محصول الحصاد؟</t>
        </is>
      </c>
      <c r="D146" s="362" t="inlineStr">
        <is>
          <t>4.49 What is the reason for this change in yield?</t>
        </is>
      </c>
      <c r="E146" s="59" t="n"/>
      <c r="F146" s="51" t="n"/>
      <c r="G146" s="27" t="n"/>
      <c r="H146" s="60" t="n"/>
      <c r="I146" s="81" t="inlineStr">
        <is>
          <t>true</t>
        </is>
      </c>
      <c r="J146" s="243" t="inlineStr">
        <is>
          <t>minimal</t>
        </is>
      </c>
      <c r="K146" s="304" t="n"/>
      <c r="L146" s="248" t="n"/>
      <c r="M146" s="248" t="n"/>
      <c r="N146" s="276" t="inlineStr">
        <is>
          <t>${Cropharvest_Tuber} = '5' or ${Cropharvest_Tuber} = '6' or ${Cropharvest_Tuber} = '7'</t>
        </is>
      </c>
      <c r="O146" s="28" t="n"/>
      <c r="P146" s="28" t="n"/>
      <c r="Q146" s="243" t="n"/>
      <c r="X146" s="132" t="n"/>
      <c r="Z146" s="115" t="n"/>
      <c r="AA146" s="115" t="n"/>
    </row>
    <row r="147" ht="31.95" customHeight="1">
      <c r="A147" s="52" t="inlineStr">
        <is>
          <t>text</t>
        </is>
      </c>
      <c r="B147" s="56" t="inlineStr">
        <is>
          <t>Cropharvest_Tuber_reason_other</t>
        </is>
      </c>
      <c r="C147" s="362" t="inlineStr">
        <is>
          <t>4.50 إذا كانت الإجابة "آخر"، حدد</t>
        </is>
      </c>
      <c r="D147" s="362" t="inlineStr">
        <is>
          <t>4.50 If other, specify</t>
        </is>
      </c>
      <c r="E147" s="59" t="n"/>
      <c r="F147" s="55" t="inlineStr">
        <is>
          <t>[INSTRUCTIONS: RECORD THE OPEN RESPONSE GIVEN IN FEW WORDS. ENTER 888 FOR DON'T KNOW AND 999 FOR REFUSED]</t>
        </is>
      </c>
      <c r="G147" s="52" t="inlineStr">
        <is>
          <t>[تعليمات: سجل في بضع كلمات الاستجابة المفتوحة المعطاة . أدخل 888 للا أعرف و 999 في حالة الرفض]</t>
        </is>
      </c>
      <c r="H147" s="60" t="n"/>
      <c r="I147" s="81" t="inlineStr">
        <is>
          <t>true</t>
        </is>
      </c>
      <c r="J147" s="243" t="n"/>
      <c r="K147" s="325" t="inlineStr">
        <is>
          <t>string-length(.)&gt;=3</t>
        </is>
      </c>
      <c r="L147" s="306" t="inlineStr">
        <is>
          <t>عفوا، الرجاء تقديم نص و شرح اكثر وضوحا.</t>
        </is>
      </c>
      <c r="M147" s="306" t="inlineStr">
        <is>
          <t>Sorry, Please provide a much more meaningful text</t>
        </is>
      </c>
      <c r="N147" s="276" t="inlineStr">
        <is>
          <t>${Cropharvest_Tuber_reason} = 'other'</t>
        </is>
      </c>
      <c r="O147" s="28" t="n"/>
      <c r="P147" s="28" t="n"/>
      <c r="Q147" s="243" t="n"/>
      <c r="X147" s="132" t="n"/>
      <c r="Z147" s="115" t="n"/>
      <c r="AA147" s="115" t="n"/>
    </row>
    <row r="148">
      <c r="A148" s="52" t="inlineStr">
        <is>
          <t>end_group</t>
        </is>
      </c>
      <c r="B148" s="56" t="n"/>
      <c r="C148" s="362" t="n"/>
      <c r="D148" s="362" t="n"/>
      <c r="E148" s="59" t="n"/>
      <c r="F148" s="55" t="n"/>
      <c r="G148" s="52" t="n"/>
      <c r="H148" s="60" t="n"/>
      <c r="I148" s="81" t="n"/>
      <c r="J148" s="243" t="n"/>
      <c r="K148" s="276" t="n"/>
      <c r="L148" s="257" t="n"/>
      <c r="M148" s="257" t="n"/>
      <c r="N148" s="276" t="n"/>
      <c r="O148" s="28" t="n"/>
      <c r="P148" s="28" t="n"/>
      <c r="Q148" s="243" t="n"/>
      <c r="X148" s="132" t="n"/>
      <c r="Z148" s="115" t="n"/>
      <c r="AA148" s="115" t="n"/>
    </row>
    <row r="149" ht="48" customHeight="1">
      <c r="A149" s="55" t="inlineStr">
        <is>
          <t>select_one change2</t>
        </is>
      </c>
      <c r="B149" s="55" t="inlineStr">
        <is>
          <t>crop_prodcost</t>
        </is>
      </c>
      <c r="C149" s="362" t="inlineStr">
        <is>
          <t>4.51 هل واجهت أي انخفاض أو زيادة في تكاليف إنتاج المحاصيل بشكل عام في عام ٢٠٢٣ حتى الآن مقارنة بالعام الماضي لنفس المحاصيل المزروعة والفترة نفسها - لأي سبب ، سواء كان ذلك بسبب التغيير في استخدام المدخلات أو تكاليف المدخلات؟ الرجاء تقدير نسبة الزيادة أو النقصان.</t>
        </is>
      </c>
      <c r="D149" s="362" t="inlineStr">
        <is>
          <t>4.51 Did you experience any reduction or increase in crop production costs overall in 2023 so far compared to last year for the same crops planted and same period - for any reason, be it due to change in use of inputs or costs of inputs? Please estimate the proportion of increase or decrease.</t>
        </is>
      </c>
      <c r="E149" s="59" t="n"/>
      <c r="H149" s="60" t="n"/>
      <c r="I149" s="81" t="inlineStr">
        <is>
          <t>true</t>
        </is>
      </c>
      <c r="J149" s="243" t="n"/>
      <c r="K149" s="277" t="n"/>
      <c r="L149" s="243" t="n"/>
      <c r="M149" s="243" t="n"/>
      <c r="N149" s="277" t="n"/>
      <c r="O149" s="243" t="n"/>
      <c r="P149" s="243" t="n"/>
      <c r="Q149" s="243" t="n"/>
      <c r="V149" s="28" t="inlineStr">
        <is>
          <t>yes</t>
        </is>
      </c>
      <c r="X149" s="132" t="n">
        <v>8.915891647338867</v>
      </c>
      <c r="Y149" s="71">
        <f>'Additional information'!$C$15</f>
        <v/>
      </c>
      <c r="Z149" s="115">
        <f>IF(X149&lt;&gt;"",X149*Y149,"")</f>
        <v/>
      </c>
      <c r="AA149" s="115">
        <f>IF(AND(X149&lt;&gt;"",V149="yes"),X149*Y149,"")</f>
        <v/>
      </c>
    </row>
    <row r="150" ht="67.2" customHeight="1">
      <c r="A150" s="51" t="inlineStr">
        <is>
          <t>select_one irrigation</t>
        </is>
      </c>
      <c r="B150" s="51" t="inlineStr">
        <is>
          <t>crp_irrig_source</t>
        </is>
      </c>
      <c r="C150" s="362" t="inlineStr">
        <is>
          <t>4.52 كيف كانت تحصل أسرتك عادة على الماء لري ${crpmain} بشكل رئيسي، قبل الزلزال؟</t>
        </is>
      </c>
      <c r="D150" s="362" t="inlineStr">
        <is>
          <t xml:space="preserve">4.52 Before the earthquake, where did you normally and mainly obtain water for the production of ${crpmain}? </t>
        </is>
      </c>
      <c r="E150" s="60" t="n"/>
      <c r="H150" s="60" t="n"/>
      <c r="I150" s="243" t="inlineStr">
        <is>
          <t>true</t>
        </is>
      </c>
      <c r="J150" s="243" t="n"/>
      <c r="K150" s="26" t="n"/>
      <c r="L150" s="243" t="n"/>
      <c r="M150" s="243" t="n"/>
      <c r="N150" s="26" t="inlineStr">
        <is>
          <t>${crp_main} != '777' and ${crp_main} != '888' and ${crp_main} != '999'</t>
        </is>
      </c>
      <c r="O150" s="243" t="n"/>
      <c r="P150" s="243" t="n"/>
      <c r="Q150" s="243" t="n"/>
      <c r="V150" s="28" t="inlineStr">
        <is>
          <t>yes</t>
        </is>
      </c>
      <c r="X150" s="132" t="n">
        <v>15.95429515838623</v>
      </c>
      <c r="Y150" s="114">
        <f>'Additional information'!$C$14</f>
        <v/>
      </c>
      <c r="Z150" s="115">
        <f>IF(X150&lt;&gt;"",X150*Y150,"")</f>
        <v/>
      </c>
      <c r="AA150" s="115">
        <f>IF(AND(X150&lt;&gt;"",V150="yes"),X150*Y150,"")</f>
        <v/>
      </c>
    </row>
    <row r="151" ht="86.40000000000001" customHeight="1">
      <c r="A151" s="51" t="inlineStr">
        <is>
          <t>text</t>
        </is>
      </c>
      <c r="B151" s="51" t="inlineStr">
        <is>
          <t>crp_irrig_source_otherspecify</t>
        </is>
      </c>
      <c r="C151" s="362" t="inlineStr">
        <is>
          <t>4.53 إذا كانت الإجابة "آخر"، حدد.</t>
        </is>
      </c>
      <c r="D151" s="362" t="inlineStr">
        <is>
          <t>4.53 If other, specify.</t>
        </is>
      </c>
      <c r="E151" s="65" t="n"/>
      <c r="F151" s="52" t="inlineStr">
        <is>
          <t>[INSTRUCTIONS: RECORD THE OPEN RESPONSE GIVEN IN FEW WORDS. ENTER 888 FOR DON'T KNOW AND 999 FOR REFUSED]</t>
        </is>
      </c>
      <c r="G151" s="52" t="inlineStr">
        <is>
          <t>[تعليمات: سجل في بضع كلمات الاستجابة المفتوحة المعطاة . أدخل 888 للا أعرف و 999 في حالة الرفض]</t>
        </is>
      </c>
      <c r="H151" s="60" t="n"/>
      <c r="I151" s="243" t="inlineStr">
        <is>
          <t>true</t>
        </is>
      </c>
      <c r="J151" s="243" t="n"/>
      <c r="K151" s="325" t="inlineStr">
        <is>
          <t>string-length(.)&gt;=3</t>
        </is>
      </c>
      <c r="L151" s="306" t="inlineStr">
        <is>
          <t>عفوا، الرجاء تقديم نص و شرح اكثر وضوحا.</t>
        </is>
      </c>
      <c r="M151" s="306" t="inlineStr">
        <is>
          <t>Sorry, Please provide a much more meaningful text</t>
        </is>
      </c>
      <c r="N151" s="26" t="inlineStr">
        <is>
          <t>${crp_irrig_source}='other' and (${crp_main} != '777' and ${crp_main} != '888' and ${crp_main} != '999')</t>
        </is>
      </c>
      <c r="O151" s="243" t="n"/>
      <c r="P151" s="243" t="n"/>
      <c r="Q151" s="243" t="n"/>
      <c r="V151" s="28" t="inlineStr">
        <is>
          <t>yes</t>
        </is>
      </c>
      <c r="X151" s="132" t="n"/>
      <c r="Y151" s="114">
        <f>'Additional information'!$C$14</f>
        <v/>
      </c>
      <c r="Z151" s="115">
        <f>IF(X151&lt;&gt;"",X151*Y151,"")</f>
        <v/>
      </c>
      <c r="AA151" s="115">
        <f>IF(AND(X151&lt;&gt;"",V151="yes"),X151*Y151,"")</f>
        <v/>
      </c>
    </row>
    <row r="152" ht="16.05" customHeight="1">
      <c r="A152" s="51" t="inlineStr">
        <is>
          <t>select_one irrig_source_status</t>
        </is>
      </c>
      <c r="B152" s="51" t="inlineStr">
        <is>
          <t>crp_irrig_source_status</t>
        </is>
      </c>
      <c r="C152" s="362" t="inlineStr">
        <is>
          <t>4.54 ما هو الوضع الحالي لمصدر الري الرئيسي هذا؟</t>
        </is>
      </c>
      <c r="D152" s="362" t="inlineStr">
        <is>
          <t>4.54 What is the current status of that main irrigation source?</t>
        </is>
      </c>
      <c r="E152" s="65" t="n"/>
      <c r="F152" s="52" t="n"/>
      <c r="G152" s="52" t="n"/>
      <c r="H152" s="60" t="n"/>
      <c r="I152" s="81" t="inlineStr">
        <is>
          <t>true</t>
        </is>
      </c>
      <c r="J152" s="243" t="n"/>
      <c r="K152" s="26" t="n"/>
      <c r="L152" s="243" t="n"/>
      <c r="M152" s="243" t="n"/>
      <c r="N152" s="26" t="inlineStr">
        <is>
          <t>${crp_main} != '777' and ${crp_main} != '888' and ${crp_main} != '999'</t>
        </is>
      </c>
      <c r="O152" s="243" t="n"/>
      <c r="P152" s="243" t="n"/>
      <c r="Q152" s="243" t="n"/>
      <c r="X152" s="132" t="n"/>
      <c r="Z152" s="115" t="n"/>
      <c r="AA152" s="115" t="n"/>
    </row>
    <row r="153" ht="16.05" customHeight="1">
      <c r="A153" s="51" t="inlineStr">
        <is>
          <t>select_one irrigation</t>
        </is>
      </c>
      <c r="B153" s="51" t="inlineStr">
        <is>
          <t>crp_irrig_source_now</t>
        </is>
      </c>
      <c r="C153" s="362" t="inlineStr">
        <is>
          <t>4.55 ما هو مصدر الري الرئيسي الحالي الذي تستخدمه؟</t>
        </is>
      </c>
      <c r="D153" s="362" t="inlineStr">
        <is>
          <t>4.55 What is your current main irrigation source?</t>
        </is>
      </c>
      <c r="E153" s="65" t="n"/>
      <c r="F153" s="52" t="n"/>
      <c r="G153" s="52" t="n"/>
      <c r="H153" s="60" t="n"/>
      <c r="I153" s="81" t="inlineStr">
        <is>
          <t>true</t>
        </is>
      </c>
      <c r="J153" s="243" t="n"/>
      <c r="K153" s="26" t="n"/>
      <c r="L153" s="243" t="n"/>
      <c r="M153" s="243" t="n"/>
      <c r="N153" s="26" t="n"/>
      <c r="O153" s="243" t="n"/>
      <c r="P153" s="243" t="n"/>
      <c r="Q153" s="243" t="n"/>
      <c r="X153" s="132" t="n"/>
      <c r="Z153" s="115" t="n"/>
      <c r="AA153" s="115" t="n"/>
    </row>
    <row r="154" ht="96" customHeight="1">
      <c r="A154" s="51" t="inlineStr">
        <is>
          <t>text</t>
        </is>
      </c>
      <c r="B154" s="51" t="inlineStr">
        <is>
          <t>crp_irrig_source_nowotherspecify</t>
        </is>
      </c>
      <c r="C154" s="362" t="inlineStr">
        <is>
          <t>4.56 إذا كانت الإجابة "آخر"، حدد.</t>
        </is>
      </c>
      <c r="D154" s="362" t="inlineStr">
        <is>
          <t>4.56 If other, specify.</t>
        </is>
      </c>
      <c r="E154" s="65" t="n"/>
      <c r="F154" s="52" t="inlineStr">
        <is>
          <t>[INSTRUCTIONS: RECORD THE OPEN RESPONSE GIVEN IN FEW WORDS. ENTER 888 FOR DON'T KNOW AND 999 FOR REFUSED]</t>
        </is>
      </c>
      <c r="G154" s="52" t="inlineStr">
        <is>
          <t>[تعليمات: سجل في بضع كلمات الاستجابة المفتوحة المعطاة . أدخل 888 للا أعرف و 999 في حالة الرفض]</t>
        </is>
      </c>
      <c r="H154" s="60" t="n"/>
      <c r="I154" s="243" t="inlineStr">
        <is>
          <t>true</t>
        </is>
      </c>
      <c r="J154" s="243" t="n"/>
      <c r="K154" s="325" t="inlineStr">
        <is>
          <t>string-length(.)&gt;=3</t>
        </is>
      </c>
      <c r="L154" s="306" t="inlineStr">
        <is>
          <t>عفوا، الرجاء تقديم نص و شرح اكثر وضوحا.</t>
        </is>
      </c>
      <c r="M154" s="306" t="inlineStr">
        <is>
          <t>Sorry, Please provide a much more meaningful text</t>
        </is>
      </c>
      <c r="N154" s="26" t="inlineStr">
        <is>
          <t>${crp_irrig_source_now}='other' and (${crp_main} != '777' and ${crp_main} != '888' and ${crp_main} != '999')</t>
        </is>
      </c>
      <c r="O154" s="243" t="n"/>
      <c r="P154" s="243" t="n"/>
      <c r="Q154" s="243" t="n"/>
      <c r="X154" s="132" t="n"/>
      <c r="Z154" s="115" t="n"/>
      <c r="AA154" s="115" t="n"/>
    </row>
    <row r="155" ht="64.05" customFormat="1" customHeight="1" s="52">
      <c r="A155" s="52" t="inlineStr">
        <is>
          <t>select_one irrigpump</t>
        </is>
      </c>
      <c r="B155" s="52" t="inlineStr">
        <is>
          <t>crp_irrig_system</t>
        </is>
      </c>
      <c r="C155" s="362" t="inlineStr">
        <is>
          <t>4.57 هل تستخدم (أو هل يستخدم المجتمع الذي تنتمي اليه) مضخة لنظام الري ؟</t>
        </is>
      </c>
      <c r="D155" s="362" t="inlineStr">
        <is>
          <t>4.57 Do you [your community] use a pump for your own [the communal] irrigation system?</t>
        </is>
      </c>
      <c r="E155" s="65" t="n"/>
      <c r="H155" s="67" t="n"/>
      <c r="I155" s="81" t="inlineStr">
        <is>
          <t>true</t>
        </is>
      </c>
      <c r="J155" s="86" t="n"/>
      <c r="K155" s="266" t="n"/>
      <c r="L155" s="86" t="n"/>
      <c r="M155" s="86" t="n"/>
      <c r="N155" s="266" t="inlineStr">
        <is>
          <t>not(${crp_irrig_source}='dk' or ${crp_irrig_source}='ref') and (${crp_main} != '777' and ${crp_main} != '888' and ${crp_main} != '999')</t>
        </is>
      </c>
      <c r="O155" s="86" t="n"/>
      <c r="P155" s="86" t="n"/>
      <c r="Q155" s="86" t="n"/>
      <c r="X155" s="132" t="n"/>
      <c r="Y155" s="114" t="n"/>
      <c r="Z155" s="115" t="n"/>
      <c r="AA155" s="115" t="n"/>
    </row>
    <row r="156" ht="96" customFormat="1" customHeight="1" s="52">
      <c r="A156" s="52" t="inlineStr">
        <is>
          <t xml:space="preserve">select_multiple seedsupply </t>
        </is>
      </c>
      <c r="B156" s="52" t="inlineStr">
        <is>
          <t>crp_seed</t>
        </is>
      </c>
      <c r="C156" s="362" t="inlineStr">
        <is>
          <t>4.58 من أين تحصل عادة على البذور/شتلات الأشجار؟</t>
        </is>
      </c>
      <c r="D156" s="362" t="inlineStr">
        <is>
          <t xml:space="preserve">4.58 Who do you normally procure your seeds/tree seedlings/saplings from? </t>
        </is>
      </c>
      <c r="E156" s="65" t="n"/>
      <c r="F156" s="52" t="inlineStr">
        <is>
          <t>[INSTRUCTIONS: MULTIPLE RESPONSES POSSIBLE.]</t>
        </is>
      </c>
      <c r="G156" s="52" t="inlineStr">
        <is>
          <t>[تعليمات: احتمال وجود عدة استجابات]</t>
        </is>
      </c>
      <c r="H156" s="67" t="n"/>
      <c r="I156" s="86" t="inlineStr">
        <is>
          <t>true</t>
        </is>
      </c>
      <c r="J156" s="86" t="n"/>
      <c r="K156" s="266" t="inlineStr">
        <is>
          <t>if(selected(., 'ref') or selected(., 'dk'), count-selected(.) = 1, count-selected(.) &gt;= 1)</t>
        </is>
      </c>
      <c r="L156" s="86" t="n"/>
      <c r="M156" s="86" t="n"/>
      <c r="N156" s="266" t="inlineStr">
        <is>
          <t>${crp_main} != '777' and ${crp_main} != '888' and ${crp_main} != '999'</t>
        </is>
      </c>
      <c r="O156" s="86" t="n"/>
      <c r="P156" s="86" t="n"/>
      <c r="Q156" s="86" t="n"/>
      <c r="V156" s="52" t="inlineStr">
        <is>
          <t>no</t>
        </is>
      </c>
      <c r="X156" s="132" t="n">
        <v>17.92890930175781</v>
      </c>
      <c r="Y156" s="114">
        <f>'Additional information'!$C$14</f>
        <v/>
      </c>
      <c r="Z156" s="115">
        <f>IF(X156&lt;&gt;"",X156*Y156,"")</f>
        <v/>
      </c>
      <c r="AA156" s="115">
        <f>IF(AND(X156&lt;&gt;"",V156="yes"),X156*Y156,"")</f>
        <v/>
      </c>
    </row>
    <row r="157" ht="31.95" customHeight="1">
      <c r="A157" s="51" t="inlineStr">
        <is>
          <t>select_one yes_no</t>
        </is>
      </c>
      <c r="B157" s="51" t="inlineStr">
        <is>
          <t>crp_proddif</t>
        </is>
      </c>
      <c r="C157" s="362" t="inlineStr">
        <is>
          <t>4.59 هل واجهت أسرتك أي صعوبة ***في إنتاج المحاصيل*** في موسم الأمطار؟</t>
        </is>
      </c>
      <c r="D157" s="362" t="inlineStr">
        <is>
          <t>4.59 Has your household faced any significant difficulty ***in terms of crop production*** in wet season?</t>
        </is>
      </c>
      <c r="E157" s="59" t="n"/>
      <c r="H157" s="60" t="n"/>
      <c r="I157" s="243" t="inlineStr">
        <is>
          <t>true</t>
        </is>
      </c>
      <c r="J157" s="243" t="n"/>
      <c r="K157" s="26" t="n"/>
      <c r="L157" s="243" t="n"/>
      <c r="M157" s="243" t="n"/>
      <c r="N157" s="267" t="inlineStr">
        <is>
          <t>${crp_main} != '888' and ${crp_main} != '999'</t>
        </is>
      </c>
      <c r="O157" s="243" t="n"/>
      <c r="P157" s="243" t="n"/>
      <c r="Q157" s="243" t="n"/>
      <c r="V157" s="28" t="inlineStr">
        <is>
          <t>yes</t>
        </is>
      </c>
      <c r="X157" s="132" t="n">
        <v>13.45886421203613</v>
      </c>
      <c r="Y157" s="114">
        <f>'Additional information'!$C$14</f>
        <v/>
      </c>
      <c r="Z157" s="115">
        <f>IF(X157&lt;&gt;"",X157*Y157,"")</f>
        <v/>
      </c>
      <c r="AA157" s="115">
        <f>IF(AND(X157&lt;&gt;"",V157="yes"),X157*Y157,"")</f>
        <v/>
      </c>
    </row>
    <row r="158" ht="96" customHeight="1">
      <c r="A158" s="51" t="inlineStr">
        <is>
          <t>select_multiple cropproddiff</t>
        </is>
      </c>
      <c r="B158" s="51" t="inlineStr">
        <is>
          <t>crp_proddif_</t>
        </is>
      </c>
      <c r="C158" s="362" t="inlineStr">
        <is>
          <t>4.60 ما الصعوبات التي واجهتها أسرتك في إنتاج المحاصيل في موسم الأمطار؟</t>
        </is>
      </c>
      <c r="D158" s="362" t="inlineStr">
        <is>
          <t>4.60 Which difficulties has your household faced with crop production in wet season?</t>
        </is>
      </c>
      <c r="E158" s="59" t="n"/>
      <c r="F158" s="28" t="inlineStr">
        <is>
          <t>[INSTRUCTIONS: MULTIPLE RESPONSES POSSIBLE. SELECT OPTION(S) THAT BEST FIT THE INFORMATION PROVIDED BY THE RESPONDENTS.]</t>
        </is>
      </c>
      <c r="G158" s="28" t="inlineStr">
        <is>
          <t>[تعليمات: عدة استجابات محتملة. حدد الخيار (الخيارات) الأنسب للمعلومات المقدمة من المجيب]</t>
        </is>
      </c>
      <c r="H158" s="60" t="n"/>
      <c r="I158" s="243" t="inlineStr">
        <is>
          <t>true</t>
        </is>
      </c>
      <c r="J158" s="243" t="n"/>
      <c r="K158" s="267" t="inlineStr">
        <is>
          <t>if(selected(., 'ref') or selected(., 'dk'), count-selected(.) = 1, count-selected(.) &gt;= 1)</t>
        </is>
      </c>
      <c r="L158" s="243" t="n"/>
      <c r="M158" s="243" t="n"/>
      <c r="N158" s="267" t="inlineStr">
        <is>
          <t>${crp_proddif} = '1' and ${crp_main} != '888' and ${crp_main} != '999'</t>
        </is>
      </c>
      <c r="O158" s="243" t="n"/>
      <c r="P158" s="243" t="n"/>
      <c r="Q158" s="243" t="n"/>
      <c r="V158" s="28" t="inlineStr">
        <is>
          <t>yes</t>
        </is>
      </c>
      <c r="X158" s="132" t="n">
        <v>37.52328872680664</v>
      </c>
      <c r="Y158" s="114">
        <f>'Additional information'!$C$14</f>
        <v/>
      </c>
      <c r="Z158" s="115">
        <f>IF(X158&lt;&gt;"",X158*Y158,"")</f>
        <v/>
      </c>
      <c r="AA158" s="115">
        <f>IF(AND(X158&lt;&gt;"",V158="yes"),X158*Y158,"")</f>
        <v/>
      </c>
    </row>
    <row r="159" ht="64.05" customHeight="1">
      <c r="A159" s="51" t="inlineStr">
        <is>
          <t>select_one seeds_access_issue</t>
        </is>
      </c>
      <c r="B159" s="51" t="inlineStr">
        <is>
          <t>crp_proddif_seeds</t>
        </is>
      </c>
      <c r="C159" s="362" t="inlineStr">
        <is>
          <t>4.61 ما هي الصعوبة الرئيسية في الوصول إلى البذور [منذ الزلزال]؟</t>
        </is>
      </c>
      <c r="D159" s="362" t="inlineStr">
        <is>
          <t>4.61 What has been the main difficulty in accessing seeds [since the earthquake]?</t>
        </is>
      </c>
      <c r="E159" s="59" t="n"/>
      <c r="H159" s="60" t="n"/>
      <c r="I159" s="81" t="inlineStr">
        <is>
          <t>true</t>
        </is>
      </c>
      <c r="J159" s="243" t="n"/>
      <c r="K159" s="267" t="n"/>
      <c r="L159" s="243" t="n"/>
      <c r="M159" s="243" t="n"/>
      <c r="N159" s="308" t="inlineStr">
        <is>
          <t>selected(${crp_proddif_}, 'seed_quality') or selected(${crp_proddif_}, 'seed_quantity')</t>
        </is>
      </c>
      <c r="O159" s="243" t="n"/>
      <c r="P159" s="243" t="n"/>
      <c r="Q159" s="243" t="n"/>
      <c r="X159" s="132" t="n"/>
      <c r="Z159" s="115" t="n"/>
      <c r="AA159" s="115" t="n"/>
    </row>
    <row r="160" ht="31.95" customHeight="1">
      <c r="A160" s="28" t="inlineStr">
        <is>
          <t>text</t>
        </is>
      </c>
      <c r="B160" s="51" t="inlineStr">
        <is>
          <t>crp_proddif_seeds_other</t>
        </is>
      </c>
      <c r="C160" s="362" t="inlineStr">
        <is>
          <t>4.62 إذا كانت الإجابة "آخر"، حدد.</t>
        </is>
      </c>
      <c r="D160" s="362" t="inlineStr">
        <is>
          <t>4.62 If other, specify</t>
        </is>
      </c>
      <c r="E160" s="59" t="n"/>
      <c r="F160" s="55" t="inlineStr">
        <is>
          <t>[INSTRUCTIONS: RECORD THE OPEN RESPONSE GIVEN IN FEW WORDS. ENTER 888 FOR DON'T KNOW AND 999 FOR REFUSED]</t>
        </is>
      </c>
      <c r="G160" s="52" t="inlineStr">
        <is>
          <t>[تعليمات: سجل في بضع كلمات الاستجابة المفتوحة المعطاة . أدخل 888 للا أعرف و 999 في حالة الرفض]</t>
        </is>
      </c>
      <c r="H160" s="60" t="n"/>
      <c r="I160" s="81" t="inlineStr">
        <is>
          <t>true</t>
        </is>
      </c>
      <c r="K160" s="325" t="inlineStr">
        <is>
          <t>string-length(.)&gt;=3</t>
        </is>
      </c>
      <c r="L160" s="306" t="inlineStr">
        <is>
          <t>عفوا، الرجاء تقديم نص و شرح اكثر وضوحا.</t>
        </is>
      </c>
      <c r="M160" s="306" t="inlineStr">
        <is>
          <t>Sorry, Please provide a much more meaningful text</t>
        </is>
      </c>
      <c r="N160" s="266" t="inlineStr">
        <is>
          <t>${crp_proddif_seeds} = 'other'</t>
        </is>
      </c>
      <c r="X160" s="132" t="n"/>
      <c r="Y160" s="114">
        <f>'Additional information'!$C$14</f>
        <v/>
      </c>
      <c r="Z160" s="115">
        <f>IF(X160&lt;&gt;"",X160*Y160,"")</f>
        <v/>
      </c>
      <c r="AA160" s="115">
        <f>IF(AND(X160&lt;&gt;"",V160="yes"),X160*Y160,"")</f>
        <v/>
      </c>
    </row>
    <row r="161" ht="31.95" customHeight="1">
      <c r="A161" s="28" t="inlineStr">
        <is>
          <t>select_one fertilizers_access_issue</t>
        </is>
      </c>
      <c r="B161" s="28" t="inlineStr">
        <is>
          <t>crp_proddif_fertilizer</t>
        </is>
      </c>
      <c r="C161" s="362" t="inlineStr">
        <is>
          <t>4.63 ما هي الصعوبة الرئيسية في الوصول إلى الأسمدة [منذ الزلزال]؟</t>
        </is>
      </c>
      <c r="D161" s="362" t="inlineStr">
        <is>
          <t>4.63 What has been the main difficulty in accessing fertilizers [since the earthquake]?</t>
        </is>
      </c>
      <c r="E161" s="59" t="n"/>
      <c r="G161" s="53" t="n"/>
      <c r="H161" s="60" t="n"/>
      <c r="I161" s="81" t="inlineStr">
        <is>
          <t>true</t>
        </is>
      </c>
      <c r="N161" s="308" t="inlineStr">
        <is>
          <t>selected(${crp_proddif_}, 'access_fertilize')</t>
        </is>
      </c>
      <c r="X161" s="132" t="n"/>
      <c r="Z161" s="115" t="n"/>
      <c r="AA161" s="115" t="n"/>
    </row>
    <row r="162" ht="31.95" customHeight="1">
      <c r="A162" s="28" t="inlineStr">
        <is>
          <t>text</t>
        </is>
      </c>
      <c r="B162" s="28" t="inlineStr">
        <is>
          <t>crp_proddif_fertilizer_other</t>
        </is>
      </c>
      <c r="C162" s="362" t="inlineStr">
        <is>
          <t>4.64 إذا كانت الإجابة "آخر"، حدد.</t>
        </is>
      </c>
      <c r="D162" s="362" t="inlineStr">
        <is>
          <t>4.64 If other, specify</t>
        </is>
      </c>
      <c r="E162" s="59" t="n"/>
      <c r="F162" s="55" t="inlineStr">
        <is>
          <t>[INSTRUCTIONS: RECORD THE OPEN RESPONSE GIVEN IN FEW WORDS. ENTER 888 FOR DON'T KNOW AND 999 FOR REFUSED]</t>
        </is>
      </c>
      <c r="G162" s="52" t="inlineStr">
        <is>
          <t>[تعليمات: سجل في بضع كلمات الاستجابة المفتوحة المعطاة . أدخل 888 للا أعرف و 999 في حالة الرفض]</t>
        </is>
      </c>
      <c r="H162" s="60" t="n"/>
      <c r="I162" s="81" t="inlineStr">
        <is>
          <t>true</t>
        </is>
      </c>
      <c r="K162" s="325" t="inlineStr">
        <is>
          <t>string-length(.)&gt;=3</t>
        </is>
      </c>
      <c r="L162" s="306" t="inlineStr">
        <is>
          <t>عفوا، الرجاء تقديم نص و شرح اكثر وضوحا.</t>
        </is>
      </c>
      <c r="M162" s="306" t="inlineStr">
        <is>
          <t>Sorry, Please provide a much more meaningful text</t>
        </is>
      </c>
      <c r="N162" s="266" t="inlineStr">
        <is>
          <t>${crp_proddif_fertilizer} = 'other'</t>
        </is>
      </c>
      <c r="X162" s="132" t="n"/>
      <c r="Z162" s="115" t="n"/>
      <c r="AA162" s="115" t="n"/>
    </row>
    <row r="163" ht="31.95" customHeight="1">
      <c r="A163" s="28" t="inlineStr">
        <is>
          <t>select_one labour_issue</t>
        </is>
      </c>
      <c r="B163" s="28" t="inlineStr">
        <is>
          <t>crp_proddif_labour</t>
        </is>
      </c>
      <c r="C163" s="362" t="inlineStr">
        <is>
          <t>4.65 ما هي الصعوبة الرئيسية في الوصول إلى اليد العاملة [منذ الزلزال]؟</t>
        </is>
      </c>
      <c r="D163" s="362" t="inlineStr">
        <is>
          <t>4.65 What has been the main difficulty in accessing manpower labour [since the earthquake]?</t>
        </is>
      </c>
      <c r="E163" s="59" t="n"/>
      <c r="G163" s="53" t="n"/>
      <c r="H163" s="60" t="n"/>
      <c r="I163" s="81" t="inlineStr">
        <is>
          <t>true</t>
        </is>
      </c>
      <c r="N163" s="308" t="inlineStr">
        <is>
          <t>selected(${crp_proddif_}, 'access_labour')</t>
        </is>
      </c>
      <c r="X163" s="132" t="n"/>
      <c r="Z163" s="115" t="n"/>
      <c r="AA163" s="115" t="n"/>
    </row>
    <row r="164" ht="31.95" customHeight="1">
      <c r="A164" s="28" t="inlineStr">
        <is>
          <t>text</t>
        </is>
      </c>
      <c r="B164" s="28" t="inlineStr">
        <is>
          <t>crp_proddif_labour_other</t>
        </is>
      </c>
      <c r="C164" s="362" t="inlineStr">
        <is>
          <t>4.66 إذا كانت الإجابة "آخر"، حدد.</t>
        </is>
      </c>
      <c r="D164" s="362" t="inlineStr">
        <is>
          <t>4.66 If other, specify</t>
        </is>
      </c>
      <c r="E164" s="59" t="n"/>
      <c r="F164" s="55" t="inlineStr">
        <is>
          <t>[INSTRUCTIONS: RECORD THE OPEN RESPONSE GIVEN IN FEW WORDS. ENTER 888 FOR DON'T KNOW AND 999 FOR REFUSED]</t>
        </is>
      </c>
      <c r="G164" s="52" t="inlineStr">
        <is>
          <t>[تعليمات: سجل في بضع كلمات الاستجابة المفتوحة المعطاة . أدخل 888 للا أعرف و 999 في حالة الرفض]</t>
        </is>
      </c>
      <c r="H164" s="60" t="n"/>
      <c r="I164" s="81" t="inlineStr">
        <is>
          <t>true</t>
        </is>
      </c>
      <c r="K164" s="325" t="inlineStr">
        <is>
          <t>string-length(.)&gt;=3</t>
        </is>
      </c>
      <c r="L164" s="306" t="inlineStr">
        <is>
          <t>عفوا، الرجاء تقديم نص و شرح اكثر وضوحا.</t>
        </is>
      </c>
      <c r="M164" s="306" t="inlineStr">
        <is>
          <t>Sorry, Please provide a much more meaningful text</t>
        </is>
      </c>
      <c r="N164" s="266" t="inlineStr">
        <is>
          <t>${crp_proddif_labour} = 'other'</t>
        </is>
      </c>
      <c r="X164" s="132" t="n"/>
      <c r="Z164" s="115" t="n"/>
      <c r="AA164" s="115" t="n"/>
    </row>
    <row r="165" ht="112.05" customHeight="1">
      <c r="A165" s="28" t="inlineStr">
        <is>
          <t>select_multiple damassets</t>
        </is>
      </c>
      <c r="B165" s="210" t="inlineStr">
        <is>
          <t>damassets</t>
        </is>
      </c>
      <c r="C165" s="362" t="inlineStr">
        <is>
          <t>4.67 هل تم تدمير أو إتلاف أي من أصولك الزراعية أثناء الزلزال؟</t>
        </is>
      </c>
      <c r="D165" s="362" t="inlineStr">
        <is>
          <t>4.67 Have any of your agricultural assets been destroyed or damaged during the earthquake?</t>
        </is>
      </c>
      <c r="E165" s="59" t="n"/>
      <c r="F165" s="55" t="n"/>
      <c r="G165" s="52" t="n"/>
      <c r="H165" s="60" t="n"/>
      <c r="I165" s="81" t="inlineStr">
        <is>
          <t>true</t>
        </is>
      </c>
      <c r="K165" s="272" t="inlineStr">
        <is>
          <t>if(selected(., '9') or selected(., '10') or selected(., '11'), count-selected(.) = 1, count-selected(.) &gt;= 1)</t>
        </is>
      </c>
      <c r="N165" s="266" t="n"/>
      <c r="X165" s="132" t="n"/>
      <c r="Z165" s="115" t="n"/>
      <c r="AA165" s="115" t="n"/>
    </row>
    <row r="166" ht="16.05" customHeight="1">
      <c r="A166" s="52" t="inlineStr">
        <is>
          <t>select_one prop_25</t>
        </is>
      </c>
      <c r="B166" s="210" t="inlineStr">
        <is>
          <t>crp_loss_greenhouse</t>
        </is>
      </c>
      <c r="C166" s="362" t="inlineStr">
        <is>
          <t>4.68 ما هي نسبة البيوت البلاستيكية الخاصة بأسرتك التي تضررت أو دمرت بسبب الزلزال؟</t>
        </is>
      </c>
      <c r="D166" s="362" t="inlineStr">
        <is>
          <t>4.68 How much of your greenhouses have been damaged or destroyed by the earthquake?</t>
        </is>
      </c>
      <c r="E166" s="59" t="n"/>
      <c r="G166" s="53" t="n"/>
      <c r="H166" s="60" t="n"/>
      <c r="I166" s="81" t="inlineStr">
        <is>
          <t>true</t>
        </is>
      </c>
      <c r="N166" s="266" t="inlineStr">
        <is>
          <t>selected(${damassets},'2')</t>
        </is>
      </c>
      <c r="X166" s="132" t="n"/>
      <c r="Z166" s="115" t="n"/>
      <c r="AA166" s="115" t="n"/>
    </row>
    <row r="167" ht="16.05" customFormat="1" customHeight="1" s="53">
      <c r="A167" s="55" t="inlineStr">
        <is>
          <t>select_one asset_status</t>
        </is>
      </c>
      <c r="B167" s="55" t="inlineStr">
        <is>
          <t>DamAssets_status_gh</t>
        </is>
      </c>
      <c r="C167" s="362" t="inlineStr">
        <is>
          <t>4.69 ما هو الوضع الحالي للبيوت البلاستيكية الخاصة بأسرتك؟</t>
        </is>
      </c>
      <c r="D167" s="362" t="inlineStr">
        <is>
          <t>4.69 What is the current status of your greenhouses?</t>
        </is>
      </c>
      <c r="E167" s="54" t="n"/>
      <c r="H167" s="58" t="n"/>
      <c r="I167" s="81" t="inlineStr">
        <is>
          <t>true</t>
        </is>
      </c>
      <c r="J167" s="80" t="n"/>
      <c r="K167" s="279" t="n"/>
      <c r="L167" s="80" t="n"/>
      <c r="M167" s="80" t="n"/>
      <c r="N167" s="266" t="inlineStr">
        <is>
          <t>selected(${damassets},'2')</t>
        </is>
      </c>
      <c r="O167" s="80" t="n"/>
      <c r="P167" s="80" t="n"/>
      <c r="Q167" s="80" t="n"/>
      <c r="X167" s="132" t="n"/>
      <c r="Y167" s="114" t="n"/>
      <c r="Z167" s="115" t="n"/>
      <c r="AA167" s="115" t="n"/>
      <c r="AB167" s="52" t="n"/>
    </row>
    <row r="168" ht="16.05" customHeight="1">
      <c r="A168" s="52" t="inlineStr">
        <is>
          <t>select_one prop_25</t>
        </is>
      </c>
      <c r="B168" s="210" t="inlineStr">
        <is>
          <t>crp_loss_tools</t>
        </is>
      </c>
      <c r="C168" s="362" t="inlineStr">
        <is>
          <t>4.70 ما هي نسبة الأدوات اليدوية للزراعة الخاصة بأسرتك (مثل الرفش ، والشوكة ، و مرش الماء ، وما إلى ذلك) التي تضررت أو دمرت بسبب الزلزال؟</t>
        </is>
      </c>
      <c r="D168" s="362" t="inlineStr">
        <is>
          <t>4.70 How much of your farms hand tools (e.g. shovel, fork, watering can, etc.) have been damaged or destroyed by the earthquake?</t>
        </is>
      </c>
      <c r="E168" s="59" t="n"/>
      <c r="G168" s="53" t="n"/>
      <c r="H168" s="60" t="n"/>
      <c r="I168" s="81" t="inlineStr">
        <is>
          <t>true</t>
        </is>
      </c>
      <c r="N168" s="266" t="inlineStr">
        <is>
          <t>selected(${damassets},'3')</t>
        </is>
      </c>
      <c r="X168" s="132" t="n"/>
      <c r="Z168" s="115" t="n"/>
      <c r="AA168" s="115" t="n"/>
    </row>
    <row r="169" ht="16.05" customFormat="1" customHeight="1" s="53">
      <c r="A169" s="55" t="inlineStr">
        <is>
          <t>select_one asset_status</t>
        </is>
      </c>
      <c r="B169" s="55" t="inlineStr">
        <is>
          <t>DamAssets_status_tools</t>
        </is>
      </c>
      <c r="C169" s="362" t="inlineStr">
        <is>
          <t>4.71 ما هو الوضع الحالي للأدوات اليدوية للزراعة الخاصة بأسرتك (مثل الرفش ، والشوكة ، و مرش الماء ، وما إلى ذلك)؟</t>
        </is>
      </c>
      <c r="D169" s="362" t="inlineStr">
        <is>
          <t>4.71 What is the current status of your farm hand tools?</t>
        </is>
      </c>
      <c r="E169" s="54" t="n"/>
      <c r="H169" s="58" t="n"/>
      <c r="I169" s="81" t="inlineStr">
        <is>
          <t>true</t>
        </is>
      </c>
      <c r="J169" s="80" t="n"/>
      <c r="K169" s="279" t="n"/>
      <c r="L169" s="80" t="n"/>
      <c r="M169" s="80" t="n"/>
      <c r="N169" s="266" t="inlineStr">
        <is>
          <t>selected(${damassets},'3')</t>
        </is>
      </c>
      <c r="O169" s="80" t="n"/>
      <c r="P169" s="80" t="n"/>
      <c r="Q169" s="80" t="n"/>
      <c r="X169" s="132" t="n"/>
      <c r="Y169" s="114" t="n"/>
      <c r="Z169" s="115" t="n"/>
      <c r="AA169" s="115" t="n"/>
      <c r="AB169" s="52" t="n"/>
    </row>
    <row r="170" ht="16.05" customHeight="1">
      <c r="A170" s="52" t="inlineStr">
        <is>
          <t>select_one prop_25</t>
        </is>
      </c>
      <c r="B170" s="210" t="inlineStr">
        <is>
          <t>crp_loss_machinery</t>
        </is>
      </c>
      <c r="C170" s="362" t="inlineStr">
        <is>
          <t>4.72 ما هي نسبة الآلات الخاصة بأسرتك (مثل الجرار، الدرّاسة ، والحصادة ، وما إلى ذلك) التي تضررت أو دمرت بسبب الزلزال؟</t>
        </is>
      </c>
      <c r="D170" s="362" t="inlineStr">
        <is>
          <t>4.72 How much of your machinery (e.g. tractor, harvester, etc.) has been damaged or destroyed by the earthquake?</t>
        </is>
      </c>
      <c r="E170" s="59" t="n"/>
      <c r="G170" s="53" t="n"/>
      <c r="H170" s="60" t="n"/>
      <c r="I170" s="81" t="inlineStr">
        <is>
          <t>true</t>
        </is>
      </c>
      <c r="N170" s="266" t="inlineStr">
        <is>
          <t>selected(${damassets},'4')</t>
        </is>
      </c>
      <c r="X170" s="132" t="n"/>
      <c r="Z170" s="115" t="n"/>
      <c r="AA170" s="115" t="n"/>
    </row>
    <row r="171" ht="16.05" customFormat="1" customHeight="1" s="53">
      <c r="A171" s="55" t="inlineStr">
        <is>
          <t>select_one asset_status</t>
        </is>
      </c>
      <c r="B171" s="55" t="inlineStr">
        <is>
          <t>DamAssets_status_machinery</t>
        </is>
      </c>
      <c r="C171" s="362" t="inlineStr">
        <is>
          <t>4.73 ما هو الوضع الحالي للآلات الخاصة بأسرتك؟</t>
        </is>
      </c>
      <c r="D171" s="362" t="inlineStr">
        <is>
          <t>4.73 What is the current status of your machinery?</t>
        </is>
      </c>
      <c r="E171" s="54" t="n"/>
      <c r="H171" s="58" t="n"/>
      <c r="I171" s="81" t="inlineStr">
        <is>
          <t>true</t>
        </is>
      </c>
      <c r="J171" s="80" t="n"/>
      <c r="K171" s="279" t="n"/>
      <c r="L171" s="80" t="n"/>
      <c r="M171" s="80" t="n"/>
      <c r="N171" s="266" t="inlineStr">
        <is>
          <t>selected(${damassets},'4')</t>
        </is>
      </c>
      <c r="O171" s="80" t="n"/>
      <c r="P171" s="80" t="n"/>
      <c r="Q171" s="80" t="n"/>
      <c r="X171" s="132" t="n"/>
      <c r="Y171" s="114" t="n"/>
      <c r="Z171" s="115" t="n"/>
      <c r="AA171" s="115" t="n"/>
      <c r="AB171" s="52" t="n"/>
    </row>
    <row r="172" ht="16.05" customHeight="1">
      <c r="A172" s="52" t="inlineStr">
        <is>
          <t>select_one prop_25</t>
        </is>
      </c>
      <c r="B172" s="210" t="inlineStr">
        <is>
          <t>crp_loss_storedprod</t>
        </is>
      </c>
      <c r="C172" s="362" t="inlineStr">
        <is>
          <t>4.74 ما هي نسبة إنتاج المحاصيل المخزنة الخاصة بأسرتك (الحبوب ، البذور الزيتية ، إلخ) التي دمرها الزلزال؟</t>
        </is>
      </c>
      <c r="D172" s="362" t="inlineStr">
        <is>
          <t>4.74 How much of your stored crop production (grain, oil seed, etc.) has been destroyed by the earthquake?</t>
        </is>
      </c>
      <c r="E172" s="59" t="n"/>
      <c r="G172" s="53" t="n"/>
      <c r="H172" s="60" t="n"/>
      <c r="I172" s="81" t="inlineStr">
        <is>
          <t>true</t>
        </is>
      </c>
      <c r="N172" s="266" t="inlineStr">
        <is>
          <t>selected(${damassets},'7')</t>
        </is>
      </c>
      <c r="X172" s="132" t="n"/>
      <c r="Z172" s="115" t="n"/>
      <c r="AA172" s="115" t="n"/>
    </row>
    <row r="173" ht="16.05" customFormat="1" customHeight="1" s="53">
      <c r="A173" s="55" t="inlineStr">
        <is>
          <t>select_one input_status</t>
        </is>
      </c>
      <c r="B173" s="55" t="inlineStr">
        <is>
          <t>DamAssets_status_gh</t>
        </is>
      </c>
      <c r="C173" s="362" t="inlineStr">
        <is>
          <t>4.75 ما هو الوضع الحالي للمحاصيل المخزنة الخاصة بأسرتك؟</t>
        </is>
      </c>
      <c r="D173" s="362" t="inlineStr">
        <is>
          <t>4.75 What is the current status of your stored crop production?</t>
        </is>
      </c>
      <c r="E173" s="54" t="n"/>
      <c r="H173" s="58" t="n"/>
      <c r="I173" s="81" t="inlineStr">
        <is>
          <t>true</t>
        </is>
      </c>
      <c r="J173" s="80" t="n"/>
      <c r="K173" s="279" t="n"/>
      <c r="L173" s="80" t="n"/>
      <c r="M173" s="80" t="n"/>
      <c r="N173" s="266" t="inlineStr">
        <is>
          <t>selected(${damassets},'7')</t>
        </is>
      </c>
      <c r="O173" s="80" t="n"/>
      <c r="P173" s="80" t="n"/>
      <c r="Q173" s="80" t="n"/>
      <c r="X173" s="132" t="n"/>
      <c r="Y173" s="114" t="n"/>
      <c r="Z173" s="115" t="n"/>
      <c r="AA173" s="115" t="n"/>
      <c r="AB173" s="52" t="n"/>
    </row>
    <row r="174" ht="16.05" customHeight="1">
      <c r="A174" s="52" t="inlineStr">
        <is>
          <t>select_one prop_25</t>
        </is>
      </c>
      <c r="B174" s="210" t="inlineStr">
        <is>
          <t>crp_loss_storedseed</t>
        </is>
      </c>
      <c r="C174" s="362" t="inlineStr">
        <is>
          <t>4.76 ما هي نسبة البذور المخزنة الخاصة بأسرتك التي دمرها الزلزال؟</t>
        </is>
      </c>
      <c r="D174" s="362" t="inlineStr">
        <is>
          <t>4.76 How much of your stored seeds have been destroyed by the earthquake?</t>
        </is>
      </c>
      <c r="E174" s="59" t="n"/>
      <c r="G174" s="53" t="n"/>
      <c r="H174" s="60" t="n"/>
      <c r="I174" s="81" t="inlineStr">
        <is>
          <t>true</t>
        </is>
      </c>
      <c r="N174" s="266" t="inlineStr">
        <is>
          <t>selected(${damassets},'8')</t>
        </is>
      </c>
      <c r="X174" s="132" t="n"/>
      <c r="Z174" s="115" t="n"/>
      <c r="AA174" s="115" t="n"/>
    </row>
    <row r="175" ht="16.05" customFormat="1" customHeight="1" s="53">
      <c r="A175" s="55" t="inlineStr">
        <is>
          <t>select_one input_status</t>
        </is>
      </c>
      <c r="B175" s="55" t="inlineStr">
        <is>
          <t>DamAssets_status_input</t>
        </is>
      </c>
      <c r="C175" s="362" t="inlineStr">
        <is>
          <t>4.77 ما هو الوضع الحالي للبذور المخزنة الخاصة بأسرتك؟</t>
        </is>
      </c>
      <c r="D175" s="362" t="inlineStr">
        <is>
          <t>4.77 What is the current status of your stored seeds?</t>
        </is>
      </c>
      <c r="E175" s="54" t="n"/>
      <c r="H175" s="58" t="n"/>
      <c r="I175" s="81" t="inlineStr">
        <is>
          <t>true</t>
        </is>
      </c>
      <c r="J175" s="80" t="n"/>
      <c r="K175" s="279" t="n"/>
      <c r="L175" s="80" t="n"/>
      <c r="M175" s="80" t="n"/>
      <c r="N175" s="266" t="inlineStr">
        <is>
          <t>selected(${damassets},'8')</t>
        </is>
      </c>
      <c r="O175" s="80" t="n"/>
      <c r="P175" s="80" t="n"/>
      <c r="Q175" s="80" t="n"/>
      <c r="X175" s="132" t="n"/>
      <c r="Y175" s="114" t="n"/>
      <c r="Z175" s="115" t="n"/>
      <c r="AA175" s="115" t="n"/>
      <c r="AB175" s="52" t="n"/>
    </row>
    <row r="176" ht="16.05" customHeight="1">
      <c r="A176" s="52" t="inlineStr">
        <is>
          <t>select_one prop_25</t>
        </is>
      </c>
      <c r="B176" s="210" t="inlineStr">
        <is>
          <t>crp_loss_otherinput</t>
        </is>
      </c>
      <c r="C176" s="362" t="inlineStr">
        <is>
          <t>4.78 ما هي نسبة المدخلات المحاصيل الأخرى الخاصة بأسرتك (مثل الأسمدة ووقاية النباتات وما إلى ذلك) التي دمرها الزلزال؟</t>
        </is>
      </c>
      <c r="D176" s="362" t="inlineStr">
        <is>
          <t>4.78 How much of your other crop inputs (e.g. fertilizers, plant protection, etc.) have been destroyed by the earthquake?</t>
        </is>
      </c>
      <c r="E176" s="59" t="n"/>
      <c r="G176" s="53" t="n"/>
      <c r="H176" s="60" t="n"/>
      <c r="I176" s="81" t="inlineStr">
        <is>
          <t>true</t>
        </is>
      </c>
      <c r="N176" s="266" t="inlineStr">
        <is>
          <t>selected(${damassets},'8')</t>
        </is>
      </c>
      <c r="X176" s="132" t="n"/>
      <c r="Z176" s="115" t="n"/>
      <c r="AA176" s="115" t="n"/>
    </row>
    <row r="177" ht="16.05" customFormat="1" customHeight="1" s="53">
      <c r="A177" s="55" t="inlineStr">
        <is>
          <t>select_one input_status</t>
        </is>
      </c>
      <c r="B177" s="55" t="inlineStr">
        <is>
          <t>DamAssets_status_input</t>
        </is>
      </c>
      <c r="C177" s="362" t="inlineStr">
        <is>
          <t>4.79 ما هو الوضع الحالي لمدخلات المحاصيل الأخرى الخاصة بأسرتك (مثل الأسمدة ووقاية النباتات وما إلى ذلك)؟</t>
        </is>
      </c>
      <c r="D177" s="362" t="inlineStr">
        <is>
          <t>4.79 What is the current status of your other crop inputs (fertilizers, etc.)?</t>
        </is>
      </c>
      <c r="E177" s="54" t="n"/>
      <c r="H177" s="58" t="n"/>
      <c r="I177" s="81" t="inlineStr">
        <is>
          <t>true</t>
        </is>
      </c>
      <c r="J177" s="80" t="n"/>
      <c r="K177" s="279" t="n"/>
      <c r="L177" s="80" t="n"/>
      <c r="M177" s="80" t="n"/>
      <c r="N177" s="266" t="inlineStr">
        <is>
          <t>selected(${damassets},'8')</t>
        </is>
      </c>
      <c r="O177" s="80" t="n"/>
      <c r="P177" s="80" t="n"/>
      <c r="Q177" s="80" t="n"/>
      <c r="X177" s="132" t="n"/>
      <c r="Y177" s="114" t="n"/>
      <c r="Z177" s="115" t="n"/>
      <c r="AA177" s="115" t="n"/>
      <c r="AB177" s="52" t="n"/>
    </row>
    <row r="178" ht="31.95" customFormat="1" customHeight="1" s="53">
      <c r="A178" s="55" t="inlineStr">
        <is>
          <t>select_one prop_25</t>
        </is>
      </c>
      <c r="B178" s="210" t="inlineStr">
        <is>
          <t>crp_storage</t>
        </is>
      </c>
      <c r="C178" s="362" t="inlineStr">
        <is>
          <t>4.80 في العام الماضي ، ما هي نسبة مخزونك التي خسرتها (بسبب الآفات ، والتعفن ، والعفن ، وما إلى ذلك) من إجمالي ${crpmain} المخزن؟</t>
        </is>
      </c>
      <c r="D178" s="362" t="inlineStr">
        <is>
          <t>4.80 Last year, what proportion of your ${crpmain} stock did you lose [to pests, rotting, mould, etc.] after the harvest?</t>
        </is>
      </c>
      <c r="E178" s="54" t="n"/>
      <c r="H178" s="58" t="n"/>
      <c r="I178" s="81" t="inlineStr">
        <is>
          <t>true</t>
        </is>
      </c>
      <c r="J178" s="80" t="n"/>
      <c r="K178" s="279" t="n"/>
      <c r="L178" s="80" t="n"/>
      <c r="M178" s="80" t="n"/>
      <c r="N178" s="266" t="inlineStr">
        <is>
          <t>${crp_main} != '888' and ${crp_main} != '999' and ${crp_main} != '777'</t>
        </is>
      </c>
      <c r="O178" s="80" t="n"/>
      <c r="P178" s="80" t="n"/>
      <c r="Q178" s="80" t="n"/>
      <c r="V178" s="53" t="inlineStr">
        <is>
          <t>no</t>
        </is>
      </c>
      <c r="X178" s="132" t="n">
        <v>17</v>
      </c>
      <c r="Y178" s="114">
        <f>'Additional information'!$C$14</f>
        <v/>
      </c>
      <c r="Z178" s="115">
        <f>IF(X178&lt;&gt;"",X178*Y178,"")</f>
        <v/>
      </c>
      <c r="AA178" s="115">
        <f>IF(AND(X178&lt;&gt;"",V178="yes"),X178*Y178,"")</f>
        <v/>
      </c>
      <c r="AB178" s="52" t="n"/>
    </row>
    <row r="179" ht="31.95" customHeight="1">
      <c r="A179" s="28" t="inlineStr">
        <is>
          <t>select_multiple cropdiff</t>
        </is>
      </c>
      <c r="B179" s="28" t="inlineStr">
        <is>
          <t>ProdDiff</t>
        </is>
      </c>
      <c r="C179" s="362" t="inlineStr">
        <is>
          <t>4.81 ما هي الصعوبات الثلاث الرئيسية التي تتوقع أن تواجهها في إنتاج المحاصيل خلال الأشهر الستة القادمة؟</t>
        </is>
      </c>
      <c r="D179" s="362" t="inlineStr">
        <is>
          <t>4.81 What are the three major difficulties that you expect to face with your crop production over the upcoming 6 months?</t>
        </is>
      </c>
      <c r="E179" s="59" t="n"/>
      <c r="F179" s="28" t="inlineStr">
        <is>
          <t>[INSTRUCTIONS: MULTIPLE RESPONSES POSSIBLE. SELECT OPTION(S) THAT BEST FIT THE INFORMATION PROVIDED BY THE RESPONDENTS.]</t>
        </is>
      </c>
      <c r="G179" s="28" t="inlineStr">
        <is>
          <t>[تعليمات: عدة استجابات محتملة. حدد الخيار (الخيارات) الأنسب للمعلومات المقدمة من المجيب]</t>
        </is>
      </c>
      <c r="H179" s="60" t="n"/>
      <c r="I179" s="81" t="inlineStr">
        <is>
          <t>true</t>
        </is>
      </c>
      <c r="K179" s="272" t="inlineStr">
        <is>
          <t>count-selected(.) &lt;= 3</t>
        </is>
      </c>
      <c r="L179" s="243" t="inlineStr">
        <is>
          <t>Select a maximum of 3 responses for this questions</t>
        </is>
      </c>
      <c r="M179" s="243" t="inlineStr">
        <is>
          <t>حدد 3 إجابات كحد أقصى لهذه الأسئلة</t>
        </is>
      </c>
      <c r="N179" s="266" t="n"/>
      <c r="X179" s="132" t="n"/>
      <c r="Y179" s="114">
        <f>'Additional information'!$C$14</f>
        <v/>
      </c>
      <c r="Z179" s="115">
        <f>IF(X179&lt;&gt;"",X179*Y179,"")</f>
        <v/>
      </c>
      <c r="AA179" s="115">
        <f>IF(AND(X179&lt;&gt;"",V179="yes"),X179*Y179,"")</f>
        <v/>
      </c>
    </row>
    <row r="180" ht="31.95" customHeight="1">
      <c r="A180" s="28" t="inlineStr">
        <is>
          <t>text</t>
        </is>
      </c>
      <c r="B180" s="28" t="inlineStr">
        <is>
          <t>ProdDiff_other</t>
        </is>
      </c>
      <c r="C180" s="362" t="inlineStr">
        <is>
          <t>4.82 إذا كانت الإجابة "آخر"، حدد.</t>
        </is>
      </c>
      <c r="D180" s="362" t="inlineStr">
        <is>
          <t>4.82 If other, specify</t>
        </is>
      </c>
      <c r="E180" s="65" t="n"/>
      <c r="F180" s="55" t="inlineStr">
        <is>
          <t>[INSTRUCTIONS: RECORD THE OPEN RESPONSE GIVEN IN FEW WORDS. ENTER 888 FOR DON'T KNOW AND 999 FOR REFUSED]</t>
        </is>
      </c>
      <c r="G180" s="52" t="inlineStr">
        <is>
          <t>[تعليمات: سجل في بضع كلمات الاستجابة المفتوحة المعطاة . أدخل 888 للا أعرف و 999 في حالة الرفض]</t>
        </is>
      </c>
      <c r="H180" s="69" t="n"/>
      <c r="I180" s="81" t="inlineStr">
        <is>
          <t>true</t>
        </is>
      </c>
      <c r="K180" s="325" t="inlineStr">
        <is>
          <t>string-length(.)&gt;=3</t>
        </is>
      </c>
      <c r="L180" s="306" t="inlineStr">
        <is>
          <t>عفوا، الرجاء تقديم نص و شرح اكثر وضوحا.</t>
        </is>
      </c>
      <c r="M180" s="306" t="inlineStr">
        <is>
          <t>Sorry, Please provide a much more meaningful text</t>
        </is>
      </c>
      <c r="N180" s="266" t="inlineStr">
        <is>
          <t>selected(${ProdDiff}, 'other')</t>
        </is>
      </c>
      <c r="X180" s="132" t="n"/>
      <c r="Z180" s="115" t="n"/>
      <c r="AA180" s="115" t="n"/>
    </row>
    <row r="181" ht="16.05" customHeight="1" thickBot="1">
      <c r="A181" s="68" t="inlineStr">
        <is>
          <t>end_group</t>
        </is>
      </c>
      <c r="B181" s="68" t="n"/>
      <c r="C181" s="362" t="n"/>
      <c r="D181" s="372" t="n"/>
      <c r="E181" s="244" t="n"/>
      <c r="F181" s="154" t="n"/>
      <c r="G181" s="154" t="n"/>
      <c r="H181" s="73" t="n"/>
      <c r="I181" s="247" t="n"/>
      <c r="J181" s="247" t="n"/>
      <c r="K181" s="273" t="n"/>
      <c r="L181" s="247" t="n"/>
      <c r="M181" s="247" t="n"/>
      <c r="N181" s="273" t="n"/>
      <c r="O181" s="247" t="n"/>
      <c r="P181" s="247" t="n"/>
      <c r="Q181" s="247" t="n"/>
      <c r="X181" s="132" t="n"/>
      <c r="Z181" s="115">
        <f>IF(X181&lt;&gt;"",X181*Y181,"")</f>
        <v/>
      </c>
      <c r="AA181" s="115">
        <f>IF(AND(X181&lt;&gt;"",V181="yes"),X181*Y181,"")</f>
        <v/>
      </c>
    </row>
    <row r="182" ht="160.95" customFormat="1" customHeight="1" s="49" thickTop="1">
      <c r="A182" s="282" t="inlineStr">
        <is>
          <t>begin_group</t>
        </is>
      </c>
      <c r="B182" s="282" t="inlineStr">
        <is>
          <t>CropSales_group</t>
        </is>
      </c>
      <c r="C182" s="365" t="inlineStr">
        <is>
          <t>5. تسويق المحاصيل</t>
        </is>
      </c>
      <c r="D182" s="365" t="inlineStr">
        <is>
          <t>5. CROP MARKETING</t>
        </is>
      </c>
      <c r="E182" s="47" t="n"/>
      <c r="F182" s="46" t="n"/>
      <c r="G182" s="46" t="n"/>
      <c r="H182" s="48" t="n"/>
      <c r="I182" s="82" t="inlineStr">
        <is>
          <t>false</t>
        </is>
      </c>
      <c r="J182" s="82" t="n"/>
      <c r="K182" s="275" t="n"/>
      <c r="L182" s="82" t="n"/>
      <c r="M182" s="82" t="n"/>
      <c r="N182" s="275" t="inlineStr">
        <is>
          <t>${resp_agree} = '1' and (${income_main}='1' or ${income_sec}='1' or ${income_third}='1' or ${income_main}='2' or ${income_sec}='2' or ${income_third}='2' or ${income_main}='3' or ${income_sec}='3' or ${income_third}='3')</t>
        </is>
      </c>
      <c r="O182" s="82" t="n"/>
      <c r="P182" s="82" t="n"/>
      <c r="Q182" s="82" t="n"/>
      <c r="V182" s="28" t="inlineStr">
        <is>
          <t>yes</t>
        </is>
      </c>
      <c r="X182" s="132" t="n"/>
      <c r="Y182" s="114" t="n"/>
      <c r="Z182" s="115">
        <f>IF(X182&lt;&gt;"",X182*Y182,"")</f>
        <v/>
      </c>
      <c r="AA182" s="115">
        <f>IF(AND(X182&lt;&gt;"",V182="yes"),X182*Y182,"")</f>
        <v/>
      </c>
      <c r="AB182" s="50" t="n"/>
    </row>
    <row r="183" ht="16.05" customFormat="1" customHeight="1" s="332">
      <c r="A183" s="331" t="inlineStr">
        <is>
          <t>select_one yes_no</t>
        </is>
      </c>
      <c r="B183" s="331" t="inlineStr">
        <is>
          <t>crp_sales_main_1</t>
        </is>
      </c>
      <c r="C183" s="374" t="inlineStr">
        <is>
          <t>5.1 هل ${crpmain} هو المحصول الرئيسي الذي بعته خلال منذ الزلزال؟</t>
        </is>
      </c>
      <c r="D183" s="383" t="inlineStr">
        <is>
          <t xml:space="preserve">5.1 Was ${crpmain} the main crop that you sold since the earthquake? </t>
        </is>
      </c>
      <c r="E183" s="334" t="n"/>
      <c r="I183" s="335" t="inlineStr">
        <is>
          <t>true</t>
        </is>
      </c>
      <c r="J183" s="336" t="n"/>
      <c r="K183" s="335" t="n"/>
      <c r="L183" s="335" t="n"/>
      <c r="M183" s="335" t="n"/>
      <c r="N183" s="337" t="n"/>
      <c r="O183" s="335" t="n"/>
      <c r="P183" s="335" t="n"/>
      <c r="V183" s="332" t="inlineStr">
        <is>
          <t>yes</t>
        </is>
      </c>
      <c r="X183" s="149" t="n">
        <v>13.55</v>
      </c>
      <c r="Y183" s="150">
        <f>'[1]Additional information'!$D$18</f>
        <v/>
      </c>
      <c r="Z183" s="333">
        <f>IF(X183&lt;&gt;"",X183*Y183,"")</f>
        <v/>
      </c>
      <c r="AA183" s="338" t="n"/>
    </row>
    <row r="184" ht="16.05" customHeight="1">
      <c r="A184" s="51" t="inlineStr">
        <is>
          <t>select_one crop</t>
        </is>
      </c>
      <c r="B184" s="331" t="inlineStr">
        <is>
          <t>crp_sales_main_2</t>
        </is>
      </c>
      <c r="C184" s="384" t="inlineStr">
        <is>
          <t>5.2 ما هو المحصول الرئيسي الذي بعته منذ الزلزال؟</t>
        </is>
      </c>
      <c r="D184" s="385" t="inlineStr">
        <is>
          <t>5.2 What was the main crop that you sold since the earthquake?</t>
        </is>
      </c>
      <c r="E184" s="59" t="n"/>
      <c r="H184" s="60" t="n"/>
      <c r="I184" s="81" t="inlineStr">
        <is>
          <t>true</t>
        </is>
      </c>
      <c r="J184" s="243" t="inlineStr">
        <is>
          <t>autocomplete</t>
        </is>
      </c>
      <c r="K184" s="396" t="inlineStr">
        <is>
          <t>not(selected(${crp_main}, name))</t>
        </is>
      </c>
      <c r="L184" s="81" t="n"/>
      <c r="N184" s="396" t="inlineStr">
        <is>
          <t>${crp_sales_main_1}='2'</t>
        </is>
      </c>
      <c r="O184" s="81" t="n"/>
      <c r="P184" s="81" t="n"/>
      <c r="Q184" s="81" t="n"/>
      <c r="V184" s="28" t="inlineStr">
        <is>
          <t>yes</t>
        </is>
      </c>
      <c r="X184" s="132" t="n">
        <v>13.55</v>
      </c>
      <c r="Y184" s="114">
        <f>'Additional information'!$C$14</f>
        <v/>
      </c>
      <c r="Z184" s="115">
        <f>IF(X184&lt;&gt;"",X184*Y184,"")</f>
        <v/>
      </c>
      <c r="AA184" s="115" t="n"/>
    </row>
    <row r="185">
      <c r="A185" s="51" t="inlineStr">
        <is>
          <t>calculate</t>
        </is>
      </c>
      <c r="B185" s="397" t="inlineStr">
        <is>
          <t>crp_salesmain</t>
        </is>
      </c>
      <c r="C185" s="371" t="n"/>
      <c r="D185" s="372" t="n"/>
      <c r="E185" s="59" t="n"/>
      <c r="H185" s="60" t="n"/>
      <c r="I185" s="81" t="n"/>
      <c r="J185" s="243" t="n"/>
      <c r="K185" s="267" t="n"/>
      <c r="L185" s="81" t="n"/>
      <c r="M185" s="81" t="n"/>
      <c r="N185" s="267" t="n"/>
      <c r="O185" s="81" t="n"/>
      <c r="P185" s="81" t="n"/>
      <c r="Q185" s="81" t="inlineStr">
        <is>
          <t>if(${crp_sales_main_1} = '1', jr:choice-name(${crp_main},'${crp_main}'), jr:choice-name(${crp_sales_main_2},'${crp_sales_main_2}'))</t>
        </is>
      </c>
      <c r="X185" s="132" t="n"/>
      <c r="Z185" s="115" t="n"/>
      <c r="AA185" s="115" t="n"/>
    </row>
    <row r="186" ht="16.05" customHeight="1">
      <c r="A186" s="51" t="inlineStr">
        <is>
          <t>select_one yes_no</t>
        </is>
      </c>
      <c r="B186" s="51" t="inlineStr">
        <is>
          <t>crp_salesdif</t>
        </is>
      </c>
      <c r="C186" s="384" t="inlineStr">
        <is>
          <t>5.3 هل واجهت أسرتك أي صعوبة منذ الزلزال في **بيع** ${crp_salesmain}؟</t>
        </is>
      </c>
      <c r="D186" s="385" t="inlineStr">
        <is>
          <t>5.3 Has your household faced any significant difficulty since the earthquake **selling** your ${crp_salesmain}?</t>
        </is>
      </c>
      <c r="E186" s="59" t="n"/>
      <c r="F186" s="66" t="n"/>
      <c r="G186" s="66" t="n"/>
      <c r="H186" s="69" t="n"/>
      <c r="I186" s="243" t="inlineStr">
        <is>
          <t>true</t>
        </is>
      </c>
      <c r="J186" s="243" t="n"/>
      <c r="K186" s="26" t="n"/>
      <c r="L186" s="243" t="n"/>
      <c r="M186" s="243" t="n"/>
      <c r="N186" s="267" t="inlineStr">
        <is>
          <t xml:space="preserve">${crp_sales_main_2} != '29' </t>
        </is>
      </c>
      <c r="O186" s="243" t="n"/>
      <c r="P186" s="243" t="n"/>
      <c r="Q186" s="243" t="n"/>
      <c r="V186" s="28" t="inlineStr">
        <is>
          <t>yes</t>
        </is>
      </c>
      <c r="X186" s="132" t="n">
        <v>12.68148708343506</v>
      </c>
      <c r="Y186" s="114">
        <f>'Additional information'!$C$14</f>
        <v/>
      </c>
      <c r="Z186" s="115">
        <f>IF(X186&lt;&gt;"",X186*Y186,"")</f>
        <v/>
      </c>
      <c r="AA186" s="115">
        <f>IF(AND(X186&lt;&gt;"",V186="yes"),X186*Y186,"")</f>
        <v/>
      </c>
    </row>
    <row r="187" ht="96" customHeight="1">
      <c r="A187" s="51" t="inlineStr">
        <is>
          <t>select_multiple cropsalesdiff</t>
        </is>
      </c>
      <c r="B187" s="51" t="inlineStr">
        <is>
          <t>crp_saledif</t>
        </is>
      </c>
      <c r="C187" s="384" t="inlineStr">
        <is>
          <t>5.4 ما الصعوبات التي واجهتها أسرتك منذ الزلزال عند بيع ${crp_salesmain}؟</t>
        </is>
      </c>
      <c r="D187" s="385" t="inlineStr">
        <is>
          <t xml:space="preserve">5.4 Which difficulties has your household faced since the earthquake selling your ${crp_salesmain}? </t>
        </is>
      </c>
      <c r="E187" s="65" t="n"/>
      <c r="F187" s="28" t="inlineStr">
        <is>
          <t>[INSTRUCTIONS: MULTIPLE RESPONSES POSSIBLE. SELECT OPTION(S) THAT BEST FIT THE INFORMATION PROVIDED BY THE RESPONDENTS.]</t>
        </is>
      </c>
      <c r="G187" s="28" t="inlineStr">
        <is>
          <t>[تعليمات: عدة استجابات محتملة. حدد الخيار (الخيارات) الأنسب للمعلومات المقدمة من المجيب]</t>
        </is>
      </c>
      <c r="H187" s="60" t="n"/>
      <c r="I187" s="243" t="inlineStr">
        <is>
          <t>true</t>
        </is>
      </c>
      <c r="J187" s="243" t="n"/>
      <c r="K187" s="267" t="inlineStr">
        <is>
          <t>if(selected(., 'dk') or selected(., 'ref'), count-selected(.) = 1, count-selected(.) &gt;= 1)</t>
        </is>
      </c>
      <c r="L187" s="243" t="n"/>
      <c r="M187" s="243" t="n"/>
      <c r="N187" s="267" t="inlineStr">
        <is>
          <t xml:space="preserve">${crp_salesdif} = '1' </t>
        </is>
      </c>
      <c r="O187" s="243" t="n"/>
      <c r="P187" s="243" t="n"/>
      <c r="Q187" s="243" t="n"/>
      <c r="V187" s="28" t="inlineStr">
        <is>
          <t>yes</t>
        </is>
      </c>
      <c r="X187" s="132" t="n">
        <v>22.61360931396484</v>
      </c>
      <c r="Y187" s="114">
        <f>'Additional information'!$C$14</f>
        <v/>
      </c>
      <c r="Z187" s="115">
        <f>IF(X187&lt;&gt;"",X187*Y187,"")</f>
        <v/>
      </c>
      <c r="AA187" s="115">
        <f>IF(AND(X187&lt;&gt;"",V187="yes"),X187*Y187,"")</f>
        <v/>
      </c>
    </row>
    <row r="188" ht="16.05" customHeight="1">
      <c r="A188" s="51" t="inlineStr">
        <is>
          <t>select_one change2</t>
        </is>
      </c>
      <c r="B188" s="51" t="inlineStr">
        <is>
          <t>crp_salesprice</t>
        </is>
      </c>
      <c r="C188" s="384" t="inlineStr">
        <is>
          <t>5.5 كيف تقارن السعر الحالي ل${crp_salesmain} لأسرتك بمتوسط ​​السعر في نفس الفترة من السنة العادية؟</t>
        </is>
      </c>
      <c r="D188" s="385" t="inlineStr">
        <is>
          <t>5.5 How does the current price of your household's ${crp_salesmain} compare to the average price in the same period of a normal year?</t>
        </is>
      </c>
      <c r="E188" s="65" t="n"/>
      <c r="F188" s="70" t="inlineStr">
        <is>
          <t>[INSTRUCTIONS: INSIST ON THE MAIN PRODUCT MENTIONED.]</t>
        </is>
      </c>
      <c r="G188" s="70" t="inlineStr">
        <is>
          <t>[تعليمات: قم بالإصرار على المحصول الرئيسي المذكور]</t>
        </is>
      </c>
      <c r="H188" s="69" t="n"/>
      <c r="I188" s="243" t="inlineStr">
        <is>
          <t>true</t>
        </is>
      </c>
      <c r="J188" s="243" t="n"/>
      <c r="K188" s="26" t="n"/>
      <c r="L188" s="243" t="n"/>
      <c r="M188" s="243" t="n"/>
      <c r="N188" s="267" t="inlineStr">
        <is>
          <t xml:space="preserve">${crp_sales_main_2} != '29' </t>
        </is>
      </c>
      <c r="O188" s="243" t="n"/>
      <c r="P188" s="243" t="n"/>
      <c r="Q188" s="243" t="n"/>
      <c r="V188" s="28" t="inlineStr">
        <is>
          <t>yes</t>
        </is>
      </c>
      <c r="X188" s="132" t="n">
        <v>21.70190811157227</v>
      </c>
      <c r="Y188" s="114">
        <f>'Additional information'!$C$14</f>
        <v/>
      </c>
      <c r="Z188" s="115">
        <f>IF(X188&lt;&gt;"",X188*Y188,"")</f>
        <v/>
      </c>
      <c r="AA188" s="115">
        <f>IF(AND(X188&lt;&gt;"",V188="yes"),X188*Y188,"")</f>
        <v/>
      </c>
    </row>
    <row r="189" ht="31.95" customHeight="1">
      <c r="A189" s="51" t="inlineStr">
        <is>
          <t>select_multiple processdiff</t>
        </is>
      </c>
      <c r="B189" s="51" t="inlineStr">
        <is>
          <t>processDiff</t>
        </is>
      </c>
      <c r="C189" s="384" t="inlineStr">
        <is>
          <t>5.6 ما هي الصعوبات الثلاث الرئيسية التي تتوقع أن تواجهها عند حصاد و / أو معالجة ${crp_salesmain} خلال الأشهر الستة القادمة؟</t>
        </is>
      </c>
      <c r="D189" s="385" t="inlineStr">
        <is>
          <t>5.6 What are the three major difficulties that you expect to face with the harvesting and/or processing of your ${crp_salesmain} over the upcoming 6 months?</t>
        </is>
      </c>
      <c r="E189" s="65" t="n"/>
      <c r="F189" s="28" t="inlineStr">
        <is>
          <t>[INSTRUCTIONS: MULTIPLE RESPONSES POSSIBLE. SELECT OPTION(S) THAT BEST FIT THE INFORMATION PROVIDED BY THE RESPONDENTS.]</t>
        </is>
      </c>
      <c r="G189" s="28" t="inlineStr">
        <is>
          <t>[تعليمات: عدة استجابات محتملة. حدد الخيار (الخيارات) الأنسب للمعلومات المقدمة من المجيب]</t>
        </is>
      </c>
      <c r="H189" s="69" t="n"/>
      <c r="I189" s="81" t="inlineStr">
        <is>
          <t>true</t>
        </is>
      </c>
      <c r="J189" s="243" t="n"/>
      <c r="K189" s="26" t="inlineStr">
        <is>
          <t>count-selected(.) &lt;= 3</t>
        </is>
      </c>
      <c r="L189" s="243" t="inlineStr">
        <is>
          <t>Select a maximum of 3 responses for this questions</t>
        </is>
      </c>
      <c r="M189" s="243" t="inlineStr">
        <is>
          <t>حدد 3 إجابات كحد أقصى لهذه الأسئلة</t>
        </is>
      </c>
      <c r="N189" s="267" t="inlineStr">
        <is>
          <t xml:space="preserve">${crp_sales_main_2} != '29' </t>
        </is>
      </c>
      <c r="O189" s="243" t="n"/>
      <c r="P189" s="243" t="n"/>
      <c r="Q189" s="243" t="n"/>
      <c r="X189" s="132" t="n"/>
      <c r="Z189" s="115" t="n"/>
      <c r="AA189" s="115" t="n"/>
    </row>
    <row r="190" ht="31.95" customHeight="1">
      <c r="A190" s="51" t="inlineStr">
        <is>
          <t>text</t>
        </is>
      </c>
      <c r="B190" s="51" t="inlineStr">
        <is>
          <t>processDiff_other</t>
        </is>
      </c>
      <c r="C190" s="384" t="inlineStr">
        <is>
          <t>5.7 إذا كانت الإجابة "آخر"، حدد.</t>
        </is>
      </c>
      <c r="D190" s="385" t="inlineStr">
        <is>
          <t>5.7 If other, specify</t>
        </is>
      </c>
      <c r="E190" s="65" t="n"/>
      <c r="F190" s="55" t="inlineStr">
        <is>
          <t>[INSTRUCTIONS: RECORD THE OPEN RESPONSE GIVEN IN FEW WORDS. ENTER 888 FOR DON'T KNOW AND 999 FOR REFUSED]</t>
        </is>
      </c>
      <c r="G190" s="52" t="inlineStr">
        <is>
          <t>[تعليمات: سجل في بضع كلمات الاستجابة المفتوحة المعطاة . أدخل 888 للا أعرف و 999 في حالة الرفض]</t>
        </is>
      </c>
      <c r="H190" s="69" t="n"/>
      <c r="I190" s="81" t="inlineStr">
        <is>
          <t>true</t>
        </is>
      </c>
      <c r="J190" s="243" t="n"/>
      <c r="K190" s="325" t="inlineStr">
        <is>
          <t>string-length(.)&gt;=3</t>
        </is>
      </c>
      <c r="L190" s="306" t="inlineStr">
        <is>
          <t>عفوا، الرجاء تقديم نص و شرح اكثر وضوحا.</t>
        </is>
      </c>
      <c r="M190" s="306" t="inlineStr">
        <is>
          <t>Sorry, Please provide a much more meaningful text</t>
        </is>
      </c>
      <c r="N190" s="267" t="inlineStr">
        <is>
          <t>selected(${processDiff}, 'other')</t>
        </is>
      </c>
      <c r="O190" s="243" t="n"/>
      <c r="P190" s="243" t="n"/>
      <c r="Q190" s="243" t="n"/>
      <c r="X190" s="132" t="n"/>
      <c r="Z190" s="115" t="n"/>
      <c r="AA190" s="115" t="n"/>
    </row>
    <row r="191" ht="31.95" customHeight="1">
      <c r="A191" s="51" t="inlineStr">
        <is>
          <t>select_multiple cropsalesdiff</t>
        </is>
      </c>
      <c r="B191" s="51" t="inlineStr">
        <is>
          <t>marketDiff</t>
        </is>
      </c>
      <c r="C191" s="384" t="inlineStr">
        <is>
          <t>5.8 ما هي الصعوبات الثلاث الرئيسية التي تتوقع أن تواجهها عند بيع ${crp_salesmain} خلال الأشهر الستة القادمة؟</t>
        </is>
      </c>
      <c r="D191" s="385" t="inlineStr">
        <is>
          <t>5.8 What are the three major difficulties that you expect to face with the marketing of your ${crp_salesmain} over the upcoming 6 months?</t>
        </is>
      </c>
      <c r="E191" s="65" t="n"/>
      <c r="F191" s="28" t="inlineStr">
        <is>
          <t>[INSTRUCTIONS: MULTIPLE RESPONSES POSSIBLE. SELECT OPTION(S) THAT BEST FIT THE INFORMATION PROVIDED BY THE RESPONDENTS.]</t>
        </is>
      </c>
      <c r="G191" s="28" t="inlineStr">
        <is>
          <t>[تعليمات: عدة استجابات محتملة. حدد الخيار (الخيارات) الأنسب للمعلومات المقدمة من المجيب]</t>
        </is>
      </c>
      <c r="H191" s="69" t="n"/>
      <c r="I191" s="81" t="inlineStr">
        <is>
          <t>true</t>
        </is>
      </c>
      <c r="J191" s="243" t="n"/>
      <c r="K191" s="26" t="inlineStr">
        <is>
          <t>count-selected(.) &lt;= 3</t>
        </is>
      </c>
      <c r="L191" s="243" t="inlineStr">
        <is>
          <t>Select a maximum of 3 responses for this questions</t>
        </is>
      </c>
      <c r="M191" s="243" t="inlineStr">
        <is>
          <t>حدد 3 إجابات كحد أقصى لهذه الأسئلة</t>
        </is>
      </c>
      <c r="N191" s="267" t="inlineStr">
        <is>
          <t xml:space="preserve">${crp_sales_main_2} != '29' </t>
        </is>
      </c>
      <c r="O191" s="243" t="n"/>
      <c r="P191" s="243" t="n"/>
      <c r="Q191" s="243" t="n"/>
      <c r="X191" s="132" t="n"/>
      <c r="Z191" s="115" t="n"/>
      <c r="AA191" s="115" t="n"/>
    </row>
    <row r="192" ht="31.95" customHeight="1">
      <c r="A192" s="51" t="inlineStr">
        <is>
          <t>text</t>
        </is>
      </c>
      <c r="B192" s="51" t="inlineStr">
        <is>
          <t>marketDiff_other</t>
        </is>
      </c>
      <c r="C192" s="384" t="inlineStr">
        <is>
          <t>5.9 إذا كانت الإجابة "آخر"، حدد.</t>
        </is>
      </c>
      <c r="D192" s="385" t="inlineStr">
        <is>
          <t>5.9 If other, specify</t>
        </is>
      </c>
      <c r="E192" s="65" t="n"/>
      <c r="F192" s="55" t="inlineStr">
        <is>
          <t>[INSTRUCTIONS: RECORD THE OPEN RESPONSE GIVEN IN FEW WORDS. ENTER 888 FOR DON'T KNOW AND 999 FOR REFUSED]</t>
        </is>
      </c>
      <c r="G192" s="52" t="inlineStr">
        <is>
          <t>[تعليمات: سجل في بضع كلمات الاستجابة المفتوحة المعطاة . أدخل 888 للا أعرف و 999 في حالة الرفض]</t>
        </is>
      </c>
      <c r="H192" s="69" t="n"/>
      <c r="I192" s="81" t="inlineStr">
        <is>
          <t>true</t>
        </is>
      </c>
      <c r="J192" s="243" t="n"/>
      <c r="K192" s="325" t="inlineStr">
        <is>
          <t>string-length(.)&gt;=3</t>
        </is>
      </c>
      <c r="L192" s="306" t="inlineStr">
        <is>
          <t>عفوا، الرجاء تقديم نص و شرح اكثر وضوحا.</t>
        </is>
      </c>
      <c r="M192" s="306" t="inlineStr">
        <is>
          <t>Sorry, Please provide a much more meaningful text</t>
        </is>
      </c>
      <c r="N192" s="267" t="inlineStr">
        <is>
          <t>selected(${marketDiff}, 'other')</t>
        </is>
      </c>
      <c r="O192" s="243" t="n"/>
      <c r="P192" s="243" t="n"/>
      <c r="Q192" s="243" t="n"/>
      <c r="X192" s="132" t="n"/>
      <c r="Z192" s="115" t="n"/>
      <c r="AA192" s="115" t="n"/>
    </row>
    <row r="193" ht="16.05" customHeight="1" thickBot="1">
      <c r="A193" s="68" t="inlineStr">
        <is>
          <t>end_group</t>
        </is>
      </c>
      <c r="B193" s="68" t="n"/>
      <c r="C193" s="369" t="n"/>
      <c r="D193" s="372" t="n"/>
      <c r="E193" s="244" t="n"/>
      <c r="F193" s="68" t="n"/>
      <c r="G193" s="68" t="n"/>
      <c r="H193" s="73" t="n"/>
      <c r="I193" s="247" t="n"/>
      <c r="J193" s="247" t="n"/>
      <c r="K193" s="273" t="n"/>
      <c r="L193" s="247" t="n"/>
      <c r="M193" s="247" t="n"/>
      <c r="N193" s="273" t="n"/>
      <c r="O193" s="247" t="n"/>
      <c r="P193" s="247" t="n"/>
      <c r="Q193" s="247" t="n"/>
      <c r="X193" s="132" t="n"/>
      <c r="Z193" s="115">
        <f>IF(X193&lt;&gt;"",X193*Y193,"")</f>
        <v/>
      </c>
      <c r="AA193" s="115">
        <f>IF(AND(X193&lt;&gt;"",V193="yes"),X193*Y193,"")</f>
        <v/>
      </c>
    </row>
    <row r="194" ht="97.05" customFormat="1" customHeight="1" s="49" thickTop="1">
      <c r="A194" s="282" t="inlineStr">
        <is>
          <t>begin_group</t>
        </is>
      </c>
      <c r="B194" s="282" t="inlineStr">
        <is>
          <t>Livestock_group</t>
        </is>
      </c>
      <c r="C194" s="365" t="inlineStr">
        <is>
          <t>6. إنتاج الثروة الحيوانية</t>
        </is>
      </c>
      <c r="D194" s="365" t="inlineStr">
        <is>
          <t>6. LIVESTOCK PRODUCTION</t>
        </is>
      </c>
      <c r="E194" s="47" t="n"/>
      <c r="F194" s="46" t="n"/>
      <c r="G194" s="46" t="n"/>
      <c r="H194" s="48" t="n"/>
      <c r="I194" s="82" t="inlineStr">
        <is>
          <t>false</t>
        </is>
      </c>
      <c r="J194" s="82" t="n"/>
      <c r="K194" s="275" t="n"/>
      <c r="L194" s="82" t="n"/>
      <c r="M194" s="82" t="n"/>
      <c r="N194" s="275" t="inlineStr">
        <is>
          <t>${resp_agree} = '1' and (${hh_agricactivity}='2' or ${hh_agricactivity} = '3' or ${income_main_ls_check}='1' or ${income_sec_ls_check}='1' or ${income_third_ls_check}='1')</t>
        </is>
      </c>
      <c r="O194" s="82" t="n"/>
      <c r="P194" s="82" t="n"/>
      <c r="Q194" s="82" t="n"/>
      <c r="V194" s="28" t="inlineStr">
        <is>
          <t>yes</t>
        </is>
      </c>
      <c r="X194" s="132" t="n"/>
      <c r="Y194" s="50" t="n"/>
      <c r="Z194" s="115">
        <f>IF(X194&lt;&gt;"",X194*Y194,"")</f>
        <v/>
      </c>
      <c r="AA194" s="115">
        <f>IF(AND(X194&lt;&gt;"",V194="yes"),X194*Y194,"")</f>
        <v/>
      </c>
      <c r="AB194" s="50" t="n"/>
    </row>
    <row r="195" ht="52.2" customFormat="1" customHeight="1" s="347">
      <c r="A195" s="344" t="inlineStr">
        <is>
          <t>select_one Ismain</t>
        </is>
      </c>
      <c r="B195" s="344" t="inlineStr">
        <is>
          <t>ls_main</t>
        </is>
      </c>
      <c r="C195" s="387" t="inlineStr">
        <is>
          <t>6.1 ما هو الحيوان الرئيسي الذي قامت أسرتك بتربيته من أجل الغذاء وتوليد الدخل خلال الاثني عشر شهرًا الماضية؟</t>
        </is>
      </c>
      <c r="D195" s="388" t="inlineStr">
        <is>
          <t>6.1 What was the main animal raised by your household for food and income generation in the last 12 months?</t>
        </is>
      </c>
      <c r="E195" s="345" t="n"/>
      <c r="F195" s="345" t="inlineStr">
        <is>
          <t xml:space="preserve"> [OPERATOR: SINGLE RESPONSE. ASK ABOUT THE MOST IMPORTANT ANIMAL ONLY.] [HINT: DON'T FORGET TO PROBE ABOUT TRANSHUMANCE - MOVING LIVESTOCK FROM ONE GRAZING GROUND TO ANOTHER. SELECT "Other" IF RESPONDENT ANSWERS BEES.]</t>
        </is>
      </c>
      <c r="G195" s="346" t="inlineStr">
        <is>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is>
      </c>
      <c r="I195" s="348" t="inlineStr">
        <is>
          <t>true</t>
        </is>
      </c>
      <c r="J195" s="348" t="inlineStr">
        <is>
          <t>minimal</t>
        </is>
      </c>
      <c r="K195" s="348" t="n"/>
      <c r="L195" s="348" t="n"/>
      <c r="M195" s="348" t="n"/>
      <c r="N195" s="348" t="n"/>
      <c r="O195" s="348" t="n"/>
      <c r="P195" s="348" t="n"/>
      <c r="V195" s="347" t="inlineStr">
        <is>
          <t>yes</t>
        </is>
      </c>
      <c r="X195" s="349" t="n">
        <v>20.2944221496582</v>
      </c>
      <c r="Y195" s="350">
        <f>'[1]Additional information'!$D$19</f>
        <v/>
      </c>
      <c r="Z195" s="351">
        <f>IF(X195&lt;&gt;"",X195*Y195,"")</f>
        <v/>
      </c>
      <c r="AA195" s="352" t="n"/>
    </row>
    <row r="196" customFormat="1" s="332">
      <c r="A196" s="331" t="inlineStr">
        <is>
          <t>calculate</t>
        </is>
      </c>
      <c r="B196" s="331" t="inlineStr">
        <is>
          <t>lsmain</t>
        </is>
      </c>
      <c r="C196" s="343" t="inlineStr"/>
      <c r="D196" s="374" t="inlineStr">
        <is>
          <t xml:space="preserve"> </t>
        </is>
      </c>
      <c r="E196" s="334" t="n"/>
      <c r="I196" s="398" t="n"/>
      <c r="J196" s="398" t="n"/>
      <c r="K196" s="398" t="n"/>
      <c r="L196" s="398" t="n"/>
      <c r="M196" s="398" t="n"/>
      <c r="N196" s="398" t="n"/>
      <c r="O196" s="398" t="n"/>
      <c r="Q196" s="398" t="inlineStr">
        <is>
          <t>jr:choice-name(${ls_main},'${ls_main}')</t>
        </is>
      </c>
      <c r="V196" s="332" t="inlineStr">
        <is>
          <t>yes</t>
        </is>
      </c>
      <c r="X196" s="149" t="n"/>
      <c r="Y196" s="342">
        <f>'[1]Additional information'!$D$19</f>
        <v/>
      </c>
      <c r="Z196" s="333">
        <f>IF(X196&lt;&gt;"",X196*Y196,"")</f>
        <v/>
      </c>
      <c r="AA196" s="338" t="n"/>
    </row>
    <row r="197" ht="16.05" customFormat="1" customHeight="1" s="332">
      <c r="A197" s="331" t="inlineStr">
        <is>
          <t>integer</t>
        </is>
      </c>
      <c r="B197" s="331" t="inlineStr">
        <is>
          <t>ls_num_lastyr</t>
        </is>
      </c>
      <c r="C197" s="389" t="inlineStr">
        <is>
          <t>6.2 كم ${lsmain} كان لديك في نفس الوقت من العام الماضي؟</t>
        </is>
      </c>
      <c r="D197" s="374" t="inlineStr">
        <is>
          <t>6.2 How many ${lsmain} did you have at the same time last year?</t>
        </is>
      </c>
      <c r="E197" s="334" t="n"/>
      <c r="F197" s="331" t="inlineStr">
        <is>
          <t>[INSTRUCTIONS: RECORD THE NUMBER OF ANIMALS. ENTER 888 FOR DON'T KNOW AND 999 FOR REFUSED.]</t>
        </is>
      </c>
      <c r="G197" s="331" t="inlineStr">
        <is>
          <t>[تعليمات: سجل عدد الحيوانات. أدخل 888 للا أعرف و 999 في حالة الرفض]</t>
        </is>
      </c>
      <c r="I197" s="398" t="inlineStr">
        <is>
          <t>true</t>
        </is>
      </c>
      <c r="J197" s="398" t="n"/>
      <c r="K197" s="398" t="inlineStr">
        <is>
          <t xml:space="preserve">. &gt;= 0 </t>
        </is>
      </c>
      <c r="L197" s="398" t="n"/>
      <c r="N197" s="398" t="inlineStr">
        <is>
          <t>${ls_main} != 'ref' and ${ls_main} != 'ref'</t>
        </is>
      </c>
      <c r="O197" s="398" t="n"/>
      <c r="Q197" s="398" t="n"/>
      <c r="V197" s="332" t="inlineStr">
        <is>
          <t>yes</t>
        </is>
      </c>
      <c r="X197" s="149" t="n">
        <v>18.53907775878906</v>
      </c>
      <c r="Y197" s="342">
        <f>'[1]Additional information'!$D$19</f>
        <v/>
      </c>
      <c r="Z197" s="333">
        <f>IF(X197&lt;&gt;"",X197*Y197,"")</f>
        <v/>
      </c>
      <c r="AA197" s="338" t="n"/>
    </row>
    <row r="198" ht="16.05" customFormat="1" customHeight="1" s="332">
      <c r="A198" s="331" t="inlineStr">
        <is>
          <t>integer</t>
        </is>
      </c>
      <c r="B198" s="331" t="inlineStr">
        <is>
          <t>ls_num_now</t>
        </is>
      </c>
      <c r="C198" s="389" t="inlineStr">
        <is>
          <t>6.3 كم ${lsmain} لديك الآن؟</t>
        </is>
      </c>
      <c r="D198" s="374" t="inlineStr">
        <is>
          <t>6.3 How many ${lsmain} do you have now?</t>
        </is>
      </c>
      <c r="E198" s="334" t="n"/>
      <c r="F198" s="331" t="inlineStr">
        <is>
          <t>[INSTRUCTIONS: RECORD THE NUMBER OF ANIMALS. ENTER 888 FOR DON'T KNOW AND 999 FOR REFUSED.]</t>
        </is>
      </c>
      <c r="G198" s="331" t="inlineStr">
        <is>
          <t>[تعليمات: سجل عدد الحيوانات. أدخل 888 للا أعرف و 999 في حالة الرفض]</t>
        </is>
      </c>
      <c r="I198" s="398" t="inlineStr">
        <is>
          <t>true</t>
        </is>
      </c>
      <c r="J198" s="398" t="n"/>
      <c r="K198" s="398" t="inlineStr">
        <is>
          <t xml:space="preserve">. &gt;= 0 </t>
        </is>
      </c>
      <c r="L198" s="398" t="n"/>
      <c r="N198" s="398" t="inlineStr">
        <is>
          <t>${ls_main} != 'ref' and ${ls_main} != 'dk'</t>
        </is>
      </c>
      <c r="O198" s="398" t="n"/>
      <c r="Q198" s="398" t="n"/>
      <c r="V198" s="332" t="inlineStr">
        <is>
          <t>yes</t>
        </is>
      </c>
      <c r="X198" s="149" t="n">
        <v>8.915891647338867</v>
      </c>
      <c r="Y198" s="342">
        <f>'[1]Additional information'!$D$19</f>
        <v/>
      </c>
      <c r="Z198" s="333">
        <f>IF(X198&lt;&gt;"",X198*Y198,"")</f>
        <v/>
      </c>
      <c r="AA198" s="338" t="n"/>
    </row>
    <row r="199" ht="16.05" customFormat="1" customHeight="1" s="332">
      <c r="A199" s="331" t="inlineStr">
        <is>
          <t>calculate</t>
        </is>
      </c>
      <c r="B199" s="331" t="inlineStr">
        <is>
          <t>ls_num_diff</t>
        </is>
      </c>
      <c r="C199" s="390" t="inlineStr">
        <is>
          <t xml:space="preserve">التغيير في ${lsmain}: </t>
        </is>
      </c>
      <c r="D199" s="374" t="inlineStr">
        <is>
          <t xml:space="preserve"> Change in ${lsmain}: </t>
        </is>
      </c>
      <c r="E199" s="334" t="n"/>
      <c r="F199" s="331" t="n"/>
      <c r="G199" s="331" t="n"/>
      <c r="I199" s="398" t="inlineStr">
        <is>
          <t>true</t>
        </is>
      </c>
      <c r="J199" s="398" t="n"/>
      <c r="K199" s="398" t="n"/>
      <c r="L199" s="398" t="n"/>
      <c r="N199" s="398" t="inlineStr">
        <is>
          <t>(${ls_main} != 'ref' and ${ls_main} != 'dk') and (${ls_num_lastyr} != '888' and ${ls_num_lastyr} != '999' and ${ls_num_now} != '888' and ${ls_num_now} != '999')</t>
        </is>
      </c>
      <c r="O199" s="398" t="n"/>
      <c r="Q199" s="398" t="inlineStr">
        <is>
          <t>${ls_num_now} - ${ls_num_lastyr}</t>
        </is>
      </c>
      <c r="V199" s="332" t="inlineStr">
        <is>
          <t>yes</t>
        </is>
      </c>
      <c r="X199" s="149" t="n"/>
      <c r="Y199" s="342">
        <f>'[1]Additional information'!$D$19</f>
        <v/>
      </c>
      <c r="Z199" s="333">
        <f>IF(X199&lt;&gt;"",X199*Y199,"")</f>
        <v/>
      </c>
      <c r="AA199" s="338" t="n"/>
    </row>
    <row r="200" ht="16.05" customFormat="1" customHeight="1" s="332">
      <c r="A200" s="331" t="inlineStr">
        <is>
          <t>select_multiple lsnum</t>
        </is>
      </c>
      <c r="B200" s="331" t="inlineStr">
        <is>
          <t>ls_num</t>
        </is>
      </c>
      <c r="C200" s="389" t="inlineStr">
        <is>
          <t>6.4 لماذا تغير عدد الماشية؟</t>
        </is>
      </c>
      <c r="D200" s="374" t="inlineStr">
        <is>
          <t>6.4 Why did the number of livestock change?</t>
        </is>
      </c>
      <c r="E200" s="334" t="n"/>
      <c r="F200" s="332" t="inlineStr">
        <is>
          <t>[INSTRUCTIONS: MULTIPLE RESPONSES POSSIBLE.]</t>
        </is>
      </c>
      <c r="G200" s="332" t="inlineStr">
        <is>
          <t>[تعليمات: احتمال وجود عدة استجابات]</t>
        </is>
      </c>
      <c r="I200" s="398" t="inlineStr">
        <is>
          <t>true</t>
        </is>
      </c>
      <c r="J200" s="398" t="inlineStr">
        <is>
          <t>minimal</t>
        </is>
      </c>
      <c r="K200" s="398" t="inlineStr">
        <is>
          <t>if(selected(., 'inc_dec_dk') or selected(., 'inc_dec_ref'), count-selected(.) = 1, count-selected(.) &gt;= 1)</t>
        </is>
      </c>
      <c r="L200" s="398" t="n"/>
      <c r="N200" s="395" t="inlineStr">
        <is>
          <t>${ls_num_diff} != 0 and ${ls_main} != 'dk' and ${ls_main} != 'ref'</t>
        </is>
      </c>
      <c r="O200" s="398" t="n"/>
      <c r="P200" s="398" t="n"/>
      <c r="V200" s="332" t="inlineStr">
        <is>
          <t>yes</t>
        </is>
      </c>
      <c r="X200" s="149" t="n">
        <v>25.81001091003418</v>
      </c>
      <c r="Y200" s="342">
        <f>'[1]Additional information'!$D$19</f>
        <v/>
      </c>
      <c r="Z200" s="333">
        <f>IF(X200&lt;&gt;"",X200*Y200,"")</f>
        <v/>
      </c>
      <c r="AA200" s="338" t="n"/>
    </row>
    <row r="201" ht="57" customHeight="1">
      <c r="A201" s="55" t="inlineStr">
        <is>
          <t>note</t>
        </is>
      </c>
      <c r="B201" s="55" t="inlineStr">
        <is>
          <t>ls_intro</t>
        </is>
      </c>
      <c r="C201" s="386" t="inlineStr">
        <is>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is>
      </c>
      <c r="D201" s="364" t="inlineStr">
        <is>
          <t xml:space="preserve">We will now ask you some questions about livestock production which apply to you and anyone in your household that is involved in livestock production or sales. </t>
        </is>
      </c>
      <c r="E201" s="59" t="n"/>
      <c r="F201" s="51" t="inlineStr">
        <is>
          <t>[INSTRUCTIONS: RECORD THE NUMBER OF ANIMALS. ENTER 888 FOR DON'T KNOW AND 999 FOR REFUSED.]</t>
        </is>
      </c>
      <c r="G201" s="51" t="inlineStr">
        <is>
          <t>[تعليمات: سجل عدد الحيوانات. أدخل 888 للا أعرف و 999 في حالة الرفض]</t>
        </is>
      </c>
      <c r="H201" s="60" t="n"/>
      <c r="I201" s="243" t="inlineStr">
        <is>
          <t>false</t>
        </is>
      </c>
      <c r="J201" s="243" t="n"/>
      <c r="K201" s="26" t="n"/>
      <c r="L201" s="243" t="n"/>
      <c r="M201" s="243" t="n"/>
      <c r="N201" s="26" t="n"/>
      <c r="O201" s="243" t="n"/>
      <c r="P201" s="243" t="n"/>
      <c r="Q201" s="243" t="n"/>
      <c r="V201" s="28" t="inlineStr">
        <is>
          <t>yes</t>
        </is>
      </c>
      <c r="X201" s="132" t="n">
        <v>7.5</v>
      </c>
      <c r="Y201" s="71">
        <f>'Additional information'!$C$15</f>
        <v/>
      </c>
      <c r="Z201" s="115">
        <f>IF(X201&lt;&gt;"",X201*Y201,"")</f>
        <v/>
      </c>
      <c r="AA201" s="115">
        <f>IF(AND(X201&lt;&gt;"",V201="yes"),X201*Y201,"")</f>
        <v/>
      </c>
    </row>
    <row r="202">
      <c r="A202" s="282" t="inlineStr">
        <is>
          <t>begin_group</t>
        </is>
      </c>
      <c r="B202" s="282" t="inlineStr">
        <is>
          <t>kept_animals</t>
        </is>
      </c>
      <c r="C202" s="375" t="inlineStr">
        <is>
          <t>:</t>
        </is>
      </c>
      <c r="D202" s="375" t="inlineStr">
        <is>
          <t>:</t>
        </is>
      </c>
      <c r="E202" s="59" t="n"/>
      <c r="F202" s="51" t="n"/>
      <c r="G202" s="51" t="n"/>
      <c r="H202" s="60" t="n"/>
      <c r="I202" s="243" t="n"/>
      <c r="J202" s="243" t="inlineStr">
        <is>
          <t>field-list</t>
        </is>
      </c>
      <c r="K202" s="26" t="n"/>
      <c r="L202" s="243" t="n"/>
      <c r="M202" s="243" t="n"/>
      <c r="N202" s="26" t="n"/>
      <c r="O202" s="243" t="n"/>
      <c r="P202" s="243" t="n"/>
      <c r="Q202" s="243" t="n"/>
      <c r="X202" s="132" t="n"/>
      <c r="Y202" s="71" t="n"/>
      <c r="Z202" s="115" t="n"/>
      <c r="AA202" s="115" t="n"/>
    </row>
    <row r="203" ht="16.05" customHeight="1">
      <c r="A203" s="55" t="inlineStr">
        <is>
          <t>note</t>
        </is>
      </c>
      <c r="B203" s="55" t="inlineStr">
        <is>
          <t>kept_animals_</t>
        </is>
      </c>
      <c r="C203" s="386" t="inlineStr">
        <is>
          <t xml:space="preserve"> يرجى تحديد أنواع وعدد الحيوانات التي تحتفظ بها في الوقت الحالي.</t>
        </is>
      </c>
      <c r="D203" s="364" t="inlineStr">
        <is>
          <t xml:space="preserve">Please list the types and the number of animals you keep at present. </t>
        </is>
      </c>
      <c r="F203" s="51" t="n"/>
      <c r="G203" s="51" t="n"/>
      <c r="I203" s="243" t="n"/>
      <c r="J203" s="243" t="n"/>
      <c r="K203" s="26" t="n"/>
      <c r="L203" s="243" t="n"/>
      <c r="M203" s="243" t="n"/>
      <c r="N203" s="26" t="n"/>
      <c r="O203" s="243" t="n"/>
      <c r="P203" s="243" t="n"/>
      <c r="Q203" s="243" t="n"/>
      <c r="X203" s="132" t="n"/>
      <c r="Y203" s="71" t="n"/>
      <c r="Z203" s="115" t="n"/>
      <c r="AA203" s="115" t="n"/>
    </row>
    <row r="204" ht="16.05" customHeight="1">
      <c r="A204" s="55" t="inlineStr">
        <is>
          <t>integer</t>
        </is>
      </c>
      <c r="B204" s="55" t="inlineStr">
        <is>
          <t xml:space="preserve">cattle </t>
        </is>
      </c>
      <c r="C204" s="362" t="inlineStr">
        <is>
          <t>6.5 الأبقار</t>
        </is>
      </c>
      <c r="D204" s="362" t="inlineStr">
        <is>
          <t>6.5 Cattle</t>
        </is>
      </c>
      <c r="E204" s="59" t="n"/>
      <c r="F204" s="51" t="n"/>
      <c r="G204" s="51" t="n"/>
      <c r="H204" s="60" t="n"/>
      <c r="I204" s="81" t="inlineStr">
        <is>
          <t>true</t>
        </is>
      </c>
      <c r="J204" s="243" t="n"/>
      <c r="K204" s="267" t="inlineStr">
        <is>
          <t>.&gt;=0</t>
        </is>
      </c>
      <c r="L204" s="81" t="n"/>
      <c r="M204" s="81" t="n"/>
      <c r="N204" s="267" t="n"/>
      <c r="O204" s="243" t="n"/>
      <c r="P204" s="243" t="n"/>
      <c r="Q204" s="243" t="n"/>
      <c r="X204" s="132" t="n"/>
      <c r="Y204" s="71" t="n"/>
      <c r="Z204" s="115" t="n"/>
      <c r="AA204" s="115" t="n"/>
    </row>
    <row r="205" ht="16.05" customHeight="1">
      <c r="A205" s="55" t="inlineStr">
        <is>
          <t>integer</t>
        </is>
      </c>
      <c r="B205" s="55" t="inlineStr">
        <is>
          <t>ruminants</t>
        </is>
      </c>
      <c r="C205" s="362" t="inlineStr">
        <is>
          <t>6.6 الأغنام و الماعز</t>
        </is>
      </c>
      <c r="D205" s="362" t="inlineStr">
        <is>
          <t>6.6 Small ruminants (e.g. sheep, goats)</t>
        </is>
      </c>
      <c r="E205" s="59" t="n"/>
      <c r="F205" s="51" t="n"/>
      <c r="G205" s="51" t="n"/>
      <c r="H205" s="60" t="n"/>
      <c r="I205" s="81" t="inlineStr">
        <is>
          <t>true</t>
        </is>
      </c>
      <c r="J205" s="243" t="n"/>
      <c r="K205" s="267" t="inlineStr">
        <is>
          <t>.&gt;=0</t>
        </is>
      </c>
      <c r="L205" s="81" t="n"/>
      <c r="M205" s="81" t="n"/>
      <c r="N205" s="267" t="n"/>
      <c r="O205" s="243" t="n"/>
      <c r="P205" s="243" t="n"/>
      <c r="Q205" s="243" t="n"/>
      <c r="X205" s="132" t="n"/>
      <c r="Y205" s="71" t="n"/>
      <c r="Z205" s="115" t="n"/>
      <c r="AA205" s="115" t="n"/>
    </row>
    <row r="206" ht="16.05" customHeight="1">
      <c r="A206" s="55" t="inlineStr">
        <is>
          <t>integer</t>
        </is>
      </c>
      <c r="B206" s="55" t="inlineStr">
        <is>
          <t>poultry</t>
        </is>
      </c>
      <c r="C206" s="362" t="inlineStr">
        <is>
          <t>6.7 الدواجن</t>
        </is>
      </c>
      <c r="D206" s="362" t="inlineStr">
        <is>
          <t>6.7 Poultry</t>
        </is>
      </c>
      <c r="E206" s="59" t="n"/>
      <c r="F206" s="51" t="n"/>
      <c r="G206" s="51" t="n"/>
      <c r="H206" s="60" t="n"/>
      <c r="I206" s="81" t="inlineStr">
        <is>
          <t>true</t>
        </is>
      </c>
      <c r="J206" s="243" t="n"/>
      <c r="K206" s="267" t="inlineStr">
        <is>
          <t>.&gt;=0</t>
        </is>
      </c>
      <c r="L206" s="81" t="n"/>
      <c r="M206" s="81" t="n"/>
      <c r="N206" s="267" t="n"/>
      <c r="O206" s="243" t="n"/>
      <c r="P206" s="243" t="n"/>
      <c r="Q206" s="243" t="n"/>
      <c r="X206" s="132" t="n"/>
      <c r="Y206" s="71" t="n"/>
      <c r="Z206" s="115" t="n"/>
      <c r="AA206" s="115" t="n"/>
    </row>
    <row r="207" ht="16.05" customHeight="1">
      <c r="A207" s="55" t="inlineStr">
        <is>
          <t>integer</t>
        </is>
      </c>
      <c r="B207" s="55" t="inlineStr">
        <is>
          <t>beehives</t>
        </is>
      </c>
      <c r="C207" s="362" t="inlineStr">
        <is>
          <t>6.8 المناحل</t>
        </is>
      </c>
      <c r="D207" s="362" t="inlineStr">
        <is>
          <t>6.8 Beehives</t>
        </is>
      </c>
      <c r="E207" s="59" t="n"/>
      <c r="F207" s="51" t="n"/>
      <c r="G207" s="51" t="n"/>
      <c r="H207" s="60" t="n"/>
      <c r="I207" s="81" t="inlineStr">
        <is>
          <t>true</t>
        </is>
      </c>
      <c r="J207" s="243" t="n"/>
      <c r="K207" s="267" t="inlineStr">
        <is>
          <t>.&gt;=0</t>
        </is>
      </c>
      <c r="L207" s="81" t="n"/>
      <c r="M207" s="81" t="n"/>
      <c r="N207" s="267" t="n"/>
      <c r="O207" s="243" t="n"/>
      <c r="P207" s="243" t="n"/>
      <c r="Q207" s="243" t="n"/>
      <c r="X207" s="132" t="n"/>
      <c r="Y207" s="71" t="n"/>
      <c r="Z207" s="115" t="n"/>
      <c r="AA207" s="115" t="n"/>
    </row>
    <row r="208" ht="16.05" customHeight="1">
      <c r="A208" s="55" t="inlineStr">
        <is>
          <t>integer</t>
        </is>
      </c>
      <c r="B208" s="55" t="inlineStr">
        <is>
          <t>otherls</t>
        </is>
      </c>
      <c r="C208" s="362" t="inlineStr">
        <is>
          <t>6.9 آخر</t>
        </is>
      </c>
      <c r="D208" s="362" t="inlineStr">
        <is>
          <t>6.9 Others</t>
        </is>
      </c>
      <c r="E208" s="59" t="n"/>
      <c r="F208" s="51" t="n"/>
      <c r="G208" s="51" t="n"/>
      <c r="H208" s="60" t="n"/>
      <c r="I208" s="81" t="inlineStr">
        <is>
          <t>true</t>
        </is>
      </c>
      <c r="J208" s="243" t="n"/>
      <c r="K208" s="267" t="inlineStr">
        <is>
          <t>.&gt;=0</t>
        </is>
      </c>
      <c r="L208" s="81" t="n"/>
      <c r="M208" s="81" t="n"/>
      <c r="N208" s="267" t="n"/>
      <c r="O208" s="243" t="n"/>
      <c r="P208" s="243" t="n"/>
      <c r="Q208" s="243" t="n"/>
      <c r="X208" s="132" t="n"/>
      <c r="Y208" s="71" t="n"/>
      <c r="Z208" s="115" t="n"/>
      <c r="AA208" s="115" t="n"/>
    </row>
    <row r="209" ht="31.95" customHeight="1">
      <c r="A209" s="55" t="inlineStr">
        <is>
          <t>text</t>
        </is>
      </c>
      <c r="B209" s="55" t="inlineStr">
        <is>
          <t>others_specify</t>
        </is>
      </c>
      <c r="C209" s="362" t="inlineStr">
        <is>
          <t>6.10 إذا كانت الإجابة "آخر"، حدد.</t>
        </is>
      </c>
      <c r="D209" s="362" t="inlineStr">
        <is>
          <t>6.10 please specify</t>
        </is>
      </c>
      <c r="E209" s="59" t="n"/>
      <c r="F209" s="55" t="inlineStr">
        <is>
          <t>[INSTRUCTIONS: RECORD THE OPEN RESPONSE GIVEN IN FEW WORDS. ENTER 888 FOR DON'T KNOW AND 999 FOR REFUSED]</t>
        </is>
      </c>
      <c r="G209" s="52" t="inlineStr">
        <is>
          <t>[تعليمات: سجل في بضع كلمات الاستجابة المفتوحة المعطاة . أدخل 888 للا أعرف و 999 في حالة الرفض]</t>
        </is>
      </c>
      <c r="H209" s="60" t="n"/>
      <c r="I209" s="81" t="inlineStr">
        <is>
          <t>true</t>
        </is>
      </c>
      <c r="J209" s="243" t="n"/>
      <c r="K209" s="325" t="inlineStr">
        <is>
          <t>string-length(.)&gt;=3</t>
        </is>
      </c>
      <c r="L209" s="306" t="inlineStr">
        <is>
          <t>عفوا، الرجاء تقديم نص و شرح اكثر وضوحا.</t>
        </is>
      </c>
      <c r="M209" s="306" t="inlineStr">
        <is>
          <t>Sorry, Please provide a much more meaningful text</t>
        </is>
      </c>
      <c r="N209" s="267" t="inlineStr">
        <is>
          <t>${otherls} &gt; 0</t>
        </is>
      </c>
      <c r="O209" s="243" t="n"/>
      <c r="P209" s="243" t="n"/>
      <c r="Q209" s="243" t="n"/>
      <c r="X209" s="132" t="n"/>
      <c r="Y209" s="71" t="n"/>
      <c r="Z209" s="115" t="n"/>
      <c r="AA209" s="115" t="n"/>
    </row>
    <row r="210" ht="16.05" customHeight="1" thickBot="1">
      <c r="A210" s="68" t="inlineStr">
        <is>
          <t>end_group</t>
        </is>
      </c>
      <c r="B210" s="55" t="n"/>
      <c r="C210" s="362" t="n"/>
      <c r="D210" s="362" t="n"/>
      <c r="E210" s="59" t="n"/>
      <c r="F210" s="55" t="n"/>
      <c r="G210" s="52" t="n"/>
      <c r="H210" s="60" t="n"/>
      <c r="I210" s="81" t="n"/>
      <c r="J210" s="243" t="n"/>
      <c r="K210" s="267" t="n"/>
      <c r="L210" s="81" t="n"/>
      <c r="M210" s="81" t="n"/>
      <c r="N210" s="267" t="n"/>
      <c r="O210" s="243" t="n"/>
      <c r="P210" s="243" t="n"/>
      <c r="Q210" s="243" t="n"/>
      <c r="X210" s="132" t="n"/>
      <c r="Y210" s="71" t="n"/>
      <c r="Z210" s="115" t="n"/>
      <c r="AA210" s="115" t="n"/>
    </row>
    <row r="211" ht="16.05" customHeight="1" thickTop="1">
      <c r="A211" s="282" t="inlineStr">
        <is>
          <t>begin_group</t>
        </is>
      </c>
      <c r="B211" s="282" t="inlineStr">
        <is>
          <t>animals_before</t>
        </is>
      </c>
      <c r="C211" s="375" t="inlineStr">
        <is>
          <t>:</t>
        </is>
      </c>
      <c r="D211" s="375" t="inlineStr">
        <is>
          <t>:</t>
        </is>
      </c>
      <c r="E211" s="59" t="n"/>
      <c r="F211" s="55" t="n"/>
      <c r="G211" s="52" t="n"/>
      <c r="H211" s="60" t="n"/>
      <c r="I211" s="81" t="n"/>
      <c r="J211" s="243" t="inlineStr">
        <is>
          <t>field-list</t>
        </is>
      </c>
      <c r="K211" s="267" t="n"/>
      <c r="L211" s="81" t="n"/>
      <c r="M211" s="81" t="n"/>
      <c r="N211" s="267" t="n"/>
      <c r="O211" s="243" t="n"/>
      <c r="P211" s="243" t="n"/>
      <c r="Q211" s="243" t="n"/>
      <c r="X211" s="132" t="n"/>
      <c r="Y211" s="71" t="n"/>
      <c r="Z211" s="115" t="n"/>
      <c r="AA211" s="115" t="n"/>
    </row>
    <row r="212" ht="16.05" customHeight="1">
      <c r="A212" s="55" t="inlineStr">
        <is>
          <t>note</t>
        </is>
      </c>
      <c r="B212" s="55" t="inlineStr">
        <is>
          <t>animals_before_</t>
        </is>
      </c>
      <c r="C212" s="386" t="inlineStr">
        <is>
          <t>يرجى تحديد أنواع وعدد الحيوانات التي احتفظت بها قبل وقوع الزلزال.</t>
        </is>
      </c>
      <c r="D212" s="364" t="inlineStr">
        <is>
          <t>Please list the types and the number of animals you kept before the earthquake:</t>
        </is>
      </c>
      <c r="E212" s="59" t="n"/>
      <c r="F212" s="51" t="n"/>
      <c r="G212" s="51" t="n"/>
      <c r="H212" s="60" t="n"/>
      <c r="I212" s="81" t="inlineStr">
        <is>
          <t>false</t>
        </is>
      </c>
      <c r="J212" s="243" t="n"/>
      <c r="K212" s="267" t="n"/>
      <c r="L212" s="81" t="n"/>
      <c r="M212" s="81" t="n"/>
      <c r="N212" s="267" t="n"/>
      <c r="O212" s="243" t="n"/>
      <c r="P212" s="243" t="n"/>
      <c r="Q212" s="243" t="n"/>
      <c r="X212" s="132" t="n"/>
      <c r="Y212" s="71" t="n"/>
      <c r="Z212" s="115" t="n"/>
      <c r="AA212" s="115" t="n"/>
    </row>
    <row r="213" ht="16.05" customHeight="1">
      <c r="A213" s="55" t="inlineStr">
        <is>
          <t>integer</t>
        </is>
      </c>
      <c r="B213" s="55" t="inlineStr">
        <is>
          <t xml:space="preserve">cattle_before </t>
        </is>
      </c>
      <c r="C213" s="362" t="inlineStr">
        <is>
          <t>6.11 الأبقار</t>
        </is>
      </c>
      <c r="D213" s="362" t="inlineStr">
        <is>
          <t>6.11 Cattle</t>
        </is>
      </c>
      <c r="E213" s="59" t="n"/>
      <c r="F213" s="51" t="n"/>
      <c r="G213" s="51" t="n"/>
      <c r="H213" s="60" t="n"/>
      <c r="I213" s="81" t="inlineStr">
        <is>
          <t>true</t>
        </is>
      </c>
      <c r="J213" s="243" t="n"/>
      <c r="K213" s="267" t="inlineStr">
        <is>
          <t>.&gt;=0</t>
        </is>
      </c>
      <c r="L213" s="81" t="n"/>
      <c r="M213" s="81" t="n"/>
      <c r="N213" s="267" t="n"/>
      <c r="O213" s="243" t="n"/>
      <c r="P213" s="243" t="n"/>
      <c r="Q213" s="243" t="n"/>
      <c r="X213" s="132" t="n"/>
      <c r="Y213" s="71" t="n"/>
      <c r="Z213" s="115" t="n"/>
      <c r="AA213" s="115" t="n"/>
    </row>
    <row r="214" ht="16.05" customHeight="1">
      <c r="A214" s="55" t="inlineStr">
        <is>
          <t>select_multiple lsnum</t>
        </is>
      </c>
      <c r="B214" s="55" t="inlineStr">
        <is>
          <t>ls_num</t>
        </is>
      </c>
      <c r="C214" s="362" t="inlineStr">
        <is>
          <t>6.12 ما هو سبب هذا التغيير منذ ذلك الحين؟</t>
        </is>
      </c>
      <c r="D214" s="362" t="inlineStr">
        <is>
          <t>6.12 What is the reason for this change since then?</t>
        </is>
      </c>
      <c r="E214" s="59" t="n"/>
      <c r="F214" s="28" t="inlineStr">
        <is>
          <t>[INSTRUCTIONS: MULTIPLE RESPONSES POSSIBLE. SELECT OPTION(S) THAT BEST FIT THE INFORMATION PROVIDED BY THE RESPONDENTS.]</t>
        </is>
      </c>
      <c r="G214" s="28" t="inlineStr">
        <is>
          <t>[تعليمات: عدة استجابات محتملة. حدد الخيار (الخيارات) الأنسب للمعلومات المقدمة من المجيب]</t>
        </is>
      </c>
      <c r="H214" s="60" t="n"/>
      <c r="I214" s="81" t="inlineStr">
        <is>
          <t>true</t>
        </is>
      </c>
      <c r="J214" s="243" t="inlineStr">
        <is>
          <t>minimal</t>
        </is>
      </c>
      <c r="K214" s="267" t="n"/>
      <c r="L214" s="81" t="n"/>
      <c r="M214" s="81" t="n"/>
      <c r="N214" s="308" t="inlineStr">
        <is>
          <t>${cattle} != ${cattle_before}</t>
        </is>
      </c>
      <c r="O214" s="243" t="n"/>
      <c r="P214" s="243" t="n"/>
      <c r="Q214" s="243" t="n"/>
      <c r="X214" s="132" t="n"/>
      <c r="Y214" s="71" t="n"/>
      <c r="Z214" s="115" t="n"/>
      <c r="AA214" s="115" t="n"/>
    </row>
    <row r="215" ht="16.05" customHeight="1">
      <c r="A215" s="55" t="inlineStr">
        <is>
          <t>integer</t>
        </is>
      </c>
      <c r="B215" s="55" t="inlineStr">
        <is>
          <t>ruminants_before</t>
        </is>
      </c>
      <c r="C215" s="362" t="inlineStr">
        <is>
          <t>6.13 الأغنام و الماعز</t>
        </is>
      </c>
      <c r="D215" s="362" t="inlineStr">
        <is>
          <t>6.13 Small ruminants (e.g. sheep, goats)</t>
        </is>
      </c>
      <c r="E215" s="59" t="n"/>
      <c r="F215" s="51" t="n"/>
      <c r="G215" s="51" t="n"/>
      <c r="H215" s="60" t="n"/>
      <c r="I215" s="81" t="inlineStr">
        <is>
          <t>true</t>
        </is>
      </c>
      <c r="J215" s="243" t="n"/>
      <c r="K215" s="267" t="inlineStr">
        <is>
          <t>.&gt;=0</t>
        </is>
      </c>
      <c r="L215" s="81" t="n"/>
      <c r="M215" s="81" t="n"/>
      <c r="N215" s="308" t="n"/>
      <c r="O215" s="243" t="n"/>
      <c r="P215" s="243" t="n"/>
      <c r="Q215" s="243" t="n"/>
      <c r="X215" s="132" t="n"/>
      <c r="Y215" s="71" t="n"/>
      <c r="Z215" s="115" t="n"/>
      <c r="AA215" s="115" t="n"/>
    </row>
    <row r="216" ht="16.05" customHeight="1">
      <c r="A216" s="55" t="inlineStr">
        <is>
          <t>select_multiple lsnum</t>
        </is>
      </c>
      <c r="B216" s="55" t="inlineStr">
        <is>
          <t>ruminants_changereason</t>
        </is>
      </c>
      <c r="C216" s="362" t="inlineStr">
        <is>
          <t>6.14 ما هو سبب هذا التغيير منذ ذلك الحين؟</t>
        </is>
      </c>
      <c r="D216" s="362" t="inlineStr">
        <is>
          <t>6.14 What is the reason for this change since then?</t>
        </is>
      </c>
      <c r="E216" s="59" t="n"/>
      <c r="F216" s="28" t="inlineStr">
        <is>
          <t>[INSTRUCTIONS: MULTIPLE RESPONSES POSSIBLE. SELECT OPTION(S) THAT BEST FIT THE INFORMATION PROVIDED BY THE RESPONDENTS.]</t>
        </is>
      </c>
      <c r="G216" s="28" t="inlineStr">
        <is>
          <t>[تعليمات: عدة استجابات محتملة. حدد الخيار (الخيارات) الأنسب للمعلومات المقدمة من المجيب]</t>
        </is>
      </c>
      <c r="H216" s="60" t="n"/>
      <c r="I216" s="81" t="inlineStr">
        <is>
          <t>true</t>
        </is>
      </c>
      <c r="J216" s="243" t="inlineStr">
        <is>
          <t>minimal</t>
        </is>
      </c>
      <c r="K216" s="267" t="n"/>
      <c r="L216" s="81" t="n"/>
      <c r="M216" s="81" t="n"/>
      <c r="N216" s="308" t="inlineStr">
        <is>
          <t>${ruminants} != ${ruminants_before}</t>
        </is>
      </c>
      <c r="O216" s="243" t="n"/>
      <c r="P216" s="243" t="n"/>
      <c r="Q216" s="243" t="n"/>
      <c r="X216" s="132" t="n"/>
      <c r="Y216" s="71" t="n"/>
      <c r="Z216" s="115" t="n"/>
      <c r="AA216" s="115" t="n"/>
    </row>
    <row r="217" ht="16.05" customHeight="1">
      <c r="A217" s="55" t="inlineStr">
        <is>
          <t>integer</t>
        </is>
      </c>
      <c r="B217" s="55" t="inlineStr">
        <is>
          <t>poultry_before</t>
        </is>
      </c>
      <c r="C217" s="362" t="inlineStr">
        <is>
          <t>6.15 الدواجن</t>
        </is>
      </c>
      <c r="D217" s="362" t="inlineStr">
        <is>
          <t>6.15 Poultry</t>
        </is>
      </c>
      <c r="E217" s="59" t="n"/>
      <c r="F217" s="51" t="n"/>
      <c r="G217" s="51" t="n"/>
      <c r="H217" s="60" t="n"/>
      <c r="I217" s="81" t="inlineStr">
        <is>
          <t>true</t>
        </is>
      </c>
      <c r="J217" s="243" t="n"/>
      <c r="K217" s="267" t="inlineStr">
        <is>
          <t>.&gt;=0</t>
        </is>
      </c>
      <c r="L217" s="81" t="n"/>
      <c r="M217" s="81" t="n"/>
      <c r="N217" s="308" t="n"/>
      <c r="O217" s="243" t="n"/>
      <c r="P217" s="243" t="n"/>
      <c r="Q217" s="243" t="n"/>
      <c r="X217" s="132" t="n"/>
      <c r="Y217" s="71" t="n"/>
      <c r="Z217" s="115" t="n"/>
      <c r="AA217" s="115" t="n"/>
    </row>
    <row r="218" ht="16.05" customHeight="1">
      <c r="A218" s="55" t="inlineStr">
        <is>
          <t>select_multiple lsnum</t>
        </is>
      </c>
      <c r="B218" s="55" t="inlineStr">
        <is>
          <t>poultry_changereason</t>
        </is>
      </c>
      <c r="C218" s="362" t="inlineStr">
        <is>
          <t>6.16 ما هو سبب هذا التغيير منذ ذلك الحين؟</t>
        </is>
      </c>
      <c r="D218" s="362" t="inlineStr">
        <is>
          <t>6.16 What is the reason for this change since then?</t>
        </is>
      </c>
      <c r="E218" s="59" t="n"/>
      <c r="F218" s="28" t="inlineStr">
        <is>
          <t>[INSTRUCTIONS: MULTIPLE RESPONSES POSSIBLE. SELECT OPTION(S) THAT BEST FIT THE INFORMATION PROVIDED BY THE RESPONDENTS.]</t>
        </is>
      </c>
      <c r="G218" s="28" t="inlineStr">
        <is>
          <t>[تعليمات: عدة استجابات محتملة. حدد الخيار (الخيارات) الأنسب للمعلومات المقدمة من المجيب]</t>
        </is>
      </c>
      <c r="H218" s="60" t="n"/>
      <c r="I218" s="81" t="inlineStr">
        <is>
          <t>true</t>
        </is>
      </c>
      <c r="J218" s="243" t="inlineStr">
        <is>
          <t>minimal</t>
        </is>
      </c>
      <c r="K218" s="267" t="n"/>
      <c r="L218" s="81" t="n"/>
      <c r="M218" s="81" t="n"/>
      <c r="N218" s="308" t="inlineStr">
        <is>
          <t>${poultry} != ${poultry_before}</t>
        </is>
      </c>
      <c r="O218" s="243" t="n"/>
      <c r="P218" s="243" t="n"/>
      <c r="Q218" s="243" t="n"/>
      <c r="X218" s="132" t="n"/>
      <c r="Y218" s="71" t="n"/>
      <c r="Z218" s="115" t="n"/>
      <c r="AA218" s="115" t="n"/>
    </row>
    <row r="219" ht="16.05" customHeight="1">
      <c r="A219" s="55" t="inlineStr">
        <is>
          <t>integer</t>
        </is>
      </c>
      <c r="B219" s="55" t="inlineStr">
        <is>
          <t>beehives_before</t>
        </is>
      </c>
      <c r="C219" s="362" t="inlineStr">
        <is>
          <t>6.17 المناحل</t>
        </is>
      </c>
      <c r="D219" s="362" t="inlineStr">
        <is>
          <t>6.17 Beehives</t>
        </is>
      </c>
      <c r="E219" s="59" t="n"/>
      <c r="F219" s="51" t="n"/>
      <c r="G219" s="51" t="n"/>
      <c r="H219" s="60" t="n"/>
      <c r="I219" s="81" t="inlineStr">
        <is>
          <t>true</t>
        </is>
      </c>
      <c r="J219" s="243" t="n"/>
      <c r="K219" s="267" t="inlineStr">
        <is>
          <t>.&gt;=0</t>
        </is>
      </c>
      <c r="L219" s="81" t="n"/>
      <c r="M219" s="81" t="n"/>
      <c r="N219" s="308" t="n"/>
      <c r="O219" s="243" t="n"/>
      <c r="P219" s="243" t="n"/>
      <c r="Q219" s="243" t="n"/>
      <c r="X219" s="132" t="n"/>
      <c r="Y219" s="71" t="n"/>
      <c r="Z219" s="115" t="n"/>
      <c r="AA219" s="115" t="n"/>
    </row>
    <row r="220" ht="16.05" customHeight="1">
      <c r="A220" s="55" t="inlineStr">
        <is>
          <t>select_multiple lsnum</t>
        </is>
      </c>
      <c r="B220" s="55" t="inlineStr">
        <is>
          <t>beehives_changereason</t>
        </is>
      </c>
      <c r="C220" s="362" t="inlineStr">
        <is>
          <t>6.18 ما هو سبب هذا التغيير منذ ذلك الحين؟</t>
        </is>
      </c>
      <c r="D220" s="362" t="inlineStr">
        <is>
          <t>6.18 What is the reason for this change since then?</t>
        </is>
      </c>
      <c r="E220" s="59" t="n"/>
      <c r="F220" s="28" t="inlineStr">
        <is>
          <t>[INSTRUCTIONS: MULTIPLE RESPONSES POSSIBLE. SELECT OPTION(S) THAT BEST FIT THE INFORMATION PROVIDED BY THE RESPONDENTS.]</t>
        </is>
      </c>
      <c r="G220" s="28" t="inlineStr">
        <is>
          <t>[تعليمات: عدة استجابات محتملة. حدد الخيار (الخيارات) الأنسب للمعلومات المقدمة من المجيب]</t>
        </is>
      </c>
      <c r="H220" s="60" t="n"/>
      <c r="I220" s="81" t="inlineStr">
        <is>
          <t>true</t>
        </is>
      </c>
      <c r="J220" s="243" t="inlineStr">
        <is>
          <t>minimal</t>
        </is>
      </c>
      <c r="K220" s="267" t="n"/>
      <c r="L220" s="81" t="n"/>
      <c r="M220" s="81" t="n"/>
      <c r="N220" s="308" t="inlineStr">
        <is>
          <t>${beehives} != ${beehives_before}</t>
        </is>
      </c>
      <c r="O220" s="243" t="n"/>
      <c r="P220" s="243" t="n"/>
      <c r="Q220" s="243" t="n"/>
      <c r="X220" s="132" t="n"/>
      <c r="Y220" s="71" t="n"/>
      <c r="Z220" s="115" t="n"/>
      <c r="AA220" s="115" t="n"/>
    </row>
    <row r="221" ht="16.05" customHeight="1">
      <c r="A221" s="55" t="inlineStr">
        <is>
          <t>integer</t>
        </is>
      </c>
      <c r="B221" s="55" t="inlineStr">
        <is>
          <t>otherls_before</t>
        </is>
      </c>
      <c r="C221" s="362" t="inlineStr">
        <is>
          <t>6.19 آخر</t>
        </is>
      </c>
      <c r="D221" s="362" t="inlineStr">
        <is>
          <t>6.19 Others</t>
        </is>
      </c>
      <c r="E221" s="59" t="n"/>
      <c r="F221" s="51" t="n"/>
      <c r="G221" s="51" t="n"/>
      <c r="H221" s="60" t="n"/>
      <c r="I221" s="81" t="inlineStr">
        <is>
          <t>true</t>
        </is>
      </c>
      <c r="J221" s="243" t="n"/>
      <c r="K221" s="267" t="inlineStr">
        <is>
          <t>.&gt;=0</t>
        </is>
      </c>
      <c r="L221" s="81" t="n"/>
      <c r="M221" s="81" t="n"/>
      <c r="N221" s="308" t="n"/>
      <c r="O221" s="243" t="n"/>
      <c r="P221" s="243" t="n"/>
      <c r="Q221" s="243" t="n"/>
      <c r="X221" s="132" t="n"/>
      <c r="Y221" s="71" t="n"/>
      <c r="Z221" s="115" t="n"/>
      <c r="AA221" s="115" t="n"/>
    </row>
    <row r="222" ht="16.05" customHeight="1">
      <c r="A222" s="55" t="inlineStr">
        <is>
          <t>select_multiple lsnum</t>
        </is>
      </c>
      <c r="B222" s="55" t="inlineStr">
        <is>
          <t>otherls_changereason</t>
        </is>
      </c>
      <c r="C222" s="362" t="inlineStr">
        <is>
          <t>6.20 ما هو سبب هذا التغيير منذ ذلك الحين؟</t>
        </is>
      </c>
      <c r="D222" s="362" t="inlineStr">
        <is>
          <t>6.20 What is the reason for this change since then?</t>
        </is>
      </c>
      <c r="E222" s="59" t="n"/>
      <c r="F222" s="28" t="inlineStr">
        <is>
          <t>[INSTRUCTIONS: MULTIPLE RESPONSES POSSIBLE. SELECT OPTION(S) THAT BEST FIT THE INFORMATION PROVIDED BY THE RESPONDENTS.]</t>
        </is>
      </c>
      <c r="G222" s="28" t="inlineStr">
        <is>
          <t>[تعليمات: عدة استجابات محتملة. حدد الخيار (الخيارات) الأنسب للمعلومات المقدمة من المجيب]</t>
        </is>
      </c>
      <c r="H222" s="60" t="n"/>
      <c r="I222" s="81" t="inlineStr">
        <is>
          <t>true</t>
        </is>
      </c>
      <c r="J222" s="243" t="inlineStr">
        <is>
          <t>minimal</t>
        </is>
      </c>
      <c r="K222" s="267" t="n"/>
      <c r="L222" s="81" t="n"/>
      <c r="M222" s="81" t="n"/>
      <c r="N222" s="308" t="inlineStr">
        <is>
          <t>${otherls} != ${otherls_before}</t>
        </is>
      </c>
      <c r="O222" s="243" t="n"/>
      <c r="P222" s="243" t="n"/>
      <c r="Q222" s="243" t="n"/>
      <c r="X222" s="132" t="n"/>
      <c r="Y222" s="71" t="n"/>
      <c r="Z222" s="115" t="n"/>
      <c r="AA222" s="115" t="n"/>
    </row>
    <row r="223" ht="16.05" customHeight="1" thickBot="1">
      <c r="A223" s="68" t="inlineStr">
        <is>
          <t>end_group</t>
        </is>
      </c>
      <c r="B223" s="55" t="n"/>
      <c r="C223" s="362" t="n"/>
      <c r="D223" s="362" t="n"/>
      <c r="E223" s="59" t="n"/>
      <c r="H223" s="60" t="n"/>
      <c r="I223" s="81" t="n"/>
      <c r="J223" s="243" t="n"/>
      <c r="K223" s="267" t="n"/>
      <c r="L223" s="81" t="n"/>
      <c r="M223" s="81" t="n"/>
      <c r="N223" s="267" t="n"/>
      <c r="O223" s="243" t="n"/>
      <c r="P223" s="243" t="n"/>
      <c r="Q223" s="243" t="n"/>
      <c r="X223" s="132" t="n"/>
      <c r="Y223" s="71" t="n"/>
      <c r="Z223" s="115" t="n"/>
      <c r="AA223" s="115" t="n"/>
    </row>
    <row r="224" ht="16.95" customHeight="1" thickTop="1">
      <c r="A224" s="55" t="inlineStr">
        <is>
          <t>select_one yes_no</t>
        </is>
      </c>
      <c r="B224" s="55" t="inlineStr">
        <is>
          <t>AnimalLoss_YN</t>
        </is>
      </c>
      <c r="C224" s="362" t="inlineStr">
        <is>
          <t>6.21 هل فقدت أي حيوانات بسبب الزلزال (بسبب موتها أو قتلها أو سرقتها أو هروبها)؟</t>
        </is>
      </c>
      <c r="D224" s="362" t="inlineStr">
        <is>
          <t xml:space="preserve">6.21 Have you lost any animal because of the earthquake (on account of animals dying, being killed, stolen or run away)? </t>
        </is>
      </c>
      <c r="E224" s="59" t="n"/>
      <c r="F224" s="51" t="n"/>
      <c r="G224" s="51" t="n"/>
      <c r="H224" s="60" t="n"/>
      <c r="I224" s="81" t="inlineStr">
        <is>
          <t>true</t>
        </is>
      </c>
      <c r="J224" s="243" t="n"/>
      <c r="K224" s="267" t="n"/>
      <c r="L224" s="81" t="n"/>
      <c r="M224" s="81" t="n"/>
      <c r="N224" s="267" t="n"/>
      <c r="O224" s="243" t="n"/>
      <c r="P224" s="243" t="n"/>
      <c r="Q224" s="243" t="n"/>
      <c r="X224" s="132" t="n"/>
      <c r="Y224" s="71" t="n"/>
      <c r="Z224" s="115" t="n"/>
      <c r="AA224" s="115" t="n"/>
    </row>
    <row r="225" ht="31.95" customHeight="1">
      <c r="A225" s="55" t="inlineStr">
        <is>
          <t>integer</t>
        </is>
      </c>
      <c r="B225" s="55" t="inlineStr">
        <is>
          <t xml:space="preserve">cattle_loss </t>
        </is>
      </c>
      <c r="C225" s="362" t="inlineStr">
        <is>
          <t>6.22 يرجى تحديد عدد الأبقار المفقودة</t>
        </is>
      </c>
      <c r="D225" s="362" t="inlineStr">
        <is>
          <t>6.22 Please indicate the number of cattle lost</t>
        </is>
      </c>
      <c r="E225" s="59" t="n"/>
      <c r="F225" s="51" t="n"/>
      <c r="G225" s="51" t="n"/>
      <c r="H225" s="60" t="n"/>
      <c r="I225" s="81" t="inlineStr">
        <is>
          <t>true</t>
        </is>
      </c>
      <c r="J225" s="243" t="n"/>
      <c r="K225" s="308" t="inlineStr">
        <is>
          <t xml:space="preserve"> .&gt;=0 and .&lt;= ${cattle_before}</t>
        </is>
      </c>
      <c r="L225" s="81" t="n"/>
      <c r="M225" s="81" t="n"/>
      <c r="N225" s="267" t="inlineStr">
        <is>
          <t>${AnimalLoss_YN} = '1' and ${cattle_before} &gt; 0</t>
        </is>
      </c>
      <c r="O225" s="243" t="n"/>
      <c r="P225" s="243" t="n"/>
      <c r="Q225" s="243" t="n"/>
      <c r="X225" s="132" t="n"/>
      <c r="Y225" s="71" t="n"/>
      <c r="Z225" s="115" t="n"/>
      <c r="AA225" s="115" t="n"/>
    </row>
    <row r="226" ht="48" customHeight="1">
      <c r="A226" s="55" t="inlineStr">
        <is>
          <t>integer</t>
        </is>
      </c>
      <c r="B226" s="55" t="inlineStr">
        <is>
          <t>ruminants_loss</t>
        </is>
      </c>
      <c r="C226" s="362" t="inlineStr">
        <is>
          <t>6.23 يرجى تحديد عدد الأغنام و الماعز المفقودة</t>
        </is>
      </c>
      <c r="D226" s="362" t="inlineStr">
        <is>
          <t>6.23 Please indicate the number of ruminants lost</t>
        </is>
      </c>
      <c r="E226" s="59" t="n"/>
      <c r="F226" s="51" t="n"/>
      <c r="G226" s="51" t="n"/>
      <c r="H226" s="60" t="n"/>
      <c r="I226" s="81" t="inlineStr">
        <is>
          <t>true</t>
        </is>
      </c>
      <c r="J226" s="243" t="n"/>
      <c r="K226" s="308" t="inlineStr">
        <is>
          <t xml:space="preserve"> .&gt;=0 and .&lt;= ${ruminants_before}</t>
        </is>
      </c>
      <c r="L226" s="81" t="n"/>
      <c r="M226" s="81" t="n"/>
      <c r="N226" s="267" t="inlineStr">
        <is>
          <t>${AnimalLoss_YN} = '1' and ${ruminants_before} &gt; 0</t>
        </is>
      </c>
      <c r="O226" s="243" t="n"/>
      <c r="P226" s="243" t="n"/>
      <c r="Q226" s="243" t="n"/>
      <c r="X226" s="132" t="n"/>
      <c r="Y226" s="71" t="n"/>
      <c r="Z226" s="115" t="n"/>
      <c r="AA226" s="115" t="n"/>
    </row>
    <row r="227" ht="48" customHeight="1">
      <c r="A227" s="55" t="inlineStr">
        <is>
          <t>integer</t>
        </is>
      </c>
      <c r="B227" s="55" t="inlineStr">
        <is>
          <t>Poultry_loss</t>
        </is>
      </c>
      <c r="C227" s="362" t="inlineStr">
        <is>
          <t>6.24 يرجى تحديد عدد الدواجن المفقودة</t>
        </is>
      </c>
      <c r="D227" s="362" t="inlineStr">
        <is>
          <t>6.24 Please indicate the number of poultry lost</t>
        </is>
      </c>
      <c r="E227" s="59" t="n"/>
      <c r="F227" s="51" t="n"/>
      <c r="G227" s="51" t="n"/>
      <c r="H227" s="60" t="n"/>
      <c r="I227" s="81" t="inlineStr">
        <is>
          <t>true</t>
        </is>
      </c>
      <c r="J227" s="243" t="n"/>
      <c r="K227" s="308" t="inlineStr">
        <is>
          <t xml:space="preserve"> .&gt;=0 and .&lt;= ${poultry_before}</t>
        </is>
      </c>
      <c r="L227" s="81" t="n"/>
      <c r="M227" s="81" t="n"/>
      <c r="N227" s="267" t="inlineStr">
        <is>
          <t>${AnimalLoss_YN} = '1' and ${poultry_before} &gt; 0</t>
        </is>
      </c>
      <c r="O227" s="243" t="n"/>
      <c r="P227" s="243" t="n"/>
      <c r="Q227" s="243" t="n"/>
      <c r="X227" s="132" t="n"/>
      <c r="Y227" s="71" t="n"/>
      <c r="Z227" s="115" t="n"/>
      <c r="AA227" s="115" t="n"/>
    </row>
    <row r="228" ht="48" customHeight="1">
      <c r="A228" s="55" t="inlineStr">
        <is>
          <t>integer</t>
        </is>
      </c>
      <c r="B228" s="55" t="inlineStr">
        <is>
          <t>Beehives_loss</t>
        </is>
      </c>
      <c r="C228" s="362" t="inlineStr">
        <is>
          <t>6.25 يرجى تحديد عدد المناحل المفقودة</t>
        </is>
      </c>
      <c r="D228" s="362" t="inlineStr">
        <is>
          <t>6.25 Please indicate the number of beehives lost</t>
        </is>
      </c>
      <c r="E228" s="59" t="n"/>
      <c r="F228" s="51" t="n"/>
      <c r="G228" s="51" t="n"/>
      <c r="H228" s="60" t="n"/>
      <c r="I228" s="81" t="inlineStr">
        <is>
          <t>true</t>
        </is>
      </c>
      <c r="J228" s="243" t="n"/>
      <c r="K228" s="308" t="inlineStr">
        <is>
          <t xml:space="preserve"> .&gt;=0 and .&lt;= ${beehives_before}</t>
        </is>
      </c>
      <c r="L228" s="81" t="n"/>
      <c r="M228" s="81" t="n"/>
      <c r="N228" s="267" t="inlineStr">
        <is>
          <t>${AnimalLoss_YN} = '1' and ${beehives_before} &gt; 0</t>
        </is>
      </c>
      <c r="O228" s="243" t="n"/>
      <c r="P228" s="243" t="n"/>
      <c r="Q228" s="243" t="n"/>
      <c r="X228" s="132" t="n"/>
      <c r="Y228" s="71" t="n"/>
      <c r="Z228" s="115" t="n"/>
      <c r="AA228" s="115" t="n"/>
    </row>
    <row r="229" ht="48" customHeight="1">
      <c r="A229" s="55" t="inlineStr">
        <is>
          <t>integer</t>
        </is>
      </c>
      <c r="B229" s="55" t="inlineStr">
        <is>
          <t>Others_loss</t>
        </is>
      </c>
      <c r="C229" s="362" t="inlineStr">
        <is>
          <t>6.26 يرجى تحديد عدد الحيوانات الأخرى المفقودة</t>
        </is>
      </c>
      <c r="D229" s="362" t="inlineStr">
        <is>
          <t>6.26 Please indicate the number of other animals lost</t>
        </is>
      </c>
      <c r="E229" s="59" t="n"/>
      <c r="F229" s="51" t="n"/>
      <c r="G229" s="51" t="n"/>
      <c r="H229" s="60" t="n"/>
      <c r="I229" s="81" t="inlineStr">
        <is>
          <t>true</t>
        </is>
      </c>
      <c r="J229" s="243" t="n"/>
      <c r="K229" s="308" t="inlineStr">
        <is>
          <t xml:space="preserve"> .&gt;=0 and .&lt;= ${otherls_before}</t>
        </is>
      </c>
      <c r="L229" s="81" t="n"/>
      <c r="M229" s="81" t="n"/>
      <c r="N229" s="267" t="inlineStr">
        <is>
          <t>${AnimalLoss_YN} = '1' and ${otherls_before} &gt; 0</t>
        </is>
      </c>
      <c r="O229" s="243" t="n"/>
      <c r="P229" s="243" t="n"/>
      <c r="Q229" s="243" t="n"/>
      <c r="X229" s="132" t="n"/>
      <c r="Y229" s="71" t="n"/>
      <c r="Z229" s="115" t="n"/>
      <c r="AA229" s="115" t="n"/>
    </row>
    <row r="230" ht="16.05" customHeight="1">
      <c r="A230" s="55" t="inlineStr">
        <is>
          <t>select_one yes_no</t>
        </is>
      </c>
      <c r="B230" s="55" t="inlineStr">
        <is>
          <t>Animalsinjured_YN</t>
        </is>
      </c>
      <c r="C230" s="362" t="inlineStr">
        <is>
          <t>6.27 هل أصيبت أي حيوانات بسبب الزلزال؟</t>
        </is>
      </c>
      <c r="D230" s="362" t="inlineStr">
        <is>
          <t xml:space="preserve">6.27 Has any animal been injured because of the earthquake? </t>
        </is>
      </c>
      <c r="E230" s="59" t="n"/>
      <c r="F230" s="51" t="n"/>
      <c r="G230" s="51" t="n"/>
      <c r="H230" s="60" t="n"/>
      <c r="I230" s="81" t="inlineStr">
        <is>
          <t>true</t>
        </is>
      </c>
      <c r="J230" s="243" t="n"/>
      <c r="K230" s="327" t="n"/>
      <c r="L230" s="81" t="n"/>
      <c r="M230" s="81" t="n"/>
      <c r="N230" s="267" t="n"/>
      <c r="O230" s="243" t="n"/>
      <c r="P230" s="243" t="n"/>
      <c r="Q230" s="243" t="n"/>
      <c r="X230" s="132" t="n"/>
      <c r="Y230" s="71" t="n"/>
      <c r="Z230" s="115" t="n"/>
      <c r="AA230" s="115" t="n"/>
    </row>
    <row r="231" ht="31.95" customHeight="1">
      <c r="A231" s="55" t="inlineStr">
        <is>
          <t>integer</t>
        </is>
      </c>
      <c r="B231" s="55" t="inlineStr">
        <is>
          <t>cattle_injured</t>
        </is>
      </c>
      <c r="C231" s="362" t="inlineStr">
        <is>
          <t>6.28 يرجى تحديد عدد الأبقار المصابة</t>
        </is>
      </c>
      <c r="D231" s="362" t="inlineStr">
        <is>
          <t>6.28 Please indicate the number of cattle injured</t>
        </is>
      </c>
      <c r="E231" s="59" t="n"/>
      <c r="F231" s="51" t="n"/>
      <c r="G231" s="51" t="n"/>
      <c r="H231" s="60" t="n"/>
      <c r="I231" s="81" t="inlineStr">
        <is>
          <t>true</t>
        </is>
      </c>
      <c r="J231" s="243" t="n"/>
      <c r="K231" s="308" t="inlineStr">
        <is>
          <t xml:space="preserve"> .&gt;=0 and .&lt;= ${cattle_before}</t>
        </is>
      </c>
      <c r="L231" s="81" t="n"/>
      <c r="M231" s="81" t="n"/>
      <c r="N231" s="267" t="inlineStr">
        <is>
          <t>${Animalsinjured_YN} = '1' and ${cattle_before} &gt; 0</t>
        </is>
      </c>
      <c r="O231" s="243" t="n"/>
      <c r="P231" s="243" t="n"/>
      <c r="Q231" s="243" t="n"/>
      <c r="X231" s="132" t="n"/>
      <c r="Y231" s="71" t="n"/>
      <c r="Z231" s="115" t="n"/>
      <c r="AA231" s="115" t="n"/>
    </row>
    <row r="232" ht="48" customHeight="1">
      <c r="A232" s="55" t="inlineStr">
        <is>
          <t>integer</t>
        </is>
      </c>
      <c r="B232" s="55" t="inlineStr">
        <is>
          <t>ruminants_injured</t>
        </is>
      </c>
      <c r="C232" s="362" t="inlineStr">
        <is>
          <t>6.29 يرجى تحديد عدد الأغنام و الماعز المصابة</t>
        </is>
      </c>
      <c r="D232" s="362" t="inlineStr">
        <is>
          <t>6.29 Please indicate the number of ruminants injured</t>
        </is>
      </c>
      <c r="E232" s="59" t="n"/>
      <c r="F232" s="51" t="n"/>
      <c r="G232" s="51" t="n"/>
      <c r="H232" s="60" t="n"/>
      <c r="I232" s="81" t="inlineStr">
        <is>
          <t>true</t>
        </is>
      </c>
      <c r="J232" s="243" t="n"/>
      <c r="K232" s="308" t="inlineStr">
        <is>
          <t xml:space="preserve"> .&gt;=0 and .&lt;= ${ruminants_before}</t>
        </is>
      </c>
      <c r="L232" s="81" t="n"/>
      <c r="M232" s="81" t="n"/>
      <c r="N232" s="267" t="inlineStr">
        <is>
          <t>${Animalsinjured_YN} = '1' and ${ruminants_before} &gt; 0</t>
        </is>
      </c>
      <c r="O232" s="243" t="n"/>
      <c r="P232" s="243" t="n"/>
      <c r="Q232" s="243" t="n"/>
      <c r="X232" s="132" t="n"/>
      <c r="Y232" s="71" t="n"/>
      <c r="Z232" s="115" t="n"/>
      <c r="AA232" s="115" t="n"/>
    </row>
    <row r="233" ht="48" customHeight="1">
      <c r="A233" s="55" t="inlineStr">
        <is>
          <t>integer</t>
        </is>
      </c>
      <c r="B233" s="55" t="inlineStr">
        <is>
          <t>Poultry_injured</t>
        </is>
      </c>
      <c r="C233" s="362" t="inlineStr">
        <is>
          <t>6.30 يرجى تحديد عدد الدواجن المصابة</t>
        </is>
      </c>
      <c r="D233" s="362" t="inlineStr">
        <is>
          <t>6.30 Please indicate the number of poultry injured</t>
        </is>
      </c>
      <c r="E233" s="59" t="n"/>
      <c r="F233" s="51" t="n"/>
      <c r="G233" s="51" t="n"/>
      <c r="H233" s="60" t="n"/>
      <c r="I233" s="81" t="inlineStr">
        <is>
          <t>true</t>
        </is>
      </c>
      <c r="J233" s="243" t="n"/>
      <c r="K233" s="308" t="inlineStr">
        <is>
          <t xml:space="preserve"> .&gt;=0 and .&lt;= ${poultry_before}</t>
        </is>
      </c>
      <c r="L233" s="81" t="n"/>
      <c r="M233" s="81" t="n"/>
      <c r="N233" s="267" t="inlineStr">
        <is>
          <t>${Animalsinjured_YN} = '1' and ${poultry_before} &gt; 0</t>
        </is>
      </c>
      <c r="O233" s="243" t="n"/>
      <c r="P233" s="243" t="n"/>
      <c r="Q233" s="243" t="n"/>
      <c r="X233" s="132" t="n"/>
      <c r="Y233" s="71" t="n"/>
      <c r="Z233" s="115" t="n"/>
      <c r="AA233" s="115" t="n"/>
    </row>
    <row r="234" ht="48" customHeight="1">
      <c r="A234" s="55" t="inlineStr">
        <is>
          <t>integer</t>
        </is>
      </c>
      <c r="B234" s="55" t="inlineStr">
        <is>
          <t>Beehives_injured</t>
        </is>
      </c>
      <c r="C234" s="362" t="inlineStr">
        <is>
          <t>6.31 يرجى تحديد عدد المناحل المصابة</t>
        </is>
      </c>
      <c r="D234" s="362" t="inlineStr">
        <is>
          <t>6.31 Please indicate the number of beehives injured</t>
        </is>
      </c>
      <c r="E234" s="59" t="n"/>
      <c r="G234" s="29" t="n"/>
      <c r="H234" s="60" t="n"/>
      <c r="I234" s="243" t="inlineStr">
        <is>
          <t>true</t>
        </is>
      </c>
      <c r="J234" s="243" t="inlineStr">
        <is>
          <t>minimal</t>
        </is>
      </c>
      <c r="K234" s="308" t="inlineStr">
        <is>
          <t xml:space="preserve"> .&gt;=0 and .&lt;= ${beehives_before}</t>
        </is>
      </c>
      <c r="L234" s="81" t="n"/>
      <c r="M234" s="81" t="n"/>
      <c r="N234" s="267" t="inlineStr">
        <is>
          <t>${Animalsinjured_YN} = '1' and ${beehives_before} &gt; 0</t>
        </is>
      </c>
      <c r="O234" s="243" t="n"/>
      <c r="P234" s="243" t="n"/>
      <c r="Q234" s="243" t="n"/>
      <c r="V234" s="28" t="inlineStr">
        <is>
          <t>yes</t>
        </is>
      </c>
      <c r="X234" s="132" t="n">
        <v>20.2944221496582</v>
      </c>
      <c r="Y234" s="71">
        <f>'Additional information'!$C$15</f>
        <v/>
      </c>
      <c r="Z234" s="115">
        <f>IF(X234&lt;&gt;"",X234*Y234,"")</f>
        <v/>
      </c>
      <c r="AA234" s="115">
        <f>IF(AND(X234&lt;&gt;"",V234="yes"),X234*Y234,"")</f>
        <v/>
      </c>
    </row>
    <row r="235" ht="48" customHeight="1">
      <c r="A235" s="55" t="inlineStr">
        <is>
          <t>integer</t>
        </is>
      </c>
      <c r="B235" s="55" t="inlineStr">
        <is>
          <t>Others_injured</t>
        </is>
      </c>
      <c r="C235" s="362" t="inlineStr">
        <is>
          <t>6.32 يرجى تحديد عدد الحيوانات الأخرى المصابة</t>
        </is>
      </c>
      <c r="D235" s="362" t="inlineStr">
        <is>
          <t>6.32 Please indicate the number of other animals injured</t>
        </is>
      </c>
      <c r="E235" s="59" t="n"/>
      <c r="H235" s="60" t="n"/>
      <c r="I235" s="81" t="inlineStr">
        <is>
          <t>true</t>
        </is>
      </c>
      <c r="J235" s="243" t="n"/>
      <c r="K235" s="308" t="inlineStr">
        <is>
          <t xml:space="preserve"> .&gt;=0 and .&lt;= ${otherls_before}</t>
        </is>
      </c>
      <c r="L235" s="81" t="n"/>
      <c r="M235" s="81" t="n"/>
      <c r="N235" s="267" t="inlineStr">
        <is>
          <t>${Animalsinjured_YN} = '1' and ${otherls_before} &gt; 0</t>
        </is>
      </c>
      <c r="O235" s="243" t="n"/>
      <c r="P235" s="243" t="n"/>
      <c r="Q235" s="243" t="n"/>
      <c r="V235" s="28" t="inlineStr">
        <is>
          <t>yes</t>
        </is>
      </c>
      <c r="X235" s="132" t="n"/>
      <c r="Y235" s="71">
        <f>'Additional information'!$C$15</f>
        <v/>
      </c>
      <c r="Z235" s="115">
        <f>IF(X235&lt;&gt;"",X235*Y235,"")</f>
        <v/>
      </c>
      <c r="AA235" s="115">
        <f>IF(AND(X235&lt;&gt;"",V235="yes"),X235*Y235,"")</f>
        <v/>
      </c>
    </row>
    <row r="236" ht="31.95" customHeight="1">
      <c r="A236" s="55" t="inlineStr">
        <is>
          <t>select_one yes_no</t>
        </is>
      </c>
      <c r="B236" s="55" t="inlineStr">
        <is>
          <t>Animalslaughter_YN</t>
        </is>
      </c>
      <c r="C236" s="362" t="inlineStr">
        <is>
          <t>6.33 هل أُجبرت على ذبح أو بيع أو التخلي عن حيوانات كنت تفضل الاحتفاظ بها لأنك لم تكن قادرًا على رعايتها منذ وقوع الزلزال (على سبيل المثال ، نقص الأعلاف أو المأوى أو النزوح القسري)؟</t>
        </is>
      </c>
      <c r="D236" s="362" t="inlineStr">
        <is>
          <t xml:space="preserve">6.33 Have you been forced to slaughter, sell or give away animals you would have preferred to keep because you were unable to care for them since the earthquake (e.g. lack of feed, shelter or forced displacement)? </t>
        </is>
      </c>
      <c r="E236" s="59" t="n"/>
      <c r="F236" s="51" t="n"/>
      <c r="G236" s="51" t="n"/>
      <c r="H236" s="60" t="n"/>
      <c r="I236" s="81" t="inlineStr">
        <is>
          <t>true</t>
        </is>
      </c>
      <c r="J236" s="243" t="n"/>
      <c r="K236" s="327" t="n"/>
      <c r="L236" s="81" t="n"/>
      <c r="M236" s="81" t="n"/>
      <c r="N236" s="267" t="n"/>
      <c r="O236" s="243" t="n"/>
      <c r="P236" s="243" t="n"/>
      <c r="Q236" s="243" t="n"/>
      <c r="X236" s="132" t="n"/>
      <c r="Y236" s="71" t="n"/>
      <c r="Z236" s="115" t="n"/>
      <c r="AA236" s="115" t="n"/>
    </row>
    <row r="237" ht="31.95" customHeight="1">
      <c r="A237" s="55" t="inlineStr">
        <is>
          <t>integer</t>
        </is>
      </c>
      <c r="B237" s="55" t="inlineStr">
        <is>
          <t>cattle_slaughter</t>
        </is>
      </c>
      <c r="C237" s="362" t="inlineStr">
        <is>
          <t>6.34 يرجى تحديد عدد الأبقار التي تم التخلص منها</t>
        </is>
      </c>
      <c r="D237" s="362" t="inlineStr">
        <is>
          <t>6.34 Please indicate the number of cattle destocked</t>
        </is>
      </c>
      <c r="E237" s="59" t="n"/>
      <c r="F237" s="51" t="n"/>
      <c r="G237" s="51" t="n"/>
      <c r="H237" s="60" t="n"/>
      <c r="I237" s="81" t="inlineStr">
        <is>
          <t>true</t>
        </is>
      </c>
      <c r="J237" s="243" t="n"/>
      <c r="K237" s="308" t="inlineStr">
        <is>
          <t xml:space="preserve"> .&gt;=0 and .&lt;= ${cattle_before}</t>
        </is>
      </c>
      <c r="L237" s="81" t="n"/>
      <c r="M237" s="81" t="n"/>
      <c r="N237" s="267" t="inlineStr">
        <is>
          <t>${Animalslaughter_YN} = '1' and ${cattle_before} &gt; 0</t>
        </is>
      </c>
      <c r="O237" s="243" t="n"/>
      <c r="P237" s="243" t="n"/>
      <c r="Q237" s="243" t="n"/>
      <c r="X237" s="132" t="n"/>
      <c r="Y237" s="71" t="n"/>
      <c r="Z237" s="115" t="n"/>
      <c r="AA237" s="115" t="n"/>
    </row>
    <row r="238" ht="48" customHeight="1">
      <c r="A238" s="55" t="inlineStr">
        <is>
          <t>integer</t>
        </is>
      </c>
      <c r="B238" s="55" t="inlineStr">
        <is>
          <t>ruminants_slaughter</t>
        </is>
      </c>
      <c r="C238" s="362" t="inlineStr">
        <is>
          <t>6.35 يرجى تحديد عدد الأغنام و الماعز التي تم التخلص منها</t>
        </is>
      </c>
      <c r="D238" s="362" t="inlineStr">
        <is>
          <t>6.35 Please indicate the number of ruminants destocked</t>
        </is>
      </c>
      <c r="E238" s="59" t="n"/>
      <c r="F238" s="51" t="n"/>
      <c r="G238" s="51" t="n"/>
      <c r="H238" s="60" t="n"/>
      <c r="I238" s="81" t="inlineStr">
        <is>
          <t>true</t>
        </is>
      </c>
      <c r="J238" s="243" t="n"/>
      <c r="K238" s="308" t="inlineStr">
        <is>
          <t xml:space="preserve"> .&gt;=0 and .&lt;= ${ruminants_before}</t>
        </is>
      </c>
      <c r="L238" s="81" t="n"/>
      <c r="M238" s="81" t="n"/>
      <c r="N238" s="267" t="inlineStr">
        <is>
          <t>${Animalslaughter_YN} = '1' and ${ruminants_before} &gt; 0</t>
        </is>
      </c>
      <c r="O238" s="243" t="n"/>
      <c r="P238" s="243" t="n"/>
      <c r="Q238" s="243" t="n"/>
      <c r="X238" s="132" t="n"/>
      <c r="Y238" s="71" t="n"/>
      <c r="Z238" s="115" t="n"/>
      <c r="AA238" s="115" t="n"/>
    </row>
    <row r="239" ht="48" customHeight="1">
      <c r="A239" s="55" t="inlineStr">
        <is>
          <t>integer</t>
        </is>
      </c>
      <c r="B239" s="55" t="inlineStr">
        <is>
          <t>Poultry_slaughter</t>
        </is>
      </c>
      <c r="C239" s="362" t="inlineStr">
        <is>
          <t>6.36 يرجى تحديد عدد الدواجن التي تم التخلص منها</t>
        </is>
      </c>
      <c r="D239" s="362" t="inlineStr">
        <is>
          <t>6.36 Please indicate the number of poultry destocked</t>
        </is>
      </c>
      <c r="E239" s="59" t="n"/>
      <c r="F239" s="51" t="n"/>
      <c r="G239" s="51" t="n"/>
      <c r="H239" s="60" t="n"/>
      <c r="I239" s="81" t="inlineStr">
        <is>
          <t>true</t>
        </is>
      </c>
      <c r="J239" s="243" t="n"/>
      <c r="K239" s="308" t="inlineStr">
        <is>
          <t xml:space="preserve"> .&gt;=0 and .&lt;= ${poultry_before}</t>
        </is>
      </c>
      <c r="L239" s="81" t="n"/>
      <c r="M239" s="81" t="n"/>
      <c r="N239" s="267" t="inlineStr">
        <is>
          <t>${Animalslaughter_YN} = '1' and ${poultry_before} &gt; 0</t>
        </is>
      </c>
      <c r="O239" s="243" t="n"/>
      <c r="P239" s="243" t="n"/>
      <c r="Q239" s="243" t="n"/>
      <c r="X239" s="132" t="n"/>
      <c r="Y239" s="71" t="n"/>
      <c r="Z239" s="115" t="n"/>
      <c r="AA239" s="115" t="n"/>
    </row>
    <row r="240" ht="48" customHeight="1">
      <c r="A240" s="55" t="inlineStr">
        <is>
          <t>integer</t>
        </is>
      </c>
      <c r="B240" s="55" t="inlineStr">
        <is>
          <t>Beehives_slaughter</t>
        </is>
      </c>
      <c r="C240" s="362" t="inlineStr">
        <is>
          <t>6.37 يرجى تحديد عدد المناحل التي تم التخلص منها</t>
        </is>
      </c>
      <c r="D240" s="362" t="inlineStr">
        <is>
          <t>6.37 Please indicate the number of beehives destocked</t>
        </is>
      </c>
      <c r="E240" s="59" t="n"/>
      <c r="G240" s="29" t="n"/>
      <c r="H240" s="60" t="n"/>
      <c r="I240" s="243" t="inlineStr">
        <is>
          <t>true</t>
        </is>
      </c>
      <c r="J240" s="243" t="inlineStr">
        <is>
          <t>minimal</t>
        </is>
      </c>
      <c r="K240" s="308" t="inlineStr">
        <is>
          <t xml:space="preserve"> .&gt;=0 and .&lt;= ${beehives_before}</t>
        </is>
      </c>
      <c r="L240" s="81" t="n"/>
      <c r="M240" s="81" t="n"/>
      <c r="N240" s="267" t="inlineStr">
        <is>
          <t>${Animalslaughter_YN} = '1' and ${beehives_before} &gt; 0</t>
        </is>
      </c>
      <c r="O240" s="243" t="n"/>
      <c r="P240" s="243" t="n"/>
      <c r="Q240" s="243" t="n"/>
      <c r="V240" s="28" t="inlineStr">
        <is>
          <t>yes</t>
        </is>
      </c>
      <c r="X240" s="132" t="n">
        <v>20.2944221496582</v>
      </c>
      <c r="Y240" s="71">
        <f>'Additional information'!$C$15</f>
        <v/>
      </c>
      <c r="Z240" s="115">
        <f>IF(X240&lt;&gt;"",X240*Y240,"")</f>
        <v/>
      </c>
      <c r="AA240" s="115">
        <f>IF(AND(X240&lt;&gt;"",V240="yes"),X240*Y240,"")</f>
        <v/>
      </c>
    </row>
    <row r="241" ht="48" customHeight="1">
      <c r="A241" s="55" t="inlineStr">
        <is>
          <t>integer</t>
        </is>
      </c>
      <c r="B241" s="55" t="inlineStr">
        <is>
          <t>Others_slaughter</t>
        </is>
      </c>
      <c r="C241" s="362" t="inlineStr">
        <is>
          <t>6.38 يرجى تحديد عدد الحيوانات الأخرى التي تم التخلص منها</t>
        </is>
      </c>
      <c r="D241" s="362" t="inlineStr">
        <is>
          <t>6.38 Please indicate the number of other animals destocked</t>
        </is>
      </c>
      <c r="E241" s="59" t="n"/>
      <c r="H241" s="60" t="n"/>
      <c r="I241" s="81" t="inlineStr">
        <is>
          <t>true</t>
        </is>
      </c>
      <c r="J241" s="243" t="n"/>
      <c r="K241" s="308" t="inlineStr">
        <is>
          <t xml:space="preserve"> .&gt;=0 and .&lt;= ${otherls_before}</t>
        </is>
      </c>
      <c r="L241" s="81" t="n"/>
      <c r="M241" s="81" t="n"/>
      <c r="N241" s="267" t="inlineStr">
        <is>
          <t>${Animalslaughter_YN} = '1' and ${otherls_before} &gt; 0</t>
        </is>
      </c>
      <c r="O241" s="243" t="n"/>
      <c r="P241" s="243" t="n"/>
      <c r="Q241" s="243" t="n"/>
      <c r="V241" s="28" t="inlineStr">
        <is>
          <t>yes</t>
        </is>
      </c>
      <c r="X241" s="132" t="n"/>
      <c r="Y241" s="71">
        <f>'Additional information'!$C$15</f>
        <v/>
      </c>
      <c r="Z241" s="115">
        <f>IF(X241&lt;&gt;"",X241*Y241,"")</f>
        <v/>
      </c>
      <c r="AA241" s="115">
        <f>IF(AND(X241&lt;&gt;"",V241="yes"),X241*Y241,"")</f>
        <v/>
      </c>
    </row>
    <row r="242" ht="48" customHeight="1">
      <c r="A242" s="51" t="inlineStr">
        <is>
          <t>select_one change2</t>
        </is>
      </c>
      <c r="B242" s="55" t="inlineStr">
        <is>
          <t>ls_prodcost</t>
        </is>
      </c>
      <c r="C242" s="362" t="inlineStr">
        <is>
          <t>6.39 هل واجهت أي انخفاض أو زيادة في تكاليف إنتاج الثروة الحيوانية بشكل عام في عام ٢٠٢٣ حتى الآن مقارنة بالعام الماضي لنفس العدد من الحيوانات والفترة نفسها - لأي سبب ، سواء كان ذلك بسبب التغيير في استخدام المدخلات أو تكاليف المدخلات؟ الرجاء تقدير نسبة الزيادة أو النقصان.</t>
        </is>
      </c>
      <c r="D242" s="362" t="inlineStr">
        <is>
          <t>6.39 Did you experience any reduction or increase in livestock production costs overall in 2023 so far compared to last year for the same number of animals and same period - for any reason, be it due to change in use of inputs or costs of inputs? Please estimate the proportion of increase or decrease.</t>
        </is>
      </c>
      <c r="E242" s="59" t="n"/>
      <c r="F242" s="51" t="n"/>
      <c r="G242" s="51" t="n"/>
      <c r="H242" s="60" t="n"/>
      <c r="I242" s="81" t="inlineStr">
        <is>
          <t>true</t>
        </is>
      </c>
      <c r="J242" s="243" t="n"/>
      <c r="K242" s="277" t="n"/>
      <c r="L242" s="243" t="n"/>
      <c r="M242" s="243" t="n"/>
      <c r="N242" s="277" t="n"/>
      <c r="O242" s="243" t="n"/>
      <c r="P242" s="243" t="n"/>
      <c r="Q242" s="243" t="n"/>
      <c r="V242" s="28" t="inlineStr">
        <is>
          <t>yes</t>
        </is>
      </c>
      <c r="X242" s="132" t="n">
        <v>8.915891647338867</v>
      </c>
      <c r="Y242" s="71">
        <f>'Additional information'!$C$15</f>
        <v/>
      </c>
      <c r="Z242" s="115">
        <f>IF(X242&lt;&gt;"",X242*Y242,"")</f>
        <v/>
      </c>
      <c r="AA242" s="115">
        <f>IF(AND(X242&lt;&gt;"",V242="yes"),X242*Y242,"")</f>
        <v/>
      </c>
    </row>
    <row r="243" ht="16.05" customHeight="1">
      <c r="A243" s="51" t="inlineStr">
        <is>
          <t>select_one irrigation</t>
        </is>
      </c>
      <c r="B243" s="51" t="inlineStr">
        <is>
          <t>ls_irrig_source</t>
        </is>
      </c>
      <c r="C243" s="362" t="inlineStr">
        <is>
          <t>6.40 من أين كنت تحصل عادة وبشكل رئيسي على المياه لإنتاج الثروة الحيوانية قبل الزلزال؟</t>
        </is>
      </c>
      <c r="D243" s="362" t="inlineStr">
        <is>
          <t xml:space="preserve">6.40 Where did you normally and mainly obtain water for livestock production before the earthquake? </t>
        </is>
      </c>
      <c r="E243" s="59" t="n"/>
      <c r="H243" s="60" t="n"/>
      <c r="I243" s="81" t="inlineStr">
        <is>
          <t>true</t>
        </is>
      </c>
      <c r="J243" s="243" t="n"/>
      <c r="K243" s="26" t="n"/>
      <c r="L243" s="243" t="n"/>
      <c r="M243" s="243" t="n"/>
      <c r="N243" s="26" t="n"/>
      <c r="O243" s="243" t="n"/>
      <c r="P243" s="243" t="n"/>
      <c r="Q243" s="243" t="n"/>
      <c r="X243" s="132" t="n"/>
      <c r="Y243" s="71" t="n"/>
      <c r="Z243" s="115" t="n"/>
      <c r="AA243" s="115" t="n"/>
    </row>
    <row r="244" ht="31.95" customHeight="1">
      <c r="A244" s="51" t="inlineStr">
        <is>
          <t>text</t>
        </is>
      </c>
      <c r="B244" s="51" t="inlineStr">
        <is>
          <t>ls_irrig_source_otherspecify</t>
        </is>
      </c>
      <c r="C244" s="362" t="inlineStr">
        <is>
          <t>6.41 إذا كانت الإجابة "آخر"، حدد.</t>
        </is>
      </c>
      <c r="D244" s="362" t="inlineStr">
        <is>
          <t>6.41 If other, specify.</t>
        </is>
      </c>
      <c r="E244" s="59" t="n"/>
      <c r="F244" s="55" t="inlineStr">
        <is>
          <t>[INSTRUCTIONS: RECORD THE OPEN RESPONSE GIVEN IN FEW WORDS. ENTER 888 FOR DON'T KNOW AND 999 FOR REFUSED]</t>
        </is>
      </c>
      <c r="G244" s="52" t="inlineStr">
        <is>
          <t>[تعليمات: سجل في بضع كلمات الاستجابة المفتوحة المعطاة . أدخل 888 للا أعرف و 999 في حالة الرفض]</t>
        </is>
      </c>
      <c r="H244" s="60" t="n"/>
      <c r="I244" s="81" t="inlineStr">
        <is>
          <t>true</t>
        </is>
      </c>
      <c r="J244" s="243" t="n"/>
      <c r="K244" s="325" t="inlineStr">
        <is>
          <t>string-length(.)&gt;=3</t>
        </is>
      </c>
      <c r="L244" s="306" t="inlineStr">
        <is>
          <t>عفوا، الرجاء تقديم نص و شرح اكثر وضوحا.</t>
        </is>
      </c>
      <c r="M244" s="306" t="inlineStr">
        <is>
          <t>Sorry, Please provide a much more meaningful text</t>
        </is>
      </c>
      <c r="N244" s="26" t="inlineStr">
        <is>
          <t>${ls_irrig_source} = 'other'</t>
        </is>
      </c>
      <c r="O244" s="243" t="n"/>
      <c r="P244" s="243" t="n"/>
      <c r="Q244" s="243" t="n"/>
      <c r="X244" s="132" t="n"/>
      <c r="Y244" s="71" t="n"/>
      <c r="Z244" s="115" t="n"/>
      <c r="AA244" s="115" t="n"/>
    </row>
    <row r="245" ht="16.05" customHeight="1">
      <c r="A245" s="51" t="inlineStr">
        <is>
          <t>select_one irrig_source_status</t>
        </is>
      </c>
      <c r="B245" s="51" t="inlineStr">
        <is>
          <t>ls_irrig_source_status</t>
        </is>
      </c>
      <c r="C245" s="362" t="inlineStr">
        <is>
          <t>6.42 ما هو الوضع الحالي لمصدر المياه الرئيسي هذا؟</t>
        </is>
      </c>
      <c r="D245" s="362" t="inlineStr">
        <is>
          <t>6.42 What is the current status of that main water source?</t>
        </is>
      </c>
      <c r="E245" s="59" t="n"/>
      <c r="H245" s="60" t="n"/>
      <c r="I245" s="81" t="inlineStr">
        <is>
          <t>true</t>
        </is>
      </c>
      <c r="J245" s="243" t="n"/>
      <c r="K245" s="26" t="n"/>
      <c r="L245" s="243" t="n"/>
      <c r="M245" s="243" t="n"/>
      <c r="N245" s="26" t="n"/>
      <c r="O245" s="243" t="n"/>
      <c r="P245" s="243" t="n"/>
      <c r="Q245" s="243" t="n"/>
      <c r="X245" s="132" t="n"/>
      <c r="Y245" s="71" t="n"/>
      <c r="Z245" s="115" t="n"/>
      <c r="AA245" s="115" t="n"/>
    </row>
    <row r="246" ht="16.05" customHeight="1">
      <c r="A246" s="51" t="inlineStr">
        <is>
          <t>select_one irrigation</t>
        </is>
      </c>
      <c r="B246" s="51" t="inlineStr">
        <is>
          <t>ls_irrig_source_now</t>
        </is>
      </c>
      <c r="C246" s="362" t="inlineStr">
        <is>
          <t>6.43 ما هو مصدر المياه الرئيسي الحالي الذي تستخدمه اسرتك لإنتاج الثروة الحيوانية؟</t>
        </is>
      </c>
      <c r="D246" s="362" t="inlineStr">
        <is>
          <t>6.43 What is your current main water source for livestock production?</t>
        </is>
      </c>
      <c r="E246" s="59" t="n"/>
      <c r="H246" s="60" t="n"/>
      <c r="I246" s="81" t="inlineStr">
        <is>
          <t>true</t>
        </is>
      </c>
      <c r="N246" s="266" t="n"/>
      <c r="X246" s="132" t="n"/>
      <c r="Y246" s="71">
        <f>'Additional information'!$C$15</f>
        <v/>
      </c>
      <c r="Z246" s="115">
        <f>IF(X246&lt;&gt;"",X246*Y246,"")</f>
        <v/>
      </c>
      <c r="AA246" s="115">
        <f>IF(AND(X246&lt;&gt;"",V246="yes"),X246*Y246,"")</f>
        <v/>
      </c>
    </row>
    <row r="247" ht="31.95" customHeight="1">
      <c r="A247" s="51" t="inlineStr">
        <is>
          <t>text</t>
        </is>
      </c>
      <c r="B247" s="51" t="inlineStr">
        <is>
          <t>ls_irrig_source_now_otherspecify</t>
        </is>
      </c>
      <c r="C247" s="362" t="inlineStr">
        <is>
          <t>6.44 إذا كانت الإجابة "آخر"، حدد.</t>
        </is>
      </c>
      <c r="D247" s="362" t="inlineStr">
        <is>
          <t>6.44 If other, specify.</t>
        </is>
      </c>
      <c r="E247" s="59" t="n"/>
      <c r="F247" s="55" t="inlineStr">
        <is>
          <t>[INSTRUCTIONS: RECORD THE OPEN RESPONSE GIVEN IN FEW WORDS. ENTER 888 FOR DON'T KNOW AND 999 FOR REFUSED]</t>
        </is>
      </c>
      <c r="G247" s="52" t="inlineStr">
        <is>
          <t>[تعليمات: سجل في بضع كلمات الاستجابة المفتوحة المعطاة . أدخل 888 للا أعرف و 999 في حالة الرفض]</t>
        </is>
      </c>
      <c r="H247" s="60" t="n"/>
      <c r="I247" s="81" t="inlineStr">
        <is>
          <t>true</t>
        </is>
      </c>
      <c r="J247" s="243" t="n"/>
      <c r="K247" s="325" t="inlineStr">
        <is>
          <t>string-length(.)&gt;=3</t>
        </is>
      </c>
      <c r="L247" s="306" t="inlineStr">
        <is>
          <t>عفوا، الرجاء تقديم نص و شرح اكثر وضوحا.</t>
        </is>
      </c>
      <c r="M247" s="306" t="inlineStr">
        <is>
          <t>Sorry, Please provide a much more meaningful text</t>
        </is>
      </c>
      <c r="N247" s="26" t="inlineStr">
        <is>
          <t>${ls_irrig_source_now} = 'other'</t>
        </is>
      </c>
      <c r="X247" s="132" t="n"/>
      <c r="Y247" s="71" t="n"/>
      <c r="Z247" s="115" t="n"/>
      <c r="AA247" s="115" t="n"/>
    </row>
    <row r="248" ht="96" customFormat="1" customHeight="1" s="53">
      <c r="A248" s="28" t="inlineStr">
        <is>
          <t>select_multiple lsfood</t>
        </is>
      </c>
      <c r="B248" s="28" t="inlineStr">
        <is>
          <t>ls_feed</t>
        </is>
      </c>
      <c r="C248" s="362" t="inlineStr">
        <is>
          <t>6.45 من أين تحصل عادة على العلف للحيوانات التي تملكها؟</t>
        </is>
      </c>
      <c r="D248" s="362" t="inlineStr">
        <is>
          <t xml:space="preserve">6.45 Where do you usually access feed for your livestock? </t>
        </is>
      </c>
      <c r="E248" s="54" t="n"/>
      <c r="F248" s="52" t="inlineStr">
        <is>
          <t>[INSTRUCTIONS: MULTIPLE RESPONSES POSSIBLE.]</t>
        </is>
      </c>
      <c r="G248" s="28" t="inlineStr">
        <is>
          <t>[تعليمات: احتمال وجود عدة استجابات]</t>
        </is>
      </c>
      <c r="H248" s="58" t="n"/>
      <c r="I248" s="81" t="inlineStr">
        <is>
          <t>true</t>
        </is>
      </c>
      <c r="J248" s="86" t="n"/>
      <c r="K248" s="266" t="inlineStr">
        <is>
          <t>if(selected(., 'dk') or selected(., 'ref'), count-selected(.) = 1, count-selected(.) &gt;= 1)</t>
        </is>
      </c>
      <c r="L248" s="86" t="n"/>
      <c r="M248" s="86" t="n"/>
      <c r="N248" s="266" t="n"/>
      <c r="O248" s="86" t="n"/>
      <c r="P248" s="80" t="n"/>
      <c r="Q248" s="80" t="n"/>
      <c r="V248" s="53" t="inlineStr">
        <is>
          <t>no</t>
        </is>
      </c>
      <c r="X248" s="132" t="n">
        <v>19.55319786071777</v>
      </c>
      <c r="Y248" s="71">
        <f>'Additional information'!$C$15</f>
        <v/>
      </c>
      <c r="Z248" s="115">
        <f>IF(X248&lt;&gt;"",X248*Y248,"")</f>
        <v/>
      </c>
      <c r="AA248" s="115">
        <f>IF(AND(X248&lt;&gt;"",V248="yes"),X248*Y248,"")</f>
        <v/>
      </c>
      <c r="AB248" s="52" t="n"/>
    </row>
    <row r="249" ht="16.05" customHeight="1">
      <c r="A249" s="51" t="inlineStr">
        <is>
          <t>select_one yes_no</t>
        </is>
      </c>
      <c r="B249" s="51" t="inlineStr">
        <is>
          <t>ls_proddif</t>
        </is>
      </c>
      <c r="C249" s="362" t="inlineStr">
        <is>
          <t>6.46 هل واجهت أسرتك أي صعوبة في إنتاج الثروة الحيوانية منذ الزلزال؟</t>
        </is>
      </c>
      <c r="D249" s="362" t="inlineStr">
        <is>
          <t>6.46 Has your household faced any significant difficulty with livestock production since the earthquake?</t>
        </is>
      </c>
      <c r="E249" s="59" t="n"/>
      <c r="H249" s="60" t="n"/>
      <c r="I249" s="243" t="inlineStr">
        <is>
          <t>true</t>
        </is>
      </c>
      <c r="J249" s="243" t="n"/>
      <c r="K249" s="26" t="n"/>
      <c r="L249" s="243" t="n"/>
      <c r="M249" s="243" t="n"/>
      <c r="N249" s="267" t="n"/>
      <c r="O249" s="243" t="n"/>
      <c r="P249" s="243" t="n"/>
      <c r="Q249" s="243" t="n"/>
      <c r="V249" s="28" t="inlineStr">
        <is>
          <t>yes</t>
        </is>
      </c>
      <c r="X249" s="132" t="n">
        <v>13.61331653594971</v>
      </c>
      <c r="Y249" s="71">
        <f>'Additional information'!$C$15</f>
        <v/>
      </c>
      <c r="Z249" s="115">
        <f>IF(X249&lt;&gt;"",X249*Y249,"")</f>
        <v/>
      </c>
      <c r="AA249" s="115">
        <f>IF(AND(X249&lt;&gt;"",V249="yes"),X249*Y249,"")</f>
        <v/>
      </c>
    </row>
    <row r="250" ht="96" customHeight="1">
      <c r="A250" s="51" t="inlineStr">
        <is>
          <t>select_multiple lsproddiff</t>
        </is>
      </c>
      <c r="B250" s="51" t="inlineStr">
        <is>
          <t>ls_proddif_</t>
        </is>
      </c>
      <c r="C250" s="362" t="inlineStr">
        <is>
          <t>6.47 ما الصعوبات التي واجهتها أسرتك في إنتاج الثروة الحيوانية منذ الزلزال؟</t>
        </is>
      </c>
      <c r="D250" s="362" t="inlineStr">
        <is>
          <t>6.47 Which difficulties has your household faced with livestock production since the earthquake?</t>
        </is>
      </c>
      <c r="E250" s="59" t="n"/>
      <c r="F250" s="28" t="inlineStr">
        <is>
          <t>[INSTRUCTIONS: MULTIPLE RESPONSES POSSIBLE. SELECT OPTION(S) THAT BEST FIT THE INFORMATION PROVIDED BY THE RESPONDENTS.]</t>
        </is>
      </c>
      <c r="G250" s="28" t="inlineStr">
        <is>
          <t>[تعليمات: عدة استجابات محتملة. حدد الخيار (الخيارات) الأنسب للمعلومات المقدمة من المجيب]</t>
        </is>
      </c>
      <c r="H250" s="60" t="n"/>
      <c r="I250" s="243" t="inlineStr">
        <is>
          <t>true</t>
        </is>
      </c>
      <c r="J250" s="243" t="n"/>
      <c r="K250" s="267" t="inlineStr">
        <is>
          <t>if(selected(., 'dk') or selected(., 'ref'), count-selected(.) = 1, count-selected(.) &gt;= 1)</t>
        </is>
      </c>
      <c r="L250" s="243" t="n"/>
      <c r="M250" s="243" t="n"/>
      <c r="N250" s="267" t="inlineStr">
        <is>
          <t>${ls_proddif}='1'</t>
        </is>
      </c>
      <c r="O250" s="243" t="n"/>
      <c r="P250" s="243" t="n"/>
      <c r="Q250" s="243" t="n"/>
      <c r="V250" s="28" t="inlineStr">
        <is>
          <t>yes</t>
        </is>
      </c>
      <c r="X250" s="132" t="n">
        <v>27.75464820861816</v>
      </c>
      <c r="Y250" s="71">
        <f>'Additional information'!$C$15</f>
        <v/>
      </c>
      <c r="Z250" s="115">
        <f>IF(X250&lt;&gt;"",X250*Y250,"")</f>
        <v/>
      </c>
      <c r="AA250" s="115">
        <f>IF(AND(X250&lt;&gt;"",V250="yes"),X250*Y250,"")</f>
        <v/>
      </c>
    </row>
    <row r="251" ht="31.95" customHeight="1">
      <c r="A251" s="51" t="inlineStr">
        <is>
          <t>select_one feed_access_issue</t>
        </is>
      </c>
      <c r="B251" s="51" t="inlineStr">
        <is>
          <t>ls_diff_feed</t>
        </is>
      </c>
      <c r="C251" s="362" t="inlineStr">
        <is>
          <t>6.48 ما هي الصعوبة الرئيسية في الحصول على علف الحيوانات [منذ الزلزال]؟</t>
        </is>
      </c>
      <c r="D251" s="362" t="inlineStr">
        <is>
          <t>6.48 What has been the main difficulty in accessing animal feed [since the earthquake]?</t>
        </is>
      </c>
      <c r="E251" s="59" t="n"/>
      <c r="H251" s="60" t="n"/>
      <c r="I251" s="81" t="inlineStr">
        <is>
          <t>true</t>
        </is>
      </c>
      <c r="J251" s="243" t="n"/>
      <c r="K251" s="267" t="n"/>
      <c r="L251" s="243" t="n"/>
      <c r="M251" s="243" t="n"/>
      <c r="N251" s="267" t="inlineStr">
        <is>
          <t>selected(${ls_proddif_},'feed_purchase')</t>
        </is>
      </c>
      <c r="O251" s="243" t="n"/>
      <c r="P251" s="243" t="n"/>
      <c r="Q251" s="243" t="n"/>
      <c r="X251" s="132" t="n"/>
      <c r="Y251" s="71" t="n"/>
      <c r="Z251" s="115" t="n"/>
      <c r="AA251" s="115" t="n"/>
    </row>
    <row r="252" ht="31.95" customHeight="1">
      <c r="A252" s="51" t="inlineStr">
        <is>
          <t>text</t>
        </is>
      </c>
      <c r="B252" s="51" t="inlineStr">
        <is>
          <t>ls_diff_feed_other</t>
        </is>
      </c>
      <c r="C252" s="362" t="inlineStr">
        <is>
          <t>6.49 إذا كانت الإجابة "آخر"، حدد.</t>
        </is>
      </c>
      <c r="D252" s="362" t="inlineStr">
        <is>
          <t>6.49 If other, specify</t>
        </is>
      </c>
      <c r="E252" s="59" t="n"/>
      <c r="F252" s="55" t="inlineStr">
        <is>
          <t>[INSTRUCTIONS: RECORD THE OPEN RESPONSE GIVEN IN FEW WORDS. ENTER 888 FOR DON'T KNOW AND 999 FOR REFUSED]</t>
        </is>
      </c>
      <c r="G252" s="52" t="inlineStr">
        <is>
          <t>[تعليمات: سجل في بضع كلمات الاستجابة المفتوحة المعطاة . أدخل 888 للا أعرف و 999 في حالة الرفض]</t>
        </is>
      </c>
      <c r="H252" s="60" t="n"/>
      <c r="I252" s="81" t="inlineStr">
        <is>
          <t>true</t>
        </is>
      </c>
      <c r="J252" s="243" t="n"/>
      <c r="K252" s="325" t="inlineStr">
        <is>
          <t>string-length(.)&gt;=3</t>
        </is>
      </c>
      <c r="L252" s="306" t="inlineStr">
        <is>
          <t>عفوا، الرجاء تقديم نص و شرح اكثر وضوحا.</t>
        </is>
      </c>
      <c r="M252" s="306" t="inlineStr">
        <is>
          <t>Sorry, Please provide a much more meaningful text</t>
        </is>
      </c>
      <c r="N252" s="267" t="inlineStr">
        <is>
          <t>${ls_diff_feed} = 'other'</t>
        </is>
      </c>
      <c r="O252" s="243" t="n"/>
      <c r="P252" s="243" t="n"/>
      <c r="Q252" s="243" t="n"/>
      <c r="X252" s="132" t="n"/>
      <c r="Y252" s="71" t="n"/>
      <c r="Z252" s="115" t="n"/>
      <c r="AA252" s="115" t="n"/>
    </row>
    <row r="253" ht="31.95" customHeight="1">
      <c r="A253" s="51" t="inlineStr">
        <is>
          <t>select_one vet_access_issue</t>
        </is>
      </c>
      <c r="B253" s="51" t="inlineStr">
        <is>
          <t>ls_diff_vet</t>
        </is>
      </c>
      <c r="C253" s="362" t="inlineStr">
        <is>
          <t>6.50 ما هي الصعوبة الرئيسية في الوصول إلى الخدمات البيطرية و / أو الأدوية [منذ الزلزال]؟</t>
        </is>
      </c>
      <c r="D253" s="362" t="inlineStr">
        <is>
          <t>6.50 What has been the main difficulty in accessing veterinary services and/or drugs [since the earthquake]?</t>
        </is>
      </c>
      <c r="E253" s="59" t="n"/>
      <c r="H253" s="60" t="n"/>
      <c r="I253" s="81" t="inlineStr">
        <is>
          <t>true</t>
        </is>
      </c>
      <c r="J253" s="243" t="n"/>
      <c r="K253" s="267" t="n"/>
      <c r="L253" s="243" t="n"/>
      <c r="M253" s="243" t="n"/>
      <c r="N253" s="267" t="inlineStr">
        <is>
          <t>selected(${ls_proddif_},'vet_serv') or selected(${ls_proddif_},'vet_input')</t>
        </is>
      </c>
      <c r="O253" s="243" t="n"/>
      <c r="P253" s="243" t="n"/>
      <c r="Q253" s="243" t="n"/>
      <c r="X253" s="132" t="n"/>
      <c r="Y253" s="71" t="n"/>
      <c r="Z253" s="115" t="n"/>
      <c r="AA253" s="115" t="n"/>
    </row>
    <row r="254" ht="31.95" customHeight="1">
      <c r="A254" s="51" t="inlineStr">
        <is>
          <t>text</t>
        </is>
      </c>
      <c r="B254" s="51" t="inlineStr">
        <is>
          <t>ls_diff_vet_other</t>
        </is>
      </c>
      <c r="C254" s="362" t="inlineStr">
        <is>
          <t>6.51 إذا كانت الإجابة "آخر"، حدد.</t>
        </is>
      </c>
      <c r="D254" s="362" t="inlineStr">
        <is>
          <t>6.51 If other, specify</t>
        </is>
      </c>
      <c r="E254" s="59" t="n"/>
      <c r="F254" s="55" t="inlineStr">
        <is>
          <t>[INSTRUCTIONS: RECORD THE OPEN RESPONSE GIVEN IN FEW WORDS. ENTER 888 FOR DON'T KNOW AND 999 FOR REFUSED]</t>
        </is>
      </c>
      <c r="G254" s="52" t="inlineStr">
        <is>
          <t>[تعليمات: سجل في بضع كلمات الاستجابة المفتوحة المعطاة . أدخل 888 للا أعرف و 999 في حالة الرفض]</t>
        </is>
      </c>
      <c r="H254" s="60" t="n"/>
      <c r="I254" s="81" t="inlineStr">
        <is>
          <t>true</t>
        </is>
      </c>
      <c r="J254" s="243" t="n"/>
      <c r="K254" s="325" t="inlineStr">
        <is>
          <t>string-length(.)&gt;=3</t>
        </is>
      </c>
      <c r="L254" s="306" t="inlineStr">
        <is>
          <t>عفوا، الرجاء تقديم نص و شرح اكثر وضوحا.</t>
        </is>
      </c>
      <c r="M254" s="306" t="inlineStr">
        <is>
          <t>Sorry, Please provide a much more meaningful text</t>
        </is>
      </c>
      <c r="N254" s="267" t="inlineStr">
        <is>
          <t>${ls_diff_vet} = 'other'</t>
        </is>
      </c>
      <c r="O254" s="243" t="n"/>
      <c r="P254" s="243" t="n"/>
      <c r="Q254" s="243" t="n"/>
      <c r="X254" s="132" t="n"/>
      <c r="Y254" s="71" t="n"/>
      <c r="Z254" s="115" t="n"/>
      <c r="AA254" s="115" t="n"/>
    </row>
    <row r="255" ht="16.05" customHeight="1">
      <c r="A255" s="51" t="inlineStr">
        <is>
          <t>select_one labour_issue</t>
        </is>
      </c>
      <c r="B255" s="70" t="inlineStr">
        <is>
          <t>ls_diff_labour</t>
        </is>
      </c>
      <c r="C255" s="362" t="inlineStr">
        <is>
          <t>6.52 ما هي الصعوبة الرئيسية في الحصول على اليد العاملة [منذ الزلزال]؟</t>
        </is>
      </c>
      <c r="D255" s="362" t="inlineStr">
        <is>
          <t>6.52 What has been the main difficulty in accessing manpower labour [since the earthquake]?</t>
        </is>
      </c>
      <c r="E255" s="59" t="n"/>
      <c r="H255" s="60" t="n"/>
      <c r="I255" s="81" t="inlineStr">
        <is>
          <t>true</t>
        </is>
      </c>
      <c r="J255" s="243" t="n"/>
      <c r="K255" s="267" t="n"/>
      <c r="L255" s="243" t="n"/>
      <c r="M255" s="243" t="n"/>
      <c r="N255" s="267" t="inlineStr">
        <is>
          <t>selected(${ls_proddif_},'access_labour')</t>
        </is>
      </c>
      <c r="O255" s="243" t="n"/>
      <c r="P255" s="243" t="n"/>
      <c r="Q255" s="243" t="n"/>
      <c r="X255" s="132" t="n"/>
      <c r="Y255" s="71" t="n"/>
      <c r="Z255" s="115" t="n"/>
      <c r="AA255" s="115" t="n"/>
    </row>
    <row r="256" ht="31.95" customHeight="1">
      <c r="A256" s="51" t="inlineStr">
        <is>
          <t>text</t>
        </is>
      </c>
      <c r="B256" s="70" t="inlineStr">
        <is>
          <t>ls_diff_labour_other</t>
        </is>
      </c>
      <c r="C256" s="362" t="inlineStr">
        <is>
          <t>6.53 إذا كانت الإجابة "آخر"، حدد.</t>
        </is>
      </c>
      <c r="D256" s="362" t="inlineStr">
        <is>
          <t>6.53 If other, specify</t>
        </is>
      </c>
      <c r="E256" s="59" t="n"/>
      <c r="F256" s="55" t="inlineStr">
        <is>
          <t>[INSTRUCTIONS: RECORD THE OPEN RESPONSE GIVEN IN FEW WORDS. ENTER 888 FOR DON'T KNOW AND 999 FOR REFUSED]</t>
        </is>
      </c>
      <c r="G256" s="52" t="inlineStr">
        <is>
          <t>[تعليمات: سجل في بضع كلمات الاستجابة المفتوحة المعطاة . أدخل 888 للا أعرف و 999 في حالة الرفض]</t>
        </is>
      </c>
      <c r="H256" s="60" t="n"/>
      <c r="I256" s="81" t="inlineStr">
        <is>
          <t>true</t>
        </is>
      </c>
      <c r="J256" s="243" t="n"/>
      <c r="K256" s="325" t="inlineStr">
        <is>
          <t>string-length(.)&gt;=3</t>
        </is>
      </c>
      <c r="L256" s="306" t="inlineStr">
        <is>
          <t>عفوا، الرجاء تقديم نص و شرح اكثر وضوحا.</t>
        </is>
      </c>
      <c r="M256" s="306" t="inlineStr">
        <is>
          <t>Sorry, Please provide a much more meaningful text</t>
        </is>
      </c>
      <c r="N256" s="267" t="inlineStr">
        <is>
          <t>${ls_diff_labour} = 'other'</t>
        </is>
      </c>
      <c r="O256" s="243" t="n"/>
      <c r="P256" s="243" t="n"/>
      <c r="Q256" s="243" t="n"/>
      <c r="X256" s="132" t="n"/>
      <c r="Y256" s="71" t="n"/>
      <c r="Z256" s="115" t="n"/>
      <c r="AA256" s="115" t="n"/>
    </row>
    <row r="257" ht="112.05" customHeight="1">
      <c r="A257" s="28" t="inlineStr">
        <is>
          <t>select_multiple damassets_ls</t>
        </is>
      </c>
      <c r="B257" s="52" t="inlineStr">
        <is>
          <t>damassets_ls</t>
        </is>
      </c>
      <c r="C257" s="362" t="inlineStr">
        <is>
          <t>6.54 هل تم تدمير أو إتلاف أي من الأصول التالية الخاصة بتربية الثروة الحيوانية أثناء الزلزال؟</t>
        </is>
      </c>
      <c r="D257" s="362" t="inlineStr">
        <is>
          <t>6.54 Have any of your livestock production assets been destroyed or damaged during the earthquake?</t>
        </is>
      </c>
      <c r="E257" s="59" t="n"/>
      <c r="F257" s="55" t="n"/>
      <c r="G257" s="52" t="n"/>
      <c r="H257" s="60" t="n"/>
      <c r="I257" s="81" t="inlineStr">
        <is>
          <t>true</t>
        </is>
      </c>
      <c r="J257" s="243" t="n"/>
      <c r="K257" s="272" t="inlineStr">
        <is>
          <t>if(selected(., '9') or selected(., '10') or selected(., '11'), count-selected(.) = 1, count-selected(.) &gt;= 1)</t>
        </is>
      </c>
      <c r="L257" s="243" t="n"/>
      <c r="M257" s="243" t="n"/>
      <c r="N257" s="267" t="n"/>
      <c r="O257" s="243" t="n"/>
      <c r="P257" s="243" t="n"/>
      <c r="Q257" s="243" t="n"/>
      <c r="X257" s="132" t="n"/>
      <c r="Y257" s="71" t="n"/>
      <c r="Z257" s="115" t="n"/>
      <c r="AA257" s="115" t="n"/>
    </row>
    <row r="258" ht="16.05" customHeight="1">
      <c r="A258" s="52" t="inlineStr">
        <is>
          <t>select_one prop_25</t>
        </is>
      </c>
      <c r="B258" s="52" t="inlineStr">
        <is>
          <t>ls_loss_sheds</t>
        </is>
      </c>
      <c r="C258" s="362" t="inlineStr">
        <is>
          <t>6.55 ما هي نسبة حظائر الحيوانات التي دمرها الزلزال؟</t>
        </is>
      </c>
      <c r="D258" s="362" t="inlineStr">
        <is>
          <t>6.55 How much of your animal sheds have been destroyed by the earthquake?</t>
        </is>
      </c>
      <c r="E258" s="59" t="n"/>
      <c r="G258" s="53" t="n"/>
      <c r="H258" s="60" t="n"/>
      <c r="I258" s="81" t="inlineStr">
        <is>
          <t>true</t>
        </is>
      </c>
      <c r="N258" s="267" t="inlineStr">
        <is>
          <t>selected(${damassets_ls},'2')</t>
        </is>
      </c>
      <c r="X258" s="132" t="n"/>
      <c r="Z258" s="115" t="n"/>
      <c r="AA258" s="115" t="n"/>
    </row>
    <row r="259" ht="16.05" customFormat="1" customHeight="1" s="53">
      <c r="A259" s="55" t="inlineStr">
        <is>
          <t>select_one asset_status</t>
        </is>
      </c>
      <c r="B259" s="55" t="inlineStr">
        <is>
          <t>DamAssetsls_status_sheds</t>
        </is>
      </c>
      <c r="C259" s="362" t="inlineStr">
        <is>
          <t>6.56 ما هو الوضع الحالي لحظائر الحيوانات الخاصة بأسرتك؟</t>
        </is>
      </c>
      <c r="D259" s="362" t="inlineStr">
        <is>
          <t>6.56 What is the current status of your animal sheds?</t>
        </is>
      </c>
      <c r="E259" s="54" t="n"/>
      <c r="H259" s="58" t="n"/>
      <c r="I259" s="81" t="inlineStr">
        <is>
          <t>true</t>
        </is>
      </c>
      <c r="J259" s="80" t="n"/>
      <c r="K259" s="279" t="n"/>
      <c r="L259" s="80" t="n"/>
      <c r="M259" s="80" t="n"/>
      <c r="N259" s="267" t="inlineStr">
        <is>
          <t>selected(${damassets_ls},'2')</t>
        </is>
      </c>
      <c r="O259" s="80" t="n"/>
      <c r="P259" s="80" t="n"/>
      <c r="Q259" s="80" t="n"/>
      <c r="X259" s="132" t="n"/>
      <c r="Y259" s="114" t="n"/>
      <c r="Z259" s="115" t="n"/>
      <c r="AA259" s="115" t="n"/>
      <c r="AB259" s="52" t="n"/>
    </row>
    <row r="260" ht="16.05" customHeight="1">
      <c r="A260" s="52" t="inlineStr">
        <is>
          <t>select_one prop_25</t>
        </is>
      </c>
      <c r="B260" s="52" t="inlineStr">
        <is>
          <t>ls_loss_warehouses</t>
        </is>
      </c>
      <c r="C260" s="362" t="inlineStr">
        <is>
          <t>6.57 ما هي نسبة مستودعات علف الحيوانات و التبن التي دمرها الزلزال؟</t>
        </is>
      </c>
      <c r="D260" s="362" t="inlineStr">
        <is>
          <t>6.57 How much of your animal feed warehouses and hay barns have been destroyed by the earthquake?</t>
        </is>
      </c>
      <c r="E260" s="59" t="n"/>
      <c r="G260" s="53" t="n"/>
      <c r="H260" s="60" t="n"/>
      <c r="I260" s="81" t="inlineStr">
        <is>
          <t>true</t>
        </is>
      </c>
      <c r="N260" s="267" t="inlineStr">
        <is>
          <t>selected(${damassets_ls},'1')</t>
        </is>
      </c>
      <c r="X260" s="132" t="n"/>
      <c r="Z260" s="115" t="n"/>
      <c r="AA260" s="115" t="n"/>
    </row>
    <row r="261" ht="16.05" customFormat="1" customHeight="1" s="53">
      <c r="A261" s="55" t="inlineStr">
        <is>
          <t>select_one asset_status</t>
        </is>
      </c>
      <c r="B261" s="55" t="inlineStr">
        <is>
          <t>DamAssetsls_status_warehouses</t>
        </is>
      </c>
      <c r="C261" s="362" t="inlineStr">
        <is>
          <t>6.58 ما هو الوضع الحالي لمستودعات علف الحيوانات و التبن الخاصة بأسرتك؟</t>
        </is>
      </c>
      <c r="D261" s="362" t="inlineStr">
        <is>
          <t>6.58 What is the current status of your animal feed warehouses and hay barns?</t>
        </is>
      </c>
      <c r="E261" s="54" t="n"/>
      <c r="H261" s="58" t="n"/>
      <c r="I261" s="81" t="inlineStr">
        <is>
          <t>true</t>
        </is>
      </c>
      <c r="J261" s="80" t="n"/>
      <c r="K261" s="279" t="n"/>
      <c r="L261" s="80" t="n"/>
      <c r="M261" s="80" t="n"/>
      <c r="N261" s="267" t="inlineStr">
        <is>
          <t>selected(${damassets_ls},'1')</t>
        </is>
      </c>
      <c r="O261" s="80" t="n"/>
      <c r="P261" s="80" t="n"/>
      <c r="Q261" s="80" t="n"/>
      <c r="X261" s="132" t="n"/>
      <c r="Y261" s="114" t="n"/>
      <c r="Z261" s="115" t="n"/>
      <c r="AA261" s="115" t="n"/>
      <c r="AB261" s="52" t="n"/>
    </row>
    <row r="262" ht="16.05" customHeight="1">
      <c r="A262" s="52" t="inlineStr">
        <is>
          <t>select_one prop_25</t>
        </is>
      </c>
      <c r="B262" s="52" t="inlineStr">
        <is>
          <t>ls_loss_tools</t>
        </is>
      </c>
      <c r="C262" s="362" t="inlineStr">
        <is>
          <t>6.59 ما هي نسبة الأدوات اليدوية للزراعة الخاصة بأسرتك (مثل الرفش وما إلى ذلك) التي تضررت أو دمرت بسبب الزلزال؟</t>
        </is>
      </c>
      <c r="D262" s="362" t="inlineStr">
        <is>
          <t>6.59 How much of your farms hand tools (e.g. shovel, etc.) have been damaged or destroyed by the earthquake?</t>
        </is>
      </c>
      <c r="E262" s="59" t="n"/>
      <c r="G262" s="53" t="n"/>
      <c r="H262" s="60" t="n"/>
      <c r="I262" s="81" t="inlineStr">
        <is>
          <t>true</t>
        </is>
      </c>
      <c r="N262" s="267" t="inlineStr">
        <is>
          <t>selected(${damassets_ls},'3')</t>
        </is>
      </c>
      <c r="X262" s="132" t="n"/>
      <c r="Z262" s="115" t="n"/>
      <c r="AA262" s="115" t="n"/>
    </row>
    <row r="263" ht="16.05" customFormat="1" customHeight="1" s="53">
      <c r="A263" s="55" t="inlineStr">
        <is>
          <t>select_one asset_status</t>
        </is>
      </c>
      <c r="B263" s="55" t="inlineStr">
        <is>
          <t>DamAssetsls_status_tools</t>
        </is>
      </c>
      <c r="C263" s="362" t="inlineStr">
        <is>
          <t>6.60 ما هو الوضع الحالي للأدوات اليدوية للزراعة الخاصة بأسرتك؟</t>
        </is>
      </c>
      <c r="D263" s="362" t="inlineStr">
        <is>
          <t>6.60 What is the current status of your farm hand tools?</t>
        </is>
      </c>
      <c r="E263" s="54" t="n"/>
      <c r="H263" s="58" t="n"/>
      <c r="I263" s="81" t="inlineStr">
        <is>
          <t>true</t>
        </is>
      </c>
      <c r="J263" s="80" t="n"/>
      <c r="K263" s="279" t="n"/>
      <c r="L263" s="80" t="n"/>
      <c r="M263" s="80" t="n"/>
      <c r="N263" s="267" t="inlineStr">
        <is>
          <t>selected(${damassets_ls},'3')</t>
        </is>
      </c>
      <c r="O263" s="80" t="n"/>
      <c r="P263" s="80" t="n"/>
      <c r="Q263" s="80" t="n"/>
      <c r="X263" s="132" t="n"/>
      <c r="Y263" s="114" t="n"/>
      <c r="Z263" s="115" t="n"/>
      <c r="AA263" s="115" t="n"/>
      <c r="AB263" s="52" t="n"/>
    </row>
    <row r="264" ht="16.05" customHeight="1">
      <c r="A264" s="52" t="inlineStr">
        <is>
          <t>select_one prop_25</t>
        </is>
      </c>
      <c r="B264" s="52" t="inlineStr">
        <is>
          <t>ls_loss_machinery</t>
        </is>
      </c>
      <c r="C264" s="362" t="inlineStr">
        <is>
          <t>6.61 ما هي نسبة الآلات والمعدات الخاصة بأسرتك (مثل الجرارات وآلات الحلب/الحلابة وما إلى ذلك) التي تعرضت للتلف أو التدمير بسبب الزلزال؟</t>
        </is>
      </c>
      <c r="D264" s="362" t="inlineStr">
        <is>
          <t>6.61 How much of your machinery and equipment (e.g. tractor, milking machines, etc.) has been damaged or destroyed by the earthquake?</t>
        </is>
      </c>
      <c r="E264" s="59" t="n"/>
      <c r="G264" s="53" t="n"/>
      <c r="H264" s="60" t="n"/>
      <c r="I264" s="81" t="inlineStr">
        <is>
          <t>true</t>
        </is>
      </c>
      <c r="N264" s="267" t="inlineStr">
        <is>
          <t>selected(${damassets_ls},'4')</t>
        </is>
      </c>
      <c r="X264" s="132" t="n"/>
      <c r="Z264" s="115" t="n"/>
      <c r="AA264" s="115" t="n"/>
    </row>
    <row r="265" ht="16.05" customFormat="1" customHeight="1" s="53">
      <c r="A265" s="55" t="inlineStr">
        <is>
          <t>select_one asset_status</t>
        </is>
      </c>
      <c r="B265" s="55" t="inlineStr">
        <is>
          <t>DamAssetsls_status_machinery</t>
        </is>
      </c>
      <c r="C265" s="362" t="inlineStr">
        <is>
          <t>6.62 ما هو الوضع الحالي للآلات والمعدات الخاصة بأسرتك؟</t>
        </is>
      </c>
      <c r="D265" s="362" t="inlineStr">
        <is>
          <t>6.62 What is the current status of your machinery and equipment?</t>
        </is>
      </c>
      <c r="E265" s="54" t="n"/>
      <c r="H265" s="58" t="n"/>
      <c r="I265" s="81" t="inlineStr">
        <is>
          <t>true</t>
        </is>
      </c>
      <c r="J265" s="80" t="n"/>
      <c r="K265" s="279" t="n"/>
      <c r="L265" s="80" t="n"/>
      <c r="M265" s="80" t="n"/>
      <c r="N265" s="267" t="inlineStr">
        <is>
          <t>selected(${damassets_ls},'4')</t>
        </is>
      </c>
      <c r="O265" s="80" t="n"/>
      <c r="P265" s="80" t="n"/>
      <c r="Q265" s="80" t="n"/>
      <c r="X265" s="132" t="n"/>
      <c r="Y265" s="114" t="n"/>
      <c r="Z265" s="115" t="n"/>
      <c r="AA265" s="115" t="n"/>
      <c r="AB265" s="52" t="n"/>
    </row>
    <row r="266" ht="16.05" customHeight="1">
      <c r="A266" s="52" t="inlineStr">
        <is>
          <t>select_one prop_25</t>
        </is>
      </c>
      <c r="B266" s="52" t="inlineStr">
        <is>
          <t>ls_loss_vetsupplies</t>
        </is>
      </c>
      <c r="C266" s="362" t="inlineStr">
        <is>
          <t>6.63 ما هي نسبة المدخلات البيطرية (الأدوية ، إلخ) الخاصة بأسرتك التي تضررت أو دمرت بسبب الزلزال؟</t>
        </is>
      </c>
      <c r="D266" s="362" t="inlineStr">
        <is>
          <t>6.63 How much of your veterinary inputs (drugs, etc.) have been damaged or destroyed by the earthquake?</t>
        </is>
      </c>
      <c r="E266" s="59" t="n"/>
      <c r="G266" s="53" t="n"/>
      <c r="H266" s="60" t="n"/>
      <c r="I266" s="81" t="inlineStr">
        <is>
          <t>true</t>
        </is>
      </c>
      <c r="N266" s="267" t="inlineStr">
        <is>
          <t>selected(${damassets_ls},'5')</t>
        </is>
      </c>
      <c r="X266" s="132" t="n"/>
      <c r="Z266" s="115" t="n"/>
      <c r="AA266" s="115" t="n"/>
    </row>
    <row r="267" ht="16.05" customFormat="1" customHeight="1" s="53">
      <c r="A267" s="55" t="inlineStr">
        <is>
          <t>select_one input_status</t>
        </is>
      </c>
      <c r="B267" s="55" t="inlineStr">
        <is>
          <t>DamAssetsls_status_vetsupplies</t>
        </is>
      </c>
      <c r="C267" s="362" t="inlineStr">
        <is>
          <t>6.64 ما هو الوضع الحالي للمدخلات البيطرية الخاصة بأسرتك؟</t>
        </is>
      </c>
      <c r="D267" s="362" t="inlineStr">
        <is>
          <t>6.64 What is the current status of your veterinary inputs?</t>
        </is>
      </c>
      <c r="E267" s="54" t="n"/>
      <c r="H267" s="58" t="n"/>
      <c r="I267" s="81" t="inlineStr">
        <is>
          <t>true</t>
        </is>
      </c>
      <c r="J267" s="80" t="n"/>
      <c r="K267" s="279" t="n"/>
      <c r="L267" s="80" t="n"/>
      <c r="M267" s="80" t="n"/>
      <c r="N267" s="267" t="inlineStr">
        <is>
          <t>selected(${damassets_ls},'5')</t>
        </is>
      </c>
      <c r="O267" s="80" t="n"/>
      <c r="P267" s="80" t="n"/>
      <c r="Q267" s="80" t="n"/>
      <c r="X267" s="132" t="n"/>
      <c r="Y267" s="114" t="n"/>
      <c r="Z267" s="115" t="n"/>
      <c r="AA267" s="115" t="n"/>
      <c r="AB267" s="52" t="n"/>
    </row>
    <row r="268" ht="31.95" customHeight="1">
      <c r="A268" s="28" t="inlineStr">
        <is>
          <t>select_multiple lidiff</t>
        </is>
      </c>
      <c r="B268" s="28" t="inlineStr">
        <is>
          <t>ls_proddiff_expect</t>
        </is>
      </c>
      <c r="C268" s="362" t="inlineStr">
        <is>
          <t>6.65 ما هي الصعوبات الثلاث الرئيسية التي تتوقع أن تواجهها في إنتاج الثروة الحيوانية خلال الأشهر الستة القادمة؟</t>
        </is>
      </c>
      <c r="D268" s="362" t="inlineStr">
        <is>
          <t>6.65 What are the three major difficulties that you expect to face with your livestock production over the upcoming 6 months?</t>
        </is>
      </c>
      <c r="E268" s="59" t="n"/>
      <c r="F268" s="28" t="inlineStr">
        <is>
          <t>[INSTRUCTIONS: MULTIPLE RESPONSES POSSIBLE. SELECT OPTION(S) THAT BEST FIT THE INFORMATION PROVIDED BY THE RESPONDENTS.]</t>
        </is>
      </c>
      <c r="G268" s="28" t="inlineStr">
        <is>
          <t>[تعليمات: عدة استجابات محتملة. حدد الخيار (الخيارات) الأنسب للمعلومات المقدمة من المجيب]</t>
        </is>
      </c>
      <c r="H268" s="60" t="n"/>
      <c r="I268" s="81" t="inlineStr">
        <is>
          <t>true</t>
        </is>
      </c>
      <c r="J268" s="243" t="n"/>
      <c r="K268" s="267" t="inlineStr">
        <is>
          <t>count-selected(.) &lt;= 3</t>
        </is>
      </c>
      <c r="L268" s="243" t="inlineStr">
        <is>
          <t>Select a maximum of 3 responses for this questions</t>
        </is>
      </c>
      <c r="M268" s="243" t="inlineStr">
        <is>
          <t>حدد 3 إجابات كحد أقصى لهذه الأسئلة</t>
        </is>
      </c>
      <c r="N268" s="303" t="n"/>
      <c r="O268" s="243" t="n"/>
      <c r="P268" s="243" t="n"/>
      <c r="Q268" s="243" t="n"/>
      <c r="X268" s="132" t="n"/>
      <c r="Y268" s="71" t="n"/>
      <c r="Z268" s="115" t="n"/>
      <c r="AA268" s="115" t="n"/>
    </row>
    <row r="269" ht="31.95" customHeight="1">
      <c r="A269" s="28" t="inlineStr">
        <is>
          <t>text</t>
        </is>
      </c>
      <c r="B269" s="28" t="inlineStr">
        <is>
          <t>ls_proddiff_other</t>
        </is>
      </c>
      <c r="C269" s="362" t="inlineStr">
        <is>
          <t>6.66 إذا كانت الإجابة "آخر"، حدد.</t>
        </is>
      </c>
      <c r="D269" s="362" t="inlineStr">
        <is>
          <t>6.66 If other, specify</t>
        </is>
      </c>
      <c r="E269" s="65" t="n"/>
      <c r="F269" s="55" t="inlineStr">
        <is>
          <t>[INSTRUCTIONS: RECORD THE OPEN RESPONSE GIVEN IN FEW WORDS. ENTER 888 FOR DON'T KNOW AND 999 FOR REFUSED]</t>
        </is>
      </c>
      <c r="G269" s="52" t="inlineStr">
        <is>
          <t>[تعليمات: سجل في بضع كلمات الاستجابة المفتوحة المعطاة . أدخل 888 للا أعرف و 999 في حالة الرفض]</t>
        </is>
      </c>
      <c r="H269" s="69" t="n"/>
      <c r="I269" s="81" t="inlineStr">
        <is>
          <t>true</t>
        </is>
      </c>
      <c r="K269" s="325" t="inlineStr">
        <is>
          <t>string-length(.)&gt;=3</t>
        </is>
      </c>
      <c r="L269" s="306" t="inlineStr">
        <is>
          <t>عفوا، الرجاء تقديم نص و شرح اكثر وضوحا.</t>
        </is>
      </c>
      <c r="M269" s="306" t="inlineStr">
        <is>
          <t>Sorry, Please provide a much more meaningful text</t>
        </is>
      </c>
      <c r="N269" s="266" t="inlineStr">
        <is>
          <t>selected(${ls_proddiff_expect}, 'other')</t>
        </is>
      </c>
      <c r="X269" s="132" t="n"/>
      <c r="Y269" s="71">
        <f>'Additional information'!$C$15</f>
        <v/>
      </c>
      <c r="Z269" s="115">
        <f>IF(X269&lt;&gt;"",X269*Y269,"")</f>
        <v/>
      </c>
      <c r="AA269" s="115">
        <f>IF(AND(X269&lt;&gt;"",V269="yes"),X269*Y269,"")</f>
        <v/>
      </c>
    </row>
    <row r="270" ht="16.05" customHeight="1" thickBot="1">
      <c r="A270" s="68" t="inlineStr">
        <is>
          <t>end_group</t>
        </is>
      </c>
      <c r="B270" s="68" t="n"/>
      <c r="C270" s="369" t="n"/>
      <c r="D270" s="372" t="n"/>
      <c r="E270" s="244" t="n"/>
      <c r="F270" s="68" t="n"/>
      <c r="G270" s="68" t="n"/>
      <c r="H270" s="73" t="n"/>
      <c r="I270" s="247" t="n"/>
      <c r="J270" s="247" t="n"/>
      <c r="K270" s="273" t="n"/>
      <c r="L270" s="247" t="n"/>
      <c r="M270" s="247" t="n"/>
      <c r="N270" s="273" t="n"/>
      <c r="O270" s="247" t="n"/>
      <c r="P270" s="247" t="n"/>
      <c r="Q270" s="247" t="n"/>
      <c r="X270" s="132" t="n"/>
      <c r="Z270" s="115">
        <f>IF(X270&lt;&gt;"",X270*Y270,"")</f>
        <v/>
      </c>
      <c r="AA270" s="115">
        <f>IF(AND(X270&lt;&gt;"",V270="yes"),X270*Y270,"")</f>
        <v/>
      </c>
    </row>
    <row r="271" ht="64.95" customFormat="1" customHeight="1" s="49" thickTop="1">
      <c r="A271" s="282" t="inlineStr">
        <is>
          <t>begin_group</t>
        </is>
      </c>
      <c r="B271" s="282" t="inlineStr">
        <is>
          <t>LivestockSales_group</t>
        </is>
      </c>
      <c r="C271" s="365" t="inlineStr">
        <is>
          <t>7. تسويق الحيوانات و المنتجات الحيوانية</t>
        </is>
      </c>
      <c r="D271" s="365" t="inlineStr">
        <is>
          <t xml:space="preserve">7. LIVESTOCK &amp; LIVESTOCK PRODUCT MARKETING </t>
        </is>
      </c>
      <c r="E271" s="47" t="n"/>
      <c r="F271" s="46" t="n"/>
      <c r="G271" s="46" t="n"/>
      <c r="H271" s="48" t="n"/>
      <c r="I271" s="82" t="inlineStr">
        <is>
          <t>false</t>
        </is>
      </c>
      <c r="J271" s="82" t="n"/>
      <c r="K271" s="275" t="n"/>
      <c r="L271" s="82" t="n"/>
      <c r="M271" s="82" t="n"/>
      <c r="N271" s="270" t="inlineStr">
        <is>
          <t>${resp_agree} = '1' and (${income_main}='4' or ${income_sec}='4' or ${income_third}='4')</t>
        </is>
      </c>
      <c r="O271" s="82" t="n"/>
      <c r="P271" s="82" t="n"/>
      <c r="Q271" s="82" t="n"/>
      <c r="V271" s="28" t="inlineStr">
        <is>
          <t>yes</t>
        </is>
      </c>
      <c r="X271" s="132" t="n"/>
      <c r="Y271" s="114" t="n"/>
      <c r="Z271" s="115">
        <f>IF(X271&lt;&gt;"",X271*Y271,"")</f>
        <v/>
      </c>
      <c r="AA271" s="115">
        <f>IF(AND(X271&lt;&gt;"",V271="yes"),X271*Y271,"")</f>
        <v/>
      </c>
      <c r="AB271" s="50" t="n"/>
    </row>
    <row r="272" ht="16.05" customFormat="1" customHeight="1" s="49">
      <c r="A272" s="51" t="inlineStr">
        <is>
          <t>select_one salesmain</t>
        </is>
      </c>
      <c r="B272" s="51" t="inlineStr">
        <is>
          <t>ls_salesmain</t>
        </is>
      </c>
      <c r="C272" s="362" t="inlineStr">
        <is>
          <t>7.1 ما كان نوع الحيوان الأساسي أو المنتج الحيواني الرئيسي الذي باعته أسرتك منذ الزلزال؟</t>
        </is>
      </c>
      <c r="D272" s="362" t="inlineStr">
        <is>
          <t>7.1 What has been the main livestock or livestock product sold by the household since the earthquake?</t>
        </is>
      </c>
      <c r="E272" s="59" t="n"/>
      <c r="F272" s="70" t="n"/>
      <c r="G272" s="70" t="n"/>
      <c r="H272" s="60" t="n"/>
      <c r="I272" s="243" t="inlineStr">
        <is>
          <t>true</t>
        </is>
      </c>
      <c r="J272" s="243" t="inlineStr">
        <is>
          <t>minimal</t>
        </is>
      </c>
      <c r="K272" s="275" t="n"/>
      <c r="L272" s="82" t="n"/>
      <c r="M272" s="82" t="n"/>
      <c r="N272" s="275" t="n"/>
      <c r="O272" s="82" t="n"/>
      <c r="P272" s="82" t="n"/>
      <c r="Q272" s="82" t="n"/>
      <c r="V272" s="28" t="inlineStr">
        <is>
          <t>yes</t>
        </is>
      </c>
      <c r="X272" s="132" t="n">
        <v>13.99939060211182</v>
      </c>
      <c r="Y272" s="71">
        <f>'Additional information'!$C$15</f>
        <v/>
      </c>
      <c r="Z272" s="115">
        <f>IF(X272&lt;&gt;"",X272*Y272,"")</f>
        <v/>
      </c>
      <c r="AA272" s="115">
        <f>IF(AND(X272&lt;&gt;"",V272="yes"),X272*Y272,"")</f>
        <v/>
      </c>
      <c r="AB272" s="50" t="n"/>
    </row>
    <row r="273">
      <c r="A273" s="51" t="inlineStr">
        <is>
          <t>calculate</t>
        </is>
      </c>
      <c r="B273" s="51" t="inlineStr">
        <is>
          <t>lssalesmain</t>
        </is>
      </c>
      <c r="C273" s="371" t="n"/>
      <c r="D273" s="372" t="n"/>
      <c r="E273" s="59" t="n"/>
      <c r="H273" s="60" t="n"/>
      <c r="I273" s="243" t="n"/>
      <c r="J273" s="243" t="n"/>
      <c r="K273" s="26" t="n"/>
      <c r="L273" s="243" t="n"/>
      <c r="M273" s="243" t="n"/>
      <c r="N273" s="26" t="n"/>
      <c r="O273" s="243" t="n"/>
      <c r="P273" s="243" t="n"/>
      <c r="Q273" s="243" t="inlineStr">
        <is>
          <t>jr:choice-name(${ls_salesmain},'${ls_salesmain}')</t>
        </is>
      </c>
      <c r="V273" s="28" t="inlineStr">
        <is>
          <t>yes</t>
        </is>
      </c>
      <c r="X273" s="132" t="n"/>
      <c r="Y273" s="71">
        <f>'Additional information'!$C$15</f>
        <v/>
      </c>
      <c r="Z273" s="115">
        <f>IF(X273&lt;&gt;"",X273*Y273,"")</f>
        <v/>
      </c>
      <c r="AA273" s="115">
        <f>IF(AND(X273&lt;&gt;"",V273="yes"),X273*Y273,"")</f>
        <v/>
      </c>
    </row>
    <row r="274" ht="16.05" customHeight="1">
      <c r="A274" s="51" t="inlineStr">
        <is>
          <t>select_one yes_no</t>
        </is>
      </c>
      <c r="B274" s="51" t="inlineStr">
        <is>
          <t>lssalesmain_change</t>
        </is>
      </c>
      <c r="C274" s="362" t="inlineStr">
        <is>
          <t>7.2 هل واجهت أسرتك تغيرًا في كمية ${lssalesmain} التي تم إنتاجها منذ وقوع الزلزال؟</t>
        </is>
      </c>
      <c r="D274" s="362" t="inlineStr">
        <is>
          <t>7.2 Has your household faced a change in quantity of ${lssalesmain} produced since the earthquake?</t>
        </is>
      </c>
      <c r="E274" s="59" t="n"/>
      <c r="H274" s="60" t="n"/>
      <c r="I274" s="81" t="inlineStr">
        <is>
          <t>true</t>
        </is>
      </c>
      <c r="J274" s="243" t="n"/>
      <c r="K274" s="26" t="n"/>
      <c r="L274" s="243" t="n"/>
      <c r="M274" s="243" t="n"/>
      <c r="N274" s="26" t="n"/>
      <c r="O274" s="243" t="n"/>
      <c r="P274" s="243" t="n"/>
      <c r="Q274" s="243" t="n"/>
      <c r="X274" s="132" t="n"/>
      <c r="Y274" s="71" t="n"/>
      <c r="Z274" s="115" t="n"/>
      <c r="AA274" s="115" t="n"/>
    </row>
    <row r="275" ht="16.05" customHeight="1">
      <c r="A275" s="28" t="inlineStr">
        <is>
          <t>select_one change</t>
        </is>
      </c>
      <c r="B275" s="51" t="inlineStr">
        <is>
          <t>lssalesmain_change_prop</t>
        </is>
      </c>
      <c r="C275" s="362" t="inlineStr">
        <is>
          <t>7.3 ما هي النسبة التي تغير فيها إنتاج ${lssalesmain}؟</t>
        </is>
      </c>
      <c r="D275" s="362" t="inlineStr">
        <is>
          <t>7.3 In what proportion has your ${lssalesmain} production changed?</t>
        </is>
      </c>
      <c r="E275" s="59" t="n"/>
      <c r="H275" s="60" t="n"/>
      <c r="I275" s="81" t="inlineStr">
        <is>
          <t>true</t>
        </is>
      </c>
      <c r="N275" s="267" t="inlineStr">
        <is>
          <t xml:space="preserve">${lssalesmain_change} = '1' </t>
        </is>
      </c>
      <c r="X275" s="132" t="n"/>
      <c r="Y275" s="71">
        <f>'Additional information'!$C$15</f>
        <v/>
      </c>
      <c r="Z275" s="115">
        <f>IF(X275&lt;&gt;"",X275*Y275,"")</f>
        <v/>
      </c>
      <c r="AA275" s="115">
        <f>IF(AND(X275&lt;&gt;"",V275="yes"),X275*Y275,"")</f>
        <v/>
      </c>
    </row>
    <row r="276" ht="16.05" customHeight="1">
      <c r="A276" s="51" t="inlineStr">
        <is>
          <t>select_one yes_no</t>
        </is>
      </c>
      <c r="B276" s="51" t="inlineStr">
        <is>
          <t>ls_salesdif</t>
        </is>
      </c>
      <c r="C276" s="362" t="inlineStr">
        <is>
          <t>7.4 هل واجهت أسرتك أي صعوبة منذ الزلزال في بيع ${lssalesmain}؟</t>
        </is>
      </c>
      <c r="D276" s="362" t="inlineStr">
        <is>
          <t>7.4 Has your household faced any significant difficulty since the earthquake in selling your ${lssalesmain}?</t>
        </is>
      </c>
      <c r="E276" s="59" t="n"/>
      <c r="H276" s="60" t="n"/>
      <c r="I276" s="81" t="inlineStr">
        <is>
          <t>true</t>
        </is>
      </c>
      <c r="J276" s="243" t="n"/>
      <c r="K276" s="26" t="n"/>
      <c r="L276" s="243" t="n"/>
      <c r="M276" s="243" t="n"/>
      <c r="N276" s="26" t="n"/>
      <c r="O276" s="243" t="n"/>
      <c r="P276" s="243" t="n"/>
      <c r="Q276" s="243" t="n"/>
      <c r="V276" s="28" t="inlineStr">
        <is>
          <t>yes</t>
        </is>
      </c>
      <c r="X276" s="132" t="n">
        <v>10.25279426574707</v>
      </c>
      <c r="Y276" s="71">
        <f>'Additional information'!$C$15</f>
        <v/>
      </c>
      <c r="Z276" s="115">
        <f>IF(X276&lt;&gt;"",X276*Y276,"")</f>
        <v/>
      </c>
      <c r="AA276" s="115">
        <f>IF(AND(X276&lt;&gt;"",V276="yes"),X276*Y276,"")</f>
        <v/>
      </c>
    </row>
    <row r="277" ht="96" customHeight="1">
      <c r="A277" s="51" t="inlineStr">
        <is>
          <t>select_multiple lssalesdif</t>
        </is>
      </c>
      <c r="B277" s="51" t="inlineStr">
        <is>
          <t>ls_salesdif_</t>
        </is>
      </c>
      <c r="C277" s="362" t="inlineStr">
        <is>
          <t>7.5 ما الصعوبات التي واجهتها أسرتك منذ الزلزال في بيع ${lssalesmain}؟</t>
        </is>
      </c>
      <c r="D277" s="362" t="inlineStr">
        <is>
          <t>7.5 What difficulties has your household faced since the earthquake in selling your ${lssalesmain}?</t>
        </is>
      </c>
      <c r="E277" s="59" t="n"/>
      <c r="F277" s="28" t="inlineStr">
        <is>
          <t>[INSTRUCTIONS: MULTIPLE RESPONSES POSSIBLE. SELECT OPTION(S) THAT BEST FIT THE INFORMATION PROVIDED BY THE RESPONDENTS.]</t>
        </is>
      </c>
      <c r="G277" s="28" t="inlineStr">
        <is>
          <t>[تعليمات: عدة استجابات محتملة. حدد الخيار (الخيارات) الأنسب للمعلومات المقدمة من المجيب]</t>
        </is>
      </c>
      <c r="H277" s="60" t="n"/>
      <c r="I277" s="81" t="inlineStr">
        <is>
          <t>true</t>
        </is>
      </c>
      <c r="J277" s="243" t="n"/>
      <c r="K277" s="267" t="inlineStr">
        <is>
          <t>if(selected(., 'dk') or selected(., 'ref'), count-selected(.) = 1, count-selected(.) &gt;= 1)</t>
        </is>
      </c>
      <c r="L277" s="81" t="n"/>
      <c r="M277" s="81" t="n"/>
      <c r="N277" s="267" t="inlineStr">
        <is>
          <t xml:space="preserve">${ls_salesdif} = '1' </t>
        </is>
      </c>
      <c r="O277" s="243" t="n"/>
      <c r="P277" s="243" t="n"/>
      <c r="Q277" s="243" t="n"/>
      <c r="V277" s="28" t="inlineStr">
        <is>
          <t>yes</t>
        </is>
      </c>
      <c r="X277" s="132" t="n">
        <v>24.19434356689453</v>
      </c>
      <c r="Y277" s="71">
        <f>'Additional information'!$C$15</f>
        <v/>
      </c>
      <c r="Z277" s="115">
        <f>IF(X277&lt;&gt;"",X277*Y277,"")</f>
        <v/>
      </c>
      <c r="AA277" s="115">
        <f>IF(AND(X277&lt;&gt;"",V277="yes"),X277*Y277,"")</f>
        <v/>
      </c>
    </row>
    <row r="278" ht="16.05" customHeight="1">
      <c r="A278" s="51" t="inlineStr">
        <is>
          <t>select_one change2</t>
        </is>
      </c>
      <c r="B278" s="51" t="inlineStr">
        <is>
          <t>ls_salesprice</t>
        </is>
      </c>
      <c r="C278" s="362" t="inlineStr">
        <is>
          <t>7.6 كيف تقارن السعر الحالي ل ${lssalesmain} لأسرتك بمتوسط ​​السعر في نفس الفترة من السنة العادية؟</t>
        </is>
      </c>
      <c r="D278" s="362" t="inlineStr">
        <is>
          <t>7.6 How does the current price of your household's ${lssalesmain} compare to the average price in the same period of a normal year?</t>
        </is>
      </c>
      <c r="E278" s="59" t="n"/>
      <c r="F278" s="51" t="inlineStr">
        <is>
          <t>[INSTRUCTIONS: INSIST ON THE MAIN PRODUCT MENTIONED.]</t>
        </is>
      </c>
      <c r="G278" s="70" t="inlineStr">
        <is>
          <t>[تعليمات: قم بالإصرار على المنتج الرئيسي المذكور]</t>
        </is>
      </c>
      <c r="H278" s="60" t="n"/>
      <c r="I278" s="243" t="inlineStr">
        <is>
          <t>true</t>
        </is>
      </c>
      <c r="J278" s="243" t="n"/>
      <c r="K278" s="26" t="n"/>
      <c r="L278" s="243" t="n"/>
      <c r="M278" s="243" t="n"/>
      <c r="N278" s="267" t="n"/>
      <c r="O278" s="243" t="n"/>
      <c r="P278" s="243" t="n"/>
      <c r="Q278" s="243" t="n"/>
      <c r="V278" s="28" t="inlineStr">
        <is>
          <t>yes</t>
        </is>
      </c>
      <c r="X278" s="132" t="n">
        <v>19.32173728942871</v>
      </c>
      <c r="Y278" s="71">
        <f>'Additional information'!$C$15</f>
        <v/>
      </c>
      <c r="Z278" s="115">
        <f>IF(X278&lt;&gt;"",X278*Y278,"")</f>
        <v/>
      </c>
      <c r="AA278" s="115">
        <f>IF(AND(X278&lt;&gt;"",V278="yes"),X278*Y278,"")</f>
        <v/>
      </c>
    </row>
    <row r="279" ht="16.05" customHeight="1" thickBot="1">
      <c r="A279" s="68" t="inlineStr">
        <is>
          <t>end_group</t>
        </is>
      </c>
      <c r="B279" s="68" t="n"/>
      <c r="C279" s="369" t="n"/>
      <c r="D279" s="372" t="n"/>
      <c r="E279" s="244" t="n"/>
      <c r="F279" s="68" t="n"/>
      <c r="G279" s="68" t="n"/>
      <c r="H279" s="73" t="n"/>
      <c r="I279" s="247" t="n"/>
      <c r="J279" s="247" t="n"/>
      <c r="K279" s="273" t="n"/>
      <c r="L279" s="247" t="n"/>
      <c r="M279" s="247" t="n"/>
      <c r="N279" s="273" t="n"/>
      <c r="O279" s="247" t="n"/>
      <c r="P279" s="247" t="n"/>
      <c r="Q279" s="247" t="n"/>
      <c r="X279" s="132" t="n"/>
      <c r="Z279" s="115">
        <f>IF(X279&lt;&gt;"",X279*Y279,"")</f>
        <v/>
      </c>
      <c r="AA279" s="115">
        <f>IF(AND(X279&lt;&gt;"",V279="yes"),X279*Y279,"")</f>
        <v/>
      </c>
    </row>
    <row r="280" ht="99" customFormat="1" customHeight="1" s="49" thickTop="1">
      <c r="A280" s="282" t="inlineStr">
        <is>
          <t>begin_group</t>
        </is>
      </c>
      <c r="B280" s="282" t="inlineStr">
        <is>
          <t>Fishing_group</t>
        </is>
      </c>
      <c r="C280" s="365" t="inlineStr">
        <is>
          <t>8. إنتاج الأسماك وتربية الأحياء المائية</t>
        </is>
      </c>
      <c r="D280" s="365" t="inlineStr">
        <is>
          <t>8. FISHING / AQUACULTURE PRODUCTION</t>
        </is>
      </c>
      <c r="E280" s="47" t="n"/>
      <c r="F280" s="46" t="n"/>
      <c r="G280" s="46" t="n"/>
      <c r="H280" s="48" t="n"/>
      <c r="I280" s="82" t="inlineStr">
        <is>
          <t>false</t>
        </is>
      </c>
      <c r="J280" s="82" t="n"/>
      <c r="K280" s="275" t="n"/>
      <c r="L280" s="82" t="n"/>
      <c r="M280" s="82" t="n"/>
      <c r="N280" s="278" t="inlineStr">
        <is>
          <t>${resp_agree} = '1' and (${income_main_fish_check}='1' or ${income_sec_fish_check}='1' or ${income_third_fish_check}='1')</t>
        </is>
      </c>
      <c r="O280" s="82" t="n"/>
      <c r="P280" s="82" t="n"/>
      <c r="Q280" s="82" t="n"/>
      <c r="V280" s="28" t="inlineStr">
        <is>
          <t>yes</t>
        </is>
      </c>
      <c r="X280" s="132" t="n"/>
      <c r="Y280" s="50" t="n"/>
      <c r="Z280" s="115">
        <f>IF(X280&lt;&gt;"",X280*Y280,"")</f>
        <v/>
      </c>
      <c r="AA280" s="115">
        <f>IF(AND(X280&lt;&gt;"",V280="yes"),X280*Y280,"")</f>
        <v/>
      </c>
      <c r="AB280" s="50" t="n"/>
    </row>
    <row r="281" ht="31.95" customFormat="1" customHeight="1" s="52">
      <c r="A281" s="55" t="inlineStr">
        <is>
          <t>note</t>
        </is>
      </c>
      <c r="B281" s="55" t="inlineStr">
        <is>
          <t>fish_intro</t>
        </is>
      </c>
      <c r="C281" s="391" t="inlineStr">
        <is>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is>
      </c>
      <c r="D281" s="364" t="inlineStr">
        <is>
          <t>We will now ask you some questions about fishing and aquaculture production which apply to you and anyone in your household that is involved in the capture, culture, processing or sales of fish.</t>
        </is>
      </c>
      <c r="E281" s="65" t="n"/>
      <c r="H281" s="67" t="n"/>
      <c r="I281" s="81" t="inlineStr">
        <is>
          <t>false</t>
        </is>
      </c>
      <c r="J281" s="81" t="n"/>
      <c r="K281" s="267" t="n"/>
      <c r="L281" s="81" t="n"/>
      <c r="M281" s="81" t="n"/>
      <c r="N281" s="267" t="n"/>
      <c r="O281" s="81" t="n"/>
      <c r="P281" s="81" t="n"/>
      <c r="Q281" s="81" t="n"/>
      <c r="V281" s="52" t="inlineStr">
        <is>
          <t>yes</t>
        </is>
      </c>
      <c r="X281" s="132" t="n">
        <v>7.5</v>
      </c>
      <c r="Y281" s="71">
        <f>'Additional information'!$C$16</f>
        <v/>
      </c>
      <c r="Z281" s="115">
        <f>IF(X281&lt;&gt;"",X281*Y281,"")</f>
        <v/>
      </c>
      <c r="AA281" s="115">
        <f>IF(AND(X281&lt;&gt;"",V281="yes"),X281*Y281,"")</f>
        <v/>
      </c>
    </row>
    <row r="282" ht="96" customHeight="1">
      <c r="A282" s="51" t="inlineStr">
        <is>
          <t>select_multiple fishactivity</t>
        </is>
      </c>
      <c r="B282" s="51" t="inlineStr">
        <is>
          <t>fish_main</t>
        </is>
      </c>
      <c r="C282" s="362" t="inlineStr">
        <is>
          <t>8.1 ما نوع نشاط الصيد الذي تمارسه أسرتك بشكل عام؟</t>
        </is>
      </c>
      <c r="D282" s="362" t="inlineStr">
        <is>
          <t>8.1 What type of fishing activity does your household generally practice?</t>
        </is>
      </c>
      <c r="E282" s="59" t="n"/>
      <c r="F282" s="28" t="inlineStr">
        <is>
          <t>[INSTRUCTIONS: MUTIPLE RESPONSES POSSIBLE.]</t>
        </is>
      </c>
      <c r="G282" s="28" t="inlineStr">
        <is>
          <t>[تعليمات: احتمال وجود عدة استجابات]</t>
        </is>
      </c>
      <c r="H282" s="60" t="n"/>
      <c r="I282" s="81" t="inlineStr">
        <is>
          <t>true</t>
        </is>
      </c>
      <c r="J282" s="243" t="n"/>
      <c r="K282" s="26" t="inlineStr">
        <is>
          <t>if(selected(., 'dk') or selected(., 'ref'), count-selected(.) = 1, count-selected(.) &gt;= 1)</t>
        </is>
      </c>
      <c r="L282" s="243" t="n"/>
      <c r="M282" s="243" t="n"/>
      <c r="N282" s="26" t="n"/>
      <c r="O282" s="243" t="n"/>
      <c r="P282" s="243" t="n"/>
      <c r="Q282" s="243" t="n"/>
      <c r="V282" s="28" t="inlineStr">
        <is>
          <t>yes</t>
        </is>
      </c>
      <c r="X282" s="132" t="n">
        <v>19.09011650085449</v>
      </c>
      <c r="Y282" s="71">
        <f>'Additional information'!$C$16</f>
        <v/>
      </c>
      <c r="Z282" s="115">
        <f>IF(X282&lt;&gt;"",X282*Y282,"")</f>
        <v/>
      </c>
      <c r="AA282" s="115">
        <f>IF(AND(X282&lt;&gt;"",V282="yes"),X282*Y282,"")</f>
        <v/>
      </c>
    </row>
    <row r="283" ht="16.05" customHeight="1">
      <c r="A283" s="52" t="inlineStr">
        <is>
          <t>select_one prop_25</t>
        </is>
      </c>
      <c r="B283" s="51" t="inlineStr">
        <is>
          <t>fish_loss_prop</t>
        </is>
      </c>
      <c r="C283" s="362" t="inlineStr">
        <is>
          <t>8.2 ما هي نسبة الأحياء المائية التي فقدتها بسبب الزلزال؟</t>
        </is>
      </c>
      <c r="D283" s="362" t="inlineStr">
        <is>
          <t>8.2 How much of your acquaculture production was lost during the earthquake?</t>
        </is>
      </c>
      <c r="E283" s="59" t="n"/>
      <c r="H283" s="60" t="n"/>
      <c r="I283" s="81" t="inlineStr">
        <is>
          <t>true</t>
        </is>
      </c>
      <c r="J283" s="243" t="n"/>
      <c r="K283" s="26" t="n"/>
      <c r="L283" s="243" t="n"/>
      <c r="M283" s="243" t="n"/>
      <c r="N283" s="26" t="n"/>
      <c r="O283" s="243" t="n"/>
      <c r="P283" s="243" t="n"/>
      <c r="Q283" s="243" t="n"/>
      <c r="X283" s="132" t="n"/>
      <c r="Y283" s="71" t="n"/>
      <c r="Z283" s="115" t="n"/>
      <c r="AA283" s="115" t="n"/>
    </row>
    <row r="284" ht="16.05" customHeight="1">
      <c r="A284" s="51" t="inlineStr">
        <is>
          <t>select_one change2</t>
        </is>
      </c>
      <c r="B284" s="51" t="inlineStr">
        <is>
          <t>fish_change</t>
        </is>
      </c>
      <c r="C284" s="362" t="inlineStr">
        <is>
          <t>8.3 كيف تقارن كمية صيد الأسماك [الصيد] منذ الزلزال [أو آخر حصاد] بنفس الفترة [الحصاد] في العام الماضي؟</t>
        </is>
      </c>
      <c r="D284" s="362" t="inlineStr">
        <is>
          <t>8.3 How does your fish catch [capture fishery] since the earthquake [or last harvest] compare to the same period [harvest] last year?</t>
        </is>
      </c>
      <c r="E284" s="59" t="n"/>
      <c r="H284" s="60" t="n"/>
      <c r="I284" s="81" t="inlineStr">
        <is>
          <t>true</t>
        </is>
      </c>
      <c r="J284" s="243" t="n"/>
      <c r="K284" s="26" t="n"/>
      <c r="L284" s="243" t="n"/>
      <c r="M284" s="243" t="n"/>
      <c r="N284" s="26" t="n"/>
      <c r="O284" s="243" t="n"/>
      <c r="P284" s="243" t="n"/>
      <c r="Q284" s="243" t="n"/>
      <c r="V284" s="28" t="inlineStr">
        <is>
          <t>yes</t>
        </is>
      </c>
      <c r="X284" s="132" t="n">
        <v>17.6569766998291</v>
      </c>
      <c r="Y284" s="71">
        <f>'Additional information'!$C$16</f>
        <v/>
      </c>
      <c r="Z284" s="115">
        <f>IF(X284&lt;&gt;"",X284*Y284,"")</f>
        <v/>
      </c>
      <c r="AA284" s="115">
        <f>IF(AND(X284&lt;&gt;"",V284="yes"),X284*Y284,"")</f>
        <v/>
      </c>
    </row>
    <row r="285" ht="16.05" customHeight="1">
      <c r="A285" s="51" t="inlineStr">
        <is>
          <t>select_one yes_no</t>
        </is>
      </c>
      <c r="B285" s="51" t="inlineStr">
        <is>
          <t>fish_proddif</t>
        </is>
      </c>
      <c r="C285" s="362" t="inlineStr">
        <is>
          <t>8.4 هل واجهت أسرتك أي صعوبة في صيد الأسماك و / أو حصادها منذ الزلزال؟</t>
        </is>
      </c>
      <c r="D285" s="362" t="inlineStr">
        <is>
          <t>8.4 Has your household faced any significant difficulty with fish catch and/or harvest since the earthquake?</t>
        </is>
      </c>
      <c r="E285" s="59" t="n"/>
      <c r="H285" s="60" t="n"/>
      <c r="I285" s="243" t="inlineStr">
        <is>
          <t>true</t>
        </is>
      </c>
      <c r="J285" s="243" t="n"/>
      <c r="K285" s="26" t="n"/>
      <c r="L285" s="243" t="n"/>
      <c r="M285" s="243" t="n"/>
      <c r="N285" s="26" t="n"/>
      <c r="O285" s="243" t="n"/>
      <c r="P285" s="243" t="n"/>
      <c r="Q285" s="243" t="n"/>
      <c r="V285" s="28" t="inlineStr">
        <is>
          <t>yes</t>
        </is>
      </c>
      <c r="X285" s="133" t="n">
        <v>8.764705657958984</v>
      </c>
      <c r="Y285" s="71">
        <f>'Additional information'!$C$16</f>
        <v/>
      </c>
      <c r="Z285" s="115">
        <f>IF(X285&lt;&gt;"",X285*Y285,"")</f>
        <v/>
      </c>
      <c r="AA285" s="115">
        <f>IF(AND(X285&lt;&gt;"",V285="yes"),X285*Y285,"")</f>
        <v/>
      </c>
    </row>
    <row r="286" ht="96" customHeight="1">
      <c r="A286" s="51" t="inlineStr">
        <is>
          <t>select_multiple fishproddiff</t>
        </is>
      </c>
      <c r="B286" s="51" t="inlineStr">
        <is>
          <t>fish_proddif_</t>
        </is>
      </c>
      <c r="C286" s="362" t="inlineStr">
        <is>
          <t>8.5 ما الصعوبات التي واجهتها أسرتك في صيد الأسماك و / أو حصادها منذ الزلزال؟</t>
        </is>
      </c>
      <c r="D286" s="362" t="inlineStr">
        <is>
          <t>8.5 Which difficulties has your household faced with fish catch and/or harvest since the earthquake?</t>
        </is>
      </c>
      <c r="E286" s="59" t="n"/>
      <c r="F286" s="28" t="inlineStr">
        <is>
          <t>[INSTRUCTIONS: MULTIPLE RESPONSES POSSIBLE. SELECT OPTION(S) THAT BEST FIT THE INFORMATION PROVIDED BY THE RESPONDENTS.]</t>
        </is>
      </c>
      <c r="G286" s="28" t="inlineStr">
        <is>
          <t>[تعليمات: عدة استجابات محتملة. حدد الخيار (الخيارات) الأنسب للمعلومات المقدمة من المجيب]</t>
        </is>
      </c>
      <c r="H286" s="60" t="n"/>
      <c r="I286" s="81" t="inlineStr">
        <is>
          <t>true</t>
        </is>
      </c>
      <c r="J286" s="243" t="n"/>
      <c r="K286" s="267" t="inlineStr">
        <is>
          <t>if(selected(., 'dk') or selected(., 'ref'), count-selected(.) = 1, count-selected(.) &gt;= 1)</t>
        </is>
      </c>
      <c r="L286" s="243" t="n"/>
      <c r="M286" s="243" t="n"/>
      <c r="N286" s="267" t="inlineStr">
        <is>
          <t>${fish_proddif}='1'</t>
        </is>
      </c>
      <c r="O286" s="243" t="n"/>
      <c r="P286" s="243" t="n"/>
      <c r="Q286" s="243" t="n"/>
      <c r="V286" s="28" t="inlineStr">
        <is>
          <t>yes</t>
        </is>
      </c>
      <c r="X286" s="133" t="n">
        <v>27.9538459777832</v>
      </c>
      <c r="Y286" s="71">
        <f>'Additional information'!$C$16</f>
        <v/>
      </c>
      <c r="Z286" s="115">
        <f>IF(X286&lt;&gt;"",X286*Y286,"")</f>
        <v/>
      </c>
      <c r="AA286" s="115">
        <f>IF(AND(X286&lt;&gt;"",V286="yes"),X286*Y286,"")</f>
        <v/>
      </c>
    </row>
    <row r="287" ht="31.95" customHeight="1">
      <c r="A287" s="51" t="inlineStr">
        <is>
          <t>text</t>
        </is>
      </c>
      <c r="B287" s="51" t="inlineStr">
        <is>
          <t>fish_proddif_otherspecify</t>
        </is>
      </c>
      <c r="C287" s="362" t="inlineStr">
        <is>
          <t>8.6 إذا كانت الإجابة "آخر"، حدد.</t>
        </is>
      </c>
      <c r="D287" s="362" t="inlineStr">
        <is>
          <t>8.6 If other, specify.</t>
        </is>
      </c>
      <c r="E287" s="65" t="n"/>
      <c r="F287" s="52" t="inlineStr">
        <is>
          <t>[INSTRUCTIONS: RECORD THE OPEN RESPONSE GIVEN IN FEW WORDS. ENTER 888 FOR DON'T KNOW AND 999 FOR REFUSED]</t>
        </is>
      </c>
      <c r="G287" s="52" t="inlineStr">
        <is>
          <t>[تعليمات: سجل في بضع كلمات الاستجابة المفتوحة المعطاة . أدخل 888 للا أعرف و 999 في حالة الرفض]</t>
        </is>
      </c>
      <c r="H287" s="60" t="n"/>
      <c r="I287" s="243" t="inlineStr">
        <is>
          <t>true</t>
        </is>
      </c>
      <c r="J287" s="243" t="n"/>
      <c r="K287" s="325" t="inlineStr">
        <is>
          <t>string-length(.)&gt;=3</t>
        </is>
      </c>
      <c r="L287" s="306" t="inlineStr">
        <is>
          <t>عفوا، الرجاء تقديم نص و شرح اكثر وضوحا.</t>
        </is>
      </c>
      <c r="M287" s="306" t="inlineStr">
        <is>
          <t>Sorry, Please provide a much more meaningful text</t>
        </is>
      </c>
      <c r="N287" s="26" t="inlineStr">
        <is>
          <t>${fish_proddif} = '1' and selected(${fish_proddif_}, 'other')</t>
        </is>
      </c>
      <c r="O287" s="243" t="n"/>
      <c r="P287" s="243" t="n"/>
      <c r="Q287" s="243" t="n"/>
      <c r="V287" s="28" t="inlineStr">
        <is>
          <t>yes</t>
        </is>
      </c>
      <c r="X287" s="132" t="n"/>
      <c r="Y287" s="71">
        <f>'Additional information'!$C$16</f>
        <v/>
      </c>
      <c r="Z287" s="115">
        <f>IF(X287&lt;&gt;"",X287*Y287,"")</f>
        <v/>
      </c>
      <c r="AA287" s="115">
        <f>IF(AND(X287&lt;&gt;"",V287="yes"),X287*Y287,"")</f>
        <v/>
      </c>
    </row>
    <row r="288" ht="96" customFormat="1" customHeight="1" s="53">
      <c r="A288" s="52" t="inlineStr">
        <is>
          <t>select_multiple fishinput</t>
        </is>
      </c>
      <c r="B288" s="52" t="inlineStr">
        <is>
          <t>fish_inputdif</t>
        </is>
      </c>
      <c r="C288" s="362" t="inlineStr">
        <is>
          <t>8.7 ما هي مواد الصيد أو المدخلات التي واجهت أسرتك صعوبة في الوصول إليها منذ الزلزال؟</t>
        </is>
      </c>
      <c r="D288" s="362" t="inlineStr">
        <is>
          <t>8.7 Which fishing [culture] input material has your household had difficulties accessing since the earthquake?</t>
        </is>
      </c>
      <c r="E288" s="65" t="n"/>
      <c r="F288" s="52" t="inlineStr">
        <is>
          <t>[INSTRUCTIONS: MUTIPLE RESPONSES POSSIBLE.]</t>
        </is>
      </c>
      <c r="G288" s="52" t="inlineStr">
        <is>
          <t>[تعليمات: احتمال وجود عدة استجابات]</t>
        </is>
      </c>
      <c r="H288" s="67" t="n"/>
      <c r="I288" s="86" t="inlineStr">
        <is>
          <t>true</t>
        </is>
      </c>
      <c r="J288" s="80" t="n"/>
      <c r="K288" s="267" t="inlineStr">
        <is>
          <t>if(selected(., 'dk') or selected(., 'ref'), count-selected(.) = 1, count-selected(.) &gt;= 1)</t>
        </is>
      </c>
      <c r="L288" s="80" t="n"/>
      <c r="M288" s="80" t="n"/>
      <c r="N288" s="26" t="inlineStr">
        <is>
          <t>${fish_proddif} = '1' and selected(${fish_proddif_}, 'input_access')</t>
        </is>
      </c>
      <c r="O288" s="80" t="n"/>
      <c r="P288" s="80" t="n"/>
      <c r="Q288" s="80" t="n"/>
      <c r="V288" s="53" t="inlineStr">
        <is>
          <t>no</t>
        </is>
      </c>
      <c r="X288" s="132" t="n">
        <v>21.25</v>
      </c>
      <c r="Y288" s="71">
        <f>'Additional information'!$C$16</f>
        <v/>
      </c>
      <c r="Z288" s="115">
        <f>IF(X288&lt;&gt;"",X288*Y288,"")</f>
        <v/>
      </c>
      <c r="AA288" s="115">
        <f>IF(AND(X288&lt;&gt;"",V288="yes"),X288*Y288,"")</f>
        <v/>
      </c>
      <c r="AB288" s="52" t="n"/>
    </row>
    <row r="289" ht="31.95" customFormat="1" customHeight="1" s="53">
      <c r="A289" s="52" t="inlineStr">
        <is>
          <t>text</t>
        </is>
      </c>
      <c r="B289" s="52" t="inlineStr">
        <is>
          <t>fish_inputdif_otherspecify</t>
        </is>
      </c>
      <c r="C289" s="362" t="inlineStr">
        <is>
          <t>8.8 إذا كانت الإجابة "آخر"، حدد.</t>
        </is>
      </c>
      <c r="D289" s="362" t="inlineStr">
        <is>
          <t>8.8 If other, specify.</t>
        </is>
      </c>
      <c r="E289" s="65" t="n"/>
      <c r="F289" s="52" t="inlineStr">
        <is>
          <t>[INSTRUCTIONS: RECORD THE OPEN RESPONSE GIVEN IN FEW WORDS. ENTER 888 FOR DON'T KNOW AND 999 FOR REFUSED]</t>
        </is>
      </c>
      <c r="G289" s="52" t="inlineStr">
        <is>
          <t>[تعليمات: سجل في بضع كلمات الاستجابة المفتوحة المعطاة . أدخل 888 للا أعرف و 999 في حالة الرفض]</t>
        </is>
      </c>
      <c r="H289" s="67" t="n"/>
      <c r="I289" s="86" t="inlineStr">
        <is>
          <t>true</t>
        </is>
      </c>
      <c r="J289" s="80" t="n"/>
      <c r="K289" s="325" t="inlineStr">
        <is>
          <t>string-length(.)&gt;=3</t>
        </is>
      </c>
      <c r="L289" s="306" t="inlineStr">
        <is>
          <t>عفوا، الرجاء تقديم نص و شرح اكثر وضوحا.</t>
        </is>
      </c>
      <c r="M289" s="306" t="inlineStr">
        <is>
          <t>Sorry, Please provide a much more meaningful text</t>
        </is>
      </c>
      <c r="N289" s="26" t="inlineStr">
        <is>
          <t>selected(${fish_inputdif}, 'other')</t>
        </is>
      </c>
      <c r="O289" s="80" t="n"/>
      <c r="P289" s="80" t="n"/>
      <c r="Q289" s="80" t="n"/>
      <c r="V289" s="53" t="inlineStr">
        <is>
          <t>no</t>
        </is>
      </c>
      <c r="X289" s="132" t="n"/>
      <c r="Y289" s="71">
        <f>'Additional information'!$C$16</f>
        <v/>
      </c>
      <c r="Z289" s="115">
        <f>IF(X289&lt;&gt;"",X289*Y289,"")</f>
        <v/>
      </c>
      <c r="AA289" s="115">
        <f>IF(AND(X289&lt;&gt;"",V289="yes"),X289*Y289,"")</f>
        <v/>
      </c>
      <c r="AB289" s="52" t="n"/>
    </row>
    <row r="290" ht="112.05" customFormat="1" customHeight="1" s="53">
      <c r="A290" s="28" t="inlineStr">
        <is>
          <t>select_multiple damassets_fish</t>
        </is>
      </c>
      <c r="B290" s="210" t="inlineStr">
        <is>
          <t>damassets_fish</t>
        </is>
      </c>
      <c r="C290" s="362" t="inlineStr">
        <is>
          <t>8.9 هل تم تدمير أو إتلاف أي من الأصول التالية الخاصة بإنتاج الأسماك و تربية الأحياء المائية أثناء الزلزال؟</t>
        </is>
      </c>
      <c r="D290" s="362" t="inlineStr">
        <is>
          <t>8.9 Have any of your fishing/aquaculture production assets been destroyed or damaged during the earthquake?</t>
        </is>
      </c>
      <c r="E290" s="54" t="n"/>
      <c r="H290" s="58" t="n"/>
      <c r="I290" s="81" t="inlineStr">
        <is>
          <t>true</t>
        </is>
      </c>
      <c r="J290" s="80" t="n"/>
      <c r="K290" s="272" t="inlineStr">
        <is>
          <t>if(selected(., '9') or selected(., '10') or selected(., '11'), count-selected(.) = 1, count-selected(.) &gt;= 1)</t>
        </is>
      </c>
      <c r="L290" s="80" t="n"/>
      <c r="M290" s="80" t="n"/>
      <c r="N290" s="26" t="n"/>
      <c r="O290" s="80" t="n"/>
      <c r="P290" s="80" t="n"/>
      <c r="Q290" s="80" t="n"/>
      <c r="X290" s="132" t="n"/>
      <c r="Y290" s="71" t="n"/>
      <c r="Z290" s="115" t="n"/>
      <c r="AA290" s="115" t="n"/>
      <c r="AB290" s="52" t="n"/>
    </row>
    <row r="291" ht="16.05" customFormat="1" customHeight="1" s="53">
      <c r="A291" s="52" t="inlineStr">
        <is>
          <t>select_one prop_25</t>
        </is>
      </c>
      <c r="B291" s="210" t="inlineStr">
        <is>
          <t>fish_loss_pond</t>
        </is>
      </c>
      <c r="C291" s="362" t="inlineStr">
        <is>
          <t>8.10 ما هي نسبة أحواض الأسماك التي تضررت أو دمرت بسبب الزلزال؟</t>
        </is>
      </c>
      <c r="D291" s="362" t="inlineStr">
        <is>
          <t>8.10 How much of your fish ponds have been damaged or destroyed by the earthquake?</t>
        </is>
      </c>
      <c r="E291" s="54" t="n"/>
      <c r="H291" s="58" t="n"/>
      <c r="I291" s="81" t="inlineStr">
        <is>
          <t>true</t>
        </is>
      </c>
      <c r="J291" s="80" t="n"/>
      <c r="K291" s="279" t="n"/>
      <c r="L291" s="80" t="n"/>
      <c r="M291" s="80" t="n"/>
      <c r="N291" s="26" t="inlineStr">
        <is>
          <t>selected(${damassets_fish},'2')</t>
        </is>
      </c>
      <c r="O291" s="80" t="n"/>
      <c r="P291" s="80" t="n"/>
      <c r="Q291" s="80" t="n"/>
      <c r="X291" s="132" t="n"/>
      <c r="Y291" s="71" t="n"/>
      <c r="Z291" s="115" t="n"/>
      <c r="AA291" s="115" t="n"/>
      <c r="AB291" s="52" t="n"/>
    </row>
    <row r="292" ht="16.05" customFormat="1" customHeight="1" s="53">
      <c r="A292" s="208" t="inlineStr">
        <is>
          <t>select_one asset_status</t>
        </is>
      </c>
      <c r="B292" s="208" t="inlineStr">
        <is>
          <t>DamAssetsfish_status_pond</t>
        </is>
      </c>
      <c r="C292" s="362" t="inlineStr">
        <is>
          <t>8.11 ما هو الوضع الحالي لأحواض الأسماك الخاصة بأسرتك؟</t>
        </is>
      </c>
      <c r="D292" s="362" t="inlineStr">
        <is>
          <t>8.11 What is the current status of your fish ponds?</t>
        </is>
      </c>
      <c r="E292" s="54" t="n"/>
      <c r="H292" s="58" t="n"/>
      <c r="I292" s="81" t="inlineStr">
        <is>
          <t>true</t>
        </is>
      </c>
      <c r="J292" s="80" t="n"/>
      <c r="K292" s="279" t="n"/>
      <c r="L292" s="80" t="n"/>
      <c r="M292" s="80" t="n"/>
      <c r="N292" s="26" t="inlineStr">
        <is>
          <t>selected(${damassets_fish},'2')</t>
        </is>
      </c>
      <c r="O292" s="80" t="n"/>
      <c r="P292" s="80" t="n"/>
      <c r="Q292" s="80" t="n"/>
      <c r="X292" s="132" t="n"/>
      <c r="Y292" s="71" t="n"/>
      <c r="Z292" s="115" t="n"/>
      <c r="AA292" s="115" t="n"/>
      <c r="AB292" s="52" t="n"/>
    </row>
    <row r="293" ht="16.05" customFormat="1" customHeight="1" s="53">
      <c r="A293" s="52" t="inlineStr">
        <is>
          <t>select_one prop_25</t>
        </is>
      </c>
      <c r="B293" s="210" t="inlineStr">
        <is>
          <t>fish_loss_refrig</t>
        </is>
      </c>
      <c r="C293" s="362" t="inlineStr">
        <is>
          <t>8.12 ما هي نسبة ثلاجات الأسماك وتربية الأحياء المائية التي تضررت أو دمرت بسبب الزلزال؟</t>
        </is>
      </c>
      <c r="D293" s="362" t="inlineStr">
        <is>
          <t>8.12 How much of your fish and aquaculture refrigerators have been damaged or destroyed by the earthquake?</t>
        </is>
      </c>
      <c r="E293" s="54" t="n"/>
      <c r="H293" s="58" t="n"/>
      <c r="I293" s="81" t="inlineStr">
        <is>
          <t>true</t>
        </is>
      </c>
      <c r="J293" s="80" t="n"/>
      <c r="K293" s="279" t="n"/>
      <c r="L293" s="80" t="n"/>
      <c r="M293" s="80" t="n"/>
      <c r="N293" s="26" t="inlineStr">
        <is>
          <t>selected(${damassets_fish},'6')</t>
        </is>
      </c>
      <c r="O293" s="80" t="n"/>
      <c r="P293" s="80" t="n"/>
      <c r="Q293" s="80" t="n"/>
      <c r="X293" s="132" t="n"/>
      <c r="Y293" s="71" t="n"/>
      <c r="Z293" s="115" t="n"/>
      <c r="AA293" s="115" t="n"/>
      <c r="AB293" s="52" t="n"/>
    </row>
    <row r="294" ht="16.05" customFormat="1" customHeight="1" s="53">
      <c r="A294" s="208" t="inlineStr">
        <is>
          <t>select_one asset_status</t>
        </is>
      </c>
      <c r="B294" s="208" t="inlineStr">
        <is>
          <t>DamAssetsfish_status_refrig</t>
        </is>
      </c>
      <c r="C294" s="362" t="inlineStr">
        <is>
          <t>8.13 ما هو الوضع الحالي لثلاجات الأسماك وتربية الأحياء المائية الخاصة بأسرتك؟</t>
        </is>
      </c>
      <c r="D294" s="362" t="inlineStr">
        <is>
          <t>8.13 What is the current status of your fish and aquaculture refrigerators?</t>
        </is>
      </c>
      <c r="E294" s="54" t="n"/>
      <c r="H294" s="58" t="n"/>
      <c r="I294" s="81" t="inlineStr">
        <is>
          <t>true</t>
        </is>
      </c>
      <c r="J294" s="80" t="n"/>
      <c r="K294" s="279" t="n"/>
      <c r="L294" s="80" t="n"/>
      <c r="M294" s="80" t="n"/>
      <c r="N294" s="26" t="inlineStr">
        <is>
          <t>selected(${damassets_fish},'6')</t>
        </is>
      </c>
      <c r="O294" s="80" t="n"/>
      <c r="P294" s="80" t="n"/>
      <c r="Q294" s="80" t="n"/>
      <c r="X294" s="132" t="n"/>
      <c r="Y294" s="71" t="n"/>
      <c r="Z294" s="115" t="n"/>
      <c r="AA294" s="115" t="n"/>
      <c r="AB294" s="52" t="n"/>
    </row>
    <row r="295" ht="16.05" customFormat="1" customHeight="1" s="53">
      <c r="A295" s="52" t="inlineStr">
        <is>
          <t>select_one prop_25</t>
        </is>
      </c>
      <c r="B295" s="210" t="inlineStr">
        <is>
          <t>fish_loss_tools</t>
        </is>
      </c>
      <c r="C295" s="362" t="inlineStr">
        <is>
          <t>8.14 ما هي نسبة معدات وأدوات إنتاج مصايد الأسماك وتربية الأحياء المائية التي تضررت أو دمرت بسبب الزلزال؟</t>
        </is>
      </c>
      <c r="D295" s="362" t="inlineStr">
        <is>
          <t>8.14 How much of your fishery and aquaculture production equipment and tools have been damaged or destroyed by the earthquake?</t>
        </is>
      </c>
      <c r="E295" s="54" t="n"/>
      <c r="H295" s="58" t="n"/>
      <c r="I295" s="81" t="inlineStr">
        <is>
          <t>true</t>
        </is>
      </c>
      <c r="J295" s="80" t="n"/>
      <c r="K295" s="279" t="n"/>
      <c r="L295" s="80" t="n"/>
      <c r="M295" s="80" t="n"/>
      <c r="N295" s="26" t="inlineStr">
        <is>
          <t>selected(${damassets_fish},'3')</t>
        </is>
      </c>
      <c r="O295" s="80" t="n"/>
      <c r="P295" s="80" t="n"/>
      <c r="Q295" s="80" t="n"/>
      <c r="X295" s="132" t="n"/>
      <c r="Y295" s="71" t="n"/>
      <c r="Z295" s="115" t="n"/>
      <c r="AA295" s="115" t="n"/>
      <c r="AB295" s="52" t="n"/>
    </row>
    <row r="296" ht="16.05" customFormat="1" customHeight="1" s="53">
      <c r="A296" s="208" t="inlineStr">
        <is>
          <t>select_one asset_status</t>
        </is>
      </c>
      <c r="B296" s="208" t="inlineStr">
        <is>
          <t>DamAssetsfish_status_tools</t>
        </is>
      </c>
      <c r="C296" s="362" t="inlineStr">
        <is>
          <t>8.15 ما هو الوضع الحالي لمعدات وأدوات إنتاج مصايد الأسماك وتربية الأحياء المائية الخاصة بأسرتك؟</t>
        </is>
      </c>
      <c r="D296" s="362" t="inlineStr">
        <is>
          <t>8.15 What is the current status of your fishery and aquaculture production equipment and tools?</t>
        </is>
      </c>
      <c r="E296" s="54" t="n"/>
      <c r="H296" s="58" t="n"/>
      <c r="I296" s="81" t="inlineStr">
        <is>
          <t>true</t>
        </is>
      </c>
      <c r="J296" s="80" t="n"/>
      <c r="K296" s="279" t="n"/>
      <c r="L296" s="80" t="n"/>
      <c r="M296" s="80" t="n"/>
      <c r="N296" s="26" t="inlineStr">
        <is>
          <t>selected(${damassets_fish},'3')</t>
        </is>
      </c>
      <c r="O296" s="80" t="n"/>
      <c r="P296" s="80" t="n"/>
      <c r="Q296" s="80" t="n"/>
      <c r="X296" s="132" t="n"/>
      <c r="Y296" s="71" t="n"/>
      <c r="Z296" s="115" t="n"/>
      <c r="AA296" s="115" t="n"/>
      <c r="AB296" s="52" t="n"/>
    </row>
    <row r="297" ht="16.05" customFormat="1" customHeight="1" s="53">
      <c r="A297" s="52" t="inlineStr">
        <is>
          <t>select_one prop_25</t>
        </is>
      </c>
      <c r="B297" s="210" t="inlineStr">
        <is>
          <t>fish_loss_feed</t>
        </is>
      </c>
      <c r="C297" s="362" t="inlineStr">
        <is>
          <t>8.16 ما هي نسبة أعلاف الأسماك التي تضررت أو دمرت بسبب الزلزال؟</t>
        </is>
      </c>
      <c r="D297" s="362" t="inlineStr">
        <is>
          <t>8.16 How much of your fish feed has been destroyed by the earthquake?</t>
        </is>
      </c>
      <c r="E297" s="54" t="n"/>
      <c r="H297" s="58" t="n"/>
      <c r="I297" s="81" t="inlineStr">
        <is>
          <t>true</t>
        </is>
      </c>
      <c r="J297" s="80" t="n"/>
      <c r="K297" s="279" t="n"/>
      <c r="L297" s="80" t="n"/>
      <c r="M297" s="80" t="n"/>
      <c r="N297" s="26" t="inlineStr">
        <is>
          <t>selected(${damassets_fish},'8')</t>
        </is>
      </c>
      <c r="O297" s="80" t="n"/>
      <c r="P297" s="80" t="n"/>
      <c r="Q297" s="80" t="n"/>
      <c r="X297" s="132" t="n"/>
      <c r="Y297" s="71" t="n"/>
      <c r="Z297" s="115" t="n"/>
      <c r="AA297" s="115" t="n"/>
      <c r="AB297" s="52" t="n"/>
    </row>
    <row r="298" ht="16.05" customFormat="1" customHeight="1" s="53">
      <c r="A298" s="208" t="inlineStr">
        <is>
          <t>select_one input_status</t>
        </is>
      </c>
      <c r="B298" s="208" t="inlineStr">
        <is>
          <t>DamAssetsfish_status_feed</t>
        </is>
      </c>
      <c r="C298" s="362" t="inlineStr">
        <is>
          <t>8.17 ما هو الوضع الحالي لأعلاف الأسماك الخاصة بأسرتك؟</t>
        </is>
      </c>
      <c r="D298" s="362" t="inlineStr">
        <is>
          <t>8.17 What is the current status of your fish feed?</t>
        </is>
      </c>
      <c r="E298" s="54" t="n"/>
      <c r="H298" s="58" t="n"/>
      <c r="I298" s="81" t="inlineStr">
        <is>
          <t>true</t>
        </is>
      </c>
      <c r="J298" s="80" t="n"/>
      <c r="K298" s="279" t="n"/>
      <c r="L298" s="80" t="n"/>
      <c r="M298" s="80" t="n"/>
      <c r="N298" s="26" t="inlineStr">
        <is>
          <t>selected(${damassets_fish},'8')</t>
        </is>
      </c>
      <c r="O298" s="80" t="n"/>
      <c r="P298" s="80" t="n"/>
      <c r="Q298" s="80" t="n"/>
      <c r="X298" s="132" t="n"/>
      <c r="Y298" s="71" t="n"/>
      <c r="Z298" s="115" t="n"/>
      <c r="AA298" s="115" t="n"/>
      <c r="AB298" s="52" t="n"/>
    </row>
    <row r="299" ht="16.05" customFormat="1" customHeight="1" s="53">
      <c r="A299" s="52" t="inlineStr">
        <is>
          <t>select_one prop_25</t>
        </is>
      </c>
      <c r="B299" s="210" t="inlineStr">
        <is>
          <t>fish_loss_fingerlings</t>
        </is>
      </c>
      <c r="C299" s="362" t="inlineStr">
        <is>
          <t>8.18 ما هي نسبة الأسماك اليافعة (الأصبعيات) التي تضررت أو دمرت بسبب الزلزال؟</t>
        </is>
      </c>
      <c r="D299" s="362" t="inlineStr">
        <is>
          <t>8.18 How much of your fingerlings have been destroyed by the earthquake?</t>
        </is>
      </c>
      <c r="E299" s="54" t="n"/>
      <c r="H299" s="58" t="n"/>
      <c r="I299" s="81" t="inlineStr">
        <is>
          <t>true</t>
        </is>
      </c>
      <c r="J299" s="80" t="n"/>
      <c r="K299" s="279" t="n"/>
      <c r="L299" s="80" t="n"/>
      <c r="M299" s="80" t="n"/>
      <c r="N299" s="26" t="inlineStr">
        <is>
          <t>selected(${damassets_fish},'8')</t>
        </is>
      </c>
      <c r="O299" s="80" t="n"/>
      <c r="P299" s="80" t="n"/>
      <c r="Q299" s="80" t="n"/>
      <c r="X299" s="132" t="n"/>
      <c r="Y299" s="71">
        <f>'Additional information'!$C$16</f>
        <v/>
      </c>
      <c r="Z299" s="115">
        <f>IF(X299&lt;&gt;"",X299*Y299,"")</f>
        <v/>
      </c>
      <c r="AA299" s="115">
        <f>IF(AND(X299&lt;&gt;"",V299="yes"),X299*Y299,"")</f>
        <v/>
      </c>
      <c r="AB299" s="52" t="n"/>
    </row>
    <row r="300" ht="16.05" customFormat="1" customHeight="1" s="53">
      <c r="A300" s="208" t="inlineStr">
        <is>
          <t>select_one input_status</t>
        </is>
      </c>
      <c r="B300" s="208" t="inlineStr">
        <is>
          <t>DamAssetsfish_status_fingerlings</t>
        </is>
      </c>
      <c r="C300" s="362" t="inlineStr">
        <is>
          <t>8.19 ما هو الوضع الحالي للأسماك اليافعة (الأصبعيات) الخاصة بأسرتك؟</t>
        </is>
      </c>
      <c r="D300" s="362" t="inlineStr">
        <is>
          <t>8.19 What is the current status of your fingerlings?</t>
        </is>
      </c>
      <c r="E300" s="54" t="n"/>
      <c r="H300" s="58" t="n"/>
      <c r="I300" s="81" t="inlineStr">
        <is>
          <t>true</t>
        </is>
      </c>
      <c r="J300" s="80" t="n"/>
      <c r="K300" s="279" t="n"/>
      <c r="L300" s="80" t="n"/>
      <c r="M300" s="80" t="n"/>
      <c r="N300" s="26" t="inlineStr">
        <is>
          <t>selected(${damassets_fish},'8')</t>
        </is>
      </c>
      <c r="O300" s="80" t="n"/>
      <c r="P300" s="80" t="n"/>
      <c r="Q300" s="80" t="n"/>
      <c r="X300" s="132" t="n"/>
      <c r="Y300" s="71" t="n"/>
      <c r="Z300" s="115" t="n"/>
      <c r="AA300" s="115" t="n"/>
      <c r="AB300" s="52" t="n"/>
    </row>
    <row r="301" ht="31.95" customFormat="1" customHeight="1" s="53">
      <c r="A301" s="28" t="inlineStr">
        <is>
          <t>select_multiple fishproddiff</t>
        </is>
      </c>
      <c r="B301" s="28" t="inlineStr">
        <is>
          <t>fish_proddiff_expect</t>
        </is>
      </c>
      <c r="C301" s="362" t="inlineStr">
        <is>
          <t>8.20 ما هي الصعوبات الثلاث الرئيسية التي تتوقع أن تواجهها في إنتاج الأسماك وتربية الأحياء المائية خلال الأشهر الستة القادمة؟</t>
        </is>
      </c>
      <c r="D301" s="362" t="inlineStr">
        <is>
          <t>8.20 What are the three major difficulties that you expect to face with your fishing and aquaculture production over the upcoming 6 months?</t>
        </is>
      </c>
      <c r="E301" s="54" t="n"/>
      <c r="F301" s="28" t="inlineStr">
        <is>
          <t>[INSTRUCTIONS: MULTIPLE RESPONSES POSSIBLE. SELECT OPTION(S) THAT BEST FIT THE INFORMATION PROVIDED BY THE RESPONDENTS.]</t>
        </is>
      </c>
      <c r="G301" s="28" t="inlineStr">
        <is>
          <t>[تعليمات: عدة استجابات محتملة. حدد الخيار (الخيارات) الأنسب للمعلومات المقدمة من المجيب]</t>
        </is>
      </c>
      <c r="H301" s="58" t="n"/>
      <c r="I301" s="81" t="inlineStr">
        <is>
          <t>true</t>
        </is>
      </c>
      <c r="J301" s="80" t="n"/>
      <c r="K301" s="266" t="inlineStr">
        <is>
          <t>count-selected(.) &lt;= 3</t>
        </is>
      </c>
      <c r="L301" s="243" t="inlineStr">
        <is>
          <t>Select a maximum of 3 responses for this questions</t>
        </is>
      </c>
      <c r="M301" s="243" t="inlineStr">
        <is>
          <t>حدد 3 إجابات كحد أقصى لهذه الأسئلة</t>
        </is>
      </c>
      <c r="N301" s="26" t="n"/>
      <c r="O301" s="80" t="n"/>
      <c r="P301" s="80" t="n"/>
      <c r="Q301" s="80" t="n"/>
      <c r="X301" s="132" t="n"/>
      <c r="Y301" s="71" t="n"/>
      <c r="Z301" s="115" t="n"/>
      <c r="AA301" s="115" t="n"/>
      <c r="AB301" s="52" t="n"/>
    </row>
    <row r="302" ht="31.95" customFormat="1" customHeight="1" s="53">
      <c r="A302" s="28" t="inlineStr">
        <is>
          <t>text</t>
        </is>
      </c>
      <c r="B302" s="28" t="inlineStr">
        <is>
          <t>fish_proddiff_other</t>
        </is>
      </c>
      <c r="C302" s="362" t="inlineStr">
        <is>
          <t>8.21 إذا كانت الإجابة "آخر"، حدد.</t>
        </is>
      </c>
      <c r="D302" s="362" t="inlineStr">
        <is>
          <t>8.21 If other, specify</t>
        </is>
      </c>
      <c r="E302" s="65" t="n"/>
      <c r="F302" s="55" t="inlineStr">
        <is>
          <t>[INSTRUCTIONS: RECORD THE OPEN RESPONSE GIVEN IN FEW WORDS. ENTER 888 FOR DON'T KNOW AND 999 FOR REFUSED]</t>
        </is>
      </c>
      <c r="G302" s="52" t="inlineStr">
        <is>
          <t>[تعليمات: سجل في بضع كلمات الاستجابة المفتوحة المعطاة . أدخل 888 للا أعرف و 999 في حالة الرفض]</t>
        </is>
      </c>
      <c r="H302" s="69" t="n"/>
      <c r="I302" s="81" t="inlineStr">
        <is>
          <t>true</t>
        </is>
      </c>
      <c r="J302" s="246" t="n"/>
      <c r="K302" s="325" t="inlineStr">
        <is>
          <t>string-length(.)&gt;=3</t>
        </is>
      </c>
      <c r="L302" s="306" t="inlineStr">
        <is>
          <t>عفوا، الرجاء تقديم نص و شرح اكثر وضوحا.</t>
        </is>
      </c>
      <c r="M302" s="306" t="inlineStr">
        <is>
          <t>Sorry, Please provide a much more meaningful text</t>
        </is>
      </c>
      <c r="N302" s="266" t="inlineStr">
        <is>
          <t>selected(${fish_proddiff_expect}, 'other')</t>
        </is>
      </c>
      <c r="O302" s="80" t="n"/>
      <c r="P302" s="80" t="n"/>
      <c r="Q302" s="80" t="n"/>
      <c r="X302" s="132" t="n"/>
      <c r="Y302" s="71" t="n"/>
      <c r="Z302" s="115" t="n"/>
      <c r="AA302" s="115" t="n"/>
      <c r="AB302" s="52" t="n"/>
    </row>
    <row r="303" ht="16.05" customHeight="1" thickBot="1">
      <c r="A303" s="64" t="inlineStr">
        <is>
          <t>end_group</t>
        </is>
      </c>
      <c r="B303" s="64" t="n"/>
      <c r="C303" s="366" t="n"/>
      <c r="D303" s="372" t="n"/>
      <c r="E303" s="61" t="n"/>
      <c r="F303" s="64" t="n"/>
      <c r="G303" s="64" t="n"/>
      <c r="H303" s="62" t="n"/>
      <c r="I303" s="85" t="n"/>
      <c r="J303" s="85" t="n"/>
      <c r="K303" s="269" t="n"/>
      <c r="L303" s="85" t="n"/>
      <c r="M303" s="85" t="n"/>
      <c r="N303" s="269" t="n"/>
      <c r="O303" s="85" t="n"/>
      <c r="P303" s="85" t="n"/>
      <c r="Q303" s="85" t="n"/>
      <c r="X303" s="132" t="n"/>
      <c r="Z303" s="115">
        <f>IF(X303&lt;&gt;"",X303*Y303,"")</f>
        <v/>
      </c>
      <c r="AA303" s="115">
        <f>IF(AND(X303&lt;&gt;"",V303="yes"),X303*Y303,"")</f>
        <v/>
      </c>
    </row>
    <row r="304" ht="64.95" customFormat="1" customHeight="1" s="49" thickTop="1">
      <c r="A304" s="282" t="inlineStr">
        <is>
          <t>begin_group</t>
        </is>
      </c>
      <c r="B304" s="282" t="inlineStr">
        <is>
          <t>FishSales_group</t>
        </is>
      </c>
      <c r="C304" s="365" t="inlineStr">
        <is>
          <t>9. تسويق الأسماك وتربية الأحياء المائية</t>
        </is>
      </c>
      <c r="D304" s="365" t="inlineStr">
        <is>
          <t xml:space="preserve">9. FISHING / AQUACULTURE MARKETING </t>
        </is>
      </c>
      <c r="E304" s="47" t="n"/>
      <c r="F304" s="46" t="n"/>
      <c r="G304" s="46" t="n"/>
      <c r="H304" s="48" t="n"/>
      <c r="I304" s="82" t="inlineStr">
        <is>
          <t>false</t>
        </is>
      </c>
      <c r="J304" s="82" t="n"/>
      <c r="K304" s="275" t="n"/>
      <c r="L304" s="82" t="n"/>
      <c r="M304" s="82" t="n"/>
      <c r="N304" s="275" t="inlineStr">
        <is>
          <t>${resp_agree} = '1' and (${income_main}='6' or ${income_sec}='6' or ${income_third}='6')</t>
        </is>
      </c>
      <c r="O304" s="82" t="n"/>
      <c r="P304" s="82" t="n"/>
      <c r="Q304" s="82" t="n"/>
      <c r="V304" s="28" t="inlineStr">
        <is>
          <t>yes</t>
        </is>
      </c>
      <c r="X304" s="132" t="n"/>
      <c r="Y304" s="50" t="n"/>
      <c r="Z304" s="115">
        <f>IF(X304&lt;&gt;"",X304*Y304,"")</f>
        <v/>
      </c>
      <c r="AA304" s="115">
        <f>IF(AND(X304&lt;&gt;"",V304="yes"),X304*Y304,"")</f>
        <v/>
      </c>
      <c r="AB304" s="50" t="n"/>
    </row>
    <row r="305" ht="16.05" customFormat="1" customHeight="1" s="49">
      <c r="A305" s="51" t="inlineStr">
        <is>
          <t>select_one fishsales</t>
        </is>
      </c>
      <c r="B305" s="51" t="inlineStr">
        <is>
          <t>fish_salesmain</t>
        </is>
      </c>
      <c r="C305" s="362" t="inlineStr">
        <is>
          <t>9.1 ما هو المنتج السمكي الرئيسي الذي باعته أسرتك منذ الزلزال؟</t>
        </is>
      </c>
      <c r="D305" s="362" t="inlineStr">
        <is>
          <t>9.1 What was the main fish product sold by your household since the earthquake?</t>
        </is>
      </c>
      <c r="E305" s="59" t="n"/>
      <c r="F305" s="51" t="n"/>
      <c r="G305" s="51" t="n"/>
      <c r="H305" s="60" t="n"/>
      <c r="I305" s="243" t="inlineStr">
        <is>
          <t>true</t>
        </is>
      </c>
      <c r="J305" s="82" t="n"/>
      <c r="K305" s="275" t="n"/>
      <c r="L305" s="82" t="n"/>
      <c r="M305" s="82" t="n"/>
      <c r="N305" s="275" t="n"/>
      <c r="O305" s="82" t="n"/>
      <c r="P305" s="82" t="n"/>
      <c r="Q305" s="82" t="n"/>
      <c r="V305" s="28" t="inlineStr">
        <is>
          <t>yes</t>
        </is>
      </c>
      <c r="X305" s="132" t="n">
        <v>14.38495540618896</v>
      </c>
      <c r="Y305" s="71">
        <f>'Additional information'!$C$16</f>
        <v/>
      </c>
      <c r="Z305" s="115">
        <f>IF(X305&lt;&gt;"",X305*Y305,"")</f>
        <v/>
      </c>
      <c r="AA305" s="115">
        <f>IF(AND(X305&lt;&gt;"",V305="yes"),X305*Y305,"")</f>
        <v/>
      </c>
      <c r="AB305" s="50" t="n"/>
    </row>
    <row r="306">
      <c r="A306" s="51" t="inlineStr">
        <is>
          <t>calculate</t>
        </is>
      </c>
      <c r="B306" s="51" t="inlineStr">
        <is>
          <t>fishsalesmain</t>
        </is>
      </c>
      <c r="C306" s="371" t="n"/>
      <c r="D306" s="372" t="n"/>
      <c r="E306" s="59" t="n"/>
      <c r="F306" s="51" t="n"/>
      <c r="G306" s="51" t="n"/>
      <c r="H306" s="60" t="n"/>
      <c r="I306" s="243" t="inlineStr">
        <is>
          <t>true</t>
        </is>
      </c>
      <c r="J306" s="243" t="n"/>
      <c r="K306" s="26" t="n"/>
      <c r="L306" s="243" t="n"/>
      <c r="M306" s="243" t="n"/>
      <c r="N306" s="26" t="n"/>
      <c r="O306" s="243" t="n"/>
      <c r="P306" s="243" t="n"/>
      <c r="Q306" s="243" t="inlineStr">
        <is>
          <t>jr:choice-name(${fish_salesmain},'${fish_salesmain}')</t>
        </is>
      </c>
      <c r="V306" s="28" t="inlineStr">
        <is>
          <t>yes</t>
        </is>
      </c>
      <c r="X306" s="132" t="n"/>
      <c r="Y306" s="71">
        <f>'Additional information'!$C$16</f>
        <v/>
      </c>
      <c r="Z306" s="115">
        <f>IF(X306&lt;&gt;"",X306*Y306,"")</f>
        <v/>
      </c>
      <c r="AA306" s="115">
        <f>IF(AND(X306&lt;&gt;"",V306="yes"),X306*Y306,"")</f>
        <v/>
      </c>
    </row>
    <row r="307" ht="31.95" customHeight="1">
      <c r="A307" s="51" t="inlineStr">
        <is>
          <t>text</t>
        </is>
      </c>
      <c r="B307" s="51" t="inlineStr">
        <is>
          <t>fish_salesmain_otherspecify</t>
        </is>
      </c>
      <c r="C307" s="362" t="inlineStr">
        <is>
          <t>9.2 إذا كانت الإجابة "آخر"، حدد.</t>
        </is>
      </c>
      <c r="D307" s="362" t="inlineStr">
        <is>
          <t>9.2 If other, specify.</t>
        </is>
      </c>
      <c r="E307" s="65" t="n"/>
      <c r="F307" s="52" t="inlineStr">
        <is>
          <t>[INSTRUCTIONS: RECORD THE OPEN RESPONSE GIVEN IN FEW WORDS. ENTER 888 FOR DON'T KNOW AND 999 FOR REFUSED]</t>
        </is>
      </c>
      <c r="G307" s="52" t="inlineStr">
        <is>
          <t>[تعليمات: سجل في بضع كلمات الاستجابة المفتوحة المعطاة . أدخل 888 للا أعرف و 999 في حالة الرفض]</t>
        </is>
      </c>
      <c r="H307" s="60" t="n"/>
      <c r="I307" s="243" t="inlineStr">
        <is>
          <t>true</t>
        </is>
      </c>
      <c r="J307" s="243" t="n"/>
      <c r="K307" s="325" t="inlineStr">
        <is>
          <t>string-length(.)&gt;=3</t>
        </is>
      </c>
      <c r="L307" s="306" t="inlineStr">
        <is>
          <t>عفوا، الرجاء تقديم نص و شرح اكثر وضوحا.</t>
        </is>
      </c>
      <c r="M307" s="306" t="inlineStr">
        <is>
          <t>Sorry, Please provide a much more meaningful text</t>
        </is>
      </c>
      <c r="N307" s="267" t="inlineStr">
        <is>
          <t>selected(${fish_salesmain} , 'other')</t>
        </is>
      </c>
      <c r="O307" s="243" t="n"/>
      <c r="P307" s="243" t="n"/>
      <c r="Q307" s="243" t="n"/>
      <c r="V307" s="28" t="inlineStr">
        <is>
          <t>yes</t>
        </is>
      </c>
      <c r="X307" s="132" t="n"/>
      <c r="Y307" s="71">
        <f>'Additional information'!$C$16</f>
        <v/>
      </c>
      <c r="Z307" s="115">
        <f>IF(X307&lt;&gt;"",X307*Y307,"")</f>
        <v/>
      </c>
      <c r="AA307" s="115">
        <f>IF(AND(X307&lt;&gt;"",V307="yes"),X307*Y307,"")</f>
        <v/>
      </c>
    </row>
    <row r="308" ht="16.05" customHeight="1">
      <c r="A308" s="51" t="inlineStr">
        <is>
          <t>select_one yes_no</t>
        </is>
      </c>
      <c r="B308" s="51" t="inlineStr">
        <is>
          <t>fish_salesdif</t>
        </is>
      </c>
      <c r="C308" s="362" t="inlineStr">
        <is>
          <t>9.3 هل واجهت أسرتك أي صعوبة منذ الزلزال في بيع و تسويق ${fishsalesmain}؟</t>
        </is>
      </c>
      <c r="D308" s="362" t="inlineStr">
        <is>
          <t>9.3 Has your household faced any significant difficulty marketing / selling your ${fishsalesmain} since the earthquake?</t>
        </is>
      </c>
      <c r="E308" s="59" t="n"/>
      <c r="F308" s="51" t="n"/>
      <c r="G308" s="51" t="n"/>
      <c r="H308" s="60" t="n"/>
      <c r="I308" s="243" t="inlineStr">
        <is>
          <t>true</t>
        </is>
      </c>
      <c r="J308" s="243" t="n"/>
      <c r="K308" s="26" t="n"/>
      <c r="L308" s="243" t="n"/>
      <c r="M308" s="243" t="n"/>
      <c r="N308" s="26" t="n"/>
      <c r="O308" s="243" t="n"/>
      <c r="P308" s="243" t="n"/>
      <c r="Q308" s="243" t="n"/>
      <c r="V308" s="28" t="inlineStr">
        <is>
          <t>yes</t>
        </is>
      </c>
      <c r="X308" s="132" t="n">
        <v>9.438053131103516</v>
      </c>
      <c r="Y308" s="71">
        <f>'Additional information'!$C$16</f>
        <v/>
      </c>
      <c r="Z308" s="115">
        <f>IF(X308&lt;&gt;"",X308*Y308,"")</f>
        <v/>
      </c>
      <c r="AA308" s="115">
        <f>IF(AND(X308&lt;&gt;"",V308="yes"),X308*Y308,"")</f>
        <v/>
      </c>
    </row>
    <row r="309" ht="96" customHeight="1">
      <c r="A309" s="51" t="inlineStr">
        <is>
          <t>select_multiple fishsalesdif</t>
        </is>
      </c>
      <c r="B309" s="51" t="inlineStr">
        <is>
          <t>fish_saledif</t>
        </is>
      </c>
      <c r="C309" s="362" t="inlineStr">
        <is>
          <t>9.4 ما الصعوبات التي واجهتها أسرتك منذ الزلزال في بيع ${fishsalesmain}؟</t>
        </is>
      </c>
      <c r="D309" s="362" t="inlineStr">
        <is>
          <t>9.4 What difficulties has your household faced since the earthquake selling your ${fishsalesmain}?</t>
        </is>
      </c>
      <c r="E309" s="59" t="n"/>
      <c r="F309" s="51" t="inlineStr">
        <is>
          <t>[INSTRUCTIONS: MULTIPLE RESPONSES POSSIBLE.]</t>
        </is>
      </c>
      <c r="G309" s="28" t="inlineStr">
        <is>
          <t>[تعليمات: احتمال وجود عدة استجابات]</t>
        </is>
      </c>
      <c r="H309" s="60" t="n"/>
      <c r="I309" s="243" t="inlineStr">
        <is>
          <t>true</t>
        </is>
      </c>
      <c r="J309" s="243" t="n"/>
      <c r="K309" s="267" t="inlineStr">
        <is>
          <t>if(selected(., 'dk') or selected(., 'ref'), count-selected(.) = 1, count-selected(.) &gt;= 1)</t>
        </is>
      </c>
      <c r="L309" s="243" t="n"/>
      <c r="M309" s="243" t="n"/>
      <c r="N309" s="267" t="inlineStr">
        <is>
          <t xml:space="preserve">${fish_salesdif} = '1' </t>
        </is>
      </c>
      <c r="O309" s="243" t="n"/>
      <c r="P309" s="243" t="n"/>
      <c r="Q309" s="243" t="n"/>
      <c r="V309" s="28" t="inlineStr">
        <is>
          <t>yes</t>
        </is>
      </c>
      <c r="X309" s="132" t="n">
        <v>27.76699066162109</v>
      </c>
      <c r="Y309" s="71">
        <f>'Additional information'!$C$16</f>
        <v/>
      </c>
      <c r="Z309" s="115">
        <f>IF(X309&lt;&gt;"",X309*Y309,"")</f>
        <v/>
      </c>
      <c r="AA309" s="115">
        <f>IF(AND(X309&lt;&gt;"",V309="yes"),X309*Y309,"")</f>
        <v/>
      </c>
    </row>
    <row r="310" ht="31.95" customHeight="1">
      <c r="A310" s="51" t="inlineStr">
        <is>
          <t>text</t>
        </is>
      </c>
      <c r="B310" s="51" t="inlineStr">
        <is>
          <t>fish_salesdif_otherspecify</t>
        </is>
      </c>
      <c r="C310" s="362" t="inlineStr">
        <is>
          <t>9.5 إذا كانت الإجابة "آخر"، حدد.</t>
        </is>
      </c>
      <c r="D310" s="362" t="inlineStr">
        <is>
          <t>9.5 If other, specify.</t>
        </is>
      </c>
      <c r="E310" s="65" t="n"/>
      <c r="F310" s="52" t="inlineStr">
        <is>
          <t>[INSTRUCTIONS: RECORD THE OPEN RESPONSE GIVEN IN FEW WORDS. ENTER 888 FOR DON'T KNOW AND 999 FOR REFUSED]</t>
        </is>
      </c>
      <c r="G310" s="52" t="inlineStr">
        <is>
          <t>[تعليمات: سجل في بضع كلمات الاستجابة المفتوحة المعطاة . أدخل 888 للا أعرف و 999 في حالة الرفض]</t>
        </is>
      </c>
      <c r="H310" s="60" t="n"/>
      <c r="I310" s="243" t="inlineStr">
        <is>
          <t>true</t>
        </is>
      </c>
      <c r="J310" s="243" t="n"/>
      <c r="K310" s="325" t="inlineStr">
        <is>
          <t>string-length(.)&gt;=3</t>
        </is>
      </c>
      <c r="L310" s="306" t="inlineStr">
        <is>
          <t>عفوا، الرجاء تقديم نص و شرح اكثر وضوحا.</t>
        </is>
      </c>
      <c r="M310" s="306" t="inlineStr">
        <is>
          <t>Sorry, Please provide a much more meaningful text</t>
        </is>
      </c>
      <c r="N310" s="267" t="inlineStr">
        <is>
          <t>selected(${fish_saledif}, 'other')</t>
        </is>
      </c>
      <c r="O310" s="243" t="n"/>
      <c r="P310" s="243" t="n"/>
      <c r="Q310" s="243" t="n"/>
      <c r="V310" s="28" t="inlineStr">
        <is>
          <t>yes</t>
        </is>
      </c>
      <c r="X310" s="132" t="n"/>
      <c r="Y310" s="71">
        <f>'Additional information'!$C$16</f>
        <v/>
      </c>
      <c r="Z310" s="115">
        <f>IF(X310&lt;&gt;"",X310*Y310,"")</f>
        <v/>
      </c>
      <c r="AA310" s="115">
        <f>IF(AND(X310&lt;&gt;"",V310="yes"),X310*Y310,"")</f>
        <v/>
      </c>
    </row>
    <row r="311" ht="31.95" customHeight="1">
      <c r="A311" s="51" t="inlineStr">
        <is>
          <t>select_one change2</t>
        </is>
      </c>
      <c r="B311" s="51" t="inlineStr">
        <is>
          <t>fish_salesprice</t>
        </is>
      </c>
      <c r="C311" s="362" t="inlineStr">
        <is>
          <t>9.6 كيف تقارن السعر الحالي لبيع ${fishsalesmain} لأسرتك بمتوسط ​​السعر في نفس الفترة من السنة العادية؟</t>
        </is>
      </c>
      <c r="D311" s="362" t="inlineStr">
        <is>
          <t xml:space="preserve">9.6 How does the current price of your household's ${fishsalesmain} compare to the average price in the same period/harvest of a normal year? </t>
        </is>
      </c>
      <c r="E311" s="59" t="n"/>
      <c r="F311" s="51" t="inlineStr">
        <is>
          <t>[INSTRUCTIONS: INSIST ON THE MAIN PRODUCT MENTIONED.]</t>
        </is>
      </c>
      <c r="G311" s="70" t="inlineStr">
        <is>
          <t>[تعليمات: قم بالإصرار على المنتج الرئيسي المذكور]</t>
        </is>
      </c>
      <c r="H311" s="60" t="n"/>
      <c r="I311" s="243" t="inlineStr">
        <is>
          <t>true</t>
        </is>
      </c>
      <c r="J311" s="243" t="n"/>
      <c r="K311" s="26" t="n"/>
      <c r="L311" s="243" t="n"/>
      <c r="M311" s="243" t="n"/>
      <c r="N311" s="267" t="n"/>
      <c r="O311" s="243" t="n"/>
      <c r="P311" s="243" t="n"/>
      <c r="Q311" s="243" t="n"/>
      <c r="V311" s="28" t="inlineStr">
        <is>
          <t>yes</t>
        </is>
      </c>
      <c r="X311" s="132" t="n">
        <v>13.7057523727417</v>
      </c>
      <c r="Y311" s="71">
        <f>'Additional information'!$C$16</f>
        <v/>
      </c>
      <c r="Z311" s="115">
        <f>IF(X311&lt;&gt;"",X311*Y311,"")</f>
        <v/>
      </c>
      <c r="AA311" s="115">
        <f>IF(AND(X311&lt;&gt;"",V311="yes"),X311*Y311,"")</f>
        <v/>
      </c>
    </row>
    <row r="312" ht="16.05" customHeight="1" thickBot="1">
      <c r="A312" s="68" t="inlineStr">
        <is>
          <t>end_group</t>
        </is>
      </c>
      <c r="B312" s="68" t="n"/>
      <c r="C312" s="369" t="n"/>
      <c r="D312" s="372" t="n"/>
      <c r="E312" s="244" t="n"/>
      <c r="F312" s="68" t="n"/>
      <c r="G312" s="68" t="n"/>
      <c r="H312" s="73" t="n"/>
      <c r="I312" s="247" t="n"/>
      <c r="J312" s="247" t="n"/>
      <c r="K312" s="273" t="n"/>
      <c r="L312" s="247" t="n"/>
      <c r="M312" s="247" t="n"/>
      <c r="N312" s="273" t="n"/>
      <c r="O312" s="247" t="n"/>
      <c r="P312" s="247" t="n"/>
      <c r="Q312" s="247" t="n"/>
      <c r="X312" s="132" t="n"/>
      <c r="Z312" s="115">
        <f>IF(X312&lt;&gt;"",X312*Y312,"")</f>
        <v/>
      </c>
      <c r="AA312" s="115">
        <f>IF(AND(X312&lt;&gt;"",V312="yes"),X312*Y312,"")</f>
        <v/>
      </c>
    </row>
    <row r="313" ht="49.05" customFormat="1" customHeight="1" s="49" thickTop="1">
      <c r="A313" s="282" t="inlineStr">
        <is>
          <t>begin_group</t>
        </is>
      </c>
      <c r="B313" s="282" t="inlineStr">
        <is>
          <t>FSI</t>
        </is>
      </c>
      <c r="C313" s="365" t="inlineStr">
        <is>
          <t>10. مؤشرات الأمن الغذائي</t>
        </is>
      </c>
      <c r="D313" s="365" t="inlineStr">
        <is>
          <t>10. FOOD SECURITY INDICATORS</t>
        </is>
      </c>
      <c r="E313" s="47" t="n"/>
      <c r="F313" s="46" t="n"/>
      <c r="G313" s="46" t="n"/>
      <c r="H313" s="48" t="n"/>
      <c r="I313" s="82" t="inlineStr">
        <is>
          <t>false</t>
        </is>
      </c>
      <c r="J313" s="82" t="n"/>
      <c r="K313" s="275" t="n"/>
      <c r="L313" s="82" t="n"/>
      <c r="M313" s="82" t="n"/>
      <c r="N313" s="270" t="inlineStr">
        <is>
          <t>${resp_agree} = '1' and ${hh_agricactivity} != 'dk' and ${hh_agricactivity} != 'ref'</t>
        </is>
      </c>
      <c r="O313" s="82" t="n"/>
      <c r="P313" s="82" t="n"/>
      <c r="Q313" s="82" t="n"/>
      <c r="V313" s="28" t="inlineStr">
        <is>
          <t>yes</t>
        </is>
      </c>
      <c r="X313" s="132" t="n"/>
      <c r="Y313" s="50" t="n"/>
      <c r="Z313" s="115">
        <f>IF(X313&lt;&gt;"",X313*Y313,"")</f>
        <v/>
      </c>
      <c r="AA313" s="115">
        <f>IF(AND(X313&lt;&gt;"",V313="yes"),X313*Y313,"")</f>
        <v/>
      </c>
      <c r="AB313" s="50" t="n"/>
    </row>
    <row r="314" ht="31.95" customFormat="1" customHeight="1" s="49">
      <c r="A314" s="51" t="inlineStr">
        <is>
          <t>note</t>
        </is>
      </c>
      <c r="B314" s="51" t="inlineStr">
        <is>
          <t>intro_foodsec</t>
        </is>
      </c>
      <c r="C314" s="340"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is>
      </c>
      <c r="D314" s="362" t="inlineStr">
        <is>
          <t>Now I would like to ask you some questions about food consumption, food utilization and coping mechanisms. Make sure to refer to the correct time period for each set of questions.</t>
        </is>
      </c>
      <c r="E314" s="47" t="n"/>
      <c r="H314" s="48" t="n"/>
      <c r="I314" s="243" t="inlineStr">
        <is>
          <t>false</t>
        </is>
      </c>
      <c r="J314" s="82" t="n"/>
      <c r="K314" s="275" t="n"/>
      <c r="L314" s="82" t="n"/>
      <c r="M314" s="82" t="n"/>
      <c r="N314" s="275" t="n"/>
      <c r="O314" s="82" t="n"/>
      <c r="P314" s="82" t="n"/>
      <c r="Q314" s="82" t="n"/>
      <c r="V314" s="28" t="inlineStr">
        <is>
          <t>no</t>
        </is>
      </c>
      <c r="X314" s="132" t="n"/>
      <c r="Y314" s="72" t="n">
        <v>1</v>
      </c>
      <c r="Z314" s="115">
        <f>IF(X314&lt;&gt;"",X314*Y314,"")</f>
        <v/>
      </c>
      <c r="AA314" s="115">
        <f>IF(AND(X314&lt;&gt;"",V314="yes"),X314*Y314,"")</f>
        <v/>
      </c>
      <c r="AB314" s="50" t="n"/>
    </row>
    <row r="315" ht="16.05" customFormat="1" customHeight="1" s="49">
      <c r="A315" s="282" t="inlineStr">
        <is>
          <t>begin_group</t>
        </is>
      </c>
      <c r="B315" s="282" t="inlineStr">
        <is>
          <t>grp_fies</t>
        </is>
      </c>
      <c r="C315" s="365" t="inlineStr">
        <is>
          <t>10.1. استراتيجيات المواجهة</t>
        </is>
      </c>
      <c r="D315" s="365" t="inlineStr">
        <is>
          <t>10.1. FIES</t>
        </is>
      </c>
      <c r="E315" s="47" t="n"/>
      <c r="F315" s="46" t="n"/>
      <c r="G315" s="46" t="n"/>
      <c r="H315" s="48" t="n"/>
      <c r="I315" s="243" t="inlineStr">
        <is>
          <t>false</t>
        </is>
      </c>
      <c r="J315" s="82" t="n"/>
      <c r="K315" s="275" t="n"/>
      <c r="L315" s="82" t="n"/>
      <c r="M315" s="82" t="n"/>
      <c r="N315" s="275" t="n"/>
      <c r="O315" s="82" t="n"/>
      <c r="P315" s="82" t="n"/>
      <c r="Q315" s="82" t="n"/>
      <c r="V315" s="28" t="n"/>
      <c r="X315" s="132" t="n"/>
      <c r="Y315" s="72" t="n">
        <v>1</v>
      </c>
      <c r="Z315" s="115">
        <f>IF(X315&lt;&gt;"",X315*Y315,"")</f>
        <v/>
      </c>
      <c r="AA315" s="115">
        <f>IF(AND(X315&lt;&gt;"",V315="yes"),X315*Y315,"")</f>
        <v/>
      </c>
      <c r="AB315" s="50" t="n"/>
    </row>
    <row r="316" ht="16.05" customHeight="1">
      <c r="A316" s="51" t="inlineStr">
        <is>
          <t>note</t>
        </is>
      </c>
      <c r="B316" s="51" t="inlineStr">
        <is>
          <t>fies_intro</t>
        </is>
      </c>
      <c r="C316" s="362" t="inlineStr">
        <is>
          <t>تشير المجموعة الأولى من الأسئلة إلى التجارب التي واجهتها أنت أو أي فرد من أفراد أسرتك خلال الثلاثين يومًا الماضية.</t>
        </is>
      </c>
      <c r="D316" s="362" t="inlineStr">
        <is>
          <t xml:space="preserve">The first set of questions refers to experiences faced by your or any of your household members over the past 30 days. </t>
        </is>
      </c>
      <c r="E316" s="59" t="n"/>
      <c r="F316" s="51" t="n"/>
      <c r="G316" s="51" t="n"/>
      <c r="H316" s="60" t="n"/>
      <c r="I316" s="243" t="inlineStr">
        <is>
          <t>false</t>
        </is>
      </c>
      <c r="J316" s="243" t="n"/>
      <c r="K316" s="26" t="n"/>
      <c r="L316" s="243" t="n"/>
      <c r="M316" s="243" t="n"/>
      <c r="N316" s="26" t="n"/>
      <c r="O316" s="243" t="n"/>
      <c r="P316" s="243" t="n"/>
      <c r="Q316" s="243" t="n"/>
      <c r="V316" s="28" t="inlineStr">
        <is>
          <t>yes</t>
        </is>
      </c>
      <c r="X316" s="132" t="n">
        <v>12.77690315246582</v>
      </c>
      <c r="Y316" s="72" t="n">
        <v>1</v>
      </c>
      <c r="Z316" s="115">
        <f>IF(X316&lt;&gt;"",X316*Y316,"")</f>
        <v/>
      </c>
      <c r="AA316" s="115">
        <f>IF(AND(X316&lt;&gt;"",V316="yes"),X316*Y316,"")</f>
        <v/>
      </c>
    </row>
    <row r="317" ht="31.95" customHeight="1">
      <c r="A317" s="51" t="inlineStr">
        <is>
          <t>select_one yes_no</t>
        </is>
      </c>
      <c r="B317" s="51" t="inlineStr">
        <is>
          <t>fies_worried</t>
        </is>
      </c>
      <c r="C317" s="362" t="inlineStr">
        <is>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is>
      </c>
      <c r="D317" s="362" t="inlineStr">
        <is>
          <t>10.1.1 During the *last 30 days*, was there a time when you or others in your household were **worried about not having enough food to eat** because of lack of money or other resources?</t>
        </is>
      </c>
      <c r="E317" s="59" t="n"/>
      <c r="F317" s="51" t="n"/>
      <c r="G317" s="51" t="n"/>
      <c r="H317" s="60" t="n"/>
      <c r="I317" s="243" t="inlineStr">
        <is>
          <t>true</t>
        </is>
      </c>
      <c r="J317" s="243" t="n"/>
      <c r="K317" s="26" t="n"/>
      <c r="L317" s="243" t="n"/>
      <c r="M317" s="243" t="n"/>
      <c r="N317" s="26" t="n"/>
      <c r="O317" s="243" t="n"/>
      <c r="P317" s="243" t="n"/>
      <c r="Q317" s="243" t="n"/>
      <c r="V317" s="28" t="inlineStr">
        <is>
          <t>yes</t>
        </is>
      </c>
      <c r="X317" s="132" t="n">
        <v>21.39860534667969</v>
      </c>
      <c r="Y317" s="72" t="n">
        <v>1</v>
      </c>
      <c r="Z317" s="115">
        <f>IF(X317&lt;&gt;"",X317*Y317,"")</f>
        <v/>
      </c>
      <c r="AA317" s="115">
        <f>IF(AND(X317&lt;&gt;"",V317="yes"),X317*Y317,"")</f>
        <v/>
      </c>
    </row>
    <row r="318" ht="31.95" customHeight="1">
      <c r="A318" s="51" t="inlineStr">
        <is>
          <t>select_one yes_no</t>
        </is>
      </c>
      <c r="B318" s="51" t="inlineStr">
        <is>
          <t>fies_healthy</t>
        </is>
      </c>
      <c r="C318" s="362" t="inlineStr">
        <is>
          <t>10.1.2 خلال *الثلاثين يومًا الماضية* ، هل كان هناك وقت **لم تتمكن فيه أنت أو غيرك من أفراد أسرتك من تناول طعام صحي ومغذي** بسبب نقص المال أو الموارد الأخرى؟</t>
        </is>
      </c>
      <c r="D318" s="362" t="inlineStr">
        <is>
          <t>10.1.2 During the *last 30 days*, was there a time when you or others in your household were **unable to eat healthy and nutritious food** because of lack of money or other resources?</t>
        </is>
      </c>
      <c r="E318" s="59" t="n"/>
      <c r="F318" s="51" t="n"/>
      <c r="G318" s="51" t="n"/>
      <c r="H318" s="60" t="n"/>
      <c r="I318" s="243" t="inlineStr">
        <is>
          <t>true</t>
        </is>
      </c>
      <c r="J318" s="243" t="n"/>
      <c r="K318" s="26" t="n"/>
      <c r="L318" s="243" t="n"/>
      <c r="M318" s="243" t="n"/>
      <c r="N318" s="26" t="n"/>
      <c r="O318" s="243" t="n"/>
      <c r="P318" s="243" t="n"/>
      <c r="Q318" s="243" t="n"/>
      <c r="V318" s="28" t="inlineStr">
        <is>
          <t>yes</t>
        </is>
      </c>
      <c r="X318" s="132" t="n">
        <v>14.98074054718018</v>
      </c>
      <c r="Y318" s="72" t="n">
        <v>1</v>
      </c>
      <c r="Z318" s="115">
        <f>IF(X318&lt;&gt;"",X318*Y318,"")</f>
        <v/>
      </c>
      <c r="AA318" s="115">
        <f>IF(AND(X318&lt;&gt;"",V318="yes"),X318*Y318,"")</f>
        <v/>
      </c>
    </row>
    <row r="319" ht="31.95" customHeight="1">
      <c r="A319" s="51" t="inlineStr">
        <is>
          <t>select_one yes_no</t>
        </is>
      </c>
      <c r="B319" s="51" t="inlineStr">
        <is>
          <t>fies_fewfoods</t>
        </is>
      </c>
      <c r="C319" s="362" t="inlineStr">
        <is>
          <t>10.1.3 خلال *الثلاثين يومًا الماضية* ، هل كان هناك وقت كنت تأكل فيه أنت أو غيرك من أفراد أسرتك **أنواعًا قليلة فقط من الأطعمة** بسبب نقص المال أو الموارد الأخرى؟</t>
        </is>
      </c>
      <c r="D319" s="362" t="inlineStr">
        <is>
          <t>10.1.3 During the *last 30 days*, was there a time when you or others in your household **ate only a few kinds of foods** because of lack of money or other resources?</t>
        </is>
      </c>
      <c r="E319" s="59" t="n"/>
      <c r="F319" s="51" t="n"/>
      <c r="G319" s="51" t="n"/>
      <c r="H319" s="60" t="n"/>
      <c r="I319" s="243" t="inlineStr">
        <is>
          <t>true</t>
        </is>
      </c>
      <c r="J319" s="243" t="n"/>
      <c r="K319" s="26" t="n"/>
      <c r="L319" s="243" t="n"/>
      <c r="M319" s="243" t="n"/>
      <c r="N319" s="26" t="n"/>
      <c r="O319" s="243" t="n"/>
      <c r="P319" s="243" t="n"/>
      <c r="Q319" s="243" t="n"/>
      <c r="V319" s="28" t="inlineStr">
        <is>
          <t>yes</t>
        </is>
      </c>
      <c r="X319" s="132" t="n">
        <v>13.72302150726318</v>
      </c>
      <c r="Y319" s="72" t="n">
        <v>1</v>
      </c>
      <c r="Z319" s="115">
        <f>IF(X319&lt;&gt;"",X319*Y319,"")</f>
        <v/>
      </c>
      <c r="AA319" s="115">
        <f>IF(AND(X319&lt;&gt;"",V319="yes"),X319*Y319,"")</f>
        <v/>
      </c>
    </row>
    <row r="320" ht="31.95" customHeight="1">
      <c r="A320" s="51" t="inlineStr">
        <is>
          <t>select_one yes_no</t>
        </is>
      </c>
      <c r="B320" s="51" t="inlineStr">
        <is>
          <t>fies_skipped</t>
        </is>
      </c>
      <c r="C320" s="362" t="inlineStr">
        <is>
          <t>10.1.4 خلال *الثلاثين يومًا الماضية* ، هل كان هناك وقت اضطررت فيه أنت أو غيرك من أفراد أسرتك إلى **تخطي وجبة** بسبب نقص المال أو الموارد الأخرى للحصول على الطعام؟</t>
        </is>
      </c>
      <c r="D320" s="362" t="inlineStr">
        <is>
          <t>10.1.4 During the *last 30 days*, was there a time when you or others in your household **had to skip a meal** because of lack of money or other resources to get food?</t>
        </is>
      </c>
      <c r="E320" s="59" t="n"/>
      <c r="F320" s="51" t="n"/>
      <c r="G320" s="51" t="n"/>
      <c r="H320" s="60" t="n"/>
      <c r="I320" s="243" t="inlineStr">
        <is>
          <t>true</t>
        </is>
      </c>
      <c r="J320" s="243" t="n"/>
      <c r="K320" s="26" t="n"/>
      <c r="L320" s="243" t="n"/>
      <c r="M320" s="243" t="n"/>
      <c r="N320" s="26" t="n"/>
      <c r="O320" s="243" t="n"/>
      <c r="P320" s="243" t="n"/>
      <c r="Q320" s="243" t="n"/>
      <c r="V320" s="28" t="inlineStr">
        <is>
          <t>yes</t>
        </is>
      </c>
      <c r="X320" s="132" t="n">
        <v>13.06220054626465</v>
      </c>
      <c r="Y320" s="72" t="n">
        <v>1</v>
      </c>
      <c r="Z320" s="115">
        <f>IF(X320&lt;&gt;"",X320*Y320,"")</f>
        <v/>
      </c>
      <c r="AA320" s="115">
        <f>IF(AND(X320&lt;&gt;"",V320="yes"),X320*Y320,"")</f>
        <v/>
      </c>
    </row>
    <row r="321" ht="31.95" customHeight="1">
      <c r="A321" s="51" t="inlineStr">
        <is>
          <t>select_one yes_no</t>
        </is>
      </c>
      <c r="B321" s="51" t="inlineStr">
        <is>
          <t>fies_ateless</t>
        </is>
      </c>
      <c r="C321" s="362" t="inlineStr">
        <is>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is>
      </c>
      <c r="D321" s="362" t="inlineStr">
        <is>
          <t>10.1.5 During the *last 30 days*, was there a time when you or others in your household **ate less than you thought you should** because of lack of money or other resources?</t>
        </is>
      </c>
      <c r="E321" s="59" t="n"/>
      <c r="F321" s="51" t="n"/>
      <c r="G321" s="51" t="n"/>
      <c r="H321" s="60" t="n"/>
      <c r="I321" s="243" t="inlineStr">
        <is>
          <t>true</t>
        </is>
      </c>
      <c r="J321" s="243" t="n"/>
      <c r="K321" s="26" t="n"/>
      <c r="L321" s="243" t="n"/>
      <c r="M321" s="243" t="n"/>
      <c r="N321" s="26" t="n"/>
      <c r="O321" s="243" t="n"/>
      <c r="P321" s="243" t="n"/>
      <c r="Q321" s="243" t="n"/>
      <c r="V321" s="28" t="inlineStr">
        <is>
          <t>yes</t>
        </is>
      </c>
      <c r="X321" s="132" t="n">
        <v>13.09532356262207</v>
      </c>
      <c r="Y321" s="72" t="n">
        <v>1</v>
      </c>
      <c r="Z321" s="115">
        <f>IF(X321&lt;&gt;"",X321*Y321,"")</f>
        <v/>
      </c>
      <c r="AA321" s="115">
        <f>IF(AND(X321&lt;&gt;"",V321="yes"),X321*Y321,"")</f>
        <v/>
      </c>
    </row>
    <row r="322" ht="16.05" customHeight="1">
      <c r="A322" s="51" t="inlineStr">
        <is>
          <t>select_one yes_no</t>
        </is>
      </c>
      <c r="B322" s="51" t="inlineStr">
        <is>
          <t>fies_ranout</t>
        </is>
      </c>
      <c r="C322" s="362" t="inlineStr">
        <is>
          <t>10.1.6 خلال *الثلاثين يومًا الماضية* ، هل كان هناك وقت **لم يكن فيه أي نوع طعام تأكله** في منزلك بسبب نقص الموارد للحصول على الطعام؟</t>
        </is>
      </c>
      <c r="D322" s="362" t="inlineStr">
        <is>
          <t>10.1.6 In the *past 30 days*, was there ever **no food to eat of any kind** in your house because of lack of resources to get food?</t>
        </is>
      </c>
      <c r="E322" s="59" t="n"/>
      <c r="F322" s="51" t="n"/>
      <c r="G322" s="51" t="n"/>
      <c r="H322" s="60" t="n"/>
      <c r="I322" s="243" t="inlineStr">
        <is>
          <t>true</t>
        </is>
      </c>
      <c r="J322" s="243" t="n"/>
      <c r="K322" s="26" t="n"/>
      <c r="L322" s="243" t="n"/>
      <c r="M322" s="243" t="n"/>
      <c r="N322" s="26" t="n"/>
      <c r="O322" s="243" t="n"/>
      <c r="P322" s="243" t="n"/>
      <c r="Q322" s="243" t="n"/>
      <c r="V322" s="28" t="inlineStr">
        <is>
          <t>yes</t>
        </is>
      </c>
      <c r="X322" s="132" t="n">
        <v>16.10101918465228</v>
      </c>
      <c r="Y322" s="72" t="n">
        <v>1</v>
      </c>
      <c r="Z322" s="115">
        <f>IF(X322&lt;&gt;"",X322*Y322,"")</f>
        <v/>
      </c>
      <c r="AA322" s="115">
        <f>IF(AND(X322&lt;&gt;"",V322="yes"),X322*Y322,"")</f>
        <v/>
      </c>
    </row>
    <row r="323" ht="16.05" customFormat="1" customHeight="1" s="52">
      <c r="A323" s="55" t="inlineStr">
        <is>
          <t>select_one frequency</t>
        </is>
      </c>
      <c r="B323" s="55" t="inlineStr">
        <is>
          <t>fies_ranout_hhs</t>
        </is>
      </c>
      <c r="C323" s="362" t="inlineStr">
        <is>
          <t>10.1.7 كم مرة حدث ذلك؟</t>
        </is>
      </c>
      <c r="D323" s="362" t="inlineStr">
        <is>
          <t xml:space="preserve">10.1.7 How often did this happen? </t>
        </is>
      </c>
      <c r="E323" s="65" t="n"/>
      <c r="F323" s="55" t="n"/>
      <c r="G323" s="55" t="n"/>
      <c r="H323" s="67" t="n"/>
      <c r="I323" s="81" t="inlineStr">
        <is>
          <t>true</t>
        </is>
      </c>
      <c r="J323" s="81" t="n"/>
      <c r="K323" s="267" t="n"/>
      <c r="L323" s="81" t="n"/>
      <c r="M323" s="81" t="n"/>
      <c r="N323" s="267" t="inlineStr">
        <is>
          <t>${fies_ranout} = '1'</t>
        </is>
      </c>
      <c r="O323" s="81" t="n"/>
      <c r="P323" s="81" t="n"/>
      <c r="Q323" s="81" t="n"/>
      <c r="V323" s="52" t="inlineStr">
        <is>
          <t>yes</t>
        </is>
      </c>
      <c r="X323" s="132" t="n">
        <v>11.76504325866699</v>
      </c>
      <c r="Y323" s="72" t="n">
        <v>1</v>
      </c>
      <c r="Z323" s="115">
        <f>IF(X323&lt;&gt;"",X323*Y323,"")</f>
        <v/>
      </c>
      <c r="AA323" s="115">
        <f>IF(AND(X323&lt;&gt;"",V323="yes"),X323*Y323,"")</f>
        <v/>
      </c>
    </row>
    <row r="324" ht="16.05" customFormat="1" customHeight="1" s="52">
      <c r="A324" s="55" t="inlineStr">
        <is>
          <t>select_one yes_no</t>
        </is>
      </c>
      <c r="B324" s="55" t="inlineStr">
        <is>
          <t>fies_hungry</t>
        </is>
      </c>
      <c r="C324" s="362" t="inlineStr">
        <is>
          <t>10.1.8 خلال *الثلاثين يومًا الماضية* ، هل سبق لك أو لأي فرد من أفراد أسرتك **أن تنام ليلاً وأنت جائع** بسبب عدم وجود طعام كافٍ؟</t>
        </is>
      </c>
      <c r="D324" s="362" t="inlineStr">
        <is>
          <t>10.1.8 In the *past 30 days*, did you or any household member ever **go to sleep at night hungry**because there was not enough food?</t>
        </is>
      </c>
      <c r="E324" s="65" t="n"/>
      <c r="F324" s="55" t="n"/>
      <c r="G324" s="55" t="n"/>
      <c r="H324" s="67" t="n"/>
      <c r="I324" s="81" t="inlineStr">
        <is>
          <t>true</t>
        </is>
      </c>
      <c r="J324" s="81" t="n"/>
      <c r="K324" s="267" t="n"/>
      <c r="L324" s="81" t="n"/>
      <c r="M324" s="81" t="n"/>
      <c r="N324" s="267" t="n"/>
      <c r="O324" s="81" t="n"/>
      <c r="P324" s="81" t="n"/>
      <c r="Q324" s="81" t="n"/>
      <c r="V324" s="52" t="inlineStr">
        <is>
          <t>yes</t>
        </is>
      </c>
      <c r="X324" s="132" t="n">
        <v>12.43247890472412</v>
      </c>
      <c r="Y324" s="72" t="n">
        <v>1</v>
      </c>
      <c r="Z324" s="115">
        <f>IF(X324&lt;&gt;"",X324*Y324,"")</f>
        <v/>
      </c>
      <c r="AA324" s="115">
        <f>IF(AND(X324&lt;&gt;"",V324="yes"),X324*Y324,"")</f>
        <v/>
      </c>
    </row>
    <row r="325" ht="16.05" customFormat="1" customHeight="1" s="52">
      <c r="A325" s="55" t="inlineStr">
        <is>
          <t>select_one frequency</t>
        </is>
      </c>
      <c r="B325" s="55" t="inlineStr">
        <is>
          <t>fies_hungry_hhs</t>
        </is>
      </c>
      <c r="C325" s="362" t="inlineStr">
        <is>
          <t>10.1.9 كم مرة حدث ذلك؟</t>
        </is>
      </c>
      <c r="D325" s="362" t="inlineStr">
        <is>
          <t xml:space="preserve">10.1.9 How often did this happen? </t>
        </is>
      </c>
      <c r="E325" s="65" t="n"/>
      <c r="F325" s="55" t="n"/>
      <c r="G325" s="55" t="n"/>
      <c r="H325" s="67" t="n"/>
      <c r="I325" s="81" t="inlineStr">
        <is>
          <t>true</t>
        </is>
      </c>
      <c r="J325" s="81" t="n"/>
      <c r="K325" s="267" t="n"/>
      <c r="L325" s="81" t="n"/>
      <c r="M325" s="81" t="n"/>
      <c r="N325" s="267" t="inlineStr">
        <is>
          <t>${fies_hungry} = '1'</t>
        </is>
      </c>
      <c r="O325" s="81" t="n"/>
      <c r="P325" s="81" t="n"/>
      <c r="Q325" s="81" t="n"/>
      <c r="V325" s="52" t="inlineStr">
        <is>
          <t>yes</t>
        </is>
      </c>
      <c r="X325" s="132" t="n">
        <v>8.980183601379395</v>
      </c>
      <c r="Y325" s="72" t="n">
        <v>1</v>
      </c>
      <c r="Z325" s="115">
        <f>IF(X325&lt;&gt;"",X325*Y325,"")</f>
        <v/>
      </c>
      <c r="AA325" s="115">
        <f>IF(AND(X325&lt;&gt;"",V325="yes"),X325*Y325,"")</f>
        <v/>
      </c>
    </row>
    <row r="326" ht="31.95" customFormat="1" customHeight="1" s="52">
      <c r="A326" s="55" t="inlineStr">
        <is>
          <t>select_one yes_no</t>
        </is>
      </c>
      <c r="B326" s="55" t="inlineStr">
        <is>
          <t>fies_whlday</t>
        </is>
      </c>
      <c r="C326" s="362" t="inlineStr">
        <is>
          <t>10.1.10 خلال *الثلاثين يومًا الماضية* ، هل قضيت أنت أو أي فرد من أفراد أسرتك **يومًا كاملاً ليلاً ونهارًا دون تناول أي شيء على الإطلاق** بسبب عدم وجود ما يكفي من الطعام؟</t>
        </is>
      </c>
      <c r="D326" s="362" t="inlineStr">
        <is>
          <t>10.1.10 In the *past 30 days*, did you or any household member ever **go a whole day and night without eating anything at all** because there was not enough food?</t>
        </is>
      </c>
      <c r="E326" s="65" t="n"/>
      <c r="F326" s="55" t="n"/>
      <c r="G326" s="55" t="n"/>
      <c r="H326" s="67" t="n"/>
      <c r="I326" s="81" t="inlineStr">
        <is>
          <t>true</t>
        </is>
      </c>
      <c r="J326" s="81" t="n"/>
      <c r="K326" s="267" t="n"/>
      <c r="L326" s="81" t="n"/>
      <c r="M326" s="81" t="n"/>
      <c r="N326" s="267" t="n"/>
      <c r="O326" s="81" t="n"/>
      <c r="P326" s="81" t="n"/>
      <c r="Q326" s="81" t="n"/>
      <c r="V326" s="52" t="inlineStr">
        <is>
          <t>yes</t>
        </is>
      </c>
      <c r="X326" s="132" t="n">
        <v>11.08932876586914</v>
      </c>
      <c r="Y326" s="72" t="n">
        <v>1</v>
      </c>
      <c r="Z326" s="115">
        <f>IF(X326&lt;&gt;"",X326*Y326,"")</f>
        <v/>
      </c>
      <c r="AA326" s="115">
        <f>IF(AND(X326&lt;&gt;"",V326="yes"),X326*Y326,"")</f>
        <v/>
      </c>
    </row>
    <row r="327" ht="16.05" customFormat="1" customHeight="1" s="52">
      <c r="A327" s="55" t="inlineStr">
        <is>
          <t>select_one frequency</t>
        </is>
      </c>
      <c r="B327" s="55" t="inlineStr">
        <is>
          <t>fies_whlday_hhs</t>
        </is>
      </c>
      <c r="C327" s="362" t="inlineStr">
        <is>
          <t>10.1.11 كم مرة حدث ذلك؟</t>
        </is>
      </c>
      <c r="D327" s="362" t="inlineStr">
        <is>
          <t xml:space="preserve">10.1.11 How often did this happen? </t>
        </is>
      </c>
      <c r="E327" s="65" t="n"/>
      <c r="F327" s="55" t="n"/>
      <c r="G327" s="55" t="n"/>
      <c r="H327" s="67" t="n"/>
      <c r="I327" s="81" t="inlineStr">
        <is>
          <t>true</t>
        </is>
      </c>
      <c r="J327" s="81" t="n"/>
      <c r="K327" s="267" t="n"/>
      <c r="L327" s="81" t="n"/>
      <c r="M327" s="81" t="n"/>
      <c r="N327" s="267" t="inlineStr">
        <is>
          <t>${fies_whlday} = '1'</t>
        </is>
      </c>
      <c r="O327" s="81" t="n"/>
      <c r="P327" s="81" t="n"/>
      <c r="Q327" s="81" t="n"/>
      <c r="V327" s="52" t="inlineStr">
        <is>
          <t>yes</t>
        </is>
      </c>
      <c r="X327" s="132" t="n">
        <v>8.06833553314209</v>
      </c>
      <c r="Y327" s="72" t="n">
        <v>1</v>
      </c>
      <c r="Z327" s="115">
        <f>IF(X327&lt;&gt;"",X327*Y327,"")</f>
        <v/>
      </c>
      <c r="AA327" s="115">
        <f>IF(AND(X327&lt;&gt;"",V327="yes"),X327*Y327,"")</f>
        <v/>
      </c>
    </row>
    <row r="328">
      <c r="A328" s="55" t="inlineStr">
        <is>
          <t>end_group</t>
        </is>
      </c>
      <c r="B328" s="55" t="n"/>
      <c r="C328" s="364" t="n"/>
      <c r="D328" s="364" t="n"/>
      <c r="E328" s="59" t="n"/>
      <c r="F328" s="51" t="n"/>
      <c r="G328" s="51" t="n"/>
      <c r="H328" s="60" t="n"/>
      <c r="I328" s="243" t="inlineStr">
        <is>
          <t>false</t>
        </is>
      </c>
      <c r="J328" s="243" t="n"/>
      <c r="K328" s="26" t="n"/>
      <c r="L328" s="243" t="n"/>
      <c r="M328" s="243" t="n"/>
      <c r="N328" s="26" t="n"/>
      <c r="O328" s="243" t="n"/>
      <c r="P328" s="243" t="n"/>
      <c r="Q328" s="243" t="n"/>
      <c r="X328" s="132" t="n"/>
      <c r="Y328" s="72" t="n">
        <v>1</v>
      </c>
      <c r="Z328" s="115">
        <f>IF(X328&lt;&gt;"",X328*Y328,"")</f>
        <v/>
      </c>
      <c r="AA328" s="115">
        <f>IF(AND(X328&lt;&gt;"",V328="yes"),X328*Y328,"")</f>
        <v/>
      </c>
    </row>
    <row r="329">
      <c r="A329" s="55" t="n"/>
      <c r="B329" s="55" t="n"/>
      <c r="C329" s="364" t="n"/>
      <c r="D329" s="364" t="n"/>
      <c r="E329" s="59" t="n"/>
      <c r="F329" s="51" t="n"/>
      <c r="G329" s="51" t="n"/>
      <c r="H329" s="60" t="n"/>
      <c r="I329" s="243" t="n"/>
      <c r="J329" s="243" t="n"/>
      <c r="K329" s="26" t="n"/>
      <c r="L329" s="243" t="n"/>
      <c r="M329" s="243" t="n"/>
      <c r="N329" s="26" t="n"/>
      <c r="O329" s="243" t="n"/>
      <c r="P329" s="243" t="n"/>
      <c r="Q329" s="243" t="n"/>
      <c r="X329" s="132" t="n"/>
      <c r="Y329" s="72" t="n"/>
      <c r="Z329" s="115" t="n"/>
      <c r="AA329" s="115" t="n"/>
    </row>
    <row r="330" ht="16.05" customFormat="1" customHeight="1" s="332">
      <c r="A330" s="337" t="inlineStr">
        <is>
          <t>begin_group</t>
        </is>
      </c>
      <c r="B330" s="337" t="inlineStr">
        <is>
          <t>grp_hdds</t>
        </is>
      </c>
      <c r="C330" s="392" t="inlineStr">
        <is>
          <t>10.2 HDDS</t>
        </is>
      </c>
      <c r="D330" s="355" t="inlineStr">
        <is>
          <t>10.2 التنوع الغذائي الأسري</t>
        </is>
      </c>
      <c r="E330" s="334" t="n"/>
      <c r="F330" s="331" t="n"/>
      <c r="G330" s="331" t="n"/>
      <c r="I330" s="398" t="n"/>
      <c r="J330" s="398" t="n"/>
      <c r="K330" s="398" t="n"/>
      <c r="L330" s="398" t="n"/>
      <c r="M330" s="398" t="n"/>
      <c r="N330" s="398" t="n"/>
      <c r="O330" s="398" t="n"/>
      <c r="P330" s="398" t="n"/>
      <c r="X330" s="149" t="n"/>
      <c r="Y330" s="353" t="n">
        <v>1</v>
      </c>
      <c r="Z330" s="333">
        <f>IF(X330&lt;&gt;"",X330*Y330,"")</f>
        <v/>
      </c>
      <c r="AA330" s="338" t="n"/>
    </row>
    <row r="331" ht="15.6" customFormat="1" customHeight="1" s="332">
      <c r="A331" s="331" t="inlineStr">
        <is>
          <t>note</t>
        </is>
      </c>
      <c r="B331" s="331" t="inlineStr">
        <is>
          <t>hdds_intro</t>
        </is>
      </c>
      <c r="C331" s="374" t="inlineStr">
        <is>
          <t>10.2.1 الآن أود أن أسألك عن المجموعة الثالثة من الأسئلة حول استهلاك الغذاء ، بالإشارة إلى*24 ساعة أمس*.</t>
        </is>
      </c>
      <c r="D331" s="374" t="inlineStr">
        <is>
          <t>10.2.1 Now I would like to ask you about a set of questions on food consumption, referring to the *24 hours of yesterday*.</t>
        </is>
      </c>
      <c r="E331" s="334" t="n"/>
      <c r="F331" s="331" t="n"/>
      <c r="G331" s="331" t="n"/>
      <c r="I331" s="398" t="inlineStr">
        <is>
          <t>false</t>
        </is>
      </c>
      <c r="J331" s="398" t="n"/>
      <c r="K331" s="398" t="n"/>
      <c r="L331" s="398" t="n"/>
      <c r="M331" s="398" t="n"/>
      <c r="N331" s="398" t="n"/>
      <c r="O331" s="398" t="n"/>
      <c r="P331" s="398" t="n"/>
      <c r="V331" s="332" t="inlineStr">
        <is>
          <t>yes</t>
        </is>
      </c>
      <c r="X331" s="149" t="n"/>
      <c r="Y331" s="353" t="n">
        <v>1</v>
      </c>
      <c r="Z331" s="333">
        <f>IF(X331&lt;&gt;"",X331*Y331,"")</f>
        <v/>
      </c>
      <c r="AA331" s="338" t="n"/>
    </row>
    <row r="332" ht="69" customFormat="1" customHeight="1" s="332">
      <c r="A332" s="331" t="inlineStr">
        <is>
          <t>select_multiple hdds</t>
        </is>
      </c>
      <c r="B332" s="331" t="inlineStr">
        <is>
          <t>hdds</t>
        </is>
      </c>
      <c r="C332" s="374" t="inlineStr">
        <is>
          <t xml:space="preserve"> 10.2.2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is>
      </c>
      <c r="D332" s="374" t="inlineStr">
        <is>
          <t>10.2.2 Please describe the foods (meals and snacks) that you or any household member ate or drank at home yesterday (in the *24 hours of yesterday*: breakfast, lunch, dinner and snacks).</t>
        </is>
      </c>
      <c r="E332" s="334" t="n"/>
      <c r="F332" s="331" t="inlineStr">
        <is>
          <t>[INSTRUCTIONS: SELECT ALL FOOD GROUPS CONSUMED IN THE 24 HOURS OF YESTERDAY AS THE RESPONDENT ANSWERS. MULTIPLE RESPONSES POSSIBLE.]</t>
        </is>
      </c>
      <c r="G332" s="331" t="inlineStr">
        <is>
          <t>[تعليمات: حدد كل المجموعات الغذائية المستهلكة خلال الـ 24 ساعة الماضية كإجابة للمُجيب. ردود متعددة ممكنة]</t>
        </is>
      </c>
      <c r="I332" s="398" t="inlineStr">
        <is>
          <t>true</t>
        </is>
      </c>
      <c r="J332" s="398" t="n"/>
      <c r="K332" s="398" t="n"/>
      <c r="L332" s="398" t="n"/>
      <c r="M332" s="398" t="n"/>
      <c r="N332" s="398" t="n"/>
      <c r="O332" s="398" t="n"/>
      <c r="P332" s="398" t="n"/>
      <c r="V332" s="332" t="inlineStr">
        <is>
          <t>yes</t>
        </is>
      </c>
      <c r="X332" s="149" t="n">
        <v>72.29513549804688</v>
      </c>
      <c r="Y332" s="353" t="n">
        <v>1</v>
      </c>
      <c r="Z332" s="333">
        <f>IF(X332&lt;&gt;"",X332*Y332,"")</f>
        <v/>
      </c>
      <c r="AA332" s="338" t="n"/>
    </row>
    <row r="333" ht="79.8" customFormat="1" customHeight="1" s="332">
      <c r="A333" s="331" t="inlineStr">
        <is>
          <t>note</t>
        </is>
      </c>
      <c r="B333" s="331" t="inlineStr">
        <is>
          <t>hdds_confirmation</t>
        </is>
      </c>
      <c r="C333" s="374"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is>
      </c>
      <c r="D333" s="374" t="inlineStr">
        <is>
          <t>[INSTRUCTIONS: Remember to probe for snacks, special foods given to children or pregnant women, ingredients in mixed dishes. At the end, probe for any food groups not specified.]</t>
        </is>
      </c>
      <c r="E333" s="334" t="n"/>
      <c r="F333" s="331" t="n"/>
      <c r="G333" s="331" t="n"/>
      <c r="I333" s="398" t="inlineStr">
        <is>
          <t>false</t>
        </is>
      </c>
      <c r="J333" s="398" t="n"/>
      <c r="K333" s="398" t="n"/>
      <c r="L333" s="398" t="n"/>
      <c r="M333" s="398" t="n"/>
      <c r="N333" s="398" t="n"/>
      <c r="O333" s="398" t="n"/>
      <c r="P333" s="398" t="n"/>
      <c r="V333" s="332" t="inlineStr">
        <is>
          <t>yes</t>
        </is>
      </c>
      <c r="X333" s="149" t="n">
        <v>3.705221891403198</v>
      </c>
      <c r="Y333" s="353" t="n">
        <v>1</v>
      </c>
      <c r="Z333" s="333">
        <f>IF(X333&lt;&gt;"",X333*Y333,"")</f>
        <v/>
      </c>
      <c r="AA333" s="338" t="n"/>
    </row>
    <row r="334" ht="31.95" customFormat="1" customHeight="1" s="332">
      <c r="A334" s="331" t="inlineStr">
        <is>
          <t>end_group</t>
        </is>
      </c>
      <c r="B334" s="331" t="n"/>
      <c r="C334" s="374" t="n"/>
      <c r="D334" s="374" t="n"/>
      <c r="E334" s="334" t="n"/>
      <c r="F334" s="331" t="n"/>
      <c r="G334" s="331" t="n"/>
      <c r="I334" s="398" t="n"/>
      <c r="J334" s="398" t="n"/>
      <c r="K334" s="398" t="n"/>
      <c r="L334" s="398" t="n"/>
      <c r="M334" s="398" t="n"/>
      <c r="N334" s="398" t="n"/>
      <c r="O334" s="398" t="n"/>
      <c r="P334" s="398" t="n"/>
      <c r="W334" s="149" t="n"/>
      <c r="X334" s="353" t="n"/>
      <c r="Y334" s="333" t="n"/>
      <c r="Z334" s="333" t="n"/>
      <c r="AA334" s="338" t="n"/>
    </row>
    <row r="335">
      <c r="A335" s="55" t="n"/>
      <c r="B335" s="55" t="n"/>
      <c r="C335" s="364" t="n"/>
      <c r="D335" s="364" t="n"/>
      <c r="E335" s="59" t="n"/>
      <c r="F335" s="51" t="n"/>
      <c r="G335" s="51" t="n"/>
      <c r="H335" s="60" t="n"/>
      <c r="I335" s="243" t="n"/>
      <c r="J335" s="243" t="n"/>
      <c r="K335" s="26" t="n"/>
      <c r="L335" s="243" t="n"/>
      <c r="M335" s="243" t="n"/>
      <c r="N335" s="26" t="n"/>
      <c r="O335" s="243" t="n"/>
      <c r="P335" s="243" t="n"/>
      <c r="Q335" s="243" t="n"/>
      <c r="X335" s="132" t="n"/>
      <c r="Y335" s="72" t="n"/>
      <c r="Z335" s="115" t="n"/>
      <c r="AA335" s="115" t="n"/>
    </row>
    <row r="336" ht="16.05" customFormat="1" customHeight="1" s="53">
      <c r="A336" s="284" t="inlineStr">
        <is>
          <t>begin_group</t>
        </is>
      </c>
      <c r="B336" s="284" t="inlineStr">
        <is>
          <t>grp_lcsi</t>
        </is>
      </c>
      <c r="C336" s="365" t="inlineStr">
        <is>
          <t>10.3. استراتيجيات المواجهة</t>
        </is>
      </c>
      <c r="D336" s="365" t="inlineStr">
        <is>
          <t>10.3. LCSI</t>
        </is>
      </c>
      <c r="E336" s="54" t="n"/>
      <c r="H336" s="58" t="n"/>
      <c r="I336" s="86" t="inlineStr">
        <is>
          <t>false</t>
        </is>
      </c>
      <c r="J336" s="86" t="inlineStr">
        <is>
          <t>field-list</t>
        </is>
      </c>
      <c r="K336" s="279" t="n"/>
      <c r="L336" s="80" t="n"/>
      <c r="M336" s="80" t="n"/>
      <c r="N336" s="279" t="n"/>
      <c r="O336" s="80" t="n"/>
      <c r="P336" s="80" t="n"/>
      <c r="Q336" s="80" t="n"/>
      <c r="X336" s="136" t="n"/>
      <c r="Y336" s="111" t="n">
        <v>1</v>
      </c>
      <c r="Z336" s="118">
        <f>IF(X336&lt;&gt;"",X336*Y336,"")</f>
        <v/>
      </c>
      <c r="AA336" s="118">
        <f>IF(AND(X336&lt;&gt;"",V336="yes"),X336*Y336,"")</f>
        <v/>
      </c>
    </row>
    <row r="337" ht="31.95" customFormat="1" customHeight="1" s="53">
      <c r="A337" s="52" t="inlineStr">
        <is>
          <t>note</t>
        </is>
      </c>
      <c r="B337" s="52" t="inlineStr">
        <is>
          <t>copingstrategies</t>
        </is>
      </c>
      <c r="C337" s="393" t="inlineStr">
        <is>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is>
      </c>
      <c r="D337" s="363"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to buy food*. </t>
        </is>
      </c>
      <c r="E337" s="65" t="n"/>
      <c r="F337" s="52" t="n"/>
      <c r="G337" s="52" t="n"/>
      <c r="H337" s="67" t="n"/>
      <c r="I337" s="86" t="inlineStr">
        <is>
          <t>false</t>
        </is>
      </c>
      <c r="J337" s="86" t="n"/>
      <c r="K337" s="279" t="n"/>
      <c r="L337" s="80" t="n"/>
      <c r="M337" s="80" t="n"/>
      <c r="N337" s="279" t="n"/>
      <c r="O337" s="80" t="n"/>
      <c r="P337" s="80" t="n"/>
      <c r="Q337" s="80" t="n"/>
      <c r="V337" s="53" t="inlineStr">
        <is>
          <t>no</t>
        </is>
      </c>
      <c r="X337" s="136" t="n">
        <v>5.711253643035889</v>
      </c>
      <c r="Y337" s="111" t="n">
        <v>1</v>
      </c>
      <c r="Z337" s="118">
        <f>IF(X337&lt;&gt;"",X337*Y337,"")</f>
        <v/>
      </c>
      <c r="AA337" s="118">
        <f>IF(AND(X337&lt;&gt;"",V337="yes"),X337*Y337,"")</f>
        <v/>
      </c>
    </row>
    <row r="338" ht="16.05" customFormat="1" customHeight="1" s="112">
      <c r="A338" s="52" t="inlineStr">
        <is>
          <t>select_one coping</t>
        </is>
      </c>
      <c r="B338" s="52" t="inlineStr">
        <is>
          <t>cs_stress_sale_assets</t>
        </is>
      </c>
      <c r="C338" s="362" t="inlineStr">
        <is>
          <t>10.3.1 بيع أصول / سلع منزلية (راديو ، أثاث ، ثلاجة ، تلفزيون ، إلخ)</t>
        </is>
      </c>
      <c r="D338" s="362" t="inlineStr">
        <is>
          <t>10.3.1 **Sell household assets/goods** (radio, furniture, refrigerator, television, etc.)</t>
        </is>
      </c>
      <c r="E338" s="65" t="n"/>
      <c r="F338" s="52" t="n"/>
      <c r="G338" s="52" t="n"/>
      <c r="H338" s="67" t="n"/>
      <c r="I338" s="86" t="inlineStr">
        <is>
          <t>true</t>
        </is>
      </c>
      <c r="J338" s="86" t="inlineStr">
        <is>
          <t>minimal</t>
        </is>
      </c>
      <c r="K338" s="280" t="n"/>
      <c r="L338" s="113" t="n"/>
      <c r="M338" s="113" t="n"/>
      <c r="N338" s="280" t="n"/>
      <c r="O338" s="113" t="n"/>
      <c r="P338" s="113" t="n"/>
      <c r="Q338" s="113" t="n"/>
      <c r="V338" s="53" t="inlineStr">
        <is>
          <t>no</t>
        </is>
      </c>
      <c r="X338" s="132" t="n">
        <v>19.85153007507324</v>
      </c>
      <c r="Y338" s="72" t="n">
        <v>1</v>
      </c>
      <c r="Z338" s="115">
        <f>IF(X338&lt;&gt;"",X338*Y338,"")</f>
        <v/>
      </c>
      <c r="AA338" s="115">
        <f>IF(AND(X338&lt;&gt;"",V338="yes"),X338*Y338,"")</f>
        <v/>
      </c>
      <c r="AB338" s="52" t="n"/>
    </row>
    <row r="339" ht="16.05" customFormat="1" customHeight="1" s="112">
      <c r="A339" s="52" t="inlineStr">
        <is>
          <t>select_one coping</t>
        </is>
      </c>
      <c r="B339" s="52" t="inlineStr">
        <is>
          <t>cs_stress_spend_savings</t>
        </is>
      </c>
      <c r="C339" s="362" t="inlineStr">
        <is>
          <t>10.3.2 إنفاق مدخرات</t>
        </is>
      </c>
      <c r="D339" s="362" t="inlineStr">
        <is>
          <t>10.3.2 **Spend savings**</t>
        </is>
      </c>
      <c r="E339" s="65" t="n"/>
      <c r="F339" s="52" t="n"/>
      <c r="G339" s="52" t="n"/>
      <c r="H339" s="67" t="n"/>
      <c r="I339" s="86" t="inlineStr">
        <is>
          <t>true</t>
        </is>
      </c>
      <c r="J339" s="86" t="inlineStr">
        <is>
          <t>minimal</t>
        </is>
      </c>
      <c r="K339" s="280" t="n"/>
      <c r="L339" s="113" t="n"/>
      <c r="M339" s="113" t="n"/>
      <c r="N339" s="280" t="n"/>
      <c r="O339" s="113" t="n"/>
      <c r="P339" s="113" t="n"/>
      <c r="Q339" s="113" t="n"/>
      <c r="V339" s="53" t="inlineStr">
        <is>
          <t>no</t>
        </is>
      </c>
      <c r="X339" s="132" t="n">
        <v>15.43667125701904</v>
      </c>
      <c r="Y339" s="72" t="n">
        <v>1</v>
      </c>
      <c r="Z339" s="115">
        <f>IF(X339&lt;&gt;"",X339*Y339,"")</f>
        <v/>
      </c>
      <c r="AA339" s="115">
        <f>IF(AND(X339&lt;&gt;"",V339="yes"),X339*Y339,"")</f>
        <v/>
      </c>
      <c r="AB339" s="52" t="n"/>
    </row>
    <row r="340" ht="16.05" customFormat="1" customHeight="1" s="112">
      <c r="A340" s="52" t="inlineStr">
        <is>
          <t>select_one coping</t>
        </is>
      </c>
      <c r="B340" s="52" t="inlineStr">
        <is>
          <t>cs_stress_sale_more_ls</t>
        </is>
      </c>
      <c r="C340" s="362" t="inlineStr">
        <is>
          <t>10.3.3 بيع حيوانات (غير منتجة) أكثر من المعتاد</t>
        </is>
      </c>
      <c r="D340" s="362" t="inlineStr">
        <is>
          <t>10.3.3 **Sell more animals (non-reproductive) than usual**</t>
        </is>
      </c>
      <c r="E340" s="65" t="n"/>
      <c r="F340" s="52" t="n"/>
      <c r="G340" s="52" t="n"/>
      <c r="H340" s="67" t="n"/>
      <c r="I340" s="86" t="inlineStr">
        <is>
          <t>true</t>
        </is>
      </c>
      <c r="J340" s="86" t="inlineStr">
        <is>
          <t>minimal</t>
        </is>
      </c>
      <c r="K340" s="280" t="n"/>
      <c r="L340" s="113" t="n"/>
      <c r="M340" s="113" t="n"/>
      <c r="N340" s="280" t="n"/>
      <c r="O340" s="113" t="n"/>
      <c r="P340" s="113" t="n"/>
      <c r="Q340" s="113" t="n"/>
      <c r="V340" s="53" t="inlineStr">
        <is>
          <t>no</t>
        </is>
      </c>
      <c r="X340" s="132" t="n">
        <v>13.39993858337402</v>
      </c>
      <c r="Y340" s="72" t="n">
        <v>1</v>
      </c>
      <c r="Z340" s="115">
        <f>IF(X340&lt;&gt;"",X340*Y340,"")</f>
        <v/>
      </c>
      <c r="AA340" s="115">
        <f>IF(AND(X340&lt;&gt;"",V340="yes"),X340*Y340,"")</f>
        <v/>
      </c>
      <c r="AB340" s="52" t="n"/>
    </row>
    <row r="341" ht="16.05" customFormat="1" customHeight="1" s="112">
      <c r="A341" s="52" t="inlineStr">
        <is>
          <t>select_one coping</t>
        </is>
      </c>
      <c r="B341" s="52" t="inlineStr">
        <is>
          <t>cs_stress_borrow</t>
        </is>
      </c>
      <c r="C341" s="362" t="inlineStr">
        <is>
          <t>10.3.4 اقتراض المال/الطعام من البنك أو مقرض</t>
        </is>
      </c>
      <c r="D341" s="362" t="inlineStr">
        <is>
          <t>10.3.4 **Borrow money/food from a formal lender/bank **</t>
        </is>
      </c>
      <c r="E341" s="65" t="n"/>
      <c r="F341" s="52" t="n"/>
      <c r="G341" s="52" t="n"/>
      <c r="H341" s="67" t="n"/>
      <c r="I341" s="86" t="inlineStr">
        <is>
          <t>true</t>
        </is>
      </c>
      <c r="J341" s="86" t="inlineStr">
        <is>
          <t>minimal</t>
        </is>
      </c>
      <c r="K341" s="280" t="n"/>
      <c r="L341" s="113" t="n"/>
      <c r="M341" s="113" t="n"/>
      <c r="N341" s="280" t="n"/>
      <c r="O341" s="113" t="n"/>
      <c r="P341" s="113" t="n"/>
      <c r="Q341" s="113" t="n"/>
      <c r="V341" s="53" t="inlineStr">
        <is>
          <t>no</t>
        </is>
      </c>
      <c r="X341" s="132" t="n">
        <v>11.78780174255371</v>
      </c>
      <c r="Y341" s="72" t="n">
        <v>1</v>
      </c>
      <c r="Z341" s="115">
        <f>IF(X341&lt;&gt;"",X341*Y341,"")</f>
        <v/>
      </c>
      <c r="AA341" s="115">
        <f>IF(AND(X341&lt;&gt;"",V341="yes"),X341*Y341,"")</f>
        <v/>
      </c>
      <c r="AB341" s="52" t="n"/>
    </row>
    <row r="342" ht="31.95" customFormat="1" customHeight="1" s="112">
      <c r="A342" s="52" t="inlineStr">
        <is>
          <t>select_one coping</t>
        </is>
      </c>
      <c r="B342" s="52" t="inlineStr">
        <is>
          <t>cs_crisis_sale_prod_assets</t>
        </is>
      </c>
      <c r="C342" s="362" t="inlineStr">
        <is>
          <t>10.3.5 بيع أصول منتجة أو وسائل نقل (ماكينة خياطة ، عربة يد ، دراجة ، سيارة ، معدات الري ، آلة اللحام ، الماشية ، إلخ)</t>
        </is>
      </c>
      <c r="D342" s="362" t="inlineStr">
        <is>
          <t>10.3.5 **Sell productive assets or means of transport** (sewing machine, wheelbarrow, bicycle, car, irrigation equipment, welding machine, livestock, etc.)</t>
        </is>
      </c>
      <c r="E342" s="65" t="n"/>
      <c r="F342" s="52" t="n"/>
      <c r="G342" s="52" t="n"/>
      <c r="H342" s="67" t="n"/>
      <c r="I342" s="86" t="inlineStr">
        <is>
          <t>true</t>
        </is>
      </c>
      <c r="J342" s="86" t="inlineStr">
        <is>
          <t>minimal</t>
        </is>
      </c>
      <c r="K342" s="280" t="n"/>
      <c r="L342" s="113" t="n"/>
      <c r="M342" s="113" t="n"/>
      <c r="N342" s="280" t="n"/>
      <c r="O342" s="113" t="n"/>
      <c r="P342" s="113" t="n"/>
      <c r="Q342" s="113" t="n"/>
      <c r="V342" s="53" t="inlineStr">
        <is>
          <t>no</t>
        </is>
      </c>
      <c r="X342" s="132" t="n">
        <v>14.41095890410959</v>
      </c>
      <c r="Y342" s="72" t="n">
        <v>1</v>
      </c>
      <c r="Z342" s="115">
        <f>IF(X342&lt;&gt;"",X342*Y342,"")</f>
        <v/>
      </c>
      <c r="AA342" s="115">
        <f>IF(AND(X342&lt;&gt;"",V342="yes"),X342*Y342,"")</f>
        <v/>
      </c>
      <c r="AB342" s="52" t="n"/>
    </row>
    <row r="343" ht="16.05" customFormat="1" customHeight="1" s="112">
      <c r="A343" s="52" t="inlineStr">
        <is>
          <t>select_one coping</t>
        </is>
      </c>
      <c r="B343" s="52" t="inlineStr">
        <is>
          <t>cs_crisis_withdraw_school</t>
        </is>
      </c>
      <c r="C343" s="362" t="inlineStr">
        <is>
          <t>10.3.6 سحب أطفاله من المدرسة</t>
        </is>
      </c>
      <c r="D343" s="362" t="inlineStr">
        <is>
          <t>10.3.6 **Withdraw children from school**</t>
        </is>
      </c>
      <c r="E343" s="65" t="n"/>
      <c r="F343" s="52" t="n"/>
      <c r="G343" s="52" t="n"/>
      <c r="H343" s="67" t="n"/>
      <c r="I343" s="86" t="inlineStr">
        <is>
          <t>true</t>
        </is>
      </c>
      <c r="J343" s="86" t="inlineStr">
        <is>
          <t>minimal</t>
        </is>
      </c>
      <c r="K343" s="280" t="n"/>
      <c r="L343" s="113" t="n"/>
      <c r="M343" s="113" t="n"/>
      <c r="N343" s="280" t="n"/>
      <c r="O343" s="113" t="n"/>
      <c r="P343" s="113" t="n"/>
      <c r="Q343" s="113" t="n"/>
      <c r="V343" s="53" t="inlineStr">
        <is>
          <t>no</t>
        </is>
      </c>
      <c r="X343" s="132" t="n">
        <v>15.40838527679443</v>
      </c>
      <c r="Y343" s="72" t="n">
        <v>1</v>
      </c>
      <c r="Z343" s="115">
        <f>IF(X343&lt;&gt;"",X343*Y343,"")</f>
        <v/>
      </c>
      <c r="AA343" s="115">
        <f>IF(AND(X343&lt;&gt;"",V343="yes"),X343*Y343,"")</f>
        <v/>
      </c>
      <c r="AB343" s="52" t="n"/>
    </row>
    <row r="344" ht="16.05" customFormat="1" customHeight="1" s="112">
      <c r="A344" s="52" t="inlineStr">
        <is>
          <t>select_one coping</t>
        </is>
      </c>
      <c r="B344" s="52" t="inlineStr">
        <is>
          <t>cs_crisis_reduce_healtheduc</t>
        </is>
      </c>
      <c r="C344" s="362" t="inlineStr">
        <is>
          <t>10.3.7 تقليل النفقات (غير الغذائية) على الصحة والتعليم</t>
        </is>
      </c>
      <c r="D344" s="362" t="inlineStr">
        <is>
          <t>10.3.7 **Reduce (non-food) expenses on health and education**</t>
        </is>
      </c>
      <c r="E344" s="65" t="n"/>
      <c r="F344" s="52" t="n"/>
      <c r="G344" s="52" t="n"/>
      <c r="H344" s="67" t="n"/>
      <c r="I344" s="86" t="inlineStr">
        <is>
          <t>true</t>
        </is>
      </c>
      <c r="J344" s="86" t="inlineStr">
        <is>
          <t>minimal</t>
        </is>
      </c>
      <c r="K344" s="280" t="n"/>
      <c r="L344" s="113" t="n"/>
      <c r="M344" s="113" t="n"/>
      <c r="N344" s="280" t="n"/>
      <c r="O344" s="113" t="n"/>
      <c r="P344" s="113" t="n"/>
      <c r="Q344" s="113" t="n"/>
      <c r="V344" s="53" t="inlineStr">
        <is>
          <t>no</t>
        </is>
      </c>
      <c r="X344" s="132" t="n">
        <v>15.54398632049561</v>
      </c>
      <c r="Y344" s="72" t="n">
        <v>1</v>
      </c>
      <c r="Z344" s="115">
        <f>IF(X344&lt;&gt;"",X344*Y344,"")</f>
        <v/>
      </c>
      <c r="AA344" s="115">
        <f>IF(AND(X344&lt;&gt;"",V344="yes"),X344*Y344,"")</f>
        <v/>
      </c>
      <c r="AB344" s="52" t="n"/>
    </row>
    <row r="345" ht="16.05" customFormat="1" customHeight="1" s="112">
      <c r="A345" s="52" t="inlineStr">
        <is>
          <t>select_one coping</t>
        </is>
      </c>
      <c r="B345" s="52" t="inlineStr">
        <is>
          <t>cs_emergency_migrate</t>
        </is>
      </c>
      <c r="C345" s="362" t="inlineStr">
        <is>
          <t>10.3.8 الهجرة</t>
        </is>
      </c>
      <c r="D345" s="362" t="inlineStr">
        <is>
          <t>10.3.8 **Migrate**</t>
        </is>
      </c>
      <c r="E345" s="65" t="n"/>
      <c r="F345" s="52" t="n"/>
      <c r="G345" s="52" t="n"/>
      <c r="H345" s="67" t="n"/>
      <c r="I345" s="86" t="inlineStr">
        <is>
          <t>true</t>
        </is>
      </c>
      <c r="J345" s="86" t="inlineStr">
        <is>
          <t>minimal</t>
        </is>
      </c>
      <c r="K345" s="280" t="n"/>
      <c r="L345" s="113" t="n"/>
      <c r="M345" s="113" t="n"/>
      <c r="N345" s="280" t="n"/>
      <c r="O345" s="113" t="n"/>
      <c r="P345" s="113" t="n"/>
      <c r="Q345" s="113" t="n"/>
      <c r="V345" s="53" t="n"/>
      <c r="X345" s="132" t="n"/>
      <c r="Y345" s="72" t="n"/>
      <c r="Z345" s="115" t="n"/>
      <c r="AA345" s="115" t="n"/>
      <c r="AB345" s="52" t="n"/>
    </row>
    <row r="346" ht="16.05" customFormat="1" customHeight="1" s="112">
      <c r="A346" s="52" t="inlineStr">
        <is>
          <t>select_one coping</t>
        </is>
      </c>
      <c r="B346" s="52" t="inlineStr">
        <is>
          <t>cs_emergency_sale_house_land</t>
        </is>
      </c>
      <c r="C346" s="362" t="inlineStr">
        <is>
          <t>10.3.9 بيع منزل أو أرض</t>
        </is>
      </c>
      <c r="D346" s="362" t="inlineStr">
        <is>
          <t>10.3.9 **Sell a house or land**</t>
        </is>
      </c>
      <c r="E346" s="65" t="n"/>
      <c r="F346" s="52" t="n"/>
      <c r="G346" s="52" t="n"/>
      <c r="H346" s="67" t="n"/>
      <c r="I346" s="86" t="inlineStr">
        <is>
          <t>true</t>
        </is>
      </c>
      <c r="J346" s="86" t="inlineStr">
        <is>
          <t>minimal</t>
        </is>
      </c>
      <c r="K346" s="280" t="n"/>
      <c r="L346" s="113" t="n"/>
      <c r="M346" s="113" t="n"/>
      <c r="N346" s="280" t="n"/>
      <c r="O346" s="113" t="n"/>
      <c r="P346" s="113" t="n"/>
      <c r="Q346" s="113" t="n"/>
      <c r="V346" s="53" t="inlineStr">
        <is>
          <t>no</t>
        </is>
      </c>
      <c r="X346" s="132" t="n">
        <v>10.66811275482178</v>
      </c>
      <c r="Y346" s="72" t="n">
        <v>1</v>
      </c>
      <c r="Z346" s="115">
        <f>IF(X346&lt;&gt;"",X346*Y346,"")</f>
        <v/>
      </c>
      <c r="AA346" s="115">
        <f>IF(AND(X346&lt;&gt;"",V346="yes"),X346*Y346,"")</f>
        <v/>
      </c>
      <c r="AB346" s="52" t="n"/>
    </row>
    <row r="347" ht="16.05" customFormat="1" customHeight="1" s="112">
      <c r="A347" s="52" t="inlineStr">
        <is>
          <t>select_one coping</t>
        </is>
      </c>
      <c r="B347" s="52" t="inlineStr">
        <is>
          <t>cs_emergency_beg</t>
        </is>
      </c>
      <c r="C347" s="362" t="inlineStr">
        <is>
          <t>10.3.10 التسول (بيع المناديل والعلكة في الشارع)</t>
        </is>
      </c>
      <c r="D347" s="362" t="inlineStr">
        <is>
          <t>10.3.10 **Beg (sell tissues and chewing gum in the street)**</t>
        </is>
      </c>
      <c r="E347" s="65" t="n"/>
      <c r="F347" s="52" t="n"/>
      <c r="G347" s="52" t="n"/>
      <c r="H347" s="67" t="n"/>
      <c r="I347" s="86" t="inlineStr">
        <is>
          <t>true</t>
        </is>
      </c>
      <c r="J347" s="86" t="inlineStr">
        <is>
          <t>minimal</t>
        </is>
      </c>
      <c r="K347" s="280" t="n"/>
      <c r="L347" s="113" t="n"/>
      <c r="M347" s="113" t="n"/>
      <c r="N347" s="280" t="n"/>
      <c r="O347" s="113" t="n"/>
      <c r="P347" s="113" t="n"/>
      <c r="Q347" s="113" t="n"/>
      <c r="V347" s="53" t="inlineStr">
        <is>
          <t>no</t>
        </is>
      </c>
      <c r="X347" s="132" t="n">
        <v>9.716710090637207</v>
      </c>
      <c r="Y347" s="72" t="n">
        <v>1</v>
      </c>
      <c r="Z347" s="115">
        <f>IF(X347&lt;&gt;"",X347*Y347,"")</f>
        <v/>
      </c>
      <c r="AA347" s="115">
        <f>IF(AND(X347&lt;&gt;"",V347="yes"),X347*Y347,"")</f>
        <v/>
      </c>
      <c r="AB347" s="52" t="n"/>
    </row>
    <row r="348" ht="16.05" customFormat="1" customHeight="1" s="112">
      <c r="A348" s="52" t="inlineStr">
        <is>
          <t>select_one coping</t>
        </is>
      </c>
      <c r="B348" s="52" t="inlineStr">
        <is>
          <t>cs_emergency_sale_last_female_ls</t>
        </is>
      </c>
      <c r="C348" s="362" t="inlineStr">
        <is>
          <t>10.3.11 بيع آخر إناث الحيوانات</t>
        </is>
      </c>
      <c r="D348" s="362" t="inlineStr">
        <is>
          <t>10.3.11 **Sell your last female animals**</t>
        </is>
      </c>
      <c r="E348" s="65" t="n"/>
      <c r="F348" s="52" t="n"/>
      <c r="G348" s="52" t="n"/>
      <c r="H348" s="67" t="n"/>
      <c r="I348" s="86" t="inlineStr">
        <is>
          <t>true</t>
        </is>
      </c>
      <c r="J348" s="86" t="inlineStr">
        <is>
          <t>minimal</t>
        </is>
      </c>
      <c r="K348" s="280" t="n"/>
      <c r="L348" s="113" t="n"/>
      <c r="M348" s="113" t="n"/>
      <c r="N348" s="280" t="n"/>
      <c r="O348" s="113" t="n"/>
      <c r="P348" s="113" t="n"/>
      <c r="Q348" s="113" t="n"/>
      <c r="V348" s="53" t="inlineStr">
        <is>
          <t>no</t>
        </is>
      </c>
      <c r="X348" s="132" t="n">
        <v>10.11413192749023</v>
      </c>
      <c r="Y348" s="72" t="n">
        <v>1</v>
      </c>
      <c r="Z348" s="115">
        <f>IF(X348&lt;&gt;"",X348*Y348,"")</f>
        <v/>
      </c>
      <c r="AA348" s="115">
        <f>IF(AND(X348&lt;&gt;"",V348="yes"),X348*Y348,"")</f>
        <v/>
      </c>
      <c r="AB348" s="52" t="n"/>
    </row>
    <row r="349" ht="16.05" customFormat="1" customHeight="1" s="112">
      <c r="A349" s="52" t="inlineStr">
        <is>
          <t>select_one coping</t>
        </is>
      </c>
      <c r="B349" s="52" t="inlineStr">
        <is>
          <t>cs_emergency_early_marriage</t>
        </is>
      </c>
      <c r="C349" s="362" t="inlineStr">
        <is>
          <t>10.3.12 تزويج الابنة (البنات) مبكرًا (قبل ١٥ عامًا)</t>
        </is>
      </c>
      <c r="D349" s="362" t="inlineStr">
        <is>
          <t>10.3.12 **Marry off daughter(s) early (before 15 years old)**</t>
        </is>
      </c>
      <c r="E349" s="65" t="n"/>
      <c r="F349" s="52" t="n"/>
      <c r="G349" s="52" t="n"/>
      <c r="H349" s="67" t="n"/>
      <c r="I349" s="86" t="inlineStr">
        <is>
          <t>true</t>
        </is>
      </c>
      <c r="J349" s="86" t="inlineStr">
        <is>
          <t>minimal</t>
        </is>
      </c>
      <c r="K349" s="280" t="n"/>
      <c r="L349" s="113" t="n"/>
      <c r="M349" s="113" t="n"/>
      <c r="N349" s="280" t="n"/>
      <c r="O349" s="113" t="n"/>
      <c r="P349" s="113" t="n"/>
      <c r="Q349" s="113" t="n"/>
      <c r="V349" s="53" t="inlineStr">
        <is>
          <t>no</t>
        </is>
      </c>
      <c r="X349" s="132" t="n">
        <v>10.86770534515381</v>
      </c>
      <c r="Y349" s="72" t="n">
        <v>1</v>
      </c>
      <c r="Z349" s="115">
        <f>IF(X349&lt;&gt;"",X349*Y349,"")</f>
        <v/>
      </c>
      <c r="AA349" s="115">
        <f>IF(AND(X349&lt;&gt;"",V349="yes"),X349*Y349,"")</f>
        <v/>
      </c>
      <c r="AB349" s="52" t="n"/>
    </row>
    <row r="350">
      <c r="A350" s="52" t="inlineStr">
        <is>
          <t>end_group</t>
        </is>
      </c>
      <c r="B350" s="52" t="n"/>
      <c r="C350" s="363" t="n"/>
      <c r="D350" s="363" t="n"/>
      <c r="E350" s="59" t="n"/>
      <c r="H350" s="60" t="n"/>
      <c r="I350" s="80" t="n"/>
      <c r="X350" s="132" t="n"/>
      <c r="Y350" s="72" t="n">
        <v>1</v>
      </c>
      <c r="Z350" s="115">
        <f>IF(X350&lt;&gt;"",X350*Y350,"")</f>
        <v/>
      </c>
      <c r="AA350" s="115">
        <f>IF(AND(X350&lt;&gt;"",V350="yes"),X350*Y350,"")</f>
        <v/>
      </c>
    </row>
    <row r="351" ht="16.05" customHeight="1" thickBot="1">
      <c r="A351" s="68" t="inlineStr">
        <is>
          <t>end_group</t>
        </is>
      </c>
      <c r="B351" s="68" t="n"/>
      <c r="C351" s="369" t="n"/>
      <c r="D351" s="372" t="n"/>
      <c r="E351" s="244" t="n"/>
      <c r="F351" s="68" t="n"/>
      <c r="G351" s="68" t="n"/>
      <c r="H351" s="73" t="n"/>
      <c r="I351" s="247" t="n"/>
      <c r="J351" s="247" t="n"/>
      <c r="K351" s="273" t="n"/>
      <c r="L351" s="247" t="n"/>
      <c r="M351" s="247" t="n"/>
      <c r="N351" s="273" t="n"/>
      <c r="O351" s="247" t="n"/>
      <c r="P351" s="247" t="n"/>
      <c r="Q351" s="247" t="n"/>
      <c r="X351" s="132" t="n"/>
      <c r="Z351" s="115">
        <f>IF(X351&lt;&gt;"",X351*Y351,"")</f>
        <v/>
      </c>
      <c r="AA351" s="115">
        <f>IF(AND(X351&lt;&gt;"",V351="yes"),X351*Y351,"")</f>
        <v/>
      </c>
    </row>
    <row r="352" ht="177" customFormat="1" customHeight="1" s="49" thickTop="1">
      <c r="A352" s="282" t="inlineStr">
        <is>
          <t>begin_group</t>
        </is>
      </c>
      <c r="B352" s="282" t="inlineStr">
        <is>
          <t>Assisstance_group</t>
        </is>
      </c>
      <c r="C352" s="365" t="inlineStr">
        <is>
          <t>11. مساعدة لتلبية الإحتياجات</t>
        </is>
      </c>
      <c r="D352" s="365" t="inlineStr">
        <is>
          <t>11. NEEDS ASSISTANCE</t>
        </is>
      </c>
      <c r="E352" s="47" t="n"/>
      <c r="F352" s="46" t="n"/>
      <c r="G352" s="46" t="n"/>
      <c r="H352" s="48" t="n"/>
      <c r="I352" s="82" t="inlineStr">
        <is>
          <t>false</t>
        </is>
      </c>
      <c r="J352" s="82" t="n"/>
      <c r="K352" s="275" t="n"/>
      <c r="L352" s="82" t="n"/>
      <c r="M352" s="82" t="n"/>
      <c r="N352" s="275" t="inlineStr">
        <is>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is>
      </c>
      <c r="O352" s="82" t="n"/>
      <c r="P352" s="82" t="n"/>
      <c r="Q352" s="82" t="n"/>
      <c r="V352" s="28" t="inlineStr">
        <is>
          <t>yes</t>
        </is>
      </c>
      <c r="X352" s="132" t="n"/>
      <c r="Y352" s="50" t="n"/>
      <c r="Z352" s="115">
        <f>IF(X352&lt;&gt;"",X352*Y352,"")</f>
        <v/>
      </c>
      <c r="AA352" s="115">
        <f>IF(AND(X352&lt;&gt;"",V352="yes"),X352*Y352,"")</f>
        <v/>
      </c>
      <c r="AB352" s="50" t="n"/>
    </row>
    <row r="353" ht="31.95" customHeight="1">
      <c r="A353" s="51" t="inlineStr">
        <is>
          <t>select_one yes_no</t>
        </is>
      </c>
      <c r="B353" s="51" t="inlineStr">
        <is>
          <t>need</t>
        </is>
      </c>
      <c r="C353" s="362" t="inlineStr">
        <is>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is>
      </c>
      <c r="D353" s="362" t="inlineStr">
        <is>
          <t>11.1 Does your household need assistance for agricultural activities [including crop, livestock or fisheries/aquaculture activities] over the next 3 to 6 months?</t>
        </is>
      </c>
      <c r="E353" s="59" t="n"/>
      <c r="F353" s="51" t="n"/>
      <c r="G353" s="51" t="n"/>
      <c r="H353" s="60" t="n"/>
      <c r="I353" s="243" t="inlineStr">
        <is>
          <t>true</t>
        </is>
      </c>
      <c r="J353" s="243" t="n"/>
      <c r="K353" s="26" t="n"/>
      <c r="L353" s="243" t="n"/>
      <c r="M353" s="243" t="n"/>
      <c r="N353" s="26" t="n"/>
      <c r="O353" s="243" t="n"/>
      <c r="P353" s="243" t="n"/>
      <c r="Q353" s="243" t="n"/>
      <c r="V353" s="28" t="inlineStr">
        <is>
          <t>yes</t>
        </is>
      </c>
      <c r="X353" s="132" t="n">
        <v>19.82824516296387</v>
      </c>
      <c r="Y353" s="72" t="n">
        <v>1</v>
      </c>
      <c r="Z353" s="115">
        <f>IF(X353&lt;&gt;"",X353*Y353,"")</f>
        <v/>
      </c>
      <c r="AA353" s="115">
        <f>IF(AND(X353&lt;&gt;"",V353="yes"),X353*Y353,"")</f>
        <v/>
      </c>
    </row>
    <row r="354" ht="96" customHeight="1">
      <c r="A354" s="51" t="inlineStr">
        <is>
          <t>select_multiple needs</t>
        </is>
      </c>
      <c r="B354" s="51" t="inlineStr">
        <is>
          <t>need_</t>
        </is>
      </c>
      <c r="C354" s="362" t="inlineStr">
        <is>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is>
      </c>
      <c r="D354" s="362" t="inlineStr">
        <is>
          <t>11.2 What are your household's greatest needs for assistance for your household's agricultural activities [including crop, livestock or fisheries/aquaculture production activities] over the next 3 to 6 months?</t>
        </is>
      </c>
      <c r="E354" s="59" t="n"/>
      <c r="F354" s="51" t="inlineStr">
        <is>
          <t>[INSTRUCTIONS: MULTIPLE RESPONSE. DO NOT READ THE OPTIONS.]</t>
        </is>
      </c>
      <c r="G354" s="55" t="inlineStr">
        <is>
          <t>[تعليمات: عدة استجابات محتملة. لا تقرأ الخيارات إذا كان ذلك ممكنًا]</t>
        </is>
      </c>
      <c r="H354" s="60" t="n"/>
      <c r="I354" s="243" t="inlineStr">
        <is>
          <t>true</t>
        </is>
      </c>
      <c r="J354" s="243" t="n"/>
      <c r="K354" s="267" t="inlineStr">
        <is>
          <t>if(selected(., 'dk') or selected(., 'ref'), count-selected(.) = 1, count-selected(.) &gt;= 1)</t>
        </is>
      </c>
      <c r="L354" s="243" t="n"/>
      <c r="M354" s="243" t="n"/>
      <c r="N354" s="26" t="inlineStr">
        <is>
          <t>${need} = 1</t>
        </is>
      </c>
      <c r="O354" s="243" t="n"/>
      <c r="P354" s="243" t="n"/>
      <c r="Q354" s="243" t="n"/>
      <c r="V354" s="28" t="inlineStr">
        <is>
          <t>yes</t>
        </is>
      </c>
      <c r="X354" s="132" t="n">
        <v>49.52969360351562</v>
      </c>
      <c r="Y354" s="72" t="n">
        <v>1</v>
      </c>
      <c r="Z354" s="115">
        <f>IF(X354&lt;&gt;"",X354*Y354,"")</f>
        <v/>
      </c>
      <c r="AA354" s="115">
        <f>IF(AND(X354&lt;&gt;"",V354="yes"),X354*Y354,"")</f>
        <v/>
      </c>
    </row>
    <row r="355" ht="31.95" customHeight="1">
      <c r="A355" s="51" t="inlineStr">
        <is>
          <t>text</t>
        </is>
      </c>
      <c r="B355" s="51" t="inlineStr">
        <is>
          <t>need_otherspecify</t>
        </is>
      </c>
      <c r="C355" s="362" t="inlineStr">
        <is>
          <t>11.3 إذا كانت الإجابة "آخر"، حدد.</t>
        </is>
      </c>
      <c r="D355" s="362" t="inlineStr">
        <is>
          <t>11.3 If other, specify.</t>
        </is>
      </c>
      <c r="E355" s="65" t="n"/>
      <c r="F355" s="52" t="inlineStr">
        <is>
          <t>[INSTRUCTIONS: RECORD THE OPEN RESPONSE GIVEN IN FEW WORDS. ENTER 888 FOR DON'T KNOW AND 999 FOR REFUSED]</t>
        </is>
      </c>
      <c r="G355" s="52" t="inlineStr">
        <is>
          <t>[تعليمات: سجل في بضع كلمات الاستجابة المفتوحة المعطاة . أدخل 888 للا أعرف و 999 في حالة الرفض]</t>
        </is>
      </c>
      <c r="H355" s="60" t="n"/>
      <c r="I355" s="243" t="inlineStr">
        <is>
          <t>true</t>
        </is>
      </c>
      <c r="J355" s="243" t="n"/>
      <c r="K355" s="325" t="inlineStr">
        <is>
          <t>string-length(.)&gt;=3</t>
        </is>
      </c>
      <c r="L355" s="306" t="inlineStr">
        <is>
          <t>عفوا، الرجاء تقديم نص و شرح اكثر وضوحا.</t>
        </is>
      </c>
      <c r="M355" s="306" t="inlineStr">
        <is>
          <t>Sorry, Please provide a much more meaningful text</t>
        </is>
      </c>
      <c r="N355" s="26" t="inlineStr">
        <is>
          <t>selected(${need_}, 'other')</t>
        </is>
      </c>
      <c r="O355" s="243" t="n"/>
      <c r="P355" s="243" t="n"/>
      <c r="Q355" s="243" t="n"/>
      <c r="V355" s="28" t="inlineStr">
        <is>
          <t>yes</t>
        </is>
      </c>
      <c r="X355" s="132" t="n"/>
      <c r="Y355" s="72" t="n">
        <v>1</v>
      </c>
      <c r="Z355" s="115">
        <f>IF(X355&lt;&gt;"",X355*Y355,"")</f>
        <v/>
      </c>
      <c r="AA355" s="115">
        <f>IF(AND(X355&lt;&gt;"",V355="yes"),X355*Y355,"")</f>
        <v/>
      </c>
    </row>
    <row r="356" ht="127.95" customFormat="1" customHeight="1" s="52">
      <c r="A356" s="55" t="inlineStr">
        <is>
          <t>select_multiple needreceived</t>
        </is>
      </c>
      <c r="B356" s="55" t="inlineStr">
        <is>
          <t>need_received</t>
        </is>
      </c>
      <c r="C356" s="362" t="inlineStr">
        <is>
          <t>11.4 هل تلقت أسرتك أي مساعدة خلال الأشهر الثلاثة الماضية ، وإذا كان الأمر كذلك ، فمن أي نوع؟</t>
        </is>
      </c>
      <c r="D356" s="362" t="inlineStr">
        <is>
          <t>11.4 Has your household received any assistance in the last 3 months, and if so, which kind?</t>
        </is>
      </c>
      <c r="E356" s="65" t="n"/>
      <c r="F356" s="55" t="inlineStr">
        <is>
          <t>[INSTRUCTIONS: READ OUT ANSWER OPTIONS. MULTIPLE RESPONSES POSSIBLE.]</t>
        </is>
      </c>
      <c r="G356" s="55" t="inlineStr">
        <is>
          <t>[تعليمات: اقرأ الخيارات. إمكانية الاستجابة المتعددة]</t>
        </is>
      </c>
      <c r="H356" s="60" t="n"/>
      <c r="I356" s="81" t="inlineStr">
        <is>
          <t>true</t>
        </is>
      </c>
      <c r="J356" s="81" t="n"/>
      <c r="K356" s="267" t="inlineStr">
        <is>
          <t>if(selected(., 'dk') or selected(., 'ref') or selected(., 'none'), count-selected(.) = 1, count-selected(.) &gt;= 1)</t>
        </is>
      </c>
      <c r="L356" s="81" t="n"/>
      <c r="M356" s="81" t="n"/>
      <c r="N356" s="267" t="n"/>
      <c r="O356" s="81" t="n"/>
      <c r="P356" s="81" t="n"/>
      <c r="Q356" s="81" t="n"/>
      <c r="V356" s="52" t="inlineStr">
        <is>
          <t>no</t>
        </is>
      </c>
      <c r="X356" s="132" t="n">
        <v>22.02975082397461</v>
      </c>
      <c r="Y356" s="72" t="n">
        <v>1</v>
      </c>
      <c r="Z356" s="115">
        <f>IF(X356&lt;&gt;"",X356*Y356,"")</f>
        <v/>
      </c>
      <c r="AA356" s="115">
        <f>IF(AND(X356&lt;&gt;"",V356="yes"),X356*Y356,"")</f>
        <v/>
      </c>
    </row>
    <row r="357" ht="31.95" customFormat="1" customHeight="1" s="52">
      <c r="A357" s="55" t="inlineStr">
        <is>
          <t>text</t>
        </is>
      </c>
      <c r="B357" s="55" t="inlineStr">
        <is>
          <t>need_received_otherspecify</t>
        </is>
      </c>
      <c r="C357" s="362" t="inlineStr">
        <is>
          <t>11.5 إذا كانت الإجابة "آخر"، حدد.</t>
        </is>
      </c>
      <c r="D357" s="362" t="inlineStr">
        <is>
          <t>11.5 If other, specify.</t>
        </is>
      </c>
      <c r="E357" s="65" t="n"/>
      <c r="F357" s="55" t="inlineStr">
        <is>
          <t>[INSTRUCTIONS: RECORD THE OPEN RESPONSE GIVEN IN FEW WORDS. ENTER 888 FOR DON'T KNOW AND 999 FOR REFUSED]</t>
        </is>
      </c>
      <c r="G357" s="52" t="inlineStr">
        <is>
          <t>[تعليمات: سجل في بضع كلمات الاستجابة المفتوحة المعطاة . أدخل 888 للا أعرف و 999 في حالة الرفض]</t>
        </is>
      </c>
      <c r="H357" s="67" t="n"/>
      <c r="I357" s="81" t="inlineStr">
        <is>
          <t>true</t>
        </is>
      </c>
      <c r="J357" s="81" t="n"/>
      <c r="K357" s="325" t="inlineStr">
        <is>
          <t>string-length(.)&gt;=3</t>
        </is>
      </c>
      <c r="L357" s="306" t="inlineStr">
        <is>
          <t>عفوا، الرجاء تقديم نص و شرح اكثر وضوحا.</t>
        </is>
      </c>
      <c r="M357" s="306" t="inlineStr">
        <is>
          <t>Sorry, Please provide a much more meaningful text</t>
        </is>
      </c>
      <c r="N357" s="267" t="inlineStr">
        <is>
          <t>selected(${need_received}, 'other')</t>
        </is>
      </c>
      <c r="O357" s="81" t="n"/>
      <c r="P357" s="81" t="n"/>
      <c r="Q357" s="81" t="n"/>
      <c r="V357" s="52" t="inlineStr">
        <is>
          <t>no</t>
        </is>
      </c>
      <c r="X357" s="132" t="n"/>
      <c r="Y357" s="72" t="n">
        <v>1</v>
      </c>
      <c r="Z357" s="115">
        <f>IF(X357&lt;&gt;"",X357*Y357,"")</f>
        <v/>
      </c>
      <c r="AA357" s="115">
        <f>IF(AND(X357&lt;&gt;"",V357="yes"),X357*Y357,"")</f>
        <v/>
      </c>
    </row>
    <row r="358" ht="48" customFormat="1" customHeight="1" s="52">
      <c r="A358" s="55" t="inlineStr">
        <is>
          <t>select_one assist_quality</t>
        </is>
      </c>
      <c r="B358" s="55" t="inlineStr">
        <is>
          <t>assistance_quality</t>
        </is>
      </c>
      <c r="C358" s="362" t="inlineStr">
        <is>
          <t xml:space="preserve">11.6 هل كنت راضيا عن جودة المساعدة التي قدمت لكم ؟ </t>
        </is>
      </c>
      <c r="D358" s="362" t="inlineStr">
        <is>
          <t xml:space="preserve">11.6 Were you satisfied with the quality of the assistance provided? </t>
        </is>
      </c>
      <c r="E358" s="65" t="n"/>
      <c r="F358" s="55" t="inlineStr">
        <is>
          <t>[INSTRUCTIONS: QUALITY OF ASSISTANCE IN TERMS OF SUFFICIENT ASSISTANCE FOR PRODUCTION OR SALES DIFFICULTY TO BE OVERCOME.]</t>
        </is>
      </c>
      <c r="G358" s="55" t="inlineStr">
        <is>
          <t>[تعليمات: جودة المساعدة من حيث كفاية المساعدة للتغلب على صعوبات الانتاج أو البيع]</t>
        </is>
      </c>
      <c r="H358" s="67" t="n"/>
      <c r="I358" s="81" t="inlineStr">
        <is>
          <t>true</t>
        </is>
      </c>
      <c r="J358" s="81" t="n"/>
      <c r="K358" s="267" t="n"/>
      <c r="L358" s="81" t="n"/>
      <c r="M358" s="81" t="n"/>
      <c r="N358" s="267" t="inlineStr">
        <is>
          <t>${need_received} != 'dk' and ${need_received} != 'ref' and ${need_received} != 'none'</t>
        </is>
      </c>
      <c r="O358" s="81" t="n"/>
      <c r="P358" s="81" t="n"/>
      <c r="Q358" s="81" t="n"/>
      <c r="V358" s="52" t="inlineStr">
        <is>
          <t>no</t>
        </is>
      </c>
      <c r="X358" s="132" t="n">
        <v>17</v>
      </c>
      <c r="Y358" s="72" t="n">
        <v>1</v>
      </c>
      <c r="Z358" s="115">
        <f>IF(X358&lt;&gt;"",X358*Y358,"")</f>
        <v/>
      </c>
      <c r="AA358" s="115">
        <f>IF(AND(X358&lt;&gt;"",V358="yes"),X358*Y358,"")</f>
        <v/>
      </c>
    </row>
    <row r="359" ht="96" customFormat="1" customHeight="1" s="52">
      <c r="A359" s="52" t="inlineStr">
        <is>
          <t>select_multiple provider</t>
        </is>
      </c>
      <c r="B359" s="52" t="inlineStr">
        <is>
          <t>assistance</t>
        </is>
      </c>
      <c r="C359" s="362" t="inlineStr">
        <is>
          <t xml:space="preserve">11.7 من قام بتقديم تلك المساعدة لاسرتك ؟ </t>
        </is>
      </c>
      <c r="D359" s="362" t="inlineStr">
        <is>
          <t>11.7 Who provided your household with this assistance?</t>
        </is>
      </c>
      <c r="E359" s="65" t="n"/>
      <c r="F359" s="52" t="inlineStr">
        <is>
          <t>[INSTRUCTIONS: MULTIPLE RESPONSES.]</t>
        </is>
      </c>
      <c r="G359" s="52" t="inlineStr">
        <is>
          <t>[تعليمات: احتمال وجود عدة استجابات]</t>
        </is>
      </c>
      <c r="H359" s="67" t="n"/>
      <c r="I359" s="86" t="inlineStr">
        <is>
          <t>true</t>
        </is>
      </c>
      <c r="J359" s="86" t="n"/>
      <c r="K359" s="266" t="inlineStr">
        <is>
          <t>if(selected(., 'dk') or selected(., 'ref'), count-selected(.) = 1, count-selected(.) &gt;= 1)</t>
        </is>
      </c>
      <c r="L359" s="86" t="n"/>
      <c r="M359" s="86" t="n"/>
      <c r="N359" s="266" t="inlineStr">
        <is>
          <t>${need_received} != 'dk' and ${need_received} != 'ref' and ${need_received} != 'none'</t>
        </is>
      </c>
      <c r="O359" s="86" t="n"/>
      <c r="P359" s="86" t="n"/>
      <c r="Q359" s="86" t="n"/>
      <c r="X359" s="132" t="n"/>
      <c r="Y359" s="72" t="n"/>
      <c r="Z359" s="115" t="n"/>
      <c r="AA359" s="115" t="n"/>
    </row>
    <row r="360" ht="31.95" customFormat="1" customHeight="1" s="52">
      <c r="A360" s="51" t="inlineStr">
        <is>
          <t>text</t>
        </is>
      </c>
      <c r="B360" s="51" t="inlineStr">
        <is>
          <t>assistance_otherspecify</t>
        </is>
      </c>
      <c r="C360" s="362" t="inlineStr">
        <is>
          <t>11.8 إذا كانت الإجابة "آخر"، حدد.</t>
        </is>
      </c>
      <c r="D360" s="362" t="inlineStr">
        <is>
          <t>11.8 If other, specify.</t>
        </is>
      </c>
      <c r="E360" s="65" t="n"/>
      <c r="F360" s="52" t="inlineStr">
        <is>
          <t>[INSTRUCTIONS: RECORD THE OPEN RESPONSE GIVEN IN FEW WORDS. ENTER 888 FOR DON'T KNOW AND 999 FOR REFUSED]</t>
        </is>
      </c>
      <c r="G360" s="52" t="inlineStr">
        <is>
          <t>[تعليمات: سجل في بضع كلمات الاستجابة المفتوحة المعطاة . أدخل 888 للا أعرف و 999 في حالة الرفض]</t>
        </is>
      </c>
      <c r="H360" s="60" t="n"/>
      <c r="I360" s="243" t="inlineStr">
        <is>
          <t>true</t>
        </is>
      </c>
      <c r="J360" s="86" t="n"/>
      <c r="K360" s="325" t="inlineStr">
        <is>
          <t>string-length(.)&gt;=3</t>
        </is>
      </c>
      <c r="L360" s="306" t="inlineStr">
        <is>
          <t>عفوا، الرجاء تقديم نص و شرح اكثر وضوحا.</t>
        </is>
      </c>
      <c r="M360" s="306" t="inlineStr">
        <is>
          <t>Sorry, Please provide a much more meaningful text</t>
        </is>
      </c>
      <c r="N360" s="267" t="inlineStr">
        <is>
          <t>selected(${assistance}, 'other')</t>
        </is>
      </c>
      <c r="O360" s="86" t="n"/>
      <c r="P360" s="86" t="n"/>
      <c r="Q360" s="86" t="n"/>
      <c r="X360" s="132" t="n"/>
      <c r="Y360" s="72" t="n"/>
      <c r="Z360" s="115" t="n"/>
      <c r="AA360" s="115" t="n"/>
    </row>
    <row r="361" ht="16.05" customHeight="1" thickBot="1">
      <c r="A361" s="68" t="inlineStr">
        <is>
          <t>end_group</t>
        </is>
      </c>
      <c r="B361" s="68" t="n"/>
      <c r="C361" s="369" t="n"/>
      <c r="D361" s="372" t="n"/>
      <c r="E361" s="244" t="n"/>
      <c r="F361" s="68" t="n"/>
      <c r="G361" s="68" t="n"/>
      <c r="H361" s="73" t="n"/>
      <c r="I361" s="247" t="n"/>
      <c r="J361" s="247" t="n"/>
      <c r="K361" s="273" t="n"/>
      <c r="L361" s="247" t="n"/>
      <c r="M361" s="247" t="n"/>
      <c r="N361" s="273" t="n"/>
      <c r="O361" s="247" t="n"/>
      <c r="P361" s="247" t="n"/>
      <c r="Q361" s="247" t="n"/>
      <c r="X361" s="132" t="n"/>
      <c r="Z361" s="115">
        <f>IF(X361&lt;&gt;"",X361*Y361,"")</f>
        <v/>
      </c>
      <c r="AA361" s="115">
        <f>IF(AND(X361&lt;&gt;"",V361="yes"),X361*Y361,"")</f>
        <v/>
      </c>
    </row>
    <row r="362" ht="49.05" customFormat="1" customHeight="1" s="49" thickTop="1">
      <c r="A362" s="282" t="inlineStr">
        <is>
          <t>begin_group</t>
        </is>
      </c>
      <c r="B362" s="282" t="inlineStr">
        <is>
          <t>closing</t>
        </is>
      </c>
      <c r="C362" s="365" t="inlineStr">
        <is>
          <t>12. إغلاق</t>
        </is>
      </c>
      <c r="D362" s="365" t="inlineStr">
        <is>
          <t>12. CLOSING</t>
        </is>
      </c>
      <c r="E362" s="47" t="n"/>
      <c r="F362" s="46" t="n"/>
      <c r="G362" s="46" t="n"/>
      <c r="H362" s="48" t="n"/>
      <c r="I362" s="82" t="inlineStr">
        <is>
          <t>false</t>
        </is>
      </c>
      <c r="J362" s="82" t="n"/>
      <c r="K362" s="275" t="n"/>
      <c r="L362" s="82" t="n"/>
      <c r="M362" s="82" t="n"/>
      <c r="N362" s="270" t="inlineStr">
        <is>
          <t>${resp_agree} = '1' and ${hh_agricactivity} != 'ref' and ${hh_agricactivity} != 'dk'</t>
        </is>
      </c>
      <c r="O362" s="82" t="n"/>
      <c r="P362" s="82" t="n"/>
      <c r="Q362" s="82" t="n"/>
      <c r="V362" s="28" t="inlineStr">
        <is>
          <t>yes</t>
        </is>
      </c>
      <c r="X362" s="132" t="n"/>
      <c r="Y362" s="114" t="n"/>
      <c r="Z362" s="115">
        <f>IF(X362&lt;&gt;"",X362*Y362,"")</f>
        <v/>
      </c>
      <c r="AA362" s="115">
        <f>IF(AND(X362&lt;&gt;"",V362="yes"),X362*Y362,"")</f>
        <v/>
      </c>
      <c r="AB362" s="50" t="n"/>
    </row>
    <row r="363" ht="16.05" customHeight="1">
      <c r="A363" s="51" t="inlineStr">
        <is>
          <t>select_one yesno</t>
        </is>
      </c>
      <c r="B363" s="51" t="inlineStr">
        <is>
          <t>callback</t>
        </is>
      </c>
      <c r="C363" s="362" t="inlineStr">
        <is>
          <t>12.1 ستساعدنا إجاباتك على فهم احتياجات مجتمعك والاستجابة لها. هل يمكننا الاتصال بك مرة أخرى في غضون بضعة أشهر؟</t>
        </is>
      </c>
      <c r="D363" s="362" t="inlineStr">
        <is>
          <t>12.1 Your answers will help us to understand and respond to your community needs. May we call you in a few months?</t>
        </is>
      </c>
      <c r="E363" s="59" t="n"/>
      <c r="F363" s="51" t="n"/>
      <c r="G363" s="51" t="n"/>
      <c r="H363" s="60" t="n"/>
      <c r="I363" s="243" t="inlineStr">
        <is>
          <t>true</t>
        </is>
      </c>
      <c r="J363" s="243" t="n"/>
      <c r="K363" s="26" t="n"/>
      <c r="L363" s="243" t="n"/>
      <c r="M363" s="243" t="n"/>
      <c r="N363" s="26" t="n"/>
      <c r="O363" s="243" t="n"/>
      <c r="P363" s="243" t="n"/>
      <c r="Q363" s="243" t="n"/>
      <c r="V363" s="28" t="inlineStr">
        <is>
          <t>yes</t>
        </is>
      </c>
      <c r="X363" s="132" t="n">
        <v>36.78304672241211</v>
      </c>
      <c r="Y363" s="72" t="n">
        <v>1</v>
      </c>
      <c r="Z363" s="115">
        <f>IF(X363&lt;&gt;"",X363*Y363,"")</f>
        <v/>
      </c>
      <c r="AA363" s="115">
        <f>IF(AND(X363&lt;&gt;"",V363="yes"),X363*Y363,"")</f>
        <v/>
      </c>
    </row>
    <row r="364" ht="16.05" customFormat="1" customHeight="1" s="53">
      <c r="A364" s="107" t="inlineStr">
        <is>
          <t>select_multiple week</t>
        </is>
      </c>
      <c r="B364" s="107" t="inlineStr">
        <is>
          <t>future_int_day</t>
        </is>
      </c>
      <c r="C364" s="362" t="inlineStr">
        <is>
          <t>12.2 للمقابلات المستقبلية ، في أي يوم (أيام) يمكنني الاتصال بك؟</t>
        </is>
      </c>
      <c r="D364" s="362" t="inlineStr">
        <is>
          <t>12.2 For future interviews, in which day(s) can I call you?</t>
        </is>
      </c>
      <c r="E364" s="109" t="n"/>
      <c r="F364" s="107" t="inlineStr">
        <is>
          <t>[INSTRUCTIONS: MULTIPLE ANSWERS POSSIBLE.]</t>
        </is>
      </c>
      <c r="G364" s="107" t="inlineStr">
        <is>
          <t>[تعليمات: احتمال وجود عدة استجابات]</t>
        </is>
      </c>
      <c r="H364" s="110" t="n"/>
      <c r="I364" s="106" t="inlineStr">
        <is>
          <t>true</t>
        </is>
      </c>
      <c r="J364" s="106" t="n"/>
      <c r="K364" s="277" t="n"/>
      <c r="L364" s="106" t="n"/>
      <c r="M364" s="106" t="n"/>
      <c r="N364" s="281" t="inlineStr">
        <is>
          <t>${callback} = '1'</t>
        </is>
      </c>
      <c r="O364" s="84" t="n"/>
      <c r="P364" s="84" t="n"/>
      <c r="Q364" s="84" t="n"/>
      <c r="V364" s="108" t="inlineStr">
        <is>
          <t>yes - panel</t>
        </is>
      </c>
      <c r="X364" s="132" t="n">
        <v>10</v>
      </c>
      <c r="Y364" s="72" t="n">
        <v>1</v>
      </c>
      <c r="Z364" s="115">
        <f>IF(X364&lt;&gt;"",X364*Y364,"")</f>
        <v/>
      </c>
      <c r="AA364" s="115">
        <f>IF(AND(X364&lt;&gt;"",V364="yes"),X364*Y364,"")</f>
        <v/>
      </c>
      <c r="AB364" s="52" t="n"/>
    </row>
    <row r="365" ht="16.05" customFormat="1" customHeight="1" s="53">
      <c r="A365" s="107" t="inlineStr">
        <is>
          <t>select_multiple time</t>
        </is>
      </c>
      <c r="B365" s="107" t="inlineStr">
        <is>
          <t>future_int_time</t>
        </is>
      </c>
      <c r="C365" s="362" t="inlineStr">
        <is>
          <t>12.3 للمقابلات المستقبلية ، في أي وقت (أوقات) يمكنني الاتصال بك؟</t>
        </is>
      </c>
      <c r="D365" s="362" t="inlineStr">
        <is>
          <t>12.3 For future interviews, at what time(s) can I call you?</t>
        </is>
      </c>
      <c r="E365" s="109" t="n"/>
      <c r="F365" s="107" t="inlineStr">
        <is>
          <t>[INSTRUCTIONS: MULTIPLE ANSWERS POSSIBLE.]</t>
        </is>
      </c>
      <c r="G365" s="107" t="inlineStr">
        <is>
          <t>[تعليمات: احتمال وجود عدة استجابات]</t>
        </is>
      </c>
      <c r="H365" s="110" t="n"/>
      <c r="I365" s="106" t="inlineStr">
        <is>
          <t>true</t>
        </is>
      </c>
      <c r="J365" s="106" t="n"/>
      <c r="K365" s="277" t="n"/>
      <c r="L365" s="106" t="n"/>
      <c r="M365" s="106" t="n"/>
      <c r="N365" s="281" t="inlineStr">
        <is>
          <t>${callback} = '1'</t>
        </is>
      </c>
      <c r="O365" s="84" t="n"/>
      <c r="P365" s="84" t="n"/>
      <c r="Q365" s="84" t="n"/>
      <c r="V365" s="108" t="inlineStr">
        <is>
          <t>yes - panel</t>
        </is>
      </c>
      <c r="X365" s="132" t="n">
        <v>10</v>
      </c>
      <c r="Y365" s="72" t="n">
        <v>1</v>
      </c>
      <c r="Z365" s="115">
        <f>IF(X365&lt;&gt;"",X365*Y365,"")</f>
        <v/>
      </c>
      <c r="AA365" s="115">
        <f>IF(AND(X365&lt;&gt;"",V365="yes"),X365*Y365,"")</f>
        <v/>
      </c>
      <c r="AB365" s="52" t="n"/>
    </row>
    <row r="366" ht="16.05" customFormat="1" customHeight="1" s="332">
      <c r="A366" s="331" t="inlineStr">
        <is>
          <t>select_one language</t>
        </is>
      </c>
      <c r="B366" s="331" t="inlineStr">
        <is>
          <t>language2</t>
        </is>
      </c>
      <c r="C366" s="394" t="inlineStr">
        <is>
          <t>12.4 حدد اللغة التي تم استخدامها في الغالب لإكمال المقابلة.</t>
        </is>
      </c>
      <c r="D366" s="374" t="inlineStr">
        <is>
          <t xml:space="preserve">12.4 Select the language that was mostly used to complete the interview. </t>
        </is>
      </c>
      <c r="E366" s="334" t="n"/>
      <c r="F366" s="331" t="n"/>
      <c r="G366" s="331" t="n"/>
      <c r="I366" s="398" t="inlineStr">
        <is>
          <t>true</t>
        </is>
      </c>
      <c r="J366" s="398" t="n"/>
      <c r="K366" s="398" t="n"/>
      <c r="L366" s="398" t="n"/>
      <c r="M366" s="398" t="n"/>
      <c r="N366" s="398" t="n"/>
      <c r="O366" s="398" t="n"/>
      <c r="P366" s="398" t="n"/>
      <c r="V366" s="332" t="inlineStr">
        <is>
          <t>yes</t>
        </is>
      </c>
      <c r="X366" s="149" t="n">
        <v>3</v>
      </c>
      <c r="Y366" s="353" t="n">
        <v>1</v>
      </c>
      <c r="Z366" s="333">
        <f>IF(X366&lt;&gt;"",X366*Y366,"")</f>
        <v/>
      </c>
      <c r="AA366" s="338" t="n"/>
    </row>
    <row r="367" ht="16.05" customHeight="1">
      <c r="A367" s="51" t="inlineStr">
        <is>
          <t>note</t>
        </is>
      </c>
      <c r="B367" s="51" t="inlineStr">
        <is>
          <t>closeout</t>
        </is>
      </c>
      <c r="C367" s="340" t="inlineStr">
        <is>
          <t>شكرا لك على وقتك. انتهت المقابلة.</t>
        </is>
      </c>
      <c r="D367" s="362" t="inlineStr">
        <is>
          <t xml:space="preserve">Thank you for your time. The interview has come to an end. </t>
        </is>
      </c>
      <c r="E367" s="59" t="n"/>
      <c r="F367" s="51" t="n"/>
      <c r="G367" s="51" t="n"/>
      <c r="H367" s="60" t="n"/>
      <c r="I367" s="243" t="inlineStr">
        <is>
          <t>false</t>
        </is>
      </c>
      <c r="J367" s="243" t="n"/>
      <c r="K367" s="26" t="n"/>
      <c r="L367" s="243" t="n"/>
      <c r="M367" s="243" t="n"/>
      <c r="N367" s="26" t="n"/>
      <c r="O367" s="243" t="n"/>
      <c r="P367" s="243" t="n"/>
      <c r="Q367" s="243" t="n"/>
      <c r="V367" s="28" t="inlineStr">
        <is>
          <t>no</t>
        </is>
      </c>
      <c r="X367" s="132" t="n">
        <v>0</v>
      </c>
      <c r="Y367" s="72" t="n">
        <v>1</v>
      </c>
      <c r="Z367" s="115">
        <f>IF(X367&lt;&gt;"",X367*Y367,"")</f>
        <v/>
      </c>
      <c r="AA367" s="115">
        <f>IF(AND(X367&lt;&gt;"",V367="yes"),X367*Y367,"")</f>
        <v/>
      </c>
    </row>
    <row r="368" ht="16.05" customHeight="1" thickBot="1">
      <c r="A368" s="68" t="inlineStr">
        <is>
          <t>end_group</t>
        </is>
      </c>
      <c r="B368" s="68" t="n"/>
      <c r="C368" s="369" t="n"/>
      <c r="D368" s="369" t="n"/>
      <c r="E368" s="244" t="n"/>
      <c r="F368" s="68" t="n"/>
      <c r="G368" s="68" t="n"/>
      <c r="H368" s="73" t="n"/>
      <c r="I368" s="247" t="n"/>
      <c r="J368" s="247" t="n"/>
      <c r="K368" s="273" t="n"/>
      <c r="L368" s="247" t="n"/>
      <c r="M368" s="247" t="n"/>
      <c r="N368" s="273" t="n"/>
      <c r="O368" s="247" t="n"/>
      <c r="P368" s="247" t="n"/>
      <c r="Q368" s="247" t="n"/>
      <c r="X368" s="132" t="n"/>
      <c r="Z368" s="115">
        <f>IF(X368&lt;&gt;"",X368*Y368,"")</f>
        <v/>
      </c>
      <c r="AA368" s="115">
        <f>IF(AND(X368&lt;&gt;"",V368="yes"),X368*Y368,"")</f>
        <v/>
      </c>
    </row>
    <row r="369" ht="16.95" customHeight="1" thickTop="1">
      <c r="A369" t="inlineStr">
        <is>
          <t>dateTime</t>
        </is>
      </c>
      <c r="B369" s="51" t="inlineStr">
        <is>
          <t>Interview_End_Time</t>
        </is>
      </c>
      <c r="C369" s="361" t="inlineStr">
        <is>
          <t>وقت انتهاء المقابلة</t>
        </is>
      </c>
      <c r="D369" s="362" t="inlineStr">
        <is>
          <t>Interview End Time</t>
        </is>
      </c>
      <c r="E369" s="47" t="n"/>
      <c r="F369" s="51" t="n"/>
      <c r="G369" s="51" t="n"/>
      <c r="H369" s="48" t="n"/>
      <c r="I369" s="243" t="inlineStr">
        <is>
          <t>true</t>
        </is>
      </c>
      <c r="J369" s="243" t="n"/>
      <c r="K369" s="26" t="n"/>
      <c r="L369" s="243" t="n"/>
      <c r="M369" s="243" t="n"/>
      <c r="N369" s="26" t="n"/>
      <c r="O369" s="243" t="n"/>
      <c r="P369" s="243" t="n"/>
      <c r="S369" s="243" t="n"/>
      <c r="V369" s="28" t="inlineStr">
        <is>
          <t>no</t>
        </is>
      </c>
      <c r="X369" s="132" t="n"/>
      <c r="Z369" s="115" t="n"/>
    </row>
    <row r="370" ht="64.05" customHeight="1">
      <c r="A370" s="51" t="inlineStr">
        <is>
          <t>geopoint</t>
        </is>
      </c>
      <c r="B370" s="51" t="inlineStr">
        <is>
          <t>gps_2</t>
        </is>
      </c>
      <c r="C370" s="361" t="inlineStr">
        <is>
          <t>تعليمات GPS: لم تأخذ القياس في وقت سابق. تجول الآن في المنزل أو اقترب من الطريق الرئيسي وحاول إجراء قياس GPS.</t>
        </is>
      </c>
      <c r="D370" s="362" t="inlineStr">
        <is>
          <t>GPS INSTRUCTION: You didn't take a measurement earlier. Now walk around the household or go near the main road and try to take a GPS measurement.</t>
        </is>
      </c>
      <c r="E370" s="245" t="n"/>
      <c r="F370" s="51" t="n"/>
      <c r="G370" s="51" t="n"/>
      <c r="H370" s="129" t="n"/>
      <c r="I370" s="243" t="inlineStr">
        <is>
          <t>true</t>
        </is>
      </c>
      <c r="J370" s="243" t="n"/>
      <c r="K370" s="26" t="inlineStr">
        <is>
          <t>string-length(.)=0 or int(selected-at(.,3))&lt;=30</t>
        </is>
      </c>
      <c r="L370" s="243" t="inlineStr">
        <is>
          <t>Accuracy must be 30 meters or less</t>
        </is>
      </c>
      <c r="M370" s="243" t="inlineStr">
        <is>
          <t>يجب أن تكون الدقة 30 مترًا أو أقل</t>
        </is>
      </c>
      <c r="N370" s="26" t="inlineStr">
        <is>
          <t>${resp_agree} = '1'</t>
        </is>
      </c>
      <c r="O370" s="243" t="n"/>
      <c r="P370" s="243" t="n"/>
      <c r="Q370" s="243" t="n"/>
      <c r="X370" s="132" t="n"/>
      <c r="Z370" s="115" t="n"/>
    </row>
    <row r="371" customFormat="1" s="52">
      <c r="A371" t="inlineStr">
        <is>
          <t>dateTime</t>
        </is>
      </c>
      <c r="B371" s="328" t="inlineStr">
        <is>
          <t>last_update_time</t>
        </is>
      </c>
      <c r="C371" s="363" t="n"/>
      <c r="D371" s="363" t="n"/>
      <c r="E371" s="65" t="n"/>
      <c r="H371" s="67" t="n"/>
      <c r="I371" s="86" t="n"/>
      <c r="J371" s="86" t="n"/>
      <c r="K371" s="30" t="n"/>
      <c r="L371" s="86" t="n"/>
      <c r="M371" s="86" t="n"/>
      <c r="N371" s="266" t="n"/>
      <c r="O371" s="86" t="n"/>
      <c r="P371" s="86" t="n"/>
      <c r="Q371" s="328" t="inlineStr">
        <is>
          <t>if(${last_update_time}='', now(), ${last_update_time})</t>
        </is>
      </c>
      <c r="R371" s="328" t="inlineStr">
        <is>
          <t>${gps_2}</t>
        </is>
      </c>
      <c r="X371" s="132" t="n"/>
      <c r="Y371" s="114" t="n"/>
      <c r="Z371" s="115" t="n"/>
      <c r="AA371" s="115" t="n"/>
    </row>
    <row r="372" ht="16.05" customFormat="1" customHeight="1" s="52">
      <c r="A372" s="52" t="inlineStr">
        <is>
          <t>text</t>
        </is>
      </c>
      <c r="B372" s="52" t="inlineStr">
        <is>
          <t>enum_notes</t>
        </is>
      </c>
      <c r="C372" s="363" t="inlineStr">
        <is>
          <t>أدخل أي ملاحظات أو ملاحظات من هذا الاستطلاع:</t>
        </is>
      </c>
      <c r="D372" s="363" t="inlineStr">
        <is>
          <t>Enter any notes or feedback from this survey:</t>
        </is>
      </c>
      <c r="E372" s="65" t="n"/>
      <c r="F372" s="52" t="inlineStr">
        <is>
          <t xml:space="preserve">Leave empty if there are no comments. </t>
        </is>
      </c>
      <c r="G372" s="52" t="inlineStr">
        <is>
          <t>اتركه فارغا إذا لم تكن هناك تعليقات.</t>
        </is>
      </c>
      <c r="H372" s="67" t="n"/>
      <c r="I372" s="86" t="inlineStr">
        <is>
          <t>false</t>
        </is>
      </c>
      <c r="J372" s="86" t="n"/>
      <c r="K372" s="266" t="n"/>
      <c r="L372" s="86" t="n"/>
      <c r="M372" s="86" t="n"/>
      <c r="N372" s="266" t="n"/>
      <c r="O372" s="86" t="n"/>
      <c r="P372" s="86" t="n"/>
      <c r="Q372" s="86" t="n"/>
      <c r="V372" s="52" t="inlineStr">
        <is>
          <t>no</t>
        </is>
      </c>
      <c r="X372" s="132" t="n"/>
      <c r="Y372" s="72" t="n"/>
      <c r="Z372" s="115" t="n"/>
      <c r="AA372" s="115">
        <f>IF(AND(X372&lt;&gt;"",V372="yes"),X372*Y372,"")</f>
        <v/>
      </c>
    </row>
    <row r="373">
      <c r="A373" s="51" t="inlineStr">
        <is>
          <t>calculate</t>
        </is>
      </c>
      <c r="B373" s="51" t="inlineStr">
        <is>
          <t>__version__</t>
        </is>
      </c>
      <c r="C373" s="27" t="n"/>
      <c r="D373" s="27" t="n"/>
      <c r="E373" s="65" t="n"/>
      <c r="F373" s="51" t="n"/>
      <c r="G373" s="51" t="n"/>
      <c r="I373" s="243" t="inlineStr">
        <is>
          <t>false</t>
        </is>
      </c>
      <c r="J373" s="243" t="n"/>
      <c r="K373" s="26" t="n"/>
      <c r="L373" s="243" t="n"/>
      <c r="M373" s="243" t="n"/>
      <c r="N373" s="26" t="n"/>
      <c r="O373" s="243" t="n"/>
      <c r="P373" s="243" t="n"/>
      <c r="Q373" s="243" t="inlineStr">
        <is>
          <t>'vfVbKi5bfYAnEzqoBsXTzQ'</t>
        </is>
      </c>
      <c r="V373" s="28" t="inlineStr">
        <is>
          <t>no</t>
        </is>
      </c>
      <c r="X373" s="132" t="n"/>
      <c r="AB373" s="28" t="n"/>
    </row>
    <row r="374">
      <c r="X374" s="132" t="n"/>
      <c r="AB374" s="28" t="n"/>
    </row>
    <row r="376">
      <c r="B376" s="265" t="n"/>
      <c r="D376" s="28" t="n"/>
      <c r="E376" s="28" t="n"/>
      <c r="G376" s="246" t="n"/>
      <c r="H376" s="246" t="n"/>
      <c r="I376" s="272" t="n"/>
      <c r="K376" s="246" t="n"/>
      <c r="L376" s="272" t="n"/>
      <c r="N376" s="246" t="n"/>
      <c r="P376" s="28" t="n"/>
      <c r="Q376" s="28" t="n"/>
      <c r="V376" s="131" t="n"/>
      <c r="W376" s="114" t="n"/>
      <c r="X376" s="52" t="n"/>
      <c r="Y376" s="52" t="n"/>
      <c r="AA376" s="28" t="n"/>
      <c r="AB376" s="28" t="n"/>
    </row>
    <row r="377">
      <c r="B377" s="265" t="n"/>
      <c r="D377" s="28" t="n"/>
      <c r="E377" s="246" t="n"/>
      <c r="F377" s="246" t="n"/>
      <c r="G377" s="272" t="n"/>
      <c r="H377" s="246" t="n"/>
      <c r="J377" s="272" t="n"/>
      <c r="K377" s="246" t="n"/>
      <c r="N377" s="28" t="n"/>
      <c r="O377" s="28" t="n"/>
      <c r="P377" s="28" t="n"/>
      <c r="Q377" s="28" t="n"/>
      <c r="T377" s="131" t="n"/>
      <c r="U377" s="114" t="n"/>
      <c r="V377" s="52" t="n"/>
      <c r="W377" s="52" t="n"/>
      <c r="X377" s="52" t="n"/>
      <c r="Y377" s="28" t="n"/>
      <c r="Z377" s="28" t="n"/>
      <c r="AA377" s="28" t="n"/>
      <c r="AB377" s="28" t="n"/>
    </row>
    <row r="378" ht="16.05" customHeight="1" thickBot="1">
      <c r="B378" s="265" t="n"/>
      <c r="D378" s="28" t="n"/>
      <c r="E378" s="246" t="n"/>
      <c r="F378" s="246" t="n"/>
      <c r="G378" s="272" t="n"/>
      <c r="H378" s="246" t="n"/>
      <c r="J378" s="272" t="n"/>
      <c r="K378" s="246" t="n"/>
      <c r="N378" s="28" t="n"/>
      <c r="O378" s="28" t="n"/>
      <c r="P378" s="28" t="n"/>
      <c r="Q378" s="28" t="n"/>
      <c r="T378" s="131" t="n"/>
      <c r="U378" s="114" t="n"/>
      <c r="V378" s="52" t="n"/>
      <c r="W378" s="52" t="n"/>
      <c r="X378" s="28" t="n"/>
      <c r="Y378" s="28" t="n"/>
      <c r="Z378" s="28" t="n"/>
      <c r="AA378" s="28" t="n"/>
      <c r="AB378" s="28" t="n"/>
    </row>
    <row r="379" ht="16.95" customHeight="1" thickBot="1">
      <c r="B379" s="265" t="n"/>
      <c r="D379" s="28" t="n"/>
      <c r="E379" s="246" t="n"/>
      <c r="F379" s="246" t="n"/>
      <c r="G379" s="272" t="n"/>
      <c r="H379" s="246" t="n"/>
      <c r="J379" s="272" t="n"/>
      <c r="K379" s="246" t="n"/>
      <c r="N379" s="28" t="n"/>
      <c r="O379" s="28" t="n"/>
      <c r="P379" s="141" t="inlineStr">
        <is>
          <t xml:space="preserve">AVERAGE ESTIMATED DURATION </t>
        </is>
      </c>
      <c r="Q379" s="142" t="n"/>
      <c r="R379" s="142" t="n"/>
      <c r="S379" s="142" t="n"/>
      <c r="T379" s="134" t="n"/>
      <c r="U379" s="119" t="n"/>
      <c r="V379" s="120">
        <f>(SUM(Z4:Z367)/60)</f>
        <v/>
      </c>
      <c r="W379" s="120">
        <f>(SUM(AA4:AA50)+AVERAGE(#REF!)+SUM(AA51:AA367))/60</f>
        <v/>
      </c>
      <c r="X379" s="28" t="n"/>
      <c r="Y379" s="28" t="n"/>
      <c r="Z379" s="28" t="n"/>
      <c r="AA379" s="28" t="n"/>
      <c r="AB379" s="28" t="n"/>
    </row>
    <row r="380">
      <c r="B380" s="265" t="n"/>
      <c r="D380" s="28" t="n"/>
      <c r="E380" s="246" t="n"/>
      <c r="F380" s="246" t="n"/>
      <c r="G380" s="272" t="n"/>
      <c r="H380" s="246" t="n"/>
      <c r="J380" s="272" t="n"/>
      <c r="K380" s="246" t="n"/>
      <c r="N380" s="28" t="n"/>
      <c r="O380" s="28" t="n"/>
      <c r="P380" s="28" t="n"/>
      <c r="Q380" s="28" t="n"/>
      <c r="T380" s="131" t="n"/>
      <c r="U380" s="114" t="n"/>
      <c r="V380" s="52" t="n"/>
      <c r="W380" s="52" t="n"/>
      <c r="X380" s="52" t="n"/>
      <c r="Y380" s="28" t="n"/>
      <c r="Z380" s="28" t="n"/>
      <c r="AA380" s="28" t="n"/>
      <c r="AB380" s="28" t="n"/>
    </row>
    <row r="381">
      <c r="B381" s="265" t="n"/>
      <c r="D381" s="28" t="n"/>
      <c r="E381" s="246" t="n"/>
      <c r="F381" s="246" t="n"/>
      <c r="G381" s="272" t="n"/>
      <c r="H381" s="246" t="n"/>
      <c r="J381" s="272" t="n"/>
      <c r="K381" s="246" t="n"/>
      <c r="N381" s="28" t="n"/>
      <c r="O381" s="28" t="n"/>
      <c r="P381" s="28" t="n"/>
      <c r="Q381" s="28" t="n"/>
      <c r="T381" s="131" t="n"/>
      <c r="U381" s="114" t="n"/>
      <c r="V381" s="52" t="n"/>
      <c r="W381" s="52" t="n"/>
      <c r="X381" s="52" t="n"/>
      <c r="Y381" s="28" t="n"/>
      <c r="Z381" s="28" t="n"/>
      <c r="AA381" s="28" t="n"/>
      <c r="AB381" s="28" t="n"/>
    </row>
    <row r="382">
      <c r="D382" s="28" t="n"/>
      <c r="E382" s="28" t="n"/>
      <c r="G382" s="246" t="n"/>
      <c r="H382" s="246" t="n"/>
      <c r="I382" s="272" t="n"/>
      <c r="K382" s="246" t="n"/>
      <c r="L382" s="272" t="n"/>
      <c r="N382" s="246" t="n"/>
      <c r="P382" s="28" t="n"/>
      <c r="Q382" s="28" t="n"/>
      <c r="V382" s="131" t="n"/>
      <c r="W382" s="114" t="n"/>
      <c r="X382" s="52" t="n"/>
      <c r="Y382" s="52" t="n"/>
      <c r="AA382" s="28" t="n"/>
      <c r="AB382" s="28" t="n"/>
    </row>
    <row r="383">
      <c r="D383" s="28" t="n"/>
      <c r="E383" s="28" t="n"/>
      <c r="G383" s="246" t="n"/>
      <c r="H383" s="246" t="n"/>
      <c r="I383" s="272" t="n"/>
      <c r="K383" s="246" t="n"/>
      <c r="L383" s="272" t="n"/>
      <c r="N383" s="246" t="n"/>
      <c r="P383" s="28" t="n"/>
      <c r="Q383" s="28" t="n"/>
      <c r="V383" s="131" t="n"/>
      <c r="W383" s="114" t="n"/>
      <c r="X383" s="52" t="n"/>
      <c r="Y383" s="52" t="n"/>
      <c r="AA383" s="28" t="n"/>
      <c r="AB383" s="28" t="n"/>
    </row>
    <row r="384">
      <c r="D384" s="28" t="n"/>
      <c r="E384" s="28" t="n"/>
      <c r="G384" s="246" t="n"/>
      <c r="H384" s="246" t="n"/>
      <c r="I384" s="272" t="n"/>
      <c r="K384" s="246" t="n"/>
      <c r="L384" s="272" t="n"/>
      <c r="N384" s="246" t="n"/>
      <c r="P384" s="28" t="n"/>
      <c r="Q384" s="28" t="n"/>
      <c r="V384" s="131" t="n"/>
      <c r="W384" s="114" t="n"/>
      <c r="X384" s="52" t="n"/>
      <c r="Y384" s="52" t="n"/>
      <c r="AA384" s="28" t="n"/>
      <c r="AB384" s="28" t="n"/>
    </row>
    <row r="385">
      <c r="D385" s="28" t="n"/>
      <c r="E385" s="28" t="n"/>
      <c r="G385" s="246" t="n"/>
      <c r="H385" s="246" t="n"/>
      <c r="I385" s="272" t="n"/>
      <c r="K385" s="246" t="n"/>
      <c r="L385" s="272" t="n"/>
      <c r="N385" s="246" t="n"/>
      <c r="P385" s="28" t="n"/>
      <c r="Q385" s="28" t="n"/>
      <c r="V385" s="131" t="n"/>
      <c r="W385" s="114" t="n"/>
      <c r="X385" s="52" t="n"/>
      <c r="Y385" s="52" t="n"/>
      <c r="AA385" s="28" t="n"/>
      <c r="AB385" s="28" t="n"/>
    </row>
  </sheetData>
  <autoFilter ref="A1:AB373"/>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2076"/>
  <sheetViews>
    <sheetView zoomScale="73" zoomScaleNormal="73" workbookViewId="0">
      <pane ySplit="1" topLeftCell="A705" activePane="bottomLeft" state="frozen"/>
      <selection pane="bottomLeft" activeCell="A722" sqref="A722"/>
    </sheetView>
  </sheetViews>
  <sheetFormatPr baseColWidth="8" defaultColWidth="8.77734375" defaultRowHeight="14.4"/>
  <cols>
    <col width="13.77734375" bestFit="1" customWidth="1" style="3" min="1" max="1"/>
    <col width="34.109375" customWidth="1" style="3" min="2" max="2"/>
    <col width="59.77734375" customWidth="1" style="3" min="3" max="3"/>
    <col width="79.44140625" customWidth="1" style="3" min="4" max="4"/>
    <col width="5.77734375" customWidth="1" style="3" min="5" max="5"/>
    <col width="16.109375" customWidth="1" style="3" min="6" max="6"/>
    <col width="13.44140625" customWidth="1" style="3" min="7" max="7"/>
    <col width="8.77734375" customWidth="1" style="3" min="8" max="8"/>
    <col width="8.77734375" customWidth="1" style="3" min="9" max="16384"/>
  </cols>
  <sheetData>
    <row r="1" ht="16.05" customHeight="1" thickBot="1">
      <c r="A1" s="2" t="inlineStr">
        <is>
          <t>list_name</t>
        </is>
      </c>
      <c r="B1" s="2" t="inlineStr">
        <is>
          <t>name</t>
        </is>
      </c>
      <c r="C1" s="2" t="inlineStr">
        <is>
          <t>label::English (en)</t>
        </is>
      </c>
      <c r="D1" s="2" t="inlineStr">
        <is>
          <t>label::Arabic (ar)</t>
        </is>
      </c>
      <c r="E1" s="1" t="inlineStr">
        <is>
          <t>label::</t>
        </is>
      </c>
      <c r="F1" s="6" t="inlineStr">
        <is>
          <t>my_filter_admin</t>
        </is>
      </c>
      <c r="G1" s="3" t="inlineStr">
        <is>
          <t>agfilter1</t>
        </is>
      </c>
      <c r="H1" s="3" t="inlineStr">
        <is>
          <t>agfilter2</t>
        </is>
      </c>
      <c r="I1" s="3" t="inlineStr">
        <is>
          <t>agfilter3</t>
        </is>
      </c>
      <c r="J1" s="3" t="inlineStr">
        <is>
          <t>agfilter4</t>
        </is>
      </c>
    </row>
    <row r="2" ht="16.05" customHeight="1">
      <c r="A2" s="8" t="inlineStr">
        <is>
          <t>enumteam</t>
        </is>
      </c>
      <c r="B2" s="2" t="n">
        <v>1</v>
      </c>
      <c r="C2" s="285" t="inlineStr">
        <is>
          <t>1. Al Bab</t>
        </is>
      </c>
      <c r="D2" s="285" t="inlineStr">
        <is>
          <t>1. الباب</t>
        </is>
      </c>
      <c r="E2" s="1" t="n"/>
      <c r="F2" s="6" t="n"/>
    </row>
    <row r="3" ht="16.95" customHeight="1" thickBot="1">
      <c r="A3" s="8" t="inlineStr">
        <is>
          <t>enumteam</t>
        </is>
      </c>
      <c r="B3" s="2" t="n">
        <v>2</v>
      </c>
      <c r="C3" s="286" t="inlineStr">
        <is>
          <t>2. Afrin</t>
        </is>
      </c>
      <c r="D3" s="286" t="inlineStr">
        <is>
          <t>2. عفرين</t>
        </is>
      </c>
      <c r="E3" s="1" t="n"/>
      <c r="F3" s="6" t="n"/>
    </row>
    <row r="4" ht="16.05" customHeight="1">
      <c r="A4" s="8" t="inlineStr">
        <is>
          <t>enumteam</t>
        </is>
      </c>
      <c r="B4" s="2" t="n">
        <v>3</v>
      </c>
      <c r="C4" s="285" t="inlineStr">
        <is>
          <t>3. A'zaz</t>
        </is>
      </c>
      <c r="D4" s="285" t="inlineStr">
        <is>
          <t>3. اعزاز</t>
        </is>
      </c>
      <c r="E4" s="1" t="n"/>
      <c r="F4" s="6" t="n"/>
    </row>
    <row r="5" ht="16.95" customHeight="1" thickBot="1">
      <c r="A5" s="8" t="inlineStr">
        <is>
          <t>enumteam</t>
        </is>
      </c>
      <c r="B5" s="2" t="n">
        <v>4</v>
      </c>
      <c r="C5" s="287" t="inlineStr">
        <is>
          <t>4. Jarablus</t>
        </is>
      </c>
      <c r="D5" s="287" t="inlineStr">
        <is>
          <t>4. جرابلس</t>
        </is>
      </c>
      <c r="E5" s="1" t="n"/>
      <c r="F5" s="6" t="n"/>
    </row>
    <row r="6" ht="16.05" customHeight="1">
      <c r="A6" s="8" t="inlineStr">
        <is>
          <t>enumteam</t>
        </is>
      </c>
      <c r="B6" s="2" t="n">
        <v>5</v>
      </c>
      <c r="C6" s="285" t="inlineStr">
        <is>
          <t>5. Harim</t>
        </is>
      </c>
      <c r="D6" s="285" t="inlineStr">
        <is>
          <t>5. حارم</t>
        </is>
      </c>
      <c r="E6" s="1" t="n"/>
      <c r="F6" s="6" t="n"/>
    </row>
    <row r="7" ht="16.95" customHeight="1" thickBot="1">
      <c r="A7" s="8" t="inlineStr">
        <is>
          <t>enumteam</t>
        </is>
      </c>
      <c r="B7" s="2" t="n">
        <v>6</v>
      </c>
      <c r="C7" s="288" t="inlineStr">
        <is>
          <t>6. Idleb</t>
        </is>
      </c>
      <c r="D7" s="288" t="inlineStr">
        <is>
          <t>6. إدلب</t>
        </is>
      </c>
      <c r="E7" s="1" t="n"/>
      <c r="F7" s="6" t="n"/>
    </row>
    <row r="8" ht="16.05" customHeight="1">
      <c r="A8" s="8" t="inlineStr">
        <is>
          <t>enumteam</t>
        </is>
      </c>
      <c r="B8" s="2" t="n">
        <v>7</v>
      </c>
      <c r="C8" s="285" t="inlineStr">
        <is>
          <t>7. Jebel Saman</t>
        </is>
      </c>
      <c r="D8" s="285" t="inlineStr">
        <is>
          <t>7. جبل سمعان</t>
        </is>
      </c>
      <c r="E8" s="5" t="n"/>
      <c r="F8" s="6" t="n"/>
    </row>
    <row r="9" ht="16.95" customHeight="1" thickBot="1">
      <c r="A9" s="2" t="n"/>
      <c r="B9" s="2" t="n"/>
      <c r="C9" s="2" t="n"/>
      <c r="D9" s="287" t="n"/>
      <c r="E9" s="5" t="n"/>
      <c r="F9" s="6" t="n"/>
    </row>
    <row r="10" ht="16.05" customFormat="1" customHeight="1" s="8">
      <c r="A10" s="234" t="inlineStr">
        <is>
          <t>enumerator</t>
        </is>
      </c>
      <c r="B10" s="285" t="n">
        <v>1</v>
      </c>
      <c r="C10" s="321" t="inlineStr">
        <is>
          <t>C1202AS009</t>
        </is>
      </c>
      <c r="D10" s="321" t="inlineStr">
        <is>
          <t>C1202AS009</t>
        </is>
      </c>
      <c r="E10" s="5" t="n"/>
      <c r="F10" s="234" t="n">
        <v>1</v>
      </c>
    </row>
    <row r="11" ht="16.95" customFormat="1" customHeight="1" s="8" thickBot="1">
      <c r="A11" s="234" t="inlineStr">
        <is>
          <t>enumerator</t>
        </is>
      </c>
      <c r="B11" s="290" t="n">
        <v>2</v>
      </c>
      <c r="C11" s="322" t="inlineStr">
        <is>
          <t>C1202BS020</t>
        </is>
      </c>
      <c r="D11" s="322" t="inlineStr">
        <is>
          <t>C1202BS020</t>
        </is>
      </c>
      <c r="E11" s="5" t="n"/>
      <c r="F11" s="234" t="n">
        <v>1</v>
      </c>
    </row>
    <row r="12" ht="16.95" customFormat="1" customHeight="1" s="8" thickBot="1">
      <c r="A12" s="234" t="inlineStr">
        <is>
          <t>enumerator</t>
        </is>
      </c>
      <c r="B12" s="285" t="n">
        <v>3</v>
      </c>
      <c r="C12" s="323" t="inlineStr">
        <is>
          <t>C1202TT013</t>
        </is>
      </c>
      <c r="D12" s="323" t="inlineStr">
        <is>
          <t>C1202TT013</t>
        </is>
      </c>
      <c r="E12" s="5" t="n"/>
      <c r="F12" s="234" t="n">
        <v>1</v>
      </c>
    </row>
    <row r="13" ht="16.95" customFormat="1" customHeight="1" s="8" thickBot="1">
      <c r="A13" s="234" t="inlineStr">
        <is>
          <t>enumerator</t>
        </is>
      </c>
      <c r="B13" s="290" t="n">
        <v>4</v>
      </c>
      <c r="C13" s="289" t="inlineStr">
        <is>
          <t>C1202ME002</t>
        </is>
      </c>
      <c r="D13" s="289" t="inlineStr">
        <is>
          <t>C1202ME002</t>
        </is>
      </c>
      <c r="E13" s="5" t="n"/>
      <c r="F13" s="234" t="n">
        <v>1</v>
      </c>
    </row>
    <row r="14" ht="16.05" customFormat="1" customHeight="1" s="8">
      <c r="A14" s="234" t="inlineStr">
        <is>
          <t>enumerator</t>
        </is>
      </c>
      <c r="B14" s="285" t="n">
        <v>5</v>
      </c>
      <c r="C14" s="291" t="inlineStr">
        <is>
          <t>C1202BA010</t>
        </is>
      </c>
      <c r="D14" s="291" t="inlineStr">
        <is>
          <t>C1202BA010</t>
        </is>
      </c>
      <c r="E14" s="5" t="n"/>
      <c r="F14" s="234" t="n">
        <v>1</v>
      </c>
    </row>
    <row r="15" ht="16.95" customFormat="1" customHeight="1" s="8" thickBot="1">
      <c r="A15" s="234" t="inlineStr">
        <is>
          <t>enumerator</t>
        </is>
      </c>
      <c r="B15" s="290" t="n">
        <v>6</v>
      </c>
      <c r="C15" s="292" t="inlineStr">
        <is>
          <t>C1202FA003</t>
        </is>
      </c>
      <c r="D15" s="292" t="inlineStr">
        <is>
          <t>C1202FA003</t>
        </is>
      </c>
      <c r="E15" s="5" t="n"/>
      <c r="F15" s="234" t="n">
        <v>1</v>
      </c>
    </row>
    <row r="16" ht="16.05" customFormat="1" customHeight="1" s="8">
      <c r="A16" s="234" t="inlineStr">
        <is>
          <t>enumerator</t>
        </is>
      </c>
      <c r="B16" s="285" t="n">
        <v>7</v>
      </c>
      <c r="C16" s="324" t="inlineStr">
        <is>
          <t>SY020304MI002</t>
        </is>
      </c>
      <c r="D16" s="324" t="inlineStr">
        <is>
          <t>SY020304MI002</t>
        </is>
      </c>
      <c r="E16" s="5" t="n"/>
      <c r="F16" s="234" t="n">
        <v>2</v>
      </c>
    </row>
    <row r="17" ht="16.95" customFormat="1" customHeight="1" s="8" thickBot="1">
      <c r="A17" s="234" t="inlineStr">
        <is>
          <t>enumerator</t>
        </is>
      </c>
      <c r="B17" s="290" t="n">
        <v>8</v>
      </c>
      <c r="C17" s="322" t="inlineStr">
        <is>
          <t>C1366MM015</t>
        </is>
      </c>
      <c r="D17" s="322" t="inlineStr">
        <is>
          <t>C1366MM015</t>
        </is>
      </c>
      <c r="E17" s="5" t="n"/>
      <c r="F17" s="234" t="n">
        <v>2</v>
      </c>
    </row>
    <row r="18" ht="16.95" customFormat="1" customHeight="1" s="8" thickBot="1">
      <c r="A18" s="234" t="inlineStr">
        <is>
          <t>enumerator</t>
        </is>
      </c>
      <c r="B18" s="285" t="n">
        <v>9</v>
      </c>
      <c r="C18" s="323" t="inlineStr">
        <is>
          <t>C6115FA001</t>
        </is>
      </c>
      <c r="D18" s="323" t="inlineStr">
        <is>
          <t>C6115FA001</t>
        </is>
      </c>
      <c r="E18" s="5" t="n"/>
      <c r="F18" s="234" t="n">
        <v>2</v>
      </c>
    </row>
    <row r="19" ht="16.95" customFormat="1" customHeight="1" s="8" thickBot="1">
      <c r="A19" s="234" t="inlineStr">
        <is>
          <t>enumerator</t>
        </is>
      </c>
      <c r="B19" s="290" t="n">
        <v>10</v>
      </c>
      <c r="C19" s="289" t="inlineStr">
        <is>
          <t>SY020301MI003</t>
        </is>
      </c>
      <c r="D19" s="289" t="inlineStr">
        <is>
          <t>SY020301MI003</t>
        </is>
      </c>
      <c r="E19" s="5" t="n"/>
      <c r="F19" s="234" t="n">
        <v>2</v>
      </c>
    </row>
    <row r="20" ht="16.95" customFormat="1" customHeight="1" s="8" thickBot="1">
      <c r="A20" s="234" t="inlineStr">
        <is>
          <t>enumerator</t>
        </is>
      </c>
      <c r="B20" s="285" t="n">
        <v>11</v>
      </c>
      <c r="C20" s="292" t="inlineStr">
        <is>
          <t>SY020301LA002</t>
        </is>
      </c>
      <c r="D20" s="292" t="inlineStr">
        <is>
          <t>SY020301LA002</t>
        </is>
      </c>
      <c r="E20" s="5" t="n"/>
      <c r="F20" s="234" t="n">
        <v>2</v>
      </c>
    </row>
    <row r="21" ht="16.95" customFormat="1" customHeight="1" s="8" thickBot="1">
      <c r="A21" s="234" t="inlineStr">
        <is>
          <t>enumerator</t>
        </is>
      </c>
      <c r="B21" s="290" t="n">
        <v>12</v>
      </c>
      <c r="C21" s="324" t="inlineStr">
        <is>
          <t>C6287MS002</t>
        </is>
      </c>
      <c r="D21" s="324" t="inlineStr">
        <is>
          <t>C6287MS002</t>
        </is>
      </c>
      <c r="E21" s="5" t="n"/>
      <c r="F21" s="234" t="n">
        <v>2</v>
      </c>
    </row>
    <row r="22" ht="16.95" customFormat="1" customHeight="1" s="8" thickBot="1">
      <c r="A22" s="234" t="inlineStr">
        <is>
          <t>enumerator</t>
        </is>
      </c>
      <c r="B22" s="285" t="n">
        <v>13</v>
      </c>
      <c r="C22" s="323" t="inlineStr">
        <is>
          <t>C6287HF004</t>
        </is>
      </c>
      <c r="D22" s="323" t="inlineStr">
        <is>
          <t>C6287HF004</t>
        </is>
      </c>
      <c r="E22" s="5" t="n"/>
      <c r="F22" s="234" t="n">
        <v>2</v>
      </c>
    </row>
    <row r="23" ht="16.95" customFormat="1" customHeight="1" s="8" thickBot="1">
      <c r="A23" s="234" t="inlineStr">
        <is>
          <t>enumerator</t>
        </is>
      </c>
      <c r="B23" s="290" t="n">
        <v>14</v>
      </c>
      <c r="C23" s="289" t="inlineStr">
        <is>
          <t>C1031AA001</t>
        </is>
      </c>
      <c r="D23" s="289" t="inlineStr">
        <is>
          <t>C1031AA001</t>
        </is>
      </c>
      <c r="E23" s="5" t="n"/>
      <c r="F23" s="234" t="n">
        <v>2</v>
      </c>
    </row>
    <row r="24" ht="16.95" customFormat="1" customHeight="1" s="8" thickBot="1">
      <c r="A24" s="234" t="inlineStr">
        <is>
          <t>enumerator</t>
        </is>
      </c>
      <c r="B24" s="285" t="n">
        <v>15</v>
      </c>
      <c r="C24" s="292" t="inlineStr">
        <is>
          <t>C1031AM010</t>
        </is>
      </c>
      <c r="D24" s="292" t="inlineStr">
        <is>
          <t>C1031AM010</t>
        </is>
      </c>
      <c r="E24" s="5" t="n"/>
      <c r="F24" s="234" t="n">
        <v>2</v>
      </c>
    </row>
    <row r="25" ht="16.95" customFormat="1" customHeight="1" s="8" thickBot="1">
      <c r="A25" s="234" t="inlineStr">
        <is>
          <t>enumerator</t>
        </is>
      </c>
      <c r="B25" s="290" t="n">
        <v>16</v>
      </c>
      <c r="C25" s="324" t="inlineStr">
        <is>
          <t>SY020305TR002</t>
        </is>
      </c>
      <c r="D25" s="324" t="inlineStr">
        <is>
          <t>SY020305TR002</t>
        </is>
      </c>
      <c r="E25" s="5" t="n"/>
      <c r="F25" s="234" t="n">
        <v>2</v>
      </c>
    </row>
    <row r="26" ht="16.95" customFormat="1" customHeight="1" s="8" thickBot="1">
      <c r="A26" s="234" t="inlineStr">
        <is>
          <t>enumerator</t>
        </is>
      </c>
      <c r="B26" s="285" t="n">
        <v>17</v>
      </c>
      <c r="C26" s="323" t="inlineStr">
        <is>
          <t>SY020305RS001</t>
        </is>
      </c>
      <c r="D26" s="323" t="inlineStr">
        <is>
          <t>SY020305RS001</t>
        </is>
      </c>
      <c r="E26" s="5" t="n"/>
      <c r="F26" s="234" t="n">
        <v>2</v>
      </c>
    </row>
    <row r="27" ht="16.95" customFormat="1" customHeight="1" s="8" thickBot="1">
      <c r="A27" s="234" t="inlineStr">
        <is>
          <t>enumerator</t>
        </is>
      </c>
      <c r="B27" s="290" t="n">
        <v>18</v>
      </c>
      <c r="C27" s="289" t="inlineStr">
        <is>
          <t>SY020304SS003</t>
        </is>
      </c>
      <c r="D27" s="289" t="inlineStr">
        <is>
          <t>SY020304SS003</t>
        </is>
      </c>
      <c r="E27" s="5" t="n"/>
      <c r="F27" s="234" t="n">
        <v>2</v>
      </c>
    </row>
    <row r="28" ht="16.95" customFormat="1" customHeight="1" s="8" thickBot="1">
      <c r="A28" s="234" t="inlineStr">
        <is>
          <t>enumerator</t>
        </is>
      </c>
      <c r="B28" s="285" t="n">
        <v>19</v>
      </c>
      <c r="C28" s="292" t="inlineStr">
        <is>
          <t>AFHR004</t>
        </is>
      </c>
      <c r="D28" s="292" t="inlineStr">
        <is>
          <t>AFHR004</t>
        </is>
      </c>
      <c r="E28" s="5" t="n"/>
      <c r="F28" s="234" t="n">
        <v>2</v>
      </c>
    </row>
    <row r="29" ht="16.95" customFormat="1" customHeight="1" s="8" thickBot="1">
      <c r="A29" s="234" t="inlineStr">
        <is>
          <t>enumerator</t>
        </is>
      </c>
      <c r="B29" s="290" t="n">
        <v>20</v>
      </c>
      <c r="C29" s="324" t="inlineStr">
        <is>
          <t>C1036AK001</t>
        </is>
      </c>
      <c r="D29" s="324" t="inlineStr">
        <is>
          <t>C1036AK001</t>
        </is>
      </c>
      <c r="E29" s="5" t="n"/>
      <c r="F29" s="234" t="n">
        <v>3</v>
      </c>
    </row>
    <row r="30" ht="16.95" customFormat="1" customHeight="1" s="8" thickBot="1">
      <c r="A30" s="234" t="inlineStr">
        <is>
          <t>enumerator</t>
        </is>
      </c>
      <c r="B30" s="285" t="n">
        <v>21</v>
      </c>
      <c r="C30" s="323" t="inlineStr">
        <is>
          <t>C1564RQ045</t>
        </is>
      </c>
      <c r="D30" s="323" t="inlineStr">
        <is>
          <t>C1564RQ045</t>
        </is>
      </c>
      <c r="E30" s="5" t="n"/>
      <c r="F30" s="234" t="n">
        <v>3</v>
      </c>
    </row>
    <row r="31" ht="16.95" customFormat="1" customHeight="1" s="8" thickBot="1">
      <c r="A31" s="234" t="inlineStr">
        <is>
          <t>enumerator</t>
        </is>
      </c>
      <c r="B31" s="290" t="n">
        <v>22</v>
      </c>
      <c r="C31" s="289" t="inlineStr">
        <is>
          <t>C1643AH003</t>
        </is>
      </c>
      <c r="D31" s="289" t="inlineStr">
        <is>
          <t>C1643AH003</t>
        </is>
      </c>
      <c r="E31" s="5" t="n"/>
      <c r="F31" s="234" t="n">
        <v>3</v>
      </c>
    </row>
    <row r="32" ht="16.95" customFormat="1" customHeight="1" s="8" thickBot="1">
      <c r="A32" s="234" t="inlineStr">
        <is>
          <t>enumerator</t>
        </is>
      </c>
      <c r="B32" s="285" t="n">
        <v>23</v>
      </c>
      <c r="C32" s="292" t="inlineStr">
        <is>
          <t>C1564YA040</t>
        </is>
      </c>
      <c r="D32" s="292" t="inlineStr">
        <is>
          <t>C1564YA040</t>
        </is>
      </c>
      <c r="E32" s="5" t="n"/>
      <c r="F32" s="234" t="n">
        <v>3</v>
      </c>
    </row>
    <row r="33" ht="16.95" customFormat="1" customHeight="1" s="8" thickBot="1">
      <c r="A33" s="234" t="inlineStr">
        <is>
          <t>enumerator</t>
        </is>
      </c>
      <c r="B33" s="290" t="n">
        <v>24</v>
      </c>
      <c r="C33" s="324" t="inlineStr">
        <is>
          <t>C1564MK008</t>
        </is>
      </c>
      <c r="D33" s="324" t="inlineStr">
        <is>
          <t>C1564MK008</t>
        </is>
      </c>
      <c r="E33" s="5" t="n"/>
      <c r="F33" s="234" t="n">
        <v>3</v>
      </c>
    </row>
    <row r="34" ht="18" customFormat="1" customHeight="1" s="8" thickBot="1">
      <c r="A34" s="234" t="inlineStr">
        <is>
          <t>enumerator</t>
        </is>
      </c>
      <c r="B34" s="285" t="n">
        <v>25</v>
      </c>
      <c r="C34" s="323" t="inlineStr">
        <is>
          <t>C1664LM001</t>
        </is>
      </c>
      <c r="D34" s="323" t="inlineStr">
        <is>
          <t>C1664LM001</t>
        </is>
      </c>
      <c r="E34" s="5" t="n"/>
      <c r="F34" s="234" t="n">
        <v>3</v>
      </c>
    </row>
    <row r="35" ht="16.95" customFormat="1" customHeight="1" s="8" thickBot="1">
      <c r="A35" s="234" t="inlineStr">
        <is>
          <t>enumerator</t>
        </is>
      </c>
      <c r="B35" s="290" t="n">
        <v>26</v>
      </c>
      <c r="C35" s="289" t="inlineStr">
        <is>
          <t>SY0208MM011</t>
        </is>
      </c>
      <c r="D35" s="289" t="inlineStr">
        <is>
          <t>SY0208MM011</t>
        </is>
      </c>
      <c r="E35" s="5" t="n"/>
      <c r="F35" s="234" t="n">
        <v>4</v>
      </c>
    </row>
    <row r="36" ht="16.05" customFormat="1" customHeight="1" s="8">
      <c r="A36" s="234" t="inlineStr">
        <is>
          <t>enumerator</t>
        </is>
      </c>
      <c r="B36" s="285" t="n">
        <v>27</v>
      </c>
      <c r="C36" s="263" t="inlineStr">
        <is>
          <t>SY0208MJ016</t>
        </is>
      </c>
      <c r="D36" s="263" t="inlineStr">
        <is>
          <t>SY0208MJ016</t>
        </is>
      </c>
      <c r="E36" s="5" t="n"/>
      <c r="F36" s="234" t="n">
        <v>4</v>
      </c>
    </row>
    <row r="37" ht="16.95" customFormat="1" customHeight="1" s="8" thickBot="1">
      <c r="A37" s="234" t="inlineStr">
        <is>
          <t>enumerator</t>
        </is>
      </c>
      <c r="B37" s="290" t="n">
        <v>28</v>
      </c>
      <c r="C37" s="264" t="inlineStr">
        <is>
          <t>SY0208SO02</t>
        </is>
      </c>
      <c r="D37" s="264" t="inlineStr">
        <is>
          <t>SY0208SO02</t>
        </is>
      </c>
      <c r="E37" s="5" t="n"/>
      <c r="F37" s="234" t="n">
        <v>4</v>
      </c>
    </row>
    <row r="38" ht="16.05" customFormat="1" customHeight="1" s="8">
      <c r="A38" s="234" t="inlineStr">
        <is>
          <t>enumerator</t>
        </is>
      </c>
      <c r="B38" s="285" t="n">
        <v>29</v>
      </c>
      <c r="C38" s="310" t="inlineStr">
        <is>
          <t>C4278MH001</t>
        </is>
      </c>
      <c r="D38" s="310" t="inlineStr">
        <is>
          <t>C4278MH001</t>
        </is>
      </c>
      <c r="E38" s="5" t="n"/>
      <c r="F38" s="234" t="n">
        <v>5</v>
      </c>
    </row>
    <row r="39" ht="16.95" customFormat="1" customHeight="1" s="8" thickBot="1">
      <c r="A39" s="234" t="inlineStr">
        <is>
          <t>enumerator</t>
        </is>
      </c>
      <c r="B39" s="290" t="n">
        <v>30</v>
      </c>
      <c r="C39" s="311" t="inlineStr">
        <is>
          <t>C4115RB002</t>
        </is>
      </c>
      <c r="D39" s="311" t="inlineStr">
        <is>
          <t>C4115RB002</t>
        </is>
      </c>
      <c r="E39" s="5" t="n"/>
      <c r="F39" s="234" t="n">
        <v>5</v>
      </c>
    </row>
    <row r="40" ht="16.05" customFormat="1" customHeight="1" s="8">
      <c r="A40" s="234" t="inlineStr">
        <is>
          <t>enumerator</t>
        </is>
      </c>
      <c r="B40" s="285" t="n">
        <v>31</v>
      </c>
      <c r="C40" s="311" t="inlineStr">
        <is>
          <t>C3985SS006</t>
        </is>
      </c>
      <c r="D40" s="311" t="inlineStr">
        <is>
          <t>C3985SS006</t>
        </is>
      </c>
      <c r="E40" s="5" t="n"/>
      <c r="F40" s="234" t="n">
        <v>5</v>
      </c>
    </row>
    <row r="41" ht="16.95" customFormat="1" customHeight="1" s="8" thickBot="1">
      <c r="A41" s="234" t="inlineStr">
        <is>
          <t>enumerator</t>
        </is>
      </c>
      <c r="B41" s="290" t="n">
        <v>32</v>
      </c>
      <c r="C41" s="312" t="inlineStr">
        <is>
          <t>C3987HH002</t>
        </is>
      </c>
      <c r="D41" s="312" t="inlineStr">
        <is>
          <t>C3987HH002</t>
        </is>
      </c>
      <c r="E41" s="5" t="n"/>
      <c r="F41" s="234" t="n">
        <v>5</v>
      </c>
    </row>
    <row r="42" ht="16.05" customFormat="1" customHeight="1" s="8">
      <c r="A42" s="234" t="inlineStr">
        <is>
          <t>enumerator</t>
        </is>
      </c>
      <c r="B42" s="285" t="n">
        <v>33</v>
      </c>
      <c r="C42" s="313" t="inlineStr">
        <is>
          <t>C4126AA001</t>
        </is>
      </c>
      <c r="D42" s="313" t="inlineStr">
        <is>
          <t>C4126AA001</t>
        </is>
      </c>
      <c r="E42" s="5" t="n"/>
      <c r="F42" s="234" t="n">
        <v>5</v>
      </c>
    </row>
    <row r="43" ht="16.95" customFormat="1" customHeight="1" s="8" thickBot="1">
      <c r="A43" s="234" t="inlineStr">
        <is>
          <t>enumerator</t>
        </is>
      </c>
      <c r="B43" s="290" t="n">
        <v>34</v>
      </c>
      <c r="C43" s="314" t="inlineStr">
        <is>
          <t>C4121MK002</t>
        </is>
      </c>
      <c r="D43" s="314" t="inlineStr">
        <is>
          <t>C4121MK002</t>
        </is>
      </c>
      <c r="E43" s="5" t="n"/>
      <c r="F43" s="234" t="n">
        <v>5</v>
      </c>
    </row>
    <row r="44" ht="16.05" customFormat="1" customHeight="1" s="8">
      <c r="A44" s="234" t="inlineStr">
        <is>
          <t>enumerator</t>
        </is>
      </c>
      <c r="B44" s="285" t="n">
        <v>35</v>
      </c>
      <c r="C44" s="315" t="inlineStr">
        <is>
          <t>C3916FI001</t>
        </is>
      </c>
      <c r="D44" s="315" t="inlineStr">
        <is>
          <t>C3916FI001</t>
        </is>
      </c>
      <c r="E44" s="5" t="n"/>
      <c r="F44" s="234" t="n">
        <v>5</v>
      </c>
    </row>
    <row r="45" ht="16.95" customFormat="1" customHeight="1" s="8" thickBot="1">
      <c r="A45" s="234" t="inlineStr">
        <is>
          <t>enumerator</t>
        </is>
      </c>
      <c r="B45" s="290" t="n">
        <v>36</v>
      </c>
      <c r="C45" s="315" t="inlineStr">
        <is>
          <t>C4068NA003</t>
        </is>
      </c>
      <c r="D45" s="315" t="inlineStr">
        <is>
          <t>C4068NA003</t>
        </is>
      </c>
      <c r="E45" s="5" t="n"/>
      <c r="F45" s="234" t="n">
        <v>5</v>
      </c>
    </row>
    <row r="46" ht="16.95" customFormat="1" customHeight="1" s="8" thickBot="1">
      <c r="A46" s="234" t="inlineStr">
        <is>
          <t>enumerator</t>
        </is>
      </c>
      <c r="B46" s="285" t="n">
        <v>37</v>
      </c>
      <c r="C46" s="316" t="inlineStr">
        <is>
          <t>C4199AA001</t>
        </is>
      </c>
      <c r="D46" s="316" t="inlineStr">
        <is>
          <t>C4199AA001</t>
        </is>
      </c>
      <c r="E46" s="5" t="n"/>
      <c r="F46" s="234" t="n">
        <v>5</v>
      </c>
    </row>
    <row r="47" ht="16.95" customFormat="1" customHeight="1" s="8" thickBot="1">
      <c r="A47" s="234" t="inlineStr">
        <is>
          <t>enumerator</t>
        </is>
      </c>
      <c r="B47" s="290" t="n">
        <v>38</v>
      </c>
      <c r="C47" s="317" t="inlineStr">
        <is>
          <t>C4068AA004</t>
        </is>
      </c>
      <c r="D47" s="317" t="inlineStr">
        <is>
          <t>C4068AA004</t>
        </is>
      </c>
      <c r="E47" s="5" t="n"/>
      <c r="F47" s="234" t="n">
        <v>5</v>
      </c>
    </row>
    <row r="48" ht="16.05" customFormat="1" customHeight="1" s="8">
      <c r="A48" s="234" t="inlineStr">
        <is>
          <t>enumerator</t>
        </is>
      </c>
      <c r="B48" s="285" t="n">
        <v>39</v>
      </c>
      <c r="C48" s="311" t="inlineStr">
        <is>
          <t>C3985AS005</t>
        </is>
      </c>
      <c r="D48" s="311" t="inlineStr">
        <is>
          <t>C3985AS005</t>
        </is>
      </c>
      <c r="E48" s="5" t="n"/>
      <c r="F48" s="234" t="n">
        <v>5</v>
      </c>
    </row>
    <row r="49" ht="16.95" customFormat="1" customHeight="1" s="8" thickBot="1">
      <c r="A49" s="234" t="inlineStr">
        <is>
          <t>enumerator</t>
        </is>
      </c>
      <c r="B49" s="290" t="n">
        <v>40</v>
      </c>
      <c r="C49" s="311" t="inlineStr">
        <is>
          <t>C2541HH001</t>
        </is>
      </c>
      <c r="D49" s="311" t="inlineStr">
        <is>
          <t>C2541HH001</t>
        </is>
      </c>
      <c r="E49" s="5" t="n"/>
      <c r="F49" s="234" t="n">
        <v>5</v>
      </c>
    </row>
    <row r="50" ht="16.05" customFormat="1" customHeight="1" s="8">
      <c r="A50" s="234" t="inlineStr">
        <is>
          <t>enumerator</t>
        </is>
      </c>
      <c r="B50" s="285" t="n">
        <v>41</v>
      </c>
      <c r="C50" s="311" t="inlineStr">
        <is>
          <t>C2882IR003</t>
        </is>
      </c>
      <c r="D50" s="311" t="inlineStr">
        <is>
          <t>C2882IR003</t>
        </is>
      </c>
      <c r="E50" s="5" t="n"/>
      <c r="F50" s="234" t="n">
        <v>5</v>
      </c>
    </row>
    <row r="51" ht="16.95" customFormat="1" customHeight="1" s="8" thickBot="1">
      <c r="A51" s="234" t="inlineStr">
        <is>
          <t>enumerator</t>
        </is>
      </c>
      <c r="B51" s="290" t="n">
        <v>42</v>
      </c>
      <c r="C51" s="318" t="inlineStr">
        <is>
          <t>C4157DS001</t>
        </is>
      </c>
      <c r="D51" s="318" t="inlineStr">
        <is>
          <t>C4157DS001</t>
        </is>
      </c>
      <c r="E51" s="5" t="n"/>
      <c r="F51" s="234" t="n">
        <v>5</v>
      </c>
    </row>
    <row r="52" ht="16.05" customFormat="1" customHeight="1" s="8">
      <c r="A52" s="234" t="inlineStr">
        <is>
          <t>enumerator</t>
        </is>
      </c>
      <c r="B52" s="285" t="n">
        <v>43</v>
      </c>
      <c r="C52" s="319" t="inlineStr">
        <is>
          <t>C3871HJ0010</t>
        </is>
      </c>
      <c r="D52" s="319" t="inlineStr">
        <is>
          <t>C3871HJ0010</t>
        </is>
      </c>
      <c r="E52" s="5" t="n"/>
      <c r="F52" s="234" t="n">
        <v>6</v>
      </c>
    </row>
    <row r="53" ht="16.95" customFormat="1" customHeight="1" s="8" thickBot="1">
      <c r="A53" s="234" t="inlineStr">
        <is>
          <t>enumerator</t>
        </is>
      </c>
      <c r="B53" s="290" t="n">
        <v>44</v>
      </c>
      <c r="C53" s="314" t="inlineStr">
        <is>
          <t>C1058AB001</t>
        </is>
      </c>
      <c r="D53" s="314" t="inlineStr">
        <is>
          <t>C1058AB001</t>
        </is>
      </c>
      <c r="E53" s="5" t="n"/>
      <c r="F53" s="234" t="n">
        <v>6</v>
      </c>
    </row>
    <row r="54" ht="16.05" customFormat="1" customHeight="1" s="8">
      <c r="A54" s="234" t="inlineStr">
        <is>
          <t>enumerator</t>
        </is>
      </c>
      <c r="B54" s="285" t="n">
        <v>45</v>
      </c>
      <c r="C54" s="314" t="inlineStr">
        <is>
          <t>C3871MK008</t>
        </is>
      </c>
      <c r="D54" s="314" t="inlineStr">
        <is>
          <t>C3871MK008</t>
        </is>
      </c>
      <c r="E54" s="5" t="n"/>
      <c r="F54" s="234" t="n">
        <v>6</v>
      </c>
    </row>
    <row r="55" ht="16.95" customFormat="1" customHeight="1" s="8" thickBot="1">
      <c r="A55" s="234" t="inlineStr">
        <is>
          <t>enumerator</t>
        </is>
      </c>
      <c r="B55" s="290" t="n">
        <v>46</v>
      </c>
      <c r="C55" s="315" t="inlineStr">
        <is>
          <t>C3916MS003</t>
        </is>
      </c>
      <c r="D55" s="315" t="inlineStr">
        <is>
          <t>C3916MS003</t>
        </is>
      </c>
      <c r="E55" s="5" t="n"/>
      <c r="F55" s="234" t="n">
        <v>6</v>
      </c>
    </row>
    <row r="56" ht="16.95" customFormat="1" customHeight="1" s="8" thickBot="1">
      <c r="A56" s="234" t="inlineStr">
        <is>
          <t>enumerator</t>
        </is>
      </c>
      <c r="B56" s="285" t="n">
        <v>47</v>
      </c>
      <c r="C56" s="320" t="inlineStr">
        <is>
          <t>C4068FD002</t>
        </is>
      </c>
      <c r="D56" s="320" t="inlineStr">
        <is>
          <t>C4068FD002</t>
        </is>
      </c>
      <c r="E56" s="5" t="n"/>
      <c r="F56" s="234" t="n">
        <v>6</v>
      </c>
    </row>
    <row r="57" ht="16.95" customFormat="1" customHeight="1" s="8" thickBot="1">
      <c r="A57" s="234" t="inlineStr">
        <is>
          <t>enumerator</t>
        </is>
      </c>
      <c r="B57" s="290" t="n">
        <v>48</v>
      </c>
      <c r="C57" s="317" t="inlineStr">
        <is>
          <t>C1022YR002</t>
        </is>
      </c>
      <c r="D57" s="317" t="inlineStr">
        <is>
          <t>C1022YR002</t>
        </is>
      </c>
      <c r="E57" s="5" t="n"/>
      <c r="F57" s="234" t="n">
        <v>7</v>
      </c>
    </row>
    <row r="58" ht="16.05" customFormat="1" customHeight="1" s="8">
      <c r="A58" s="234" t="inlineStr">
        <is>
          <t>enumerator</t>
        </is>
      </c>
      <c r="B58" s="285" t="n">
        <v>49</v>
      </c>
      <c r="C58" s="311" t="inlineStr">
        <is>
          <t>C1139BN009</t>
        </is>
      </c>
      <c r="D58" s="311" t="inlineStr">
        <is>
          <t>C1139BN009</t>
        </is>
      </c>
      <c r="E58" s="5" t="n"/>
      <c r="F58" s="234" t="n">
        <v>7</v>
      </c>
    </row>
    <row r="59" ht="16.95" customFormat="1" customHeight="1" s="8" thickBot="1">
      <c r="A59" s="234" t="inlineStr">
        <is>
          <t>enumerator</t>
        </is>
      </c>
      <c r="B59" s="290" t="n">
        <v>50</v>
      </c>
      <c r="C59" s="311" t="inlineStr">
        <is>
          <t>C1036AH002</t>
        </is>
      </c>
      <c r="D59" s="311" t="inlineStr">
        <is>
          <t>C1036AH002</t>
        </is>
      </c>
      <c r="E59" s="5" t="n"/>
      <c r="F59" s="234" t="n">
        <v>7</v>
      </c>
    </row>
    <row r="60" ht="16.05" customFormat="1" customHeight="1" s="8">
      <c r="A60" s="234" t="inlineStr">
        <is>
          <t>enumerator</t>
        </is>
      </c>
      <c r="B60" s="285" t="n">
        <v>51</v>
      </c>
      <c r="C60" s="311" t="inlineStr">
        <is>
          <t>C1139OR008</t>
        </is>
      </c>
      <c r="D60" s="311" t="inlineStr">
        <is>
          <t>C1139OR008</t>
        </is>
      </c>
      <c r="E60" s="5" t="n"/>
      <c r="F60" s="234" t="n">
        <v>7</v>
      </c>
    </row>
    <row r="61" ht="16.95" customFormat="1" customHeight="1" s="8" thickBot="1">
      <c r="A61" s="234" t="inlineStr">
        <is>
          <t>enumerator</t>
        </is>
      </c>
      <c r="B61" s="290" t="n">
        <v>52</v>
      </c>
      <c r="C61" s="312" t="inlineStr">
        <is>
          <t>C1022BE023</t>
        </is>
      </c>
      <c r="D61" s="312" t="inlineStr">
        <is>
          <t>C1022BE023</t>
        </is>
      </c>
      <c r="E61" s="5" t="n"/>
      <c r="F61" s="234" t="n">
        <v>7</v>
      </c>
    </row>
    <row r="62" customFormat="1" s="8">
      <c r="E62" s="5" t="n"/>
    </row>
    <row r="63" customFormat="1" s="8">
      <c r="A63" s="200" t="inlineStr">
        <is>
          <t>yes_no</t>
        </is>
      </c>
      <c r="B63" s="200" t="n">
        <v>1</v>
      </c>
      <c r="C63" s="200" t="inlineStr">
        <is>
          <t>Yes</t>
        </is>
      </c>
      <c r="D63" s="200" t="inlineStr">
        <is>
          <t>نعم</t>
        </is>
      </c>
      <c r="E63" s="5" t="n"/>
    </row>
    <row r="64" customFormat="1" s="8">
      <c r="A64" s="200" t="inlineStr">
        <is>
          <t>yes_no</t>
        </is>
      </c>
      <c r="B64" s="200" t="n">
        <v>2</v>
      </c>
      <c r="C64" s="200" t="inlineStr">
        <is>
          <t>No</t>
        </is>
      </c>
      <c r="D64" s="200" t="inlineStr">
        <is>
          <t>لا</t>
        </is>
      </c>
      <c r="E64" s="5" t="n"/>
    </row>
    <row r="65" customFormat="1" s="8">
      <c r="A65" s="200" t="inlineStr">
        <is>
          <t>yes_no</t>
        </is>
      </c>
      <c r="B65" s="200" t="inlineStr">
        <is>
          <t>dk</t>
        </is>
      </c>
      <c r="C65" s="200" t="inlineStr">
        <is>
          <t>Don't know</t>
        </is>
      </c>
      <c r="D65" s="200" t="inlineStr">
        <is>
          <t>لا أعرف</t>
        </is>
      </c>
      <c r="E65" s="5" t="n"/>
    </row>
    <row r="66" customFormat="1" s="8">
      <c r="A66" s="200" t="inlineStr">
        <is>
          <t>yes_no</t>
        </is>
      </c>
      <c r="B66" s="200" t="inlineStr">
        <is>
          <t>ref</t>
        </is>
      </c>
      <c r="C66" s="200" t="inlineStr">
        <is>
          <t>Refused</t>
        </is>
      </c>
      <c r="D66" s="200" t="inlineStr">
        <is>
          <t>رفض الإجابة</t>
        </is>
      </c>
      <c r="E66" s="5" t="n"/>
    </row>
    <row r="67" customFormat="1" s="8">
      <c r="E67" s="5" t="n"/>
    </row>
    <row r="68" customFormat="1" s="8">
      <c r="A68" s="200" t="inlineStr">
        <is>
          <t>continue</t>
        </is>
      </c>
      <c r="B68" s="200" t="inlineStr">
        <is>
          <t>continue</t>
        </is>
      </c>
      <c r="C68" s="200" t="inlineStr">
        <is>
          <t>continue</t>
        </is>
      </c>
      <c r="D68" s="200" t="inlineStr">
        <is>
          <t>تابع</t>
        </is>
      </c>
      <c r="E68" s="5" t="n"/>
    </row>
    <row r="69" customFormat="1" s="8">
      <c r="E69" s="5" t="n"/>
    </row>
    <row r="70" customFormat="1" s="8">
      <c r="A70" s="200" t="inlineStr">
        <is>
          <t>yesno</t>
        </is>
      </c>
      <c r="B70" s="200" t="n">
        <v>1</v>
      </c>
      <c r="C70" s="200" t="inlineStr">
        <is>
          <t>Yes</t>
        </is>
      </c>
      <c r="D70" s="200" t="inlineStr">
        <is>
          <t>نعم</t>
        </is>
      </c>
      <c r="E70" s="5" t="n"/>
    </row>
    <row r="71" customFormat="1" s="8">
      <c r="A71" s="200" t="inlineStr">
        <is>
          <t>yesno</t>
        </is>
      </c>
      <c r="B71" s="200" t="n">
        <v>2</v>
      </c>
      <c r="C71" s="200" t="inlineStr">
        <is>
          <t>No</t>
        </is>
      </c>
      <c r="D71" s="200" t="inlineStr">
        <is>
          <t>لا</t>
        </is>
      </c>
      <c r="E71" s="5" t="n"/>
    </row>
    <row r="72" customFormat="1" s="8">
      <c r="E72" s="5" t="n"/>
    </row>
    <row r="73" customFormat="1" s="8">
      <c r="A73" s="8" t="inlineStr">
        <is>
          <t>language</t>
        </is>
      </c>
      <c r="B73" s="8" t="inlineStr">
        <is>
          <t>en</t>
        </is>
      </c>
      <c r="C73" s="8" t="inlineStr">
        <is>
          <t>English</t>
        </is>
      </c>
      <c r="D73" s="8" t="inlineStr">
        <is>
          <t xml:space="preserve">الإنجليزية </t>
        </is>
      </c>
      <c r="E73" s="5" t="n"/>
    </row>
    <row r="74" customFormat="1" s="8">
      <c r="A74" s="200" t="inlineStr">
        <is>
          <t>language</t>
        </is>
      </c>
      <c r="B74" s="200" t="inlineStr">
        <is>
          <t>ar</t>
        </is>
      </c>
      <c r="C74" s="200" t="inlineStr">
        <is>
          <t>Arabic</t>
        </is>
      </c>
      <c r="D74" s="200" t="inlineStr">
        <is>
          <t>العربية</t>
        </is>
      </c>
      <c r="E74" s="5" t="n"/>
    </row>
    <row r="75" customFormat="1" s="8">
      <c r="E75" s="5" t="n"/>
    </row>
    <row r="76" customFormat="1" s="8">
      <c r="A76" s="200" t="inlineStr">
        <is>
          <t>gender</t>
        </is>
      </c>
      <c r="B76" s="200" t="n">
        <v>1</v>
      </c>
      <c r="C76" s="200" t="inlineStr">
        <is>
          <t>Male</t>
        </is>
      </c>
      <c r="D76" s="200" t="inlineStr">
        <is>
          <t>ذكر</t>
        </is>
      </c>
      <c r="E76" s="5" t="n"/>
    </row>
    <row r="77" customFormat="1" s="8">
      <c r="A77" s="200" t="inlineStr">
        <is>
          <t>gender</t>
        </is>
      </c>
      <c r="B77" s="200" t="n">
        <v>2</v>
      </c>
      <c r="C77" s="200" t="inlineStr">
        <is>
          <t>Female</t>
        </is>
      </c>
      <c r="D77" s="200" t="inlineStr">
        <is>
          <t>أنثى</t>
        </is>
      </c>
      <c r="E77" s="5" t="n"/>
    </row>
    <row r="78" customFormat="1" s="8">
      <c r="A78" s="200" t="inlineStr">
        <is>
          <t>gender</t>
        </is>
      </c>
      <c r="B78" s="200" t="inlineStr">
        <is>
          <t>dk</t>
        </is>
      </c>
      <c r="C78" s="200" t="inlineStr">
        <is>
          <t>Don't know</t>
        </is>
      </c>
      <c r="D78" s="200" t="inlineStr">
        <is>
          <t>لا أعرف</t>
        </is>
      </c>
      <c r="E78" s="5" t="n"/>
    </row>
    <row r="79" customFormat="1" s="8">
      <c r="A79" s="200" t="inlineStr">
        <is>
          <t>gender</t>
        </is>
      </c>
      <c r="B79" s="200" t="inlineStr">
        <is>
          <t>ref</t>
        </is>
      </c>
      <c r="C79" s="200" t="inlineStr">
        <is>
          <t>Refused</t>
        </is>
      </c>
      <c r="D79" s="200" t="inlineStr">
        <is>
          <t>رفض الإجابة</t>
        </is>
      </c>
      <c r="E79" s="5" t="n"/>
    </row>
    <row r="80" customFormat="1" s="8">
      <c r="E80" s="5" t="n"/>
    </row>
    <row r="81" customFormat="1" s="8">
      <c r="A81" s="200" t="inlineStr">
        <is>
          <t>contact_info</t>
        </is>
      </c>
      <c r="B81" s="200" t="n">
        <v>1</v>
      </c>
      <c r="C81" s="200" t="inlineStr">
        <is>
          <t>YES - mine</t>
        </is>
      </c>
      <c r="D81" s="200" t="inlineStr">
        <is>
          <t>نعم - لي</t>
        </is>
      </c>
      <c r="E81" s="5" t="n"/>
    </row>
    <row r="82" customFormat="1" s="8">
      <c r="A82" s="200" t="inlineStr">
        <is>
          <t>contact_info</t>
        </is>
      </c>
      <c r="B82" s="200" t="n">
        <v>2</v>
      </c>
      <c r="C82" s="8" t="inlineStr">
        <is>
          <t>YES - other household member</t>
        </is>
      </c>
      <c r="D82" s="200" t="inlineStr">
        <is>
          <t>نعم - فرد اخر من أفراد الأسرة</t>
        </is>
      </c>
      <c r="E82" s="5" t="n"/>
    </row>
    <row r="83" customFormat="1" s="8">
      <c r="A83" s="200" t="inlineStr">
        <is>
          <t>contact_info</t>
        </is>
      </c>
      <c r="B83" s="200" t="n">
        <v>3</v>
      </c>
      <c r="C83" s="200" t="inlineStr">
        <is>
          <t>YES - friend or relative (non-household member)</t>
        </is>
      </c>
      <c r="D83" s="200" t="inlineStr">
        <is>
          <t>نعم - أحد الأقارب او الاصدقاء [ ليس فردا من أفراد الأسرة]</t>
        </is>
      </c>
      <c r="E83" s="5" t="n"/>
    </row>
    <row r="84" customFormat="1" s="8">
      <c r="A84" s="200" t="inlineStr">
        <is>
          <t>contact_info</t>
        </is>
      </c>
      <c r="B84" s="200" t="n">
        <v>4</v>
      </c>
      <c r="C84" s="200" t="inlineStr">
        <is>
          <t>NO</t>
        </is>
      </c>
      <c r="D84" s="200" t="inlineStr">
        <is>
          <t>لا</t>
        </is>
      </c>
      <c r="E84" s="5" t="n"/>
    </row>
    <row r="85" customFormat="1" s="8">
      <c r="A85" s="200" t="n"/>
      <c r="B85" s="200" t="n"/>
      <c r="C85" s="200" t="n"/>
      <c r="D85" s="200" t="n"/>
      <c r="E85" s="5" t="n"/>
    </row>
    <row r="86" customFormat="1" s="8">
      <c r="A86" s="200" t="n"/>
      <c r="B86" s="200" t="n"/>
      <c r="C86" s="200" t="inlineStr">
        <is>
          <t>Wheat</t>
        </is>
      </c>
      <c r="D86" s="200" t="inlineStr">
        <is>
          <t>القمح</t>
        </is>
      </c>
      <c r="E86" s="5" t="n"/>
    </row>
    <row r="87" customFormat="1" s="8">
      <c r="A87" s="200" t="n"/>
      <c r="B87" s="200" t="n"/>
      <c r="C87" s="200" t="inlineStr">
        <is>
          <t>Maize</t>
        </is>
      </c>
      <c r="D87" s="200" t="inlineStr">
        <is>
          <t>الذرة</t>
        </is>
      </c>
      <c r="E87" s="5" t="n"/>
    </row>
    <row r="88" customFormat="1" s="8">
      <c r="A88" s="200" t="n"/>
      <c r="B88" s="200" t="n"/>
      <c r="C88" s="200" t="inlineStr">
        <is>
          <t>Barley</t>
        </is>
      </c>
      <c r="D88" s="200" t="inlineStr">
        <is>
          <t>الشعير</t>
        </is>
      </c>
      <c r="E88" s="5" t="n"/>
    </row>
    <row r="89" customFormat="1" s="8">
      <c r="A89" s="200" t="n"/>
      <c r="B89" s="200" t="n"/>
      <c r="C89" s="200" t="inlineStr">
        <is>
          <t>Potatoe</t>
        </is>
      </c>
      <c r="D89" s="200" t="inlineStr">
        <is>
          <t>البطاطا</t>
        </is>
      </c>
      <c r="E89" s="5" t="n"/>
    </row>
    <row r="90" customFormat="1" s="8">
      <c r="A90" s="200" t="n"/>
      <c r="B90" s="200" t="n"/>
      <c r="C90" s="200" t="inlineStr">
        <is>
          <t>Beans</t>
        </is>
      </c>
      <c r="D90" s="200" t="inlineStr">
        <is>
          <t>الفاصوليا</t>
        </is>
      </c>
      <c r="E90" s="5" t="n"/>
    </row>
    <row r="91" customFormat="1" s="8">
      <c r="A91" s="200" t="n"/>
      <c r="B91" s="200" t="n"/>
      <c r="C91" s="200" t="inlineStr">
        <is>
          <t>Lentils</t>
        </is>
      </c>
      <c r="D91" s="200" t="inlineStr">
        <is>
          <t>العدس</t>
        </is>
      </c>
      <c r="E91" s="5" t="n"/>
    </row>
    <row r="92" customFormat="1" s="8">
      <c r="A92" s="200" t="n"/>
      <c r="B92" s="200" t="n"/>
      <c r="C92" s="200" t="inlineStr">
        <is>
          <t>Peas</t>
        </is>
      </c>
      <c r="D92" s="200" t="inlineStr">
        <is>
          <t>البازيلاء</t>
        </is>
      </c>
      <c r="E92" s="5" t="n"/>
    </row>
    <row r="93" customFormat="1" s="8">
      <c r="A93" s="200" t="n"/>
      <c r="B93" s="200" t="n"/>
      <c r="C93" s="200" t="inlineStr">
        <is>
          <t>Soybeans</t>
        </is>
      </c>
      <c r="D93" s="200" t="inlineStr">
        <is>
          <t>فول الصويا</t>
        </is>
      </c>
      <c r="E93" s="5" t="n"/>
    </row>
    <row r="94" customFormat="1" s="8">
      <c r="A94" s="200" t="n"/>
      <c r="B94" s="200" t="n"/>
      <c r="C94" s="200" t="inlineStr">
        <is>
          <t>Chickpeas</t>
        </is>
      </c>
      <c r="D94" s="200" t="inlineStr">
        <is>
          <t>الحمص</t>
        </is>
      </c>
      <c r="E94" s="5" t="n"/>
    </row>
    <row r="95" customFormat="1" s="8">
      <c r="A95" s="200" t="n"/>
      <c r="B95" s="200" t="n"/>
      <c r="C95" s="200" t="inlineStr">
        <is>
          <t>Fava beans</t>
        </is>
      </c>
      <c r="D95" s="200" t="inlineStr">
        <is>
          <t>الفول</t>
        </is>
      </c>
      <c r="E95" s="5" t="n"/>
    </row>
    <row r="96" customFormat="1" s="8">
      <c r="A96" s="200" t="n"/>
      <c r="B96" s="200" t="n"/>
      <c r="C96" s="200" t="inlineStr">
        <is>
          <t>Lettuce</t>
        </is>
      </c>
      <c r="D96" s="200" t="inlineStr">
        <is>
          <t>الخس</t>
        </is>
      </c>
      <c r="E96" s="5" t="n"/>
    </row>
    <row r="97" customFormat="1" s="8">
      <c r="A97" s="200" t="n"/>
      <c r="B97" s="200" t="n"/>
      <c r="C97" s="200" t="inlineStr">
        <is>
          <t>Green salad herbs (thyme, parsley, mint, rocca, other)</t>
        </is>
      </c>
      <c r="D97" s="200" t="inlineStr">
        <is>
          <t>أعشاب السلطة الخضراء [زعتر ، بقدونس ، نعناع ، جرجير ، أنواع أخرى]</t>
        </is>
      </c>
      <c r="E97" s="5" t="n"/>
    </row>
    <row r="98" customFormat="1" s="8">
      <c r="A98" s="200" t="n"/>
      <c r="B98" s="200" t="n"/>
      <c r="C98" s="200" t="inlineStr">
        <is>
          <t>Tomatoes</t>
        </is>
      </c>
      <c r="D98" s="200" t="inlineStr">
        <is>
          <t>الطماطم</t>
        </is>
      </c>
      <c r="E98" s="5" t="n"/>
    </row>
    <row r="99" customFormat="1" s="8">
      <c r="A99" s="200" t="n"/>
      <c r="B99" s="200" t="n"/>
      <c r="C99" s="200" t="inlineStr">
        <is>
          <t>Cucumber</t>
        </is>
      </c>
      <c r="D99" s="200" t="inlineStr">
        <is>
          <t>الخيار</t>
        </is>
      </c>
      <c r="E99" s="5" t="n"/>
    </row>
    <row r="100" customFormat="1" s="8">
      <c r="A100" s="200" t="n"/>
      <c r="B100" s="200" t="n"/>
      <c r="C100" s="200" t="inlineStr">
        <is>
          <t>Eggplant/aubergine</t>
        </is>
      </c>
      <c r="D100" s="200" t="inlineStr">
        <is>
          <t>الباذنجان</t>
        </is>
      </c>
      <c r="E100" s="5" t="n"/>
    </row>
    <row r="101" customFormat="1" s="8">
      <c r="A101" s="200" t="n"/>
      <c r="B101" s="200" t="n"/>
      <c r="C101" s="200" t="inlineStr">
        <is>
          <t>Zucchini</t>
        </is>
      </c>
      <c r="D101" s="200" t="inlineStr">
        <is>
          <t>الكوسة</t>
        </is>
      </c>
      <c r="E101" s="5" t="n"/>
    </row>
    <row r="102" customFormat="1" s="8">
      <c r="A102" s="200" t="n"/>
      <c r="B102" s="200" t="n"/>
      <c r="C102" s="200" t="inlineStr">
        <is>
          <t>Okra</t>
        </is>
      </c>
      <c r="D102" s="200" t="inlineStr">
        <is>
          <t>البامية</t>
        </is>
      </c>
      <c r="E102" s="5" t="n"/>
    </row>
    <row r="103" customFormat="1" s="8">
      <c r="A103" s="200" t="n"/>
      <c r="B103" s="200" t="n"/>
      <c r="C103" s="200" t="inlineStr">
        <is>
          <t>Bell pepper</t>
        </is>
      </c>
      <c r="D103" s="200" t="inlineStr">
        <is>
          <t>فلفل حلو</t>
        </is>
      </c>
      <c r="E103" s="5" t="n"/>
    </row>
    <row r="104" customFormat="1" s="8">
      <c r="A104" s="200" t="n"/>
      <c r="B104" s="200" t="n"/>
      <c r="C104" s="200" t="inlineStr">
        <is>
          <t>Onions</t>
        </is>
      </c>
      <c r="D104" s="200" t="inlineStr">
        <is>
          <t>بصل</t>
        </is>
      </c>
      <c r="E104" s="5" t="n"/>
    </row>
    <row r="105" customFormat="1" s="8">
      <c r="A105" s="200" t="n"/>
      <c r="B105" s="200" t="n"/>
      <c r="C105" s="200" t="inlineStr">
        <is>
          <t>Green peas</t>
        </is>
      </c>
      <c r="D105" s="200" t="inlineStr">
        <is>
          <t>البازلاء الخضراء</t>
        </is>
      </c>
      <c r="E105" s="5" t="n"/>
    </row>
    <row r="106" customFormat="1" s="8">
      <c r="A106" s="200" t="n"/>
      <c r="B106" s="200" t="n"/>
      <c r="C106" s="200" t="inlineStr">
        <is>
          <t>Fava beans green</t>
        </is>
      </c>
      <c r="D106" s="200" t="inlineStr">
        <is>
          <t>الفول الأخضر</t>
        </is>
      </c>
      <c r="E106" s="5" t="n"/>
    </row>
    <row r="107" customFormat="1" s="8">
      <c r="A107" s="200" t="n"/>
      <c r="B107" s="200" t="n"/>
      <c r="C107" s="200" t="inlineStr">
        <is>
          <t>Water Melon</t>
        </is>
      </c>
      <c r="D107" s="200" t="inlineStr">
        <is>
          <t>البطيخ الأحمر</t>
        </is>
      </c>
      <c r="E107" s="5" t="n"/>
    </row>
    <row r="108" customFormat="1" s="8">
      <c r="A108" s="200" t="n"/>
      <c r="B108" s="200" t="n"/>
      <c r="C108" s="200" t="inlineStr">
        <is>
          <t>Grapes</t>
        </is>
      </c>
      <c r="D108" s="200" t="inlineStr">
        <is>
          <t>العنب</t>
        </is>
      </c>
      <c r="E108" s="5" t="n"/>
    </row>
    <row r="109" customFormat="1" s="8">
      <c r="A109" s="200" t="n"/>
      <c r="B109" s="200" t="n"/>
      <c r="C109" s="200" t="inlineStr">
        <is>
          <t>Olives</t>
        </is>
      </c>
      <c r="D109" s="200" t="inlineStr">
        <is>
          <t>الزيتون</t>
        </is>
      </c>
      <c r="E109" s="5" t="n"/>
    </row>
    <row r="110" customFormat="1" s="8">
      <c r="A110" s="200" t="n"/>
      <c r="B110" s="200" t="n"/>
      <c r="C110" s="200" t="inlineStr">
        <is>
          <t>Cherries</t>
        </is>
      </c>
      <c r="D110" s="200" t="inlineStr">
        <is>
          <t>الكرز</t>
        </is>
      </c>
      <c r="E110" s="5" t="n"/>
    </row>
    <row r="111" customFormat="1" s="8">
      <c r="A111" s="200" t="n"/>
      <c r="B111" s="200" t="n"/>
      <c r="C111" s="200" t="inlineStr">
        <is>
          <t>Sesame</t>
        </is>
      </c>
      <c r="D111" s="200" t="inlineStr">
        <is>
          <t>السمسم</t>
        </is>
      </c>
      <c r="E111" s="5" t="n"/>
    </row>
    <row r="112" customFormat="1" s="8">
      <c r="A112" s="200" t="n"/>
      <c r="B112" s="200" t="n"/>
      <c r="C112" s="200" t="inlineStr">
        <is>
          <t>Almond</t>
        </is>
      </c>
      <c r="D112" s="200" t="inlineStr">
        <is>
          <t>اللوز</t>
        </is>
      </c>
      <c r="E112" s="5" t="n"/>
    </row>
    <row r="113" customFormat="1" s="8">
      <c r="A113" s="200" t="n"/>
      <c r="B113" s="200" t="n"/>
      <c r="C113" s="200" t="inlineStr">
        <is>
          <t>Other crop</t>
        </is>
      </c>
      <c r="D113" s="200" t="inlineStr">
        <is>
          <t>آخر [حدد]</t>
        </is>
      </c>
      <c r="E113" s="5" t="n"/>
    </row>
    <row r="114" ht="16.05" customFormat="1" customHeight="1" s="8">
      <c r="A114" s="200" t="n"/>
      <c r="B114" s="200" t="n"/>
      <c r="C114" s="200" t="inlineStr">
        <is>
          <t>No crop production</t>
        </is>
      </c>
      <c r="D114" s="254" t="inlineStr">
        <is>
          <t>لا شيء</t>
        </is>
      </c>
      <c r="E114" s="5" t="n"/>
    </row>
    <row r="115" customFormat="1" s="8">
      <c r="A115" s="200" t="n"/>
      <c r="B115" s="200" t="n"/>
      <c r="C115" s="200" t="n"/>
      <c r="D115" s="200" t="n"/>
      <c r="E115" s="5" t="n"/>
    </row>
    <row r="116" customFormat="1" s="8">
      <c r="A116" s="200" t="inlineStr">
        <is>
          <t>agricactivity</t>
        </is>
      </c>
      <c r="B116" s="200" t="n">
        <v>1</v>
      </c>
      <c r="C116" s="200" t="inlineStr">
        <is>
          <t xml:space="preserve">Yes - crop production </t>
        </is>
      </c>
      <c r="D116" s="200" t="inlineStr">
        <is>
          <t>نعم - إنتاج المحاصيل</t>
        </is>
      </c>
      <c r="E116" s="5" t="n"/>
    </row>
    <row r="117" customFormat="1" s="8">
      <c r="A117" s="200" t="inlineStr">
        <is>
          <t>agricactivity</t>
        </is>
      </c>
      <c r="B117" s="200" t="n">
        <v>2</v>
      </c>
      <c r="C117" s="200" t="inlineStr">
        <is>
          <t>Yes - livestock production</t>
        </is>
      </c>
      <c r="D117" s="200" t="inlineStr">
        <is>
          <t>نعم - إنتاج الماشية</t>
        </is>
      </c>
      <c r="E117" s="5" t="n"/>
    </row>
    <row r="118" customFormat="1" s="8">
      <c r="A118" s="200" t="inlineStr">
        <is>
          <t>agricactivity</t>
        </is>
      </c>
      <c r="B118" s="200" t="n">
        <v>3</v>
      </c>
      <c r="C118" s="200" t="inlineStr">
        <is>
          <t xml:space="preserve">Yes - both crop and livestock production </t>
        </is>
      </c>
      <c r="D118" s="200" t="inlineStr">
        <is>
          <t>نعم - كل من إنتاج المحاصيل والماشية</t>
        </is>
      </c>
      <c r="E118" s="5" t="n"/>
    </row>
    <row r="119" customFormat="1" s="8">
      <c r="A119" s="200" t="inlineStr">
        <is>
          <t>agricactivity</t>
        </is>
      </c>
      <c r="B119" s="200" t="n">
        <v>4</v>
      </c>
      <c r="C119" s="200" t="inlineStr">
        <is>
          <t>No</t>
        </is>
      </c>
      <c r="D119" s="200" t="inlineStr">
        <is>
          <t>لا</t>
        </is>
      </c>
      <c r="E119" s="5" t="n"/>
    </row>
    <row r="120" customFormat="1" s="8">
      <c r="A120" s="200" t="inlineStr">
        <is>
          <t>agricactivity</t>
        </is>
      </c>
      <c r="B120" s="200" t="inlineStr">
        <is>
          <t>dk</t>
        </is>
      </c>
      <c r="C120" s="200" t="inlineStr">
        <is>
          <t>Don't know</t>
        </is>
      </c>
      <c r="D120" s="200" t="inlineStr">
        <is>
          <t>لا أعرف</t>
        </is>
      </c>
      <c r="E120" s="5" t="n"/>
    </row>
    <row r="121" customFormat="1" s="8">
      <c r="A121" s="200" t="inlineStr">
        <is>
          <t>agricactivity</t>
        </is>
      </c>
      <c r="B121" s="200" t="inlineStr">
        <is>
          <t>ref</t>
        </is>
      </c>
      <c r="C121" s="200" t="inlineStr">
        <is>
          <t>Refused</t>
        </is>
      </c>
      <c r="D121" s="200" t="inlineStr">
        <is>
          <t>رفض الإجابة</t>
        </is>
      </c>
      <c r="E121" s="5" t="n"/>
    </row>
    <row r="122" customFormat="1" s="8">
      <c r="E122" s="5" t="n"/>
    </row>
    <row r="123" customFormat="1" s="8">
      <c r="A123" s="200" t="inlineStr">
        <is>
          <t>edu</t>
        </is>
      </c>
      <c r="B123" s="200" t="n">
        <v>1</v>
      </c>
      <c r="C123" s="200" t="inlineStr">
        <is>
          <t>None or did not complete primary school</t>
        </is>
      </c>
      <c r="D123" s="200" t="inlineStr">
        <is>
          <t>لا شيء أو لم يكمل المرحلة الابتدائية</t>
        </is>
      </c>
      <c r="E123" s="5" t="n"/>
    </row>
    <row r="124" customFormat="1" s="8">
      <c r="A124" s="200" t="inlineStr">
        <is>
          <t>edu</t>
        </is>
      </c>
      <c r="B124" s="200" t="n">
        <v>2</v>
      </c>
      <c r="C124" s="200" t="inlineStr">
        <is>
          <t>Completed primary school</t>
        </is>
      </c>
      <c r="D124" s="200" t="inlineStr">
        <is>
          <t>أكمل المرحلة الابتدائية</t>
        </is>
      </c>
      <c r="E124" s="5" t="n"/>
    </row>
    <row r="125" customFormat="1" s="8">
      <c r="A125" s="200" t="inlineStr">
        <is>
          <t>edu</t>
        </is>
      </c>
      <c r="B125" s="200" t="n">
        <v>3</v>
      </c>
      <c r="C125" s="200" t="inlineStr">
        <is>
          <t>Completed secondary school</t>
        </is>
      </c>
      <c r="D125" s="200" t="inlineStr">
        <is>
          <t>أكمل المرحلة الثانوية</t>
        </is>
      </c>
      <c r="E125" s="5" t="n"/>
    </row>
    <row r="126" customFormat="1" s="8">
      <c r="A126" s="200" t="inlineStr">
        <is>
          <t>edu</t>
        </is>
      </c>
      <c r="B126" s="200" t="n">
        <v>4</v>
      </c>
      <c r="C126" s="200" t="inlineStr">
        <is>
          <t>Completed higher education [University / College] degree</t>
        </is>
      </c>
      <c r="D126" s="200" t="inlineStr">
        <is>
          <t>أكمل درجة تعليم عالي [جامعة / كلية]</t>
        </is>
      </c>
      <c r="E126" s="5" t="n"/>
    </row>
    <row r="127" customFormat="1" s="8">
      <c r="A127" s="200" t="inlineStr">
        <is>
          <t>edu</t>
        </is>
      </c>
      <c r="B127" s="200" t="n">
        <v>5</v>
      </c>
      <c r="C127" s="200" t="inlineStr">
        <is>
          <t>Religious or informal education only</t>
        </is>
      </c>
      <c r="D127" s="200" t="inlineStr">
        <is>
          <t>تربية دينية أو غير رسمية فقط</t>
        </is>
      </c>
      <c r="E127" s="5" t="n"/>
    </row>
    <row r="128" customFormat="1" s="8">
      <c r="A128" s="200" t="inlineStr">
        <is>
          <t>edu</t>
        </is>
      </c>
      <c r="B128" s="200" t="inlineStr">
        <is>
          <t>dk</t>
        </is>
      </c>
      <c r="C128" s="200" t="inlineStr">
        <is>
          <t>Don't know</t>
        </is>
      </c>
      <c r="D128" s="200" t="inlineStr">
        <is>
          <t>لا أعرف</t>
        </is>
      </c>
      <c r="E128" s="5" t="n"/>
    </row>
    <row r="129" customFormat="1" s="8">
      <c r="A129" s="200" t="inlineStr">
        <is>
          <t>edu</t>
        </is>
      </c>
      <c r="B129" s="200" t="inlineStr">
        <is>
          <t>ref</t>
        </is>
      </c>
      <c r="C129" s="200" t="inlineStr">
        <is>
          <t>Refused</t>
        </is>
      </c>
      <c r="D129" s="200" t="inlineStr">
        <is>
          <t>رفض الإجابة</t>
        </is>
      </c>
      <c r="E129" s="5" t="n"/>
    </row>
    <row r="130" customFormat="1" s="8">
      <c r="E130" s="5" t="n"/>
    </row>
    <row r="131" customFormat="1" s="8">
      <c r="A131" s="200" t="inlineStr">
        <is>
          <t>residence</t>
        </is>
      </c>
      <c r="B131" s="200" t="n">
        <v>1</v>
      </c>
      <c r="C131" s="200" t="inlineStr">
        <is>
          <t>Permanent Resident - you have been living in your village / town for longer than two years and this is what you consider your habitual residence</t>
        </is>
      </c>
      <c r="D131" s="200" t="inlineStr">
        <is>
          <t>مقيم دائم - تعيش في قريتك / بلدتك لمدة تزيد عن عامين وهذا ما تعتبره مكان إقامتك المعتاد</t>
        </is>
      </c>
      <c r="E131" s="5" t="n"/>
    </row>
    <row r="132" customFormat="1" s="8">
      <c r="A132" s="200" t="inlineStr">
        <is>
          <t>residence</t>
        </is>
      </c>
      <c r="B132" s="200" t="n">
        <v>2</v>
      </c>
      <c r="C132" s="200" t="inlineStr">
        <is>
          <t>Recent migrant not forcefully displaced - you have been living in your current place of residence for less than two years and you moved there voluntarily for work / family or other reasons that are not related to conflict or natural disaster</t>
        </is>
      </c>
      <c r="D132" s="200" t="inlineStr">
        <is>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is>
      </c>
      <c r="E132" s="5" t="n"/>
    </row>
    <row r="133" customFormat="1" s="8">
      <c r="A133" s="200" t="inlineStr">
        <is>
          <t>residence</t>
        </is>
      </c>
      <c r="B133" s="200" t="n">
        <v>3</v>
      </c>
      <c r="C133" s="200" t="inlineStr">
        <is>
          <t>Returnee (from within country) - you have only come back to this residence in the last two years after having been forced to move to another location having fled conflict or natural disaster [if return was over 2 years ago the respondent is considered a permanent resident]</t>
        </is>
      </c>
      <c r="D133" s="200" t="inlineStr">
        <is>
          <t>عائد (من داخل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is>
      </c>
      <c r="E133" s="5" t="n"/>
    </row>
    <row r="134" customFormat="1" s="8">
      <c r="A134" s="200" t="inlineStr">
        <is>
          <t>residence</t>
        </is>
      </c>
      <c r="B134" s="200" t="n">
        <v>4</v>
      </c>
      <c r="C134" s="200" t="inlineStr">
        <is>
          <t>Returnee (from outside country) - you have only come back to this residence in the last two years after having been forced to move to another location having fled conflict or natural disaster [if return was over 2 years ago the respondent is considered a permanent resident]</t>
        </is>
      </c>
      <c r="D134" s="200" t="inlineStr">
        <is>
          <t>عائد (من خارج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is>
      </c>
      <c r="E134" s="5" t="n"/>
    </row>
    <row r="135" customFormat="1" s="8">
      <c r="A135" s="200" t="inlineStr">
        <is>
          <t>residence</t>
        </is>
      </c>
      <c r="B135" s="200" t="n">
        <v>5</v>
      </c>
      <c r="C135" s="200" t="inlineStr">
        <is>
          <t xml:space="preserve">Internally displaced person [IDP] - you were forced to flee your village or town because of conflict or natural disaster and you are now an internally displaced person in your current place of residence </t>
        </is>
      </c>
      <c r="D135" s="200" t="inlineStr">
        <is>
          <t>شخص نازح داخليًا [IDP] - لقد أُجبرت على الفرار من قريتك أو بلدتك بسبب نزاع أو كارثة طبيعية وأنت الآن نازح داخليًا في مكان إقامتك الحالي</t>
        </is>
      </c>
      <c r="E135" s="5" t="n"/>
    </row>
    <row r="136" customFormat="1" s="8">
      <c r="A136" s="200" t="inlineStr">
        <is>
          <t>residence</t>
        </is>
      </c>
      <c r="B136" s="200" t="n">
        <v>6</v>
      </c>
      <c r="C136" s="200" t="inlineStr">
        <is>
          <t>Refugee - you were forced to flee your country because of conflict or natural disaster and you are now a refugee in your current place of residence</t>
        </is>
      </c>
      <c r="D136" s="200" t="inlineStr">
        <is>
          <t>لاجئ - لقد أُجبرت على الفرار من بلدك بسبب نزاع أو كارثة طبيعية وأنت الآن لاجئ في مكان إقامتك الحالي</t>
        </is>
      </c>
      <c r="E136" s="5" t="n"/>
    </row>
    <row r="137" customFormat="1" s="8">
      <c r="A137" s="200" t="inlineStr">
        <is>
          <t>residence</t>
        </is>
      </c>
      <c r="B137" s="200" t="inlineStr">
        <is>
          <t>dk</t>
        </is>
      </c>
      <c r="C137" s="200" t="inlineStr">
        <is>
          <t>Don't know</t>
        </is>
      </c>
      <c r="D137" s="200" t="inlineStr">
        <is>
          <t>لا أعرف</t>
        </is>
      </c>
      <c r="E137" s="5" t="n"/>
    </row>
    <row r="138" customFormat="1" s="8">
      <c r="A138" s="200" t="inlineStr">
        <is>
          <t>residence</t>
        </is>
      </c>
      <c r="B138" s="200" t="inlineStr">
        <is>
          <t>ref</t>
        </is>
      </c>
      <c r="C138" s="200" t="inlineStr">
        <is>
          <t>Refused</t>
        </is>
      </c>
      <c r="D138" s="200" t="inlineStr">
        <is>
          <t>رفض الإجابة</t>
        </is>
      </c>
      <c r="E138" s="5" t="n"/>
    </row>
    <row r="139" customFormat="1" s="8">
      <c r="E139" s="5" t="n"/>
    </row>
    <row r="140" customFormat="1" s="8">
      <c r="A140" s="200" t="inlineStr">
        <is>
          <t>asset_prod</t>
        </is>
      </c>
      <c r="B140" s="8" t="inlineStr">
        <is>
          <t>land</t>
        </is>
      </c>
      <c r="C140" s="8" t="inlineStr">
        <is>
          <t>Productive agricultural land</t>
        </is>
      </c>
      <c r="D140" s="8" t="inlineStr">
        <is>
          <t>أرض زراعية منتجة</t>
        </is>
      </c>
      <c r="E140" s="5" t="n"/>
    </row>
    <row r="141" customFormat="1" s="8">
      <c r="A141" s="200" t="inlineStr">
        <is>
          <t>asset_prod</t>
        </is>
      </c>
      <c r="B141" s="8" t="inlineStr">
        <is>
          <t>livestock</t>
        </is>
      </c>
      <c r="C141" s="8" t="inlineStr">
        <is>
          <t>Productive animals</t>
        </is>
      </c>
      <c r="D141" s="8" t="inlineStr">
        <is>
          <t>حيوانات منتجة</t>
        </is>
      </c>
      <c r="E141" s="5" t="n"/>
    </row>
    <row r="142" customFormat="1" s="8">
      <c r="A142" s="200" t="inlineStr">
        <is>
          <t>asset_prod</t>
        </is>
      </c>
      <c r="B142" s="200" t="inlineStr">
        <is>
          <t>process</t>
        </is>
      </c>
      <c r="C142" s="200" t="inlineStr">
        <is>
          <t>Processing assets (e.g. grinding/crushing machine, mill, oil press)</t>
        </is>
      </c>
      <c r="D142" s="200" t="inlineStr">
        <is>
          <t>أصول المعالجة (على سبيل المثال ماكينات الطحن و العصر)</t>
        </is>
      </c>
      <c r="E142" s="5" t="n"/>
    </row>
    <row r="143" customFormat="1" s="8">
      <c r="A143" s="200" t="inlineStr">
        <is>
          <t>asset_prod</t>
        </is>
      </c>
      <c r="B143" s="200" t="inlineStr">
        <is>
          <t>farmmach</t>
        </is>
      </c>
      <c r="C143" s="200" t="inlineStr">
        <is>
          <t>Farm machinery (e.g. tractor, plough, sickle, etc.)</t>
        </is>
      </c>
      <c r="D143" s="200" t="inlineStr">
        <is>
          <t>آلات زراعية ( جرار زراعي ، محراث، منجل ، غيرها)</t>
        </is>
      </c>
      <c r="E143" s="5" t="n"/>
    </row>
    <row r="144" customFormat="1" s="8">
      <c r="A144" s="200" t="inlineStr">
        <is>
          <t>asset_prod</t>
        </is>
      </c>
      <c r="B144" s="200" t="inlineStr">
        <is>
          <t>sewing</t>
        </is>
      </c>
      <c r="C144" s="200" t="inlineStr">
        <is>
          <t>Sewing machine or weaving tool</t>
        </is>
      </c>
      <c r="D144" s="200" t="inlineStr">
        <is>
          <t>ماكينات الخياطة و حياكة الصوف</t>
        </is>
      </c>
      <c r="E144" s="5" t="n"/>
    </row>
    <row r="145" customFormat="1" s="8">
      <c r="A145" s="200" t="inlineStr">
        <is>
          <t>asset_prod</t>
        </is>
      </c>
      <c r="B145" s="200" t="inlineStr">
        <is>
          <t>taxi</t>
        </is>
      </c>
      <c r="C145" s="200" t="inlineStr">
        <is>
          <t>Taxi</t>
        </is>
      </c>
      <c r="D145" s="200" t="inlineStr">
        <is>
          <t>تاكسي (سيارة أجرة)</t>
        </is>
      </c>
      <c r="E145" s="5" t="n"/>
    </row>
    <row r="146" customFormat="1" s="8">
      <c r="A146" s="200" t="inlineStr">
        <is>
          <t>asset_prod</t>
        </is>
      </c>
      <c r="B146" s="200" t="inlineStr">
        <is>
          <t>truck</t>
        </is>
      </c>
      <c r="C146" s="200" t="inlineStr">
        <is>
          <t>Truck</t>
        </is>
      </c>
      <c r="D146" s="200" t="inlineStr">
        <is>
          <t>شاحنة</t>
        </is>
      </c>
      <c r="E146" s="5" t="n"/>
    </row>
    <row r="147" customFormat="1" s="8">
      <c r="A147" s="200" t="inlineStr">
        <is>
          <t>asset_prod</t>
        </is>
      </c>
      <c r="B147" s="200" t="inlineStr">
        <is>
          <t>other</t>
        </is>
      </c>
      <c r="C147" s="200" t="inlineStr">
        <is>
          <t>Other productive machines or assets</t>
        </is>
      </c>
      <c r="D147" s="200" t="inlineStr">
        <is>
          <t>آلات و معدات انتاجية أخرى</t>
        </is>
      </c>
      <c r="E147" s="5" t="n"/>
    </row>
    <row r="148" customFormat="1" s="8">
      <c r="A148" s="200" t="inlineStr">
        <is>
          <t>asset_prod</t>
        </is>
      </c>
      <c r="B148" s="200" t="inlineStr">
        <is>
          <t>none</t>
        </is>
      </c>
      <c r="C148" s="200" t="inlineStr">
        <is>
          <t>No productive machines or assets</t>
        </is>
      </c>
      <c r="D148" s="200" t="inlineStr">
        <is>
          <t xml:space="preserve">لا تمتلك أي آلات أو أصول انتاجية </t>
        </is>
      </c>
      <c r="E148" s="5" t="n"/>
    </row>
    <row r="149" customFormat="1" s="8">
      <c r="A149" s="200" t="inlineStr">
        <is>
          <t>asset_prod</t>
        </is>
      </c>
      <c r="B149" s="200" t="inlineStr">
        <is>
          <t>dk</t>
        </is>
      </c>
      <c r="C149" s="200" t="inlineStr">
        <is>
          <t>Don't know</t>
        </is>
      </c>
      <c r="D149" s="200" t="inlineStr">
        <is>
          <t>لا أعرف</t>
        </is>
      </c>
      <c r="E149" s="5" t="n"/>
    </row>
    <row r="150" customFormat="1" s="8">
      <c r="A150" s="200" t="inlineStr">
        <is>
          <t>asset_prod</t>
        </is>
      </c>
      <c r="B150" s="200" t="inlineStr">
        <is>
          <t>ref</t>
        </is>
      </c>
      <c r="C150" s="200" t="inlineStr">
        <is>
          <t>Refused</t>
        </is>
      </c>
      <c r="D150" s="200" t="inlineStr">
        <is>
          <t>رفض الإجابة</t>
        </is>
      </c>
      <c r="E150" s="5" t="n"/>
    </row>
    <row r="151" customFormat="1" s="8">
      <c r="E151" s="5" t="n"/>
    </row>
    <row r="152" customFormat="1" s="8">
      <c r="A152" s="200" t="inlineStr">
        <is>
          <t>asset_transp</t>
        </is>
      </c>
      <c r="B152" s="200" t="inlineStr">
        <is>
          <t>bici</t>
        </is>
      </c>
      <c r="C152" s="200" t="inlineStr">
        <is>
          <t>Bicycle</t>
        </is>
      </c>
      <c r="D152" s="200" t="inlineStr">
        <is>
          <t>دراجة</t>
        </is>
      </c>
      <c r="E152" s="5" t="n"/>
    </row>
    <row r="153" customFormat="1" s="8">
      <c r="A153" s="200" t="inlineStr">
        <is>
          <t>asset_transp</t>
        </is>
      </c>
      <c r="B153" s="200" t="inlineStr">
        <is>
          <t>cart</t>
        </is>
      </c>
      <c r="C153" s="200" t="inlineStr">
        <is>
          <t>Cart (animal drawn)</t>
        </is>
      </c>
      <c r="D153" s="200" t="inlineStr">
        <is>
          <t>عربة تسوق</t>
        </is>
      </c>
      <c r="E153" s="5" t="n"/>
    </row>
    <row r="154" customFormat="1" s="8">
      <c r="A154" s="200" t="inlineStr">
        <is>
          <t>asset_transp</t>
        </is>
      </c>
      <c r="B154" s="200" t="inlineStr">
        <is>
          <t>boat</t>
        </is>
      </c>
      <c r="C154" s="200" t="inlineStr">
        <is>
          <t>Boat / canoe</t>
        </is>
      </c>
      <c r="D154" s="200" t="inlineStr">
        <is>
          <t>قارب</t>
        </is>
      </c>
      <c r="E154" s="5" t="n"/>
    </row>
    <row r="155" customFormat="1" s="8">
      <c r="A155" s="200" t="inlineStr">
        <is>
          <t>asset_transp</t>
        </is>
      </c>
      <c r="B155" s="200" t="inlineStr">
        <is>
          <t>motorbike</t>
        </is>
      </c>
      <c r="C155" s="200" t="inlineStr">
        <is>
          <t>Motorbike / scooter / auto rickshaw</t>
        </is>
      </c>
      <c r="D155" s="200" t="inlineStr">
        <is>
          <t>دراجة نارية / سكوتر / عربة الريكاشة الآلية القيادة (توك توك)</t>
        </is>
      </c>
      <c r="E155" s="5" t="n"/>
    </row>
    <row r="156" customFormat="1" s="8">
      <c r="A156" s="200" t="inlineStr">
        <is>
          <t>asset_transp</t>
        </is>
      </c>
      <c r="B156" s="200" t="inlineStr">
        <is>
          <t>car</t>
        </is>
      </c>
      <c r="C156" s="200" t="inlineStr">
        <is>
          <t>Car</t>
        </is>
      </c>
      <c r="D156" s="200" t="inlineStr">
        <is>
          <t>سيارة</t>
        </is>
      </c>
      <c r="E156" s="5" t="n"/>
    </row>
    <row r="157" customFormat="1" s="8">
      <c r="A157" s="200" t="inlineStr">
        <is>
          <t>asset_transp</t>
        </is>
      </c>
      <c r="B157" s="200" t="inlineStr">
        <is>
          <t>van</t>
        </is>
      </c>
      <c r="C157" s="200" t="inlineStr">
        <is>
          <t>Van or small truck</t>
        </is>
      </c>
      <c r="D157" s="200" t="inlineStr">
        <is>
          <t>سيارة نقل أو شاحنة صغيرة</t>
        </is>
      </c>
      <c r="E157" s="5" t="n"/>
    </row>
    <row r="158" customFormat="1" s="8">
      <c r="A158" s="200" t="inlineStr">
        <is>
          <t>asset_transp</t>
        </is>
      </c>
      <c r="B158" s="200" t="inlineStr">
        <is>
          <t>other</t>
        </is>
      </c>
      <c r="C158" s="200" t="inlineStr">
        <is>
          <t>Other motor vehicle</t>
        </is>
      </c>
      <c r="D158" s="200" t="inlineStr">
        <is>
          <t>مركبة أخرى</t>
        </is>
      </c>
      <c r="E158" s="5" t="n"/>
    </row>
    <row r="159" customFormat="1" s="8">
      <c r="A159" s="200" t="inlineStr">
        <is>
          <t>asset_transp</t>
        </is>
      </c>
      <c r="B159" s="200" t="inlineStr">
        <is>
          <t>none</t>
        </is>
      </c>
      <c r="C159" s="200" t="inlineStr">
        <is>
          <t>None of the above</t>
        </is>
      </c>
      <c r="D159" s="200" t="inlineStr">
        <is>
          <t>لا شيء مما سبق</t>
        </is>
      </c>
      <c r="E159" s="5" t="n"/>
    </row>
    <row r="160" customFormat="1" s="8">
      <c r="A160" s="200" t="inlineStr">
        <is>
          <t>asset_transp</t>
        </is>
      </c>
      <c r="B160" s="200" t="inlineStr">
        <is>
          <t>dk</t>
        </is>
      </c>
      <c r="C160" s="200" t="inlineStr">
        <is>
          <t>Don't know</t>
        </is>
      </c>
      <c r="D160" s="200" t="inlineStr">
        <is>
          <t>لا أعرف</t>
        </is>
      </c>
      <c r="E160" s="5" t="n"/>
    </row>
    <row r="161" customFormat="1" s="8">
      <c r="A161" s="200" t="inlineStr">
        <is>
          <t>asset_transp</t>
        </is>
      </c>
      <c r="B161" s="200" t="inlineStr">
        <is>
          <t>ref</t>
        </is>
      </c>
      <c r="C161" s="200" t="inlineStr">
        <is>
          <t>Refused</t>
        </is>
      </c>
      <c r="D161" s="200" t="inlineStr">
        <is>
          <t>رفض الإجابة</t>
        </is>
      </c>
      <c r="E161" s="5" t="n"/>
    </row>
    <row r="162" customFormat="1" s="8">
      <c r="E162" s="5" t="n"/>
    </row>
    <row r="163" customFormat="1" s="8">
      <c r="A163" s="200" t="inlineStr">
        <is>
          <t>incomesource1</t>
        </is>
      </c>
      <c r="B163" s="200" t="n">
        <v>1</v>
      </c>
      <c r="C163" s="200" t="inlineStr">
        <is>
          <t>Production and sale of staple crops</t>
        </is>
      </c>
      <c r="D163" s="200" t="inlineStr">
        <is>
          <t>إنتاج وبيع المحاصيل الأساسية</t>
        </is>
      </c>
      <c r="E163" s="5" t="n"/>
      <c r="G163" s="200" t="n">
        <v>1</v>
      </c>
      <c r="I163" s="8" t="n">
        <v>3</v>
      </c>
    </row>
    <row r="164" customFormat="1" s="8">
      <c r="A164" s="200" t="inlineStr">
        <is>
          <t>incomesource1</t>
        </is>
      </c>
      <c r="B164" s="200" t="n">
        <v>2</v>
      </c>
      <c r="C164" s="200" t="inlineStr">
        <is>
          <t xml:space="preserve">Production and sale of vegetables or fruit </t>
        </is>
      </c>
      <c r="D164" s="200" t="inlineStr">
        <is>
          <t>إنتاج وبيع الخضار أو الفاكهة</t>
        </is>
      </c>
      <c r="E164" s="5" t="n"/>
      <c r="G164" s="200" t="n">
        <v>1</v>
      </c>
      <c r="I164" s="8" t="n">
        <v>3</v>
      </c>
    </row>
    <row r="165" customFormat="1" s="8">
      <c r="A165" s="200" t="inlineStr">
        <is>
          <t>incomesource1</t>
        </is>
      </c>
      <c r="B165" s="200" t="n">
        <v>3</v>
      </c>
      <c r="C165" s="200" t="inlineStr">
        <is>
          <t>Production and sale of cashcrops</t>
        </is>
      </c>
      <c r="D165" s="200" t="inlineStr">
        <is>
          <t>إنتاج وبيع المحاصيل النقدية</t>
        </is>
      </c>
      <c r="E165" s="5" t="n"/>
      <c r="G165" s="200" t="n">
        <v>1</v>
      </c>
      <c r="I165" s="8" t="n">
        <v>3</v>
      </c>
    </row>
    <row r="166" customFormat="1" s="8">
      <c r="A166" s="200" t="inlineStr">
        <is>
          <t>incomesource1</t>
        </is>
      </c>
      <c r="B166" s="200" t="n">
        <v>4</v>
      </c>
      <c r="C166" s="200" t="inlineStr">
        <is>
          <t xml:space="preserve">Production and sale of livestock and livestock products </t>
        </is>
      </c>
      <c r="D166" s="200" t="inlineStr">
        <is>
          <t>إنتاج وبيع المواشي ومنتجاتها</t>
        </is>
      </c>
      <c r="E166" s="5" t="n"/>
      <c r="H166" s="200" t="n">
        <v>2</v>
      </c>
      <c r="I166" s="8" t="n">
        <v>3</v>
      </c>
    </row>
    <row r="167" customFormat="1" s="8">
      <c r="A167" s="200" t="inlineStr">
        <is>
          <t>incomesource1</t>
        </is>
      </c>
      <c r="B167" s="200" t="n">
        <v>5</v>
      </c>
      <c r="C167" s="200" t="inlineStr">
        <is>
          <t>Production and sale of honey and bee products</t>
        </is>
      </c>
      <c r="D167" s="200" t="inlineStr">
        <is>
          <t xml:space="preserve">انتاج و بيع العسل أو منتجات النحل </t>
        </is>
      </c>
      <c r="E167" s="5" t="n"/>
      <c r="G167" s="200" t="n">
        <v>1</v>
      </c>
      <c r="H167" s="200" t="n">
        <v>2</v>
      </c>
      <c r="I167" s="8" t="n">
        <v>3</v>
      </c>
      <c r="J167" s="8" t="n">
        <v>4</v>
      </c>
    </row>
    <row r="168" customFormat="1" s="8">
      <c r="A168" s="200" t="inlineStr">
        <is>
          <t>incomesource1</t>
        </is>
      </c>
      <c r="B168" s="200" t="n">
        <v>6</v>
      </c>
      <c r="C168" s="200" t="inlineStr">
        <is>
          <t xml:space="preserve">Production and sale of fish </t>
        </is>
      </c>
      <c r="D168" s="200" t="inlineStr">
        <is>
          <t>إنتاج وبيع الأسماك</t>
        </is>
      </c>
      <c r="E168" s="5" t="n"/>
      <c r="G168" s="200" t="n">
        <v>1</v>
      </c>
      <c r="H168" s="200" t="n">
        <v>2</v>
      </c>
      <c r="I168" s="8" t="n">
        <v>3</v>
      </c>
      <c r="J168" s="8" t="n">
        <v>4</v>
      </c>
    </row>
    <row r="169" customFormat="1" s="8">
      <c r="A169" s="200" t="inlineStr">
        <is>
          <t>incomesource1</t>
        </is>
      </c>
      <c r="B169" s="200" t="n">
        <v>7</v>
      </c>
      <c r="C169" s="200" t="inlineStr">
        <is>
          <t>Collection and sale of natural resources (including forestry or bush products)</t>
        </is>
      </c>
      <c r="D169" s="200" t="inlineStr">
        <is>
          <t>جمع وبيع منتجات الغابات أو الأحراش</t>
        </is>
      </c>
      <c r="E169" s="5" t="n"/>
      <c r="G169" s="200" t="n">
        <v>1</v>
      </c>
      <c r="H169" s="200" t="n">
        <v>2</v>
      </c>
      <c r="I169" s="8" t="n">
        <v>3</v>
      </c>
      <c r="J169" s="8" t="n">
        <v>4</v>
      </c>
    </row>
    <row r="170" customFormat="1" s="8">
      <c r="A170" s="200" t="inlineStr">
        <is>
          <t>incomesource1</t>
        </is>
      </c>
      <c r="B170" s="200" t="n">
        <v>8</v>
      </c>
      <c r="C170" s="200" t="inlineStr">
        <is>
          <t>Agricultural trade EXCLUDING producers (formal or informal)</t>
        </is>
      </c>
      <c r="D170" s="200" t="inlineStr">
        <is>
          <t>التجارة الزراعية الرسمية و غير الرسمية باستثناء المنتجين</t>
        </is>
      </c>
      <c r="E170" s="5" t="n"/>
      <c r="G170" s="200" t="n">
        <v>1</v>
      </c>
      <c r="H170" s="200" t="n">
        <v>2</v>
      </c>
      <c r="I170" s="8" t="n">
        <v>3</v>
      </c>
      <c r="J170" s="8" t="n">
        <v>4</v>
      </c>
    </row>
    <row r="171" customFormat="1" s="8">
      <c r="A171" s="200" t="inlineStr">
        <is>
          <t>incomesource1</t>
        </is>
      </c>
      <c r="B171" s="200" t="n">
        <v>9</v>
      </c>
      <c r="C171" s="200" t="inlineStr">
        <is>
          <t xml:space="preserve">Daily wage on farms and other casual employment in agricultural sector </t>
        </is>
      </c>
      <c r="D171" s="200" t="inlineStr">
        <is>
          <t>الأجر اليومي في المزارع وغيرها من العمالة العرضية في قطاع الزراعة</t>
        </is>
      </c>
      <c r="E171" s="5" t="n"/>
      <c r="G171" s="200" t="n">
        <v>1</v>
      </c>
      <c r="H171" s="200" t="n">
        <v>2</v>
      </c>
      <c r="I171" s="8" t="n">
        <v>3</v>
      </c>
      <c r="J171" s="8" t="n">
        <v>4</v>
      </c>
    </row>
    <row r="172" customFormat="1" s="8">
      <c r="A172" s="200" t="inlineStr">
        <is>
          <t>incomesource1</t>
        </is>
      </c>
      <c r="B172" s="200" t="n">
        <v>10</v>
      </c>
      <c r="C172" s="200" t="inlineStr">
        <is>
          <t xml:space="preserve">Stable employment in agricultural sector </t>
        </is>
      </c>
      <c r="D172" s="200" t="inlineStr">
        <is>
          <t>العمالة المستقرة في القطاع الزراعي</t>
        </is>
      </c>
      <c r="E172" s="5" t="n"/>
      <c r="G172" s="200" t="n">
        <v>1</v>
      </c>
      <c r="H172" s="200" t="n">
        <v>2</v>
      </c>
      <c r="I172" s="8" t="n">
        <v>3</v>
      </c>
      <c r="J172" s="8" t="n">
        <v>4</v>
      </c>
    </row>
    <row r="173" customFormat="1" s="8">
      <c r="A173" s="200" t="inlineStr">
        <is>
          <t>incomesource1</t>
        </is>
      </c>
      <c r="B173" s="200" t="n">
        <v>11</v>
      </c>
      <c r="C173" s="200" t="inlineStr">
        <is>
          <t>Non-agricultural self-employed or liberal profession, doctor, architect, lawyer, including restaurant</t>
        </is>
      </c>
      <c r="D173" s="200" t="inlineStr">
        <is>
          <t>العاملين لحسابهم الخاص غير الزراعيين أو المهنة الحرة / طبيب / مهندس معماري / محامٍ / بما في ذلك مطعم</t>
        </is>
      </c>
      <c r="E173" s="5" t="n"/>
      <c r="G173" s="200" t="n">
        <v>1</v>
      </c>
      <c r="H173" s="200" t="n">
        <v>2</v>
      </c>
      <c r="I173" s="8" t="n">
        <v>3</v>
      </c>
      <c r="J173" s="8" t="n">
        <v>4</v>
      </c>
    </row>
    <row r="174" customFormat="1" s="8">
      <c r="A174" s="200" t="inlineStr">
        <is>
          <t>incomesource1</t>
        </is>
      </c>
      <c r="B174" s="200" t="n">
        <v>12</v>
      </c>
      <c r="C174" s="200" t="inlineStr">
        <is>
          <t>Off-farm daily wages and other non-agricultural casual employment</t>
        </is>
      </c>
      <c r="D174" s="200" t="inlineStr">
        <is>
          <t>الأجور اليومية خارج المزرعة وغيرها من العمالة العرضية غير الزراعية</t>
        </is>
      </c>
      <c r="E174" s="5" t="n"/>
      <c r="G174" s="200" t="n">
        <v>1</v>
      </c>
      <c r="H174" s="200" t="n">
        <v>2</v>
      </c>
      <c r="I174" s="8" t="n">
        <v>3</v>
      </c>
      <c r="J174" s="8" t="n">
        <v>4</v>
      </c>
    </row>
    <row r="175" customFormat="1" s="8">
      <c r="A175" s="200" t="inlineStr">
        <is>
          <t>incomesource1</t>
        </is>
      </c>
      <c r="B175" s="200" t="n">
        <v>13</v>
      </c>
      <c r="C175" s="200" t="inlineStr">
        <is>
          <t>Stable employment in non-agricultural sector</t>
        </is>
      </c>
      <c r="D175" s="200" t="inlineStr">
        <is>
          <t>العمالة المستقرة في القطاع غير الزراعي</t>
        </is>
      </c>
      <c r="E175" s="5" t="n"/>
      <c r="G175" s="200" t="n">
        <v>1</v>
      </c>
      <c r="H175" s="200" t="n">
        <v>2</v>
      </c>
      <c r="I175" s="8" t="n">
        <v>3</v>
      </c>
      <c r="J175" s="8" t="n">
        <v>4</v>
      </c>
    </row>
    <row r="176" customFormat="1" s="8">
      <c r="A176" s="200" t="inlineStr">
        <is>
          <t>incomesource1</t>
        </is>
      </c>
      <c r="B176" s="200" t="n">
        <v>14</v>
      </c>
      <c r="C176" s="200" t="inlineStr">
        <is>
          <t xml:space="preserve">Public employment </t>
        </is>
      </c>
      <c r="D176" s="200" t="inlineStr">
        <is>
          <t>الوظائف العامة</t>
        </is>
      </c>
      <c r="E176" s="5" t="n"/>
      <c r="G176" s="200" t="n">
        <v>1</v>
      </c>
      <c r="H176" s="200" t="n">
        <v>2</v>
      </c>
      <c r="I176" s="8" t="n">
        <v>3</v>
      </c>
      <c r="J176" s="8" t="n">
        <v>4</v>
      </c>
    </row>
    <row r="177" customFormat="1" s="8">
      <c r="A177" s="200" t="inlineStr">
        <is>
          <t>incomesource1</t>
        </is>
      </c>
      <c r="B177" s="200" t="n">
        <v>15</v>
      </c>
      <c r="C177" s="200" t="inlineStr">
        <is>
          <t>Income not derived from work / Charity</t>
        </is>
      </c>
      <c r="D177" s="200" t="inlineStr">
        <is>
          <t xml:space="preserve">الدخل غير المستمد من العمل / الاعمال الخيرية </t>
        </is>
      </c>
      <c r="E177" s="5" t="n"/>
      <c r="G177" s="200" t="n">
        <v>1</v>
      </c>
      <c r="H177" s="200" t="n">
        <v>2</v>
      </c>
      <c r="I177" s="8" t="n">
        <v>3</v>
      </c>
      <c r="J177" s="8" t="n">
        <v>4</v>
      </c>
    </row>
    <row r="178" customFormat="1" s="8">
      <c r="A178" s="200" t="inlineStr">
        <is>
          <t>incomesource1</t>
        </is>
      </c>
      <c r="B178" s="200" t="n">
        <v>16</v>
      </c>
      <c r="C178" s="200" t="inlineStr">
        <is>
          <t>Income not derived from work / Welfare transfer, pension, humanitarian aid</t>
        </is>
      </c>
      <c r="D178" s="200" t="inlineStr">
        <is>
          <t>الدخل غير المستمد من العمل / المدفوعات التحويلية ، المعاش التقاعدي ، المساعدات الإنسانية</t>
        </is>
      </c>
      <c r="E178" s="5" t="n"/>
      <c r="G178" s="200" t="n">
        <v>1</v>
      </c>
      <c r="H178" s="200" t="n">
        <v>2</v>
      </c>
      <c r="I178" s="8" t="n">
        <v>3</v>
      </c>
      <c r="J178" s="8" t="n">
        <v>4</v>
      </c>
    </row>
    <row r="179" customFormat="1" s="8">
      <c r="A179" s="200" t="inlineStr">
        <is>
          <t>incomesource1</t>
        </is>
      </c>
      <c r="B179" s="200" t="n">
        <v>17</v>
      </c>
      <c r="C179" s="200" t="inlineStr">
        <is>
          <t>Income not derived from work / Remittances</t>
        </is>
      </c>
      <c r="D179" s="200" t="inlineStr">
        <is>
          <t>الدخل غير المستمد من العمل / التحويلات</t>
        </is>
      </c>
      <c r="E179" s="5" t="n"/>
      <c r="G179" s="200" t="n">
        <v>1</v>
      </c>
      <c r="H179" s="200" t="n">
        <v>2</v>
      </c>
      <c r="I179" s="8" t="n">
        <v>3</v>
      </c>
      <c r="J179" s="8" t="n">
        <v>4</v>
      </c>
    </row>
    <row r="180" customFormat="1" s="8">
      <c r="A180" s="200" t="inlineStr">
        <is>
          <t>incomesource1</t>
        </is>
      </c>
      <c r="B180" s="200" t="n">
        <v>18</v>
      </c>
      <c r="C180" s="200" t="inlineStr">
        <is>
          <t xml:space="preserve">Income not derived from work / Income from other rents                                                                                                                                              </t>
        </is>
      </c>
      <c r="D180" s="200" t="inlineStr">
        <is>
          <t>الدخل غير المستمد من العمل / الدخل من الإيجارات الأخرى</t>
        </is>
      </c>
      <c r="E180" s="5" t="n"/>
      <c r="G180" s="200" t="n">
        <v>1</v>
      </c>
      <c r="H180" s="200" t="n">
        <v>2</v>
      </c>
      <c r="I180" s="8" t="n">
        <v>3</v>
      </c>
      <c r="J180" s="8" t="n">
        <v>4</v>
      </c>
    </row>
    <row r="181" customFormat="1" s="8">
      <c r="A181" s="200" t="inlineStr">
        <is>
          <t>incomesource1</t>
        </is>
      </c>
      <c r="B181" s="200" t="n">
        <v>19</v>
      </c>
      <c r="C181" s="200" t="inlineStr">
        <is>
          <t>No income source in the last 3 months and used exclusively savings / debts</t>
        </is>
      </c>
      <c r="D181" s="200" t="inlineStr">
        <is>
          <t>لم يكن هناك مصدر دخل خلال الأشهر الثلاثة الماضية واستخدمت المدخرات أو الدين حصريًا</t>
        </is>
      </c>
      <c r="E181" s="5" t="n"/>
      <c r="G181" s="200" t="n">
        <v>1</v>
      </c>
      <c r="H181" s="200" t="n">
        <v>2</v>
      </c>
      <c r="I181" s="8" t="n">
        <v>3</v>
      </c>
      <c r="J181" s="8" t="n">
        <v>4</v>
      </c>
    </row>
    <row r="182" customFormat="1" s="8">
      <c r="A182" s="200" t="inlineStr">
        <is>
          <t>incomesource1</t>
        </is>
      </c>
      <c r="B182" s="200" t="inlineStr">
        <is>
          <t>ref</t>
        </is>
      </c>
      <c r="C182" s="200" t="inlineStr">
        <is>
          <t>Refused</t>
        </is>
      </c>
      <c r="D182" s="200" t="inlineStr">
        <is>
          <t>رفض الإجابة</t>
        </is>
      </c>
      <c r="E182" s="5" t="n"/>
      <c r="G182" s="200" t="n">
        <v>1</v>
      </c>
      <c r="H182" s="200" t="n">
        <v>2</v>
      </c>
      <c r="I182" s="8" t="n">
        <v>3</v>
      </c>
      <c r="J182" s="8" t="n">
        <v>4</v>
      </c>
    </row>
    <row r="183" customFormat="1" s="8">
      <c r="E183" s="5" t="n"/>
    </row>
    <row r="184" customFormat="1" s="8">
      <c r="A184" s="200" t="inlineStr">
        <is>
          <t>gender_inc_1</t>
        </is>
      </c>
      <c r="B184" s="200" t="n">
        <v>1</v>
      </c>
      <c r="C184" s="200" t="inlineStr">
        <is>
          <t>Male</t>
        </is>
      </c>
      <c r="D184" s="200" t="inlineStr">
        <is>
          <t>ذكر</t>
        </is>
      </c>
      <c r="E184" s="5" t="n"/>
    </row>
    <row r="185" customFormat="1" s="8">
      <c r="A185" s="200" t="inlineStr">
        <is>
          <t>gender_inc_1</t>
        </is>
      </c>
      <c r="B185" s="200" t="n">
        <v>2</v>
      </c>
      <c r="C185" s="200" t="inlineStr">
        <is>
          <t>Female</t>
        </is>
      </c>
      <c r="D185" s="200" t="inlineStr">
        <is>
          <t>أنثى</t>
        </is>
      </c>
      <c r="E185" s="5" t="n"/>
    </row>
    <row r="186" customFormat="1" s="8">
      <c r="A186" s="200" t="inlineStr">
        <is>
          <t>gender_inc_1</t>
        </is>
      </c>
      <c r="B186" s="200" t="n">
        <v>3</v>
      </c>
      <c r="C186" s="200" t="inlineStr">
        <is>
          <t>Joint (both male &amp; female)</t>
        </is>
      </c>
      <c r="D186" s="200" t="inlineStr">
        <is>
          <t>مختلط ( ذكر و أنثى )</t>
        </is>
      </c>
      <c r="E186" s="5" t="n"/>
    </row>
    <row r="187" customFormat="1" s="8">
      <c r="A187" s="200" t="inlineStr">
        <is>
          <t>gender_inc_1</t>
        </is>
      </c>
      <c r="B187" s="200" t="inlineStr">
        <is>
          <t>dk</t>
        </is>
      </c>
      <c r="C187" s="200" t="inlineStr">
        <is>
          <t>Don't know</t>
        </is>
      </c>
      <c r="D187" s="200" t="inlineStr">
        <is>
          <t>لا أعرف</t>
        </is>
      </c>
      <c r="E187" s="5" t="n"/>
    </row>
    <row r="188" customFormat="1" s="8">
      <c r="A188" s="200" t="inlineStr">
        <is>
          <t>gender_inc_1</t>
        </is>
      </c>
      <c r="B188" s="200" t="inlineStr">
        <is>
          <t>ref</t>
        </is>
      </c>
      <c r="C188" s="200" t="inlineStr">
        <is>
          <t>Refused</t>
        </is>
      </c>
      <c r="D188" s="200" t="inlineStr">
        <is>
          <t>رفض الإجابة</t>
        </is>
      </c>
      <c r="E188" s="5" t="n"/>
    </row>
    <row r="189" customFormat="1" s="8">
      <c r="E189" s="5" t="n"/>
    </row>
    <row r="190" customFormat="1" s="8">
      <c r="A190" s="200" t="inlineStr">
        <is>
          <t>gender_inc_2</t>
        </is>
      </c>
      <c r="B190" s="200" t="n">
        <v>1</v>
      </c>
      <c r="C190" s="200" t="inlineStr">
        <is>
          <t>Male household member(s)</t>
        </is>
      </c>
      <c r="D190" s="200" t="inlineStr">
        <is>
          <t>الافراد الذكور</t>
        </is>
      </c>
      <c r="E190" s="5" t="n"/>
    </row>
    <row r="191" customFormat="1" s="8">
      <c r="A191" s="200" t="inlineStr">
        <is>
          <t>gender_inc_2</t>
        </is>
      </c>
      <c r="B191" s="200" t="n">
        <v>2</v>
      </c>
      <c r="C191" s="200" t="inlineStr">
        <is>
          <t>Female household member(s)</t>
        </is>
      </c>
      <c r="D191" s="200" t="inlineStr">
        <is>
          <t>الافراد الاناث</t>
        </is>
      </c>
      <c r="E191" s="5" t="n"/>
    </row>
    <row r="192" customFormat="1" s="8">
      <c r="A192" s="200" t="inlineStr">
        <is>
          <t>gender_inc_2</t>
        </is>
      </c>
      <c r="B192" s="200" t="n">
        <v>3</v>
      </c>
      <c r="C192" s="200" t="inlineStr">
        <is>
          <t>Joint household members (both female &amp; male)</t>
        </is>
      </c>
      <c r="D192" s="200" t="inlineStr">
        <is>
          <t>كلا من الذكور و الاناث</t>
        </is>
      </c>
      <c r="E192" s="5" t="n"/>
    </row>
    <row r="193" customFormat="1" s="8">
      <c r="A193" s="200" t="inlineStr">
        <is>
          <t>gender_inc_2</t>
        </is>
      </c>
      <c r="B193" s="200" t="inlineStr">
        <is>
          <t>dk</t>
        </is>
      </c>
      <c r="C193" s="200" t="inlineStr">
        <is>
          <t>Don't know</t>
        </is>
      </c>
      <c r="D193" s="200" t="inlineStr">
        <is>
          <t>لا أعرف</t>
        </is>
      </c>
      <c r="E193" s="5" t="n"/>
    </row>
    <row r="194" customFormat="1" s="8">
      <c r="A194" s="200" t="inlineStr">
        <is>
          <t>gender_inc_2</t>
        </is>
      </c>
      <c r="B194" s="200" t="inlineStr">
        <is>
          <t>ref</t>
        </is>
      </c>
      <c r="C194" s="200" t="inlineStr">
        <is>
          <t>Refused</t>
        </is>
      </c>
      <c r="D194" s="200" t="inlineStr">
        <is>
          <t>رفض الإجابة</t>
        </is>
      </c>
      <c r="E194" s="5" t="n"/>
    </row>
    <row r="195" customFormat="1" s="8">
      <c r="E195" s="5" t="n"/>
    </row>
    <row r="196" customFormat="1" s="8">
      <c r="A196" s="200" t="inlineStr">
        <is>
          <t>change</t>
        </is>
      </c>
      <c r="B196" s="200" t="n">
        <v>1</v>
      </c>
      <c r="C196" s="200" t="inlineStr">
        <is>
          <t>A lot more [increased by more than 50%]</t>
        </is>
      </c>
      <c r="D196" s="200" t="inlineStr">
        <is>
          <t>أكثر بكثير [زاد بنسبة تزيد عن ٥٠٪]</t>
        </is>
      </c>
      <c r="E196" s="5" t="n"/>
    </row>
    <row r="197" customFormat="1" s="8">
      <c r="A197" s="200" t="inlineStr">
        <is>
          <t>change</t>
        </is>
      </c>
      <c r="B197" s="200" t="n">
        <v>2</v>
      </c>
      <c r="C197" s="200" t="inlineStr">
        <is>
          <t>Moderately more [increased by 25-50%]</t>
        </is>
      </c>
      <c r="D197" s="200" t="inlineStr">
        <is>
          <t>أكثر باعتدال [زاد بنسبة ما بين ٢٥-٥٠ ٪]</t>
        </is>
      </c>
      <c r="E197" s="5" t="n"/>
    </row>
    <row r="198" customFormat="1" s="8">
      <c r="A198" s="200" t="inlineStr">
        <is>
          <t>change</t>
        </is>
      </c>
      <c r="B198" s="200" t="n">
        <v>3</v>
      </c>
      <c r="C198" s="200" t="inlineStr">
        <is>
          <t>Slightly more [increased by up to 25%]</t>
        </is>
      </c>
      <c r="D198" s="200" t="inlineStr">
        <is>
          <t>أكثر قليلا [زاد بنسبة تصل إلى ٢٥ ٪]</t>
        </is>
      </c>
      <c r="E198" s="5" t="n"/>
    </row>
    <row r="199" customFormat="1" s="8">
      <c r="A199" s="200" t="inlineStr">
        <is>
          <t>change</t>
        </is>
      </c>
      <c r="B199" s="200" t="n">
        <v>5</v>
      </c>
      <c r="C199" s="200" t="inlineStr">
        <is>
          <t>Slightly less [decreased by up to 25%]</t>
        </is>
      </c>
      <c r="D199" s="200" t="inlineStr">
        <is>
          <t>أقل قليلاً [إنخفض بنسبة تصل إلى ٢٥ ٪]</t>
        </is>
      </c>
      <c r="E199" s="5" t="n"/>
    </row>
    <row r="200" customFormat="1" s="8">
      <c r="A200" s="200" t="inlineStr">
        <is>
          <t>change</t>
        </is>
      </c>
      <c r="B200" s="200" t="n">
        <v>6</v>
      </c>
      <c r="C200" s="200" t="inlineStr">
        <is>
          <t>Moderately less [decreased by 25-50%]</t>
        </is>
      </c>
      <c r="D200" s="200" t="inlineStr">
        <is>
          <t>أقل باعتدال [إنخفض بنسبة ما بين ٢٥-٥٠ ٪]</t>
        </is>
      </c>
      <c r="E200" s="5" t="n"/>
    </row>
    <row r="201" customFormat="1" s="8">
      <c r="A201" s="200" t="inlineStr">
        <is>
          <t>change</t>
        </is>
      </c>
      <c r="B201" s="200" t="n">
        <v>7</v>
      </c>
      <c r="C201" s="200" t="inlineStr">
        <is>
          <t xml:space="preserve">A lot less [decreased by more than 50%] </t>
        </is>
      </c>
      <c r="D201" s="200" t="inlineStr">
        <is>
          <t>أقل بكثير [إنخفض بنسبة تزيد عن ٥٠٪]</t>
        </is>
      </c>
      <c r="E201" s="5" t="n"/>
    </row>
    <row r="202" customFormat="1" s="8">
      <c r="A202" s="200" t="inlineStr">
        <is>
          <t>change</t>
        </is>
      </c>
      <c r="B202" s="200" t="inlineStr">
        <is>
          <t>dk</t>
        </is>
      </c>
      <c r="C202" s="200" t="inlineStr">
        <is>
          <t>Don't know</t>
        </is>
      </c>
      <c r="D202" s="200" t="inlineStr">
        <is>
          <t>لا أعرف</t>
        </is>
      </c>
      <c r="E202" s="5" t="n"/>
    </row>
    <row r="203" customFormat="1" s="8">
      <c r="A203" s="200" t="inlineStr">
        <is>
          <t>change</t>
        </is>
      </c>
      <c r="B203" s="200" t="inlineStr">
        <is>
          <t>ref</t>
        </is>
      </c>
      <c r="C203" s="200" t="inlineStr">
        <is>
          <t>Refused</t>
        </is>
      </c>
      <c r="D203" s="200" t="inlineStr">
        <is>
          <t>رفض الإجابة</t>
        </is>
      </c>
      <c r="E203" s="5" t="n"/>
    </row>
    <row r="204" customFormat="1" s="8">
      <c r="E204" s="5" t="n"/>
    </row>
    <row r="205" customFormat="1" s="8">
      <c r="A205" s="200" t="inlineStr">
        <is>
          <t>change2</t>
        </is>
      </c>
      <c r="B205" s="200" t="n">
        <v>1</v>
      </c>
      <c r="C205" s="200" t="inlineStr">
        <is>
          <t>A lot more [increased by more than 50%]</t>
        </is>
      </c>
      <c r="D205" s="200" t="inlineStr">
        <is>
          <t>أكثر بكثير [زاد بنسبة تزيد عن ٥٠٪]</t>
        </is>
      </c>
      <c r="E205" s="5" t="n"/>
    </row>
    <row r="206" customFormat="1" s="8">
      <c r="A206" s="200" t="inlineStr">
        <is>
          <t>change2</t>
        </is>
      </c>
      <c r="B206" s="200" t="n">
        <v>2</v>
      </c>
      <c r="C206" s="200" t="inlineStr">
        <is>
          <t>Moderately more [increased by 25-50%]</t>
        </is>
      </c>
      <c r="D206" s="200" t="inlineStr">
        <is>
          <t>أكثر باعتدال [زاد بنسبة ما بين ٢٥-٥٠ ٪]</t>
        </is>
      </c>
      <c r="E206" s="5" t="n"/>
    </row>
    <row r="207" customFormat="1" s="8">
      <c r="A207" s="200" t="inlineStr">
        <is>
          <t>change2</t>
        </is>
      </c>
      <c r="B207" s="200" t="n">
        <v>3</v>
      </c>
      <c r="C207" s="200" t="inlineStr">
        <is>
          <t>Slightly more [increased by up to 25%]</t>
        </is>
      </c>
      <c r="D207" s="200" t="inlineStr">
        <is>
          <t>أكثر قليلا [زاد بنسبة تصل إلى ٢٥ ٪]</t>
        </is>
      </c>
      <c r="E207" s="5" t="n"/>
    </row>
    <row r="208" customFormat="1" s="8">
      <c r="A208" s="200" t="inlineStr">
        <is>
          <t>change2</t>
        </is>
      </c>
      <c r="B208" s="200" t="n">
        <v>4</v>
      </c>
      <c r="C208" s="200" t="inlineStr">
        <is>
          <t>Same</t>
        </is>
      </c>
      <c r="D208" s="200" t="inlineStr">
        <is>
          <t>نفس الشيء</t>
        </is>
      </c>
      <c r="E208" s="5" t="n"/>
    </row>
    <row r="209" customFormat="1" s="8">
      <c r="A209" s="200" t="inlineStr">
        <is>
          <t>change2</t>
        </is>
      </c>
      <c r="B209" s="200" t="n">
        <v>5</v>
      </c>
      <c r="C209" s="200" t="inlineStr">
        <is>
          <t>Slightly less [decreased by up to 25%]</t>
        </is>
      </c>
      <c r="D209" s="200" t="inlineStr">
        <is>
          <t>أقل قليلاً [إنخفض بنسبة تصل إلى ٢٥ ٪]</t>
        </is>
      </c>
      <c r="E209" s="5" t="n"/>
    </row>
    <row r="210" customFormat="1" s="8">
      <c r="A210" s="200" t="inlineStr">
        <is>
          <t>change2</t>
        </is>
      </c>
      <c r="B210" s="200" t="n">
        <v>6</v>
      </c>
      <c r="C210" s="200" t="inlineStr">
        <is>
          <t>Moderately less [decreased by 25-50%]</t>
        </is>
      </c>
      <c r="D210" s="200" t="inlineStr">
        <is>
          <t>أقل باعتدال [إنخفض بنسبة ما بين ٢٥-٥٠ ٪]</t>
        </is>
      </c>
      <c r="E210" s="5" t="n"/>
    </row>
    <row r="211" customFormat="1" s="8">
      <c r="A211" s="200" t="inlineStr">
        <is>
          <t>change2</t>
        </is>
      </c>
      <c r="B211" s="200" t="n">
        <v>7</v>
      </c>
      <c r="C211" s="200" t="inlineStr">
        <is>
          <t xml:space="preserve">A lot less [decreased by more than 50%] </t>
        </is>
      </c>
      <c r="D211" s="200" t="inlineStr">
        <is>
          <t>أقل بكثير [إنخفض بنسبة تزيد عن ٥٠٪]</t>
        </is>
      </c>
      <c r="E211" s="5" t="n"/>
    </row>
    <row r="212" customFormat="1" s="8">
      <c r="A212" s="200" t="inlineStr">
        <is>
          <t>change2</t>
        </is>
      </c>
      <c r="B212" s="200" t="n">
        <v>8</v>
      </c>
      <c r="C212" s="200" t="inlineStr">
        <is>
          <t>DON'T KNOW</t>
        </is>
      </c>
      <c r="D212" s="200" t="inlineStr">
        <is>
          <t>لا أعرف</t>
        </is>
      </c>
      <c r="E212" s="5" t="n"/>
    </row>
    <row r="213" customFormat="1" s="8">
      <c r="A213" s="200" t="inlineStr">
        <is>
          <t>change2</t>
        </is>
      </c>
      <c r="B213" s="200" t="n">
        <v>9</v>
      </c>
      <c r="C213" s="200" t="inlineStr">
        <is>
          <t>REFUSED</t>
        </is>
      </c>
      <c r="D213" s="200" t="inlineStr">
        <is>
          <t>رفض الإجابة</t>
        </is>
      </c>
      <c r="E213" s="5" t="n"/>
    </row>
    <row r="214" customFormat="1" s="8">
      <c r="A214" s="200" t="n"/>
      <c r="B214" s="200" t="n"/>
      <c r="C214" s="200" t="n"/>
      <c r="D214" s="200" t="n"/>
      <c r="E214" s="5" t="n"/>
    </row>
    <row r="215" customFormat="1" s="8">
      <c r="A215" s="200" t="inlineStr">
        <is>
          <t>incomesource2</t>
        </is>
      </c>
      <c r="B215" s="200" t="n">
        <v>1</v>
      </c>
      <c r="C215" s="200" t="inlineStr">
        <is>
          <t>Production and sale of staple crops</t>
        </is>
      </c>
      <c r="D215" s="200" t="inlineStr">
        <is>
          <t>إنتاج وبيع المحاصيل الأساسية</t>
        </is>
      </c>
      <c r="E215" s="5" t="n"/>
      <c r="G215" s="200" t="n">
        <v>1</v>
      </c>
      <c r="I215" s="8" t="n">
        <v>3</v>
      </c>
    </row>
    <row r="216" customFormat="1" s="8">
      <c r="A216" s="200" t="inlineStr">
        <is>
          <t>incomesource2</t>
        </is>
      </c>
      <c r="B216" s="200" t="n">
        <v>2</v>
      </c>
      <c r="C216" s="200" t="inlineStr">
        <is>
          <t xml:space="preserve">Production and sale of vegetables or fruit </t>
        </is>
      </c>
      <c r="D216" s="200" t="inlineStr">
        <is>
          <t>إنتاج وبيع الخضار أو الفاكهة</t>
        </is>
      </c>
      <c r="E216" s="5" t="n"/>
      <c r="G216" s="200" t="n">
        <v>1</v>
      </c>
      <c r="I216" s="8" t="n">
        <v>3</v>
      </c>
    </row>
    <row r="217" customFormat="1" s="8">
      <c r="A217" s="200" t="inlineStr">
        <is>
          <t>incomesource2</t>
        </is>
      </c>
      <c r="B217" s="200" t="n">
        <v>3</v>
      </c>
      <c r="C217" s="200" t="inlineStr">
        <is>
          <t>Production and sale of cashcrops</t>
        </is>
      </c>
      <c r="D217" s="200" t="inlineStr">
        <is>
          <t>إنتاج وبيع المحاصيل النقدية</t>
        </is>
      </c>
      <c r="E217" s="5" t="n"/>
      <c r="G217" s="200" t="n">
        <v>1</v>
      </c>
      <c r="I217" s="8" t="n">
        <v>3</v>
      </c>
    </row>
    <row r="218" customFormat="1" s="8">
      <c r="A218" s="200" t="inlineStr">
        <is>
          <t>incomesource2</t>
        </is>
      </c>
      <c r="B218" s="200" t="n">
        <v>4</v>
      </c>
      <c r="C218" s="200" t="inlineStr">
        <is>
          <t xml:space="preserve">Production and sale of livestock and livestock products </t>
        </is>
      </c>
      <c r="D218" s="200" t="inlineStr">
        <is>
          <t>إنتاج وبيع المواشي ومنتجاتها</t>
        </is>
      </c>
      <c r="E218" s="5" t="n"/>
      <c r="H218" s="200" t="n">
        <v>2</v>
      </c>
      <c r="I218" s="8" t="n">
        <v>3</v>
      </c>
    </row>
    <row r="219" customFormat="1" s="8">
      <c r="A219" s="200" t="inlineStr">
        <is>
          <t>incomesource2</t>
        </is>
      </c>
      <c r="B219" s="200" t="n">
        <v>5</v>
      </c>
      <c r="C219" s="200" t="inlineStr">
        <is>
          <t>Production and sale of honey and bee products</t>
        </is>
      </c>
      <c r="D219" s="200" t="inlineStr">
        <is>
          <t xml:space="preserve">انتاج و بيع العسل أو منتجات النحل </t>
        </is>
      </c>
      <c r="E219" s="5" t="n"/>
      <c r="G219" s="200" t="n">
        <v>1</v>
      </c>
      <c r="H219" s="200" t="n">
        <v>2</v>
      </c>
      <c r="I219" s="8" t="n">
        <v>3</v>
      </c>
      <c r="J219" s="8" t="n">
        <v>4</v>
      </c>
    </row>
    <row r="220" customFormat="1" s="8">
      <c r="A220" s="200" t="inlineStr">
        <is>
          <t>incomesource2</t>
        </is>
      </c>
      <c r="B220" s="200" t="n">
        <v>6</v>
      </c>
      <c r="C220" s="200" t="inlineStr">
        <is>
          <t xml:space="preserve">Production and sale of fish </t>
        </is>
      </c>
      <c r="D220" s="200" t="inlineStr">
        <is>
          <t>إنتاج وبيع الأسماك</t>
        </is>
      </c>
      <c r="E220" s="5" t="n"/>
      <c r="G220" s="200" t="n">
        <v>1</v>
      </c>
      <c r="H220" s="200" t="n">
        <v>2</v>
      </c>
      <c r="I220" s="8" t="n">
        <v>3</v>
      </c>
      <c r="J220" s="8" t="n">
        <v>4</v>
      </c>
    </row>
    <row r="221" customFormat="1" s="8">
      <c r="A221" s="200" t="inlineStr">
        <is>
          <t>incomesource2</t>
        </is>
      </c>
      <c r="B221" s="200" t="n">
        <v>7</v>
      </c>
      <c r="C221" s="200" t="inlineStr">
        <is>
          <t>Collection and sale of natural resources (including forestry or bush products)</t>
        </is>
      </c>
      <c r="D221" s="200" t="inlineStr">
        <is>
          <t>جمع وبيع منتجات الغابات أو الأحراش</t>
        </is>
      </c>
      <c r="E221" s="5" t="n"/>
      <c r="G221" s="200" t="n">
        <v>1</v>
      </c>
      <c r="H221" s="200" t="n">
        <v>2</v>
      </c>
      <c r="I221" s="8" t="n">
        <v>3</v>
      </c>
      <c r="J221" s="8" t="n">
        <v>4</v>
      </c>
    </row>
    <row r="222" customFormat="1" s="8">
      <c r="A222" s="200" t="inlineStr">
        <is>
          <t>incomesource2</t>
        </is>
      </c>
      <c r="B222" s="200" t="n">
        <v>8</v>
      </c>
      <c r="C222" s="200" t="inlineStr">
        <is>
          <t>Agricultural trade EXCLUDING producers (formal or informal)</t>
        </is>
      </c>
      <c r="D222" s="200" t="inlineStr">
        <is>
          <t>التجارة الزراعية الرسمية و غير الرسمية باستثناء المنتجين</t>
        </is>
      </c>
      <c r="E222" s="5" t="n"/>
      <c r="G222" s="200" t="n">
        <v>1</v>
      </c>
      <c r="H222" s="200" t="n">
        <v>2</v>
      </c>
      <c r="I222" s="8" t="n">
        <v>3</v>
      </c>
      <c r="J222" s="8" t="n">
        <v>4</v>
      </c>
    </row>
    <row r="223" customFormat="1" s="8">
      <c r="A223" s="200" t="inlineStr">
        <is>
          <t>incomesource2</t>
        </is>
      </c>
      <c r="B223" s="200" t="n">
        <v>9</v>
      </c>
      <c r="C223" s="200" t="inlineStr">
        <is>
          <t xml:space="preserve">Daily wage on farms and other casual employment in agricultural sector </t>
        </is>
      </c>
      <c r="D223" s="200" t="inlineStr">
        <is>
          <t>الأجر اليومي في المزارع وغيرها من العمالة العرضية في قطاع الزراعة</t>
        </is>
      </c>
      <c r="E223" s="5" t="n"/>
      <c r="G223" s="200" t="n">
        <v>1</v>
      </c>
      <c r="H223" s="200" t="n">
        <v>2</v>
      </c>
      <c r="I223" s="8" t="n">
        <v>3</v>
      </c>
      <c r="J223" s="8" t="n">
        <v>4</v>
      </c>
    </row>
    <row r="224" customFormat="1" s="8">
      <c r="A224" s="200" t="inlineStr">
        <is>
          <t>incomesource2</t>
        </is>
      </c>
      <c r="B224" s="200" t="n">
        <v>10</v>
      </c>
      <c r="C224" s="200" t="inlineStr">
        <is>
          <t xml:space="preserve">Stable employment in agricultural sector </t>
        </is>
      </c>
      <c r="D224" s="200" t="inlineStr">
        <is>
          <t>العمالة المستقرة في القطاع الزراعي</t>
        </is>
      </c>
      <c r="E224" s="5" t="n"/>
      <c r="G224" s="200" t="n">
        <v>1</v>
      </c>
      <c r="H224" s="200" t="n">
        <v>2</v>
      </c>
      <c r="I224" s="8" t="n">
        <v>3</v>
      </c>
      <c r="J224" s="8" t="n">
        <v>4</v>
      </c>
    </row>
    <row r="225" customFormat="1" s="8">
      <c r="A225" s="200" t="inlineStr">
        <is>
          <t>incomesource2</t>
        </is>
      </c>
      <c r="B225" s="200" t="n">
        <v>11</v>
      </c>
      <c r="C225" s="200" t="inlineStr">
        <is>
          <t>Non-agricultural self-employed or liberal profession, doctor, architect, lawyer, including restaurant</t>
        </is>
      </c>
      <c r="D225" s="200" t="inlineStr">
        <is>
          <t>العاملين لحسابهم الخاص غير الزراعيين أو المهنة الحرة / طبيب / مهندس معماري / محامٍ / بما في ذلك مطعم</t>
        </is>
      </c>
      <c r="E225" s="5" t="n"/>
      <c r="G225" s="200" t="n">
        <v>1</v>
      </c>
      <c r="H225" s="200" t="n">
        <v>2</v>
      </c>
      <c r="I225" s="8" t="n">
        <v>3</v>
      </c>
      <c r="J225" s="8" t="n">
        <v>4</v>
      </c>
    </row>
    <row r="226" customFormat="1" s="8">
      <c r="A226" s="200" t="inlineStr">
        <is>
          <t>incomesource2</t>
        </is>
      </c>
      <c r="B226" s="200" t="n">
        <v>12</v>
      </c>
      <c r="C226" s="200" t="inlineStr">
        <is>
          <t>Off-farm daily wages and other non-agricultural casual employment</t>
        </is>
      </c>
      <c r="D226" s="200" t="inlineStr">
        <is>
          <t>الأجور اليومية خارج المزرعة وغيرها من العمالة العرضية غير الزراعية</t>
        </is>
      </c>
      <c r="E226" s="5" t="n"/>
      <c r="G226" s="200" t="n">
        <v>1</v>
      </c>
      <c r="H226" s="200" t="n">
        <v>2</v>
      </c>
      <c r="I226" s="8" t="n">
        <v>3</v>
      </c>
      <c r="J226" s="8" t="n">
        <v>4</v>
      </c>
    </row>
    <row r="227" customFormat="1" s="8">
      <c r="A227" s="200" t="inlineStr">
        <is>
          <t>incomesource2</t>
        </is>
      </c>
      <c r="B227" s="200" t="n">
        <v>13</v>
      </c>
      <c r="C227" s="200" t="inlineStr">
        <is>
          <t>Stable employment in non-agricultural sector</t>
        </is>
      </c>
      <c r="D227" s="200" t="inlineStr">
        <is>
          <t>العمالة المستقرة في القطاع غير الزراعي</t>
        </is>
      </c>
      <c r="E227" s="5" t="n"/>
      <c r="G227" s="200" t="n">
        <v>1</v>
      </c>
      <c r="H227" s="200" t="n">
        <v>2</v>
      </c>
      <c r="I227" s="8" t="n">
        <v>3</v>
      </c>
      <c r="J227" s="8" t="n">
        <v>4</v>
      </c>
    </row>
    <row r="228" customFormat="1" s="8">
      <c r="A228" s="200" t="inlineStr">
        <is>
          <t>incomesource2</t>
        </is>
      </c>
      <c r="B228" s="200" t="n">
        <v>14</v>
      </c>
      <c r="C228" s="200" t="inlineStr">
        <is>
          <t xml:space="preserve">Public employment </t>
        </is>
      </c>
      <c r="D228" s="200" t="inlineStr">
        <is>
          <t>الوظائف العامة</t>
        </is>
      </c>
      <c r="E228" s="5" t="n"/>
      <c r="G228" s="200" t="n">
        <v>1</v>
      </c>
      <c r="H228" s="200" t="n">
        <v>2</v>
      </c>
      <c r="I228" s="8" t="n">
        <v>3</v>
      </c>
      <c r="J228" s="8" t="n">
        <v>4</v>
      </c>
    </row>
    <row r="229" customFormat="1" s="8">
      <c r="A229" s="200" t="inlineStr">
        <is>
          <t>incomesource2</t>
        </is>
      </c>
      <c r="B229" s="200" t="n">
        <v>15</v>
      </c>
      <c r="C229" s="200" t="inlineStr">
        <is>
          <t>Income not derived from work / Charity</t>
        </is>
      </c>
      <c r="D229" s="200" t="inlineStr">
        <is>
          <t xml:space="preserve">الدخل غير المستمد من العمل / الاعمال الخيرية </t>
        </is>
      </c>
      <c r="E229" s="5" t="n"/>
      <c r="G229" s="200" t="n">
        <v>1</v>
      </c>
      <c r="H229" s="200" t="n">
        <v>2</v>
      </c>
      <c r="I229" s="8" t="n">
        <v>3</v>
      </c>
      <c r="J229" s="8" t="n">
        <v>4</v>
      </c>
    </row>
    <row r="230" customFormat="1" s="8">
      <c r="A230" s="200" t="inlineStr">
        <is>
          <t>incomesource2</t>
        </is>
      </c>
      <c r="B230" s="200" t="n">
        <v>16</v>
      </c>
      <c r="C230" s="200" t="inlineStr">
        <is>
          <t>Income not derived from work / Welfare transfer, pension, humanitarian aid</t>
        </is>
      </c>
      <c r="D230" s="200" t="inlineStr">
        <is>
          <t>الدخل غير المستمد من العمل / المدفوعات التحويلية ، المعاش التقاعدي ، المساعدات الإنسانية</t>
        </is>
      </c>
      <c r="E230" s="5" t="n"/>
      <c r="G230" s="200" t="n">
        <v>1</v>
      </c>
      <c r="H230" s="200" t="n">
        <v>2</v>
      </c>
      <c r="I230" s="8" t="n">
        <v>3</v>
      </c>
      <c r="J230" s="8" t="n">
        <v>4</v>
      </c>
    </row>
    <row r="231" customFormat="1" s="8">
      <c r="A231" s="200" t="inlineStr">
        <is>
          <t>incomesource2</t>
        </is>
      </c>
      <c r="B231" s="200" t="n">
        <v>17</v>
      </c>
      <c r="C231" s="200" t="inlineStr">
        <is>
          <t>Income not derived from work / Remittances</t>
        </is>
      </c>
      <c r="D231" s="200" t="inlineStr">
        <is>
          <t>الدخل غير المستمد من العمل / التحويلات</t>
        </is>
      </c>
      <c r="E231" s="5" t="n"/>
      <c r="G231" s="200" t="n">
        <v>1</v>
      </c>
      <c r="H231" s="200" t="n">
        <v>2</v>
      </c>
      <c r="I231" s="8" t="n">
        <v>3</v>
      </c>
      <c r="J231" s="8" t="n">
        <v>4</v>
      </c>
    </row>
    <row r="232" customFormat="1" s="8">
      <c r="A232" s="200" t="inlineStr">
        <is>
          <t>incomesource2</t>
        </is>
      </c>
      <c r="B232" s="200" t="n">
        <v>18</v>
      </c>
      <c r="C232" s="200" t="inlineStr">
        <is>
          <t>Income not derived from work / Income from other rents</t>
        </is>
      </c>
      <c r="D232" s="200" t="inlineStr">
        <is>
          <t>الدخل غير المستمد من العمل / الدخل من الإيجارات الأخرى</t>
        </is>
      </c>
      <c r="E232" s="5" t="n"/>
      <c r="G232" s="200" t="n">
        <v>1</v>
      </c>
      <c r="H232" s="200" t="n">
        <v>2</v>
      </c>
      <c r="I232" s="8" t="n">
        <v>3</v>
      </c>
      <c r="J232" s="8" t="n">
        <v>4</v>
      </c>
    </row>
    <row r="233" customFormat="1" s="8">
      <c r="A233" s="200" t="inlineStr">
        <is>
          <t>incomesource2</t>
        </is>
      </c>
      <c r="B233" s="200" t="n">
        <v>19</v>
      </c>
      <c r="C233" s="200" t="inlineStr">
        <is>
          <t>No second most important source of income</t>
        </is>
      </c>
      <c r="D233" s="200" t="inlineStr">
        <is>
          <t xml:space="preserve">لم يكن هناك مصدر دخل ثانٍ </t>
        </is>
      </c>
      <c r="E233" s="5" t="n"/>
      <c r="G233" s="200" t="n">
        <v>1</v>
      </c>
      <c r="H233" s="200" t="n">
        <v>2</v>
      </c>
      <c r="I233" s="8" t="n">
        <v>3</v>
      </c>
      <c r="J233" s="8" t="n">
        <v>4</v>
      </c>
    </row>
    <row r="234" customFormat="1" s="8">
      <c r="A234" s="200" t="inlineStr">
        <is>
          <t>incomesource2</t>
        </is>
      </c>
      <c r="B234" s="200" t="inlineStr">
        <is>
          <t>dk</t>
        </is>
      </c>
      <c r="C234" s="200" t="inlineStr">
        <is>
          <t>Don't know</t>
        </is>
      </c>
      <c r="D234" s="200" t="inlineStr">
        <is>
          <t>لا أعرف</t>
        </is>
      </c>
      <c r="E234" s="5" t="n"/>
      <c r="G234" s="200" t="n">
        <v>1</v>
      </c>
      <c r="H234" s="200" t="n">
        <v>2</v>
      </c>
      <c r="I234" s="8" t="n">
        <v>3</v>
      </c>
      <c r="J234" s="8" t="n">
        <v>4</v>
      </c>
    </row>
    <row r="235" customFormat="1" s="8">
      <c r="A235" s="200" t="inlineStr">
        <is>
          <t>incomesource2</t>
        </is>
      </c>
      <c r="B235" s="200" t="inlineStr">
        <is>
          <t>ref</t>
        </is>
      </c>
      <c r="C235" s="200" t="inlineStr">
        <is>
          <t>Refused</t>
        </is>
      </c>
      <c r="D235" s="200" t="inlineStr">
        <is>
          <t>رفض الإجابة</t>
        </is>
      </c>
      <c r="E235" s="5" t="n"/>
      <c r="G235" s="200" t="n">
        <v>1</v>
      </c>
      <c r="H235" s="200" t="n">
        <v>2</v>
      </c>
      <c r="I235" s="8" t="n">
        <v>3</v>
      </c>
      <c r="J235" s="8" t="n">
        <v>4</v>
      </c>
    </row>
    <row r="236" customFormat="1" s="8">
      <c r="E236" s="5" t="n"/>
    </row>
    <row r="237" customFormat="1" s="8">
      <c r="A237" s="200" t="inlineStr">
        <is>
          <t>incomesource3</t>
        </is>
      </c>
      <c r="B237" s="200" t="n">
        <v>1</v>
      </c>
      <c r="C237" s="200" t="inlineStr">
        <is>
          <t>Production and sale of staple crops</t>
        </is>
      </c>
      <c r="D237" s="200" t="inlineStr">
        <is>
          <t>إنتاج وبيع المحاصيل الأساسية</t>
        </is>
      </c>
      <c r="E237" s="5" t="n"/>
      <c r="G237" s="200" t="n">
        <v>1</v>
      </c>
      <c r="I237" s="8" t="n">
        <v>3</v>
      </c>
    </row>
    <row r="238" customFormat="1" s="8">
      <c r="A238" s="200" t="inlineStr">
        <is>
          <t>incomesource3</t>
        </is>
      </c>
      <c r="B238" s="200" t="n">
        <v>2</v>
      </c>
      <c r="C238" s="200" t="inlineStr">
        <is>
          <t xml:space="preserve">Production and sale of vegetables or fruit </t>
        </is>
      </c>
      <c r="D238" s="200" t="inlineStr">
        <is>
          <t>إنتاج وبيع الخضار أو الفاكهة</t>
        </is>
      </c>
      <c r="E238" s="5" t="n"/>
      <c r="G238" s="200" t="n">
        <v>1</v>
      </c>
      <c r="I238" s="8" t="n">
        <v>3</v>
      </c>
    </row>
    <row r="239" customFormat="1" s="8">
      <c r="A239" s="200" t="inlineStr">
        <is>
          <t>incomesource3</t>
        </is>
      </c>
      <c r="B239" s="200" t="n">
        <v>3</v>
      </c>
      <c r="C239" s="200" t="inlineStr">
        <is>
          <t>Production and sale of cashcrops</t>
        </is>
      </c>
      <c r="D239" s="200" t="inlineStr">
        <is>
          <t>إنتاج وبيع المحاصيل النقدية</t>
        </is>
      </c>
      <c r="E239" s="5" t="n"/>
      <c r="G239" s="200" t="n">
        <v>1</v>
      </c>
      <c r="I239" s="8" t="n">
        <v>3</v>
      </c>
    </row>
    <row r="240" customFormat="1" s="8">
      <c r="A240" s="200" t="inlineStr">
        <is>
          <t>incomesource3</t>
        </is>
      </c>
      <c r="B240" s="200" t="n">
        <v>4</v>
      </c>
      <c r="C240" s="200" t="inlineStr">
        <is>
          <t xml:space="preserve">Production and sale of livestock and livestock products </t>
        </is>
      </c>
      <c r="D240" s="200" t="inlineStr">
        <is>
          <t>إنتاج وبيع المواشي ومنتجاتها</t>
        </is>
      </c>
      <c r="E240" s="5" t="n"/>
      <c r="H240" s="200" t="n">
        <v>2</v>
      </c>
      <c r="I240" s="8" t="n">
        <v>3</v>
      </c>
    </row>
    <row r="241" customFormat="1" s="8">
      <c r="A241" s="200" t="inlineStr">
        <is>
          <t>incomesource3</t>
        </is>
      </c>
      <c r="B241" s="200" t="n">
        <v>5</v>
      </c>
      <c r="C241" s="200" t="inlineStr">
        <is>
          <t>Production and sale of honey and bee products</t>
        </is>
      </c>
      <c r="D241" s="200" t="inlineStr">
        <is>
          <t xml:space="preserve">انتاج و بيع العسل أو منتجات النحل </t>
        </is>
      </c>
      <c r="E241" s="5" t="n"/>
      <c r="G241" s="200" t="n">
        <v>1</v>
      </c>
      <c r="H241" s="200" t="n">
        <v>2</v>
      </c>
      <c r="I241" s="8" t="n">
        <v>3</v>
      </c>
      <c r="J241" s="8" t="n">
        <v>4</v>
      </c>
    </row>
    <row r="242" customFormat="1" s="8">
      <c r="A242" s="200" t="inlineStr">
        <is>
          <t>incomesource3</t>
        </is>
      </c>
      <c r="B242" s="200" t="n">
        <v>6</v>
      </c>
      <c r="C242" s="200" t="inlineStr">
        <is>
          <t xml:space="preserve">Production and sale of fish </t>
        </is>
      </c>
      <c r="D242" s="200" t="inlineStr">
        <is>
          <t>إنتاج وبيع الأسماك</t>
        </is>
      </c>
      <c r="E242" s="5" t="n"/>
      <c r="G242" s="200" t="n">
        <v>1</v>
      </c>
      <c r="H242" s="200" t="n">
        <v>2</v>
      </c>
      <c r="I242" s="8" t="n">
        <v>3</v>
      </c>
      <c r="J242" s="8" t="n">
        <v>4</v>
      </c>
    </row>
    <row r="243" customFormat="1" s="8">
      <c r="A243" s="200" t="inlineStr">
        <is>
          <t>incomesource3</t>
        </is>
      </c>
      <c r="B243" s="200" t="n">
        <v>7</v>
      </c>
      <c r="C243" s="200" t="inlineStr">
        <is>
          <t>Collection and sale of natural resources (including forestry or bush products)</t>
        </is>
      </c>
      <c r="D243" s="200" t="inlineStr">
        <is>
          <t>جمع وبيع منتجات الغابات أو الأحراش</t>
        </is>
      </c>
      <c r="E243" s="5" t="n"/>
      <c r="G243" s="200" t="n">
        <v>1</v>
      </c>
      <c r="H243" s="200" t="n">
        <v>2</v>
      </c>
      <c r="I243" s="8" t="n">
        <v>3</v>
      </c>
      <c r="J243" s="8" t="n">
        <v>4</v>
      </c>
    </row>
    <row r="244" customFormat="1" s="8">
      <c r="A244" s="200" t="inlineStr">
        <is>
          <t>incomesource3</t>
        </is>
      </c>
      <c r="B244" s="200" t="n">
        <v>8</v>
      </c>
      <c r="C244" s="200" t="inlineStr">
        <is>
          <t>Agricultural trade EXCLUDING producers (formal or informal)</t>
        </is>
      </c>
      <c r="D244" s="200" t="inlineStr">
        <is>
          <t>التجارة الزراعية الرسمية و غير الرسمية باستثناء المنتجين</t>
        </is>
      </c>
      <c r="E244" s="5" t="n"/>
      <c r="G244" s="200" t="n">
        <v>1</v>
      </c>
      <c r="H244" s="200" t="n">
        <v>2</v>
      </c>
      <c r="I244" s="8" t="n">
        <v>3</v>
      </c>
      <c r="J244" s="8" t="n">
        <v>4</v>
      </c>
    </row>
    <row r="245" customFormat="1" s="8">
      <c r="A245" s="200" t="inlineStr">
        <is>
          <t>incomesource3</t>
        </is>
      </c>
      <c r="B245" s="200" t="n">
        <v>9</v>
      </c>
      <c r="C245" s="200" t="inlineStr">
        <is>
          <t xml:space="preserve">Daily wage on farms and other casual employment in agricultural sector </t>
        </is>
      </c>
      <c r="D245" s="200" t="inlineStr">
        <is>
          <t>الأجر اليومي في المزارع وغيرها من العمالة العرضية في قطاع الزراعة</t>
        </is>
      </c>
      <c r="E245" s="5" t="n"/>
      <c r="G245" s="200" t="n">
        <v>1</v>
      </c>
      <c r="H245" s="200" t="n">
        <v>2</v>
      </c>
      <c r="I245" s="8" t="n">
        <v>3</v>
      </c>
      <c r="J245" s="8" t="n">
        <v>4</v>
      </c>
    </row>
    <row r="246" customFormat="1" s="8">
      <c r="A246" s="200" t="inlineStr">
        <is>
          <t>incomesource3</t>
        </is>
      </c>
      <c r="B246" s="200" t="n">
        <v>10</v>
      </c>
      <c r="C246" s="200" t="inlineStr">
        <is>
          <t xml:space="preserve">Stable employment in agricultural sector </t>
        </is>
      </c>
      <c r="D246" s="200" t="inlineStr">
        <is>
          <t>العمالة المستقرة في القطاع الزراعي</t>
        </is>
      </c>
      <c r="E246" s="5" t="n"/>
      <c r="G246" s="200" t="n">
        <v>1</v>
      </c>
      <c r="H246" s="200" t="n">
        <v>2</v>
      </c>
      <c r="I246" s="8" t="n">
        <v>3</v>
      </c>
      <c r="J246" s="8" t="n">
        <v>4</v>
      </c>
    </row>
    <row r="247" customFormat="1" s="8">
      <c r="A247" s="200" t="inlineStr">
        <is>
          <t>incomesource3</t>
        </is>
      </c>
      <c r="B247" s="200" t="n">
        <v>11</v>
      </c>
      <c r="C247" s="200" t="inlineStr">
        <is>
          <t>Non-agricultural self-employed or liberal profession, doctor, architect, lawyer, including restaurant</t>
        </is>
      </c>
      <c r="D247" s="200" t="inlineStr">
        <is>
          <t>العاملين لحسابهم الخاص غير الزراعيين أو المهنة الحرة / طبيب / مهندس معماري / محامٍ / بما في ذلك مطعم</t>
        </is>
      </c>
      <c r="E247" s="5" t="n"/>
      <c r="G247" s="200" t="n">
        <v>1</v>
      </c>
      <c r="H247" s="200" t="n">
        <v>2</v>
      </c>
      <c r="I247" s="8" t="n">
        <v>3</v>
      </c>
      <c r="J247" s="8" t="n">
        <v>4</v>
      </c>
    </row>
    <row r="248" customFormat="1" s="8">
      <c r="A248" s="200" t="inlineStr">
        <is>
          <t>incomesource3</t>
        </is>
      </c>
      <c r="B248" s="200" t="n">
        <v>12</v>
      </c>
      <c r="C248" s="200" t="inlineStr">
        <is>
          <t>Off-farm daily wages and other non-agricultural casual employment</t>
        </is>
      </c>
      <c r="D248" s="200" t="inlineStr">
        <is>
          <t>الأجور اليومية خارج المزرعة وغيرها من العمالة العرضية غير الزراعية</t>
        </is>
      </c>
      <c r="E248" s="5" t="n"/>
      <c r="G248" s="200" t="n">
        <v>1</v>
      </c>
      <c r="H248" s="200" t="n">
        <v>2</v>
      </c>
      <c r="I248" s="8" t="n">
        <v>3</v>
      </c>
      <c r="J248" s="8" t="n">
        <v>4</v>
      </c>
    </row>
    <row r="249" customFormat="1" s="8">
      <c r="A249" s="200" t="inlineStr">
        <is>
          <t>incomesource3</t>
        </is>
      </c>
      <c r="B249" s="200" t="n">
        <v>13</v>
      </c>
      <c r="C249" s="200" t="inlineStr">
        <is>
          <t>Stable employment in non-agricultural sector</t>
        </is>
      </c>
      <c r="D249" s="200" t="inlineStr">
        <is>
          <t>العمالة المستقرة في القطاع غير الزراعي</t>
        </is>
      </c>
      <c r="E249" s="5" t="n"/>
      <c r="G249" s="200" t="n">
        <v>1</v>
      </c>
      <c r="H249" s="200" t="n">
        <v>2</v>
      </c>
      <c r="I249" s="8" t="n">
        <v>3</v>
      </c>
      <c r="J249" s="8" t="n">
        <v>4</v>
      </c>
    </row>
    <row r="250" customFormat="1" s="8">
      <c r="A250" s="200" t="inlineStr">
        <is>
          <t>incomesource3</t>
        </is>
      </c>
      <c r="B250" s="200" t="n">
        <v>14</v>
      </c>
      <c r="C250" s="200" t="inlineStr">
        <is>
          <t xml:space="preserve">Public employment </t>
        </is>
      </c>
      <c r="D250" s="200" t="inlineStr">
        <is>
          <t>الوظائف العامة</t>
        </is>
      </c>
      <c r="E250" s="5" t="n"/>
      <c r="G250" s="200" t="n">
        <v>1</v>
      </c>
      <c r="H250" s="200" t="n">
        <v>2</v>
      </c>
      <c r="I250" s="8" t="n">
        <v>3</v>
      </c>
      <c r="J250" s="8" t="n">
        <v>4</v>
      </c>
    </row>
    <row r="251" customFormat="1" s="8">
      <c r="A251" s="200" t="inlineStr">
        <is>
          <t>incomesource3</t>
        </is>
      </c>
      <c r="B251" s="200" t="n">
        <v>15</v>
      </c>
      <c r="C251" s="200" t="inlineStr">
        <is>
          <t>Income not derived from work / Charity</t>
        </is>
      </c>
      <c r="D251" s="200" t="inlineStr">
        <is>
          <t xml:space="preserve">الدخل غير المستمد من العمل / الاعمال الخيرية </t>
        </is>
      </c>
      <c r="E251" s="5" t="n"/>
      <c r="G251" s="200" t="n">
        <v>1</v>
      </c>
      <c r="H251" s="200" t="n">
        <v>2</v>
      </c>
      <c r="I251" s="8" t="n">
        <v>3</v>
      </c>
      <c r="J251" s="8" t="n">
        <v>4</v>
      </c>
    </row>
    <row r="252" customFormat="1" s="8">
      <c r="A252" s="200" t="inlineStr">
        <is>
          <t>incomesource3</t>
        </is>
      </c>
      <c r="B252" s="200" t="n">
        <v>16</v>
      </c>
      <c r="C252" s="200" t="inlineStr">
        <is>
          <t>Income not derived from work / Welfare transfer, pension, humanitarian aid</t>
        </is>
      </c>
      <c r="D252" s="200" t="inlineStr">
        <is>
          <t>الدخل غير المستمد من العمل / المدفوعات التحويلية ، المعاش التقاعدي ، المساعدات الإنسانية</t>
        </is>
      </c>
      <c r="E252" s="5" t="n"/>
      <c r="G252" s="200" t="n">
        <v>1</v>
      </c>
      <c r="H252" s="200" t="n">
        <v>2</v>
      </c>
      <c r="I252" s="8" t="n">
        <v>3</v>
      </c>
      <c r="J252" s="8" t="n">
        <v>4</v>
      </c>
    </row>
    <row r="253" customFormat="1" s="8">
      <c r="A253" s="200" t="inlineStr">
        <is>
          <t>incomesource3</t>
        </is>
      </c>
      <c r="B253" s="200" t="n">
        <v>17</v>
      </c>
      <c r="C253" s="200" t="inlineStr">
        <is>
          <t>Income not derived from work / Remittances</t>
        </is>
      </c>
      <c r="D253" s="200" t="inlineStr">
        <is>
          <t>الدخل غير المستمد من العمل / التحويلات</t>
        </is>
      </c>
      <c r="E253" s="5" t="n"/>
      <c r="G253" s="200" t="n">
        <v>1</v>
      </c>
      <c r="H253" s="200" t="n">
        <v>2</v>
      </c>
      <c r="I253" s="8" t="n">
        <v>3</v>
      </c>
      <c r="J253" s="8" t="n">
        <v>4</v>
      </c>
    </row>
    <row r="254" customFormat="1" s="8">
      <c r="A254" s="200" t="inlineStr">
        <is>
          <t>incomesource3</t>
        </is>
      </c>
      <c r="B254" s="200" t="n">
        <v>18</v>
      </c>
      <c r="C254" s="200" t="inlineStr">
        <is>
          <t xml:space="preserve">Income not derived from work / Income from other rents                                </t>
        </is>
      </c>
      <c r="D254" s="200" t="inlineStr">
        <is>
          <t>الدخل غير المستمد من العمل / الدخل من الإيجارات الأخرى</t>
        </is>
      </c>
      <c r="E254" s="5" t="n"/>
      <c r="G254" s="200" t="n">
        <v>1</v>
      </c>
      <c r="H254" s="200" t="n">
        <v>2</v>
      </c>
      <c r="I254" s="8" t="n">
        <v>3</v>
      </c>
      <c r="J254" s="8" t="n">
        <v>4</v>
      </c>
    </row>
    <row r="255" customFormat="1" s="8">
      <c r="A255" s="200" t="inlineStr">
        <is>
          <t>incomesource3</t>
        </is>
      </c>
      <c r="B255" s="200" t="n">
        <v>19</v>
      </c>
      <c r="C255" s="200" t="inlineStr">
        <is>
          <t>No third most important source of income</t>
        </is>
      </c>
      <c r="D255" s="200" t="inlineStr">
        <is>
          <t>لم يكن هناك مصدر دخل ثالث</t>
        </is>
      </c>
      <c r="E255" s="5" t="n"/>
      <c r="G255" s="200" t="n">
        <v>1</v>
      </c>
      <c r="H255" s="200" t="n">
        <v>2</v>
      </c>
      <c r="I255" s="8" t="n">
        <v>3</v>
      </c>
      <c r="J255" s="8" t="n">
        <v>4</v>
      </c>
    </row>
    <row r="256" customFormat="1" s="8">
      <c r="A256" s="200" t="inlineStr">
        <is>
          <t>incomesource3</t>
        </is>
      </c>
      <c r="B256" s="200" t="inlineStr">
        <is>
          <t>dk</t>
        </is>
      </c>
      <c r="C256" s="200" t="inlineStr">
        <is>
          <t>Don't know</t>
        </is>
      </c>
      <c r="D256" s="200" t="inlineStr">
        <is>
          <t>لا أعرف</t>
        </is>
      </c>
      <c r="E256" s="5" t="n"/>
      <c r="G256" s="200" t="n">
        <v>1</v>
      </c>
      <c r="H256" s="200" t="n">
        <v>2</v>
      </c>
      <c r="I256" s="8" t="n">
        <v>3</v>
      </c>
      <c r="J256" s="8" t="n">
        <v>4</v>
      </c>
    </row>
    <row r="257" customFormat="1" s="8">
      <c r="A257" s="200" t="inlineStr">
        <is>
          <t>incomesource3</t>
        </is>
      </c>
      <c r="B257" s="200" t="inlineStr">
        <is>
          <t>ref</t>
        </is>
      </c>
      <c r="C257" s="200" t="inlineStr">
        <is>
          <t>Refused</t>
        </is>
      </c>
      <c r="D257" s="200" t="inlineStr">
        <is>
          <t>رفض الإجابة</t>
        </is>
      </c>
      <c r="E257" s="5" t="n"/>
      <c r="G257" s="200" t="n">
        <v>1</v>
      </c>
      <c r="H257" s="200" t="n">
        <v>2</v>
      </c>
      <c r="I257" s="8" t="n">
        <v>3</v>
      </c>
      <c r="J257" s="8" t="n">
        <v>4</v>
      </c>
    </row>
    <row r="258" customFormat="1" s="8">
      <c r="E258" s="5" t="n"/>
    </row>
    <row r="259" customFormat="1" s="8">
      <c r="A259" s="200" t="inlineStr">
        <is>
          <t>shock</t>
        </is>
      </c>
      <c r="B259" s="200" t="inlineStr">
        <is>
          <t>noshock</t>
        </is>
      </c>
      <c r="C259" s="200" t="inlineStr">
        <is>
          <t>No shock</t>
        </is>
      </c>
      <c r="D259" s="200" t="inlineStr">
        <is>
          <t>لا صدمة</t>
        </is>
      </c>
      <c r="E259" s="5" t="n"/>
    </row>
    <row r="260" customFormat="1" s="8">
      <c r="A260" s="200" t="inlineStr">
        <is>
          <t>shock</t>
        </is>
      </c>
      <c r="B260" s="200" t="inlineStr">
        <is>
          <t>sicknessordeathofhh</t>
        </is>
      </c>
      <c r="C260" s="200" t="inlineStr">
        <is>
          <t>Sickness or accident or death of household member[s] [sickness of breadwinner / unusually high medical expenditure / funeral expenses / death of breadwinner]</t>
        </is>
      </c>
      <c r="D260" s="200" t="inlineStr">
        <is>
          <t>مرض أو حادث أو وفاة أحد أفراد الأسرة [مرض العائل / النفقات الطبية المرتفعة بشكل غير عادي / نفقات الجنازة / وفاة العائل]</t>
        </is>
      </c>
      <c r="E260" s="5" t="n"/>
    </row>
    <row r="261" customFormat="1" s="8">
      <c r="A261" s="200" t="inlineStr">
        <is>
          <t>shock</t>
        </is>
      </c>
      <c r="B261" s="200" t="inlineStr">
        <is>
          <t>lostemplorwork</t>
        </is>
      </c>
      <c r="C261" s="200" t="inlineStr">
        <is>
          <t>Lost employment or working opportunities [not due to illness/accident]</t>
        </is>
      </c>
      <c r="D261" s="200" t="inlineStr">
        <is>
          <t>فرص العمل أو العمل المفقودة [ليس بسبب مرض / حادث]</t>
        </is>
      </c>
      <c r="E261" s="5" t="n"/>
    </row>
    <row r="262" customFormat="1" s="8">
      <c r="A262" s="200" t="inlineStr">
        <is>
          <t>shock</t>
        </is>
      </c>
      <c r="B262" s="200" t="inlineStr">
        <is>
          <t>otherintrahhshock</t>
        </is>
      </c>
      <c r="C262" s="200" t="inlineStr">
        <is>
          <t>Other intra-household shock</t>
        </is>
      </c>
      <c r="D262" s="200" t="inlineStr">
        <is>
          <t>صدمة أخرى داخل الأسرة</t>
        </is>
      </c>
      <c r="E262" s="5" t="n"/>
    </row>
    <row r="263" customFormat="1" s="8">
      <c r="A263" s="200" t="inlineStr">
        <is>
          <t>shock</t>
        </is>
      </c>
      <c r="B263" s="200" t="inlineStr">
        <is>
          <t>higherfoodprices</t>
        </is>
      </c>
      <c r="C263" s="200" t="inlineStr">
        <is>
          <t>Unusually high food prices</t>
        </is>
      </c>
      <c r="D263" s="200" t="inlineStr">
        <is>
          <t>أسعار المواد الغذائية أعلى بكثير من المعتاد</t>
        </is>
      </c>
      <c r="E263" s="5" t="n"/>
    </row>
    <row r="264" customFormat="1" s="8">
      <c r="A264" s="200" t="inlineStr">
        <is>
          <t>shock</t>
        </is>
      </c>
      <c r="B264" s="200" t="inlineStr">
        <is>
          <t>higherfuelprices</t>
        </is>
      </c>
      <c r="C264" s="200" t="inlineStr">
        <is>
          <t>Unusually high l fuel prices or transport prices</t>
        </is>
      </c>
      <c r="D264" s="200" t="inlineStr">
        <is>
          <t>أسعار الوقود  أو أسعار النقل أعلى بكثير من المعتاد</t>
        </is>
      </c>
      <c r="E264" s="5" t="n"/>
    </row>
    <row r="265" customFormat="1" s="8">
      <c r="A265" s="200" t="inlineStr">
        <is>
          <t>shock</t>
        </is>
      </c>
      <c r="B265" s="200" t="inlineStr">
        <is>
          <t>mvtrestrict</t>
        </is>
      </c>
      <c r="C265" s="200" t="inlineStr">
        <is>
          <t>Population movement restrictions [e.g. due to epidemic or infrastructure damage]</t>
        </is>
      </c>
      <c r="D265" s="200" t="inlineStr">
        <is>
          <t>القيود المفروضة على حركة السكان [على سبيل المثال بسبب الوباء أو تلف البنية التحتية]</t>
        </is>
      </c>
      <c r="E265" s="5" t="n"/>
    </row>
    <row r="266" customFormat="1" s="8">
      <c r="A266" s="200" t="inlineStr">
        <is>
          <t>shock</t>
        </is>
      </c>
      <c r="B266" s="200" t="inlineStr">
        <is>
          <t>othereconomicshock</t>
        </is>
      </c>
      <c r="C266" s="200" t="inlineStr">
        <is>
          <t xml:space="preserve">Other economic shock </t>
        </is>
      </c>
      <c r="D266" s="200" t="inlineStr">
        <is>
          <t>صدمة اقتصادية أخرى</t>
        </is>
      </c>
      <c r="E266" s="5" t="n"/>
    </row>
    <row r="267" customFormat="1" s="8">
      <c r="A267" s="200" t="inlineStr">
        <is>
          <t>shock</t>
        </is>
      </c>
      <c r="B267" s="200" t="inlineStr">
        <is>
          <t>pestoutbreak</t>
        </is>
      </c>
      <c r="C267" s="200" t="inlineStr">
        <is>
          <t>Pest outbreak</t>
        </is>
      </c>
      <c r="D267" s="200" t="inlineStr">
        <is>
          <t>تفشي الآفات</t>
        </is>
      </c>
      <c r="E267" s="5" t="n"/>
    </row>
    <row r="268" customFormat="1" s="8">
      <c r="A268" s="200" t="inlineStr">
        <is>
          <t>shock</t>
        </is>
      </c>
      <c r="B268" s="200" t="inlineStr">
        <is>
          <t>plantdisease</t>
        </is>
      </c>
      <c r="C268" s="200" t="inlineStr">
        <is>
          <t>Plant disease</t>
        </is>
      </c>
      <c r="D268" s="200" t="inlineStr">
        <is>
          <t>أمراض نباتية</t>
        </is>
      </c>
      <c r="E268" s="5" t="n"/>
    </row>
    <row r="269" customFormat="1" s="8">
      <c r="A269" s="200" t="inlineStr">
        <is>
          <t>shock</t>
        </is>
      </c>
      <c r="B269" s="200" t="inlineStr">
        <is>
          <t>animaldisease</t>
        </is>
      </c>
      <c r="C269" s="200" t="inlineStr">
        <is>
          <t>Animal disease [affecting many animals] or death</t>
        </is>
      </c>
      <c r="D269" s="200" t="inlineStr">
        <is>
          <t>أمراض حيوانية تصيب العديد من الحيوانات أو تتسبب بنفقها</t>
        </is>
      </c>
      <c r="E269" s="5" t="n"/>
    </row>
    <row r="270" customFormat="1" s="8">
      <c r="A270" s="200" t="inlineStr">
        <is>
          <t>shock</t>
        </is>
      </c>
      <c r="B270" s="200" t="inlineStr">
        <is>
          <t>napasture</t>
        </is>
      </c>
      <c r="C270" s="200" t="inlineStr">
        <is>
          <t>Lack of physical access to pasture</t>
        </is>
      </c>
      <c r="D270" s="200" t="inlineStr">
        <is>
          <t xml:space="preserve">عدم إمكانية الوصول للمراعي </t>
        </is>
      </c>
      <c r="E270" s="5" t="n"/>
    </row>
    <row r="271" customFormat="1" s="8">
      <c r="A271" s="200" t="inlineStr">
        <is>
          <t>shock</t>
        </is>
      </c>
      <c r="B271" s="200" t="inlineStr">
        <is>
          <t>othercropandlivests</t>
        </is>
      </c>
      <c r="C271" s="200" t="inlineStr">
        <is>
          <t>Other crop and livestock shock</t>
        </is>
      </c>
      <c r="D271" s="200" t="inlineStr">
        <is>
          <t>صدمة أخرى للمحاصيل والماشية</t>
        </is>
      </c>
      <c r="E271" s="5" t="n"/>
    </row>
    <row r="272" customFormat="1" s="8">
      <c r="A272" s="200" t="inlineStr">
        <is>
          <t>shock</t>
        </is>
      </c>
      <c r="B272" s="200" t="inlineStr">
        <is>
          <t>coldtemporhail</t>
        </is>
      </c>
      <c r="C272" s="200" t="inlineStr">
        <is>
          <t>Cold temperatures or hail</t>
        </is>
      </c>
      <c r="D272" s="200" t="inlineStr">
        <is>
          <t>درجات الحرارة الباردة أو البرد</t>
        </is>
      </c>
      <c r="E272" s="5" t="n"/>
    </row>
    <row r="273" customFormat="1" s="8">
      <c r="A273" s="200" t="inlineStr">
        <is>
          <t>shock</t>
        </is>
      </c>
      <c r="B273" s="200" t="inlineStr">
        <is>
          <t>flood</t>
        </is>
      </c>
      <c r="C273" s="200" t="inlineStr">
        <is>
          <t>Flood / riverbank erosion</t>
        </is>
      </c>
      <c r="D273" s="200" t="inlineStr">
        <is>
          <t>الفيضانات / تآكل ضفاف الأنهار</t>
        </is>
      </c>
      <c r="E273" s="5" t="n"/>
    </row>
    <row r="274" customFormat="1" s="8">
      <c r="A274" s="200" t="inlineStr">
        <is>
          <t>shock</t>
        </is>
      </c>
      <c r="B274" s="200" t="inlineStr">
        <is>
          <t>hurricane</t>
        </is>
      </c>
      <c r="C274" s="200" t="inlineStr">
        <is>
          <t>Hurricane / cyclone / tornado</t>
        </is>
      </c>
      <c r="D274" s="200" t="inlineStr">
        <is>
          <t xml:space="preserve">إعصار </t>
        </is>
      </c>
      <c r="E274" s="5" t="n"/>
    </row>
    <row r="275" customFormat="1" s="8">
      <c r="A275" s="200" t="inlineStr">
        <is>
          <t>shock</t>
        </is>
      </c>
      <c r="B275" s="200" t="inlineStr">
        <is>
          <t>drought</t>
        </is>
      </c>
      <c r="C275" s="200" t="inlineStr">
        <is>
          <t>Drought / heat stress</t>
        </is>
      </c>
      <c r="D275" s="200" t="inlineStr">
        <is>
          <t>الجفاف / الإجهاد الحراري</t>
        </is>
      </c>
      <c r="E275" s="5" t="n"/>
    </row>
    <row r="276" customFormat="1" s="8">
      <c r="A276" s="200" t="inlineStr">
        <is>
          <t>shock</t>
        </is>
      </c>
      <c r="B276" s="200" t="inlineStr">
        <is>
          <t>earthquake</t>
        </is>
      </c>
      <c r="C276" s="200" t="inlineStr">
        <is>
          <t>Earthquake</t>
        </is>
      </c>
      <c r="D276" s="200" t="inlineStr">
        <is>
          <t>زلزال</t>
        </is>
      </c>
      <c r="E276" s="5" t="n"/>
    </row>
    <row r="277" customFormat="1" s="8">
      <c r="A277" s="200" t="inlineStr">
        <is>
          <t>shock</t>
        </is>
      </c>
      <c r="B277" s="200" t="inlineStr">
        <is>
          <t>landslides</t>
        </is>
      </c>
      <c r="C277" s="200" t="inlineStr">
        <is>
          <t>Landslides</t>
        </is>
      </c>
      <c r="D277" s="200" t="inlineStr">
        <is>
          <t>الانهيارات الارضية</t>
        </is>
      </c>
      <c r="E277" s="5" t="n"/>
    </row>
    <row r="278" customFormat="1" s="8">
      <c r="A278" s="200" t="inlineStr">
        <is>
          <t>shock</t>
        </is>
      </c>
      <c r="B278" s="200" t="inlineStr">
        <is>
          <t>firenatural</t>
        </is>
      </c>
      <c r="C278" s="200" t="inlineStr">
        <is>
          <t>Fire from natural disaster</t>
        </is>
      </c>
      <c r="D278" s="200" t="inlineStr">
        <is>
          <t>حريق مسبب من كارثة طبيعية</t>
        </is>
      </c>
      <c r="E278" s="5" t="n"/>
    </row>
    <row r="279" customFormat="1" s="8">
      <c r="A279" s="200" t="inlineStr">
        <is>
          <t>shock</t>
        </is>
      </c>
      <c r="B279" s="200" t="inlineStr">
        <is>
          <t>othernathazard</t>
        </is>
      </c>
      <c r="C279" s="200" t="inlineStr">
        <is>
          <t>Other natural hazard</t>
        </is>
      </c>
      <c r="D279" s="200" t="inlineStr">
        <is>
          <t>مخاطر طبيعية أخرى</t>
        </is>
      </c>
      <c r="E279" s="5" t="n"/>
    </row>
    <row r="280" customFormat="1" s="8">
      <c r="A280" s="200" t="inlineStr">
        <is>
          <t>shock</t>
        </is>
      </c>
      <c r="B280" s="200" t="inlineStr">
        <is>
          <t>violenceinsecconf</t>
        </is>
      </c>
      <c r="C280" s="200" t="inlineStr">
        <is>
          <t>Violence and insecurity / conflict</t>
        </is>
      </c>
      <c r="D280" s="200" t="inlineStr">
        <is>
          <t>العنف وانعدام الأمن / النزاع</t>
        </is>
      </c>
      <c r="E280" s="5" t="n"/>
    </row>
    <row r="281" customFormat="1" s="8">
      <c r="A281" s="200" t="inlineStr">
        <is>
          <t>shock</t>
        </is>
      </c>
      <c r="B281" s="200" t="inlineStr">
        <is>
          <t>theftofprodassets</t>
        </is>
      </c>
      <c r="C281" s="200" t="inlineStr">
        <is>
          <t>Theft of production assets [land / livestock / tools / etc]</t>
        </is>
      </c>
      <c r="D281" s="200" t="inlineStr">
        <is>
          <t>سرقة أصول الإنتاج [الأرض / الماشية / الأدوات / إلخ]</t>
        </is>
      </c>
      <c r="E281" s="5" t="n"/>
    </row>
    <row r="282" customFormat="1" s="8">
      <c r="A282" s="200" t="inlineStr">
        <is>
          <t>shock</t>
        </is>
      </c>
      <c r="B282" s="200" t="inlineStr">
        <is>
          <t>firemanmade</t>
        </is>
      </c>
      <c r="C282" s="200" t="inlineStr">
        <is>
          <t>Fire from man-made disaster</t>
        </is>
      </c>
      <c r="D282" s="200" t="inlineStr">
        <is>
          <t>حريق مسبب من كارثة من صنع الإنسان</t>
        </is>
      </c>
      <c r="E282" s="5" t="n"/>
    </row>
    <row r="283" customFormat="1" s="8">
      <c r="A283" s="200" t="inlineStr">
        <is>
          <t>shock</t>
        </is>
      </c>
      <c r="B283" s="200" t="inlineStr">
        <is>
          <t>othermanmadehazard</t>
        </is>
      </c>
      <c r="C283" s="200" t="inlineStr">
        <is>
          <t>Other human-induced hazard</t>
        </is>
      </c>
      <c r="D283" s="200" t="inlineStr">
        <is>
          <t>مخاطر أخرى من صنع الإنسان</t>
        </is>
      </c>
      <c r="E283" s="5" t="n"/>
    </row>
    <row r="284" customFormat="1" s="8">
      <c r="A284" s="200" t="inlineStr">
        <is>
          <t>shock</t>
        </is>
      </c>
      <c r="B284" s="200" t="inlineStr">
        <is>
          <t>dk</t>
        </is>
      </c>
      <c r="C284" s="200" t="inlineStr">
        <is>
          <t>Don't know</t>
        </is>
      </c>
      <c r="D284" s="200" t="inlineStr">
        <is>
          <t>لا أعرف</t>
        </is>
      </c>
      <c r="E284" s="5" t="n"/>
    </row>
    <row r="285" customFormat="1" s="8">
      <c r="A285" s="200" t="inlineStr">
        <is>
          <t>shock</t>
        </is>
      </c>
      <c r="B285" s="200" t="inlineStr">
        <is>
          <t>ref</t>
        </is>
      </c>
      <c r="C285" s="200" t="inlineStr">
        <is>
          <t>Refused</t>
        </is>
      </c>
      <c r="D285" s="200" t="inlineStr">
        <is>
          <t>رفض الإجابة</t>
        </is>
      </c>
      <c r="E285" s="5" t="n"/>
    </row>
    <row r="286" customFormat="1" s="8">
      <c r="E286" s="5" t="n"/>
    </row>
    <row r="287" customFormat="1" s="8">
      <c r="A287" s="200" t="inlineStr">
        <is>
          <t>landsize_unit</t>
        </is>
      </c>
      <c r="B287" s="200" t="n">
        <v>1</v>
      </c>
      <c r="C287" s="8" t="inlineStr">
        <is>
          <t>Dunum</t>
        </is>
      </c>
      <c r="D287" s="8" t="inlineStr">
        <is>
          <t>دونم</t>
        </is>
      </c>
      <c r="E287" s="5" t="n"/>
      <c r="F287" s="200" t="n">
        <v>1</v>
      </c>
    </row>
    <row r="288" customFormat="1" s="8">
      <c r="A288" s="200" t="inlineStr">
        <is>
          <t>landsize_unit</t>
        </is>
      </c>
      <c r="B288" s="200" t="n">
        <v>2</v>
      </c>
      <c r="C288" s="200" t="inlineStr">
        <is>
          <t>Acres</t>
        </is>
      </c>
      <c r="D288" s="200" t="inlineStr">
        <is>
          <t>فدان</t>
        </is>
      </c>
      <c r="E288" s="5" t="n"/>
      <c r="F288" s="200" t="n">
        <v>2</v>
      </c>
    </row>
    <row r="289" customFormat="1" s="8">
      <c r="A289" s="200" t="inlineStr">
        <is>
          <t>landsize_unit</t>
        </is>
      </c>
      <c r="B289" s="200" t="n">
        <v>3</v>
      </c>
      <c r="C289" s="200" t="inlineStr">
        <is>
          <t>Hectares</t>
        </is>
      </c>
      <c r="D289" s="200" t="inlineStr">
        <is>
          <t>هكتار</t>
        </is>
      </c>
      <c r="E289" s="5" t="n"/>
      <c r="F289" s="200" t="n">
        <v>3</v>
      </c>
    </row>
    <row r="290" customFormat="1" s="8">
      <c r="A290" s="200" t="inlineStr">
        <is>
          <t>landsize_unit</t>
        </is>
      </c>
      <c r="B290" s="200" t="n">
        <v>4</v>
      </c>
      <c r="C290" s="200" t="inlineStr">
        <is>
          <t>Square meters</t>
        </is>
      </c>
      <c r="D290" s="200" t="inlineStr">
        <is>
          <t>متر مربع</t>
        </is>
      </c>
      <c r="E290" s="5" t="n"/>
      <c r="F290" s="200" t="n">
        <v>4</v>
      </c>
    </row>
    <row r="291" customFormat="1" s="8">
      <c r="A291" s="200" t="inlineStr">
        <is>
          <t>landsize_unit</t>
        </is>
      </c>
      <c r="B291" s="200" t="n">
        <v>5</v>
      </c>
      <c r="C291" s="200" t="inlineStr">
        <is>
          <t>Square feet</t>
        </is>
      </c>
      <c r="D291" s="200" t="inlineStr">
        <is>
          <t>قدم مربع</t>
        </is>
      </c>
      <c r="E291" s="5" t="n"/>
      <c r="F291" s="200" t="n">
        <v>5</v>
      </c>
    </row>
    <row r="292" customFormat="1" s="8">
      <c r="E292" s="5" t="n"/>
    </row>
    <row r="293" customFormat="1" s="8">
      <c r="A293" s="200" t="inlineStr">
        <is>
          <t>cropcheck</t>
        </is>
      </c>
      <c r="B293" s="200" t="n">
        <v>1</v>
      </c>
      <c r="C293" s="200" t="inlineStr">
        <is>
          <t xml:space="preserve">Don’t usually produce during this season </t>
        </is>
      </c>
      <c r="D293" s="200" t="inlineStr">
        <is>
          <t>لا أنتج عادة محاصيل خلال هذا الموسم</t>
        </is>
      </c>
      <c r="E293" s="5" t="n"/>
    </row>
    <row r="294" customFormat="1" s="8">
      <c r="A294" s="200" t="inlineStr">
        <is>
          <t>cropcheck</t>
        </is>
      </c>
      <c r="B294" s="200" t="n">
        <v>2</v>
      </c>
      <c r="C294" s="200" t="inlineStr">
        <is>
          <t>Wasn't able to produce (e.g. due to difficulties)</t>
        </is>
      </c>
      <c r="D294" s="200" t="inlineStr">
        <is>
          <t>لم أتمكن من إنتاج المحاصيل (على سبيل المثال بسبب الصعوبات)</t>
        </is>
      </c>
      <c r="E294" s="5" t="n"/>
    </row>
    <row r="295" customFormat="1" s="8">
      <c r="E295" s="5" t="n"/>
    </row>
    <row r="296" customFormat="1" s="8">
      <c r="A296" s="200" t="inlineStr">
        <is>
          <t>irrigation</t>
        </is>
      </c>
      <c r="B296" s="200" t="n">
        <v>1</v>
      </c>
      <c r="C296" s="200" t="inlineStr">
        <is>
          <t>Rainfed</t>
        </is>
      </c>
      <c r="D296" s="200" t="inlineStr">
        <is>
          <t>بعلي (لا يوجد نظام ري)</t>
        </is>
      </c>
      <c r="E296" s="5" t="n"/>
    </row>
    <row r="297" customFormat="1" s="8">
      <c r="A297" s="200" t="inlineStr">
        <is>
          <t>irrigation</t>
        </is>
      </c>
      <c r="B297" s="200" t="n">
        <v>2</v>
      </c>
      <c r="C297" s="200" t="inlineStr">
        <is>
          <t>Groundwater</t>
        </is>
      </c>
      <c r="D297" s="200" t="inlineStr">
        <is>
          <t>مياه جوفية</t>
        </is>
      </c>
      <c r="E297" s="5" t="n"/>
    </row>
    <row r="298" customFormat="1" s="8">
      <c r="A298" s="200" t="inlineStr">
        <is>
          <t>irrigation</t>
        </is>
      </c>
      <c r="B298" s="200" t="n">
        <v>3</v>
      </c>
      <c r="C298" s="200" t="inlineStr">
        <is>
          <t>Natural surface water [river, lake, stream, pond, etc.]</t>
        </is>
      </c>
      <c r="D298" s="200" t="inlineStr">
        <is>
          <t>مياه سطحية طبيعية ( نهر / بحيرة / بركة مياه / إلخ )</t>
        </is>
      </c>
      <c r="E298" s="5" t="n"/>
    </row>
    <row r="299" customFormat="1" s="8">
      <c r="A299" s="200" t="inlineStr">
        <is>
          <t>irrigation</t>
        </is>
      </c>
      <c r="B299" s="200" t="n">
        <v>4</v>
      </c>
      <c r="C299" s="200" t="inlineStr">
        <is>
          <t>Constructed water point [canal, dam, etc.]</t>
        </is>
      </c>
      <c r="D299" s="200" t="inlineStr">
        <is>
          <t>نقطة مياه منشأة ( قناة / سد / إلخ)</t>
        </is>
      </c>
      <c r="E299" s="5" t="n"/>
    </row>
    <row r="300" customFormat="1" s="8">
      <c r="A300" s="200" t="inlineStr">
        <is>
          <t>irrigation</t>
        </is>
      </c>
      <c r="B300" s="200" t="n">
        <v>5</v>
      </c>
      <c r="C300" s="200" t="inlineStr">
        <is>
          <t>Public water supply system [e.g. tap water]</t>
        </is>
      </c>
      <c r="D300" s="200" t="inlineStr">
        <is>
          <t>نظام تزويد مياه عام ( ماء الصنبور علي سبيل المثال )</t>
        </is>
      </c>
      <c r="E300" s="5" t="n"/>
    </row>
    <row r="301" customFormat="1" s="8">
      <c r="A301" s="200" t="inlineStr">
        <is>
          <t>irrigation</t>
        </is>
      </c>
      <c r="B301" s="200" t="inlineStr">
        <is>
          <t>other</t>
        </is>
      </c>
      <c r="C301" s="200" t="inlineStr">
        <is>
          <t>Other [specify]</t>
        </is>
      </c>
      <c r="D301" s="200" t="inlineStr">
        <is>
          <t>آخر [حدد]</t>
        </is>
      </c>
      <c r="E301" s="5" t="n"/>
    </row>
    <row r="302" customFormat="1" s="8">
      <c r="A302" s="200" t="inlineStr">
        <is>
          <t>irrigation</t>
        </is>
      </c>
      <c r="B302" s="200" t="inlineStr">
        <is>
          <t>dk</t>
        </is>
      </c>
      <c r="C302" s="200" t="inlineStr">
        <is>
          <t>Don't know</t>
        </is>
      </c>
      <c r="D302" s="200" t="inlineStr">
        <is>
          <t>لا أعرف</t>
        </is>
      </c>
      <c r="E302" s="5" t="n"/>
    </row>
    <row r="303" customFormat="1" s="8">
      <c r="A303" s="200" t="inlineStr">
        <is>
          <t>irrigation</t>
        </is>
      </c>
      <c r="B303" s="200" t="inlineStr">
        <is>
          <t>ref</t>
        </is>
      </c>
      <c r="C303" s="200" t="inlineStr">
        <is>
          <t>Refused</t>
        </is>
      </c>
      <c r="D303" s="200" t="inlineStr">
        <is>
          <t>رفض الإجابة</t>
        </is>
      </c>
      <c r="E303" s="5" t="n"/>
    </row>
    <row r="304" customFormat="1" s="8">
      <c r="E304" s="5" t="n"/>
    </row>
    <row r="305" customFormat="1" s="8">
      <c r="A305" s="200" t="inlineStr">
        <is>
          <t>irrigpump</t>
        </is>
      </c>
      <c r="B305" s="200" t="n">
        <v>1</v>
      </c>
      <c r="C305" s="200" t="inlineStr">
        <is>
          <t>No, everything works on gravity</t>
        </is>
      </c>
      <c r="D305" s="200" t="inlineStr">
        <is>
          <t>لا ، كل شيء يعمل علي الجاذبية</t>
        </is>
      </c>
      <c r="E305" s="5" t="n"/>
    </row>
    <row r="306" customFormat="1" s="8">
      <c r="A306" s="200" t="inlineStr">
        <is>
          <t>irrigpump</t>
        </is>
      </c>
      <c r="B306" s="200" t="n">
        <v>2</v>
      </c>
      <c r="C306" s="200" t="inlineStr">
        <is>
          <t>Yes, there is a communal diesel/gas pump</t>
        </is>
      </c>
      <c r="D306" s="200" t="inlineStr">
        <is>
          <t>نعم ، توجد مضخة مشتركة تعمل علي الديزل أو الغاز</t>
        </is>
      </c>
      <c r="E306" s="5" t="n"/>
    </row>
    <row r="307" customFormat="1" s="8">
      <c r="A307" s="200" t="inlineStr">
        <is>
          <t>irrigpump</t>
        </is>
      </c>
      <c r="B307" s="200" t="n">
        <v>3</v>
      </c>
      <c r="C307" s="200" t="inlineStr">
        <is>
          <t>Yes, there is a communal manual pump</t>
        </is>
      </c>
      <c r="D307" s="200" t="inlineStr">
        <is>
          <t>نعم، توجد مضخة يدوية مشتركة</t>
        </is>
      </c>
      <c r="E307" s="5" t="n"/>
    </row>
    <row r="308" customFormat="1" s="8">
      <c r="A308" s="200" t="inlineStr">
        <is>
          <t>irrigpump</t>
        </is>
      </c>
      <c r="B308" s="200" t="n">
        <v>4</v>
      </c>
      <c r="C308" s="200" t="inlineStr">
        <is>
          <t>Yes, there is a manual pump in my field</t>
        </is>
      </c>
      <c r="D308" s="200" t="inlineStr">
        <is>
          <t xml:space="preserve">نعم ، توجد مضخة يدوية فى حقلي </t>
        </is>
      </c>
      <c r="E308" s="5" t="n"/>
    </row>
    <row r="309" customFormat="1" s="8">
      <c r="A309" s="200" t="inlineStr">
        <is>
          <t>irrigpump</t>
        </is>
      </c>
      <c r="B309" s="200" t="n">
        <v>5</v>
      </c>
      <c r="C309" s="200" t="inlineStr">
        <is>
          <t>Yes, there is a diesel pump in my field</t>
        </is>
      </c>
      <c r="D309" s="200" t="inlineStr">
        <is>
          <t>نعم، توجد مضخة تعمل بالديزل فى حقلي</t>
        </is>
      </c>
      <c r="E309" s="5" t="n"/>
    </row>
    <row r="310" customFormat="1" s="8">
      <c r="A310" s="200" t="inlineStr">
        <is>
          <t>irrigpump</t>
        </is>
      </c>
      <c r="B310" s="200" t="n">
        <v>8</v>
      </c>
      <c r="C310" s="200" t="inlineStr">
        <is>
          <t>Yes, there is an electric pump in my field</t>
        </is>
      </c>
      <c r="D310" s="200" t="inlineStr">
        <is>
          <t>نعم، توجد مضخة تعمل بالكهرباء فى حقلي</t>
        </is>
      </c>
      <c r="E310" s="5" t="n"/>
    </row>
    <row r="311" customFormat="1" s="8">
      <c r="A311" s="200" t="inlineStr">
        <is>
          <t>irrigpump</t>
        </is>
      </c>
      <c r="B311" s="200" t="inlineStr">
        <is>
          <t>dk</t>
        </is>
      </c>
      <c r="C311" s="200" t="inlineStr">
        <is>
          <t>Don't know</t>
        </is>
      </c>
      <c r="D311" s="200" t="inlineStr">
        <is>
          <t>لا أعرف</t>
        </is>
      </c>
      <c r="E311" s="5" t="n"/>
    </row>
    <row r="312" customFormat="1" s="8">
      <c r="A312" s="200" t="inlineStr">
        <is>
          <t>irrigpump</t>
        </is>
      </c>
      <c r="B312" s="200" t="inlineStr">
        <is>
          <t>ref</t>
        </is>
      </c>
      <c r="C312" s="200" t="inlineStr">
        <is>
          <t>Refused</t>
        </is>
      </c>
      <c r="D312" s="200" t="inlineStr">
        <is>
          <t>رفض الإجابة</t>
        </is>
      </c>
      <c r="E312" s="5" t="n"/>
    </row>
    <row r="313" customFormat="1" s="8">
      <c r="E313" s="5" t="n"/>
    </row>
    <row r="314" customFormat="1" s="8">
      <c r="A314" s="200" t="inlineStr">
        <is>
          <t>seedsupply</t>
        </is>
      </c>
      <c r="B314" s="200" t="inlineStr">
        <is>
          <t>ownprod</t>
        </is>
      </c>
      <c r="C314" s="200" t="inlineStr">
        <is>
          <t>Own production</t>
        </is>
      </c>
      <c r="D314" s="200" t="inlineStr">
        <is>
          <t>الإنتاج الخاص</t>
        </is>
      </c>
      <c r="E314" s="5" t="n"/>
    </row>
    <row r="315" customFormat="1" s="8">
      <c r="A315" s="200" t="inlineStr">
        <is>
          <t>seedsupply</t>
        </is>
      </c>
      <c r="B315" s="200" t="inlineStr">
        <is>
          <t>market</t>
        </is>
      </c>
      <c r="C315" s="200" t="inlineStr">
        <is>
          <t>Local market or agro-input shop / dealer</t>
        </is>
      </c>
      <c r="D315" s="200" t="inlineStr">
        <is>
          <t>اشتريها من السوق أو متجر المدخلات الزراعية</t>
        </is>
      </c>
      <c r="E315" s="5" t="n"/>
    </row>
    <row r="316" customFormat="1" s="8">
      <c r="A316" s="200" t="inlineStr">
        <is>
          <t>seedsupply</t>
        </is>
      </c>
      <c r="B316" s="200" t="inlineStr">
        <is>
          <t>company</t>
        </is>
      </c>
      <c r="C316" s="200" t="inlineStr">
        <is>
          <t>Private company</t>
        </is>
      </c>
      <c r="D316" s="200" t="inlineStr">
        <is>
          <t>اشتريها  من شركة خاصة</t>
        </is>
      </c>
      <c r="E316" s="5" t="n"/>
    </row>
    <row r="317" customFormat="1" s="8">
      <c r="A317" s="200" t="inlineStr">
        <is>
          <t>seedsupply</t>
        </is>
      </c>
      <c r="B317" s="200" t="inlineStr">
        <is>
          <t>ngo</t>
        </is>
      </c>
      <c r="C317" s="200" t="inlineStr">
        <is>
          <t>NGOs</t>
        </is>
      </c>
      <c r="D317" s="200" t="inlineStr">
        <is>
          <t>المنظمات الغير حكومية</t>
        </is>
      </c>
      <c r="E317" s="5" t="n"/>
    </row>
    <row r="318" customFormat="1" s="8">
      <c r="A318" s="200" t="inlineStr">
        <is>
          <t>seedsupply</t>
        </is>
      </c>
      <c r="B318" s="200" t="inlineStr">
        <is>
          <t>organized_community</t>
        </is>
      </c>
      <c r="C318" s="200" t="inlineStr">
        <is>
          <t>Community seed banks / farmer networks / farmers' association / etc.</t>
        </is>
      </c>
      <c r="D318" s="200" t="inlineStr">
        <is>
          <t>بنوك البذور أو شتلات الأشجار المجتمعية / شبكات المزارعين / إلخ</t>
        </is>
      </c>
      <c r="E318" s="5" t="n"/>
    </row>
    <row r="319" customFormat="1" s="8">
      <c r="A319" s="200" t="inlineStr">
        <is>
          <t>seedsupply</t>
        </is>
      </c>
      <c r="B319" s="200" t="inlineStr">
        <is>
          <t>gov</t>
        </is>
      </c>
      <c r="C319" s="200" t="inlineStr">
        <is>
          <t>Government [e.g. MoA]</t>
        </is>
      </c>
      <c r="D319" s="200" t="inlineStr">
        <is>
          <t>الحكومة ( وزارة الزراعة علي سبيل المثال )</t>
        </is>
      </c>
      <c r="E319" s="5" t="n"/>
    </row>
    <row r="320" customFormat="1" s="8">
      <c r="A320" s="200" t="inlineStr">
        <is>
          <t>seedsupply</t>
        </is>
      </c>
      <c r="B320" s="200" t="inlineStr">
        <is>
          <t>relatives_friends</t>
        </is>
      </c>
      <c r="C320" s="200" t="inlineStr">
        <is>
          <t>Relatives or friends</t>
        </is>
      </c>
      <c r="D320" s="200" t="inlineStr">
        <is>
          <t>الاقارب أو الاصدقاء</t>
        </is>
      </c>
      <c r="E320" s="5" t="n"/>
    </row>
    <row r="321" customFormat="1" s="8">
      <c r="A321" s="200" t="inlineStr">
        <is>
          <t>seedsupply</t>
        </is>
      </c>
      <c r="B321" s="200" t="inlineStr">
        <is>
          <t>other</t>
        </is>
      </c>
      <c r="C321" s="200" t="inlineStr">
        <is>
          <t>Other</t>
        </is>
      </c>
      <c r="D321" s="200" t="inlineStr">
        <is>
          <t>آخر</t>
        </is>
      </c>
      <c r="E321" s="5" t="n"/>
    </row>
    <row r="322" customFormat="1" s="8">
      <c r="A322" s="200" t="inlineStr">
        <is>
          <t>seedsupply</t>
        </is>
      </c>
      <c r="B322" s="200" t="inlineStr">
        <is>
          <t>dk</t>
        </is>
      </c>
      <c r="C322" s="200" t="inlineStr">
        <is>
          <t>Don't know</t>
        </is>
      </c>
      <c r="D322" s="200" t="inlineStr">
        <is>
          <t>لا أعرف</t>
        </is>
      </c>
      <c r="E322" s="5" t="n"/>
    </row>
    <row r="323" customFormat="1" s="8">
      <c r="A323" s="200" t="inlineStr">
        <is>
          <t>seedsupply</t>
        </is>
      </c>
      <c r="B323" s="200" t="inlineStr">
        <is>
          <t>ref</t>
        </is>
      </c>
      <c r="C323" s="200" t="inlineStr">
        <is>
          <t>Refused</t>
        </is>
      </c>
      <c r="D323" s="200" t="inlineStr">
        <is>
          <t>رفض الإجابة</t>
        </is>
      </c>
      <c r="E323" s="5" t="n"/>
    </row>
    <row r="324" customFormat="1" s="8">
      <c r="E324" s="5" t="n"/>
    </row>
    <row r="325" customFormat="1" s="8">
      <c r="A325" s="200" t="inlineStr">
        <is>
          <t>cropproddiff</t>
        </is>
      </c>
      <c r="B325" s="200" t="inlineStr">
        <is>
          <t>plant_disease</t>
        </is>
      </c>
      <c r="C325" s="200" t="inlineStr">
        <is>
          <t xml:space="preserve">Plant disease </t>
        </is>
      </c>
      <c r="D325" s="200" t="inlineStr">
        <is>
          <t>مرض نباتي</t>
        </is>
      </c>
      <c r="E325" s="5" t="n"/>
    </row>
    <row r="326" customFormat="1" s="8">
      <c r="A326" s="200" t="inlineStr">
        <is>
          <t>cropproddiff</t>
        </is>
      </c>
      <c r="B326" s="200" t="inlineStr">
        <is>
          <t>pest_outbreak</t>
        </is>
      </c>
      <c r="C326" s="200" t="inlineStr">
        <is>
          <t>Pest outbreak [including birds]</t>
        </is>
      </c>
      <c r="D326" s="200" t="inlineStr">
        <is>
          <t>تفشي الافات ( بما في ذلك الطيور )</t>
        </is>
      </c>
      <c r="E326" s="5" t="n"/>
    </row>
    <row r="327" customFormat="1" s="8">
      <c r="A327" s="200" t="inlineStr">
        <is>
          <t>cropproddiff</t>
        </is>
      </c>
      <c r="B327" s="200" t="inlineStr">
        <is>
          <t>animal_grazing</t>
        </is>
      </c>
      <c r="C327" s="200" t="inlineStr">
        <is>
          <t>Uncontrolled animal grazing</t>
        </is>
      </c>
      <c r="D327" s="200" t="inlineStr">
        <is>
          <t>رعي الحيوانات الغير منضبط</t>
        </is>
      </c>
      <c r="E327" s="5" t="n"/>
    </row>
    <row r="328" customFormat="1" s="8">
      <c r="A328" s="200" t="inlineStr">
        <is>
          <t>cropproddiff</t>
        </is>
      </c>
      <c r="B328" s="200" t="inlineStr">
        <is>
          <t>access_plot</t>
        </is>
      </c>
      <c r="C328" s="200" t="inlineStr">
        <is>
          <t>Access to plot</t>
        </is>
      </c>
      <c r="D328" s="200" t="inlineStr">
        <is>
          <t>الوصول إلى قطعة الأرض</t>
        </is>
      </c>
      <c r="E328" s="5" t="n"/>
    </row>
    <row r="329" customFormat="1" s="8">
      <c r="A329" s="200" t="inlineStr">
        <is>
          <t>cropproddiff</t>
        </is>
      </c>
      <c r="B329" s="200" t="inlineStr">
        <is>
          <t>access_fertilize</t>
        </is>
      </c>
      <c r="C329" s="200" t="inlineStr">
        <is>
          <t>Access to fertilizer [not available on markets or prices too high]</t>
        </is>
      </c>
      <c r="D329" s="200" t="inlineStr">
        <is>
          <t>الوصول إلى الأسمدة [غير متوفرة في الأسواق أو أن اسعارها مرتفعة جداً]</t>
        </is>
      </c>
      <c r="E329" s="5" t="n"/>
    </row>
    <row r="330" customFormat="1" s="8">
      <c r="A330" s="200" t="inlineStr">
        <is>
          <t>cropproddiff</t>
        </is>
      </c>
      <c r="B330" s="200" t="inlineStr">
        <is>
          <t>seed_quality</t>
        </is>
      </c>
      <c r="C330" s="200" t="inlineStr">
        <is>
          <t>Access to quality seeds</t>
        </is>
      </c>
      <c r="D330" s="200" t="inlineStr">
        <is>
          <t>الوصول الي البذور الجيدة</t>
        </is>
      </c>
      <c r="E330" s="5" t="n"/>
    </row>
    <row r="331" customFormat="1" s="8">
      <c r="A331" s="200" t="inlineStr">
        <is>
          <t>cropproddiff</t>
        </is>
      </c>
      <c r="B331" s="200" t="inlineStr">
        <is>
          <t>seed_quantity</t>
        </is>
      </c>
      <c r="C331" s="200" t="inlineStr">
        <is>
          <t>Access to enough seeds [not available on markets or prices too high]</t>
        </is>
      </c>
      <c r="D331" s="200" t="inlineStr">
        <is>
          <t>الوصول إلى ما يكفي من البذور [غير متوفرة في الأسواق أو أن اسعارها مرتفعة جداً]</t>
        </is>
      </c>
      <c r="E331" s="5" t="n"/>
    </row>
    <row r="332" customFormat="1" s="8">
      <c r="A332" s="200" t="inlineStr">
        <is>
          <t>cropproddiff</t>
        </is>
      </c>
      <c r="B332" s="200" t="inlineStr">
        <is>
          <t>access_pesticide</t>
        </is>
      </c>
      <c r="C332" s="200" t="inlineStr">
        <is>
          <t>Access to pesticides</t>
        </is>
      </c>
      <c r="D332" s="200" t="inlineStr">
        <is>
          <t>الوصول إلى المبيدات الحشرية</t>
        </is>
      </c>
      <c r="E332" s="5" t="n"/>
    </row>
    <row r="333" customFormat="1" s="8">
      <c r="A333" s="200" t="inlineStr">
        <is>
          <t>cropproddiff</t>
        </is>
      </c>
      <c r="B333" s="200" t="inlineStr">
        <is>
          <t>access_labour</t>
        </is>
      </c>
      <c r="C333" s="200" t="inlineStr">
        <is>
          <t>Access to manpower labour</t>
        </is>
      </c>
      <c r="D333" s="200" t="inlineStr">
        <is>
          <t>الوصول إلى العمالة أو القوى العاملة</t>
        </is>
      </c>
      <c r="E333" s="5" t="n"/>
    </row>
    <row r="334" customFormat="1" s="8">
      <c r="A334" s="200" t="inlineStr">
        <is>
          <t>cropproddiff</t>
        </is>
      </c>
      <c r="B334" s="200" t="inlineStr">
        <is>
          <t>access_machinery</t>
        </is>
      </c>
      <c r="C334" s="200" t="inlineStr">
        <is>
          <t>Access to machinery, tools or animals for ploughing</t>
        </is>
      </c>
      <c r="D334" s="200" t="inlineStr">
        <is>
          <t>الوصول إلى آلات أو أدوات أو حيوانات للحراثة</t>
        </is>
      </c>
      <c r="E334" s="5" t="n"/>
    </row>
    <row r="335" customFormat="1" s="8">
      <c r="A335" s="200" t="inlineStr">
        <is>
          <t>cropproddiff</t>
        </is>
      </c>
      <c r="B335" s="200" t="inlineStr">
        <is>
          <t>access_fuel</t>
        </is>
      </c>
      <c r="C335" s="200" t="inlineStr">
        <is>
          <t>Access to fuel or electricity to power agricultural equipment</t>
        </is>
      </c>
      <c r="D335" s="200" t="inlineStr">
        <is>
          <t>الحصول على الوقود أو الكهرباء لتشغيل المعدات الزراعية</t>
        </is>
      </c>
      <c r="E335" s="5" t="n"/>
    </row>
    <row r="336" customFormat="1" s="8">
      <c r="A336" s="200" t="inlineStr">
        <is>
          <t>cropproddiff</t>
        </is>
      </c>
      <c r="B336" s="200" t="inlineStr">
        <is>
          <t>soil_erosion</t>
        </is>
      </c>
      <c r="C336" s="200" t="inlineStr">
        <is>
          <t>Soil erosion</t>
        </is>
      </c>
      <c r="D336" s="200" t="inlineStr">
        <is>
          <t>تعرية التربة</t>
        </is>
      </c>
      <c r="E336" s="5" t="n"/>
    </row>
    <row r="337" customFormat="1" s="8">
      <c r="A337" s="200" t="inlineStr">
        <is>
          <t>cropproddiff</t>
        </is>
      </c>
      <c r="B337" s="200" t="inlineStr">
        <is>
          <t>lack_irrigation</t>
        </is>
      </c>
      <c r="C337" s="200" t="inlineStr">
        <is>
          <t xml:space="preserve">Not enough irrigation or rainfall water </t>
        </is>
      </c>
      <c r="D337" s="200" t="inlineStr">
        <is>
          <t>عدم كفاية مياه الري أو مياه الأمطار</t>
        </is>
      </c>
      <c r="E337" s="5" t="n"/>
    </row>
    <row r="338" customFormat="1" s="8">
      <c r="A338" s="200" t="inlineStr">
        <is>
          <t>cropproddiff</t>
        </is>
      </c>
      <c r="B338" s="200" t="inlineStr">
        <is>
          <t>excess_water</t>
        </is>
      </c>
      <c r="C338" s="200" t="inlineStr">
        <is>
          <t>Too much irrigation or water (from dam rupture or heavy rainfall)</t>
        </is>
      </c>
      <c r="D338" s="200" t="inlineStr">
        <is>
          <t>زيادة مياه الري (من فيضان السد أو هطول الأمطار الغزيرة)</t>
        </is>
      </c>
      <c r="E338" s="5" t="n"/>
    </row>
    <row r="339" customFormat="1" s="8">
      <c r="A339" s="200" t="inlineStr">
        <is>
          <t>cropproddiff</t>
        </is>
      </c>
      <c r="B339" s="200" t="inlineStr">
        <is>
          <t>access_credit</t>
        </is>
      </c>
      <c r="C339" s="200" t="inlineStr">
        <is>
          <t>Access to credit/lack of financial capacity</t>
        </is>
      </c>
      <c r="D339" s="200" t="inlineStr">
        <is>
          <t>الحصول على تمويل/نقص القدرة المالية</t>
        </is>
      </c>
      <c r="E339" s="5" t="n"/>
    </row>
    <row r="340" customFormat="1" s="8">
      <c r="A340" s="200" t="inlineStr">
        <is>
          <t>cropproddiff</t>
        </is>
      </c>
      <c r="B340" s="200" t="inlineStr">
        <is>
          <t>lack_timeinterest</t>
        </is>
      </c>
      <c r="C340" s="200" t="inlineStr">
        <is>
          <t>Lack of time or interest (because the household is coping with more urgent recovery from the earthquake)</t>
        </is>
      </c>
      <c r="D340" s="200" t="inlineStr">
        <is>
          <t>قلة الوقت أو الاهتمام (لأن الأسرة تتعامل مع أولويات أكثر إلحاحًا من بعد الزلزال)</t>
        </is>
      </c>
      <c r="E340" s="5" t="n"/>
    </row>
    <row r="341" customFormat="1" s="8">
      <c r="A341" s="200" t="inlineStr">
        <is>
          <t>cropproddiff</t>
        </is>
      </c>
      <c r="B341" s="200" t="inlineStr">
        <is>
          <t>climatic_cold</t>
        </is>
      </c>
      <c r="C341" s="200" t="inlineStr">
        <is>
          <t>Climatic shocks (such as cold waves)</t>
        </is>
      </c>
      <c r="D341" s="200" t="inlineStr">
        <is>
          <t>الصدمات المناخية (مثل الموجات الباردة)</t>
        </is>
      </c>
      <c r="E341" s="5" t="n"/>
    </row>
    <row r="342" customFormat="1" s="8">
      <c r="A342" s="200" t="inlineStr">
        <is>
          <t>cropproddiff</t>
        </is>
      </c>
      <c r="B342" s="200" t="inlineStr">
        <is>
          <t>other</t>
        </is>
      </c>
      <c r="C342" s="200" t="inlineStr">
        <is>
          <t>Other</t>
        </is>
      </c>
      <c r="D342" s="200" t="inlineStr">
        <is>
          <t>آخر</t>
        </is>
      </c>
      <c r="E342" s="5" t="n"/>
    </row>
    <row r="343" customFormat="1" s="8">
      <c r="A343" s="200" t="inlineStr">
        <is>
          <t>cropproddiff</t>
        </is>
      </c>
      <c r="B343" s="200" t="inlineStr">
        <is>
          <t>dk</t>
        </is>
      </c>
      <c r="C343" s="200" t="inlineStr">
        <is>
          <t>Don't know</t>
        </is>
      </c>
      <c r="D343" s="200" t="inlineStr">
        <is>
          <t>لا أعرف</t>
        </is>
      </c>
      <c r="E343" s="5" t="n"/>
    </row>
    <row r="344" customFormat="1" s="8">
      <c r="A344" s="200" t="inlineStr">
        <is>
          <t>cropproddiff</t>
        </is>
      </c>
      <c r="B344" s="200" t="inlineStr">
        <is>
          <t>ref</t>
        </is>
      </c>
      <c r="C344" s="200" t="inlineStr">
        <is>
          <t>Refused</t>
        </is>
      </c>
      <c r="D344" s="200" t="inlineStr">
        <is>
          <t>رفض الإجابة</t>
        </is>
      </c>
      <c r="E344" s="5" t="n"/>
    </row>
    <row r="345">
      <c r="E345" s="4" t="n"/>
    </row>
    <row r="346">
      <c r="A346" t="inlineStr">
        <is>
          <t>cropsalesdiff</t>
        </is>
      </c>
      <c r="B346" t="inlineStr">
        <is>
          <t>marketing_cost</t>
        </is>
      </c>
      <c r="C346" t="inlineStr">
        <is>
          <t>High transportation or other marketing costs</t>
        </is>
      </c>
      <c r="D346" t="inlineStr">
        <is>
          <t>ارتفاع تكاليف النقل أو تكاليف التسويق الأخرى</t>
        </is>
      </c>
      <c r="E346" s="4" t="n"/>
      <c r="F346" s="256" t="n"/>
    </row>
    <row r="347">
      <c r="A347" t="inlineStr">
        <is>
          <t>cropsalesdiff</t>
        </is>
      </c>
      <c r="B347" t="inlineStr">
        <is>
          <t>damage_losses</t>
        </is>
      </c>
      <c r="C347" t="inlineStr">
        <is>
          <t>Damages and losses due to storage difficulties and/or difficulty accessing the market [e.g. insecurity, poor infrastructure, etc.]</t>
        </is>
      </c>
      <c r="D347" s="200" t="inlineStr">
        <is>
          <t>الاضرار و الخسائر نتيجة صعوبات التخزين و صعوبة الوصول الي السوق ( انعدام الامن / البنية التحتية الفقيرة و غيرها )</t>
        </is>
      </c>
      <c r="E347" s="4" t="n"/>
      <c r="F347" s="256" t="n"/>
    </row>
    <row r="348">
      <c r="A348" t="inlineStr">
        <is>
          <t>cropsalesdiff</t>
        </is>
      </c>
      <c r="B348" t="inlineStr">
        <is>
          <t>low_demand</t>
        </is>
      </c>
      <c r="C348" t="inlineStr">
        <is>
          <t xml:space="preserve">Lack of demand from usual traders or buyers </t>
        </is>
      </c>
      <c r="D348" s="200" t="inlineStr">
        <is>
          <t>قلة الطلب من المشترين و التجار المعتادين</t>
        </is>
      </c>
      <c r="E348" s="4" t="n"/>
      <c r="F348" s="256" t="n"/>
    </row>
    <row r="349">
      <c r="A349" t="inlineStr">
        <is>
          <t>cropsalesdiff</t>
        </is>
      </c>
      <c r="B349" t="inlineStr">
        <is>
          <t>pay_delay</t>
        </is>
      </c>
      <c r="C349" t="inlineStr">
        <is>
          <t>Payment delays from traders / buyers</t>
        </is>
      </c>
      <c r="D349" t="inlineStr">
        <is>
          <t>تأخر المدفوعات من التجار و المشترين</t>
        </is>
      </c>
      <c r="E349" s="4" t="n"/>
      <c r="F349" s="256" t="n"/>
    </row>
    <row r="350">
      <c r="A350" t="inlineStr">
        <is>
          <t>cropsalesdiff</t>
        </is>
      </c>
      <c r="B350" t="inlineStr">
        <is>
          <t>low_price</t>
        </is>
      </c>
      <c r="C350" t="inlineStr">
        <is>
          <t>Low selling prices [e.g. compared to input prices / inflation]</t>
        </is>
      </c>
      <c r="D350" t="inlineStr">
        <is>
          <t>انخفاض أسعار البيع ( مقارنة باسعار المدخلات / التضخم علي سبيل المثال )</t>
        </is>
      </c>
      <c r="E350" s="4" t="n"/>
      <c r="F350" s="256" t="n"/>
    </row>
    <row r="351">
      <c r="A351" t="inlineStr">
        <is>
          <t>cropsalesdiff</t>
        </is>
      </c>
      <c r="B351" t="inlineStr">
        <is>
          <t>processing</t>
        </is>
      </c>
      <c r="C351" t="inlineStr">
        <is>
          <t>Difficulty processing product [lack of processing inputs / equipment / etc]</t>
        </is>
      </c>
      <c r="D351" t="inlineStr">
        <is>
          <t xml:space="preserve">صعوبة معالجة المنتج (قلة مدخلات المعالجة ، المعدات و غيرها ) </t>
        </is>
      </c>
      <c r="E351" s="4" t="n"/>
      <c r="F351" s="256" t="n"/>
    </row>
    <row r="352">
      <c r="A352" t="inlineStr">
        <is>
          <t>cropsalesdiff</t>
        </is>
      </c>
      <c r="B352" t="inlineStr">
        <is>
          <t>competition</t>
        </is>
      </c>
      <c r="C352" t="inlineStr">
        <is>
          <t>Market flooded with products</t>
        </is>
      </c>
      <c r="D352" t="inlineStr">
        <is>
          <t>تشبع السوق بالمنتجات</t>
        </is>
      </c>
      <c r="E352" s="4" t="n"/>
      <c r="F352" s="256" t="n"/>
    </row>
    <row r="353">
      <c r="A353" t="inlineStr">
        <is>
          <t>cropsalesdiff</t>
        </is>
      </c>
      <c r="B353" t="inlineStr">
        <is>
          <t>other</t>
        </is>
      </c>
      <c r="C353" t="inlineStr">
        <is>
          <t>Other</t>
        </is>
      </c>
      <c r="D353" t="inlineStr">
        <is>
          <t>آخر</t>
        </is>
      </c>
      <c r="E353" s="4" t="n"/>
      <c r="F353" s="256" t="n"/>
    </row>
    <row r="354">
      <c r="A354" t="inlineStr">
        <is>
          <t>cropsalesdiff</t>
        </is>
      </c>
      <c r="B354" t="inlineStr">
        <is>
          <t>dk</t>
        </is>
      </c>
      <c r="C354" t="inlineStr">
        <is>
          <t>Don't know</t>
        </is>
      </c>
      <c r="D354" t="inlineStr">
        <is>
          <t>لا أعرف</t>
        </is>
      </c>
      <c r="E354" s="4" t="n"/>
      <c r="F354" s="256" t="n"/>
    </row>
    <row r="355">
      <c r="A355" t="inlineStr">
        <is>
          <t>cropsalesdiff</t>
        </is>
      </c>
      <c r="B355" t="inlineStr">
        <is>
          <t>ref</t>
        </is>
      </c>
      <c r="C355" t="inlineStr">
        <is>
          <t>Refused</t>
        </is>
      </c>
      <c r="D355" t="inlineStr">
        <is>
          <t>رفض الإجابة</t>
        </is>
      </c>
      <c r="E355" s="4" t="n"/>
      <c r="F355" s="256" t="n"/>
    </row>
    <row r="356">
      <c r="E356" s="4" t="n"/>
    </row>
    <row r="357">
      <c r="A357" s="3" t="inlineStr">
        <is>
          <t>Ismain</t>
        </is>
      </c>
      <c r="B357" s="3" t="n">
        <v>1</v>
      </c>
      <c r="C357" s="3" t="inlineStr">
        <is>
          <t>Cattle [cow / beef / veal / yak / buffalo]</t>
        </is>
      </c>
      <c r="D357" s="3" t="inlineStr">
        <is>
          <t>البقر [بقرة / ثور / عجل  / ياك / جاموس]</t>
        </is>
      </c>
      <c r="E357" s="4" t="n"/>
    </row>
    <row r="358">
      <c r="A358" s="3" t="inlineStr">
        <is>
          <t>Ismain</t>
        </is>
      </c>
      <c r="B358" s="3" t="n">
        <v>2</v>
      </c>
      <c r="C358" s="3" t="inlineStr">
        <is>
          <t>Goat</t>
        </is>
      </c>
      <c r="D358" s="3" t="inlineStr">
        <is>
          <t>الماعز</t>
        </is>
      </c>
      <c r="E358" s="4" t="n"/>
    </row>
    <row r="359">
      <c r="A359" s="3" t="inlineStr">
        <is>
          <t>Ismain</t>
        </is>
      </c>
      <c r="B359" s="3" t="n">
        <v>3</v>
      </c>
      <c r="C359" s="3" t="inlineStr">
        <is>
          <t>Sheep</t>
        </is>
      </c>
      <c r="D359" s="3" t="inlineStr">
        <is>
          <t>الأغنام</t>
        </is>
      </c>
      <c r="E359" s="4" t="n"/>
    </row>
    <row r="360">
      <c r="A360" s="3" t="inlineStr">
        <is>
          <t>Ismain</t>
        </is>
      </c>
      <c r="B360" s="3" t="n">
        <v>4</v>
      </c>
      <c r="C360" s="3" t="inlineStr">
        <is>
          <t>Swine [swine / boar / hog / etc]</t>
        </is>
      </c>
      <c r="D360" s="3" t="inlineStr">
        <is>
          <t>الخنازير [خنزير / خنزير بري / إلخ]</t>
        </is>
      </c>
      <c r="E360" s="4" t="n"/>
    </row>
    <row r="361">
      <c r="A361" s="3" t="inlineStr">
        <is>
          <t>Ismain</t>
        </is>
      </c>
      <c r="B361" s="3" t="n">
        <v>5</v>
      </c>
      <c r="C361" s="3" t="inlineStr">
        <is>
          <t>Equine [donkey / horse / etc]</t>
        </is>
      </c>
      <c r="D361" s="3" t="inlineStr">
        <is>
          <t>الحمير/ الأحصنة</t>
        </is>
      </c>
      <c r="E361" s="4" t="n"/>
    </row>
    <row r="362">
      <c r="A362" s="3" t="inlineStr">
        <is>
          <t>Ismain</t>
        </is>
      </c>
      <c r="B362" s="3" t="n">
        <v>6</v>
      </c>
      <c r="C362" s="3" t="inlineStr">
        <is>
          <t>Small domesticated mammals [rabbits / minks / guinea pigs / etc]</t>
        </is>
      </c>
      <c r="D362" s="3" t="inlineStr">
        <is>
          <t>الثدييات المستأنسة الصغيرة [الأرانب / المنك / خنازير غينيا / إلخ]</t>
        </is>
      </c>
      <c r="E362" s="4" t="n"/>
    </row>
    <row r="363">
      <c r="A363" s="3" t="inlineStr">
        <is>
          <t>Ismain</t>
        </is>
      </c>
      <c r="B363" s="3" t="n">
        <v>7</v>
      </c>
      <c r="C363" s="3" t="inlineStr">
        <is>
          <t>Poultry [chicken / guineafowl / duck / quail / turkey / etc]</t>
        </is>
      </c>
      <c r="D363" s="3" t="inlineStr">
        <is>
          <t>دواجن [دجاج / دجاج غينيا / بطة / سمان / ديك رومي / إلخ]</t>
        </is>
      </c>
      <c r="E363" s="4" t="n"/>
    </row>
    <row r="364">
      <c r="A364" s="3" t="inlineStr">
        <is>
          <t>Ismain</t>
        </is>
      </c>
      <c r="B364" s="3" t="n">
        <v>8</v>
      </c>
      <c r="C364" s="3" t="inlineStr">
        <is>
          <t>Camelids</t>
        </is>
      </c>
      <c r="D364" s="3" t="inlineStr">
        <is>
          <t>الإبل</t>
        </is>
      </c>
      <c r="E364" s="4" t="n"/>
    </row>
    <row r="365">
      <c r="A365" s="3" t="inlineStr">
        <is>
          <t>Ismain</t>
        </is>
      </c>
      <c r="B365" s="3" t="n">
        <v>9</v>
      </c>
      <c r="C365" s="3" t="inlineStr">
        <is>
          <t>Other</t>
        </is>
      </c>
      <c r="D365" s="3" t="inlineStr">
        <is>
          <t>آخر</t>
        </is>
      </c>
      <c r="E365" s="4" t="n"/>
    </row>
    <row r="366">
      <c r="A366" s="3" t="inlineStr">
        <is>
          <t>Ismain</t>
        </is>
      </c>
      <c r="B366" s="3" t="inlineStr">
        <is>
          <t>dk</t>
        </is>
      </c>
      <c r="C366" s="3" t="inlineStr">
        <is>
          <t>DON'T KNOW</t>
        </is>
      </c>
      <c r="D366" s="3" t="inlineStr">
        <is>
          <t>لا أعرف</t>
        </is>
      </c>
      <c r="E366" s="4" t="n"/>
    </row>
    <row r="367">
      <c r="A367" s="3" t="inlineStr">
        <is>
          <t>Ismain</t>
        </is>
      </c>
      <c r="B367" s="3" t="inlineStr">
        <is>
          <t>ref</t>
        </is>
      </c>
      <c r="C367" s="3" t="inlineStr">
        <is>
          <t>REFUSED</t>
        </is>
      </c>
      <c r="D367" s="3" t="inlineStr">
        <is>
          <t>رفض الإجابة</t>
        </is>
      </c>
      <c r="E367" s="4" t="n"/>
    </row>
    <row r="368">
      <c r="E368" s="4" t="n"/>
    </row>
    <row r="369">
      <c r="E369" s="4" t="n"/>
    </row>
    <row r="370">
      <c r="E370" s="4" t="n"/>
    </row>
    <row r="371">
      <c r="E371" s="4" t="n"/>
    </row>
    <row r="372">
      <c r="A372" t="inlineStr">
        <is>
          <t>lsnum</t>
        </is>
      </c>
      <c r="B372" t="inlineStr">
        <is>
          <t>no_change</t>
        </is>
      </c>
      <c r="C372" t="inlineStr">
        <is>
          <t>No significant change in livestock number</t>
        </is>
      </c>
      <c r="D372" t="inlineStr">
        <is>
          <t>لا تغيير ملحوظ في عدد الماشية</t>
        </is>
      </c>
      <c r="E372" s="4" t="n"/>
      <c r="F372" s="256" t="n"/>
    </row>
    <row r="373">
      <c r="A373" t="inlineStr">
        <is>
          <t>lsnum</t>
        </is>
      </c>
      <c r="B373" t="inlineStr">
        <is>
          <t>inc_less_sales</t>
        </is>
      </c>
      <c r="C373" t="inlineStr">
        <is>
          <t>Did not sell as many</t>
        </is>
      </c>
      <c r="D373" t="inlineStr">
        <is>
          <t>لم نتمكن البيع بنفس المقدار</t>
        </is>
      </c>
      <c r="E373" s="4" t="n"/>
      <c r="F373" s="256" t="n"/>
    </row>
    <row r="374">
      <c r="A374" t="inlineStr">
        <is>
          <t>lsnum</t>
        </is>
      </c>
      <c r="B374" t="inlineStr">
        <is>
          <t>inc_more_birth</t>
        </is>
      </c>
      <c r="C374" t="inlineStr">
        <is>
          <t>Many more were born</t>
        </is>
      </c>
      <c r="D374" t="inlineStr">
        <is>
          <t>زيادة عدد المواليد</t>
        </is>
      </c>
      <c r="E374" s="4" t="n"/>
      <c r="F374" s="256" t="n"/>
    </row>
    <row r="375">
      <c r="A375" t="inlineStr">
        <is>
          <t>lsnum</t>
        </is>
      </c>
      <c r="B375" t="inlineStr">
        <is>
          <t>inc_more_acquired</t>
        </is>
      </c>
      <c r="C375" t="inlineStr">
        <is>
          <t>Purchased or bartered more animals this year</t>
        </is>
      </c>
      <c r="D375" t="inlineStr">
        <is>
          <t>شراء أو مقايضة المزيد من الحيوانات هذا العام</t>
        </is>
      </c>
      <c r="E375" s="4" t="n"/>
      <c r="F375" s="256" t="n"/>
    </row>
    <row r="376">
      <c r="A376" t="inlineStr">
        <is>
          <t>lsnum</t>
        </is>
      </c>
      <c r="B376" t="inlineStr">
        <is>
          <t>inc_received_free</t>
        </is>
      </c>
      <c r="C376" t="inlineStr">
        <is>
          <t>Received animals for free [restocking, gift]</t>
        </is>
      </c>
      <c r="D376" t="inlineStr">
        <is>
          <t>إستلام حيوانات مجانًا [إعادة تخزين / هدية]</t>
        </is>
      </c>
      <c r="E376" s="4" t="n"/>
      <c r="F376" s="256" t="n"/>
    </row>
    <row r="377">
      <c r="A377" t="inlineStr">
        <is>
          <t>lsnum</t>
        </is>
      </c>
      <c r="B377" t="inlineStr">
        <is>
          <t>dec_poor_health</t>
        </is>
      </c>
      <c r="C377" t="inlineStr">
        <is>
          <t>Animal death due to malnutrition, drought, lack of feed</t>
        </is>
      </c>
      <c r="D377" t="inlineStr">
        <is>
          <t>وفاة الحيوانات نتيجة سوء التغذية / الجفاف / قلة الغذاء</t>
        </is>
      </c>
      <c r="E377" s="4" t="n"/>
      <c r="F377" s="256" t="n"/>
    </row>
    <row r="378">
      <c r="A378" t="inlineStr">
        <is>
          <t>lsnum</t>
        </is>
      </c>
      <c r="B378" t="inlineStr">
        <is>
          <t>dec_death</t>
        </is>
      </c>
      <c r="C378" t="inlineStr">
        <is>
          <t>Animal death due to other factors [e.g. diseases, parasites, injury]</t>
        </is>
      </c>
      <c r="D378" t="inlineStr">
        <is>
          <t>وفاة الحيوانات نتيجة عوامل أخرى ( الامراض / الطفيليات / الإصابات علي سبيل المثال )</t>
        </is>
      </c>
      <c r="E378" s="4" t="n"/>
      <c r="F378" s="256" t="n"/>
    </row>
    <row r="379">
      <c r="A379" t="inlineStr">
        <is>
          <t>lsnum</t>
        </is>
      </c>
      <c r="B379" t="inlineStr">
        <is>
          <t>dec_sales_good_price</t>
        </is>
      </c>
      <c r="C379" t="inlineStr">
        <is>
          <t>Sold more than usual because of good prices</t>
        </is>
      </c>
      <c r="D379" t="inlineStr">
        <is>
          <t>بيعت أكثر من المعتاد بسبب الأسعار الجيدة</t>
        </is>
      </c>
      <c r="E379" s="4" t="n"/>
      <c r="F379" s="256" t="n"/>
    </row>
    <row r="380">
      <c r="A380" t="inlineStr">
        <is>
          <t>lsnum</t>
        </is>
      </c>
      <c r="B380" t="inlineStr">
        <is>
          <t>dec_sales_distress</t>
        </is>
      </c>
      <c r="C380" t="inlineStr">
        <is>
          <t>Sold more than usual because of distress sales [unable to feed animal, need money urgently for household basic needs even if sales were unsustainable]</t>
        </is>
      </c>
      <c r="D380" t="inlineStr">
        <is>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is>
      </c>
      <c r="E380" s="4" t="n"/>
      <c r="F380" s="256" t="n"/>
    </row>
    <row r="381">
      <c r="A381" t="inlineStr">
        <is>
          <t>lsnum</t>
        </is>
      </c>
      <c r="B381" t="inlineStr">
        <is>
          <t>dec_escape_stolen</t>
        </is>
      </c>
      <c r="C381" t="inlineStr">
        <is>
          <t>Animal escaped or was lost or stolen</t>
        </is>
      </c>
      <c r="D381" t="inlineStr">
        <is>
          <t>هروب الحيوانات أو فقدانها أو سرقتها</t>
        </is>
      </c>
      <c r="E381" s="4" t="n"/>
      <c r="F381" s="256" t="n"/>
    </row>
    <row r="382">
      <c r="A382" t="inlineStr">
        <is>
          <t>lsnum</t>
        </is>
      </c>
      <c r="B382" t="inlineStr">
        <is>
          <t>dec_consumed</t>
        </is>
      </c>
      <c r="C382" t="inlineStr">
        <is>
          <t>Killed or gave away more animals than usual for household consumption or celebrations [marriage, funerals, etc]</t>
        </is>
      </c>
      <c r="D382" t="inlineStr">
        <is>
          <t>قتل أو توزيع حيوانات أكثر من المعتاد للاستهلاك المنزلي أو للاحتفالات [زواج / جنازات / إلخ]</t>
        </is>
      </c>
      <c r="E382" s="4" t="n"/>
      <c r="F382" s="256" t="n"/>
    </row>
    <row r="383">
      <c r="A383" t="inlineStr">
        <is>
          <t>lsnum</t>
        </is>
      </c>
      <c r="B383" t="inlineStr">
        <is>
          <t>inc_dec_other</t>
        </is>
      </c>
      <c r="C383" t="inlineStr">
        <is>
          <t>Other</t>
        </is>
      </c>
      <c r="D383" t="inlineStr">
        <is>
          <t>آخر</t>
        </is>
      </c>
      <c r="E383" s="4" t="n"/>
      <c r="F383" s="256" t="n"/>
    </row>
    <row r="384">
      <c r="A384" t="inlineStr">
        <is>
          <t>lsnum</t>
        </is>
      </c>
      <c r="B384" t="inlineStr">
        <is>
          <t>inc_dec_dk</t>
        </is>
      </c>
      <c r="C384" t="inlineStr">
        <is>
          <t>Don't know</t>
        </is>
      </c>
      <c r="D384" t="inlineStr">
        <is>
          <t>لا أعرف</t>
        </is>
      </c>
      <c r="E384" s="4" t="n"/>
      <c r="F384" s="256" t="n"/>
    </row>
    <row r="385" ht="14.25" customHeight="1">
      <c r="A385" t="inlineStr">
        <is>
          <t>lsnum</t>
        </is>
      </c>
      <c r="B385" t="inlineStr">
        <is>
          <t>inc_dec_ref</t>
        </is>
      </c>
      <c r="C385" t="inlineStr">
        <is>
          <t>Refused</t>
        </is>
      </c>
      <c r="D385" t="inlineStr">
        <is>
          <t>رفض الإجابة</t>
        </is>
      </c>
      <c r="E385" s="4" t="n"/>
      <c r="F385" s="256" t="n"/>
    </row>
    <row r="386" ht="14.25" customHeight="1">
      <c r="E386" s="4" t="n"/>
      <c r="F386" s="256" t="n"/>
    </row>
    <row r="387" ht="14.25" customFormat="1" customHeight="1" s="8">
      <c r="A387" s="200" t="inlineStr">
        <is>
          <t>lsfood</t>
        </is>
      </c>
      <c r="B387" s="200" t="inlineStr">
        <is>
          <t>open_pasture</t>
        </is>
      </c>
      <c r="C387" s="200" t="inlineStr">
        <is>
          <t>Open pasture</t>
        </is>
      </c>
      <c r="D387" s="200" t="inlineStr">
        <is>
          <t>المرعى المفتوح</t>
        </is>
      </c>
      <c r="E387" s="5" t="n"/>
    </row>
    <row r="388" ht="14.25" customFormat="1" customHeight="1" s="8">
      <c r="A388" s="200" t="inlineStr">
        <is>
          <t>lsfood</t>
        </is>
      </c>
      <c r="B388" s="200" t="inlineStr">
        <is>
          <t>common_pasture</t>
        </is>
      </c>
      <c r="C388" s="200" t="inlineStr">
        <is>
          <t>Community-managed pasture land</t>
        </is>
      </c>
      <c r="D388" s="200" t="inlineStr">
        <is>
          <t>أراضي المراعي التي يديرها المجتمع</t>
        </is>
      </c>
      <c r="E388" s="5" t="n"/>
    </row>
    <row r="389" ht="14.25" customFormat="1" customHeight="1" s="8">
      <c r="A389" s="200" t="inlineStr">
        <is>
          <t>lsfood</t>
        </is>
      </c>
      <c r="B389" s="200" t="inlineStr">
        <is>
          <t>self_produced</t>
        </is>
      </c>
      <c r="C389" s="200" t="inlineStr">
        <is>
          <t>Owned or rented field or self-produced fodder</t>
        </is>
      </c>
      <c r="D389" s="200" t="inlineStr">
        <is>
          <t>الحقول المملوكة أو المؤجرة أو الأعلاف المنتجة ذاتيا</t>
        </is>
      </c>
      <c r="E389" s="5" t="n"/>
    </row>
    <row r="390" ht="14.25" customFormat="1" customHeight="1" s="8">
      <c r="A390" s="200" t="inlineStr">
        <is>
          <t>lsfood</t>
        </is>
      </c>
      <c r="B390" s="200" t="inlineStr">
        <is>
          <t>purchased</t>
        </is>
      </c>
      <c r="C390" s="200" t="inlineStr">
        <is>
          <t>Purchase feed or fodder at the market</t>
        </is>
      </c>
      <c r="D390" s="200" t="inlineStr">
        <is>
          <t>شراء العلف من الأسواق</t>
        </is>
      </c>
      <c r="E390" s="5" t="n"/>
    </row>
    <row r="391" ht="14.25" customFormat="1" customHeight="1" s="8">
      <c r="A391" s="200" t="inlineStr">
        <is>
          <t>lsfood</t>
        </is>
      </c>
      <c r="B391" s="200" t="inlineStr">
        <is>
          <t>free_dist</t>
        </is>
      </c>
      <c r="C391" s="200" t="inlineStr">
        <is>
          <t>Free distribution</t>
        </is>
      </c>
      <c r="D391" s="200" t="inlineStr">
        <is>
          <t>التوزيع المجاني</t>
        </is>
      </c>
      <c r="E391" s="5" t="n"/>
    </row>
    <row r="392" ht="14.25" customFormat="1" customHeight="1" s="8">
      <c r="A392" s="200" t="inlineStr">
        <is>
          <t>lsfood</t>
        </is>
      </c>
      <c r="B392" s="200" t="inlineStr">
        <is>
          <t>other</t>
        </is>
      </c>
      <c r="C392" s="200" t="inlineStr">
        <is>
          <t xml:space="preserve">Other </t>
        </is>
      </c>
      <c r="D392" s="200" t="inlineStr">
        <is>
          <t>آخر</t>
        </is>
      </c>
      <c r="E392" s="5" t="n"/>
    </row>
    <row r="393" ht="14.25" customFormat="1" customHeight="1" s="8">
      <c r="A393" s="200" t="inlineStr">
        <is>
          <t>lsfood</t>
        </is>
      </c>
      <c r="B393" s="200" t="inlineStr">
        <is>
          <t>dk</t>
        </is>
      </c>
      <c r="C393" s="200" t="inlineStr">
        <is>
          <t>Don't know</t>
        </is>
      </c>
      <c r="D393" s="200" t="inlineStr">
        <is>
          <t>لا أعرف</t>
        </is>
      </c>
      <c r="E393" s="5" t="n"/>
    </row>
    <row r="394" ht="14.25" customFormat="1" customHeight="1" s="8">
      <c r="A394" s="200" t="inlineStr">
        <is>
          <t>lsfood</t>
        </is>
      </c>
      <c r="B394" s="200" t="inlineStr">
        <is>
          <t>ref</t>
        </is>
      </c>
      <c r="C394" s="200" t="inlineStr">
        <is>
          <t>Refused</t>
        </is>
      </c>
      <c r="D394" s="200" t="inlineStr">
        <is>
          <t>رفض الإجابة</t>
        </is>
      </c>
      <c r="E394" s="5" t="n"/>
    </row>
    <row r="395" ht="14.25" customFormat="1" customHeight="1" s="8">
      <c r="E395" s="5" t="n"/>
    </row>
    <row r="396" customFormat="1" s="8">
      <c r="A396" s="200" t="inlineStr">
        <is>
          <t>lsproddiff</t>
        </is>
      </c>
      <c r="B396" s="200" t="inlineStr">
        <is>
          <t>feed_purchase</t>
        </is>
      </c>
      <c r="C396" s="200" t="inlineStr">
        <is>
          <t>Difficulty to purchase feed [prices or access to market]</t>
        </is>
      </c>
      <c r="D396" s="200" t="inlineStr">
        <is>
          <t>صعوبة شراء العلف [الأسعار أو الوصول إلى السوق]</t>
        </is>
      </c>
      <c r="E396" s="5" t="n"/>
    </row>
    <row r="397" customFormat="1" s="8">
      <c r="A397" s="200" t="inlineStr">
        <is>
          <t>lsproddiff</t>
        </is>
      </c>
      <c r="B397" s="200" t="inlineStr">
        <is>
          <t>access_pasture</t>
        </is>
      </c>
      <c r="C397" s="200" t="inlineStr">
        <is>
          <t>Access to pasture</t>
        </is>
      </c>
      <c r="D397" s="200" t="inlineStr">
        <is>
          <t>الوصول إلى المراعي</t>
        </is>
      </c>
      <c r="E397" s="5" t="n"/>
    </row>
    <row r="398" customFormat="1" s="8">
      <c r="A398" s="200" t="inlineStr">
        <is>
          <t>lsproddiff</t>
        </is>
      </c>
      <c r="B398" s="200" t="inlineStr">
        <is>
          <t>access_water</t>
        </is>
      </c>
      <c r="C398" s="200" t="inlineStr">
        <is>
          <t>Access to water</t>
        </is>
      </c>
      <c r="D398" s="200" t="inlineStr">
        <is>
          <t>الحصول على الماء</t>
        </is>
      </c>
      <c r="E398" s="5" t="n"/>
    </row>
    <row r="399" customFormat="1" s="8">
      <c r="A399" s="200" t="inlineStr">
        <is>
          <t>lsproddiff</t>
        </is>
      </c>
      <c r="B399" s="200" t="inlineStr">
        <is>
          <t>vet_serv</t>
        </is>
      </c>
      <c r="C399" s="200" t="inlineStr">
        <is>
          <t>Access to veterinary services [vaccinations, treatments, spraying, advisory etc]</t>
        </is>
      </c>
      <c r="D399" s="200" t="inlineStr">
        <is>
          <t>الحصول على الخدمات البيطرية ( التطعيمات / العلاج / نصائح الرش و غيرها )</t>
        </is>
      </c>
      <c r="E399" s="5" t="n"/>
    </row>
    <row r="400" customFormat="1" s="8">
      <c r="A400" s="200" t="inlineStr">
        <is>
          <t>lsproddiff</t>
        </is>
      </c>
      <c r="B400" s="200" t="inlineStr">
        <is>
          <t>vet_input</t>
        </is>
      </c>
      <c r="C400" s="200" t="inlineStr">
        <is>
          <t>Access to veterinary inputs [medicine for animals / tools for animal health / etc]</t>
        </is>
      </c>
      <c r="D400" s="200" t="inlineStr">
        <is>
          <t>الوصول إلى المدخلات البيطرية [أدوية للحيوانات / أدوات لصحة الحيوان / إلخ]</t>
        </is>
      </c>
      <c r="E400" s="5" t="n"/>
    </row>
    <row r="401" customFormat="1" s="8">
      <c r="A401" s="200" t="inlineStr">
        <is>
          <t>lsproddiff</t>
        </is>
      </c>
      <c r="B401" s="200" t="inlineStr">
        <is>
          <t>diseases</t>
        </is>
      </c>
      <c r="C401" s="200" t="inlineStr">
        <is>
          <t>Livestock diseases or injury</t>
        </is>
      </c>
      <c r="D401" s="200" t="inlineStr">
        <is>
          <t>أمراض الماشية أو الموت</t>
        </is>
      </c>
      <c r="E401" s="5" t="n"/>
    </row>
    <row r="402" customFormat="1" s="8">
      <c r="A402" s="200" t="inlineStr">
        <is>
          <t>lsproddiff</t>
        </is>
      </c>
      <c r="B402" s="200" t="inlineStr">
        <is>
          <t>theft</t>
        </is>
      </c>
      <c r="C402" s="200" t="inlineStr">
        <is>
          <t>Livestock theft</t>
        </is>
      </c>
      <c r="D402" s="200" t="inlineStr">
        <is>
          <t>سرقة المواشي</t>
        </is>
      </c>
      <c r="E402" s="5" t="n"/>
    </row>
    <row r="403" customFormat="1" s="8">
      <c r="A403" s="200" t="inlineStr">
        <is>
          <t>lsproddiff</t>
        </is>
      </c>
      <c r="B403" s="200" t="inlineStr">
        <is>
          <t>access_market</t>
        </is>
      </c>
      <c r="C403" s="200" t="inlineStr">
        <is>
          <t>Access to livestock market to buy young animals</t>
        </is>
      </c>
      <c r="D403" s="200" t="inlineStr">
        <is>
          <t>الوصول إلى سوق المواشي لشراء الحيوانات الصغيرة العمر</t>
        </is>
      </c>
      <c r="E403" s="5" t="n"/>
    </row>
    <row r="404" customFormat="1" s="8">
      <c r="A404" s="200" t="inlineStr">
        <is>
          <t>lsproddiff</t>
        </is>
      </c>
      <c r="B404" s="200" t="inlineStr">
        <is>
          <t>access_credit</t>
        </is>
      </c>
      <c r="C404" s="200" t="inlineStr">
        <is>
          <t>Access to credit</t>
        </is>
      </c>
      <c r="D404" s="200" t="inlineStr">
        <is>
          <t>الحصول على الائتمان</t>
        </is>
      </c>
      <c r="E404" s="5" t="n"/>
    </row>
    <row r="405" customFormat="1" s="8">
      <c r="A405" s="200" t="inlineStr">
        <is>
          <t>lsproddiff</t>
        </is>
      </c>
      <c r="B405" s="200" t="inlineStr">
        <is>
          <t>access_labour</t>
        </is>
      </c>
      <c r="C405" s="200" t="inlineStr">
        <is>
          <t>Access to manpower labour</t>
        </is>
      </c>
      <c r="D405" s="200" t="inlineStr">
        <is>
          <t>الوصول إلى القوى العاملة</t>
        </is>
      </c>
      <c r="E405" s="5" t="n"/>
    </row>
    <row r="406" customFormat="1" s="8">
      <c r="A406" s="200" t="inlineStr">
        <is>
          <t>lsproddiff</t>
        </is>
      </c>
      <c r="B406" s="250" t="inlineStr">
        <is>
          <t>shelter</t>
        </is>
      </c>
      <c r="C406" s="250" t="inlineStr">
        <is>
          <t>Lack of shelter</t>
        </is>
      </c>
      <c r="D406" s="200" t="inlineStr">
        <is>
          <t>عدم وجود المأوى (تدمر في الزلزال)</t>
        </is>
      </c>
      <c r="E406" s="5" t="n"/>
    </row>
    <row r="407" customFormat="1" s="8">
      <c r="A407" s="200" t="inlineStr">
        <is>
          <t>lsproddiff</t>
        </is>
      </c>
      <c r="B407" s="200" t="inlineStr">
        <is>
          <t>other</t>
        </is>
      </c>
      <c r="C407" s="200" t="inlineStr">
        <is>
          <t>Other</t>
        </is>
      </c>
      <c r="D407" s="200" t="inlineStr">
        <is>
          <t>آخر</t>
        </is>
      </c>
      <c r="E407" s="5" t="n"/>
    </row>
    <row r="408" customFormat="1" s="8">
      <c r="A408" s="200" t="inlineStr">
        <is>
          <t>lsproddiff</t>
        </is>
      </c>
      <c r="B408" s="200" t="inlineStr">
        <is>
          <t>dk</t>
        </is>
      </c>
      <c r="C408" s="200" t="inlineStr">
        <is>
          <t>Don't know</t>
        </is>
      </c>
      <c r="D408" s="200" t="inlineStr">
        <is>
          <t>لا أعرف</t>
        </is>
      </c>
      <c r="E408" s="5" t="n"/>
    </row>
    <row r="409" customFormat="1" s="8">
      <c r="A409" s="200" t="inlineStr">
        <is>
          <t>lsproddiff</t>
        </is>
      </c>
      <c r="B409" s="200" t="inlineStr">
        <is>
          <t>ref</t>
        </is>
      </c>
      <c r="C409" s="200" t="inlineStr">
        <is>
          <t>Refused</t>
        </is>
      </c>
      <c r="D409" s="200" t="inlineStr">
        <is>
          <t>رفض الإجابة</t>
        </is>
      </c>
      <c r="E409" s="5" t="n"/>
    </row>
    <row r="410">
      <c r="B410" s="251" t="n"/>
      <c r="E410" s="4" t="n"/>
    </row>
    <row r="411">
      <c r="A411" t="inlineStr">
        <is>
          <t>salesmain</t>
        </is>
      </c>
      <c r="B411" t="n">
        <v>1</v>
      </c>
      <c r="C411" t="inlineStr">
        <is>
          <t>Cattle [cow / beef / veal / buffalo]</t>
        </is>
      </c>
      <c r="D411" t="inlineStr">
        <is>
          <t>البقر [بقرة / ثور / عجل/ جاموس]</t>
        </is>
      </c>
      <c r="E411" s="4" t="n"/>
    </row>
    <row r="412">
      <c r="A412" t="inlineStr">
        <is>
          <t>salesmain</t>
        </is>
      </c>
      <c r="B412" t="n">
        <v>2</v>
      </c>
      <c r="C412" t="inlineStr">
        <is>
          <t>Goat</t>
        </is>
      </c>
      <c r="D412" t="inlineStr">
        <is>
          <t>الماعز</t>
        </is>
      </c>
      <c r="E412" s="4" t="n"/>
    </row>
    <row r="413">
      <c r="A413" t="inlineStr">
        <is>
          <t>salesmain</t>
        </is>
      </c>
      <c r="B413" t="n">
        <v>3</v>
      </c>
      <c r="C413" t="inlineStr">
        <is>
          <t>Sheep</t>
        </is>
      </c>
      <c r="D413" t="inlineStr">
        <is>
          <t>الأغنام</t>
        </is>
      </c>
      <c r="E413" s="4" t="n"/>
    </row>
    <row r="414">
      <c r="A414" t="inlineStr">
        <is>
          <t>salesmain</t>
        </is>
      </c>
      <c r="B414" t="n">
        <v>5</v>
      </c>
      <c r="C414" t="inlineStr">
        <is>
          <t>Equine [donkey / horse / etc.]</t>
        </is>
      </c>
      <c r="D414" t="inlineStr">
        <is>
          <t>الحمير/ الأحصنة</t>
        </is>
      </c>
      <c r="E414" s="4" t="n"/>
    </row>
    <row r="415">
      <c r="A415" t="inlineStr">
        <is>
          <t>salesmain</t>
        </is>
      </c>
      <c r="B415" t="n">
        <v>6</v>
      </c>
      <c r="C415" t="inlineStr">
        <is>
          <t>Small domesticated mammals [rabbits / etc]</t>
        </is>
      </c>
      <c r="D415" t="inlineStr">
        <is>
          <t>الثدييات المستأنسة الصغيرة [الأرانب/ إلخ]</t>
        </is>
      </c>
      <c r="E415" s="4" t="n"/>
    </row>
    <row r="416">
      <c r="A416" t="inlineStr">
        <is>
          <t>salesmain</t>
        </is>
      </c>
      <c r="B416" t="n">
        <v>7</v>
      </c>
      <c r="C416" t="inlineStr">
        <is>
          <t>Poultry [chicken /duck / quail / turkey / etc.]</t>
        </is>
      </c>
      <c r="D416" t="inlineStr">
        <is>
          <t>دواجن [دجاج/ بطة / سمان / ديك رومي / إلخ]</t>
        </is>
      </c>
      <c r="E416" s="4" t="n"/>
    </row>
    <row r="417">
      <c r="A417" t="inlineStr">
        <is>
          <t>salesmain</t>
        </is>
      </c>
      <c r="B417" t="n">
        <v>8</v>
      </c>
      <c r="C417" t="inlineStr">
        <is>
          <t>Camelids</t>
        </is>
      </c>
      <c r="D417" t="inlineStr">
        <is>
          <t>الإبل</t>
        </is>
      </c>
      <c r="E417" s="4" t="n"/>
    </row>
    <row r="418">
      <c r="A418" t="inlineStr">
        <is>
          <t>salesmain</t>
        </is>
      </c>
      <c r="B418" t="n">
        <v>9</v>
      </c>
      <c r="C418" t="inlineStr">
        <is>
          <t>Eggs</t>
        </is>
      </c>
      <c r="D418" t="inlineStr">
        <is>
          <t>البيض</t>
        </is>
      </c>
      <c r="E418" s="4" t="n"/>
    </row>
    <row r="419">
      <c r="A419" t="inlineStr">
        <is>
          <t>salesmain</t>
        </is>
      </c>
      <c r="B419" t="n">
        <v>10</v>
      </c>
      <c r="C419" t="inlineStr">
        <is>
          <t>Milk or dairy products</t>
        </is>
      </c>
      <c r="D419" t="inlineStr">
        <is>
          <t>الحليب أو مشتقاته</t>
        </is>
      </c>
      <c r="E419" s="4" t="n"/>
    </row>
    <row r="420">
      <c r="A420" t="inlineStr">
        <is>
          <t>salesmain</t>
        </is>
      </c>
      <c r="B420" t="n">
        <v>11</v>
      </c>
      <c r="C420" t="inlineStr">
        <is>
          <t>Skin or leather or wool</t>
        </is>
      </c>
      <c r="D420" t="inlineStr">
        <is>
          <t>الجلد أو الصوف</t>
        </is>
      </c>
      <c r="E420" s="4" t="n"/>
    </row>
    <row r="421">
      <c r="A421" t="inlineStr">
        <is>
          <t>salesmain</t>
        </is>
      </c>
      <c r="B421" s="252" t="inlineStr">
        <is>
          <t>dk</t>
        </is>
      </c>
      <c r="C421" t="inlineStr">
        <is>
          <t>Don't know</t>
        </is>
      </c>
      <c r="D421" t="inlineStr">
        <is>
          <t>لا أعرف</t>
        </is>
      </c>
      <c r="E421" s="4" t="n"/>
    </row>
    <row r="422">
      <c r="A422" t="inlineStr">
        <is>
          <t>salesmain</t>
        </is>
      </c>
      <c r="B422" s="252" t="inlineStr">
        <is>
          <t>ref</t>
        </is>
      </c>
      <c r="C422" t="inlineStr">
        <is>
          <t>Refused</t>
        </is>
      </c>
      <c r="D422" t="inlineStr">
        <is>
          <t>رفض الإجابة</t>
        </is>
      </c>
      <c r="E422" s="4" t="n"/>
    </row>
    <row r="423">
      <c r="E423" s="4" t="n"/>
    </row>
    <row r="424" ht="16.05" customHeight="1">
      <c r="A424" t="inlineStr">
        <is>
          <t>lssalesdif</t>
        </is>
      </c>
      <c r="B424" t="inlineStr">
        <is>
          <t>marketing_cost</t>
        </is>
      </c>
      <c r="C424" t="inlineStr">
        <is>
          <t>High transportation or other marketing costs</t>
        </is>
      </c>
      <c r="D424" t="inlineStr">
        <is>
          <t>ارتفاع تكاليف النقل أو تكاليف التسويق الأخرى</t>
        </is>
      </c>
      <c r="E424" s="4" t="n"/>
      <c r="F424" s="256" t="n"/>
    </row>
    <row r="425" ht="16.05" customHeight="1">
      <c r="A425" t="inlineStr">
        <is>
          <t>lssalesdif</t>
        </is>
      </c>
      <c r="B425" t="inlineStr">
        <is>
          <t>damage_losses</t>
        </is>
      </c>
      <c r="C425" t="inlineStr">
        <is>
          <t xml:space="preserve">Damage and losses during transportation or difficulty accessing the market </t>
        </is>
      </c>
      <c r="D425" t="inlineStr">
        <is>
          <t>الأضرار والخسائر أثناء النقل أو صعوبة الوصول إلى السوق</t>
        </is>
      </c>
      <c r="E425" s="4" t="n"/>
      <c r="F425" s="256" t="n"/>
    </row>
    <row r="426" ht="16.05" customHeight="1">
      <c r="A426" t="inlineStr">
        <is>
          <t>lssalesdif</t>
        </is>
      </c>
      <c r="B426" t="inlineStr">
        <is>
          <t>low_demand</t>
        </is>
      </c>
      <c r="C426" t="inlineStr">
        <is>
          <t>Lack of demand from usual traders or buyers</t>
        </is>
      </c>
      <c r="D426" t="inlineStr">
        <is>
          <t>انخفاض الطلب من التجار و المشترين المعتادين</t>
        </is>
      </c>
      <c r="E426" s="4" t="n"/>
      <c r="F426" s="256" t="n"/>
    </row>
    <row r="427" ht="16.05" customHeight="1">
      <c r="A427" t="inlineStr">
        <is>
          <t>lssalesdif</t>
        </is>
      </c>
      <c r="B427" t="inlineStr">
        <is>
          <t>pay_delay</t>
        </is>
      </c>
      <c r="C427" t="inlineStr">
        <is>
          <t>Payment delays from traders / buyers</t>
        </is>
      </c>
      <c r="D427" t="inlineStr">
        <is>
          <t>تأخر المدفوعات من التجار و المشترين</t>
        </is>
      </c>
      <c r="E427" s="4" t="n"/>
      <c r="F427" s="256" t="n"/>
    </row>
    <row r="428" ht="16.05" customHeight="1">
      <c r="A428" t="inlineStr">
        <is>
          <t>lssalesdif</t>
        </is>
      </c>
      <c r="B428" t="inlineStr">
        <is>
          <t>low_price</t>
        </is>
      </c>
      <c r="C428" t="inlineStr">
        <is>
          <t>Low selling prices [e.g. compared to input prices / inflation]</t>
        </is>
      </c>
      <c r="D428" t="inlineStr">
        <is>
          <t>أسعار بيع منخفضة [على سبيل المثال مقارنة بأسعار المدخلات / التضخم]</t>
        </is>
      </c>
      <c r="E428" s="4" t="n"/>
      <c r="F428" s="256" t="n"/>
    </row>
    <row r="429" ht="16.05" customHeight="1">
      <c r="A429" t="inlineStr">
        <is>
          <t>lssalesdif</t>
        </is>
      </c>
      <c r="B429" t="inlineStr">
        <is>
          <t>slaughterhouse</t>
        </is>
      </c>
      <c r="C429" t="inlineStr">
        <is>
          <t>Closure of slaughterhouses or difficulties accessing slaughterhouses</t>
        </is>
      </c>
      <c r="D429" t="inlineStr">
        <is>
          <t>إغلاق المسالخ أو صعوبة الوصول إلى المسالخ</t>
        </is>
      </c>
      <c r="E429" s="4" t="n"/>
      <c r="F429" s="256" t="n"/>
    </row>
    <row r="430" ht="16.05" customHeight="1">
      <c r="A430" t="inlineStr">
        <is>
          <t>lssalesdif</t>
        </is>
      </c>
      <c r="B430" t="inlineStr">
        <is>
          <t>processing</t>
        </is>
      </c>
      <c r="C430" t="inlineStr">
        <is>
          <t>Difficulties processing product other than closure of slaughterhouse [lack of access to processing inputs / equipment / etc]</t>
        </is>
      </c>
      <c r="D430" t="inlineStr">
        <is>
          <t>صعوبات في معالجة المنتج بخلاف إغلاق المسلخ [تعثر الوصول إلى مدخلات المعالجة / المعدات / إلخ]</t>
        </is>
      </c>
      <c r="E430" s="4" t="n"/>
      <c r="F430" s="256" t="n"/>
    </row>
    <row r="431" ht="16.05" customHeight="1">
      <c r="A431" t="inlineStr">
        <is>
          <t>lssalesdif</t>
        </is>
      </c>
      <c r="B431" t="inlineStr">
        <is>
          <t>competition</t>
        </is>
      </c>
      <c r="C431" t="inlineStr">
        <is>
          <t>Market flooded with products</t>
        </is>
      </c>
      <c r="D431" t="inlineStr">
        <is>
          <t>تشبع السوق بالمنتجات</t>
        </is>
      </c>
      <c r="E431" s="4" t="n"/>
      <c r="F431" s="256" t="n"/>
    </row>
    <row r="432" ht="16.05" customHeight="1">
      <c r="A432" t="inlineStr">
        <is>
          <t>lssalesdif</t>
        </is>
      </c>
      <c r="B432" t="inlineStr">
        <is>
          <t>other</t>
        </is>
      </c>
      <c r="C432" t="inlineStr">
        <is>
          <t>Other</t>
        </is>
      </c>
      <c r="D432" t="inlineStr">
        <is>
          <t>آخر</t>
        </is>
      </c>
      <c r="E432" s="4" t="n"/>
    </row>
    <row r="433" ht="16.05" customHeight="1">
      <c r="A433" t="inlineStr">
        <is>
          <t>lssalesdif</t>
        </is>
      </c>
      <c r="B433" t="inlineStr">
        <is>
          <t>dk</t>
        </is>
      </c>
      <c r="C433" t="inlineStr">
        <is>
          <t>Don't know</t>
        </is>
      </c>
      <c r="D433" t="inlineStr">
        <is>
          <t>لا أعرف</t>
        </is>
      </c>
      <c r="E433" s="4" t="n"/>
    </row>
    <row r="434" ht="16.05" customHeight="1">
      <c r="A434" t="inlineStr">
        <is>
          <t>lssalesdif</t>
        </is>
      </c>
      <c r="B434" t="inlineStr">
        <is>
          <t>ref</t>
        </is>
      </c>
      <c r="C434" t="inlineStr">
        <is>
          <t>Refused</t>
        </is>
      </c>
      <c r="D434" t="inlineStr">
        <is>
          <t>رفض الإجابة</t>
        </is>
      </c>
      <c r="E434" s="4" t="n"/>
    </row>
    <row r="435" ht="16.05" customHeight="1">
      <c r="E435" s="4" t="n"/>
    </row>
    <row r="436">
      <c r="A436" t="inlineStr">
        <is>
          <t>fishactivity</t>
        </is>
      </c>
      <c r="B436" t="inlineStr">
        <is>
          <t>coastal</t>
        </is>
      </c>
      <c r="C436" t="inlineStr">
        <is>
          <t>Near coastal, delta, lagoon fishing</t>
        </is>
      </c>
      <c r="D436" t="inlineStr">
        <is>
          <t>الصيد الساحلي بالقرب من الساحل و الدلتا و البحيرات</t>
        </is>
      </c>
      <c r="E436" s="4" t="n"/>
      <c r="F436" s="256" t="n"/>
    </row>
    <row r="437">
      <c r="A437" t="inlineStr">
        <is>
          <t>fishactivity</t>
        </is>
      </c>
      <c r="B437" t="inlineStr">
        <is>
          <t>offshore_sea</t>
        </is>
      </c>
      <c r="C437" t="inlineStr">
        <is>
          <t>Offshore sea fishing</t>
        </is>
      </c>
      <c r="D437" t="inlineStr">
        <is>
          <t>الصيد البحري المفتوح</t>
        </is>
      </c>
      <c r="E437" s="4" t="n"/>
      <c r="F437" s="256" t="n"/>
    </row>
    <row r="438">
      <c r="A438" t="inlineStr">
        <is>
          <t>fishactivity</t>
        </is>
      </c>
      <c r="B438" t="inlineStr">
        <is>
          <t>freshwater</t>
        </is>
      </c>
      <c r="C438" t="inlineStr">
        <is>
          <t>Freshwater fishing [in lakes, reservoirs, ponds, rivers, or wetlands]</t>
        </is>
      </c>
      <c r="D438" t="inlineStr">
        <is>
          <t>صيد الأسماك في المياه العذبة [على سبيل المثال البحيرات والبرك والأنهار]</t>
        </is>
      </c>
      <c r="E438" s="4" t="n"/>
      <c r="F438" s="256" t="n"/>
    </row>
    <row r="439">
      <c r="A439" t="inlineStr">
        <is>
          <t>fishactivity</t>
        </is>
      </c>
      <c r="B439" t="inlineStr">
        <is>
          <t>aquaculture</t>
        </is>
      </c>
      <c r="C439" t="inlineStr">
        <is>
          <t>Aquaculture</t>
        </is>
      </c>
      <c r="D439" t="inlineStr">
        <is>
          <t>تربية الأحياء المائية</t>
        </is>
      </c>
      <c r="E439" s="4" t="n"/>
      <c r="F439" s="256" t="n"/>
    </row>
    <row r="440">
      <c r="A440" t="inlineStr">
        <is>
          <t>fishactivity</t>
        </is>
      </c>
      <c r="B440" t="inlineStr">
        <is>
          <t>dk</t>
        </is>
      </c>
      <c r="C440" t="inlineStr">
        <is>
          <t>Don't know</t>
        </is>
      </c>
      <c r="D440" t="inlineStr">
        <is>
          <t>لا أعرف</t>
        </is>
      </c>
      <c r="E440" s="4" t="n"/>
      <c r="F440" s="256" t="n"/>
    </row>
    <row r="441">
      <c r="A441" t="inlineStr">
        <is>
          <t>fishactivity</t>
        </is>
      </c>
      <c r="B441" t="inlineStr">
        <is>
          <t>ref</t>
        </is>
      </c>
      <c r="C441" t="inlineStr">
        <is>
          <t>Refused</t>
        </is>
      </c>
      <c r="D441" t="inlineStr">
        <is>
          <t>رفض الإجابة</t>
        </is>
      </c>
      <c r="E441" s="4" t="n"/>
      <c r="F441" s="256" t="n"/>
    </row>
    <row r="442">
      <c r="E442" s="4" t="n"/>
    </row>
    <row r="443">
      <c r="A443" t="inlineStr">
        <is>
          <t>fishproddiff</t>
        </is>
      </c>
      <c r="B443" t="inlineStr">
        <is>
          <t>find_fish</t>
        </is>
      </c>
      <c r="C443" t="inlineStr">
        <is>
          <t>Fish is more difficult to find than in previous years in the same season [fishing]</t>
        </is>
      </c>
      <c r="D443" t="inlineStr">
        <is>
          <t>يصعب العثور على الأسماك مقارنة بالسنوات السابقة في نفس الموسم</t>
        </is>
      </c>
      <c r="E443" s="4" t="n"/>
      <c r="F443" s="256" t="n"/>
    </row>
    <row r="444">
      <c r="A444" t="inlineStr">
        <is>
          <t>fishproddiff</t>
        </is>
      </c>
      <c r="B444" t="inlineStr">
        <is>
          <t>pests</t>
        </is>
      </c>
      <c r="C444" t="inlineStr">
        <is>
          <t>Fish pests and diseases [aquaculture]</t>
        </is>
      </c>
      <c r="D444" t="inlineStr">
        <is>
          <t>الآفات و الامراض السمكية ( تربية الاحياء السمكية)</t>
        </is>
      </c>
      <c r="E444" s="4" t="n"/>
      <c r="F444" s="256" t="n"/>
    </row>
    <row r="445">
      <c r="A445" t="inlineStr">
        <is>
          <t>fishproddiff</t>
        </is>
      </c>
      <c r="B445" t="inlineStr">
        <is>
          <t>access_area</t>
        </is>
      </c>
      <c r="C445" t="inlineStr">
        <is>
          <t>Access to fishing or aquaculture area [e.g. due to weather conditions]</t>
        </is>
      </c>
      <c r="D445" t="inlineStr">
        <is>
          <t>الوصول الي الاسماك أو مناطق تربية الاحياء المائية ( بسبب الطقس أو مشاكل امنية علي سبيل المثال)</t>
        </is>
      </c>
      <c r="E445" s="4" t="n"/>
      <c r="F445" s="256" t="n"/>
    </row>
    <row r="446">
      <c r="A446" t="inlineStr">
        <is>
          <t>fishproddiff</t>
        </is>
      </c>
      <c r="B446" t="inlineStr">
        <is>
          <t>fuel</t>
        </is>
      </c>
      <c r="C446" t="inlineStr">
        <is>
          <t>Access to fuel [prices higher or not available]</t>
        </is>
      </c>
      <c r="D446" t="inlineStr">
        <is>
          <t>الحصول على الوقود [أسعار أعلى أو غير متوفرة]</t>
        </is>
      </c>
      <c r="E446" s="4" t="n"/>
      <c r="F446" s="256" t="n"/>
    </row>
    <row r="447">
      <c r="A447" t="inlineStr">
        <is>
          <t>fishproddiff</t>
        </is>
      </c>
      <c r="B447" t="inlineStr">
        <is>
          <t>input_access</t>
        </is>
      </c>
      <c r="C447" t="inlineStr">
        <is>
          <t>Access to other fishing or culture inputs [prices higher or not available]</t>
        </is>
      </c>
      <c r="D447" t="inlineStr">
        <is>
          <t>الوصول إلى مواد الصيد و- أو غيرها من المدخلات [أسعار أعلى أو غير متوفرة]</t>
        </is>
      </c>
      <c r="E447" s="4" t="n"/>
      <c r="F447" s="256" t="n"/>
    </row>
    <row r="448">
      <c r="A448" t="inlineStr">
        <is>
          <t>fishproddiff</t>
        </is>
      </c>
      <c r="B448" t="inlineStr">
        <is>
          <t>labour</t>
        </is>
      </c>
      <c r="C448" t="inlineStr">
        <is>
          <t>Access to labour or crew labour [prices higher or not available]</t>
        </is>
      </c>
      <c r="D448" t="inlineStr">
        <is>
          <t>الوصول إلى العمالة أو طاقم العمل [أسعار أعلى أو غير متوفرة]</t>
        </is>
      </c>
      <c r="E448" s="4" t="n"/>
      <c r="F448" s="256" t="n"/>
    </row>
    <row r="449">
      <c r="A449" t="inlineStr">
        <is>
          <t>fishproddiff</t>
        </is>
      </c>
      <c r="B449" t="inlineStr">
        <is>
          <t>infrastructure</t>
        </is>
      </c>
      <c r="C449" t="inlineStr">
        <is>
          <t>Damage or destruction of infrastructure [ponds, cages, ports, landing sites]</t>
        </is>
      </c>
      <c r="D449" t="inlineStr">
        <is>
          <t>إتلاف أو تدمير البنية التحتية [الأحواض والأقفاص والموانئ ومواقع الإنزال]</t>
        </is>
      </c>
      <c r="E449" s="4" t="n"/>
      <c r="F449" s="256" t="n"/>
    </row>
    <row r="450">
      <c r="A450" t="inlineStr">
        <is>
          <t>fishproddiff</t>
        </is>
      </c>
      <c r="B450" t="inlineStr">
        <is>
          <t>damage_equip</t>
        </is>
      </c>
      <c r="C450" t="inlineStr">
        <is>
          <t>Damage or destruction of boats or gears</t>
        </is>
      </c>
      <c r="D450" t="inlineStr">
        <is>
          <t>إتلاف أو تدمير القوارب و المعدات</t>
        </is>
      </c>
      <c r="E450" s="4" t="n"/>
      <c r="F450" s="256" t="n"/>
    </row>
    <row r="451">
      <c r="A451" t="inlineStr">
        <is>
          <t>fishproddiff</t>
        </is>
      </c>
      <c r="B451" t="inlineStr">
        <is>
          <t>other</t>
        </is>
      </c>
      <c r="C451" t="inlineStr">
        <is>
          <t>Other [specify]</t>
        </is>
      </c>
      <c r="D451" t="inlineStr">
        <is>
          <t>آخر [حدد]</t>
        </is>
      </c>
      <c r="E451" s="4" t="n"/>
    </row>
    <row r="452">
      <c r="A452" t="inlineStr">
        <is>
          <t>fishproddiff</t>
        </is>
      </c>
      <c r="B452" t="inlineStr">
        <is>
          <t>dk</t>
        </is>
      </c>
      <c r="C452" t="inlineStr">
        <is>
          <t>Don't know</t>
        </is>
      </c>
      <c r="D452" t="inlineStr">
        <is>
          <t>لا أعرف</t>
        </is>
      </c>
      <c r="E452" s="4" t="n"/>
    </row>
    <row r="453">
      <c r="A453" t="inlineStr">
        <is>
          <t>fishproddiff</t>
        </is>
      </c>
      <c r="B453" t="inlineStr">
        <is>
          <t>ref</t>
        </is>
      </c>
      <c r="C453" t="inlineStr">
        <is>
          <t>Refused</t>
        </is>
      </c>
      <c r="D453" t="inlineStr">
        <is>
          <t>رفض الإجابة</t>
        </is>
      </c>
      <c r="E453" s="4" t="n"/>
    </row>
    <row r="454">
      <c r="E454" s="4" t="n"/>
    </row>
    <row r="455" customFormat="1" s="8">
      <c r="A455" s="200" t="inlineStr">
        <is>
          <t>fishinput</t>
        </is>
      </c>
      <c r="B455" s="200" t="inlineStr">
        <is>
          <t>bait_feed</t>
        </is>
      </c>
      <c r="C455" s="200" t="inlineStr">
        <is>
          <t>Feed or bait</t>
        </is>
      </c>
      <c r="D455" s="200" t="inlineStr">
        <is>
          <t>العلف أو الطعم</t>
        </is>
      </c>
      <c r="E455" s="5" t="n"/>
    </row>
    <row r="456" customFormat="1" s="8">
      <c r="A456" s="200" t="inlineStr">
        <is>
          <t>fishinput</t>
        </is>
      </c>
      <c r="B456" s="200" t="inlineStr">
        <is>
          <t>fingerling</t>
        </is>
      </c>
      <c r="C456" s="200" t="inlineStr">
        <is>
          <t>Fingerling</t>
        </is>
      </c>
      <c r="D456" s="200" t="inlineStr">
        <is>
          <t>الاسماك اليافعة ( صغار الاسماك )</t>
        </is>
      </c>
      <c r="E456" s="5" t="n"/>
    </row>
    <row r="457" customFormat="1" s="8">
      <c r="A457" s="200" t="inlineStr">
        <is>
          <t>fishinput</t>
        </is>
      </c>
      <c r="B457" s="200" t="inlineStr">
        <is>
          <t>gear</t>
        </is>
      </c>
      <c r="C457" s="200" t="inlineStr">
        <is>
          <t>Fishing gear [e.g. rods, hooks, nets]</t>
        </is>
      </c>
      <c r="D457" s="200" t="inlineStr">
        <is>
          <t>معدات الصيد [الشبك ، الخطاف ، القضبان علي سبيل المثال]</t>
        </is>
      </c>
      <c r="E457" s="5" t="n"/>
    </row>
    <row r="458" customFormat="1" s="8">
      <c r="A458" s="200" t="inlineStr">
        <is>
          <t>fishinput</t>
        </is>
      </c>
      <c r="B458" s="200" t="inlineStr">
        <is>
          <t>ice</t>
        </is>
      </c>
      <c r="C458" s="200" t="inlineStr">
        <is>
          <t>Ice</t>
        </is>
      </c>
      <c r="D458" s="200" t="inlineStr">
        <is>
          <t>الجليد (الثلج)</t>
        </is>
      </c>
      <c r="E458" s="5" t="n"/>
    </row>
    <row r="459" customFormat="1" s="8">
      <c r="A459" s="200" t="inlineStr">
        <is>
          <t>fishinput</t>
        </is>
      </c>
      <c r="B459" s="200" t="inlineStr">
        <is>
          <t>fuel</t>
        </is>
      </c>
      <c r="C459" s="200" t="inlineStr">
        <is>
          <t>Fuel</t>
        </is>
      </c>
      <c r="D459" s="200" t="inlineStr">
        <is>
          <t>الوقود</t>
        </is>
      </c>
      <c r="E459" s="5" t="n"/>
    </row>
    <row r="460" customFormat="1" s="8">
      <c r="A460" s="200" t="inlineStr">
        <is>
          <t>fishinput</t>
        </is>
      </c>
      <c r="B460" s="200" t="inlineStr">
        <is>
          <t>boatrepairs</t>
        </is>
      </c>
      <c r="C460" s="200" t="inlineStr">
        <is>
          <t>Equipment repairs [including boats] or spare parts</t>
        </is>
      </c>
      <c r="D460" s="200" t="inlineStr">
        <is>
          <t>اصلاح المعدات بما فيها القوارب و قطع الغيار</t>
        </is>
      </c>
      <c r="E460" s="5" t="n"/>
    </row>
    <row r="461" customFormat="1" s="8">
      <c r="A461" s="200" t="inlineStr">
        <is>
          <t>fishinput</t>
        </is>
      </c>
      <c r="B461" s="200" t="inlineStr">
        <is>
          <t>labour</t>
        </is>
      </c>
      <c r="C461" s="200" t="inlineStr">
        <is>
          <t>Labour</t>
        </is>
      </c>
      <c r="D461" s="200" t="inlineStr">
        <is>
          <t>العمالة</t>
        </is>
      </c>
      <c r="E461" s="5" t="n"/>
    </row>
    <row r="462" customFormat="1" s="8">
      <c r="A462" s="200" t="inlineStr">
        <is>
          <t>fishinput</t>
        </is>
      </c>
      <c r="B462" s="200" t="inlineStr">
        <is>
          <t>other</t>
        </is>
      </c>
      <c r="C462" s="200" t="inlineStr">
        <is>
          <t>Other [specify]</t>
        </is>
      </c>
      <c r="D462" s="200" t="inlineStr">
        <is>
          <t>آخر [حدد]</t>
        </is>
      </c>
      <c r="E462" s="5" t="n"/>
    </row>
    <row r="463" customFormat="1" s="8">
      <c r="A463" s="200" t="inlineStr">
        <is>
          <t>fishinput</t>
        </is>
      </c>
      <c r="B463" s="200" t="inlineStr">
        <is>
          <t>dk</t>
        </is>
      </c>
      <c r="C463" s="200" t="inlineStr">
        <is>
          <t>Don't know</t>
        </is>
      </c>
      <c r="D463" s="200" t="inlineStr">
        <is>
          <t>لا أعرف</t>
        </is>
      </c>
      <c r="E463" s="5" t="n"/>
    </row>
    <row r="464" customFormat="1" s="8">
      <c r="A464" s="200" t="inlineStr">
        <is>
          <t>fishinput</t>
        </is>
      </c>
      <c r="B464" s="200" t="inlineStr">
        <is>
          <t>ref</t>
        </is>
      </c>
      <c r="C464" s="200" t="inlineStr">
        <is>
          <t>Refused</t>
        </is>
      </c>
      <c r="D464" s="200" t="inlineStr">
        <is>
          <t>رفض الإجابة</t>
        </is>
      </c>
      <c r="E464" s="5" t="n"/>
    </row>
    <row r="465">
      <c r="E465" s="4" t="n"/>
    </row>
    <row r="466">
      <c r="A466" t="inlineStr">
        <is>
          <t>fishsales</t>
        </is>
      </c>
      <c r="B466" t="n">
        <v>1</v>
      </c>
      <c r="C466" t="inlineStr">
        <is>
          <t>Fresh fish [any kind, including invertebrates]</t>
        </is>
      </c>
      <c r="D466" t="inlineStr">
        <is>
          <t>السمك الطازج [أي نوع بما في ذلك اللافقاريات]</t>
        </is>
      </c>
      <c r="E466" s="4" t="n"/>
    </row>
    <row r="467">
      <c r="A467" t="inlineStr">
        <is>
          <t>fishsales</t>
        </is>
      </c>
      <c r="B467" t="n">
        <v>2</v>
      </c>
      <c r="C467" t="inlineStr">
        <is>
          <t>Preserved fish [including dry fish, smoked fish, fermented fish, salt fish]</t>
        </is>
      </c>
      <c r="D467" t="inlineStr">
        <is>
          <t>الاسماك المحفوظة [بما في ذلك الاسماك الجافة / الاسماك المدخنة / الاسماك المملحة]</t>
        </is>
      </c>
      <c r="E467" s="4" t="n"/>
    </row>
    <row r="468">
      <c r="A468" t="inlineStr">
        <is>
          <t>fishsales</t>
        </is>
      </c>
      <c r="B468" t="n">
        <v>3</v>
      </c>
      <c r="C468" t="inlineStr">
        <is>
          <t>Frozen fish</t>
        </is>
      </c>
      <c r="D468" t="inlineStr">
        <is>
          <t>الاسماك المجمدة</t>
        </is>
      </c>
      <c r="E468" s="4" t="n"/>
    </row>
    <row r="469">
      <c r="A469" t="inlineStr">
        <is>
          <t>fishsales</t>
        </is>
      </c>
      <c r="B469" t="n">
        <v>4</v>
      </c>
      <c r="C469" t="inlineStr">
        <is>
          <t>Canned fish</t>
        </is>
      </c>
      <c r="D469" t="inlineStr">
        <is>
          <t>الاسماك المعلبة</t>
        </is>
      </c>
      <c r="E469" s="4" t="n"/>
    </row>
    <row r="470">
      <c r="A470" t="inlineStr">
        <is>
          <t>fishsales</t>
        </is>
      </c>
      <c r="B470" s="200" t="inlineStr">
        <is>
          <t>other</t>
        </is>
      </c>
      <c r="C470" t="inlineStr">
        <is>
          <t>Other [specify]</t>
        </is>
      </c>
      <c r="D470" t="inlineStr">
        <is>
          <t>آخر [حدد]</t>
        </is>
      </c>
      <c r="E470" s="4" t="n"/>
    </row>
    <row r="471">
      <c r="A471" t="inlineStr">
        <is>
          <t>fishsales</t>
        </is>
      </c>
      <c r="B471" s="200" t="inlineStr">
        <is>
          <t>dk</t>
        </is>
      </c>
      <c r="C471" t="inlineStr">
        <is>
          <t>Don't know</t>
        </is>
      </c>
      <c r="D471" t="inlineStr">
        <is>
          <t>لا أعرف</t>
        </is>
      </c>
      <c r="E471" s="4" t="n"/>
    </row>
    <row r="472">
      <c r="A472" t="inlineStr">
        <is>
          <t>fishsales</t>
        </is>
      </c>
      <c r="B472" s="200" t="inlineStr">
        <is>
          <t>ref</t>
        </is>
      </c>
      <c r="C472" t="inlineStr">
        <is>
          <t>Refused</t>
        </is>
      </c>
      <c r="D472" t="inlineStr">
        <is>
          <t>رفض الإجابة</t>
        </is>
      </c>
      <c r="E472" s="4" t="n"/>
    </row>
    <row r="473">
      <c r="E473" s="4" t="n"/>
    </row>
    <row r="474">
      <c r="A474" t="inlineStr">
        <is>
          <t>fishsalesdif</t>
        </is>
      </c>
      <c r="B474" t="inlineStr">
        <is>
          <t>marketing_cost</t>
        </is>
      </c>
      <c r="C474" t="inlineStr">
        <is>
          <t>High transportation or other marketing costs</t>
        </is>
      </c>
      <c r="D474" t="inlineStr">
        <is>
          <t>ارتفاع تكاليف النقل أو تكاليف التسويق الأخرى</t>
        </is>
      </c>
      <c r="E474" s="4" t="n"/>
      <c r="F474" s="256" t="n"/>
    </row>
    <row r="475">
      <c r="A475" t="inlineStr">
        <is>
          <t>fishsalesdif</t>
        </is>
      </c>
      <c r="B475" t="inlineStr">
        <is>
          <t>damage_losses</t>
        </is>
      </c>
      <c r="C475" t="inlineStr">
        <is>
          <t>Deterioration and losses due to storage difficulties or delays or inability to physically access markets</t>
        </is>
      </c>
      <c r="D475" t="inlineStr">
        <is>
          <t>الأضرار والخسائر الناتجة عن صعوبات في التخزين أو التأخير أو عدم القدرة على الوصول  إلى الأسواق</t>
        </is>
      </c>
      <c r="E475" s="4" t="n"/>
      <c r="F475" s="256" t="n"/>
    </row>
    <row r="476">
      <c r="A476" t="inlineStr">
        <is>
          <t>fishsalesdif</t>
        </is>
      </c>
      <c r="B476" t="inlineStr">
        <is>
          <t>low_demand</t>
        </is>
      </c>
      <c r="C476" t="inlineStr">
        <is>
          <t>Lack of demand from usual buyers/traders</t>
        </is>
      </c>
      <c r="D476" t="inlineStr">
        <is>
          <t>قلة الطلب من التجار أو المشترين المعتادين</t>
        </is>
      </c>
      <c r="E476" s="4" t="n"/>
      <c r="F476" s="256" t="n"/>
    </row>
    <row r="477">
      <c r="A477" t="inlineStr">
        <is>
          <t>fishsalesdif</t>
        </is>
      </c>
      <c r="B477" t="inlineStr">
        <is>
          <t>pay_delay</t>
        </is>
      </c>
      <c r="C477" t="inlineStr">
        <is>
          <t xml:space="preserve">Payment delays from traders/buyers </t>
        </is>
      </c>
      <c r="D477" t="inlineStr">
        <is>
          <t xml:space="preserve">تأخر المدفوعات من التجار و المشترين </t>
        </is>
      </c>
      <c r="E477" s="4" t="n"/>
      <c r="F477" s="256" t="n"/>
    </row>
    <row r="478">
      <c r="A478" t="inlineStr">
        <is>
          <t>fishsalesdif</t>
        </is>
      </c>
      <c r="B478" t="inlineStr">
        <is>
          <t>low_prices</t>
        </is>
      </c>
      <c r="C478" t="inlineStr">
        <is>
          <t>Low selling prices [e.g. compared to input prices / inflation]</t>
        </is>
      </c>
      <c r="D478" t="inlineStr">
        <is>
          <t>أسعار بيع منخفضة [على سبيل المثال مقارنة بأسعار المدخلات / التضخم]</t>
        </is>
      </c>
      <c r="E478" s="4" t="n"/>
      <c r="F478" s="256" t="n"/>
    </row>
    <row r="479">
      <c r="A479" t="inlineStr">
        <is>
          <t>fishsalesdif</t>
        </is>
      </c>
      <c r="B479" t="inlineStr">
        <is>
          <t>processing</t>
        </is>
      </c>
      <c r="C479" t="inlineStr">
        <is>
          <t>Difficulties processing product [lack of access to processing inputs / equipment / etc]</t>
        </is>
      </c>
      <c r="D479" t="inlineStr">
        <is>
          <t>صعوبات في معالجة المنتج [تعثر الوصول إلى مدخلات المعالجة / المعدات / إلخ]</t>
        </is>
      </c>
      <c r="E479" s="4" t="n"/>
      <c r="F479" s="256" t="n"/>
    </row>
    <row r="480">
      <c r="A480" t="inlineStr">
        <is>
          <t>fishsalesdif</t>
        </is>
      </c>
      <c r="B480" t="inlineStr">
        <is>
          <t>competition</t>
        </is>
      </c>
      <c r="C480" t="inlineStr">
        <is>
          <t>Market flooded with product</t>
        </is>
      </c>
      <c r="D480" t="inlineStr">
        <is>
          <t>تشبع السوق بالمنتجات</t>
        </is>
      </c>
      <c r="E480" s="4" t="n"/>
      <c r="F480" s="256" t="n"/>
    </row>
    <row r="481">
      <c r="A481" t="inlineStr">
        <is>
          <t>fishsalesdif</t>
        </is>
      </c>
      <c r="B481" t="inlineStr">
        <is>
          <t>other</t>
        </is>
      </c>
      <c r="C481" t="inlineStr">
        <is>
          <t>Other</t>
        </is>
      </c>
      <c r="D481" t="inlineStr">
        <is>
          <t xml:space="preserve">آخر </t>
        </is>
      </c>
      <c r="E481" s="4" t="n"/>
    </row>
    <row r="482">
      <c r="A482" t="inlineStr">
        <is>
          <t>fishsalesdif</t>
        </is>
      </c>
      <c r="B482" t="inlineStr">
        <is>
          <t>dk</t>
        </is>
      </c>
      <c r="C482" t="inlineStr">
        <is>
          <t>Don't know</t>
        </is>
      </c>
      <c r="D482" t="inlineStr">
        <is>
          <t>لا أعرف</t>
        </is>
      </c>
      <c r="E482" s="4" t="n"/>
    </row>
    <row r="483">
      <c r="A483" t="inlineStr">
        <is>
          <t>fishsalesdif</t>
        </is>
      </c>
      <c r="B483" t="inlineStr">
        <is>
          <t>ref</t>
        </is>
      </c>
      <c r="C483" t="inlineStr">
        <is>
          <t>Refused</t>
        </is>
      </c>
      <c r="D483" t="inlineStr">
        <is>
          <t>رفض الإجابة</t>
        </is>
      </c>
      <c r="E483" s="4" t="n"/>
    </row>
    <row r="484">
      <c r="E484" s="4" t="n"/>
    </row>
    <row r="485">
      <c r="A485" t="inlineStr">
        <is>
          <t>frequency</t>
        </is>
      </c>
      <c r="B485" t="n">
        <v>1</v>
      </c>
      <c r="C485" t="inlineStr">
        <is>
          <t>Rarely (1-2 times in the past 30 days)</t>
        </is>
      </c>
      <c r="D485" t="inlineStr">
        <is>
          <t>نادرًا (مرة إلى مرتين في الثلاثين يومًا الماضية)</t>
        </is>
      </c>
      <c r="E485" s="4" t="n"/>
    </row>
    <row r="486">
      <c r="A486" t="inlineStr">
        <is>
          <t>frequency</t>
        </is>
      </c>
      <c r="B486" t="n">
        <v>2</v>
      </c>
      <c r="C486" t="inlineStr">
        <is>
          <t>Sometimes (3-10 times in the past 30 days)</t>
        </is>
      </c>
      <c r="D486" t="inlineStr">
        <is>
          <t>في بعض الأحيان (3-10 مرات في الثلاثين يومًا الماضية)</t>
        </is>
      </c>
      <c r="E486" s="4" t="n"/>
    </row>
    <row r="487">
      <c r="A487" t="inlineStr">
        <is>
          <t>frequency</t>
        </is>
      </c>
      <c r="B487" t="n">
        <v>3</v>
      </c>
      <c r="C487" t="inlineStr">
        <is>
          <t>Often (more than 10 times in the last 30 days)</t>
        </is>
      </c>
      <c r="D487" t="inlineStr">
        <is>
          <t>في كثير من الأحيان (أكثر من 10 مرات في آخر 30 يومًا)</t>
        </is>
      </c>
      <c r="E487" s="4" t="n"/>
    </row>
    <row r="488">
      <c r="A488" t="inlineStr">
        <is>
          <t>frequency</t>
        </is>
      </c>
      <c r="B488" t="inlineStr">
        <is>
          <t>dk</t>
        </is>
      </c>
      <c r="C488" t="inlineStr">
        <is>
          <t xml:space="preserve">Don't know </t>
        </is>
      </c>
      <c r="D488" t="inlineStr">
        <is>
          <t>لا أعرف</t>
        </is>
      </c>
      <c r="E488" s="4" t="n"/>
    </row>
    <row r="489">
      <c r="A489" t="inlineStr">
        <is>
          <t>frequency</t>
        </is>
      </c>
      <c r="B489" s="252" t="inlineStr">
        <is>
          <t>ref</t>
        </is>
      </c>
      <c r="C489" t="inlineStr">
        <is>
          <t>Refused</t>
        </is>
      </c>
      <c r="D489" t="inlineStr">
        <is>
          <t>رفض الإجابة</t>
        </is>
      </c>
      <c r="E489" s="4" t="n"/>
    </row>
    <row r="490">
      <c r="E490" s="4" t="n"/>
    </row>
    <row r="491">
      <c r="A491" t="inlineStr">
        <is>
          <t>coping</t>
        </is>
      </c>
      <c r="B491" t="n">
        <v>1</v>
      </c>
      <c r="C491" t="inlineStr">
        <is>
          <t>Yes</t>
        </is>
      </c>
      <c r="D491" t="inlineStr">
        <is>
          <t>نعم</t>
        </is>
      </c>
      <c r="E491" s="4" t="n"/>
    </row>
    <row r="492">
      <c r="A492" t="inlineStr">
        <is>
          <t>coping</t>
        </is>
      </c>
      <c r="B492" t="n">
        <v>2</v>
      </c>
      <c r="C492" t="inlineStr">
        <is>
          <t>No - because it wasn’t necessary</t>
        </is>
      </c>
      <c r="D492" t="inlineStr">
        <is>
          <t>لا - لأنه لم يكن ذلك ضرورياً</t>
        </is>
      </c>
      <c r="E492" s="4" t="n"/>
    </row>
    <row r="493">
      <c r="A493" t="inlineStr">
        <is>
          <t>coping</t>
        </is>
      </c>
      <c r="B493" t="n">
        <v>3</v>
      </c>
      <c r="C493" t="inlineStr">
        <is>
          <t>No - because you already sold those assets or did this activity within the last 12 months and you cannot continue to do it</t>
        </is>
      </c>
      <c r="D493" t="inlineStr">
        <is>
          <t>لا - لأننا بعنا تلك الأصول من قبل أو لجأنا إلى هذه الإستراتيجية خلال الـ 12 شهرًا الماضية ولا يمكننا الاستمرار في القيام بذلك</t>
        </is>
      </c>
      <c r="E493" s="4" t="n"/>
    </row>
    <row r="494">
      <c r="A494" t="inlineStr">
        <is>
          <t>coping</t>
        </is>
      </c>
      <c r="B494" t="n">
        <v>4</v>
      </c>
      <c r="C494" t="inlineStr">
        <is>
          <t>Not applicable</t>
        </is>
      </c>
      <c r="D494" t="inlineStr">
        <is>
          <t>لا ينطبق</t>
        </is>
      </c>
      <c r="E494" s="4" t="n"/>
    </row>
    <row r="495">
      <c r="A495" t="inlineStr">
        <is>
          <t>coping</t>
        </is>
      </c>
      <c r="B495" s="252" t="inlineStr">
        <is>
          <t>dk</t>
        </is>
      </c>
      <c r="C495" t="inlineStr">
        <is>
          <t>Don't know</t>
        </is>
      </c>
      <c r="D495" t="inlineStr">
        <is>
          <t>لا أعرف</t>
        </is>
      </c>
      <c r="E495" s="4" t="n"/>
    </row>
    <row r="496">
      <c r="A496" t="inlineStr">
        <is>
          <t>coping</t>
        </is>
      </c>
      <c r="B496" s="252" t="inlineStr">
        <is>
          <t>ref</t>
        </is>
      </c>
      <c r="C496" t="inlineStr">
        <is>
          <t>Refused</t>
        </is>
      </c>
      <c r="D496" t="inlineStr">
        <is>
          <t>رفض الإجابة</t>
        </is>
      </c>
      <c r="E496" s="4" t="n"/>
    </row>
    <row r="497">
      <c r="E497" s="4" t="n"/>
    </row>
    <row r="498">
      <c r="A498" t="inlineStr">
        <is>
          <t>needs</t>
        </is>
      </c>
      <c r="B498" t="inlineStr">
        <is>
          <t>food</t>
        </is>
      </c>
      <c r="C498" t="inlineStr">
        <is>
          <t>Food</t>
        </is>
      </c>
      <c r="D498" t="inlineStr">
        <is>
          <t>الطعام</t>
        </is>
      </c>
      <c r="E498" s="4" t="n"/>
      <c r="F498" s="256" t="n"/>
    </row>
    <row r="499">
      <c r="A499" t="inlineStr">
        <is>
          <t>needs</t>
        </is>
      </c>
      <c r="B499" t="inlineStr">
        <is>
          <t>cash</t>
        </is>
      </c>
      <c r="C499" t="inlineStr">
        <is>
          <t>Cash</t>
        </is>
      </c>
      <c r="D499" t="inlineStr">
        <is>
          <t xml:space="preserve">المساعدة النقدية </t>
        </is>
      </c>
      <c r="E499" s="4" t="n"/>
      <c r="F499" s="256" t="n"/>
    </row>
    <row r="500">
      <c r="A500" t="inlineStr">
        <is>
          <t>needs</t>
        </is>
      </c>
      <c r="B500" t="inlineStr">
        <is>
          <t>vouchers_fair</t>
        </is>
      </c>
      <c r="C500" t="inlineStr">
        <is>
          <t>Vouchers or input trade fairs</t>
        </is>
      </c>
      <c r="D500" t="inlineStr">
        <is>
          <t xml:space="preserve">قسائم المشتريات </t>
        </is>
      </c>
      <c r="E500" s="4" t="n"/>
      <c r="F500" s="256" t="n"/>
    </row>
    <row r="501">
      <c r="A501" t="inlineStr">
        <is>
          <t>needs</t>
        </is>
      </c>
      <c r="B501" t="inlineStr">
        <is>
          <t>crop_inputs</t>
        </is>
      </c>
      <c r="C501" t="inlineStr">
        <is>
          <t>Inputs for crop and/or vegetable production [e.g. seeds, fertilizer, tools]</t>
        </is>
      </c>
      <c r="D501" t="inlineStr">
        <is>
          <t xml:space="preserve">مدخلات انتاج المحاصيل و الخضروات [على سبيل المثال البذور و الاسمدة و المعدات] </t>
        </is>
      </c>
      <c r="E501" s="4" t="n"/>
      <c r="F501" s="256" t="n"/>
    </row>
    <row r="502">
      <c r="A502" t="inlineStr">
        <is>
          <t>needs</t>
        </is>
      </c>
      <c r="B502" t="inlineStr">
        <is>
          <t>crop_infrastructure</t>
        </is>
      </c>
      <c r="C502" t="inlineStr">
        <is>
          <t>Infrastructure for crop and/or vegetable production [e.g. irrigation, canal rehabilitation, pumps]</t>
        </is>
      </c>
      <c r="D502" t="inlineStr">
        <is>
          <t>البنية التحتية لانتاج المحاصيل و الخضروات [على سبيل المثال الري، اعادة تأهيل قنوات الري و المضخات]</t>
        </is>
      </c>
      <c r="E502" s="4" t="n"/>
      <c r="F502" s="256" t="n"/>
    </row>
    <row r="503">
      <c r="A503" t="inlineStr">
        <is>
          <t>needs</t>
        </is>
      </c>
      <c r="B503" t="inlineStr">
        <is>
          <t>crop_knowledge</t>
        </is>
      </c>
      <c r="C503" t="inlineStr">
        <is>
          <t>Training &amp; technical knowledge/advice for crop production</t>
        </is>
      </c>
      <c r="D503" t="inlineStr">
        <is>
          <t xml:space="preserve">التدريبات المهنية و المعرفة / النصائح التقنية لإنتاج المحاصيل </t>
        </is>
      </c>
      <c r="E503" s="4" t="n"/>
      <c r="F503" s="256" t="n"/>
    </row>
    <row r="504">
      <c r="A504" t="inlineStr">
        <is>
          <t>needs</t>
        </is>
      </c>
      <c r="B504" t="inlineStr">
        <is>
          <t>ls_feed</t>
        </is>
      </c>
      <c r="C504" t="inlineStr">
        <is>
          <t>Livestock feed [fodder or supplementary feed]</t>
        </is>
      </c>
      <c r="D504" t="inlineStr">
        <is>
          <t>أعلاف أو متممات عذائية</t>
        </is>
      </c>
      <c r="E504" s="4" t="n"/>
      <c r="F504" s="256" t="n"/>
    </row>
    <row r="505">
      <c r="A505" t="inlineStr">
        <is>
          <t>needs</t>
        </is>
      </c>
      <c r="B505" t="inlineStr">
        <is>
          <t>ls_vet_service</t>
        </is>
      </c>
      <c r="C505" t="inlineStr">
        <is>
          <t>Veterinary services [e.g. vaccination, dips, deworming]</t>
        </is>
      </c>
      <c r="D505" t="inlineStr">
        <is>
          <t>الخدمات البيطرية [على سبيل المثال التطعيم والتخلص من الديدان]</t>
        </is>
      </c>
      <c r="E505" s="4" t="n"/>
      <c r="F505" s="256" t="n"/>
    </row>
    <row r="506">
      <c r="A506" t="inlineStr">
        <is>
          <t>needs</t>
        </is>
      </c>
      <c r="B506" t="inlineStr">
        <is>
          <t>ls_infrastructure</t>
        </is>
      </c>
      <c r="C506" t="inlineStr">
        <is>
          <t>Infrastructure for livestock [e.g. water points, transhumance corridors, shelter, health points]</t>
        </is>
      </c>
      <c r="D506" t="inlineStr">
        <is>
          <t>البنية التحتية لانتاج الماشية [على سبيل المثال نقاط المياه ، ممرات التنقل الرعوي ، المأوى ، النقاط الصحية]</t>
        </is>
      </c>
      <c r="E506" s="4" t="n"/>
      <c r="F506" s="256" t="n"/>
    </row>
    <row r="507">
      <c r="A507" t="inlineStr">
        <is>
          <t>needs</t>
        </is>
      </c>
      <c r="B507" t="inlineStr">
        <is>
          <t>ls_knowledge</t>
        </is>
      </c>
      <c r="C507" t="inlineStr">
        <is>
          <t>Training &amp; technical knowledge/advice for livestock production</t>
        </is>
      </c>
      <c r="D507" t="inlineStr">
        <is>
          <t xml:space="preserve">التدريبات المهنية و المعرفة / النصائح التقنية لانتاج الماشية </t>
        </is>
      </c>
      <c r="E507" s="4" t="n"/>
      <c r="F507" s="256" t="n"/>
    </row>
    <row r="508">
      <c r="A508" t="inlineStr">
        <is>
          <t>needs</t>
        </is>
      </c>
      <c r="B508" t="inlineStr">
        <is>
          <t>fish_inputs</t>
        </is>
      </c>
      <c r="C508" t="inlineStr">
        <is>
          <t>Inputs for fishing or aquaculture production</t>
        </is>
      </c>
      <c r="D508" t="inlineStr">
        <is>
          <t xml:space="preserve"> المدخلات لانتاج الاسماك و تربية الاحياء المائية</t>
        </is>
      </c>
      <c r="E508" s="4" t="n"/>
      <c r="F508" s="256" t="n"/>
    </row>
    <row r="509">
      <c r="A509" t="inlineStr">
        <is>
          <t>needs</t>
        </is>
      </c>
      <c r="B509" t="inlineStr">
        <is>
          <t>fish_infrastructure</t>
        </is>
      </c>
      <c r="C509" t="inlineStr">
        <is>
          <t>Infrastructure for fisheries or aquaculture production [e.g. rehabilitation of port; repair of ponds]</t>
        </is>
      </c>
      <c r="D509" t="inlineStr">
        <is>
          <t>البنية التحتية لانتاج مصايد الاسماك و تربية الاحياء المائية  [اعادة تأهيل الموانيء و اصلاح البرك علي سبيل المثال]</t>
        </is>
      </c>
      <c r="E509" s="4" t="n"/>
      <c r="F509" s="256" t="n"/>
    </row>
    <row r="510">
      <c r="A510" t="inlineStr">
        <is>
          <t>needs</t>
        </is>
      </c>
      <c r="B510" t="inlineStr">
        <is>
          <t>fish_knowledge</t>
        </is>
      </c>
      <c r="C510" t="inlineStr">
        <is>
          <t>Training &amp; technical knowledge/advice for fisheries or aquaculture production</t>
        </is>
      </c>
      <c r="D510" t="inlineStr">
        <is>
          <t>التدريبات المهنية و المعرفة / النصائح التقنية لانتاج مصايد الاسماك و تربية الاحياء المائية</t>
        </is>
      </c>
      <c r="E510" s="4" t="n"/>
      <c r="F510" s="256" t="n"/>
    </row>
    <row r="511">
      <c r="A511" t="inlineStr">
        <is>
          <t>needs</t>
        </is>
      </c>
      <c r="B511" t="inlineStr">
        <is>
          <t>env_infra_rehab</t>
        </is>
      </c>
      <c r="C511" t="inlineStr">
        <is>
          <t>Environmental or infrastructure rehabilitation [community-wide]</t>
        </is>
      </c>
      <c r="D511" t="inlineStr">
        <is>
          <t xml:space="preserve">اعادة ترميم البنية التحتية و البيئية ( علي نطاق مجتمعي ) </t>
        </is>
      </c>
      <c r="E511" s="4" t="n"/>
      <c r="F511" s="256" t="n"/>
    </row>
    <row r="512">
      <c r="A512" t="inlineStr">
        <is>
          <t>needs</t>
        </is>
      </c>
      <c r="B512" t="inlineStr">
        <is>
          <t>cold_storage</t>
        </is>
      </c>
      <c r="C512" t="inlineStr">
        <is>
          <t>Cold storage</t>
        </is>
      </c>
      <c r="D512" t="inlineStr">
        <is>
          <t>التخزين البارد</t>
        </is>
      </c>
      <c r="E512" s="4" t="n"/>
      <c r="F512" s="256" t="n"/>
    </row>
    <row r="513">
      <c r="A513" t="inlineStr">
        <is>
          <t>needs</t>
        </is>
      </c>
      <c r="B513" t="inlineStr">
        <is>
          <t>marketing_supp</t>
        </is>
      </c>
      <c r="C513" t="inlineStr">
        <is>
          <t>Marketing or sales support [e.g. public procurement]</t>
        </is>
      </c>
      <c r="D513" t="inlineStr">
        <is>
          <t>دعم المبيعات أو التسويق [المشتريات العامة علي سبيل المثال]</t>
        </is>
      </c>
      <c r="E513" s="4" t="n"/>
      <c r="F513" s="256" t="n"/>
    </row>
    <row r="514">
      <c r="A514" t="inlineStr">
        <is>
          <t>needs</t>
        </is>
      </c>
      <c r="B514" t="inlineStr">
        <is>
          <t>other</t>
        </is>
      </c>
      <c r="C514" t="inlineStr">
        <is>
          <t>Other [specify]</t>
        </is>
      </c>
      <c r="D514" t="inlineStr">
        <is>
          <t>آخر [حدد]</t>
        </is>
      </c>
      <c r="E514" s="4" t="n"/>
    </row>
    <row r="515">
      <c r="A515" t="inlineStr">
        <is>
          <t>needs</t>
        </is>
      </c>
      <c r="B515" t="inlineStr">
        <is>
          <t>dk</t>
        </is>
      </c>
      <c r="C515" t="inlineStr">
        <is>
          <t>Don't know</t>
        </is>
      </c>
      <c r="D515" t="inlineStr">
        <is>
          <t>لا أعرف</t>
        </is>
      </c>
      <c r="E515" s="4" t="n"/>
    </row>
    <row r="516">
      <c r="A516" t="inlineStr">
        <is>
          <t>needs</t>
        </is>
      </c>
      <c r="B516" t="inlineStr">
        <is>
          <t>ref</t>
        </is>
      </c>
      <c r="C516" t="inlineStr">
        <is>
          <t>Refused</t>
        </is>
      </c>
      <c r="D516" t="inlineStr">
        <is>
          <t>رفض الإجابة</t>
        </is>
      </c>
      <c r="E516" s="4" t="n"/>
    </row>
    <row r="517">
      <c r="E517" s="4" t="n"/>
    </row>
    <row r="518">
      <c r="A518" t="inlineStr">
        <is>
          <t>needreceived</t>
        </is>
      </c>
      <c r="B518" t="inlineStr">
        <is>
          <t>food</t>
        </is>
      </c>
      <c r="C518" t="inlineStr">
        <is>
          <t>Food</t>
        </is>
      </c>
      <c r="D518" t="inlineStr">
        <is>
          <t>الغذاء</t>
        </is>
      </c>
      <c r="E518" s="4" t="n"/>
      <c r="F518" s="256" t="n"/>
    </row>
    <row r="519">
      <c r="A519" t="inlineStr">
        <is>
          <t>needreceived</t>
        </is>
      </c>
      <c r="B519" t="inlineStr">
        <is>
          <t>cash</t>
        </is>
      </c>
      <c r="C519" t="inlineStr">
        <is>
          <t xml:space="preserve">Cash </t>
        </is>
      </c>
      <c r="D519" t="inlineStr">
        <is>
          <t xml:space="preserve">مساعدة نقدية </t>
        </is>
      </c>
      <c r="E519" s="4" t="n"/>
      <c r="F519" s="256" t="n"/>
    </row>
    <row r="520">
      <c r="A520" t="inlineStr">
        <is>
          <t>needreceived</t>
        </is>
      </c>
      <c r="B520" t="inlineStr">
        <is>
          <t>vouchers_fair</t>
        </is>
      </c>
      <c r="C520" t="inlineStr">
        <is>
          <t>Vouchers/input trade fairs</t>
        </is>
      </c>
      <c r="D520" t="inlineStr">
        <is>
          <t>قسائم المشتريات</t>
        </is>
      </c>
      <c r="E520" s="4" t="n"/>
      <c r="F520" s="256" t="n"/>
    </row>
    <row r="521">
      <c r="A521" t="inlineStr">
        <is>
          <t>needreceived</t>
        </is>
      </c>
      <c r="B521" t="inlineStr">
        <is>
          <t>crop_assist</t>
        </is>
      </c>
      <c r="C521" t="inlineStr">
        <is>
          <t>Crop and/or vegetable production assistance</t>
        </is>
      </c>
      <c r="D521" t="inlineStr">
        <is>
          <t>مساعدة لانتاج المحاصيل و الخضروات</t>
        </is>
      </c>
      <c r="E521" s="4" t="n"/>
      <c r="F521" s="256" t="n"/>
    </row>
    <row r="522">
      <c r="A522" t="inlineStr">
        <is>
          <t>needreceived</t>
        </is>
      </c>
      <c r="B522" t="inlineStr">
        <is>
          <t>ls_assist</t>
        </is>
      </c>
      <c r="C522" t="inlineStr">
        <is>
          <t>Livestock assistance</t>
        </is>
      </c>
      <c r="D522" t="inlineStr">
        <is>
          <t xml:space="preserve">مساعدة لانتاج الماشية </t>
        </is>
      </c>
      <c r="E522" s="4" t="n"/>
      <c r="F522" s="256" t="n"/>
    </row>
    <row r="523">
      <c r="A523" t="inlineStr">
        <is>
          <t>needreceived</t>
        </is>
      </c>
      <c r="B523" t="inlineStr">
        <is>
          <t>fish_assist</t>
        </is>
      </c>
      <c r="C523" t="inlineStr">
        <is>
          <t>Fisheries and/or aquaculture assistance</t>
        </is>
      </c>
      <c r="D523" t="inlineStr">
        <is>
          <t xml:space="preserve">مساعدة لانتاج مصايد الاسماك و تربية الاحياء المائية </t>
        </is>
      </c>
      <c r="E523" s="4" t="n"/>
      <c r="F523" s="256" t="n"/>
    </row>
    <row r="524">
      <c r="A524" t="inlineStr">
        <is>
          <t>needreceived</t>
        </is>
      </c>
      <c r="B524" t="inlineStr">
        <is>
          <t>rehabilitation</t>
        </is>
      </c>
      <c r="C524" t="inlineStr">
        <is>
          <t>Environmental or infrastructure rehabilitation [community-wide]</t>
        </is>
      </c>
      <c r="D524" t="inlineStr">
        <is>
          <t xml:space="preserve">اعادة تأهيل البنية التحتية و البيئية علي نطاق مجتمعي </t>
        </is>
      </c>
      <c r="E524" s="4" t="n"/>
      <c r="F524" s="256" t="n"/>
    </row>
    <row r="525">
      <c r="A525" t="inlineStr">
        <is>
          <t>needreceived</t>
        </is>
      </c>
      <c r="B525" t="inlineStr">
        <is>
          <t>sales_support</t>
        </is>
      </c>
      <c r="C525" t="inlineStr">
        <is>
          <t>Marketing or sales support [e.g. public procurement]</t>
        </is>
      </c>
      <c r="D525" t="inlineStr">
        <is>
          <t>دعم المبيعات أو التسويق [المشتريات العامة على سبيل المثال]</t>
        </is>
      </c>
      <c r="E525" s="4" t="n"/>
      <c r="F525" s="256" t="n"/>
    </row>
    <row r="526">
      <c r="A526" t="inlineStr">
        <is>
          <t>needreceived</t>
        </is>
      </c>
      <c r="B526" t="inlineStr">
        <is>
          <t>other</t>
        </is>
      </c>
      <c r="C526" t="inlineStr">
        <is>
          <t>Other [specify]</t>
        </is>
      </c>
      <c r="D526" t="inlineStr">
        <is>
          <t>آخر [حدد]</t>
        </is>
      </c>
      <c r="E526" s="4" t="n"/>
      <c r="F526" s="256" t="n"/>
    </row>
    <row r="527">
      <c r="A527" t="inlineStr">
        <is>
          <t>needreceived</t>
        </is>
      </c>
      <c r="B527" t="inlineStr">
        <is>
          <t>none</t>
        </is>
      </c>
      <c r="C527" t="inlineStr">
        <is>
          <t>No assistance received</t>
        </is>
      </c>
      <c r="D527" t="inlineStr">
        <is>
          <t>لم تتلق المساعدة</t>
        </is>
      </c>
      <c r="E527" s="4" t="n"/>
      <c r="F527" s="256" t="n"/>
    </row>
    <row r="528">
      <c r="A528" t="inlineStr">
        <is>
          <t>needreceived</t>
        </is>
      </c>
      <c r="B528" t="inlineStr">
        <is>
          <t>dk</t>
        </is>
      </c>
      <c r="C528" t="inlineStr">
        <is>
          <t xml:space="preserve">Don't know </t>
        </is>
      </c>
      <c r="D528" t="inlineStr">
        <is>
          <t>لا أعرف</t>
        </is>
      </c>
      <c r="E528" s="4" t="n"/>
    </row>
    <row r="529">
      <c r="A529" t="inlineStr">
        <is>
          <t>needreceived</t>
        </is>
      </c>
      <c r="B529" t="inlineStr">
        <is>
          <t>ref</t>
        </is>
      </c>
      <c r="C529" t="inlineStr">
        <is>
          <t>Refused</t>
        </is>
      </c>
      <c r="D529" t="inlineStr">
        <is>
          <t>رفض الإجابة</t>
        </is>
      </c>
      <c r="E529" s="4" t="n"/>
    </row>
    <row r="530">
      <c r="E530" s="4" t="n"/>
    </row>
    <row r="531">
      <c r="A531" t="inlineStr">
        <is>
          <t>assist_quality</t>
        </is>
      </c>
      <c r="B531" t="n">
        <v>1</v>
      </c>
      <c r="C531" t="inlineStr">
        <is>
          <t>Yes</t>
        </is>
      </c>
      <c r="D531" t="inlineStr">
        <is>
          <t>نعم</t>
        </is>
      </c>
      <c r="E531" s="4" t="n"/>
      <c r="F531" s="256" t="n"/>
    </row>
    <row r="532">
      <c r="A532" t="inlineStr">
        <is>
          <t>assist_quality</t>
        </is>
      </c>
      <c r="B532" t="n">
        <v>2</v>
      </c>
      <c r="C532" t="inlineStr">
        <is>
          <t>No - not received on time</t>
        </is>
      </c>
      <c r="D532" t="inlineStr">
        <is>
          <t>لا - لم يتم استلامها في الوقت المحدد</t>
        </is>
      </c>
      <c r="E532" s="4" t="n"/>
      <c r="F532" s="256" t="n"/>
    </row>
    <row r="533">
      <c r="A533" t="inlineStr">
        <is>
          <t>assist_quality</t>
        </is>
      </c>
      <c r="B533" t="n">
        <v>3</v>
      </c>
      <c r="C533" t="inlineStr">
        <is>
          <t>No - did not meet my needs</t>
        </is>
      </c>
      <c r="D533" t="inlineStr">
        <is>
          <t>لا - لم تلبي احتياجاتي</t>
        </is>
      </c>
      <c r="E533" s="4" t="n"/>
      <c r="F533" s="256" t="n"/>
    </row>
    <row r="534">
      <c r="A534" t="inlineStr">
        <is>
          <t>assist_quality</t>
        </is>
      </c>
      <c r="B534" t="n">
        <v>4</v>
      </c>
      <c r="C534" t="inlineStr">
        <is>
          <t>No - quantity was not sufficient</t>
        </is>
      </c>
      <c r="D534" t="inlineStr">
        <is>
          <t>لا - الكمية لم تكن كافية</t>
        </is>
      </c>
      <c r="E534" s="4" t="n"/>
      <c r="F534" s="256" t="n"/>
    </row>
    <row r="535">
      <c r="A535" t="inlineStr">
        <is>
          <t>assist_quality</t>
        </is>
      </c>
      <c r="B535" t="n">
        <v>5</v>
      </c>
      <c r="C535" t="inlineStr">
        <is>
          <t>No - there was a problem with the provider</t>
        </is>
      </c>
      <c r="D535" t="inlineStr">
        <is>
          <t>لا - حدثت مشكلة مع المزود</t>
        </is>
      </c>
      <c r="E535" s="4" t="n"/>
      <c r="F535" s="256" t="n"/>
    </row>
    <row r="536">
      <c r="A536" t="inlineStr">
        <is>
          <t>assist_quality</t>
        </is>
      </c>
      <c r="B536" t="n">
        <v>6</v>
      </c>
      <c r="C536" t="inlineStr">
        <is>
          <t>No - there was a malfunction of the in-kind assistance provided [e.g. poor quality tools]</t>
        </is>
      </c>
      <c r="D536" t="inlineStr">
        <is>
          <t>لا - حدث خلل في المساعدة العينية المقدمة [على سبيل المثال أدوات ذات جودة رديئة]</t>
        </is>
      </c>
      <c r="E536" s="4" t="n"/>
      <c r="F536" s="256" t="n"/>
    </row>
    <row r="537">
      <c r="A537" t="inlineStr">
        <is>
          <t>assist_quality</t>
        </is>
      </c>
      <c r="B537" t="inlineStr">
        <is>
          <t>dk</t>
        </is>
      </c>
      <c r="C537" s="3" t="inlineStr">
        <is>
          <t>Don't know</t>
        </is>
      </c>
      <c r="D537" t="inlineStr">
        <is>
          <t>لا أعرف</t>
        </is>
      </c>
      <c r="E537" s="4" t="n"/>
      <c r="F537" s="256" t="n"/>
    </row>
    <row r="538">
      <c r="A538" t="inlineStr">
        <is>
          <t>assist_quality</t>
        </is>
      </c>
      <c r="B538" t="inlineStr">
        <is>
          <t>ref</t>
        </is>
      </c>
      <c r="C538" t="inlineStr">
        <is>
          <t>Refused</t>
        </is>
      </c>
      <c r="D538" t="inlineStr">
        <is>
          <t>رفض الإجابة</t>
        </is>
      </c>
      <c r="E538" s="4" t="n"/>
      <c r="F538" s="256" t="n"/>
    </row>
    <row r="539">
      <c r="E539" s="4" t="n"/>
      <c r="F539" s="256" t="n"/>
    </row>
    <row r="540">
      <c r="A540" t="inlineStr">
        <is>
          <t>provider</t>
        </is>
      </c>
      <c r="B540" t="inlineStr">
        <is>
          <t>fao</t>
        </is>
      </c>
      <c r="C540" t="inlineStr">
        <is>
          <t>FAO</t>
        </is>
      </c>
      <c r="D540" t="inlineStr">
        <is>
          <t>منطمة الاغذية و الزراعة للأمم المتحدة  FAO</t>
        </is>
      </c>
      <c r="E540" s="4" t="n"/>
      <c r="F540" s="256" t="n"/>
    </row>
    <row r="541">
      <c r="A541" t="inlineStr">
        <is>
          <t>provider</t>
        </is>
      </c>
      <c r="B541" t="inlineStr">
        <is>
          <t>wfp</t>
        </is>
      </c>
      <c r="C541" t="inlineStr">
        <is>
          <t>WFP</t>
        </is>
      </c>
      <c r="D541" t="inlineStr">
        <is>
          <t>برنامج الغذاء العالمي WFP</t>
        </is>
      </c>
      <c r="E541" s="4" t="n"/>
      <c r="F541" s="256" t="n"/>
    </row>
    <row r="542">
      <c r="A542" t="inlineStr">
        <is>
          <t>provider</t>
        </is>
      </c>
      <c r="B542" t="inlineStr">
        <is>
          <t>otherun</t>
        </is>
      </c>
      <c r="C542" t="inlineStr">
        <is>
          <t>Other UN agencies</t>
        </is>
      </c>
      <c r="D542" t="inlineStr">
        <is>
          <t>منظمات أخرى تابعة للامم المتحدة</t>
        </is>
      </c>
      <c r="E542" s="4" t="n"/>
      <c r="F542" s="256" t="n"/>
    </row>
    <row r="543">
      <c r="A543" t="inlineStr">
        <is>
          <t>provider</t>
        </is>
      </c>
      <c r="B543" t="inlineStr">
        <is>
          <t>gov</t>
        </is>
      </c>
      <c r="C543" t="inlineStr">
        <is>
          <t>Government</t>
        </is>
      </c>
      <c r="D543" t="inlineStr">
        <is>
          <t>جهات حكومية</t>
        </is>
      </c>
      <c r="E543" s="4" t="n"/>
      <c r="F543" s="256" t="n"/>
    </row>
    <row r="544">
      <c r="A544" t="inlineStr">
        <is>
          <t>provider</t>
        </is>
      </c>
      <c r="B544" t="inlineStr">
        <is>
          <t>ngo</t>
        </is>
      </c>
      <c r="C544" t="inlineStr">
        <is>
          <t>Non-governmental/local organization</t>
        </is>
      </c>
      <c r="D544" t="inlineStr">
        <is>
          <t xml:space="preserve">منظمة محلية / غير حكومية </t>
        </is>
      </c>
      <c r="E544" s="4" t="n"/>
      <c r="F544" s="256" t="n"/>
    </row>
    <row r="545">
      <c r="A545" t="inlineStr">
        <is>
          <t>provider</t>
        </is>
      </c>
      <c r="B545" t="inlineStr">
        <is>
          <t>other</t>
        </is>
      </c>
      <c r="C545" t="inlineStr">
        <is>
          <t>Other (specify)</t>
        </is>
      </c>
      <c r="D545" t="inlineStr">
        <is>
          <t>آخر (حدد)</t>
        </is>
      </c>
      <c r="E545" s="4" t="n"/>
      <c r="F545" s="256" t="n"/>
    </row>
    <row r="546">
      <c r="A546" t="inlineStr">
        <is>
          <t>provider</t>
        </is>
      </c>
      <c r="B546" t="inlineStr">
        <is>
          <t>dk</t>
        </is>
      </c>
      <c r="C546" s="3" t="inlineStr">
        <is>
          <t>Don't know</t>
        </is>
      </c>
      <c r="D546" t="inlineStr">
        <is>
          <t>لا أعرف</t>
        </is>
      </c>
      <c r="E546" s="4" t="n"/>
      <c r="F546" s="256" t="n"/>
    </row>
    <row r="547">
      <c r="A547" t="inlineStr">
        <is>
          <t>provider</t>
        </is>
      </c>
      <c r="B547" t="inlineStr">
        <is>
          <t>ref</t>
        </is>
      </c>
      <c r="C547" t="inlineStr">
        <is>
          <t>Refused</t>
        </is>
      </c>
      <c r="D547" t="inlineStr">
        <is>
          <t>رفض الإجابة</t>
        </is>
      </c>
      <c r="E547" s="4" t="n"/>
    </row>
    <row r="548">
      <c r="E548" s="4" t="n"/>
    </row>
    <row r="549">
      <c r="A549" t="inlineStr">
        <is>
          <t>week</t>
        </is>
      </c>
      <c r="B549" t="inlineStr">
        <is>
          <t>mon</t>
        </is>
      </c>
      <c r="C549" t="inlineStr">
        <is>
          <t>Monday</t>
        </is>
      </c>
      <c r="D549" t="inlineStr">
        <is>
          <t>الاثنين</t>
        </is>
      </c>
      <c r="E549" s="4" t="n"/>
    </row>
    <row r="550">
      <c r="A550" t="inlineStr">
        <is>
          <t>week</t>
        </is>
      </c>
      <c r="B550" t="inlineStr">
        <is>
          <t>tues</t>
        </is>
      </c>
      <c r="C550" t="inlineStr">
        <is>
          <t>Tuesday</t>
        </is>
      </c>
      <c r="D550" t="inlineStr">
        <is>
          <t>الثلاثاء</t>
        </is>
      </c>
      <c r="E550" s="4" t="n"/>
    </row>
    <row r="551">
      <c r="A551" t="inlineStr">
        <is>
          <t>week</t>
        </is>
      </c>
      <c r="B551" t="inlineStr">
        <is>
          <t>wed</t>
        </is>
      </c>
      <c r="C551" t="inlineStr">
        <is>
          <t>Wednesday</t>
        </is>
      </c>
      <c r="D551" t="inlineStr">
        <is>
          <t>الأربعاء</t>
        </is>
      </c>
      <c r="E551" s="4" t="n"/>
    </row>
    <row r="552">
      <c r="A552" t="inlineStr">
        <is>
          <t>week</t>
        </is>
      </c>
      <c r="B552" t="inlineStr">
        <is>
          <t>thurs</t>
        </is>
      </c>
      <c r="C552" t="inlineStr">
        <is>
          <t>Thursday</t>
        </is>
      </c>
      <c r="D552" t="inlineStr">
        <is>
          <t>الخميس</t>
        </is>
      </c>
      <c r="E552" s="4" t="n"/>
    </row>
    <row r="553">
      <c r="A553" t="inlineStr">
        <is>
          <t>week</t>
        </is>
      </c>
      <c r="B553" t="inlineStr">
        <is>
          <t>fri</t>
        </is>
      </c>
      <c r="C553" t="inlineStr">
        <is>
          <t>Friday</t>
        </is>
      </c>
      <c r="D553" t="inlineStr">
        <is>
          <t>الجمعة</t>
        </is>
      </c>
      <c r="E553" s="4" t="n"/>
    </row>
    <row r="554">
      <c r="A554" t="inlineStr">
        <is>
          <t>week</t>
        </is>
      </c>
      <c r="B554" t="inlineStr">
        <is>
          <t>sat</t>
        </is>
      </c>
      <c r="C554" t="inlineStr">
        <is>
          <t>Saturday</t>
        </is>
      </c>
      <c r="D554" t="inlineStr">
        <is>
          <t>السبت</t>
        </is>
      </c>
      <c r="E554" s="4" t="n"/>
    </row>
    <row r="555">
      <c r="A555" t="inlineStr">
        <is>
          <t>week</t>
        </is>
      </c>
      <c r="B555" t="inlineStr">
        <is>
          <t>sun</t>
        </is>
      </c>
      <c r="C555" t="inlineStr">
        <is>
          <t>Sunday</t>
        </is>
      </c>
      <c r="D555" t="inlineStr">
        <is>
          <t>الأحد</t>
        </is>
      </c>
      <c r="E555" s="4" t="n"/>
    </row>
    <row r="556">
      <c r="E556" s="4" t="n"/>
    </row>
    <row r="557">
      <c r="A557" t="inlineStr">
        <is>
          <t>time</t>
        </is>
      </c>
      <c r="B557" t="inlineStr">
        <is>
          <t>morn</t>
        </is>
      </c>
      <c r="C557" t="inlineStr">
        <is>
          <t>Mornings</t>
        </is>
      </c>
      <c r="D557" t="inlineStr">
        <is>
          <t>الصباح</t>
        </is>
      </c>
      <c r="E557" s="4" t="n"/>
    </row>
    <row r="558">
      <c r="A558" t="inlineStr">
        <is>
          <t>time</t>
        </is>
      </c>
      <c r="B558" t="inlineStr">
        <is>
          <t>aft</t>
        </is>
      </c>
      <c r="C558" t="inlineStr">
        <is>
          <t>Afternoons</t>
        </is>
      </c>
      <c r="D558" t="inlineStr">
        <is>
          <t>بعد الظهر</t>
        </is>
      </c>
      <c r="E558" s="4" t="n"/>
    </row>
    <row r="559">
      <c r="A559" t="inlineStr">
        <is>
          <t>time</t>
        </is>
      </c>
      <c r="B559" t="inlineStr">
        <is>
          <t>eve</t>
        </is>
      </c>
      <c r="C559" t="inlineStr">
        <is>
          <t>Evenings</t>
        </is>
      </c>
      <c r="D559" t="inlineStr">
        <is>
          <t>المساء</t>
        </is>
      </c>
      <c r="E559" s="4" t="n"/>
    </row>
    <row r="560">
      <c r="A560" s="253" t="n"/>
      <c r="B560" s="253" t="n"/>
      <c r="C560" s="253" t="n"/>
      <c r="E560" s="4" t="n"/>
      <c r="F560" s="253" t="n"/>
    </row>
    <row r="561" ht="16.05" customHeight="1">
      <c r="A561" s="3" t="inlineStr">
        <is>
          <t>seeds_access_issue</t>
        </is>
      </c>
      <c r="B561" s="221" t="n">
        <v>1</v>
      </c>
      <c r="C561" s="221" t="inlineStr">
        <is>
          <t>Seeds are not available in usual shops</t>
        </is>
      </c>
      <c r="D561" s="254" t="inlineStr">
        <is>
          <t>البذور غير متوفرة من المتاجر المعتادة أو التجار</t>
        </is>
      </c>
      <c r="E561" s="4" t="n"/>
    </row>
    <row r="562" ht="16.05" customHeight="1">
      <c r="A562" s="3" t="inlineStr">
        <is>
          <t>seeds_access_issue</t>
        </is>
      </c>
      <c r="B562" s="221" t="n">
        <v>2</v>
      </c>
      <c r="C562" s="221" t="inlineStr">
        <is>
          <t>Seeds are available in limited quantities</t>
        </is>
      </c>
      <c r="D562" s="254" t="inlineStr">
        <is>
          <t>البذور متوفرة بكميات محدودة</t>
        </is>
      </c>
      <c r="E562" s="4" t="n"/>
    </row>
    <row r="563" ht="16.05" customHeight="1">
      <c r="A563" s="3" t="inlineStr">
        <is>
          <t>seeds_access_issue</t>
        </is>
      </c>
      <c r="B563" s="221" t="n">
        <v>3</v>
      </c>
      <c r="C563" s="221" t="inlineStr">
        <is>
          <t>Seed varieties usually purchased are not available now</t>
        </is>
      </c>
      <c r="D563" s="254" t="inlineStr">
        <is>
          <t>نوع البذور الذي يتم شراؤها عادة غير متوفر الآن</t>
        </is>
      </c>
      <c r="E563" s="4" t="n"/>
    </row>
    <row r="564" ht="16.05" customHeight="1">
      <c r="A564" s="3" t="inlineStr">
        <is>
          <t>seeds_access_issue</t>
        </is>
      </c>
      <c r="B564" s="221" t="n">
        <v>4</v>
      </c>
      <c r="C564" s="221" t="inlineStr">
        <is>
          <t>Prices of seeds are much higher than usual</t>
        </is>
      </c>
      <c r="D564" s="254" t="inlineStr">
        <is>
          <t>أسعار البذور أعلى بكثير من المعتاد</t>
        </is>
      </c>
      <c r="E564" s="4" t="n"/>
    </row>
    <row r="565" ht="16.05" customHeight="1">
      <c r="A565" s="3" t="inlineStr">
        <is>
          <t>seeds_access_issue</t>
        </is>
      </c>
      <c r="B565" s="221" t="n">
        <v>5</v>
      </c>
      <c r="C565" s="221" t="inlineStr">
        <is>
          <t>Lack the financial capacity to purchase seeds</t>
        </is>
      </c>
      <c r="D565" s="254" t="inlineStr">
        <is>
          <t>عدم توفر القدرة المالية لشراء البذور</t>
        </is>
      </c>
      <c r="E565" s="4" t="n"/>
    </row>
    <row r="566" ht="16.05" customHeight="1">
      <c r="A566" s="3" t="inlineStr">
        <is>
          <t>seeds_access_issue</t>
        </is>
      </c>
      <c r="B566" s="221" t="n">
        <v>6</v>
      </c>
      <c r="C566" s="221" t="inlineStr">
        <is>
          <t>No issue</t>
        </is>
      </c>
      <c r="D566" s="254" t="inlineStr">
        <is>
          <t>لا شيء</t>
        </is>
      </c>
      <c r="E566" s="4" t="n"/>
    </row>
    <row r="567" ht="16.05" customHeight="1">
      <c r="A567" s="3" t="inlineStr">
        <is>
          <t>seeds_access_issue</t>
        </is>
      </c>
      <c r="B567" s="221" t="inlineStr">
        <is>
          <t>other</t>
        </is>
      </c>
      <c r="C567" s="221" t="inlineStr">
        <is>
          <t>Other (specify)</t>
        </is>
      </c>
      <c r="D567" t="inlineStr">
        <is>
          <t>آخر (حدد)</t>
        </is>
      </c>
      <c r="E567" s="4" t="n"/>
    </row>
    <row r="568">
      <c r="E568" s="4" t="n"/>
    </row>
    <row r="569" ht="16.05" customHeight="1">
      <c r="A569" s="3" t="inlineStr">
        <is>
          <t>fertilizers_access_issue</t>
        </is>
      </c>
      <c r="B569" s="221" t="n">
        <v>1</v>
      </c>
      <c r="C569" s="221" t="inlineStr">
        <is>
          <t>Fertilizers are not available in usual shops</t>
        </is>
      </c>
      <c r="D569" s="254" t="inlineStr">
        <is>
          <t>الاسمدة غير متوفرة من المتاجر المعتادة أو التجار</t>
        </is>
      </c>
      <c r="E569" s="4" t="n"/>
    </row>
    <row r="570" ht="16.05" customHeight="1">
      <c r="A570" s="3" t="inlineStr">
        <is>
          <t>fertilizers_access_issue</t>
        </is>
      </c>
      <c r="B570" s="221" t="n">
        <v>2</v>
      </c>
      <c r="C570" s="221" t="inlineStr">
        <is>
          <t>Fertilizers are available in limited quantities</t>
        </is>
      </c>
      <c r="D570" s="254" t="inlineStr">
        <is>
          <t>الاسمدة متوفرة بكميات محدودة</t>
        </is>
      </c>
      <c r="E570" s="4" t="n"/>
    </row>
    <row r="571" ht="16.05" customHeight="1">
      <c r="A571" s="3" t="inlineStr">
        <is>
          <t>fertilizers_access_issue</t>
        </is>
      </c>
      <c r="B571" s="221" t="n">
        <v>3</v>
      </c>
      <c r="C571" s="221" t="inlineStr">
        <is>
          <t>Fertilizer types usually purchased are not available now</t>
        </is>
      </c>
      <c r="D571" s="254" t="inlineStr">
        <is>
          <t>نوع الاسمدة الذي يتم شراؤها عادة غير متوفر الآن</t>
        </is>
      </c>
      <c r="E571" s="4" t="n"/>
    </row>
    <row r="572" ht="16.05" customHeight="1">
      <c r="A572" s="3" t="inlineStr">
        <is>
          <t>fertilizers_access_issue</t>
        </is>
      </c>
      <c r="B572" s="221" t="n">
        <v>4</v>
      </c>
      <c r="C572" s="221" t="inlineStr">
        <is>
          <t>Prices of fertilizers are much higher than usual</t>
        </is>
      </c>
      <c r="D572" s="254" t="inlineStr">
        <is>
          <t>أسعار الاسمدة أعلى بكثير من المعتاد</t>
        </is>
      </c>
      <c r="E572" s="4" t="n"/>
    </row>
    <row r="573" ht="16.05" customHeight="1">
      <c r="A573" s="3" t="inlineStr">
        <is>
          <t>fertilizers_access_issue</t>
        </is>
      </c>
      <c r="B573" s="221" t="n">
        <v>5</v>
      </c>
      <c r="C573" s="221" t="inlineStr">
        <is>
          <t>Lack the financial capacity to purchase fertilizers</t>
        </is>
      </c>
      <c r="D573" s="254" t="inlineStr">
        <is>
          <t xml:space="preserve">عدم توفر القدرة المالية لشراء الاسمدة </t>
        </is>
      </c>
      <c r="E573" s="4" t="n"/>
    </row>
    <row r="574" ht="16.05" customHeight="1">
      <c r="A574" s="3" t="inlineStr">
        <is>
          <t>fertilizers_access_issue</t>
        </is>
      </c>
      <c r="B574" s="221" t="n">
        <v>6</v>
      </c>
      <c r="C574" s="221" t="inlineStr">
        <is>
          <t>No issue</t>
        </is>
      </c>
      <c r="D574" s="254" t="inlineStr">
        <is>
          <t>لا شيء</t>
        </is>
      </c>
      <c r="E574" s="4" t="n"/>
    </row>
    <row r="575" ht="16.05" customHeight="1">
      <c r="A575" s="3" t="inlineStr">
        <is>
          <t>fertilizers_access_issue</t>
        </is>
      </c>
      <c r="B575" s="221" t="inlineStr">
        <is>
          <t>other</t>
        </is>
      </c>
      <c r="C575" s="221" t="inlineStr">
        <is>
          <t>Other (specify)</t>
        </is>
      </c>
      <c r="D575" t="inlineStr">
        <is>
          <t>آخر (حدد)</t>
        </is>
      </c>
      <c r="E575" s="4" t="n"/>
    </row>
    <row r="576">
      <c r="E576" s="4" t="n"/>
    </row>
    <row r="577" ht="16.05" customHeight="1">
      <c r="A577" s="3" t="inlineStr">
        <is>
          <t>feed_access_issue</t>
        </is>
      </c>
      <c r="B577" s="3" t="n">
        <v>1</v>
      </c>
      <c r="C577" s="221" t="inlineStr">
        <is>
          <t xml:space="preserve">Animal feed is not available from usual shops or traders </t>
        </is>
      </c>
      <c r="D577" s="254" t="inlineStr">
        <is>
          <t>علف الحيوانات غير متوفر من المتاجر المعتادة أو التجار</t>
        </is>
      </c>
      <c r="E577" s="4" t="n"/>
    </row>
    <row r="578" ht="16.05" customHeight="1">
      <c r="A578" s="3" t="inlineStr">
        <is>
          <t>feed_access_issue</t>
        </is>
      </c>
      <c r="B578" s="3" t="n">
        <v>2</v>
      </c>
      <c r="C578" s="221" t="inlineStr">
        <is>
          <t xml:space="preserve">Animal feed is available in limited quantities </t>
        </is>
      </c>
      <c r="D578" s="254" t="inlineStr">
        <is>
          <t>علف الحيوانات متوفر بكميات محدودة</t>
        </is>
      </c>
      <c r="E578" s="4" t="n"/>
    </row>
    <row r="579" ht="16.05" customHeight="1">
      <c r="A579" s="3" t="inlineStr">
        <is>
          <t>feed_access_issue</t>
        </is>
      </c>
      <c r="B579" s="3" t="n">
        <v>3</v>
      </c>
      <c r="C579" s="221" t="inlineStr">
        <is>
          <t>Type of animal feed usually purchased is not available now</t>
        </is>
      </c>
      <c r="D579" s="254" t="inlineStr">
        <is>
          <t>نوع علف الحيوانات الذي يتم شراؤه عادة غير متوفر الآن</t>
        </is>
      </c>
      <c r="E579" s="4" t="n"/>
    </row>
    <row r="580" ht="16.05" customHeight="1">
      <c r="A580" s="3" t="inlineStr">
        <is>
          <t>feed_access_issue</t>
        </is>
      </c>
      <c r="B580" s="3" t="n">
        <v>4</v>
      </c>
      <c r="C580" s="221" t="inlineStr">
        <is>
          <t>Prices of animal feed are much higher than usual</t>
        </is>
      </c>
      <c r="D580" s="254" t="inlineStr">
        <is>
          <t>أسعار علف الحيوانات أعلى بكثير من المعتاد</t>
        </is>
      </c>
      <c r="E580" s="4" t="n"/>
    </row>
    <row r="581" ht="16.05" customHeight="1">
      <c r="A581" s="3" t="inlineStr">
        <is>
          <t>feed_access_issue</t>
        </is>
      </c>
      <c r="B581" s="3" t="n">
        <v>5</v>
      </c>
      <c r="C581" s="221" t="inlineStr">
        <is>
          <t>Lack the financial capacity to purchase animal feed</t>
        </is>
      </c>
      <c r="D581" s="254" t="inlineStr">
        <is>
          <t>عدم توفر القدرة المالية لشراء علف الحيوانات</t>
        </is>
      </c>
      <c r="E581" s="4" t="n"/>
    </row>
    <row r="582" ht="16.05" customHeight="1">
      <c r="A582" s="3" t="inlineStr">
        <is>
          <t>feed_access_issue</t>
        </is>
      </c>
      <c r="B582" s="3" t="n">
        <v>6</v>
      </c>
      <c r="C582" s="221" t="inlineStr">
        <is>
          <t>No issue</t>
        </is>
      </c>
      <c r="D582" s="254" t="inlineStr">
        <is>
          <t>لا شيء</t>
        </is>
      </c>
      <c r="E582" s="4" t="n"/>
    </row>
    <row r="583" ht="16.05" customHeight="1">
      <c r="A583" s="3" t="inlineStr">
        <is>
          <t>feed_access_issue</t>
        </is>
      </c>
      <c r="B583" s="221" t="inlineStr">
        <is>
          <t>other</t>
        </is>
      </c>
      <c r="C583" s="221" t="inlineStr">
        <is>
          <t>Other (specify)</t>
        </is>
      </c>
      <c r="D583" t="inlineStr">
        <is>
          <t>آخر (حدد)</t>
        </is>
      </c>
      <c r="E583" s="4" t="n"/>
    </row>
    <row r="584">
      <c r="E584" s="4" t="n"/>
    </row>
    <row r="585" ht="28.8" customHeight="1">
      <c r="A585" t="inlineStr">
        <is>
          <t>vet_access_issue</t>
        </is>
      </c>
      <c r="B585" t="n">
        <v>1</v>
      </c>
      <c r="C585" s="221" t="inlineStr">
        <is>
          <t>Veterinary services and/or drugs are not available from usual service providers or shops</t>
        </is>
      </c>
      <c r="D585" s="254" t="inlineStr">
        <is>
          <t>لا تتوفر خدمات الصحة الحيوانية أو المدخلات البيطرية من مزودي الخدمات أو المحلات المعتادة</t>
        </is>
      </c>
      <c r="E585" s="4" t="n"/>
    </row>
    <row r="586" ht="16.05" customHeight="1">
      <c r="A586" t="inlineStr">
        <is>
          <t>vet_access_issue</t>
        </is>
      </c>
      <c r="B586" t="n">
        <v>2</v>
      </c>
      <c r="C586" s="221" t="inlineStr">
        <is>
          <t xml:space="preserve">Veterinary services and/or drugs are available in limited quantities </t>
        </is>
      </c>
      <c r="D586" s="254" t="inlineStr">
        <is>
          <t>خدمات الصحة الحيوانية متوفرة بكميات محدودة</t>
        </is>
      </c>
      <c r="E586" s="4" t="n"/>
    </row>
    <row r="587" ht="27" customHeight="1">
      <c r="A587" t="inlineStr">
        <is>
          <t>vet_access_issue</t>
        </is>
      </c>
      <c r="B587" t="n">
        <v>3</v>
      </c>
      <c r="C587" s="221" t="inlineStr">
        <is>
          <t>The types of veterinary services and/or drugs usually accessed are not available now</t>
        </is>
      </c>
      <c r="D587" s="254" t="inlineStr">
        <is>
          <t>أنواع خدمات الصحة الحيوانية التي يتم الوصول إليها عادة غير متوفرة الآن</t>
        </is>
      </c>
      <c r="E587" s="4" t="n"/>
    </row>
    <row r="588" ht="16.05" customHeight="1">
      <c r="A588" t="inlineStr">
        <is>
          <t>vet_access_issue</t>
        </is>
      </c>
      <c r="B588" t="n">
        <v>4</v>
      </c>
      <c r="C588" s="221" t="inlineStr">
        <is>
          <t>Prices of veterinary services and/or drugs are much higher than usual</t>
        </is>
      </c>
      <c r="D588" s="254" t="inlineStr">
        <is>
          <t>أسعار خدمات الصحة الحيوانية أعلى بكثير من المعتاد</t>
        </is>
      </c>
      <c r="E588" s="4" t="n"/>
    </row>
    <row r="589" ht="16.05" customHeight="1">
      <c r="A589" t="inlineStr">
        <is>
          <t>vet_access_issue</t>
        </is>
      </c>
      <c r="B589" t="n">
        <v>5</v>
      </c>
      <c r="C589" s="221" t="inlineStr">
        <is>
          <t>Lack the financial capacity to access veterinary services and/or drugs</t>
        </is>
      </c>
      <c r="D589" s="254" t="inlineStr">
        <is>
          <t>عدم توفر القدرة المالية للوصول إلى خدمات الصحة الحيوانية</t>
        </is>
      </c>
      <c r="E589" s="4" t="n"/>
    </row>
    <row r="590" ht="16.05" customHeight="1">
      <c r="A590" t="inlineStr">
        <is>
          <t>vet_access_issue</t>
        </is>
      </c>
      <c r="B590" t="n">
        <v>6</v>
      </c>
      <c r="C590" s="221" t="inlineStr">
        <is>
          <t>No issue</t>
        </is>
      </c>
      <c r="D590" s="254" t="inlineStr">
        <is>
          <t>لا شيء</t>
        </is>
      </c>
      <c r="E590" s="4" t="n"/>
    </row>
    <row r="591" ht="16.05" customHeight="1">
      <c r="A591" t="inlineStr">
        <is>
          <t>vet_access_issue</t>
        </is>
      </c>
      <c r="B591" s="221" t="inlineStr">
        <is>
          <t>other</t>
        </is>
      </c>
      <c r="C591" s="221" t="inlineStr">
        <is>
          <t>Other (specify)</t>
        </is>
      </c>
      <c r="D591" t="inlineStr">
        <is>
          <t>آخر (حدد)</t>
        </is>
      </c>
      <c r="E591" s="4" t="n"/>
    </row>
    <row r="592">
      <c r="E592" s="4" t="n"/>
    </row>
    <row r="593">
      <c r="A593" s="3" t="inlineStr">
        <is>
          <t>irrig_source_status</t>
        </is>
      </c>
      <c r="B593" s="3" t="n">
        <v>1</v>
      </c>
      <c r="C593" s="3" t="inlineStr">
        <is>
          <t xml:space="preserve">Functional </t>
        </is>
      </c>
      <c r="D593" s="3" t="inlineStr">
        <is>
          <t>وظيفي (شغال)</t>
        </is>
      </c>
      <c r="E593" s="4" t="n"/>
    </row>
    <row r="594">
      <c r="A594" s="3" t="inlineStr">
        <is>
          <t>irrig_source_status</t>
        </is>
      </c>
      <c r="B594" s="3" t="n">
        <v>2</v>
      </c>
      <c r="C594" s="3" t="inlineStr">
        <is>
          <t xml:space="preserve">Partially functional </t>
        </is>
      </c>
      <c r="D594" s="3" t="inlineStr">
        <is>
          <t>وظيفي جزئيا (شغال جزئيا)</t>
        </is>
      </c>
      <c r="E594" s="4" t="n"/>
    </row>
    <row r="595">
      <c r="A595" s="3" t="inlineStr">
        <is>
          <t>irrig_source_status</t>
        </is>
      </c>
      <c r="B595" s="3" t="n">
        <v>3</v>
      </c>
      <c r="C595" s="3" t="inlineStr">
        <is>
          <t xml:space="preserve">Not functional </t>
        </is>
      </c>
      <c r="D595" s="3" t="inlineStr">
        <is>
          <t>غير وظيفي (غير شغال)</t>
        </is>
      </c>
      <c r="E595" s="4" t="n"/>
    </row>
    <row r="596">
      <c r="A596" s="3" t="inlineStr">
        <is>
          <t>irrig_source_status</t>
        </is>
      </c>
      <c r="B596" s="3" t="n">
        <v>4</v>
      </c>
      <c r="C596" s="3" t="inlineStr">
        <is>
          <t>Don't know</t>
        </is>
      </c>
      <c r="D596" t="inlineStr">
        <is>
          <t>لا أعرف</t>
        </is>
      </c>
      <c r="E596" s="4" t="n"/>
    </row>
    <row r="597">
      <c r="E597" s="4" t="n"/>
    </row>
    <row r="598" ht="16.05" customHeight="1">
      <c r="A598" s="3" t="inlineStr">
        <is>
          <t>prop_25</t>
        </is>
      </c>
      <c r="B598" s="3" t="n">
        <v>2</v>
      </c>
      <c r="C598" s="221" t="inlineStr">
        <is>
          <t>a minor part (up to 25%)</t>
        </is>
      </c>
      <c r="D598" s="254" t="inlineStr">
        <is>
          <t>جزء صغير (حتى ٢٥ ٪)</t>
        </is>
      </c>
      <c r="E598" s="4" t="n"/>
    </row>
    <row r="599" ht="16.05" customHeight="1">
      <c r="A599" s="3" t="inlineStr">
        <is>
          <t>prop_25</t>
        </is>
      </c>
      <c r="B599" s="3" t="n">
        <v>3</v>
      </c>
      <c r="C599" s="221" t="inlineStr">
        <is>
          <t>a moderate part (25 to 50%)</t>
        </is>
      </c>
      <c r="D599" s="254" t="inlineStr">
        <is>
          <t>جزء معتدل (٢٥ إلى ٥٠ ٪)</t>
        </is>
      </c>
      <c r="E599" s="4" t="n"/>
    </row>
    <row r="600" ht="16.05" customHeight="1">
      <c r="A600" s="3" t="inlineStr">
        <is>
          <t>prop_25</t>
        </is>
      </c>
      <c r="B600" s="3" t="n">
        <v>4</v>
      </c>
      <c r="C600" s="221" t="inlineStr">
        <is>
          <t>a major part (50 to 75%)</t>
        </is>
      </c>
      <c r="D600" s="254" t="inlineStr">
        <is>
          <t>جزء كبير (٥٠ إلى ٧٥ ٪)</t>
        </is>
      </c>
      <c r="E600" s="4" t="n"/>
    </row>
    <row r="601" ht="16.05" customHeight="1">
      <c r="A601" s="3" t="inlineStr">
        <is>
          <t>prop_25</t>
        </is>
      </c>
      <c r="B601" s="3" t="n">
        <v>5</v>
      </c>
      <c r="C601" s="221" t="inlineStr">
        <is>
          <t>massive part or total (over 75%)</t>
        </is>
      </c>
      <c r="D601" s="254" t="inlineStr">
        <is>
          <t>جزء كبير جداً أو إجمالي (أكثر من ٧٥ ٪)</t>
        </is>
      </c>
      <c r="E601" s="4" t="n"/>
    </row>
    <row r="602" ht="16.05" customHeight="1">
      <c r="A602" s="3" t="inlineStr">
        <is>
          <t>prop_25</t>
        </is>
      </c>
      <c r="B602" s="3" t="n">
        <v>6</v>
      </c>
      <c r="C602" s="221" t="inlineStr">
        <is>
          <t>Don't know</t>
        </is>
      </c>
      <c r="D602" s="254" t="inlineStr">
        <is>
          <t>لا أعرف</t>
        </is>
      </c>
      <c r="E602" s="4" t="n"/>
    </row>
    <row r="603" ht="16.05" customHeight="1">
      <c r="A603" s="3" t="inlineStr">
        <is>
          <t>prop_25</t>
        </is>
      </c>
      <c r="B603" s="3" t="n">
        <v>7</v>
      </c>
      <c r="C603" s="221" t="inlineStr">
        <is>
          <t>Not applicable</t>
        </is>
      </c>
      <c r="D603" s="254" t="inlineStr">
        <is>
          <t>لا ينطبق (غير موجود/ة قبل الزلزال)</t>
        </is>
      </c>
      <c r="E603" s="4" t="n"/>
    </row>
    <row r="604">
      <c r="E604" s="4" t="n"/>
    </row>
    <row r="605" ht="16.05" customHeight="1">
      <c r="A605" s="3" t="inlineStr">
        <is>
          <t>prop_26</t>
        </is>
      </c>
      <c r="B605" s="3" t="n">
        <v>1</v>
      </c>
      <c r="C605" s="221" t="inlineStr">
        <is>
          <t>none</t>
        </is>
      </c>
      <c r="D605" s="254" t="inlineStr">
        <is>
          <t>لا شيء</t>
        </is>
      </c>
      <c r="E605" s="4" t="n"/>
    </row>
    <row r="606" ht="16.05" customHeight="1">
      <c r="A606" s="3" t="inlineStr">
        <is>
          <t>prop_26</t>
        </is>
      </c>
      <c r="B606" s="3" t="n">
        <v>2</v>
      </c>
      <c r="C606" s="221" t="inlineStr">
        <is>
          <t>a minor part (up to 25%)</t>
        </is>
      </c>
      <c r="D606" s="254" t="inlineStr">
        <is>
          <t>جزء صغير (حتى ٢٥ ٪)</t>
        </is>
      </c>
      <c r="E606" s="4" t="n"/>
    </row>
    <row r="607" ht="16.05" customHeight="1">
      <c r="A607" s="3" t="inlineStr">
        <is>
          <t>prop_26</t>
        </is>
      </c>
      <c r="B607" s="3" t="n">
        <v>3</v>
      </c>
      <c r="C607" s="221" t="inlineStr">
        <is>
          <t>a moderate part (25 to 50%)</t>
        </is>
      </c>
      <c r="D607" s="254" t="inlineStr">
        <is>
          <t>جزء معتدل (٢٥ إلى ٥٠ ٪)</t>
        </is>
      </c>
      <c r="E607" s="4" t="n"/>
    </row>
    <row r="608" ht="16.05" customHeight="1">
      <c r="A608" s="3" t="inlineStr">
        <is>
          <t>prop_26</t>
        </is>
      </c>
      <c r="B608" s="3" t="n">
        <v>4</v>
      </c>
      <c r="C608" s="221" t="inlineStr">
        <is>
          <t>a major part (50 to 75%)</t>
        </is>
      </c>
      <c r="D608" s="254" t="inlineStr">
        <is>
          <t>جزء كبير (٥٠ إلى ٧٥ ٪)</t>
        </is>
      </c>
      <c r="E608" s="4" t="n"/>
    </row>
    <row r="609" ht="16.05" customHeight="1">
      <c r="A609" s="3" t="inlineStr">
        <is>
          <t>prop_26</t>
        </is>
      </c>
      <c r="B609" s="3" t="n">
        <v>5</v>
      </c>
      <c r="C609" s="221" t="inlineStr">
        <is>
          <t>massive part or total (over 75%)</t>
        </is>
      </c>
      <c r="D609" s="254" t="inlineStr">
        <is>
          <t>جزء كبير جداً أو إجمالي (أكثر من ٧٥ ٪)</t>
        </is>
      </c>
      <c r="E609" s="4" t="n"/>
    </row>
    <row r="610" ht="16.05" customHeight="1">
      <c r="A610" s="3" t="inlineStr">
        <is>
          <t>prop_26</t>
        </is>
      </c>
      <c r="B610" s="3" t="n">
        <v>6</v>
      </c>
      <c r="C610" s="221" t="inlineStr">
        <is>
          <t>Don't know</t>
        </is>
      </c>
      <c r="D610" s="254" t="inlineStr">
        <is>
          <t>لا أعرف</t>
        </is>
      </c>
      <c r="E610" s="4" t="n"/>
    </row>
    <row r="611" ht="16.05" customHeight="1">
      <c r="A611" s="3" t="inlineStr">
        <is>
          <t>prop_26</t>
        </is>
      </c>
      <c r="B611" s="3" t="n">
        <v>7</v>
      </c>
      <c r="C611" s="221" t="inlineStr">
        <is>
          <t>Not applicable</t>
        </is>
      </c>
      <c r="D611" s="254" t="inlineStr">
        <is>
          <t>لا ينطبق (غير موجود/ة قبل الزلزال)</t>
        </is>
      </c>
      <c r="E611" s="4" t="n"/>
    </row>
    <row r="612">
      <c r="C612" s="221" t="n"/>
      <c r="D612" s="254" t="n"/>
      <c r="E612" s="4" t="n"/>
    </row>
    <row r="613" ht="16.05" customHeight="1">
      <c r="A613" s="3" t="inlineStr">
        <is>
          <t>labour_issue</t>
        </is>
      </c>
      <c r="B613" s="3" t="n">
        <v>1</v>
      </c>
      <c r="C613" s="221" t="inlineStr">
        <is>
          <t>Work offer is insufficient due to interrupted agricultural production</t>
        </is>
      </c>
      <c r="D613" s="254" t="inlineStr">
        <is>
          <t>عرض العمل غير كافٍ بسبب توقف الإنتاج الزراعي</t>
        </is>
      </c>
      <c r="E613" s="4" t="n"/>
    </row>
    <row r="614" ht="16.05" customHeight="1">
      <c r="A614" s="3" t="inlineStr">
        <is>
          <t>labour_issue</t>
        </is>
      </c>
      <c r="B614" s="3" t="n">
        <v>2</v>
      </c>
      <c r="C614" s="221" t="inlineStr">
        <is>
          <t>Labour is insufficient due to population displacement</t>
        </is>
      </c>
      <c r="D614" s="254" t="inlineStr">
        <is>
          <t>العمالة غير كافية بسبب نزوح السكان</t>
        </is>
      </c>
      <c r="E614" s="4" t="n"/>
    </row>
    <row r="615" ht="31.95" customHeight="1">
      <c r="A615" s="3" t="inlineStr">
        <is>
          <t>labour_issue</t>
        </is>
      </c>
      <c r="B615" s="3" t="n">
        <v>3</v>
      </c>
      <c r="C615" s="221" t="inlineStr">
        <is>
          <t>Labour is insufficient due to workers not being able or willing to resume work</t>
        </is>
      </c>
      <c r="D615" s="254" t="inlineStr">
        <is>
          <t>العمالة غير كافية بسبب عدم قدرة العمال أو استعدادهم لاستئناف العمل</t>
        </is>
      </c>
      <c r="E615" s="4" t="n"/>
    </row>
    <row r="616" ht="31.95" customHeight="1">
      <c r="A616" s="3" t="inlineStr">
        <is>
          <t>labour_issue</t>
        </is>
      </c>
      <c r="B616" s="3" t="n">
        <v>4</v>
      </c>
      <c r="C616" s="221" t="inlineStr">
        <is>
          <t>Labour is insufficient as workers are seeking work in other sectors (for example debris management, reconstruction)</t>
        </is>
      </c>
      <c r="D616" s="254" t="inlineStr">
        <is>
          <t>العمالة غير كافية لأن العمال يبحثون عن عمل في قطاعات أخرى (على سبيل المثال التخلص من الأنقاض وإعادة الإعمار)</t>
        </is>
      </c>
      <c r="E616" s="4" t="n"/>
    </row>
    <row r="617" ht="16.05" customHeight="1">
      <c r="A617" s="3" t="inlineStr">
        <is>
          <t>labour_issue</t>
        </is>
      </c>
      <c r="B617" s="3" t="n">
        <v>5</v>
      </c>
      <c r="C617" s="221" t="inlineStr">
        <is>
          <t>No issue</t>
        </is>
      </c>
      <c r="D617" s="254" t="inlineStr">
        <is>
          <t>لا شيء</t>
        </is>
      </c>
      <c r="E617" s="4" t="n"/>
    </row>
    <row r="618" ht="16.05" customHeight="1">
      <c r="A618" s="3" t="inlineStr">
        <is>
          <t>labour_issue</t>
        </is>
      </c>
      <c r="B618" s="221" t="inlineStr">
        <is>
          <t>other</t>
        </is>
      </c>
      <c r="C618" s="221" t="inlineStr">
        <is>
          <t>Other (specify)</t>
        </is>
      </c>
      <c r="D618" t="inlineStr">
        <is>
          <t>آخر (حدد)</t>
        </is>
      </c>
      <c r="E618" s="4" t="n"/>
    </row>
    <row r="619">
      <c r="D619" s="254" t="n"/>
      <c r="E619" s="4" t="n"/>
    </row>
    <row r="620" customFormat="1" s="8">
      <c r="A620" s="8" t="inlineStr">
        <is>
          <t>agric_checktime</t>
        </is>
      </c>
      <c r="B620" s="8" t="n">
        <v>1</v>
      </c>
      <c r="C620" s="200" t="inlineStr">
        <is>
          <t>1-3 months ago</t>
        </is>
      </c>
      <c r="D620" s="255" t="inlineStr">
        <is>
          <t>منذ 1-3 أشهر</t>
        </is>
      </c>
      <c r="E620" s="4" t="n"/>
    </row>
    <row r="621" customFormat="1" s="8">
      <c r="A621" s="8" t="inlineStr">
        <is>
          <t>agric_checktime</t>
        </is>
      </c>
      <c r="B621" s="8" t="n">
        <v>2</v>
      </c>
      <c r="C621" s="200" t="inlineStr">
        <is>
          <t>3-6 months ago</t>
        </is>
      </c>
      <c r="D621" s="255" t="inlineStr">
        <is>
          <t>منذ 3-6 أشهر</t>
        </is>
      </c>
      <c r="E621" s="4" t="n"/>
    </row>
    <row r="622" customFormat="1" s="8">
      <c r="A622" s="8" t="inlineStr">
        <is>
          <t>agric_checktime</t>
        </is>
      </c>
      <c r="B622" s="8" t="n">
        <v>3</v>
      </c>
      <c r="C622" s="200" t="inlineStr">
        <is>
          <t>6-12 months ago</t>
        </is>
      </c>
      <c r="D622" s="255" t="inlineStr">
        <is>
          <t>منذ 6-12 شهرًا</t>
        </is>
      </c>
      <c r="E622" s="4" t="n"/>
    </row>
    <row r="623" customFormat="1" s="8">
      <c r="A623" s="8" t="inlineStr">
        <is>
          <t>agric_checktime</t>
        </is>
      </c>
      <c r="B623" s="8" t="n">
        <v>4</v>
      </c>
      <c r="C623" s="200" t="inlineStr">
        <is>
          <t>More than 1 year ago</t>
        </is>
      </c>
      <c r="D623" s="255" t="inlineStr">
        <is>
          <t>منذ أكثر من عام</t>
        </is>
      </c>
      <c r="E623" s="4" t="n"/>
    </row>
    <row r="624" customFormat="1" s="8">
      <c r="C624" s="200" t="n"/>
      <c r="E624" s="4" t="n"/>
    </row>
    <row r="625" customFormat="1" s="8">
      <c r="A625" s="8" t="inlineStr">
        <is>
          <t>reason_stop</t>
        </is>
      </c>
      <c r="B625" s="8" t="n">
        <v>1</v>
      </c>
      <c r="C625" s="200" t="inlineStr">
        <is>
          <t xml:space="preserve">Lost/sold animals </t>
        </is>
      </c>
      <c r="D625" s="8" t="inlineStr">
        <is>
          <t>بيعت/فقدت الحيوانات</t>
        </is>
      </c>
      <c r="E625" s="4" t="n"/>
    </row>
    <row r="626" customFormat="1" s="8">
      <c r="A626" s="8" t="inlineStr">
        <is>
          <t>reason_stop</t>
        </is>
      </c>
      <c r="B626" s="8" t="n">
        <v>2</v>
      </c>
      <c r="C626" s="200" t="inlineStr">
        <is>
          <t xml:space="preserve">Land no longer fit for cultivation </t>
        </is>
      </c>
      <c r="D626" s="8" t="inlineStr">
        <is>
          <t>لم تعد الأرض صالحة للزراعة</t>
        </is>
      </c>
      <c r="E626" s="4" t="n"/>
    </row>
    <row r="627" customFormat="1" s="8">
      <c r="A627" s="8" t="inlineStr">
        <is>
          <t>reason_stop</t>
        </is>
      </c>
      <c r="B627" s="8" t="n">
        <v>3</v>
      </c>
      <c r="C627" s="200" t="inlineStr">
        <is>
          <t>Difficulty to access to agricultural land</t>
        </is>
      </c>
      <c r="D627" s="8" t="inlineStr">
        <is>
          <t>صعوبة في الوصول إلى الأراضي الزراعية</t>
        </is>
      </c>
      <c r="E627" s="4" t="n"/>
    </row>
    <row r="628" customFormat="1" s="8">
      <c r="A628" s="8" t="inlineStr">
        <is>
          <t>reason_stop</t>
        </is>
      </c>
      <c r="B628" s="8" t="n">
        <v>4</v>
      </c>
      <c r="C628" s="200" t="inlineStr">
        <is>
          <t>Agricultural activities were not profitable anymore</t>
        </is>
      </c>
      <c r="D628" s="8" t="inlineStr">
        <is>
          <t>لم تعد الأنشطة الزراعية مربحة</t>
        </is>
      </c>
      <c r="E628" s="4" t="n"/>
    </row>
    <row r="629" customFormat="1" s="8">
      <c r="A629" s="8" t="inlineStr">
        <is>
          <t>reason_stop</t>
        </is>
      </c>
      <c r="B629" s="8" t="n">
        <v>5</v>
      </c>
      <c r="C629" s="200" t="inlineStr">
        <is>
          <t>Involvement in other economic activities</t>
        </is>
      </c>
      <c r="D629" s="8" t="inlineStr">
        <is>
          <t xml:space="preserve">تعتمد الأسرة على أنشطة اقتصادية أخرى </t>
        </is>
      </c>
      <c r="E629" s="4" t="n"/>
    </row>
    <row r="630" ht="16.05" customFormat="1" customHeight="1" s="8">
      <c r="A630" s="8" t="inlineStr">
        <is>
          <t>reason_stop</t>
        </is>
      </c>
      <c r="B630" s="8" t="n">
        <v>6</v>
      </c>
      <c r="C630" s="221" t="inlineStr">
        <is>
          <t xml:space="preserve">Agricultural land is used to host temporary shelter for displaced people </t>
        </is>
      </c>
      <c r="D630" s="8" t="inlineStr">
        <is>
          <t>تستخدم الأراضي الزراعية لاستضافة النازحين</t>
        </is>
      </c>
      <c r="E630" s="4" t="n"/>
    </row>
    <row r="631" ht="16.05" customFormat="1" customHeight="1" s="8">
      <c r="A631" s="8" t="inlineStr">
        <is>
          <t>reason_stop</t>
        </is>
      </c>
      <c r="B631" s="8" t="n">
        <v>7</v>
      </c>
      <c r="C631" s="221" t="inlineStr">
        <is>
          <t>Household was displaced</t>
        </is>
      </c>
      <c r="D631" s="8" t="inlineStr">
        <is>
          <t>تم تهجير الأسرة</t>
        </is>
      </c>
      <c r="E631" s="4" t="n"/>
    </row>
    <row r="632" customFormat="1" s="8">
      <c r="A632" s="8" t="inlineStr">
        <is>
          <t>reason_stop</t>
        </is>
      </c>
      <c r="B632" s="8" t="inlineStr">
        <is>
          <t>other</t>
        </is>
      </c>
      <c r="C632" s="200" t="inlineStr">
        <is>
          <t>Other (specify)</t>
        </is>
      </c>
      <c r="D632" t="inlineStr">
        <is>
          <t>آخر (حدد)</t>
        </is>
      </c>
      <c r="E632" s="4" t="n"/>
    </row>
    <row r="633">
      <c r="D633" s="8" t="n"/>
      <c r="E633" s="4" t="n"/>
    </row>
    <row r="634" customFormat="1" s="8">
      <c r="A634" s="8" t="inlineStr">
        <is>
          <t>agric_checkresume</t>
        </is>
      </c>
      <c r="B634" s="8" t="n">
        <v>1</v>
      </c>
      <c r="C634" s="200" t="inlineStr">
        <is>
          <t xml:space="preserve">In 1-3 months </t>
        </is>
      </c>
      <c r="D634" s="255" t="inlineStr">
        <is>
          <t>في غضون 1-3 أشهر</t>
        </is>
      </c>
      <c r="E634" s="4" t="n"/>
    </row>
    <row r="635" customFormat="1" s="8">
      <c r="A635" s="8" t="inlineStr">
        <is>
          <t>agric_checkresume</t>
        </is>
      </c>
      <c r="B635" s="8" t="n">
        <v>2</v>
      </c>
      <c r="C635" s="200" t="inlineStr">
        <is>
          <t>In 3-6 months</t>
        </is>
      </c>
      <c r="D635" s="255" t="inlineStr">
        <is>
          <t>في غضون 3-6 أشهر</t>
        </is>
      </c>
      <c r="E635" s="4" t="n"/>
    </row>
    <row r="636" customFormat="1" s="8">
      <c r="A636" s="8" t="inlineStr">
        <is>
          <t>agric_checkresume</t>
        </is>
      </c>
      <c r="B636" s="8" t="n">
        <v>3</v>
      </c>
      <c r="C636" s="200" t="inlineStr">
        <is>
          <t>In 6-12 months</t>
        </is>
      </c>
      <c r="D636" s="255" t="inlineStr">
        <is>
          <t>في غضون 6-12 شهرًا</t>
        </is>
      </c>
      <c r="E636" s="4" t="n"/>
    </row>
    <row r="637" customFormat="1" s="8">
      <c r="A637" s="8" t="inlineStr">
        <is>
          <t>agric_checkresume</t>
        </is>
      </c>
      <c r="B637" s="8" t="n">
        <v>4</v>
      </c>
      <c r="C637" s="200" t="inlineStr">
        <is>
          <t>After 1 year</t>
        </is>
      </c>
      <c r="D637" s="255" t="inlineStr">
        <is>
          <t>بعد عام</t>
        </is>
      </c>
      <c r="E637" s="4" t="n"/>
    </row>
    <row r="638">
      <c r="A638" s="8" t="inlineStr">
        <is>
          <t>agric_checkresume</t>
        </is>
      </c>
      <c r="B638" s="8" t="inlineStr">
        <is>
          <t>dk</t>
        </is>
      </c>
      <c r="C638" s="3" t="inlineStr">
        <is>
          <t>Don't know</t>
        </is>
      </c>
      <c r="D638" s="200" t="inlineStr">
        <is>
          <t>لا أعرف</t>
        </is>
      </c>
      <c r="E638" s="4" t="n"/>
    </row>
    <row r="639">
      <c r="E639" s="4" t="n"/>
    </row>
    <row r="640">
      <c r="A640" s="3" t="inlineStr">
        <is>
          <t>change_reason</t>
        </is>
      </c>
      <c r="B640" s="3" t="n">
        <v>1</v>
      </c>
      <c r="C640" s="3" t="inlineStr">
        <is>
          <t>Displacement</t>
        </is>
      </c>
      <c r="D640" s="3" t="inlineStr">
        <is>
          <t>التهجير</t>
        </is>
      </c>
      <c r="E640" s="4" t="n"/>
    </row>
    <row r="641">
      <c r="A641" s="3" t="inlineStr">
        <is>
          <t>change_reason</t>
        </is>
      </c>
      <c r="B641" s="3" t="n">
        <v>2</v>
      </c>
      <c r="C641" s="3" t="inlineStr">
        <is>
          <t>Difficulty to access necessary inputs</t>
        </is>
      </c>
      <c r="D641" s="3" t="inlineStr">
        <is>
          <t>صعوبة الوصول إلى المدخلات اللازمة</t>
        </is>
      </c>
      <c r="E641" s="4" t="n"/>
    </row>
    <row r="642">
      <c r="A642" s="3" t="inlineStr">
        <is>
          <t>change_reason</t>
        </is>
      </c>
      <c r="B642" s="3" t="n">
        <v>3</v>
      </c>
      <c r="C642" s="3" t="inlineStr">
        <is>
          <t>Difficulty to access to sufficient irrigation water</t>
        </is>
      </c>
      <c r="D642" s="3" t="inlineStr">
        <is>
          <t xml:space="preserve">صعوبة الوصول إلى كمية كافية من مياه ري </t>
        </is>
      </c>
      <c r="E642" s="4" t="n"/>
    </row>
    <row r="643" ht="16.05" customHeight="1">
      <c r="A643" s="3" t="inlineStr">
        <is>
          <t>change_reason</t>
        </is>
      </c>
      <c r="B643" s="3" t="n">
        <v>4</v>
      </c>
      <c r="C643" s="221" t="inlineStr">
        <is>
          <t>Land cracks</t>
        </is>
      </c>
      <c r="D643" s="254" t="inlineStr">
        <is>
          <t>شقوق في الأرض</t>
        </is>
      </c>
      <c r="E643" s="4" t="n"/>
    </row>
    <row r="644" ht="16.05" customHeight="1">
      <c r="A644" s="3" t="inlineStr">
        <is>
          <t>change_reason</t>
        </is>
      </c>
      <c r="B644" s="3" t="n">
        <v>5</v>
      </c>
      <c r="C644" s="221" t="inlineStr">
        <is>
          <t>Presence of debris and rubbles brought by the earthquake</t>
        </is>
      </c>
      <c r="D644" s="254" t="inlineStr">
        <is>
          <t>وجود الأنقاض التي سببها الزلزال</t>
        </is>
      </c>
      <c r="E644" s="4" t="n"/>
    </row>
    <row r="645" ht="31.95" customHeight="1">
      <c r="A645" s="3" t="inlineStr">
        <is>
          <t>change_reason</t>
        </is>
      </c>
      <c r="B645" s="3" t="n">
        <v>6</v>
      </c>
      <c r="C645" s="221" t="inlineStr">
        <is>
          <t>Presence of debris and waste removed from constructions and stored on agricultural land since the earthquake</t>
        </is>
      </c>
      <c r="D645" s="254" t="inlineStr">
        <is>
          <t>وجود الأنقاض والنفايات التي تمت إزالتها من المنشآت والمخزنة على الأراضي الزراعية منذ وقوع الزلزال</t>
        </is>
      </c>
      <c r="E645" s="4" t="n"/>
    </row>
    <row r="646" ht="31.95" customHeight="1">
      <c r="A646" s="3" t="inlineStr">
        <is>
          <t>change_reason</t>
        </is>
      </c>
      <c r="B646" s="3" t="n">
        <v>7</v>
      </c>
      <c r="C646" s="221" t="inlineStr">
        <is>
          <t>Agricultural land being used to host temporary shelter for people affected by the earthquake</t>
        </is>
      </c>
      <c r="D646" s="254" t="inlineStr">
        <is>
          <t>استخدام الأراضي الزراعية لاستضافة ملاجئ مؤقتة للمتضررين من الزلزال</t>
        </is>
      </c>
      <c r="E646" s="4" t="n"/>
    </row>
    <row r="647" ht="16.05" customHeight="1">
      <c r="A647" s="3" t="inlineStr">
        <is>
          <t>change_reason</t>
        </is>
      </c>
      <c r="B647" s="3" t="n">
        <v>8</v>
      </c>
      <c r="C647" s="221" t="inlineStr">
        <is>
          <t>Landslides or land shifts</t>
        </is>
      </c>
      <c r="D647" s="254" t="inlineStr">
        <is>
          <t>الانهيارات الأرضية أو التحولات الأرضية</t>
        </is>
      </c>
      <c r="E647" s="4" t="n"/>
    </row>
    <row r="648" ht="16.05" customHeight="1">
      <c r="A648" s="3" t="inlineStr">
        <is>
          <t>change_reason</t>
        </is>
      </c>
      <c r="B648" s="3" t="n">
        <v>9</v>
      </c>
      <c r="C648" s="221" t="inlineStr">
        <is>
          <t>Floods</t>
        </is>
      </c>
      <c r="D648" s="3" t="inlineStr">
        <is>
          <t>الفيضانات</t>
        </is>
      </c>
      <c r="E648" s="4" t="n"/>
    </row>
    <row r="649">
      <c r="A649" s="3" t="inlineStr">
        <is>
          <t>change_reason</t>
        </is>
      </c>
      <c r="B649" s="8" t="inlineStr">
        <is>
          <t>other</t>
        </is>
      </c>
      <c r="C649" s="3" t="inlineStr">
        <is>
          <t>Other (specify)</t>
        </is>
      </c>
      <c r="D649" t="inlineStr">
        <is>
          <t>آخر (حدد)</t>
        </is>
      </c>
      <c r="E649" s="4" t="n"/>
    </row>
    <row r="650">
      <c r="E650" s="4" t="n"/>
    </row>
    <row r="651">
      <c r="A651" t="inlineStr">
        <is>
          <t>AreaPlantedcompare</t>
        </is>
      </c>
      <c r="B651" t="n">
        <v>1</v>
      </c>
      <c r="C651" s="243" t="inlineStr">
        <is>
          <t>Drastically larger area this year (over 50%)</t>
        </is>
      </c>
      <c r="D651" s="3" t="inlineStr">
        <is>
          <t xml:space="preserve"> مساحة أكبر بشكل كبير هذا العام (أكثر من ٥٠ ٪)</t>
        </is>
      </c>
      <c r="E651" s="4" t="n"/>
    </row>
    <row r="652">
      <c r="A652" t="inlineStr">
        <is>
          <t>AreaPlantedcompare</t>
        </is>
      </c>
      <c r="B652" t="n">
        <v>2</v>
      </c>
      <c r="C652" s="243" t="inlineStr">
        <is>
          <t>Significantly larger area this year (25% to 50%)</t>
        </is>
      </c>
      <c r="D652" s="3" t="inlineStr">
        <is>
          <t>مساحة أكبر بشكل ملحوظ هذا العام (٢٥ ٪ إلى ٥٠ ٪)</t>
        </is>
      </c>
      <c r="E652" s="4" t="n"/>
    </row>
    <row r="653">
      <c r="A653" t="inlineStr">
        <is>
          <t>AreaPlantedcompare</t>
        </is>
      </c>
      <c r="B653" t="n">
        <v>3</v>
      </c>
      <c r="C653" s="243" t="inlineStr">
        <is>
          <t xml:space="preserve">Slightly larger area this year (up to 25%)  </t>
        </is>
      </c>
      <c r="D653" s="3" t="inlineStr">
        <is>
          <t>مساحة أكبر قليلاً هذا العام (حتى ٢٥ ٪)</t>
        </is>
      </c>
      <c r="E653" s="4" t="n"/>
    </row>
    <row r="654">
      <c r="A654" t="inlineStr">
        <is>
          <t>AreaPlantedcompare</t>
        </is>
      </c>
      <c r="B654" t="n">
        <v>4</v>
      </c>
      <c r="C654" s="243" t="inlineStr">
        <is>
          <t xml:space="preserve">Same area </t>
        </is>
      </c>
      <c r="D654" s="3" t="inlineStr">
        <is>
          <t>نفس المساحة</t>
        </is>
      </c>
      <c r="E654" s="4" t="n"/>
    </row>
    <row r="655">
      <c r="A655" t="inlineStr">
        <is>
          <t>AreaPlantedcompare</t>
        </is>
      </c>
      <c r="B655" t="n">
        <v>5</v>
      </c>
      <c r="C655" s="243" t="inlineStr">
        <is>
          <t xml:space="preserve">Slightly smaller area this year (up to 25%) </t>
        </is>
      </c>
      <c r="D655" s="3" t="inlineStr">
        <is>
          <t>مساحة أصغر قليلاً هذا العام (حتى ٢٥ ٪)</t>
        </is>
      </c>
      <c r="E655" s="4" t="n"/>
    </row>
    <row r="656">
      <c r="A656" t="inlineStr">
        <is>
          <t>AreaPlantedcompare</t>
        </is>
      </c>
      <c r="B656" t="n">
        <v>6</v>
      </c>
      <c r="C656" s="243" t="inlineStr">
        <is>
          <t xml:space="preserve">Significantly smaller area this year (25 to 50%) </t>
        </is>
      </c>
      <c r="D656" s="3" t="inlineStr">
        <is>
          <t>مساحة أصغر بشكل ملحوظ هذا العام (٢٥ ٪ إلى ٥٠ ٪)</t>
        </is>
      </c>
      <c r="E656" s="4" t="n"/>
    </row>
    <row r="657">
      <c r="A657" t="inlineStr">
        <is>
          <t>AreaPlantedcompare</t>
        </is>
      </c>
      <c r="B657" t="n">
        <v>7</v>
      </c>
      <c r="C657" s="243" t="inlineStr">
        <is>
          <t xml:space="preserve">Drastically smaller area this year (over 50%) </t>
        </is>
      </c>
      <c r="D657" s="3" t="inlineStr">
        <is>
          <t xml:space="preserve"> مساحة أصغر بشكل كبير هذا العام (أكثر من ٥٠ ٪)</t>
        </is>
      </c>
      <c r="E657" s="4" t="n"/>
    </row>
    <row r="658">
      <c r="A658" t="inlineStr">
        <is>
          <t>AreaPlantedcompare</t>
        </is>
      </c>
      <c r="B658" t="inlineStr">
        <is>
          <t>dk</t>
        </is>
      </c>
      <c r="C658" s="3" t="inlineStr">
        <is>
          <t>Don't know</t>
        </is>
      </c>
      <c r="D658" t="inlineStr">
        <is>
          <t>لا أعرف</t>
        </is>
      </c>
      <c r="E658" s="4" t="n"/>
    </row>
    <row r="659">
      <c r="A659" t="inlineStr">
        <is>
          <t>AreaPlantedcompare</t>
        </is>
      </c>
      <c r="B659" t="inlineStr">
        <is>
          <t>ref</t>
        </is>
      </c>
      <c r="C659" s="243" t="inlineStr">
        <is>
          <t xml:space="preserve">Refused </t>
        </is>
      </c>
      <c r="D659" t="inlineStr">
        <is>
          <t>رفض الإجابة</t>
        </is>
      </c>
      <c r="E659" s="4" t="n"/>
    </row>
    <row r="660">
      <c r="E660" s="4" t="n"/>
    </row>
    <row r="661">
      <c r="A661" s="3" t="inlineStr">
        <is>
          <t>AreaDamage</t>
        </is>
      </c>
      <c r="B661" s="3" t="n">
        <v>1</v>
      </c>
      <c r="C661" s="3" t="inlineStr">
        <is>
          <t>No</t>
        </is>
      </c>
      <c r="D661" s="3" t="inlineStr">
        <is>
          <t>لا</t>
        </is>
      </c>
      <c r="E661" s="4" t="n"/>
    </row>
    <row r="662" ht="16.05" customHeight="1">
      <c r="A662" s="3" t="inlineStr">
        <is>
          <t>AreaDamage</t>
        </is>
      </c>
      <c r="B662" s="3" t="n">
        <v>2</v>
      </c>
      <c r="C662" s="3" t="inlineStr">
        <is>
          <t>Yes, grain and oil crops</t>
        </is>
      </c>
      <c r="D662" s="197" t="inlineStr">
        <is>
          <t>نعم، الحبوب والمحاصيل الزيتية</t>
        </is>
      </c>
      <c r="E662" s="4" t="n"/>
    </row>
    <row r="663" ht="16.05" customHeight="1">
      <c r="A663" s="3" t="inlineStr">
        <is>
          <t>AreaDamage</t>
        </is>
      </c>
      <c r="B663" s="3" t="n">
        <v>3</v>
      </c>
      <c r="C663" s="3" t="inlineStr">
        <is>
          <t>Yes, vegetables and annual fruit crops</t>
        </is>
      </c>
      <c r="D663" s="197" t="inlineStr">
        <is>
          <t>نعم، الخضار والفواكه السنوية</t>
        </is>
      </c>
      <c r="E663" s="4" t="n"/>
    </row>
    <row r="664" ht="16.05" customHeight="1">
      <c r="A664" s="3" t="inlineStr">
        <is>
          <t>AreaDamage</t>
        </is>
      </c>
      <c r="B664" s="3" t="n">
        <v>4</v>
      </c>
      <c r="C664" s="3" t="inlineStr">
        <is>
          <t>Yes, perennial fruits</t>
        </is>
      </c>
      <c r="D664" s="197" t="inlineStr">
        <is>
          <t xml:space="preserve">نعم، المحاصيل المعمرة </t>
        </is>
      </c>
      <c r="E664" s="4" t="n"/>
    </row>
    <row r="665" ht="16.05" customHeight="1">
      <c r="A665" s="3" t="inlineStr">
        <is>
          <t>AreaDamage</t>
        </is>
      </c>
      <c r="B665" s="3" t="n">
        <v>5</v>
      </c>
      <c r="C665" s="3" t="inlineStr">
        <is>
          <t>Yes, pulses</t>
        </is>
      </c>
      <c r="D665" s="197" t="inlineStr">
        <is>
          <t>نعم، البقول</t>
        </is>
      </c>
      <c r="E665" s="4" t="n"/>
    </row>
    <row r="666" ht="16.05" customHeight="1">
      <c r="A666" s="3" t="inlineStr">
        <is>
          <t>AreaDamage</t>
        </is>
      </c>
      <c r="B666" s="3" t="n">
        <v>6</v>
      </c>
      <c r="C666" s="3" t="inlineStr">
        <is>
          <t>Yes, tubers and root crops</t>
        </is>
      </c>
      <c r="D666" s="197" t="inlineStr">
        <is>
          <t>نعم، الدرنات والمحاصيل الجذرية</t>
        </is>
      </c>
      <c r="E666" s="4" t="n"/>
    </row>
    <row r="667">
      <c r="A667" s="3" t="inlineStr">
        <is>
          <t>AreaDamage</t>
        </is>
      </c>
      <c r="B667" s="3" t="inlineStr">
        <is>
          <t>dk</t>
        </is>
      </c>
      <c r="C667" s="243" t="inlineStr">
        <is>
          <t xml:space="preserve">Don't know </t>
        </is>
      </c>
      <c r="D667" t="inlineStr">
        <is>
          <t>لا أعرف</t>
        </is>
      </c>
      <c r="E667" s="4" t="n"/>
    </row>
    <row r="668">
      <c r="A668" s="3" t="inlineStr">
        <is>
          <t>AreaDamage</t>
        </is>
      </c>
      <c r="B668" s="3" t="inlineStr">
        <is>
          <t>ref</t>
        </is>
      </c>
      <c r="C668" s="3" t="inlineStr">
        <is>
          <t>Refused</t>
        </is>
      </c>
      <c r="D668" t="inlineStr">
        <is>
          <t>رفض الإجابة</t>
        </is>
      </c>
      <c r="E668" s="4" t="n"/>
    </row>
    <row r="669">
      <c r="E669" s="4" t="n"/>
    </row>
    <row r="670">
      <c r="A670" t="inlineStr">
        <is>
          <t>harvest</t>
        </is>
      </c>
      <c r="B670" t="n">
        <v>1</v>
      </c>
      <c r="C670" s="243" t="inlineStr">
        <is>
          <t>Harvest drastically higher this year than usual (over 50%)</t>
        </is>
      </c>
      <c r="D670" s="3" t="inlineStr">
        <is>
          <t xml:space="preserve"> حصاد أكبر بشكل كبير هذا العام (أكثر من ٥٠ ٪)</t>
        </is>
      </c>
      <c r="E670" s="4" t="n"/>
    </row>
    <row r="671">
      <c r="A671" t="inlineStr">
        <is>
          <t>harvest</t>
        </is>
      </c>
      <c r="B671" t="n">
        <v>2</v>
      </c>
      <c r="C671" s="243" t="inlineStr">
        <is>
          <t>Harvest significantly higher this year than usual (25% to 50%)</t>
        </is>
      </c>
      <c r="D671" s="3" t="inlineStr">
        <is>
          <t>حصاد أكبر بشكل ملحوظ هذا العام (٢٥ ٪ إلى ٥٠ ٪)</t>
        </is>
      </c>
      <c r="E671" s="4" t="n"/>
    </row>
    <row r="672">
      <c r="A672" t="inlineStr">
        <is>
          <t>harvest</t>
        </is>
      </c>
      <c r="B672" t="n">
        <v>3</v>
      </c>
      <c r="C672" s="243" t="inlineStr">
        <is>
          <t xml:space="preserve">Harvest slightly higher this year than usual (up to 25%) </t>
        </is>
      </c>
      <c r="D672" s="3" t="inlineStr">
        <is>
          <t>حصاد أكبر قليلاً هذا العام (حتى ٢٥ ٪)</t>
        </is>
      </c>
      <c r="E672" s="4" t="n"/>
    </row>
    <row r="673">
      <c r="A673" t="inlineStr">
        <is>
          <t>harvest</t>
        </is>
      </c>
      <c r="B673" t="n">
        <v>4</v>
      </c>
      <c r="C673" s="243" t="inlineStr">
        <is>
          <t>Similar harvest as usual</t>
        </is>
      </c>
      <c r="D673" s="3" t="inlineStr">
        <is>
          <t>نفس الحصاد كالمعتاد</t>
        </is>
      </c>
      <c r="E673" s="4" t="n"/>
    </row>
    <row r="674">
      <c r="A674" t="inlineStr">
        <is>
          <t>harvest</t>
        </is>
      </c>
      <c r="B674" t="n">
        <v>5</v>
      </c>
      <c r="C674" s="243" t="inlineStr">
        <is>
          <t>Harvest slightly lower this year than usual (up to 25%)</t>
        </is>
      </c>
      <c r="D674" s="3" t="inlineStr">
        <is>
          <t>حصاد أصغر قليلاً هذا العام (حتى ٢٥ ٪)</t>
        </is>
      </c>
      <c r="E674" s="4" t="n"/>
    </row>
    <row r="675">
      <c r="A675" t="inlineStr">
        <is>
          <t>harvest</t>
        </is>
      </c>
      <c r="B675" t="n">
        <v>6</v>
      </c>
      <c r="C675" s="243" t="inlineStr">
        <is>
          <t>Harvest significantly lower this year than usual (25 to 50%)</t>
        </is>
      </c>
      <c r="D675" s="3" t="inlineStr">
        <is>
          <t>حصاد أصغر بشكل ملحوظ هذا العام (٢٥ ٪ إلى ٥٠ ٪)</t>
        </is>
      </c>
      <c r="E675" s="4" t="n"/>
    </row>
    <row r="676">
      <c r="A676" t="inlineStr">
        <is>
          <t>harvest</t>
        </is>
      </c>
      <c r="B676" t="n">
        <v>7</v>
      </c>
      <c r="C676" s="243" t="inlineStr">
        <is>
          <t>Harvest drastically lower this year than usual (over 50%)</t>
        </is>
      </c>
      <c r="D676" s="3" t="inlineStr">
        <is>
          <t xml:space="preserve"> حصاد أصغر بشكل كبير هذا العام (أكثر من ٥٠ ٪)</t>
        </is>
      </c>
      <c r="E676" s="4" t="n"/>
    </row>
    <row r="677">
      <c r="A677" t="inlineStr">
        <is>
          <t>harvest</t>
        </is>
      </c>
      <c r="B677" t="n">
        <v>8</v>
      </c>
      <c r="C677" s="307" t="inlineStr">
        <is>
          <t>Not applicable</t>
        </is>
      </c>
      <c r="D677" s="307" t="inlineStr">
        <is>
          <t>لا ينطبق</t>
        </is>
      </c>
    </row>
    <row r="678">
      <c r="A678" t="inlineStr">
        <is>
          <t>harvest</t>
        </is>
      </c>
      <c r="B678" t="inlineStr">
        <is>
          <t>dk</t>
        </is>
      </c>
      <c r="C678" s="243" t="inlineStr">
        <is>
          <t>Don't know</t>
        </is>
      </c>
      <c r="D678" t="inlineStr">
        <is>
          <t>لا أعرف</t>
        </is>
      </c>
      <c r="E678" s="4" t="n"/>
    </row>
    <row r="679">
      <c r="A679" t="inlineStr">
        <is>
          <t>harvest</t>
        </is>
      </c>
      <c r="B679" t="inlineStr">
        <is>
          <t>ref</t>
        </is>
      </c>
      <c r="C679" t="inlineStr">
        <is>
          <t>Refused</t>
        </is>
      </c>
      <c r="D679" t="inlineStr">
        <is>
          <t>رفض الإجابة</t>
        </is>
      </c>
      <c r="E679" s="4" t="n"/>
    </row>
    <row r="680">
      <c r="E680" s="4" t="n"/>
    </row>
    <row r="681">
      <c r="A681" t="inlineStr">
        <is>
          <t>lidiff</t>
        </is>
      </c>
      <c r="B681" s="3" t="n">
        <v>1</v>
      </c>
      <c r="C681" s="3" t="inlineStr">
        <is>
          <t>Outbreak of diseases</t>
        </is>
      </c>
      <c r="D681" s="8" t="inlineStr">
        <is>
          <t>تفشي الأمراض</t>
        </is>
      </c>
      <c r="E681" s="4" t="n"/>
    </row>
    <row r="682">
      <c r="A682" t="inlineStr">
        <is>
          <t>lidiff</t>
        </is>
      </c>
      <c r="B682" t="n">
        <v>2</v>
      </c>
      <c r="C682" t="inlineStr">
        <is>
          <t>Difficulty to access feed</t>
        </is>
      </c>
      <c r="D682" s="3" t="inlineStr">
        <is>
          <t>صعوبة الوصول إلى علف الحيوانات</t>
        </is>
      </c>
      <c r="E682" s="4" t="n"/>
    </row>
    <row r="683">
      <c r="A683" t="inlineStr">
        <is>
          <t>lidiff</t>
        </is>
      </c>
      <c r="B683" s="3" t="n">
        <v>3</v>
      </c>
      <c r="C683" t="inlineStr">
        <is>
          <t xml:space="preserve">Constrained access to pasture </t>
        </is>
      </c>
      <c r="D683" s="3" t="inlineStr">
        <is>
          <t>صعوبة الوصول إلى المراعي</t>
        </is>
      </c>
      <c r="E683" s="4" t="n"/>
    </row>
    <row r="684">
      <c r="A684" t="inlineStr">
        <is>
          <t>lidiff</t>
        </is>
      </c>
      <c r="B684" t="n">
        <v>4</v>
      </c>
      <c r="C684" t="inlineStr">
        <is>
          <t>Insufficient pasture</t>
        </is>
      </c>
      <c r="D684" s="3" t="inlineStr">
        <is>
          <t xml:space="preserve"> المراعي الغير الكافية</t>
        </is>
      </c>
      <c r="E684" s="4" t="n"/>
    </row>
    <row r="685">
      <c r="A685" t="inlineStr">
        <is>
          <t>lidiff</t>
        </is>
      </c>
      <c r="B685" s="3" t="n">
        <v>5</v>
      </c>
      <c r="C685" t="inlineStr">
        <is>
          <t>Constrained access to water</t>
        </is>
      </c>
      <c r="D685" s="3" t="inlineStr">
        <is>
          <t>صعوبة الوصول إلى المياه</t>
        </is>
      </c>
      <c r="E685" s="4" t="n"/>
    </row>
    <row r="686">
      <c r="A686" t="inlineStr">
        <is>
          <t>lidiff</t>
        </is>
      </c>
      <c r="B686" t="n">
        <v>6</v>
      </c>
      <c r="C686" t="inlineStr">
        <is>
          <t>Lack of/insufficient shelter for animals</t>
        </is>
      </c>
      <c r="D686" s="3" t="inlineStr">
        <is>
          <t>عدم وجود / عدم كفاية حظائر الحيوانات</t>
        </is>
      </c>
      <c r="E686" s="4" t="n"/>
    </row>
    <row r="687">
      <c r="A687" t="inlineStr">
        <is>
          <t>lidiff</t>
        </is>
      </c>
      <c r="B687" s="3" t="n">
        <v>7</v>
      </c>
      <c r="C687" t="inlineStr">
        <is>
          <t>Difficulty to access veterinary services / medicines</t>
        </is>
      </c>
      <c r="D687" s="3" t="inlineStr">
        <is>
          <t>صعوبة الوصول إلى الخدمات البيطرية / الأدوية</t>
        </is>
      </c>
      <c r="E687" s="4" t="n"/>
    </row>
    <row r="688">
      <c r="A688" t="inlineStr">
        <is>
          <t>lidiff</t>
        </is>
      </c>
      <c r="B688" t="n">
        <v>8</v>
      </c>
      <c r="C688" t="inlineStr">
        <is>
          <t>Difficulty to access fuel for transportation</t>
        </is>
      </c>
      <c r="D688" s="3" t="inlineStr">
        <is>
          <t>صعوبة الوصول إلى الوقود للمواصلات</t>
        </is>
      </c>
      <c r="E688" s="4" t="n"/>
    </row>
    <row r="689">
      <c r="A689" t="inlineStr">
        <is>
          <t>lidiff</t>
        </is>
      </c>
      <c r="B689" s="3" t="n">
        <v>9</v>
      </c>
      <c r="C689" t="inlineStr">
        <is>
          <t>Difficulty to access fuel or electricity to power equipment</t>
        </is>
      </c>
      <c r="D689" s="3" t="inlineStr">
        <is>
          <t xml:space="preserve">صعوبة الوصول إلى الوقود أو الكهرباء لتشغيل المعدات </t>
        </is>
      </c>
      <c r="E689" s="4" t="n"/>
    </row>
    <row r="690">
      <c r="A690" t="inlineStr">
        <is>
          <t>lidiff</t>
        </is>
      </c>
      <c r="B690" t="n">
        <v>10</v>
      </c>
      <c r="C690" t="inlineStr">
        <is>
          <t>Difficulty to access necessary machinery or equipment</t>
        </is>
      </c>
      <c r="D690" s="3" t="inlineStr">
        <is>
          <t>صعوبة الوصول إلى الآلات أو المعدات اللازمة</t>
        </is>
      </c>
      <c r="E690" s="4" t="n"/>
    </row>
    <row r="691">
      <c r="A691" t="inlineStr">
        <is>
          <t>lidiff</t>
        </is>
      </c>
      <c r="B691" s="3" t="n">
        <v>11</v>
      </c>
      <c r="C691" t="inlineStr">
        <is>
          <t>Difficulty to access manpower labour</t>
        </is>
      </c>
      <c r="D691" s="3" t="inlineStr">
        <is>
          <t>صعوبة الوصول إلى اليد العاملة</t>
        </is>
      </c>
      <c r="E691" s="4" t="n"/>
    </row>
    <row r="692">
      <c r="A692" t="inlineStr">
        <is>
          <t>lidiff</t>
        </is>
      </c>
      <c r="B692" t="n">
        <v>12</v>
      </c>
      <c r="C692" t="inlineStr">
        <is>
          <t>Lack of/Insufficient storage spaces</t>
        </is>
      </c>
      <c r="D692" s="3" t="inlineStr">
        <is>
          <t>نقص / عدم كفاية مساحات التخزين</t>
        </is>
      </c>
      <c r="E692" s="4" t="n"/>
    </row>
    <row r="693">
      <c r="A693" t="inlineStr">
        <is>
          <t>lidiff</t>
        </is>
      </c>
      <c r="B693" s="3" t="n">
        <v>13</v>
      </c>
      <c r="C693" t="inlineStr">
        <is>
          <t>Household displaced</t>
        </is>
      </c>
      <c r="D693" s="3" t="inlineStr">
        <is>
          <t>نزوح الأسرة</t>
        </is>
      </c>
      <c r="E693" s="4" t="n"/>
    </row>
    <row r="694">
      <c r="A694" t="inlineStr">
        <is>
          <t>lidiff</t>
        </is>
      </c>
      <c r="B694" t="n">
        <v>14</v>
      </c>
      <c r="C694" t="inlineStr">
        <is>
          <t>Lack of time or will of household to continue keeping animals</t>
        </is>
      </c>
      <c r="D694" s="3" t="inlineStr">
        <is>
          <t>ضيق الوقت أو عدم توفر الإرادة لمواصلة تربية الحيوانات</t>
        </is>
      </c>
      <c r="E694" s="4" t="n"/>
    </row>
    <row r="695">
      <c r="A695" t="inlineStr">
        <is>
          <t>lidiff</t>
        </is>
      </c>
      <c r="B695" s="3" t="n">
        <v>15</v>
      </c>
      <c r="C695" t="inlineStr">
        <is>
          <t>Difficulty to access market or traders to sell production</t>
        </is>
      </c>
      <c r="D695" s="3" t="inlineStr">
        <is>
          <t xml:space="preserve">صعوبة الوصول إلى السوق أو التجار لبيع الإنتاج </t>
        </is>
      </c>
      <c r="E695" s="4" t="n"/>
    </row>
    <row r="696">
      <c r="A696" t="inlineStr">
        <is>
          <t>lidiff</t>
        </is>
      </c>
      <c r="B696" t="n">
        <v>16</v>
      </c>
      <c r="C696" t="inlineStr">
        <is>
          <t>Low benefits from the sale of products (production costs too high or sale prices too low)</t>
        </is>
      </c>
      <c r="D696" s="3" t="inlineStr">
        <is>
          <t>عوائد منخفضة من بيع المنتجات (تكاليف الإنتاج مرتفعة للغاية أو أسعار البيع منخفضة للغاية)</t>
        </is>
      </c>
      <c r="E696" s="4" t="n"/>
    </row>
    <row r="697">
      <c r="A697" t="inlineStr">
        <is>
          <t>lidiff</t>
        </is>
      </c>
      <c r="B697" s="3" t="n">
        <v>17</v>
      </c>
      <c r="C697" t="inlineStr">
        <is>
          <t>Death of animals or destruction of assets (machines, equipment, infrastructure, etc.) as a result of the conflict</t>
        </is>
      </c>
      <c r="D697" s="3" t="inlineStr">
        <is>
          <t>موت الحيوانات أو تدمير الأصول (الآلات والمعدات والبنية التحتية ، إلخ.) نتيجة النزاع</t>
        </is>
      </c>
      <c r="E697" s="4" t="n"/>
    </row>
    <row r="698">
      <c r="A698" t="inlineStr">
        <is>
          <t>lidiff</t>
        </is>
      </c>
      <c r="B698" t="n">
        <v>18</v>
      </c>
      <c r="C698" t="inlineStr">
        <is>
          <t>Theft</t>
        </is>
      </c>
      <c r="D698" s="3" t="inlineStr">
        <is>
          <t>السرقة</t>
        </is>
      </c>
      <c r="E698" s="4" t="n"/>
    </row>
    <row r="699">
      <c r="A699" t="inlineStr">
        <is>
          <t>lidiff</t>
        </is>
      </c>
      <c r="B699" s="3" t="n">
        <v>19</v>
      </c>
      <c r="C699" t="inlineStr">
        <is>
          <t>Do not expect to face unusual difficulties</t>
        </is>
      </c>
      <c r="D699" s="3" t="inlineStr">
        <is>
          <t>لا اتوقع أن أواجه صعوبات غير عادية</t>
        </is>
      </c>
      <c r="E699" s="4" t="n"/>
    </row>
    <row r="700">
      <c r="A700" t="inlineStr">
        <is>
          <t>lidiff</t>
        </is>
      </c>
      <c r="B700" t="inlineStr">
        <is>
          <t>other</t>
        </is>
      </c>
      <c r="C700" t="inlineStr">
        <is>
          <t xml:space="preserve">Other (specify) </t>
        </is>
      </c>
      <c r="D700" t="inlineStr">
        <is>
          <t>آخر (حدد)</t>
        </is>
      </c>
      <c r="E700" s="4" t="n"/>
    </row>
    <row r="701">
      <c r="A701" t="inlineStr">
        <is>
          <t>lidiff</t>
        </is>
      </c>
      <c r="B701" s="3" t="inlineStr">
        <is>
          <t>dk</t>
        </is>
      </c>
      <c r="C701" t="inlineStr">
        <is>
          <t>Don't know</t>
        </is>
      </c>
      <c r="D701" t="inlineStr">
        <is>
          <t>لا أعرف</t>
        </is>
      </c>
      <c r="E701" s="4" t="n"/>
    </row>
    <row r="702">
      <c r="A702" t="inlineStr">
        <is>
          <t>lidiff</t>
        </is>
      </c>
      <c r="B702" t="inlineStr">
        <is>
          <t>ref</t>
        </is>
      </c>
      <c r="C702" t="inlineStr">
        <is>
          <t>Refused</t>
        </is>
      </c>
      <c r="D702" t="inlineStr">
        <is>
          <t>رفض الإجابة</t>
        </is>
      </c>
      <c r="E702" s="4" t="n"/>
    </row>
    <row r="703">
      <c r="E703" s="4" t="n"/>
    </row>
    <row r="704">
      <c r="A704" s="3" t="inlineStr">
        <is>
          <t>asset_status</t>
        </is>
      </c>
      <c r="B704" s="3" t="n">
        <v>1</v>
      </c>
      <c r="C704" s="3" t="inlineStr">
        <is>
          <t>Damaged and not repaired</t>
        </is>
      </c>
      <c r="D704" s="3" t="inlineStr">
        <is>
          <t>تضررت ولم يتم إصلاحها</t>
        </is>
      </c>
      <c r="E704" s="4" t="n"/>
    </row>
    <row r="705">
      <c r="A705" s="3" t="inlineStr">
        <is>
          <t>asset_status</t>
        </is>
      </c>
      <c r="B705" s="3" t="n">
        <v>2</v>
      </c>
      <c r="C705" s="3" t="inlineStr">
        <is>
          <t>Damaged and partially/temporarily repaired</t>
        </is>
      </c>
      <c r="D705" s="3" t="inlineStr">
        <is>
          <t>تضررت و تم إصلاحها جزئيًا / مؤقتًا</t>
        </is>
      </c>
      <c r="E705" s="4" t="n"/>
    </row>
    <row r="706">
      <c r="A706" s="3" t="inlineStr">
        <is>
          <t>asset_status</t>
        </is>
      </c>
      <c r="B706" s="3" t="n">
        <v>3</v>
      </c>
      <c r="C706" s="3" t="inlineStr">
        <is>
          <t>Damaged and fully repaired</t>
        </is>
      </c>
      <c r="D706" s="3" t="inlineStr">
        <is>
          <t>تضررت و تم إصلاحها بالكامل</t>
        </is>
      </c>
      <c r="E706" s="4" t="n"/>
    </row>
    <row r="707">
      <c r="A707" s="3" t="inlineStr">
        <is>
          <t>asset_status</t>
        </is>
      </c>
      <c r="B707" s="3" t="n">
        <v>4</v>
      </c>
      <c r="C707" s="3" t="inlineStr">
        <is>
          <t>Destroyed and not replaced</t>
        </is>
      </c>
      <c r="D707" s="3" t="inlineStr">
        <is>
          <t>دمرت ولم تستبدل</t>
        </is>
      </c>
      <c r="E707" s="4" t="n"/>
    </row>
    <row r="708">
      <c r="A708" s="3" t="inlineStr">
        <is>
          <t>asset_status</t>
        </is>
      </c>
      <c r="B708" s="3" t="n">
        <v>5</v>
      </c>
      <c r="C708" s="3" t="inlineStr">
        <is>
          <t>Destroyed and partially/temporarily replaced</t>
        </is>
      </c>
      <c r="D708" s="3" t="inlineStr">
        <is>
          <t>دمرت و تم استبدالها جزئيًا / مؤقتًا</t>
        </is>
      </c>
      <c r="E708" s="4" t="n"/>
    </row>
    <row r="709">
      <c r="A709" s="3" t="inlineStr">
        <is>
          <t>asset_status</t>
        </is>
      </c>
      <c r="B709" s="3" t="n">
        <v>6</v>
      </c>
      <c r="C709" s="3" t="inlineStr">
        <is>
          <t>Destroyed and fully replaced</t>
        </is>
      </c>
      <c r="D709" s="3" t="inlineStr">
        <is>
          <t>دمرت و تم استبدالها بالكامل</t>
        </is>
      </c>
      <c r="E709" s="4" t="n"/>
    </row>
    <row r="710">
      <c r="A710" s="3" t="inlineStr">
        <is>
          <t>asset_status</t>
        </is>
      </c>
      <c r="B710" s="3" t="inlineStr">
        <is>
          <t>dk</t>
        </is>
      </c>
      <c r="C710" t="inlineStr">
        <is>
          <t>Don’t know</t>
        </is>
      </c>
      <c r="D710" t="inlineStr">
        <is>
          <t>لا أعرف</t>
        </is>
      </c>
      <c r="E710" s="4" t="n"/>
    </row>
    <row r="711">
      <c r="A711" s="3" t="inlineStr">
        <is>
          <t>asset_status</t>
        </is>
      </c>
      <c r="B711" s="3" t="inlineStr">
        <is>
          <t>ref</t>
        </is>
      </c>
      <c r="C711" t="inlineStr">
        <is>
          <t>Refused</t>
        </is>
      </c>
      <c r="D711" t="inlineStr">
        <is>
          <t>رفض الإجابة</t>
        </is>
      </c>
      <c r="E711" s="4" t="n"/>
    </row>
    <row r="712">
      <c r="E712" s="4" t="n"/>
    </row>
    <row r="713">
      <c r="A713" s="3" t="inlineStr">
        <is>
          <t>input_status</t>
        </is>
      </c>
      <c r="B713" s="3" t="n">
        <v>1</v>
      </c>
      <c r="C713" s="3" t="inlineStr">
        <is>
          <t>Damaged and not replaced</t>
        </is>
      </c>
      <c r="D713" s="3" t="inlineStr">
        <is>
          <t>تضررت ولم تستبدل</t>
        </is>
      </c>
      <c r="E713" s="4" t="n"/>
    </row>
    <row r="714">
      <c r="A714" s="3" t="inlineStr">
        <is>
          <t>input_status</t>
        </is>
      </c>
      <c r="B714" s="3" t="n">
        <v>2</v>
      </c>
      <c r="C714" s="3" t="inlineStr">
        <is>
          <t>Damaged and partially/temporarily replaced</t>
        </is>
      </c>
      <c r="D714" s="3" t="inlineStr">
        <is>
          <t>تضررت و تم استبدالها جزئيًا / مؤقتًا</t>
        </is>
      </c>
      <c r="E714" s="4" t="n"/>
    </row>
    <row r="715">
      <c r="A715" s="3" t="inlineStr">
        <is>
          <t>input_status</t>
        </is>
      </c>
      <c r="B715" s="3" t="n">
        <v>3</v>
      </c>
      <c r="C715" s="3" t="inlineStr">
        <is>
          <t>Damaged and fully replaced</t>
        </is>
      </c>
      <c r="D715" s="3" t="inlineStr">
        <is>
          <t>تضررت و تم استبدالها بالكامل</t>
        </is>
      </c>
      <c r="E715" s="4" t="n"/>
    </row>
    <row r="716">
      <c r="A716" s="3" t="inlineStr">
        <is>
          <t>input_status</t>
        </is>
      </c>
      <c r="B716" s="3" t="n">
        <v>4</v>
      </c>
      <c r="C716" s="3" t="inlineStr">
        <is>
          <t>Destroyed and not replaced</t>
        </is>
      </c>
      <c r="D716" s="3" t="inlineStr">
        <is>
          <t>دمرت ولم تستبدل</t>
        </is>
      </c>
      <c r="E716" s="4" t="n"/>
    </row>
    <row r="717">
      <c r="A717" s="3" t="inlineStr">
        <is>
          <t>input_status</t>
        </is>
      </c>
      <c r="B717" s="3" t="n">
        <v>5</v>
      </c>
      <c r="C717" s="3" t="inlineStr">
        <is>
          <t>Destroyed and partially/temporarily replaced</t>
        </is>
      </c>
      <c r="D717" s="3" t="inlineStr">
        <is>
          <t>دمرت و تم استبدالها جزئيًا / مؤقتًا</t>
        </is>
      </c>
      <c r="E717" s="4" t="n"/>
    </row>
    <row r="718">
      <c r="A718" s="3" t="inlineStr">
        <is>
          <t>input_status</t>
        </is>
      </c>
      <c r="B718" s="3" t="n">
        <v>6</v>
      </c>
      <c r="C718" s="3" t="inlineStr">
        <is>
          <t>Destroyed and fully replaced</t>
        </is>
      </c>
      <c r="D718" s="3" t="inlineStr">
        <is>
          <t>دمرت و تم استبدالها بالكامل</t>
        </is>
      </c>
      <c r="E718" s="4" t="n"/>
    </row>
    <row r="719">
      <c r="A719" s="3" t="inlineStr">
        <is>
          <t>input_status</t>
        </is>
      </c>
      <c r="B719" s="3" t="inlineStr">
        <is>
          <t>dk</t>
        </is>
      </c>
      <c r="C719" t="inlineStr">
        <is>
          <t>Don’t know</t>
        </is>
      </c>
      <c r="D719" t="inlineStr">
        <is>
          <t>لا أعرف</t>
        </is>
      </c>
      <c r="E719" s="4" t="n"/>
    </row>
    <row r="720">
      <c r="A720" s="3" t="inlineStr">
        <is>
          <t>input_status</t>
        </is>
      </c>
      <c r="B720" s="3" t="inlineStr">
        <is>
          <t>ref</t>
        </is>
      </c>
      <c r="C720" t="inlineStr">
        <is>
          <t>Refused</t>
        </is>
      </c>
      <c r="D720" t="inlineStr">
        <is>
          <t>رفض الإجابة</t>
        </is>
      </c>
      <c r="E720" s="4" t="n"/>
    </row>
    <row r="721">
      <c r="E721" s="4" t="n"/>
    </row>
    <row r="722">
      <c r="A722" s="3" t="inlineStr">
        <is>
          <t>sourceelec</t>
        </is>
      </c>
      <c r="B722" s="3" t="n">
        <v>1</v>
      </c>
      <c r="C722" s="3" t="inlineStr">
        <is>
          <t>No electricity in household</t>
        </is>
      </c>
      <c r="D722" s="3" t="inlineStr">
        <is>
          <t>لا كهرباء في المنزل</t>
        </is>
      </c>
      <c r="E722" s="4" t="n"/>
    </row>
    <row r="723">
      <c r="A723" s="3" t="inlineStr">
        <is>
          <t>sourceelec</t>
        </is>
      </c>
      <c r="B723" s="3" t="n">
        <v>2</v>
      </c>
      <c r="C723" s="3" t="inlineStr">
        <is>
          <t>Turkish grid connection</t>
        </is>
      </c>
      <c r="D723" s="3" t="inlineStr">
        <is>
          <t>شبكة الكهرباء التركية</t>
        </is>
      </c>
      <c r="E723" s="4" t="n"/>
    </row>
    <row r="724">
      <c r="A724" s="3" t="inlineStr">
        <is>
          <t>sourceelec</t>
        </is>
      </c>
      <c r="B724" s="3" t="n">
        <v>3</v>
      </c>
      <c r="C724" s="3" t="inlineStr">
        <is>
          <t>Local mini grid</t>
        </is>
      </c>
      <c r="D724" s="3" t="inlineStr">
        <is>
          <t>شبكة كهرباء صغيرة محلية</t>
        </is>
      </c>
      <c r="E724" s="4" t="n"/>
    </row>
    <row r="725">
      <c r="A725" s="3" t="inlineStr">
        <is>
          <t>sourceelec</t>
        </is>
      </c>
      <c r="B725" s="3" t="n">
        <v>4</v>
      </c>
      <c r="C725" s="3" t="inlineStr">
        <is>
          <t>Solar home system</t>
        </is>
      </c>
      <c r="D725" s="3" t="inlineStr">
        <is>
          <t>نظام الطاقة الشمسية المنزلية</t>
        </is>
      </c>
      <c r="E725" s="4" t="n"/>
    </row>
    <row r="726">
      <c r="A726" s="3" t="inlineStr">
        <is>
          <t>sourceelec</t>
        </is>
      </c>
      <c r="B726" s="3" t="n">
        <v>5</v>
      </c>
      <c r="C726" s="3" t="inlineStr">
        <is>
          <t>Diesel generator</t>
        </is>
      </c>
      <c r="D726" s="3" t="inlineStr">
        <is>
          <t>مولد ديزل</t>
        </is>
      </c>
      <c r="E726" s="4" t="n"/>
    </row>
    <row r="727">
      <c r="A727" s="3" t="inlineStr">
        <is>
          <t>sourceelec</t>
        </is>
      </c>
      <c r="B727" s="3" t="n">
        <v>6</v>
      </c>
      <c r="C727" s="3" t="inlineStr">
        <is>
          <t>Rechargeable battery</t>
        </is>
      </c>
      <c r="D727" s="3" t="inlineStr">
        <is>
          <t>بطارية قابلة لإعادة الشحن</t>
        </is>
      </c>
      <c r="E727" s="4" t="n"/>
    </row>
    <row r="728">
      <c r="A728" s="3" t="inlineStr">
        <is>
          <t>sourceelec</t>
        </is>
      </c>
      <c r="B728" s="3" t="n">
        <v>7</v>
      </c>
      <c r="C728" s="3" t="inlineStr">
        <is>
          <t>Dry cell battery</t>
        </is>
      </c>
      <c r="D728" s="3" t="inlineStr">
        <is>
          <t>بطارية خلية جافة</t>
        </is>
      </c>
      <c r="E728" s="4" t="n"/>
    </row>
    <row r="729">
      <c r="A729" s="3" t="inlineStr">
        <is>
          <t>sourceelec</t>
        </is>
      </c>
      <c r="B729" s="3" t="inlineStr">
        <is>
          <t>other</t>
        </is>
      </c>
      <c r="C729" s="3" t="inlineStr">
        <is>
          <t>Other (specify)</t>
        </is>
      </c>
      <c r="D729" t="inlineStr">
        <is>
          <t>آخر (حدد)</t>
        </is>
      </c>
      <c r="E729" s="4" t="n"/>
    </row>
    <row r="730">
      <c r="A730" s="3" t="inlineStr">
        <is>
          <t>sourceelec</t>
        </is>
      </c>
      <c r="B730" s="3" t="inlineStr">
        <is>
          <t>dk</t>
        </is>
      </c>
      <c r="C730" t="inlineStr">
        <is>
          <t>Don't know</t>
        </is>
      </c>
      <c r="D730" t="inlineStr">
        <is>
          <t>لا أعرف</t>
        </is>
      </c>
      <c r="E730" s="4" t="n"/>
    </row>
    <row r="731">
      <c r="A731" s="3" t="inlineStr">
        <is>
          <t>sourceelec</t>
        </is>
      </c>
      <c r="B731" s="3" t="inlineStr">
        <is>
          <t>ref</t>
        </is>
      </c>
      <c r="C731" t="inlineStr">
        <is>
          <t>Refused</t>
        </is>
      </c>
      <c r="D731" t="inlineStr">
        <is>
          <t>رفض الإجابة</t>
        </is>
      </c>
      <c r="E731" s="4" t="n"/>
    </row>
    <row r="732">
      <c r="E732" s="4" t="n"/>
    </row>
    <row r="733">
      <c r="E733" s="4" t="n"/>
    </row>
    <row r="734">
      <c r="A734" s="3" t="inlineStr">
        <is>
          <t>sourceelec2</t>
        </is>
      </c>
      <c r="B734" s="3" t="n">
        <v>1</v>
      </c>
      <c r="C734" s="3" t="inlineStr">
        <is>
          <t>Turkish grid connection</t>
        </is>
      </c>
      <c r="D734" s="3" t="inlineStr">
        <is>
          <t>شبكة الكهرباء التركية</t>
        </is>
      </c>
      <c r="E734" s="4" t="n"/>
    </row>
    <row r="735">
      <c r="A735" s="3" t="inlineStr">
        <is>
          <t>sourceelec2</t>
        </is>
      </c>
      <c r="B735" s="3" t="n">
        <v>2</v>
      </c>
      <c r="C735" s="3" t="inlineStr">
        <is>
          <t>Local mini grid</t>
        </is>
      </c>
      <c r="D735" s="3" t="inlineStr">
        <is>
          <t>شبكة كهرباء صغيرة محلية</t>
        </is>
      </c>
      <c r="E735" s="4" t="n"/>
    </row>
    <row r="736">
      <c r="A736" s="3" t="inlineStr">
        <is>
          <t>sourceelec2</t>
        </is>
      </c>
      <c r="B736" s="3" t="n">
        <v>3</v>
      </c>
      <c r="C736" s="3" t="inlineStr">
        <is>
          <t>Solar home system</t>
        </is>
      </c>
      <c r="D736" s="3" t="inlineStr">
        <is>
          <t>نظام الطاقة الشمسية المنزلية</t>
        </is>
      </c>
      <c r="E736" s="4" t="n"/>
    </row>
    <row r="737">
      <c r="A737" s="3" t="inlineStr">
        <is>
          <t>sourceelec2</t>
        </is>
      </c>
      <c r="B737" s="3" t="n">
        <v>4</v>
      </c>
      <c r="C737" s="3" t="inlineStr">
        <is>
          <t>Diesel generator</t>
        </is>
      </c>
      <c r="D737" s="3" t="inlineStr">
        <is>
          <t>مولد ديزل</t>
        </is>
      </c>
      <c r="E737" s="4" t="n"/>
    </row>
    <row r="738">
      <c r="A738" s="3" t="inlineStr">
        <is>
          <t>sourceelec2</t>
        </is>
      </c>
      <c r="B738" s="3" t="n">
        <v>5</v>
      </c>
      <c r="C738" s="3" t="inlineStr">
        <is>
          <t>Rechargeable battery</t>
        </is>
      </c>
      <c r="D738" s="3" t="inlineStr">
        <is>
          <t>بطارية قابلة لإعادة الشحن</t>
        </is>
      </c>
      <c r="E738" s="4" t="n"/>
    </row>
    <row r="739">
      <c r="A739" s="3" t="inlineStr">
        <is>
          <t>sourceelec2</t>
        </is>
      </c>
      <c r="B739" s="3" t="n">
        <v>6</v>
      </c>
      <c r="C739" s="3" t="inlineStr">
        <is>
          <t>Dry cell battery</t>
        </is>
      </c>
      <c r="D739" s="3" t="inlineStr">
        <is>
          <t>بطارية خلية جافة</t>
        </is>
      </c>
      <c r="E739" s="4" t="n"/>
    </row>
    <row r="740">
      <c r="A740" s="3" t="inlineStr">
        <is>
          <t>sourceelec2</t>
        </is>
      </c>
      <c r="B740" s="3" t="n">
        <v>7</v>
      </c>
      <c r="C740" s="3" t="inlineStr">
        <is>
          <t>None</t>
        </is>
      </c>
      <c r="D740" s="3" t="inlineStr">
        <is>
          <t>لا يوجد مصدر ثانٍ</t>
        </is>
      </c>
      <c r="E740" s="4" t="n"/>
    </row>
    <row r="741">
      <c r="A741" s="3" t="inlineStr">
        <is>
          <t>sourceelec2</t>
        </is>
      </c>
      <c r="B741" s="3" t="inlineStr">
        <is>
          <t>other</t>
        </is>
      </c>
      <c r="C741" s="3" t="inlineStr">
        <is>
          <t>Other (specify)</t>
        </is>
      </c>
      <c r="D741" t="inlineStr">
        <is>
          <t>آخر (حدد)</t>
        </is>
      </c>
      <c r="E741" s="4" t="n"/>
    </row>
    <row r="742">
      <c r="A742" s="3" t="inlineStr">
        <is>
          <t>sourceelec2</t>
        </is>
      </c>
      <c r="B742" s="3" t="inlineStr">
        <is>
          <t>dk</t>
        </is>
      </c>
      <c r="C742" t="inlineStr">
        <is>
          <t>Don't know</t>
        </is>
      </c>
      <c r="D742" t="inlineStr">
        <is>
          <t>لا أعرف</t>
        </is>
      </c>
      <c r="E742" s="4" t="n"/>
    </row>
    <row r="743">
      <c r="A743" s="3" t="inlineStr">
        <is>
          <t>sourceelec2</t>
        </is>
      </c>
      <c r="B743" s="3" t="inlineStr">
        <is>
          <t>ref</t>
        </is>
      </c>
      <c r="C743" t="inlineStr">
        <is>
          <t>Refused</t>
        </is>
      </c>
      <c r="D743" t="inlineStr">
        <is>
          <t>رفض الإجابة</t>
        </is>
      </c>
      <c r="E743" s="4" t="n"/>
    </row>
    <row r="744">
      <c r="E744" s="4" t="n"/>
    </row>
    <row r="745">
      <c r="E745" s="4" t="n"/>
    </row>
    <row r="746">
      <c r="E746" s="4" t="n"/>
      <c r="F746" s="235" t="n"/>
    </row>
    <row r="747">
      <c r="A747" s="3" t="inlineStr">
        <is>
          <t>cropdiff</t>
        </is>
      </c>
      <c r="B747" s="3" t="n">
        <v>1</v>
      </c>
      <c r="C747" s="3" t="inlineStr">
        <is>
          <t>Outbreak of pests or diseases</t>
        </is>
      </c>
      <c r="D747" s="3" t="inlineStr">
        <is>
          <t>تفشي الآفات أو الأمراض</t>
        </is>
      </c>
      <c r="E747" s="4" t="n"/>
      <c r="F747" s="235" t="n"/>
    </row>
    <row r="748">
      <c r="A748" s="3" t="inlineStr">
        <is>
          <t>cropdiff</t>
        </is>
      </c>
      <c r="B748" s="3" t="n">
        <v>2</v>
      </c>
      <c r="C748" s="3" t="inlineStr">
        <is>
          <t>Bad weather (drought, heavy rains, hail, frost...)</t>
        </is>
      </c>
      <c r="D748" s="3" t="inlineStr">
        <is>
          <t>سوء الأحوال الجوية (جفاف ، أمطار غزيرة ، بَرَد ، صقيع ...)</t>
        </is>
      </c>
      <c r="E748" s="4" t="n"/>
      <c r="F748" s="235" t="n"/>
    </row>
    <row r="749">
      <c r="A749" s="3" t="inlineStr">
        <is>
          <t>cropdiff</t>
        </is>
      </c>
      <c r="B749" s="3" t="n">
        <v>3</v>
      </c>
      <c r="C749" s="3" t="inlineStr">
        <is>
          <t>Difficulty to access seeds</t>
        </is>
      </c>
      <c r="D749" s="3" t="inlineStr">
        <is>
          <t>صعوبة الوصول إلى البذور</t>
        </is>
      </c>
      <c r="E749" s="4" t="n"/>
      <c r="F749" s="235" t="n"/>
    </row>
    <row r="750">
      <c r="A750" s="3" t="inlineStr">
        <is>
          <t>cropdiff</t>
        </is>
      </c>
      <c r="B750" s="3" t="n">
        <v>4</v>
      </c>
      <c r="C750" s="3" t="inlineStr">
        <is>
          <t>Difficulty to access fertilizers or pesticides</t>
        </is>
      </c>
      <c r="D750" s="3" t="inlineStr">
        <is>
          <t>صعوبة الوصول إلى الأسمدة أو المبيدات</t>
        </is>
      </c>
      <c r="E750" s="4" t="n"/>
      <c r="F750" s="235" t="n"/>
    </row>
    <row r="751">
      <c r="A751" s="3" t="inlineStr">
        <is>
          <t>cropdiff</t>
        </is>
      </c>
      <c r="B751" s="3" t="n">
        <v>5</v>
      </c>
      <c r="C751" s="3" t="inlineStr">
        <is>
          <t xml:space="preserve"> Constrained access to land </t>
        </is>
      </c>
      <c r="D751" s="3" t="inlineStr">
        <is>
          <t xml:space="preserve">صعوبة الوصول إلى الأرض للزراعة </t>
        </is>
      </c>
      <c r="E751" s="4" t="n"/>
      <c r="F751" s="235" t="n"/>
    </row>
    <row r="752">
      <c r="A752" s="3" t="inlineStr">
        <is>
          <t>cropdiff</t>
        </is>
      </c>
      <c r="B752" s="3" t="n">
        <v>6</v>
      </c>
      <c r="C752" s="3" t="inlineStr">
        <is>
          <t>Land unfit for cultivation</t>
        </is>
      </c>
      <c r="D752" s="3" t="inlineStr">
        <is>
          <t>أرض غير صالحة للزراعة</t>
        </is>
      </c>
      <c r="E752" s="4" t="n"/>
      <c r="F752" s="235" t="n"/>
    </row>
    <row r="753">
      <c r="A753" s="3" t="inlineStr">
        <is>
          <t>cropdiff</t>
        </is>
      </c>
      <c r="B753" s="3" t="n">
        <v>7</v>
      </c>
      <c r="C753" s="3" t="inlineStr">
        <is>
          <t>Constrained access to water for irrigation</t>
        </is>
      </c>
      <c r="D753" s="3" t="inlineStr">
        <is>
          <t>صعوبة الوصول إلى المياه للري</t>
        </is>
      </c>
      <c r="E753" s="4" t="n"/>
      <c r="F753" s="235" t="n"/>
    </row>
    <row r="754">
      <c r="A754" s="3" t="inlineStr">
        <is>
          <t>cropdiff</t>
        </is>
      </c>
      <c r="B754" s="3" t="n">
        <v>8</v>
      </c>
      <c r="C754" t="inlineStr">
        <is>
          <t>Difficulty to access fuel for transportation</t>
        </is>
      </c>
      <c r="D754" s="3" t="inlineStr">
        <is>
          <t>صعوبة الوصول إلى الوقود للمواصلات</t>
        </is>
      </c>
      <c r="E754" s="4" t="n"/>
      <c r="F754" s="235" t="n"/>
    </row>
    <row r="755">
      <c r="A755" s="3" t="inlineStr">
        <is>
          <t>cropdiff</t>
        </is>
      </c>
      <c r="B755" s="3" t="n">
        <v>9</v>
      </c>
      <c r="C755" t="inlineStr">
        <is>
          <t>Difficulty to access fuel or electricity to power equipment</t>
        </is>
      </c>
      <c r="D755" s="3" t="inlineStr">
        <is>
          <t xml:space="preserve">صعوبة الوصول إلى الوقود أو الكهرباء لتشغيل المعدات </t>
        </is>
      </c>
      <c r="E755" s="4" t="n"/>
      <c r="F755" s="235" t="n"/>
    </row>
    <row r="756">
      <c r="A756" s="3" t="inlineStr">
        <is>
          <t>cropdiff</t>
        </is>
      </c>
      <c r="B756" s="3" t="n">
        <v>10</v>
      </c>
      <c r="C756" t="inlineStr">
        <is>
          <t>Difficulty to access necessary machinery or equipment</t>
        </is>
      </c>
      <c r="D756" s="3" t="inlineStr">
        <is>
          <t>صعوبة الوصول إلى الآلات أو المعدات اللازمة</t>
        </is>
      </c>
      <c r="E756" s="4" t="n"/>
    </row>
    <row r="757">
      <c r="A757" s="3" t="inlineStr">
        <is>
          <t>cropdiff</t>
        </is>
      </c>
      <c r="B757" s="3" t="n">
        <v>11</v>
      </c>
      <c r="C757" t="inlineStr">
        <is>
          <t>Difficulty to access manpower labour</t>
        </is>
      </c>
      <c r="D757" s="3" t="inlineStr">
        <is>
          <t>صعوبة الوصول إلى اليد العاملة</t>
        </is>
      </c>
      <c r="E757" s="4" t="n"/>
      <c r="G757" s="216" t="n"/>
    </row>
    <row r="758">
      <c r="A758" s="3" t="inlineStr">
        <is>
          <t>cropdiff</t>
        </is>
      </c>
      <c r="B758" s="3" t="n">
        <v>12</v>
      </c>
      <c r="C758" t="inlineStr">
        <is>
          <t>Lack of/Insufficient storage spaces</t>
        </is>
      </c>
      <c r="D758" s="3" t="inlineStr">
        <is>
          <t>نقص / عدم كفاية مساحات التخزين</t>
        </is>
      </c>
      <c r="E758" s="4" t="n"/>
    </row>
    <row r="759">
      <c r="A759" s="3" t="inlineStr">
        <is>
          <t>cropdiff</t>
        </is>
      </c>
      <c r="B759" s="3" t="n">
        <v>13</v>
      </c>
      <c r="C759" t="inlineStr">
        <is>
          <t>Household displaced</t>
        </is>
      </c>
      <c r="D759" s="3" t="inlineStr">
        <is>
          <t>نزوح الأسرة</t>
        </is>
      </c>
      <c r="E759" s="4" t="n"/>
    </row>
    <row r="760">
      <c r="A760" s="3" t="inlineStr">
        <is>
          <t>cropdiff</t>
        </is>
      </c>
      <c r="B760" s="3" t="n">
        <v>14</v>
      </c>
      <c r="C760" t="inlineStr">
        <is>
          <t>Lack of time or will of household to continue producing crops</t>
        </is>
      </c>
      <c r="D760" s="3" t="inlineStr">
        <is>
          <t>ضيق الوقت أو عدم توفر الإرادة لمواصلة إنتاج المحاصيل</t>
        </is>
      </c>
      <c r="E760" s="4" t="n"/>
    </row>
    <row r="761">
      <c r="A761" s="3" t="inlineStr">
        <is>
          <t>cropdiff</t>
        </is>
      </c>
      <c r="B761" s="3" t="n">
        <v>15</v>
      </c>
      <c r="C761" t="inlineStr">
        <is>
          <t>Difficulty to access market or traders to sell production</t>
        </is>
      </c>
      <c r="D761" s="3" t="inlineStr">
        <is>
          <t xml:space="preserve">صعوبة الوصول إلى السوق أو التجار لبيع الإنتاج </t>
        </is>
      </c>
      <c r="E761" s="4" t="n"/>
    </row>
    <row r="762">
      <c r="A762" s="3" t="inlineStr">
        <is>
          <t>cropdiff</t>
        </is>
      </c>
      <c r="B762" s="3" t="n">
        <v>16</v>
      </c>
      <c r="C762" t="inlineStr">
        <is>
          <t>Low benefits from the sale of products (production costs too high or sale prices too low)</t>
        </is>
      </c>
      <c r="D762" s="3" t="inlineStr">
        <is>
          <t>عوائد منخفضة من بيع المنتجات (تكاليف الإنتاج مرتفعة للغاية أو أسعار البيع منخفضة للغاية)</t>
        </is>
      </c>
      <c r="E762" s="4" t="n"/>
    </row>
    <row r="763">
      <c r="A763" s="3" t="inlineStr">
        <is>
          <t>cropdiff</t>
        </is>
      </c>
      <c r="B763" s="3" t="n">
        <v>17</v>
      </c>
      <c r="C763" s="3" t="inlineStr">
        <is>
          <t>Destruction of production assets (machines, equipment, irrigation infrastructure, etc.) as a result of the conflict</t>
        </is>
      </c>
      <c r="D763" s="3" t="inlineStr">
        <is>
          <t>تدمير الأصول (الآلات والمعدات والبنية التحتية للري ، إلخ.) نتيجة النزاع</t>
        </is>
      </c>
      <c r="E763" s="4" t="n"/>
    </row>
    <row r="764">
      <c r="A764" s="3" t="inlineStr">
        <is>
          <t>cropdiff</t>
        </is>
      </c>
      <c r="B764" s="3" t="n">
        <v>18</v>
      </c>
      <c r="C764" s="3" t="inlineStr">
        <is>
          <t>Theft</t>
        </is>
      </c>
      <c r="D764" s="3" t="inlineStr">
        <is>
          <t>السرقة</t>
        </is>
      </c>
      <c r="E764" s="4" t="n"/>
    </row>
    <row r="765">
      <c r="A765" s="3" t="inlineStr">
        <is>
          <t>cropdiff</t>
        </is>
      </c>
      <c r="B765" s="3" t="n">
        <v>19</v>
      </c>
      <c r="C765" s="3" t="inlineStr">
        <is>
          <t>Don't expect to face unusual difficulties</t>
        </is>
      </c>
      <c r="D765" s="3" t="inlineStr">
        <is>
          <t>لا اتوقع أن أواجه صعوبات غير عادية</t>
        </is>
      </c>
      <c r="E765" s="4" t="n"/>
    </row>
    <row r="766">
      <c r="A766" s="3" t="inlineStr">
        <is>
          <t>cropdiff</t>
        </is>
      </c>
      <c r="B766" s="3" t="inlineStr">
        <is>
          <t>other</t>
        </is>
      </c>
      <c r="C766" s="3" t="inlineStr">
        <is>
          <t>Other (specify)</t>
        </is>
      </c>
      <c r="D766" t="inlineStr">
        <is>
          <t>آخر (حدد)</t>
        </is>
      </c>
      <c r="E766" s="4" t="n"/>
    </row>
    <row r="767">
      <c r="A767" s="3" t="inlineStr">
        <is>
          <t>cropdiff</t>
        </is>
      </c>
      <c r="B767" s="3" t="inlineStr">
        <is>
          <t>dk</t>
        </is>
      </c>
      <c r="C767" s="3" t="inlineStr">
        <is>
          <t>Don't know</t>
        </is>
      </c>
      <c r="D767" t="inlineStr">
        <is>
          <t>لا أعرف</t>
        </is>
      </c>
      <c r="E767" s="4" t="n"/>
    </row>
    <row r="768">
      <c r="A768" s="3" t="inlineStr">
        <is>
          <t>cropdiff</t>
        </is>
      </c>
      <c r="B768" s="3" t="inlineStr">
        <is>
          <t>ref</t>
        </is>
      </c>
      <c r="C768" s="3" t="inlineStr">
        <is>
          <t>Refused</t>
        </is>
      </c>
      <c r="D768" t="inlineStr">
        <is>
          <t>رفض الإجابة</t>
        </is>
      </c>
      <c r="E768" s="4" t="n"/>
    </row>
    <row r="769">
      <c r="E769" s="4" t="n"/>
    </row>
    <row r="770">
      <c r="A770" s="3" t="inlineStr">
        <is>
          <t>processdiff</t>
        </is>
      </c>
      <c r="B770" s="3" t="n">
        <v>1</v>
      </c>
      <c r="C770" t="inlineStr">
        <is>
          <t>Lack of/Insufficient storage spaces</t>
        </is>
      </c>
      <c r="D770" s="3" t="inlineStr">
        <is>
          <t>نقص / عدم كفاية مساحات التخزين</t>
        </is>
      </c>
      <c r="E770" s="4" t="n"/>
    </row>
    <row r="771">
      <c r="A771" s="3" t="inlineStr">
        <is>
          <t>processdiff</t>
        </is>
      </c>
      <c r="B771" s="3" t="n">
        <v>2</v>
      </c>
      <c r="C771" s="3" t="inlineStr">
        <is>
          <t>Lack of/Insufficient refrigeration facilities</t>
        </is>
      </c>
      <c r="D771" s="3" t="inlineStr">
        <is>
          <t>نقص / عدم كفاية مرافق التبريد</t>
        </is>
      </c>
      <c r="E771" s="4" t="n"/>
    </row>
    <row r="772">
      <c r="A772" s="3" t="inlineStr">
        <is>
          <t>processdiff</t>
        </is>
      </c>
      <c r="B772" s="3" t="n">
        <v>3</v>
      </c>
      <c r="C772" s="3" t="inlineStr">
        <is>
          <t>Lower yields than usual</t>
        </is>
      </c>
      <c r="D772" s="3" t="inlineStr">
        <is>
          <t>عوائد أقل من المعتاد</t>
        </is>
      </c>
      <c r="E772" s="4" t="n"/>
    </row>
    <row r="773">
      <c r="A773" s="3" t="inlineStr">
        <is>
          <t>processdiff</t>
        </is>
      </c>
      <c r="B773" s="3" t="n">
        <v>4</v>
      </c>
      <c r="C773" t="inlineStr">
        <is>
          <t>Difficulty to access necessary machinery or equipment</t>
        </is>
      </c>
      <c r="D773" s="3" t="inlineStr">
        <is>
          <t>صعوبة الوصول إلى الآلات أو المعدات اللازمة</t>
        </is>
      </c>
      <c r="E773" s="4" t="n"/>
    </row>
    <row r="774">
      <c r="A774" s="3" t="inlineStr">
        <is>
          <t>processdiff</t>
        </is>
      </c>
      <c r="B774" s="3" t="n">
        <v>5</v>
      </c>
      <c r="C774" t="inlineStr">
        <is>
          <t>Difficulty to access manpower labour</t>
        </is>
      </c>
      <c r="D774" s="3" t="inlineStr">
        <is>
          <t>صعوبة الوصول إلى اليد العاملة</t>
        </is>
      </c>
      <c r="E774" s="4" t="n"/>
    </row>
    <row r="775">
      <c r="A775" s="3" t="inlineStr">
        <is>
          <t>processdiff</t>
        </is>
      </c>
      <c r="B775" s="3" t="n">
        <v>6</v>
      </c>
      <c r="C775" s="3" t="inlineStr">
        <is>
          <t>Theft</t>
        </is>
      </c>
      <c r="D775" s="3" t="inlineStr">
        <is>
          <t>السرقة</t>
        </is>
      </c>
      <c r="E775" s="4" t="n"/>
    </row>
    <row r="776">
      <c r="A776" s="3" t="inlineStr">
        <is>
          <t>processdiff</t>
        </is>
      </c>
      <c r="B776" s="3" t="n">
        <v>7</v>
      </c>
      <c r="C776" s="3" t="inlineStr">
        <is>
          <t>Don't expect to face unusual difficulties</t>
        </is>
      </c>
      <c r="D776" s="3" t="inlineStr">
        <is>
          <t>لا اتوقع أن أواجه صعوبات غير عادية</t>
        </is>
      </c>
      <c r="E776" s="4" t="n"/>
    </row>
    <row r="777">
      <c r="A777" s="3" t="inlineStr">
        <is>
          <t>processdiff</t>
        </is>
      </c>
      <c r="B777" s="3" t="inlineStr">
        <is>
          <t>other</t>
        </is>
      </c>
      <c r="C777" s="3" t="inlineStr">
        <is>
          <t>Other (specify)</t>
        </is>
      </c>
      <c r="D777" t="inlineStr">
        <is>
          <t>آخر (حدد)</t>
        </is>
      </c>
      <c r="E777" s="4" t="n"/>
    </row>
    <row r="778">
      <c r="A778" s="3" t="inlineStr">
        <is>
          <t>processdiff</t>
        </is>
      </c>
      <c r="B778" s="3" t="inlineStr">
        <is>
          <t>dk</t>
        </is>
      </c>
      <c r="C778" s="3" t="inlineStr">
        <is>
          <t>Don't know</t>
        </is>
      </c>
      <c r="D778" t="inlineStr">
        <is>
          <t>لا أعرف</t>
        </is>
      </c>
      <c r="E778" s="4" t="n"/>
    </row>
    <row r="779">
      <c r="A779" s="3" t="inlineStr">
        <is>
          <t>processdiff</t>
        </is>
      </c>
      <c r="B779" s="3" t="inlineStr">
        <is>
          <t>ref</t>
        </is>
      </c>
      <c r="C779" s="3" t="inlineStr">
        <is>
          <t>Refused</t>
        </is>
      </c>
      <c r="D779" t="inlineStr">
        <is>
          <t>رفض الإجابة</t>
        </is>
      </c>
      <c r="E779" s="4" t="n"/>
    </row>
    <row r="780">
      <c r="E780" s="4" t="n"/>
    </row>
    <row r="781">
      <c r="A781" s="226" t="inlineStr">
        <is>
          <t>damassets</t>
        </is>
      </c>
      <c r="B781" s="242" t="n">
        <v>1</v>
      </c>
      <c r="C781" s="226" t="inlineStr">
        <is>
          <t>Storage facility</t>
        </is>
      </c>
      <c r="D781" s="3" t="inlineStr">
        <is>
          <t>منشأة تخزين</t>
        </is>
      </c>
      <c r="E781" s="4" t="n"/>
    </row>
    <row r="782">
      <c r="A782" s="226" t="inlineStr">
        <is>
          <t>damassets</t>
        </is>
      </c>
      <c r="B782" s="242" t="n">
        <v>2</v>
      </c>
      <c r="C782" s="226" t="inlineStr">
        <is>
          <t>Greenhouses</t>
        </is>
      </c>
      <c r="D782" s="3" t="inlineStr">
        <is>
          <t>البيوت البلاستيكية</t>
        </is>
      </c>
      <c r="E782" s="4" t="n"/>
    </row>
    <row r="783">
      <c r="A783" s="226" t="inlineStr">
        <is>
          <t>damassets</t>
        </is>
      </c>
      <c r="B783" s="242" t="n">
        <v>3</v>
      </c>
      <c r="C783" s="226" t="inlineStr">
        <is>
          <t>Tools and Equipment (e.g. trough...)</t>
        </is>
      </c>
      <c r="D783" s="3" t="inlineStr">
        <is>
          <t>الأدوات والمعدات (مثل الحوض الصغير ...)</t>
        </is>
      </c>
      <c r="E783" s="4" t="n"/>
    </row>
    <row r="784">
      <c r="A784" s="226" t="inlineStr">
        <is>
          <t>damassets</t>
        </is>
      </c>
      <c r="B784" s="242" t="n">
        <v>4</v>
      </c>
      <c r="C784" s="226" t="inlineStr">
        <is>
          <t>Machinery (e.g. tractor, combine harvester...)</t>
        </is>
      </c>
      <c r="D784" s="3" t="inlineStr">
        <is>
          <t>الآلات (مثل الجرارات ، والحصادات ...)</t>
        </is>
      </c>
      <c r="E784" s="4" t="n"/>
    </row>
    <row r="785">
      <c r="A785" s="226" t="inlineStr">
        <is>
          <t>damassets</t>
        </is>
      </c>
      <c r="B785" s="242" t="n">
        <v>5</v>
      </c>
      <c r="C785" s="226" t="inlineStr">
        <is>
          <t>Irrigation</t>
        </is>
      </c>
      <c r="D785" s="3" t="inlineStr">
        <is>
          <t>الري</t>
        </is>
      </c>
      <c r="E785" s="4" t="n"/>
    </row>
    <row r="786">
      <c r="A786" s="226" t="inlineStr">
        <is>
          <t>damassets</t>
        </is>
      </c>
      <c r="B786" s="242" t="n">
        <v>6</v>
      </c>
      <c r="C786" s="226" t="inlineStr">
        <is>
          <t>Other infrastructure</t>
        </is>
      </c>
      <c r="D786" s="3" t="inlineStr">
        <is>
          <t>البنية التحتية الأخرى</t>
        </is>
      </c>
      <c r="E786" s="4" t="n"/>
    </row>
    <row r="787">
      <c r="A787" s="226" t="inlineStr">
        <is>
          <t>damassets</t>
        </is>
      </c>
      <c r="B787" s="242" t="n">
        <v>7</v>
      </c>
      <c r="C787" s="226" t="inlineStr">
        <is>
          <t>Stored products</t>
        </is>
      </c>
      <c r="D787" s="3" t="inlineStr">
        <is>
          <t>المنتجات المخزنة</t>
        </is>
      </c>
      <c r="E787" s="4" t="n"/>
    </row>
    <row r="788">
      <c r="A788" s="226" t="inlineStr">
        <is>
          <t>damassets</t>
        </is>
      </c>
      <c r="B788" s="242" t="n">
        <v>8</v>
      </c>
      <c r="C788" s="226" t="inlineStr">
        <is>
          <t>Inputs (seeds, fertilizers etc.)</t>
        </is>
      </c>
      <c r="D788" s="3" t="inlineStr">
        <is>
          <t>المدخلات (البذور ، الأسمدة ، إلخ)</t>
        </is>
      </c>
      <c r="E788" s="4" t="n"/>
    </row>
    <row r="789">
      <c r="A789" s="226" t="inlineStr">
        <is>
          <t>damassets</t>
        </is>
      </c>
      <c r="B789" s="242" t="n">
        <v>9</v>
      </c>
      <c r="C789" s="226" t="inlineStr">
        <is>
          <t>No asset damaged</t>
        </is>
      </c>
      <c r="D789" s="3" t="inlineStr">
        <is>
          <t>لا يوجد أصل تالف</t>
        </is>
      </c>
      <c r="E789" s="4" t="n"/>
    </row>
    <row r="790">
      <c r="A790" s="226" t="inlineStr">
        <is>
          <t>damassets</t>
        </is>
      </c>
      <c r="B790" s="226" t="inlineStr">
        <is>
          <t>dk</t>
        </is>
      </c>
      <c r="C790" s="226" t="inlineStr">
        <is>
          <t>Don’t know</t>
        </is>
      </c>
      <c r="D790" s="3" t="inlineStr">
        <is>
          <t>لا أعرف</t>
        </is>
      </c>
      <c r="E790" s="4" t="n"/>
    </row>
    <row r="791">
      <c r="A791" s="226" t="inlineStr">
        <is>
          <t>damassets</t>
        </is>
      </c>
      <c r="B791" s="226" t="inlineStr">
        <is>
          <t>ref</t>
        </is>
      </c>
      <c r="C791" s="226" t="inlineStr">
        <is>
          <t>Refused</t>
        </is>
      </c>
      <c r="D791" s="3" t="inlineStr">
        <is>
          <t>رفض الإجابة</t>
        </is>
      </c>
      <c r="E791" s="4" t="n"/>
    </row>
    <row r="792">
      <c r="A792" s="226" t="inlineStr">
        <is>
          <t>damassets</t>
        </is>
      </c>
      <c r="B792" s="226" t="inlineStr">
        <is>
          <t>other</t>
        </is>
      </c>
      <c r="C792" s="226" t="inlineStr">
        <is>
          <t>Other</t>
        </is>
      </c>
      <c r="D792" s="3" t="inlineStr">
        <is>
          <t>آخر</t>
        </is>
      </c>
      <c r="E792" s="4" t="n"/>
    </row>
    <row r="793">
      <c r="A793" s="226" t="n"/>
      <c r="B793" s="242" t="n"/>
      <c r="C793" s="226" t="n"/>
      <c r="E793" s="4" t="n"/>
    </row>
    <row r="794">
      <c r="A794" s="226" t="inlineStr">
        <is>
          <t>damassets_ls</t>
        </is>
      </c>
      <c r="B794" s="242" t="n">
        <v>1</v>
      </c>
      <c r="C794" s="226" t="inlineStr">
        <is>
          <t>Storage facility</t>
        </is>
      </c>
      <c r="D794" s="3" t="inlineStr">
        <is>
          <t>منشأة تخزين/مستودعات علف</t>
        </is>
      </c>
      <c r="E794" s="4" t="n"/>
    </row>
    <row r="795">
      <c r="A795" s="226" t="inlineStr">
        <is>
          <t>damassets_ls</t>
        </is>
      </c>
      <c r="B795" s="242" t="n">
        <v>2</v>
      </c>
      <c r="C795" s="226" t="inlineStr">
        <is>
          <t>Livestock pens/holdings</t>
        </is>
      </c>
      <c r="D795" s="3" t="inlineStr">
        <is>
          <t>حظائر الحيوانات</t>
        </is>
      </c>
      <c r="E795" s="4" t="n"/>
    </row>
    <row r="796">
      <c r="A796" s="226" t="inlineStr">
        <is>
          <t>damassets_ls</t>
        </is>
      </c>
      <c r="B796" s="242" t="n">
        <v>3</v>
      </c>
      <c r="C796" s="226" t="inlineStr">
        <is>
          <t>Tools and Equipment</t>
        </is>
      </c>
      <c r="D796" s="3" t="inlineStr">
        <is>
          <t>الادوات و المعدات</t>
        </is>
      </c>
      <c r="E796" s="4" t="n"/>
    </row>
    <row r="797">
      <c r="A797" s="226" t="inlineStr">
        <is>
          <t>damassets_ls</t>
        </is>
      </c>
      <c r="B797" s="242" t="n">
        <v>4</v>
      </c>
      <c r="C797" s="226" t="inlineStr">
        <is>
          <t>Machinery</t>
        </is>
      </c>
      <c r="D797" s="3" t="inlineStr">
        <is>
          <t xml:space="preserve"> الآلات والمعدات (مثل الجرارات وآلات الحلب/الحلابة وما إلى ذلك)</t>
        </is>
      </c>
      <c r="E797" s="4" t="n"/>
    </row>
    <row r="798">
      <c r="A798" s="226" t="inlineStr">
        <is>
          <t>damassets_ls</t>
        </is>
      </c>
      <c r="B798" s="242" t="n">
        <v>5</v>
      </c>
      <c r="C798" s="226" t="inlineStr">
        <is>
          <t>Veterinary supplies</t>
        </is>
      </c>
      <c r="D798" s="3" t="inlineStr">
        <is>
          <t xml:space="preserve"> المدخلات البيطرية (الأدوية ، إلخ)</t>
        </is>
      </c>
      <c r="E798" s="4" t="n"/>
    </row>
    <row r="799">
      <c r="A799" s="226" t="inlineStr">
        <is>
          <t>damassets_ls</t>
        </is>
      </c>
      <c r="B799" s="242" t="n">
        <v>6</v>
      </c>
      <c r="C799" s="226" t="inlineStr">
        <is>
          <t>Infrastructure</t>
        </is>
      </c>
      <c r="D799" s="3" t="inlineStr">
        <is>
          <t>بنية تحتية</t>
        </is>
      </c>
      <c r="E799" s="4" t="n"/>
    </row>
    <row r="800">
      <c r="A800" s="226" t="inlineStr">
        <is>
          <t>damassets_ls</t>
        </is>
      </c>
      <c r="B800" s="242" t="n">
        <v>7</v>
      </c>
      <c r="C800" s="226" t="inlineStr">
        <is>
          <t>Stored products</t>
        </is>
      </c>
      <c r="D800" s="3" t="inlineStr">
        <is>
          <t>المنتجات المخزنة</t>
        </is>
      </c>
      <c r="E800" s="4" t="n"/>
    </row>
    <row r="801">
      <c r="A801" s="226" t="inlineStr">
        <is>
          <t>damassets_ls</t>
        </is>
      </c>
      <c r="B801" s="242" t="n">
        <v>8</v>
      </c>
      <c r="C801" s="226" t="inlineStr">
        <is>
          <t>Inputs (e.g. animal feed, etc.)</t>
        </is>
      </c>
      <c r="D801" s="3" t="inlineStr">
        <is>
          <t>المدخلات (مثل علف الحيوانات ، إلخ)</t>
        </is>
      </c>
      <c r="E801" s="4" t="n"/>
    </row>
    <row r="802">
      <c r="A802" s="226" t="inlineStr">
        <is>
          <t>damassets_ls</t>
        </is>
      </c>
      <c r="B802" s="242" t="n">
        <v>9</v>
      </c>
      <c r="C802" s="226" t="inlineStr">
        <is>
          <t>No asset damaged</t>
        </is>
      </c>
      <c r="D802" s="3" t="inlineStr">
        <is>
          <t>لا يوجد أصل تالف</t>
        </is>
      </c>
      <c r="E802" s="4" t="n"/>
    </row>
    <row r="803">
      <c r="A803" s="226" t="inlineStr">
        <is>
          <t>damassets_ls</t>
        </is>
      </c>
      <c r="B803" s="226" t="inlineStr">
        <is>
          <t>dk</t>
        </is>
      </c>
      <c r="C803" s="226" t="inlineStr">
        <is>
          <t>Don’t know</t>
        </is>
      </c>
      <c r="D803" s="3" t="inlineStr">
        <is>
          <t>لا أعرف</t>
        </is>
      </c>
      <c r="E803" s="4" t="n"/>
    </row>
    <row r="804">
      <c r="A804" s="226" t="inlineStr">
        <is>
          <t>damassets_ls</t>
        </is>
      </c>
      <c r="B804" s="226" t="inlineStr">
        <is>
          <t>ref</t>
        </is>
      </c>
      <c r="C804" s="226" t="inlineStr">
        <is>
          <t>Refused</t>
        </is>
      </c>
      <c r="D804" t="inlineStr">
        <is>
          <t>رفض الإجابة</t>
        </is>
      </c>
      <c r="E804" s="4" t="n"/>
    </row>
    <row r="805">
      <c r="A805" s="226" t="inlineStr">
        <is>
          <t>damassets_ls</t>
        </is>
      </c>
      <c r="B805" s="226" t="inlineStr">
        <is>
          <t>other</t>
        </is>
      </c>
      <c r="C805" s="226" t="inlineStr">
        <is>
          <t>Other</t>
        </is>
      </c>
      <c r="D805" s="3" t="inlineStr">
        <is>
          <t>آخر</t>
        </is>
      </c>
      <c r="E805" s="4" t="n"/>
    </row>
    <row r="806">
      <c r="A806" s="226" t="n"/>
      <c r="B806" s="242" t="n"/>
      <c r="C806" s="226" t="n"/>
      <c r="E806" s="4" t="n"/>
    </row>
    <row r="807">
      <c r="A807" s="226" t="inlineStr">
        <is>
          <t>damassets_fish</t>
        </is>
      </c>
      <c r="B807" s="242" t="n">
        <v>1</v>
      </c>
      <c r="C807" s="226" t="inlineStr">
        <is>
          <t>Storage facility</t>
        </is>
      </c>
      <c r="D807" s="3" t="inlineStr">
        <is>
          <t>منشأة تخزين</t>
        </is>
      </c>
      <c r="E807" s="4" t="n"/>
    </row>
    <row r="808">
      <c r="A808" s="226" t="inlineStr">
        <is>
          <t>damassets_fish</t>
        </is>
      </c>
      <c r="B808" s="242" t="n">
        <v>2</v>
      </c>
      <c r="C808" s="226" t="inlineStr">
        <is>
          <t>Fish ponds</t>
        </is>
      </c>
      <c r="D808" s="3" t="inlineStr">
        <is>
          <t>احواض السمك</t>
        </is>
      </c>
      <c r="E808" s="4" t="n"/>
    </row>
    <row r="809">
      <c r="A809" s="226" t="inlineStr">
        <is>
          <t>damassets_fish</t>
        </is>
      </c>
      <c r="B809" s="242" t="n">
        <v>3</v>
      </c>
      <c r="C809" s="226" t="inlineStr">
        <is>
          <t>Tools and Equipment</t>
        </is>
      </c>
      <c r="D809" s="3" t="inlineStr">
        <is>
          <t>الادوات و المعدات</t>
        </is>
      </c>
      <c r="E809" s="4" t="n"/>
    </row>
    <row r="810">
      <c r="A810" s="226" t="inlineStr">
        <is>
          <t>damassets_fish</t>
        </is>
      </c>
      <c r="B810" s="242" t="n">
        <v>4</v>
      </c>
      <c r="C810" s="226" t="inlineStr">
        <is>
          <t>Machinery</t>
        </is>
      </c>
      <c r="D810" s="3" t="inlineStr">
        <is>
          <t>آلات</t>
        </is>
      </c>
      <c r="E810" s="4" t="n"/>
    </row>
    <row r="811">
      <c r="A811" s="226" t="inlineStr">
        <is>
          <t>damassets_fish</t>
        </is>
      </c>
      <c r="B811" s="242" t="n">
        <v>5</v>
      </c>
      <c r="C811" s="226" t="inlineStr">
        <is>
          <t>Veterinary supplies</t>
        </is>
      </c>
      <c r="D811" s="3" t="inlineStr">
        <is>
          <t>المستلزمات البيطرية</t>
        </is>
      </c>
      <c r="E811" s="4" t="n"/>
    </row>
    <row r="812">
      <c r="A812" s="226" t="inlineStr">
        <is>
          <t>damassets_fish</t>
        </is>
      </c>
      <c r="B812" s="242" t="n">
        <v>6</v>
      </c>
      <c r="C812" s="226" t="inlineStr">
        <is>
          <t>Infrastructure (e.g. refrigerators)</t>
        </is>
      </c>
      <c r="D812" s="3" t="inlineStr">
        <is>
          <t>البنية التحتية (مثل الثلاجات)</t>
        </is>
      </c>
      <c r="E812" s="4" t="n"/>
    </row>
    <row r="813">
      <c r="A813" s="226" t="inlineStr">
        <is>
          <t>damassets_fish</t>
        </is>
      </c>
      <c r="B813" s="242" t="n">
        <v>7</v>
      </c>
      <c r="C813" s="226" t="inlineStr">
        <is>
          <t>Stored products</t>
        </is>
      </c>
      <c r="D813" s="3" t="inlineStr">
        <is>
          <t>المنتجات المخزنة</t>
        </is>
      </c>
      <c r="E813" s="4" t="n"/>
    </row>
    <row r="814">
      <c r="A814" s="226" t="inlineStr">
        <is>
          <t>damassets_fish</t>
        </is>
      </c>
      <c r="B814" s="242" t="n">
        <v>8</v>
      </c>
      <c r="C814" s="226" t="inlineStr">
        <is>
          <t>Inputs (e.g. animal feed, etc.)</t>
        </is>
      </c>
      <c r="D814" s="3" t="inlineStr">
        <is>
          <t>المدخلات (مثل علف الحيوانات ، إلخ)</t>
        </is>
      </c>
      <c r="E814" s="4" t="n"/>
    </row>
    <row r="815">
      <c r="A815" s="226" t="inlineStr">
        <is>
          <t>damassets_fish</t>
        </is>
      </c>
      <c r="B815" s="242" t="n">
        <v>9</v>
      </c>
      <c r="C815" s="226" t="inlineStr">
        <is>
          <t>No asset damaged</t>
        </is>
      </c>
      <c r="D815" s="3" t="inlineStr">
        <is>
          <t>لا يوجد أصل تالف</t>
        </is>
      </c>
      <c r="E815" s="4" t="n"/>
    </row>
    <row r="816">
      <c r="A816" s="226" t="inlineStr">
        <is>
          <t>damassets_fish</t>
        </is>
      </c>
      <c r="B816" s="226" t="inlineStr">
        <is>
          <t>dk</t>
        </is>
      </c>
      <c r="C816" s="226" t="inlineStr">
        <is>
          <t>Don’t know</t>
        </is>
      </c>
      <c r="D816" s="3" t="inlineStr">
        <is>
          <t>لا أعرف</t>
        </is>
      </c>
      <c r="E816" s="4" t="n"/>
    </row>
    <row r="817">
      <c r="A817" s="226" t="inlineStr">
        <is>
          <t>damassets_fish</t>
        </is>
      </c>
      <c r="B817" s="226" t="inlineStr">
        <is>
          <t>ref</t>
        </is>
      </c>
      <c r="C817" s="226" t="inlineStr">
        <is>
          <t>Refused</t>
        </is>
      </c>
      <c r="D817" t="inlineStr">
        <is>
          <t>رفض الإجابة</t>
        </is>
      </c>
      <c r="E817" s="4" t="n"/>
    </row>
    <row r="818">
      <c r="A818" s="226" t="inlineStr">
        <is>
          <t>damassets_fish</t>
        </is>
      </c>
      <c r="B818" s="226" t="inlineStr">
        <is>
          <t>other</t>
        </is>
      </c>
      <c r="C818" s="226" t="inlineStr">
        <is>
          <t>Other</t>
        </is>
      </c>
      <c r="D818" s="3" t="inlineStr">
        <is>
          <t>آخر</t>
        </is>
      </c>
      <c r="E818" s="4" t="n"/>
    </row>
    <row r="819">
      <c r="E819" s="4" t="n"/>
    </row>
    <row r="820" customFormat="1" s="354">
      <c r="A820" s="354" t="inlineStr">
        <is>
          <t>hdds</t>
        </is>
      </c>
      <c r="B820" s="355" t="inlineStr">
        <is>
          <t>cereals</t>
        </is>
      </c>
      <c r="C820" s="354" t="inlineStr">
        <is>
          <t>Cereals [wheat / rice /barley/ spaghetti /burgul/ bread or any other locally available grain]</t>
        </is>
      </c>
      <c r="D820" s="354" t="inlineStr">
        <is>
          <t>الحبوب [ القمح / الأرز/شعير / السباغيتي/البرغل / الخبز أو أي حبوب أخرى متوفرة محليًا]</t>
        </is>
      </c>
      <c r="E820" s="4" t="n"/>
    </row>
    <row r="821" customFormat="1" s="354">
      <c r="A821" s="354" t="inlineStr">
        <is>
          <t>hdds</t>
        </is>
      </c>
      <c r="B821" s="355" t="inlineStr">
        <is>
          <t>rootstubers</t>
        </is>
      </c>
      <c r="C821" s="354" t="inlineStr">
        <is>
          <t>Roots and tubers [sugar beets/ white sweet potato / potato or other tubers]</t>
        </is>
      </c>
      <c r="D821" s="354" t="inlineStr">
        <is>
          <t>الجذور والدرنات [الشمندر/ البطاطا الحلوة البيضاء / البطاطا أو درنات أخرى]</t>
        </is>
      </c>
      <c r="E821" s="4" t="n"/>
    </row>
    <row r="822" customFormat="1" s="354">
      <c r="A822" s="354" t="inlineStr">
        <is>
          <t>hdds</t>
        </is>
      </c>
      <c r="B822" s="355" t="inlineStr">
        <is>
          <t>vegetables</t>
        </is>
      </c>
      <c r="C822" s="354" t="inlineStr">
        <is>
          <t>Vegetables [all]</t>
        </is>
      </c>
      <c r="D822" s="354" t="inlineStr">
        <is>
          <t>الخضار [الكل]</t>
        </is>
      </c>
      <c r="E822" s="4" t="n"/>
    </row>
    <row r="823" customFormat="1" s="354">
      <c r="A823" s="354" t="inlineStr">
        <is>
          <t>hdds</t>
        </is>
      </c>
      <c r="B823" s="355" t="inlineStr">
        <is>
          <t>fruits</t>
        </is>
      </c>
      <c r="C823" s="354" t="inlineStr">
        <is>
          <t>Fruit [all]</t>
        </is>
      </c>
      <c r="D823" s="354" t="inlineStr">
        <is>
          <t>الفواكه [الكل]</t>
        </is>
      </c>
      <c r="E823" s="4" t="n"/>
    </row>
    <row r="824" customFormat="1" s="354">
      <c r="A824" s="354" t="inlineStr">
        <is>
          <t>hdds</t>
        </is>
      </c>
      <c r="B824" s="355" t="inlineStr">
        <is>
          <t>meat</t>
        </is>
      </c>
      <c r="C824" s="354" t="inlineStr">
        <is>
          <t>Meat, poultry and offal [beef / pork / lamb /goat / chicken /wild game/ birds / liver / kidney / heart / or other organ meats]</t>
        </is>
      </c>
      <c r="D824" s="354" t="inlineStr">
        <is>
          <t>اللحوم / الدواجن ومخلفاتها [لحم البقر / لحم الخنزير / لحم الغنم / لحم الماعز  / الدجاج /الطرائد البريّة/ العصافير / الكبد / الكلى / القلب / أو غيرها من لحوم الأعضاء]</t>
        </is>
      </c>
      <c r="E824" s="4" t="n"/>
    </row>
    <row r="825" customFormat="1" s="354">
      <c r="A825" s="354" t="inlineStr">
        <is>
          <t>hdds</t>
        </is>
      </c>
      <c r="B825" s="355" t="inlineStr">
        <is>
          <t>eggs</t>
        </is>
      </c>
      <c r="C825" s="354" t="inlineStr">
        <is>
          <t>Eggs</t>
        </is>
      </c>
      <c r="D825" s="354" t="inlineStr">
        <is>
          <t>البيض</t>
        </is>
      </c>
      <c r="E825" s="4" t="n"/>
    </row>
    <row r="826" customFormat="1" s="354">
      <c r="A826" s="354" t="inlineStr">
        <is>
          <t>hdds</t>
        </is>
      </c>
      <c r="B826" s="355" t="inlineStr">
        <is>
          <t>fish</t>
        </is>
      </c>
      <c r="C826" s="354" t="inlineStr">
        <is>
          <t>Fish or shellfish [fresh/canned or other seafood]</t>
        </is>
      </c>
      <c r="D826" s="354" t="inlineStr">
        <is>
          <t>الأسماك أو المحار [الأسماك الطازجة/المعلّبة او  غيرها]</t>
        </is>
      </c>
      <c r="E826" s="4" t="n"/>
    </row>
    <row r="827" customFormat="1" s="354">
      <c r="A827" s="354" t="inlineStr">
        <is>
          <t>hdds</t>
        </is>
      </c>
      <c r="B827" s="355" t="inlineStr">
        <is>
          <t>legumes</t>
        </is>
      </c>
      <c r="C827" s="354" t="inlineStr">
        <is>
          <t>Legumes, nuts and seeds [beans/favabeans/chickpeas/ peas / peanut / lentils / almond / and/or other nuts]</t>
        </is>
      </c>
      <c r="D827" s="354" t="inlineStr">
        <is>
          <t>البقوليات والمكسرات [الفول / الفاصوليا/الحمص/ البازلاء / الفول السوداني / العدس / اللوز / المكسرات الأخرى]</t>
        </is>
      </c>
      <c r="E827" s="4" t="n"/>
    </row>
    <row r="828" customFormat="1" s="354">
      <c r="A828" s="354" t="inlineStr">
        <is>
          <t>hdds</t>
        </is>
      </c>
      <c r="B828" s="355" t="inlineStr">
        <is>
          <t>milkdairy</t>
        </is>
      </c>
      <c r="C828" s="354" t="inlineStr">
        <is>
          <t>Milk and other dairy products [fresh milk / yogurt / cheese / other dairy products]</t>
        </is>
      </c>
      <c r="D828" s="354" t="inlineStr">
        <is>
          <t>الحليب ومنتجات الألبان الأخرى [حليب طازج / لبن رائب / جبن / منتجات ألبان أخرى]</t>
        </is>
      </c>
      <c r="E828" s="4" t="n"/>
    </row>
    <row r="829" customFormat="1" s="354">
      <c r="A829" s="354" t="inlineStr">
        <is>
          <t>hdds</t>
        </is>
      </c>
      <c r="B829" s="355" t="inlineStr">
        <is>
          <t>oils</t>
        </is>
      </c>
      <c r="C829" s="354" t="inlineStr">
        <is>
          <t>Oil/fat / butter [cooking / butter / margarine / fat/oil / other oil]</t>
        </is>
      </c>
      <c r="D829" s="354" t="inlineStr">
        <is>
          <t>الزيوت والدهون [ الزبدة / المارجرين / الدهون / الزيت / الزيوت الأخرى]</t>
        </is>
      </c>
      <c r="E829" s="4" t="n"/>
    </row>
    <row r="830" customFormat="1" s="354">
      <c r="A830" s="354" t="inlineStr">
        <is>
          <t>hdds</t>
        </is>
      </c>
      <c r="B830" s="355" t="inlineStr">
        <is>
          <t>sugar</t>
        </is>
      </c>
      <c r="C830" s="354" t="inlineStr">
        <is>
          <t>Sugar or sugary products [honey / jam / candy / biscuits / pastries / cakes and other sweet products]</t>
        </is>
      </c>
      <c r="D830" s="354" t="inlineStr">
        <is>
          <t>السكر أو المنتجات السكرية [عسل / مربى / حلوى / شوكولاتة / بسكويت / حلو / كيك ومنتجات حلوة أخرى]</t>
        </is>
      </c>
      <c r="E830" s="4" t="n"/>
    </row>
    <row r="831" customFormat="1" s="354">
      <c r="A831" s="354" t="inlineStr">
        <is>
          <t>hdds</t>
        </is>
      </c>
      <c r="B831" s="355" t="inlineStr">
        <is>
          <t>condiments</t>
        </is>
      </c>
      <c r="C831" s="354" t="inlineStr">
        <is>
          <t>Condiments [salt / Chicken or meat stock/garlic /zaatar (with sesame and sumac) spices / yeast or baking powder / tomato or tomato sauce], coffee, tea</t>
        </is>
      </c>
      <c r="D831" s="354" t="inlineStr">
        <is>
          <t>التوابل [ الملح /مرقة الدجاج أو اللّحم/ الثوم/ زعتر(مع السمسم و السمّاق) / البهارات / الخميرة / مسحوق الخبز (بكنج باودر) / الطماطم أو صلصة الطماطم] والقهوة و الشاي</t>
        </is>
      </c>
      <c r="E831" s="4" t="n"/>
    </row>
    <row r="834" customFormat="1" s="354">
      <c r="A834" s="358" t="inlineStr">
        <is>
          <t>water</t>
        </is>
      </c>
      <c r="B834" s="359" t="n">
        <v>1</v>
      </c>
      <c r="C834" s="358" t="inlineStr">
        <is>
          <t>Private tap from piped water</t>
        </is>
      </c>
      <c r="D834" s="358" t="inlineStr">
        <is>
          <t>صنبور خاص من مياه الأنابيب</t>
        </is>
      </c>
    </row>
    <row r="835" customFormat="1" s="354">
      <c r="A835" s="358" t="inlineStr">
        <is>
          <t>water</t>
        </is>
      </c>
      <c r="B835" s="359" t="n">
        <v>2</v>
      </c>
      <c r="C835" s="358" t="inlineStr">
        <is>
          <t>Public tap</t>
        </is>
      </c>
      <c r="D835" s="358" t="inlineStr">
        <is>
          <t>صنبور عام</t>
        </is>
      </c>
    </row>
    <row r="836" customFormat="1" s="354">
      <c r="A836" s="358" t="inlineStr">
        <is>
          <t>water</t>
        </is>
      </c>
      <c r="B836" s="359" t="n">
        <v>3</v>
      </c>
      <c r="C836" s="358" t="inlineStr">
        <is>
          <t>Protected well</t>
        </is>
      </c>
      <c r="D836" s="358" t="inlineStr">
        <is>
          <t>بئر محمي</t>
        </is>
      </c>
    </row>
    <row r="837" customFormat="1" s="354">
      <c r="A837" s="358" t="inlineStr">
        <is>
          <t>water</t>
        </is>
      </c>
      <c r="B837" s="359" t="n">
        <v>4</v>
      </c>
      <c r="C837" s="358" t="inlineStr">
        <is>
          <t>Bottled water</t>
        </is>
      </c>
      <c r="D837" s="358" t="inlineStr">
        <is>
          <t>المياه المعبأة</t>
        </is>
      </c>
    </row>
    <row r="838" customFormat="1" s="354">
      <c r="A838" s="358" t="inlineStr">
        <is>
          <t>water</t>
        </is>
      </c>
      <c r="B838" s="359" t="n">
        <v>5</v>
      </c>
      <c r="C838" s="358" t="inlineStr">
        <is>
          <t>Other safe source</t>
        </is>
      </c>
      <c r="D838" s="358" t="inlineStr">
        <is>
          <t>مصدر آمن آخر</t>
        </is>
      </c>
    </row>
    <row r="839" customFormat="1" s="354">
      <c r="A839" s="358" t="inlineStr">
        <is>
          <t>water</t>
        </is>
      </c>
      <c r="B839" s="359" t="n">
        <v>6</v>
      </c>
      <c r="C839" s="358" t="inlineStr">
        <is>
          <t>River</t>
        </is>
      </c>
      <c r="D839" s="358" t="inlineStr">
        <is>
          <t>نهر</t>
        </is>
      </c>
    </row>
    <row r="840" customFormat="1" s="354">
      <c r="A840" s="358" t="inlineStr">
        <is>
          <t>water</t>
        </is>
      </c>
      <c r="B840" s="359" t="n">
        <v>7</v>
      </c>
      <c r="C840" s="358" t="inlineStr">
        <is>
          <t>Unprotected well</t>
        </is>
      </c>
      <c r="D840" s="358" t="inlineStr">
        <is>
          <t>بئر غير محمي</t>
        </is>
      </c>
    </row>
    <row r="841" customFormat="1" s="354">
      <c r="A841" s="358" t="inlineStr">
        <is>
          <t>water</t>
        </is>
      </c>
      <c r="B841" s="359" t="n">
        <v>8</v>
      </c>
      <c r="C841" s="358" t="inlineStr">
        <is>
          <t>Spring water</t>
        </is>
      </c>
      <c r="D841" s="358" t="inlineStr">
        <is>
          <t>مياه الينابيع</t>
        </is>
      </c>
    </row>
    <row r="842" customFormat="1" s="354">
      <c r="A842" s="358" t="inlineStr">
        <is>
          <t>water</t>
        </is>
      </c>
      <c r="B842" s="359" t="n">
        <v>9</v>
      </c>
      <c r="C842" s="358" t="inlineStr">
        <is>
          <t>Surface water [e.g. canal, ponds, dams]</t>
        </is>
      </c>
      <c r="D842" s="358" t="inlineStr">
        <is>
          <t>قناة أو مياه سطحية أخرى</t>
        </is>
      </c>
    </row>
    <row r="843" customFormat="1" s="354">
      <c r="A843" s="358" t="inlineStr">
        <is>
          <t>water</t>
        </is>
      </c>
      <c r="B843" s="359" t="n">
        <v>10</v>
      </c>
      <c r="C843" s="358" t="inlineStr">
        <is>
          <t>Other unsafe source</t>
        </is>
      </c>
      <c r="D843" s="358" t="inlineStr">
        <is>
          <t>مصدر آخر غير آمن</t>
        </is>
      </c>
    </row>
    <row r="844" customFormat="1" s="354">
      <c r="A844" s="358" t="inlineStr">
        <is>
          <t>water</t>
        </is>
      </c>
      <c r="B844" s="359" t="n">
        <v>11</v>
      </c>
      <c r="C844" s="358" t="inlineStr">
        <is>
          <t>DON'T KNOW</t>
        </is>
      </c>
      <c r="D844" s="309" t="inlineStr">
        <is>
          <t>لا أعرف</t>
        </is>
      </c>
    </row>
    <row r="845" customFormat="1" s="354">
      <c r="A845" s="358" t="inlineStr">
        <is>
          <t>water</t>
        </is>
      </c>
      <c r="B845" s="226" t="inlineStr">
        <is>
          <t>ref</t>
        </is>
      </c>
      <c r="C845" s="358" t="inlineStr">
        <is>
          <t>Refused</t>
        </is>
      </c>
      <c r="D845" s="309" t="inlineStr">
        <is>
          <t>رفض الإجابة</t>
        </is>
      </c>
    </row>
    <row r="847">
      <c r="A847" t="inlineStr">
        <is>
          <t>crop</t>
        </is>
      </c>
      <c r="B847" t="inlineStr">
        <is>
          <t>1.2</t>
        </is>
      </c>
      <c r="C847" t="inlineStr">
        <is>
          <t>Wheat</t>
        </is>
      </c>
      <c r="D847" t="inlineStr">
        <is>
          <t>القمح</t>
        </is>
      </c>
    </row>
    <row r="848">
      <c r="A848" t="inlineStr">
        <is>
          <t>crop</t>
        </is>
      </c>
      <c r="B848" t="inlineStr">
        <is>
          <t>1.5</t>
        </is>
      </c>
      <c r="C848" t="inlineStr">
        <is>
          <t>Maize</t>
        </is>
      </c>
      <c r="D848" t="inlineStr">
        <is>
          <t>الذرة</t>
        </is>
      </c>
    </row>
    <row r="849">
      <c r="A849" t="inlineStr">
        <is>
          <t>crop</t>
        </is>
      </c>
      <c r="B849" t="inlineStr">
        <is>
          <t>1.6</t>
        </is>
      </c>
      <c r="C849" t="inlineStr">
        <is>
          <t>Barley</t>
        </is>
      </c>
      <c r="D849" t="inlineStr">
        <is>
          <t>الشعير</t>
        </is>
      </c>
    </row>
    <row r="850">
      <c r="A850" t="inlineStr">
        <is>
          <t>crop</t>
        </is>
      </c>
      <c r="B850" t="inlineStr">
        <is>
          <t>2.2</t>
        </is>
      </c>
      <c r="C850" t="inlineStr">
        <is>
          <t>Potatoe</t>
        </is>
      </c>
      <c r="D850" t="inlineStr">
        <is>
          <t>البطاطا</t>
        </is>
      </c>
    </row>
    <row r="851">
      <c r="A851" t="inlineStr">
        <is>
          <t>crop</t>
        </is>
      </c>
      <c r="B851" t="inlineStr">
        <is>
          <t>3.1</t>
        </is>
      </c>
      <c r="C851" t="inlineStr">
        <is>
          <t>Beans</t>
        </is>
      </c>
      <c r="D851" t="inlineStr">
        <is>
          <t>الفاصوليا</t>
        </is>
      </c>
    </row>
    <row r="852">
      <c r="A852" t="inlineStr">
        <is>
          <t>crop</t>
        </is>
      </c>
      <c r="B852" t="inlineStr">
        <is>
          <t>3.2</t>
        </is>
      </c>
      <c r="C852" t="inlineStr">
        <is>
          <t>Lentils</t>
        </is>
      </c>
      <c r="D852" t="inlineStr">
        <is>
          <t>العدس</t>
        </is>
      </c>
    </row>
    <row r="853">
      <c r="A853" t="inlineStr">
        <is>
          <t>crop</t>
        </is>
      </c>
      <c r="B853" t="inlineStr">
        <is>
          <t>3.3</t>
        </is>
      </c>
      <c r="C853" t="inlineStr">
        <is>
          <t>Peas</t>
        </is>
      </c>
      <c r="D853" t="inlineStr">
        <is>
          <t>البازيلاء</t>
        </is>
      </c>
    </row>
    <row r="854">
      <c r="A854" t="inlineStr">
        <is>
          <t>crop</t>
        </is>
      </c>
      <c r="B854" t="inlineStr">
        <is>
          <t>3.4</t>
        </is>
      </c>
      <c r="C854" t="inlineStr">
        <is>
          <t>Soybeans</t>
        </is>
      </c>
      <c r="D854" t="inlineStr">
        <is>
          <t>فول الصويا</t>
        </is>
      </c>
    </row>
    <row r="855">
      <c r="A855" t="inlineStr">
        <is>
          <t>crop</t>
        </is>
      </c>
      <c r="B855" t="inlineStr">
        <is>
          <t>3.5</t>
        </is>
      </c>
      <c r="C855" t="inlineStr">
        <is>
          <t>Chickpeas</t>
        </is>
      </c>
      <c r="D855" t="inlineStr">
        <is>
          <t>الحمص</t>
        </is>
      </c>
    </row>
    <row r="856">
      <c r="A856" t="inlineStr">
        <is>
          <t>crop</t>
        </is>
      </c>
      <c r="B856" t="inlineStr">
        <is>
          <t>3.6</t>
        </is>
      </c>
      <c r="C856" t="inlineStr">
        <is>
          <t>Fava beans</t>
        </is>
      </c>
      <c r="D856" t="inlineStr">
        <is>
          <t>الفول</t>
        </is>
      </c>
    </row>
    <row r="857">
      <c r="A857" t="inlineStr">
        <is>
          <t>crop</t>
        </is>
      </c>
      <c r="B857" t="inlineStr">
        <is>
          <t>4.2</t>
        </is>
      </c>
      <c r="C857" t="inlineStr">
        <is>
          <t>Lettuce</t>
        </is>
      </c>
      <c r="D857" t="inlineStr">
        <is>
          <t>الخس</t>
        </is>
      </c>
    </row>
    <row r="858">
      <c r="A858" t="inlineStr">
        <is>
          <t>crop</t>
        </is>
      </c>
      <c r="B858" t="inlineStr">
        <is>
          <t>4.9</t>
        </is>
      </c>
      <c r="C858" t="inlineStr">
        <is>
          <t>Green salad herbs (thyme, parsley, mint, rocca, other)</t>
        </is>
      </c>
      <c r="D858" t="inlineStr">
        <is>
          <t>أعشاب السلطة الخضراء [زعتر ، بقدونس ، نعناع ، جرجير ، أنواع أخرى]</t>
        </is>
      </c>
    </row>
    <row r="859">
      <c r="A859" t="inlineStr">
        <is>
          <t>crop</t>
        </is>
      </c>
      <c r="B859" t="inlineStr">
        <is>
          <t>5.1</t>
        </is>
      </c>
      <c r="C859" t="inlineStr">
        <is>
          <t>Tomatoes</t>
        </is>
      </c>
      <c r="D859" t="inlineStr">
        <is>
          <t>الطماطم</t>
        </is>
      </c>
    </row>
    <row r="860">
      <c r="A860" t="inlineStr">
        <is>
          <t>crop</t>
        </is>
      </c>
      <c r="B860" t="inlineStr">
        <is>
          <t>5.101</t>
        </is>
      </c>
      <c r="C860" t="inlineStr">
        <is>
          <t>Green peas</t>
        </is>
      </c>
      <c r="D860" t="inlineStr">
        <is>
          <t>البازلاء الخضراء</t>
        </is>
      </c>
    </row>
    <row r="861">
      <c r="A861" t="inlineStr">
        <is>
          <t>crop</t>
        </is>
      </c>
      <c r="B861" t="inlineStr">
        <is>
          <t>5.11</t>
        </is>
      </c>
      <c r="C861" t="inlineStr">
        <is>
          <t>Fava beans green</t>
        </is>
      </c>
      <c r="D861" t="inlineStr">
        <is>
          <t>الفول الأخضر</t>
        </is>
      </c>
    </row>
    <row r="862">
      <c r="A862" t="inlineStr">
        <is>
          <t>crop</t>
        </is>
      </c>
      <c r="B862" t="inlineStr">
        <is>
          <t>5.2</t>
        </is>
      </c>
      <c r="C862" t="inlineStr">
        <is>
          <t>Cucumber</t>
        </is>
      </c>
      <c r="D862" t="inlineStr">
        <is>
          <t>الخيار</t>
        </is>
      </c>
    </row>
    <row r="863">
      <c r="A863" t="inlineStr">
        <is>
          <t>crop</t>
        </is>
      </c>
      <c r="B863" t="inlineStr">
        <is>
          <t>5.4</t>
        </is>
      </c>
      <c r="C863" t="inlineStr">
        <is>
          <t>Eggplant/aubergine</t>
        </is>
      </c>
      <c r="D863" t="inlineStr">
        <is>
          <t>الباذنجان</t>
        </is>
      </c>
    </row>
    <row r="864">
      <c r="A864" t="inlineStr">
        <is>
          <t>crop</t>
        </is>
      </c>
      <c r="B864" t="inlineStr">
        <is>
          <t>5.5</t>
        </is>
      </c>
      <c r="C864" t="inlineStr">
        <is>
          <t>Zucchini</t>
        </is>
      </c>
      <c r="D864" t="inlineStr">
        <is>
          <t>الكوسة</t>
        </is>
      </c>
    </row>
    <row r="865">
      <c r="A865" t="inlineStr">
        <is>
          <t>crop</t>
        </is>
      </c>
      <c r="B865" t="inlineStr">
        <is>
          <t>5.6</t>
        </is>
      </c>
      <c r="C865" t="inlineStr">
        <is>
          <t>Okra</t>
        </is>
      </c>
      <c r="D865" t="inlineStr">
        <is>
          <t>البامية</t>
        </is>
      </c>
    </row>
    <row r="866">
      <c r="A866" t="inlineStr">
        <is>
          <t>crop</t>
        </is>
      </c>
      <c r="B866" t="inlineStr">
        <is>
          <t>5.7</t>
        </is>
      </c>
      <c r="C866" t="inlineStr">
        <is>
          <t>Bell pepper</t>
        </is>
      </c>
      <c r="D866" t="inlineStr">
        <is>
          <t>الفلفل حلو</t>
        </is>
      </c>
    </row>
    <row r="867">
      <c r="A867" t="inlineStr">
        <is>
          <t>crop</t>
        </is>
      </c>
      <c r="B867" t="inlineStr">
        <is>
          <t>5.8</t>
        </is>
      </c>
      <c r="C867" t="inlineStr">
        <is>
          <t>Onions</t>
        </is>
      </c>
      <c r="D867" t="inlineStr">
        <is>
          <t>بصل</t>
        </is>
      </c>
    </row>
    <row r="868">
      <c r="A868" t="inlineStr">
        <is>
          <t>crop</t>
        </is>
      </c>
      <c r="B868" t="inlineStr">
        <is>
          <t>7.11</t>
        </is>
      </c>
      <c r="C868" t="inlineStr">
        <is>
          <t>Grapes</t>
        </is>
      </c>
      <c r="D868" t="inlineStr">
        <is>
          <t>العنب</t>
        </is>
      </c>
    </row>
    <row r="869">
      <c r="A869" t="inlineStr">
        <is>
          <t>crop</t>
        </is>
      </c>
      <c r="B869" t="inlineStr">
        <is>
          <t>7.12</t>
        </is>
      </c>
      <c r="C869" t="inlineStr">
        <is>
          <t>Olives</t>
        </is>
      </c>
      <c r="D869" t="inlineStr">
        <is>
          <t>الزيتون</t>
        </is>
      </c>
    </row>
    <row r="870">
      <c r="A870" t="inlineStr">
        <is>
          <t>crop</t>
        </is>
      </c>
      <c r="B870" t="inlineStr">
        <is>
          <t>7.15</t>
        </is>
      </c>
      <c r="C870" t="inlineStr">
        <is>
          <t>Cherries</t>
        </is>
      </c>
      <c r="D870" t="inlineStr">
        <is>
          <t>الكرز</t>
        </is>
      </c>
    </row>
    <row r="871">
      <c r="A871" t="inlineStr">
        <is>
          <t>crop</t>
        </is>
      </c>
      <c r="B871" t="inlineStr">
        <is>
          <t>7.8</t>
        </is>
      </c>
      <c r="C871" t="inlineStr">
        <is>
          <t>Water Melon</t>
        </is>
      </c>
      <c r="D871" t="inlineStr">
        <is>
          <t>البطيخ الأحمر</t>
        </is>
      </c>
    </row>
    <row r="872">
      <c r="A872" t="inlineStr">
        <is>
          <t>crop</t>
        </is>
      </c>
      <c r="B872" t="inlineStr">
        <is>
          <t>8.5</t>
        </is>
      </c>
      <c r="C872" t="inlineStr">
        <is>
          <t>Sesame</t>
        </is>
      </c>
      <c r="D872" t="inlineStr">
        <is>
          <t>السمسم</t>
        </is>
      </c>
    </row>
    <row r="873">
      <c r="A873" t="inlineStr">
        <is>
          <t>crop</t>
        </is>
      </c>
      <c r="B873" t="inlineStr">
        <is>
          <t>8.7</t>
        </is>
      </c>
      <c r="C873" t="inlineStr">
        <is>
          <t>Almond</t>
        </is>
      </c>
      <c r="D873" t="inlineStr">
        <is>
          <t>اللوز</t>
        </is>
      </c>
    </row>
    <row r="874">
      <c r="A874" t="inlineStr">
        <is>
          <t>crop</t>
        </is>
      </c>
      <c r="B874" t="inlineStr">
        <is>
          <t>1.1</t>
        </is>
      </c>
      <c r="C874" t="inlineStr">
        <is>
          <t>Rice</t>
        </is>
      </c>
      <c r="D874" t="inlineStr">
        <is>
          <t>الرز</t>
        </is>
      </c>
    </row>
    <row r="875">
      <c r="A875" t="inlineStr">
        <is>
          <t>crop</t>
        </is>
      </c>
      <c r="B875" t="inlineStr">
        <is>
          <t>1.3</t>
        </is>
      </c>
      <c r="C875" t="inlineStr">
        <is>
          <t>Millet</t>
        </is>
      </c>
      <c r="D875" t="inlineStr">
        <is>
          <t>الدخن</t>
        </is>
      </c>
    </row>
    <row r="876">
      <c r="A876" t="inlineStr">
        <is>
          <t>crop</t>
        </is>
      </c>
      <c r="B876" t="inlineStr">
        <is>
          <t>1.4</t>
        </is>
      </c>
      <c r="C876" t="inlineStr">
        <is>
          <t>Sorghum</t>
        </is>
      </c>
      <c r="D876" t="inlineStr">
        <is>
          <t>الذرة الرفيعة</t>
        </is>
      </c>
    </row>
    <row r="877">
      <c r="A877" t="inlineStr">
        <is>
          <t>crop</t>
        </is>
      </c>
      <c r="B877" t="inlineStr">
        <is>
          <t>1.99</t>
        </is>
      </c>
      <c r="C877" t="inlineStr">
        <is>
          <t>Other Cereal</t>
        </is>
      </c>
      <c r="D877" t="inlineStr">
        <is>
          <t>الحبوب الأخرى</t>
        </is>
      </c>
    </row>
    <row r="878">
      <c r="A878" t="inlineStr">
        <is>
          <t>crop</t>
        </is>
      </c>
      <c r="B878" t="inlineStr">
        <is>
          <t>2.1</t>
        </is>
      </c>
      <c r="C878" t="inlineStr">
        <is>
          <t>Cassava</t>
        </is>
      </c>
      <c r="D878" t="inlineStr">
        <is>
          <t>الكسافا</t>
        </is>
      </c>
    </row>
    <row r="879">
      <c r="A879" t="inlineStr">
        <is>
          <t>crop</t>
        </is>
      </c>
      <c r="B879" t="inlineStr">
        <is>
          <t>2.3</t>
        </is>
      </c>
      <c r="C879" t="inlineStr">
        <is>
          <t>Sweet Potatoes</t>
        </is>
      </c>
      <c r="D879" t="inlineStr">
        <is>
          <t>البطاطا الحلوة</t>
        </is>
      </c>
    </row>
    <row r="880">
      <c r="A880" t="inlineStr">
        <is>
          <t>crop</t>
        </is>
      </c>
      <c r="B880" t="inlineStr">
        <is>
          <t>2.4</t>
        </is>
      </c>
      <c r="C880" t="inlineStr">
        <is>
          <t>Yams</t>
        </is>
      </c>
      <c r="D880" t="inlineStr">
        <is>
          <t>اليام</t>
        </is>
      </c>
    </row>
    <row r="881">
      <c r="A881" t="inlineStr">
        <is>
          <t>crop</t>
        </is>
      </c>
      <c r="B881" t="inlineStr">
        <is>
          <t>2.5</t>
        </is>
      </c>
      <c r="C881" t="inlineStr">
        <is>
          <t>Carrots</t>
        </is>
      </c>
      <c r="D881" t="inlineStr">
        <is>
          <t>الجزر</t>
        </is>
      </c>
    </row>
    <row r="882">
      <c r="A882" t="inlineStr">
        <is>
          <t>crop</t>
        </is>
      </c>
      <c r="B882" t="inlineStr">
        <is>
          <t>2.6</t>
        </is>
      </c>
      <c r="C882" t="inlineStr">
        <is>
          <t>Cocoyam</t>
        </is>
      </c>
      <c r="D882" t="inlineStr">
        <is>
          <t>القلقاس</t>
        </is>
      </c>
    </row>
    <row r="883">
      <c r="A883" t="inlineStr">
        <is>
          <t>crop</t>
        </is>
      </c>
      <c r="B883" t="inlineStr">
        <is>
          <t>2.99</t>
        </is>
      </c>
      <c r="C883" t="inlineStr">
        <is>
          <t>Other tubers</t>
        </is>
      </c>
      <c r="D883" t="inlineStr">
        <is>
          <t>الدرنات الأخرى</t>
        </is>
      </c>
    </row>
    <row r="884">
      <c r="A884" t="inlineStr">
        <is>
          <t>crop</t>
        </is>
      </c>
      <c r="B884" t="inlineStr">
        <is>
          <t>3.7</t>
        </is>
      </c>
      <c r="C884" t="inlineStr">
        <is>
          <t>Broad beans</t>
        </is>
      </c>
      <c r="D884" t="inlineStr">
        <is>
          <t>الفاصوليا العريضة</t>
        </is>
      </c>
    </row>
    <row r="885">
      <c r="A885" t="inlineStr">
        <is>
          <t>crop</t>
        </is>
      </c>
      <c r="B885" t="inlineStr">
        <is>
          <t>3.99</t>
        </is>
      </c>
      <c r="C885" t="inlineStr">
        <is>
          <t>Other pulses</t>
        </is>
      </c>
      <c r="D885" t="inlineStr">
        <is>
          <t>البقول الاخرى</t>
        </is>
      </c>
    </row>
    <row r="886">
      <c r="A886" t="inlineStr">
        <is>
          <t>crop</t>
        </is>
      </c>
      <c r="B886" t="inlineStr">
        <is>
          <t>4.1</t>
        </is>
      </c>
      <c r="C886" t="inlineStr">
        <is>
          <t>Cabbage</t>
        </is>
      </c>
      <c r="D886" t="inlineStr">
        <is>
          <t>الملفوف</t>
        </is>
      </c>
    </row>
    <row r="887">
      <c r="A887" t="inlineStr">
        <is>
          <t>crop</t>
        </is>
      </c>
      <c r="B887" t="inlineStr">
        <is>
          <t>4.101</t>
        </is>
      </c>
      <c r="C887" t="inlineStr">
        <is>
          <t>Cauliflower</t>
        </is>
      </c>
      <c r="D887" t="inlineStr">
        <is>
          <t>القرنبيط</t>
        </is>
      </c>
    </row>
    <row r="888">
      <c r="A888" t="inlineStr">
        <is>
          <t>crop</t>
        </is>
      </c>
      <c r="B888" t="inlineStr">
        <is>
          <t>4.3</t>
        </is>
      </c>
      <c r="C888" t="inlineStr">
        <is>
          <t>Spinach-Amaranth</t>
        </is>
      </c>
      <c r="D888" t="inlineStr">
        <is>
          <t>السبانخ - القطيفة</t>
        </is>
      </c>
    </row>
    <row r="889">
      <c r="A889" t="inlineStr">
        <is>
          <t>crop</t>
        </is>
      </c>
      <c r="B889" t="inlineStr">
        <is>
          <t>4.4</t>
        </is>
      </c>
      <c r="C889" t="inlineStr">
        <is>
          <t>Cassava leaves</t>
        </is>
      </c>
      <c r="D889" t="inlineStr">
        <is>
          <t>أوراق الكسافا</t>
        </is>
      </c>
    </row>
    <row r="890">
      <c r="A890" t="inlineStr">
        <is>
          <t>crop</t>
        </is>
      </c>
      <c r="B890" t="inlineStr">
        <is>
          <t>4.5</t>
        </is>
      </c>
      <c r="C890" t="inlineStr">
        <is>
          <t>Potatoe leaves</t>
        </is>
      </c>
      <c r="D890" t="inlineStr">
        <is>
          <t>أوراق البطاطا</t>
        </is>
      </c>
    </row>
    <row r="891">
      <c r="A891" t="inlineStr">
        <is>
          <t>crop</t>
        </is>
      </c>
      <c r="B891" t="inlineStr">
        <is>
          <t>4.6</t>
        </is>
      </c>
      <c r="C891" t="inlineStr">
        <is>
          <t>Moringa</t>
        </is>
      </c>
      <c r="D891" t="inlineStr">
        <is>
          <t>المورينجا</t>
        </is>
      </c>
    </row>
    <row r="892">
      <c r="A892" t="inlineStr">
        <is>
          <t>crop</t>
        </is>
      </c>
      <c r="B892" t="inlineStr">
        <is>
          <t>4.7</t>
        </is>
      </c>
      <c r="C892" t="inlineStr">
        <is>
          <t>Sorrel Hibiscus / Rosselle</t>
        </is>
      </c>
      <c r="D892" t="inlineStr">
        <is>
          <t>الكركديه</t>
        </is>
      </c>
    </row>
    <row r="893">
      <c r="A893" t="inlineStr">
        <is>
          <t>crop</t>
        </is>
      </c>
      <c r="B893" t="inlineStr">
        <is>
          <t>4.99</t>
        </is>
      </c>
      <c r="C893" t="inlineStr">
        <is>
          <t>Other leafy vegetables</t>
        </is>
      </c>
      <c r="D893" t="inlineStr">
        <is>
          <t>الخضار الورقية الأخرى</t>
        </is>
      </c>
    </row>
    <row r="894">
      <c r="A894" t="inlineStr">
        <is>
          <t>crop</t>
        </is>
      </c>
      <c r="B894" t="inlineStr">
        <is>
          <t>5.3</t>
        </is>
      </c>
      <c r="C894" t="inlineStr">
        <is>
          <t>Pumpkin</t>
        </is>
      </c>
      <c r="D894" t="inlineStr">
        <is>
          <t>اليقطين</t>
        </is>
      </c>
    </row>
    <row r="895">
      <c r="A895" t="inlineStr">
        <is>
          <t>crop</t>
        </is>
      </c>
      <c r="B895" t="inlineStr">
        <is>
          <t>5.9</t>
        </is>
      </c>
      <c r="C895" t="inlineStr">
        <is>
          <t>Haricot</t>
        </is>
      </c>
      <c r="D895" t="inlineStr">
        <is>
          <t>اللوبياء</t>
        </is>
      </c>
    </row>
    <row r="896">
      <c r="A896" t="inlineStr">
        <is>
          <t>crop</t>
        </is>
      </c>
      <c r="B896" t="inlineStr">
        <is>
          <t>5.99</t>
        </is>
      </c>
      <c r="C896" t="inlineStr">
        <is>
          <t>Other non leafy vegs</t>
        </is>
      </c>
      <c r="D896" t="inlineStr">
        <is>
          <t>الخضار غير الورقية الأخرى</t>
        </is>
      </c>
    </row>
    <row r="897">
      <c r="A897" t="inlineStr">
        <is>
          <t>crop</t>
        </is>
      </c>
      <c r="B897" t="inlineStr">
        <is>
          <t>6.1</t>
        </is>
      </c>
      <c r="C897" t="inlineStr">
        <is>
          <t>Orange</t>
        </is>
      </c>
      <c r="D897" t="inlineStr">
        <is>
          <t>البرتقال</t>
        </is>
      </c>
    </row>
    <row r="898">
      <c r="A898" t="inlineStr">
        <is>
          <t>crop</t>
        </is>
      </c>
      <c r="B898" t="inlineStr">
        <is>
          <t>6.2</t>
        </is>
      </c>
      <c r="C898" t="inlineStr">
        <is>
          <t>Lemon</t>
        </is>
      </c>
      <c r="D898" t="inlineStr">
        <is>
          <t>الليمون</t>
        </is>
      </c>
    </row>
    <row r="899">
      <c r="A899" t="inlineStr">
        <is>
          <t>crop</t>
        </is>
      </c>
      <c r="B899" t="inlineStr">
        <is>
          <t>6.3</t>
        </is>
      </c>
      <c r="C899" t="inlineStr">
        <is>
          <t>Grapefruit</t>
        </is>
      </c>
      <c r="D899" t="inlineStr">
        <is>
          <t>الجريب فروت</t>
        </is>
      </c>
    </row>
    <row r="900">
      <c r="A900" t="inlineStr">
        <is>
          <t>crop</t>
        </is>
      </c>
      <c r="B900" t="inlineStr">
        <is>
          <t>6.4</t>
        </is>
      </c>
      <c r="C900" t="inlineStr">
        <is>
          <t>Mandarins/clementines</t>
        </is>
      </c>
      <c r="D900" t="inlineStr">
        <is>
          <t>اليوسفي / الكليمنتين</t>
        </is>
      </c>
    </row>
    <row r="901">
      <c r="A901" t="inlineStr">
        <is>
          <t>crop</t>
        </is>
      </c>
      <c r="B901" t="inlineStr">
        <is>
          <t>6.99</t>
        </is>
      </c>
      <c r="C901" t="inlineStr">
        <is>
          <t>Other citrus fruit</t>
        </is>
      </c>
      <c r="D901" t="inlineStr">
        <is>
          <t>الحمضيات الأخرى</t>
        </is>
      </c>
    </row>
    <row r="902">
      <c r="A902" t="inlineStr">
        <is>
          <t>crop</t>
        </is>
      </c>
      <c r="B902" t="inlineStr">
        <is>
          <t>7.1</t>
        </is>
      </c>
      <c r="C902" t="inlineStr">
        <is>
          <t>Sweet Banana</t>
        </is>
      </c>
      <c r="D902" t="inlineStr">
        <is>
          <t>الموز</t>
        </is>
      </c>
    </row>
    <row r="903">
      <c r="A903" t="inlineStr">
        <is>
          <t>crop</t>
        </is>
      </c>
      <c r="B903" t="inlineStr">
        <is>
          <t>7.101</t>
        </is>
      </c>
      <c r="C903" t="inlineStr">
        <is>
          <t>Figs</t>
        </is>
      </c>
      <c r="D903" t="inlineStr">
        <is>
          <t>التين</t>
        </is>
      </c>
    </row>
    <row r="904">
      <c r="A904" t="inlineStr">
        <is>
          <t>crop</t>
        </is>
      </c>
      <c r="B904" t="inlineStr">
        <is>
          <t>7.13</t>
        </is>
      </c>
      <c r="C904" t="inlineStr">
        <is>
          <t>Apple</t>
        </is>
      </c>
      <c r="D904" t="inlineStr">
        <is>
          <t>التفاح</t>
        </is>
      </c>
    </row>
    <row r="905">
      <c r="A905" t="inlineStr">
        <is>
          <t>crop</t>
        </is>
      </c>
      <c r="B905" t="inlineStr">
        <is>
          <t>7.14</t>
        </is>
      </c>
      <c r="C905" t="inlineStr">
        <is>
          <t>Apricot</t>
        </is>
      </c>
      <c r="D905" t="inlineStr">
        <is>
          <t>المشمش</t>
        </is>
      </c>
    </row>
    <row r="906">
      <c r="A906" t="inlineStr">
        <is>
          <t>crop</t>
        </is>
      </c>
      <c r="B906" t="inlineStr">
        <is>
          <t>7.16</t>
        </is>
      </c>
      <c r="C906" t="inlineStr">
        <is>
          <t>Peach/nectarine</t>
        </is>
      </c>
      <c r="D906" t="inlineStr">
        <is>
          <t>الدراق / النكتارين</t>
        </is>
      </c>
    </row>
    <row r="907">
      <c r="A907" t="inlineStr">
        <is>
          <t>crop</t>
        </is>
      </c>
      <c r="B907" t="inlineStr">
        <is>
          <t>7.17</t>
        </is>
      </c>
      <c r="C907" t="inlineStr">
        <is>
          <t>Strawberries</t>
        </is>
      </c>
      <c r="D907" t="inlineStr">
        <is>
          <t>الفراولة</t>
        </is>
      </c>
    </row>
    <row r="908">
      <c r="A908" t="inlineStr">
        <is>
          <t>crop</t>
        </is>
      </c>
      <c r="B908" t="inlineStr">
        <is>
          <t>7.18</t>
        </is>
      </c>
      <c r="C908" t="inlineStr">
        <is>
          <t>Melon (Cantaloupe)</t>
        </is>
      </c>
      <c r="D908" t="inlineStr">
        <is>
          <t>الشمام</t>
        </is>
      </c>
    </row>
    <row r="909">
      <c r="A909" t="inlineStr">
        <is>
          <t>crop</t>
        </is>
      </c>
      <c r="B909" t="inlineStr">
        <is>
          <t>7.2</t>
        </is>
      </c>
      <c r="C909" t="inlineStr">
        <is>
          <t>Plantains</t>
        </is>
      </c>
      <c r="D909" t="inlineStr">
        <is>
          <t>موز الجنة</t>
        </is>
      </c>
    </row>
    <row r="910">
      <c r="A910" t="inlineStr">
        <is>
          <t>crop</t>
        </is>
      </c>
      <c r="B910" t="inlineStr">
        <is>
          <t>7.3</t>
        </is>
      </c>
      <c r="C910" t="inlineStr">
        <is>
          <t>Papaya</t>
        </is>
      </c>
      <c r="D910" t="inlineStr">
        <is>
          <t>البابايا</t>
        </is>
      </c>
    </row>
    <row r="911">
      <c r="A911" t="inlineStr">
        <is>
          <t>crop</t>
        </is>
      </c>
      <c r="B911" t="inlineStr">
        <is>
          <t>7.4</t>
        </is>
      </c>
      <c r="C911" t="inlineStr">
        <is>
          <t>Mango</t>
        </is>
      </c>
      <c r="D911" t="inlineStr">
        <is>
          <t>المانجو</t>
        </is>
      </c>
    </row>
    <row r="912">
      <c r="A912" t="inlineStr">
        <is>
          <t>crop</t>
        </is>
      </c>
      <c r="B912" t="inlineStr">
        <is>
          <t>7.5</t>
        </is>
      </c>
      <c r="C912" t="inlineStr">
        <is>
          <t>Guava</t>
        </is>
      </c>
      <c r="D912" t="inlineStr">
        <is>
          <t>الجوافة</t>
        </is>
      </c>
    </row>
    <row r="913">
      <c r="A913" t="inlineStr">
        <is>
          <t>crop</t>
        </is>
      </c>
      <c r="B913" t="inlineStr">
        <is>
          <t>7.6</t>
        </is>
      </c>
      <c r="C913" t="inlineStr">
        <is>
          <t>Pineapple</t>
        </is>
      </c>
      <c r="D913" t="inlineStr">
        <is>
          <t>الأناناس</t>
        </is>
      </c>
    </row>
    <row r="914">
      <c r="A914" t="inlineStr">
        <is>
          <t>crop</t>
        </is>
      </c>
      <c r="B914" t="inlineStr">
        <is>
          <t>7.7</t>
        </is>
      </c>
      <c r="C914" t="inlineStr">
        <is>
          <t>Avocado</t>
        </is>
      </c>
      <c r="D914" t="inlineStr">
        <is>
          <t>الأفوكادو</t>
        </is>
      </c>
    </row>
    <row r="915">
      <c r="A915" t="inlineStr">
        <is>
          <t>crop</t>
        </is>
      </c>
      <c r="B915" t="inlineStr">
        <is>
          <t>7.9</t>
        </is>
      </c>
      <c r="C915" t="inlineStr">
        <is>
          <t>Dates</t>
        </is>
      </c>
      <c r="D915" t="inlineStr">
        <is>
          <t>التمر</t>
        </is>
      </c>
    </row>
    <row r="916">
      <c r="A916" t="inlineStr">
        <is>
          <t>crop</t>
        </is>
      </c>
      <c r="B916" t="inlineStr">
        <is>
          <t>7.99</t>
        </is>
      </c>
      <c r="C916" t="inlineStr">
        <is>
          <t>Other fruit</t>
        </is>
      </c>
      <c r="D916" t="inlineStr">
        <is>
          <t>الفواكه الأخرى</t>
        </is>
      </c>
    </row>
    <row r="917">
      <c r="A917" t="inlineStr">
        <is>
          <t>crop</t>
        </is>
      </c>
      <c r="B917" t="inlineStr">
        <is>
          <t>8.1</t>
        </is>
      </c>
      <c r="C917" t="inlineStr">
        <is>
          <t>Coconuts</t>
        </is>
      </c>
      <c r="D917" t="inlineStr">
        <is>
          <t>جوز الهند</t>
        </is>
      </c>
    </row>
    <row r="918">
      <c r="A918" t="inlineStr">
        <is>
          <t>crop</t>
        </is>
      </c>
      <c r="B918" t="inlineStr">
        <is>
          <t>8.2</t>
        </is>
      </c>
      <c r="C918" t="inlineStr">
        <is>
          <t>Groundnut/peanut</t>
        </is>
      </c>
      <c r="D918" t="inlineStr">
        <is>
          <t>الفول السوداني</t>
        </is>
      </c>
    </row>
    <row r="919">
      <c r="A919" t="inlineStr">
        <is>
          <t>crop</t>
        </is>
      </c>
      <c r="B919" t="inlineStr">
        <is>
          <t>8.3</t>
        </is>
      </c>
      <c r="C919" t="inlineStr">
        <is>
          <t>Cashew Nut</t>
        </is>
      </c>
      <c r="D919" t="inlineStr">
        <is>
          <t>الكاجو</t>
        </is>
      </c>
    </row>
    <row r="920">
      <c r="A920" t="inlineStr">
        <is>
          <t>crop</t>
        </is>
      </c>
      <c r="B920" t="inlineStr">
        <is>
          <t>8.4</t>
        </is>
      </c>
      <c r="C920" t="inlineStr">
        <is>
          <t>Kola Nut</t>
        </is>
      </c>
      <c r="D920" t="inlineStr">
        <is>
          <t>جوز الكولا</t>
        </is>
      </c>
    </row>
    <row r="921">
      <c r="A921" t="inlineStr">
        <is>
          <t>crop</t>
        </is>
      </c>
      <c r="B921" t="inlineStr">
        <is>
          <t>8.6</t>
        </is>
      </c>
      <c r="C921" t="inlineStr">
        <is>
          <t>Bambara nut</t>
        </is>
      </c>
      <c r="D921" t="inlineStr">
        <is>
          <t>جوز البامبارا</t>
        </is>
      </c>
    </row>
    <row r="922">
      <c r="A922" t="inlineStr">
        <is>
          <t>crop</t>
        </is>
      </c>
      <c r="B922" t="inlineStr">
        <is>
          <t>8.8</t>
        </is>
      </c>
      <c r="C922" t="inlineStr">
        <is>
          <t>Walnut</t>
        </is>
      </c>
      <c r="D922" t="inlineStr">
        <is>
          <t>الجوز</t>
        </is>
      </c>
    </row>
    <row r="923">
      <c r="A923" t="inlineStr">
        <is>
          <t>crop</t>
        </is>
      </c>
      <c r="B923" t="inlineStr">
        <is>
          <t>8.99</t>
        </is>
      </c>
      <c r="C923" t="inlineStr">
        <is>
          <t>Other nuts</t>
        </is>
      </c>
      <c r="D923" t="inlineStr">
        <is>
          <t>المكسرات الأخرى</t>
        </is>
      </c>
    </row>
    <row r="924">
      <c r="A924" t="inlineStr">
        <is>
          <t>crop</t>
        </is>
      </c>
      <c r="B924" t="inlineStr">
        <is>
          <t>9.1</t>
        </is>
      </c>
      <c r="C924" t="inlineStr">
        <is>
          <t>Cocoa</t>
        </is>
      </c>
      <c r="D924" t="inlineStr">
        <is>
          <t>الكاكاو</t>
        </is>
      </c>
    </row>
    <row r="925">
      <c r="A925" t="inlineStr">
        <is>
          <t>crop</t>
        </is>
      </c>
      <c r="B925" t="inlineStr">
        <is>
          <t>9.2</t>
        </is>
      </c>
      <c r="C925" t="inlineStr">
        <is>
          <t>Coffee</t>
        </is>
      </c>
      <c r="D925" t="inlineStr">
        <is>
          <t>القهوة</t>
        </is>
      </c>
    </row>
    <row r="926">
      <c r="A926" t="inlineStr">
        <is>
          <t>crop</t>
        </is>
      </c>
      <c r="B926" t="inlineStr">
        <is>
          <t>9.3</t>
        </is>
      </c>
      <c r="C926" t="inlineStr">
        <is>
          <t>Tea</t>
        </is>
      </c>
      <c r="D926" t="inlineStr">
        <is>
          <t>الشاي</t>
        </is>
      </c>
    </row>
    <row r="927">
      <c r="A927" t="inlineStr">
        <is>
          <t>crop</t>
        </is>
      </c>
      <c r="B927" t="inlineStr">
        <is>
          <t>9.4</t>
        </is>
      </c>
      <c r="C927" t="inlineStr">
        <is>
          <t>Sugarcane</t>
        </is>
      </c>
      <c r="D927" t="inlineStr">
        <is>
          <t>قصب السكر</t>
        </is>
      </c>
    </row>
    <row r="928">
      <c r="A928" t="inlineStr">
        <is>
          <t>crop</t>
        </is>
      </c>
      <c r="B928" t="inlineStr">
        <is>
          <t>9.5</t>
        </is>
      </c>
      <c r="C928" t="inlineStr">
        <is>
          <t>Sunflower</t>
        </is>
      </c>
      <c r="D928" t="inlineStr">
        <is>
          <t>دوار الشمس</t>
        </is>
      </c>
    </row>
    <row r="929">
      <c r="A929" t="inlineStr">
        <is>
          <t>crop</t>
        </is>
      </c>
      <c r="B929" t="inlineStr">
        <is>
          <t>9.99</t>
        </is>
      </c>
      <c r="C929" t="inlineStr">
        <is>
          <t>Other food cash crop</t>
        </is>
      </c>
      <c r="D929" t="inlineStr">
        <is>
          <t xml:space="preserve">المحاصيل الغذائية النقدية الأخرى </t>
        </is>
      </c>
    </row>
    <row r="930">
      <c r="A930" t="inlineStr">
        <is>
          <t>crop</t>
        </is>
      </c>
      <c r="B930" t="inlineStr">
        <is>
          <t>10.1</t>
        </is>
      </c>
      <c r="C930" t="inlineStr">
        <is>
          <t>Cotton</t>
        </is>
      </c>
      <c r="D930" t="inlineStr">
        <is>
          <t>القطن</t>
        </is>
      </c>
    </row>
    <row r="931">
      <c r="A931" t="inlineStr">
        <is>
          <t>crop</t>
        </is>
      </c>
      <c r="B931" t="inlineStr">
        <is>
          <t>10.2</t>
        </is>
      </c>
      <c r="C931" t="inlineStr">
        <is>
          <t>Rubber</t>
        </is>
      </c>
      <c r="D931" t="inlineStr">
        <is>
          <t>المطاط</t>
        </is>
      </c>
    </row>
    <row r="932">
      <c r="A932" t="inlineStr">
        <is>
          <t>crop</t>
        </is>
      </c>
      <c r="B932" t="inlineStr">
        <is>
          <t>10.3</t>
        </is>
      </c>
      <c r="C932" t="inlineStr">
        <is>
          <t>Jute</t>
        </is>
      </c>
      <c r="D932" t="inlineStr">
        <is>
          <t>الجوت</t>
        </is>
      </c>
    </row>
    <row r="933">
      <c r="A933" t="inlineStr">
        <is>
          <t>crop</t>
        </is>
      </c>
      <c r="B933" t="inlineStr">
        <is>
          <t>10.4</t>
        </is>
      </c>
      <c r="C933" t="inlineStr">
        <is>
          <t>Fodder</t>
        </is>
      </c>
      <c r="D933" t="inlineStr">
        <is>
          <t>العلف</t>
        </is>
      </c>
    </row>
    <row r="934">
      <c r="A934" t="inlineStr">
        <is>
          <t>crop</t>
        </is>
      </c>
      <c r="B934" t="inlineStr">
        <is>
          <t>10.5</t>
        </is>
      </c>
      <c r="C934" t="inlineStr">
        <is>
          <t>Tobacco</t>
        </is>
      </c>
      <c r="D934" t="inlineStr">
        <is>
          <t>التبغ</t>
        </is>
      </c>
    </row>
    <row r="935">
      <c r="A935" t="inlineStr">
        <is>
          <t>crop</t>
        </is>
      </c>
      <c r="B935" t="inlineStr">
        <is>
          <t>10.6</t>
        </is>
      </c>
      <c r="C935" t="inlineStr">
        <is>
          <t>Qat</t>
        </is>
      </c>
      <c r="D935" t="inlineStr">
        <is>
          <t>القات</t>
        </is>
      </c>
    </row>
    <row r="936">
      <c r="A936" t="inlineStr">
        <is>
          <t>crop</t>
        </is>
      </c>
      <c r="B936" t="inlineStr">
        <is>
          <t>10.99</t>
        </is>
      </c>
      <c r="C936" t="inlineStr">
        <is>
          <t>Other non-food cash crop</t>
        </is>
      </c>
      <c r="D936" t="inlineStr">
        <is>
          <t xml:space="preserve"> المحاصيل النقدية غير الغذائية الأخرى </t>
        </is>
      </c>
    </row>
    <row r="937">
      <c r="A937" t="inlineStr">
        <is>
          <t>crop</t>
        </is>
      </c>
      <c r="B937" t="inlineStr">
        <is>
          <t>777</t>
        </is>
      </c>
      <c r="C937" t="inlineStr">
        <is>
          <t>No crop production</t>
        </is>
      </c>
      <c r="D937" t="inlineStr">
        <is>
          <t>لا إنتاج للمحصول</t>
        </is>
      </c>
    </row>
    <row r="938">
      <c r="A938" t="inlineStr">
        <is>
          <t>crop</t>
        </is>
      </c>
      <c r="B938" t="inlineStr">
        <is>
          <t>888</t>
        </is>
      </c>
      <c r="C938" t="inlineStr">
        <is>
          <t>Don't know</t>
        </is>
      </c>
      <c r="D938" t="inlineStr">
        <is>
          <t>لا أعرف</t>
        </is>
      </c>
    </row>
    <row r="939">
      <c r="A939" t="inlineStr">
        <is>
          <t>crop</t>
        </is>
      </c>
      <c r="B939" t="inlineStr">
        <is>
          <t>999</t>
        </is>
      </c>
      <c r="C939" t="inlineStr">
        <is>
          <t>Refused</t>
        </is>
      </c>
      <c r="D939" t="inlineStr">
        <is>
          <t>رفض الإجابة</t>
        </is>
      </c>
    </row>
    <row r="941">
      <c r="A941" t="inlineStr">
        <is>
          <t>crop2</t>
        </is>
      </c>
      <c r="B941" t="inlineStr">
        <is>
          <t>1.2</t>
        </is>
      </c>
      <c r="C941" t="inlineStr">
        <is>
          <t>Wheat</t>
        </is>
      </c>
      <c r="D941" t="inlineStr">
        <is>
          <t>القمح</t>
        </is>
      </c>
    </row>
    <row r="942">
      <c r="A942" t="inlineStr">
        <is>
          <t>crop2</t>
        </is>
      </c>
      <c r="B942" t="inlineStr">
        <is>
          <t>1.5</t>
        </is>
      </c>
      <c r="C942" t="inlineStr">
        <is>
          <t>Maize</t>
        </is>
      </c>
      <c r="D942" t="inlineStr">
        <is>
          <t>الذرة</t>
        </is>
      </c>
    </row>
    <row r="943">
      <c r="A943" t="inlineStr">
        <is>
          <t>crop2</t>
        </is>
      </c>
      <c r="B943" t="inlineStr">
        <is>
          <t>1.6</t>
        </is>
      </c>
      <c r="C943" t="inlineStr">
        <is>
          <t>Barley</t>
        </is>
      </c>
      <c r="D943" t="inlineStr">
        <is>
          <t>الشعير</t>
        </is>
      </c>
    </row>
    <row r="944">
      <c r="A944" t="inlineStr">
        <is>
          <t>crop2</t>
        </is>
      </c>
      <c r="B944" t="inlineStr">
        <is>
          <t>2.2</t>
        </is>
      </c>
      <c r="C944" t="inlineStr">
        <is>
          <t>Potatoe</t>
        </is>
      </c>
      <c r="D944" t="inlineStr">
        <is>
          <t>البطاطا</t>
        </is>
      </c>
    </row>
    <row r="945">
      <c r="A945" t="inlineStr">
        <is>
          <t>crop2</t>
        </is>
      </c>
      <c r="B945" t="inlineStr">
        <is>
          <t>3.1</t>
        </is>
      </c>
      <c r="C945" t="inlineStr">
        <is>
          <t>Beans</t>
        </is>
      </c>
      <c r="D945" t="inlineStr">
        <is>
          <t>الفاصوليا</t>
        </is>
      </c>
    </row>
    <row r="946">
      <c r="A946" t="inlineStr">
        <is>
          <t>crop2</t>
        </is>
      </c>
      <c r="B946" t="inlineStr">
        <is>
          <t>3.2</t>
        </is>
      </c>
      <c r="C946" t="inlineStr">
        <is>
          <t>Lentils</t>
        </is>
      </c>
      <c r="D946" t="inlineStr">
        <is>
          <t>العدس</t>
        </is>
      </c>
    </row>
    <row r="947">
      <c r="A947" t="inlineStr">
        <is>
          <t>crop2</t>
        </is>
      </c>
      <c r="B947" t="inlineStr">
        <is>
          <t>3.3</t>
        </is>
      </c>
      <c r="C947" t="inlineStr">
        <is>
          <t>Peas</t>
        </is>
      </c>
      <c r="D947" t="inlineStr">
        <is>
          <t>البازيلاء</t>
        </is>
      </c>
    </row>
    <row r="948">
      <c r="A948" t="inlineStr">
        <is>
          <t>crop2</t>
        </is>
      </c>
      <c r="B948" t="inlineStr">
        <is>
          <t>3.4</t>
        </is>
      </c>
      <c r="C948" t="inlineStr">
        <is>
          <t>Soybeans</t>
        </is>
      </c>
      <c r="D948" t="inlineStr">
        <is>
          <t>فول الصويا</t>
        </is>
      </c>
    </row>
    <row r="949">
      <c r="A949" t="inlineStr">
        <is>
          <t>crop2</t>
        </is>
      </c>
      <c r="B949" t="inlineStr">
        <is>
          <t>3.5</t>
        </is>
      </c>
      <c r="C949" t="inlineStr">
        <is>
          <t>Chickpeas</t>
        </is>
      </c>
      <c r="D949" t="inlineStr">
        <is>
          <t>الحمص</t>
        </is>
      </c>
    </row>
    <row r="950">
      <c r="A950" t="inlineStr">
        <is>
          <t>crop2</t>
        </is>
      </c>
      <c r="B950" t="inlineStr">
        <is>
          <t>3.6</t>
        </is>
      </c>
      <c r="C950" t="inlineStr">
        <is>
          <t>Fava beans</t>
        </is>
      </c>
      <c r="D950" t="inlineStr">
        <is>
          <t>الفول</t>
        </is>
      </c>
    </row>
    <row r="951">
      <c r="A951" t="inlineStr">
        <is>
          <t>crop2</t>
        </is>
      </c>
      <c r="B951" t="inlineStr">
        <is>
          <t>4.2</t>
        </is>
      </c>
      <c r="C951" t="inlineStr">
        <is>
          <t>Lettuce</t>
        </is>
      </c>
      <c r="D951" t="inlineStr">
        <is>
          <t>الخس</t>
        </is>
      </c>
    </row>
    <row r="952">
      <c r="A952" t="inlineStr">
        <is>
          <t>crop2</t>
        </is>
      </c>
      <c r="B952" t="inlineStr">
        <is>
          <t>4.9</t>
        </is>
      </c>
      <c r="C952" t="inlineStr">
        <is>
          <t>Green salad herbs (thyme, parsley, mint, rocca, other)</t>
        </is>
      </c>
      <c r="D952" t="inlineStr">
        <is>
          <t>أعشاب السلطة الخضراء [زعتر ، بقدونس ، نعناع ، جرجير ، أنواع أخرى]</t>
        </is>
      </c>
    </row>
    <row r="953">
      <c r="A953" t="inlineStr">
        <is>
          <t>crop2</t>
        </is>
      </c>
      <c r="B953" t="inlineStr">
        <is>
          <t>5.1</t>
        </is>
      </c>
      <c r="C953" t="inlineStr">
        <is>
          <t>Tomatoes</t>
        </is>
      </c>
      <c r="D953" t="inlineStr">
        <is>
          <t>الطماطم</t>
        </is>
      </c>
    </row>
    <row r="954">
      <c r="A954" t="inlineStr">
        <is>
          <t>crop2</t>
        </is>
      </c>
      <c r="B954" t="inlineStr">
        <is>
          <t>5.101</t>
        </is>
      </c>
      <c r="C954" t="inlineStr">
        <is>
          <t>Green peas</t>
        </is>
      </c>
      <c r="D954" t="inlineStr">
        <is>
          <t>البازلاء الخضراء</t>
        </is>
      </c>
    </row>
    <row r="955">
      <c r="A955" t="inlineStr">
        <is>
          <t>crop2</t>
        </is>
      </c>
      <c r="B955" t="inlineStr">
        <is>
          <t>5.11</t>
        </is>
      </c>
      <c r="C955" t="inlineStr">
        <is>
          <t>Fava beans green</t>
        </is>
      </c>
      <c r="D955" t="inlineStr">
        <is>
          <t>الفول الأخضر</t>
        </is>
      </c>
    </row>
    <row r="956">
      <c r="A956" t="inlineStr">
        <is>
          <t>crop2</t>
        </is>
      </c>
      <c r="B956" t="inlineStr">
        <is>
          <t>5.2</t>
        </is>
      </c>
      <c r="C956" t="inlineStr">
        <is>
          <t>Cucumber</t>
        </is>
      </c>
      <c r="D956" t="inlineStr">
        <is>
          <t>الخيار</t>
        </is>
      </c>
    </row>
    <row r="957">
      <c r="A957" t="inlineStr">
        <is>
          <t>crop2</t>
        </is>
      </c>
      <c r="B957" t="inlineStr">
        <is>
          <t>5.4</t>
        </is>
      </c>
      <c r="C957" t="inlineStr">
        <is>
          <t>Eggplant/aubergine</t>
        </is>
      </c>
      <c r="D957" t="inlineStr">
        <is>
          <t>الباذنجان</t>
        </is>
      </c>
    </row>
    <row r="958">
      <c r="A958" t="inlineStr">
        <is>
          <t>crop2</t>
        </is>
      </c>
      <c r="B958" t="inlineStr">
        <is>
          <t>5.5</t>
        </is>
      </c>
      <c r="C958" t="inlineStr">
        <is>
          <t>Zucchini</t>
        </is>
      </c>
      <c r="D958" t="inlineStr">
        <is>
          <t>الكوسة</t>
        </is>
      </c>
    </row>
    <row r="959">
      <c r="A959" t="inlineStr">
        <is>
          <t>crop2</t>
        </is>
      </c>
      <c r="B959" t="inlineStr">
        <is>
          <t>5.6</t>
        </is>
      </c>
      <c r="C959" t="inlineStr">
        <is>
          <t>Okra</t>
        </is>
      </c>
      <c r="D959" t="inlineStr">
        <is>
          <t>البامية</t>
        </is>
      </c>
    </row>
    <row r="960">
      <c r="A960" t="inlineStr">
        <is>
          <t>crop2</t>
        </is>
      </c>
      <c r="B960" t="inlineStr">
        <is>
          <t>5.7</t>
        </is>
      </c>
      <c r="C960" t="inlineStr">
        <is>
          <t>Bell pepper</t>
        </is>
      </c>
      <c r="D960" t="inlineStr">
        <is>
          <t>الفلفل حلو</t>
        </is>
      </c>
    </row>
    <row r="961">
      <c r="A961" t="inlineStr">
        <is>
          <t>crop2</t>
        </is>
      </c>
      <c r="B961" t="inlineStr">
        <is>
          <t>5.8</t>
        </is>
      </c>
      <c r="C961" t="inlineStr">
        <is>
          <t>Onions</t>
        </is>
      </c>
      <c r="D961" t="inlineStr">
        <is>
          <t>بصل</t>
        </is>
      </c>
    </row>
    <row r="962">
      <c r="A962" t="inlineStr">
        <is>
          <t>crop2</t>
        </is>
      </c>
      <c r="B962" t="inlineStr">
        <is>
          <t>7.11</t>
        </is>
      </c>
      <c r="C962" t="inlineStr">
        <is>
          <t>Grapes</t>
        </is>
      </c>
      <c r="D962" t="inlineStr">
        <is>
          <t>العنب</t>
        </is>
      </c>
    </row>
    <row r="963">
      <c r="A963" t="inlineStr">
        <is>
          <t>crop2</t>
        </is>
      </c>
      <c r="B963" t="inlineStr">
        <is>
          <t>7.12</t>
        </is>
      </c>
      <c r="C963" t="inlineStr">
        <is>
          <t>Olives</t>
        </is>
      </c>
      <c r="D963" t="inlineStr">
        <is>
          <t>الزيتون</t>
        </is>
      </c>
    </row>
    <row r="964">
      <c r="A964" t="inlineStr">
        <is>
          <t>crop2</t>
        </is>
      </c>
      <c r="B964" t="inlineStr">
        <is>
          <t>7.15</t>
        </is>
      </c>
      <c r="C964" t="inlineStr">
        <is>
          <t>Cherries</t>
        </is>
      </c>
      <c r="D964" t="inlineStr">
        <is>
          <t>الكرز</t>
        </is>
      </c>
    </row>
    <row r="965">
      <c r="A965" t="inlineStr">
        <is>
          <t>crop2</t>
        </is>
      </c>
      <c r="B965" t="inlineStr">
        <is>
          <t>7.8</t>
        </is>
      </c>
      <c r="C965" t="inlineStr">
        <is>
          <t>Water Melon</t>
        </is>
      </c>
      <c r="D965" t="inlineStr">
        <is>
          <t>البطيخ الأحمر</t>
        </is>
      </c>
    </row>
    <row r="966">
      <c r="A966" t="inlineStr">
        <is>
          <t>crop2</t>
        </is>
      </c>
      <c r="B966" t="inlineStr">
        <is>
          <t>8.5</t>
        </is>
      </c>
      <c r="C966" t="inlineStr">
        <is>
          <t>Sesame</t>
        </is>
      </c>
      <c r="D966" t="inlineStr">
        <is>
          <t>السمسم</t>
        </is>
      </c>
    </row>
    <row r="967">
      <c r="A967" t="inlineStr">
        <is>
          <t>crop2</t>
        </is>
      </c>
      <c r="B967" t="inlineStr">
        <is>
          <t>8.7</t>
        </is>
      </c>
      <c r="C967" t="inlineStr">
        <is>
          <t>Almond</t>
        </is>
      </c>
      <c r="D967" t="inlineStr">
        <is>
          <t>اللوز</t>
        </is>
      </c>
    </row>
    <row r="968">
      <c r="A968" t="inlineStr">
        <is>
          <t>crop2</t>
        </is>
      </c>
      <c r="B968" t="inlineStr">
        <is>
          <t>1.1</t>
        </is>
      </c>
      <c r="C968" t="inlineStr">
        <is>
          <t>Rice</t>
        </is>
      </c>
      <c r="D968" t="inlineStr">
        <is>
          <t>الرز</t>
        </is>
      </c>
    </row>
    <row r="969">
      <c r="A969" t="inlineStr">
        <is>
          <t>crop2</t>
        </is>
      </c>
      <c r="B969" t="inlineStr">
        <is>
          <t>1.3</t>
        </is>
      </c>
      <c r="C969" t="inlineStr">
        <is>
          <t>Millet</t>
        </is>
      </c>
      <c r="D969" t="inlineStr">
        <is>
          <t>الدخن</t>
        </is>
      </c>
    </row>
    <row r="970">
      <c r="A970" t="inlineStr">
        <is>
          <t>crop2</t>
        </is>
      </c>
      <c r="B970" t="inlineStr">
        <is>
          <t>1.4</t>
        </is>
      </c>
      <c r="C970" t="inlineStr">
        <is>
          <t>Sorghum</t>
        </is>
      </c>
      <c r="D970" t="inlineStr">
        <is>
          <t>الذرة الرفيعة</t>
        </is>
      </c>
    </row>
    <row r="971">
      <c r="A971" t="inlineStr">
        <is>
          <t>crop2</t>
        </is>
      </c>
      <c r="B971" t="inlineStr">
        <is>
          <t>1.99</t>
        </is>
      </c>
      <c r="C971" t="inlineStr">
        <is>
          <t>Other Cereal</t>
        </is>
      </c>
      <c r="D971" t="inlineStr">
        <is>
          <t>الحبوب الأخرى</t>
        </is>
      </c>
    </row>
    <row r="972">
      <c r="A972" t="inlineStr">
        <is>
          <t>crop2</t>
        </is>
      </c>
      <c r="B972" t="inlineStr">
        <is>
          <t>2.1</t>
        </is>
      </c>
      <c r="C972" t="inlineStr">
        <is>
          <t>Cassava</t>
        </is>
      </c>
      <c r="D972" t="inlineStr">
        <is>
          <t>الكسافا</t>
        </is>
      </c>
    </row>
    <row r="973">
      <c r="A973" t="inlineStr">
        <is>
          <t>crop2</t>
        </is>
      </c>
      <c r="B973" t="inlineStr">
        <is>
          <t>2.3</t>
        </is>
      </c>
      <c r="C973" t="inlineStr">
        <is>
          <t>Sweet Potatoes</t>
        </is>
      </c>
      <c r="D973" t="inlineStr">
        <is>
          <t>البطاطا الحلوة</t>
        </is>
      </c>
    </row>
    <row r="974">
      <c r="A974" t="inlineStr">
        <is>
          <t>crop2</t>
        </is>
      </c>
      <c r="B974" t="inlineStr">
        <is>
          <t>2.4</t>
        </is>
      </c>
      <c r="C974" t="inlineStr">
        <is>
          <t>Yams</t>
        </is>
      </c>
      <c r="D974" t="inlineStr">
        <is>
          <t>اليام</t>
        </is>
      </c>
    </row>
    <row r="975">
      <c r="A975" t="inlineStr">
        <is>
          <t>crop2</t>
        </is>
      </c>
      <c r="B975" t="inlineStr">
        <is>
          <t>2.5</t>
        </is>
      </c>
      <c r="C975" t="inlineStr">
        <is>
          <t>Carrots</t>
        </is>
      </c>
      <c r="D975" t="inlineStr">
        <is>
          <t>الجزر</t>
        </is>
      </c>
    </row>
    <row r="976">
      <c r="A976" t="inlineStr">
        <is>
          <t>crop2</t>
        </is>
      </c>
      <c r="B976" t="inlineStr">
        <is>
          <t>2.6</t>
        </is>
      </c>
      <c r="C976" t="inlineStr">
        <is>
          <t>Cocoyam</t>
        </is>
      </c>
      <c r="D976" t="inlineStr">
        <is>
          <t>القلقاس</t>
        </is>
      </c>
    </row>
    <row r="977">
      <c r="A977" t="inlineStr">
        <is>
          <t>crop2</t>
        </is>
      </c>
      <c r="B977" t="inlineStr">
        <is>
          <t>2.99</t>
        </is>
      </c>
      <c r="C977" t="inlineStr">
        <is>
          <t>Other tubers</t>
        </is>
      </c>
      <c r="D977" t="inlineStr">
        <is>
          <t>الدرنات الأخرى</t>
        </is>
      </c>
    </row>
    <row r="978">
      <c r="A978" t="inlineStr">
        <is>
          <t>crop2</t>
        </is>
      </c>
      <c r="B978" t="inlineStr">
        <is>
          <t>3.7</t>
        </is>
      </c>
      <c r="C978" t="inlineStr">
        <is>
          <t>Broad beans</t>
        </is>
      </c>
      <c r="D978" t="inlineStr">
        <is>
          <t>الفاصوليا العريضة</t>
        </is>
      </c>
    </row>
    <row r="979">
      <c r="A979" t="inlineStr">
        <is>
          <t>crop2</t>
        </is>
      </c>
      <c r="B979" t="inlineStr">
        <is>
          <t>3.99</t>
        </is>
      </c>
      <c r="C979" t="inlineStr">
        <is>
          <t>Other pulses</t>
        </is>
      </c>
      <c r="D979" t="inlineStr">
        <is>
          <t>البقول الاخرى</t>
        </is>
      </c>
    </row>
    <row r="980">
      <c r="A980" t="inlineStr">
        <is>
          <t>crop2</t>
        </is>
      </c>
      <c r="B980" t="inlineStr">
        <is>
          <t>4.1</t>
        </is>
      </c>
      <c r="C980" t="inlineStr">
        <is>
          <t>Cabbage</t>
        </is>
      </c>
      <c r="D980" t="inlineStr">
        <is>
          <t>الملفوف</t>
        </is>
      </c>
    </row>
    <row r="981">
      <c r="A981" t="inlineStr">
        <is>
          <t>crop2</t>
        </is>
      </c>
      <c r="B981" t="inlineStr">
        <is>
          <t>4.101</t>
        </is>
      </c>
      <c r="C981" t="inlineStr">
        <is>
          <t>Cauliflower</t>
        </is>
      </c>
      <c r="D981" t="inlineStr">
        <is>
          <t>القرنبيط</t>
        </is>
      </c>
    </row>
    <row r="982">
      <c r="A982" t="inlineStr">
        <is>
          <t>crop2</t>
        </is>
      </c>
      <c r="B982" t="inlineStr">
        <is>
          <t>4.3</t>
        </is>
      </c>
      <c r="C982" t="inlineStr">
        <is>
          <t>Spinach-Amaranth</t>
        </is>
      </c>
      <c r="D982" t="inlineStr">
        <is>
          <t>السبانخ - القطيفة</t>
        </is>
      </c>
    </row>
    <row r="983">
      <c r="A983" t="inlineStr">
        <is>
          <t>crop2</t>
        </is>
      </c>
      <c r="B983" t="inlineStr">
        <is>
          <t>4.4</t>
        </is>
      </c>
      <c r="C983" t="inlineStr">
        <is>
          <t>Cassava leaves</t>
        </is>
      </c>
      <c r="D983" t="inlineStr">
        <is>
          <t>أوراق الكسافا</t>
        </is>
      </c>
    </row>
    <row r="984">
      <c r="A984" t="inlineStr">
        <is>
          <t>crop2</t>
        </is>
      </c>
      <c r="B984" t="inlineStr">
        <is>
          <t>4.5</t>
        </is>
      </c>
      <c r="C984" t="inlineStr">
        <is>
          <t>Potatoe leaves</t>
        </is>
      </c>
      <c r="D984" t="inlineStr">
        <is>
          <t>أوراق البطاطا</t>
        </is>
      </c>
    </row>
    <row r="985">
      <c r="A985" t="inlineStr">
        <is>
          <t>crop2</t>
        </is>
      </c>
      <c r="B985" t="inlineStr">
        <is>
          <t>4.6</t>
        </is>
      </c>
      <c r="C985" t="inlineStr">
        <is>
          <t>Moringa</t>
        </is>
      </c>
      <c r="D985" t="inlineStr">
        <is>
          <t>المورينجا</t>
        </is>
      </c>
    </row>
    <row r="986">
      <c r="A986" t="inlineStr">
        <is>
          <t>crop2</t>
        </is>
      </c>
      <c r="B986" t="inlineStr">
        <is>
          <t>4.7</t>
        </is>
      </c>
      <c r="C986" t="inlineStr">
        <is>
          <t>Sorrel Hibiscus / Rosselle</t>
        </is>
      </c>
      <c r="D986" t="inlineStr">
        <is>
          <t>الكركديه</t>
        </is>
      </c>
    </row>
    <row r="987">
      <c r="A987" t="inlineStr">
        <is>
          <t>crop2</t>
        </is>
      </c>
      <c r="B987" t="inlineStr">
        <is>
          <t>4.99</t>
        </is>
      </c>
      <c r="C987" t="inlineStr">
        <is>
          <t>Other leafy vegetables</t>
        </is>
      </c>
      <c r="D987" t="inlineStr">
        <is>
          <t>الخضار الورقية الأخرى</t>
        </is>
      </c>
    </row>
    <row r="988">
      <c r="A988" t="inlineStr">
        <is>
          <t>crop2</t>
        </is>
      </c>
      <c r="B988" t="inlineStr">
        <is>
          <t>5.3</t>
        </is>
      </c>
      <c r="C988" t="inlineStr">
        <is>
          <t>Pumpkin</t>
        </is>
      </c>
      <c r="D988" t="inlineStr">
        <is>
          <t>اليقطين</t>
        </is>
      </c>
    </row>
    <row r="989">
      <c r="A989" t="inlineStr">
        <is>
          <t>crop2</t>
        </is>
      </c>
      <c r="B989" t="inlineStr">
        <is>
          <t>5.9</t>
        </is>
      </c>
      <c r="C989" t="inlineStr">
        <is>
          <t>Haricot</t>
        </is>
      </c>
      <c r="D989" t="inlineStr">
        <is>
          <t>اللوبياء</t>
        </is>
      </c>
    </row>
    <row r="990">
      <c r="A990" t="inlineStr">
        <is>
          <t>crop2</t>
        </is>
      </c>
      <c r="B990" t="inlineStr">
        <is>
          <t>5.99</t>
        </is>
      </c>
      <c r="C990" t="inlineStr">
        <is>
          <t>Other non leafy vegs</t>
        </is>
      </c>
      <c r="D990" t="inlineStr">
        <is>
          <t>الخضار غير الورقية الأخرى</t>
        </is>
      </c>
    </row>
    <row r="991">
      <c r="A991" t="inlineStr">
        <is>
          <t>crop2</t>
        </is>
      </c>
      <c r="B991" t="inlineStr">
        <is>
          <t>6.1</t>
        </is>
      </c>
      <c r="C991" t="inlineStr">
        <is>
          <t>Orange</t>
        </is>
      </c>
      <c r="D991" t="inlineStr">
        <is>
          <t>البرتقال</t>
        </is>
      </c>
    </row>
    <row r="992">
      <c r="A992" t="inlineStr">
        <is>
          <t>crop2</t>
        </is>
      </c>
      <c r="B992" t="inlineStr">
        <is>
          <t>6.2</t>
        </is>
      </c>
      <c r="C992" t="inlineStr">
        <is>
          <t>Lemon</t>
        </is>
      </c>
      <c r="D992" t="inlineStr">
        <is>
          <t>الليمون</t>
        </is>
      </c>
    </row>
    <row r="993">
      <c r="A993" t="inlineStr">
        <is>
          <t>crop2</t>
        </is>
      </c>
      <c r="B993" t="inlineStr">
        <is>
          <t>6.3</t>
        </is>
      </c>
      <c r="C993" t="inlineStr">
        <is>
          <t>Grapefruit</t>
        </is>
      </c>
      <c r="D993" t="inlineStr">
        <is>
          <t>الجريب فروت</t>
        </is>
      </c>
    </row>
    <row r="994">
      <c r="A994" t="inlineStr">
        <is>
          <t>crop2</t>
        </is>
      </c>
      <c r="B994" t="inlineStr">
        <is>
          <t>6.4</t>
        </is>
      </c>
      <c r="C994" t="inlineStr">
        <is>
          <t>Mandarins/clementines</t>
        </is>
      </c>
      <c r="D994" t="inlineStr">
        <is>
          <t>اليوسفي / الكليمنتين</t>
        </is>
      </c>
    </row>
    <row r="995">
      <c r="A995" t="inlineStr">
        <is>
          <t>crop2</t>
        </is>
      </c>
      <c r="B995" t="inlineStr">
        <is>
          <t>6.99</t>
        </is>
      </c>
      <c r="C995" t="inlineStr">
        <is>
          <t>Other citrus fruit</t>
        </is>
      </c>
      <c r="D995" t="inlineStr">
        <is>
          <t>الحمضيات الأخرى</t>
        </is>
      </c>
    </row>
    <row r="996">
      <c r="A996" t="inlineStr">
        <is>
          <t>crop2</t>
        </is>
      </c>
      <c r="B996" t="inlineStr">
        <is>
          <t>7.1</t>
        </is>
      </c>
      <c r="C996" t="inlineStr">
        <is>
          <t>Sweet Banana</t>
        </is>
      </c>
      <c r="D996" t="inlineStr">
        <is>
          <t>الموز</t>
        </is>
      </c>
    </row>
    <row r="997">
      <c r="A997" t="inlineStr">
        <is>
          <t>crop2</t>
        </is>
      </c>
      <c r="B997" t="inlineStr">
        <is>
          <t>7.101</t>
        </is>
      </c>
      <c r="C997" t="inlineStr">
        <is>
          <t>Figs</t>
        </is>
      </c>
      <c r="D997" t="inlineStr">
        <is>
          <t>التين</t>
        </is>
      </c>
    </row>
    <row r="998">
      <c r="A998" t="inlineStr">
        <is>
          <t>crop2</t>
        </is>
      </c>
      <c r="B998" t="inlineStr">
        <is>
          <t>7.13</t>
        </is>
      </c>
      <c r="C998" t="inlineStr">
        <is>
          <t>Apple</t>
        </is>
      </c>
      <c r="D998" t="inlineStr">
        <is>
          <t>التفاح</t>
        </is>
      </c>
    </row>
    <row r="999">
      <c r="A999" t="inlineStr">
        <is>
          <t>crop2</t>
        </is>
      </c>
      <c r="B999" t="inlineStr">
        <is>
          <t>7.14</t>
        </is>
      </c>
      <c r="C999" t="inlineStr">
        <is>
          <t>Apricot</t>
        </is>
      </c>
      <c r="D999" t="inlineStr">
        <is>
          <t>المشمش</t>
        </is>
      </c>
    </row>
    <row r="1000">
      <c r="A1000" t="inlineStr">
        <is>
          <t>crop2</t>
        </is>
      </c>
      <c r="B1000" t="inlineStr">
        <is>
          <t>7.16</t>
        </is>
      </c>
      <c r="C1000" t="inlineStr">
        <is>
          <t>Peach/nectarine</t>
        </is>
      </c>
      <c r="D1000" t="inlineStr">
        <is>
          <t>الدراق / النكتارين</t>
        </is>
      </c>
    </row>
    <row r="1001">
      <c r="A1001" t="inlineStr">
        <is>
          <t>crop2</t>
        </is>
      </c>
      <c r="B1001" t="inlineStr">
        <is>
          <t>7.17</t>
        </is>
      </c>
      <c r="C1001" t="inlineStr">
        <is>
          <t>Strawberries</t>
        </is>
      </c>
      <c r="D1001" t="inlineStr">
        <is>
          <t>الفراولة</t>
        </is>
      </c>
    </row>
    <row r="1002">
      <c r="A1002" t="inlineStr">
        <is>
          <t>crop2</t>
        </is>
      </c>
      <c r="B1002" t="inlineStr">
        <is>
          <t>7.18</t>
        </is>
      </c>
      <c r="C1002" t="inlineStr">
        <is>
          <t>Melon (Cantaloupe)</t>
        </is>
      </c>
      <c r="D1002" t="inlineStr">
        <is>
          <t>الشمام</t>
        </is>
      </c>
    </row>
    <row r="1003">
      <c r="A1003" t="inlineStr">
        <is>
          <t>crop2</t>
        </is>
      </c>
      <c r="B1003" t="inlineStr">
        <is>
          <t>7.2</t>
        </is>
      </c>
      <c r="C1003" t="inlineStr">
        <is>
          <t>Plantains</t>
        </is>
      </c>
      <c r="D1003" t="inlineStr">
        <is>
          <t>موز الجنة</t>
        </is>
      </c>
    </row>
    <row r="1004">
      <c r="A1004" t="inlineStr">
        <is>
          <t>crop2</t>
        </is>
      </c>
      <c r="B1004" t="inlineStr">
        <is>
          <t>7.3</t>
        </is>
      </c>
      <c r="C1004" t="inlineStr">
        <is>
          <t>Papaya</t>
        </is>
      </c>
      <c r="D1004" t="inlineStr">
        <is>
          <t>البابايا</t>
        </is>
      </c>
    </row>
    <row r="1005">
      <c r="A1005" t="inlineStr">
        <is>
          <t>crop2</t>
        </is>
      </c>
      <c r="B1005" t="inlineStr">
        <is>
          <t>7.4</t>
        </is>
      </c>
      <c r="C1005" t="inlineStr">
        <is>
          <t>Mango</t>
        </is>
      </c>
      <c r="D1005" t="inlineStr">
        <is>
          <t>المانجو</t>
        </is>
      </c>
    </row>
    <row r="1006">
      <c r="A1006" t="inlineStr">
        <is>
          <t>crop2</t>
        </is>
      </c>
      <c r="B1006" t="inlineStr">
        <is>
          <t>7.5</t>
        </is>
      </c>
      <c r="C1006" t="inlineStr">
        <is>
          <t>Guava</t>
        </is>
      </c>
      <c r="D1006" t="inlineStr">
        <is>
          <t>الجوافة</t>
        </is>
      </c>
    </row>
    <row r="1007">
      <c r="A1007" t="inlineStr">
        <is>
          <t>crop2</t>
        </is>
      </c>
      <c r="B1007" t="inlineStr">
        <is>
          <t>7.6</t>
        </is>
      </c>
      <c r="C1007" t="inlineStr">
        <is>
          <t>Pineapple</t>
        </is>
      </c>
      <c r="D1007" t="inlineStr">
        <is>
          <t>الأناناس</t>
        </is>
      </c>
    </row>
    <row r="1008">
      <c r="A1008" t="inlineStr">
        <is>
          <t>crop2</t>
        </is>
      </c>
      <c r="B1008" t="inlineStr">
        <is>
          <t>7.7</t>
        </is>
      </c>
      <c r="C1008" t="inlineStr">
        <is>
          <t>Avocado</t>
        </is>
      </c>
      <c r="D1008" t="inlineStr">
        <is>
          <t>الأفوكادو</t>
        </is>
      </c>
    </row>
    <row r="1009">
      <c r="A1009" t="inlineStr">
        <is>
          <t>crop2</t>
        </is>
      </c>
      <c r="B1009" t="inlineStr">
        <is>
          <t>7.9</t>
        </is>
      </c>
      <c r="C1009" t="inlineStr">
        <is>
          <t>Dates</t>
        </is>
      </c>
      <c r="D1009" t="inlineStr">
        <is>
          <t>التمر</t>
        </is>
      </c>
    </row>
    <row r="1010">
      <c r="A1010" t="inlineStr">
        <is>
          <t>crop2</t>
        </is>
      </c>
      <c r="B1010" t="inlineStr">
        <is>
          <t>7.99</t>
        </is>
      </c>
      <c r="C1010" t="inlineStr">
        <is>
          <t>Other fruit</t>
        </is>
      </c>
      <c r="D1010" t="inlineStr">
        <is>
          <t>الفواكه الأخرى</t>
        </is>
      </c>
    </row>
    <row r="1011">
      <c r="A1011" t="inlineStr">
        <is>
          <t>crop2</t>
        </is>
      </c>
      <c r="B1011" t="inlineStr">
        <is>
          <t>8.1</t>
        </is>
      </c>
      <c r="C1011" t="inlineStr">
        <is>
          <t>Coconuts</t>
        </is>
      </c>
      <c r="D1011" t="inlineStr">
        <is>
          <t>جوز الهند</t>
        </is>
      </c>
    </row>
    <row r="1012">
      <c r="A1012" t="inlineStr">
        <is>
          <t>crop2</t>
        </is>
      </c>
      <c r="B1012" t="inlineStr">
        <is>
          <t>8.2</t>
        </is>
      </c>
      <c r="C1012" t="inlineStr">
        <is>
          <t>Groundnut/peanut</t>
        </is>
      </c>
      <c r="D1012" t="inlineStr">
        <is>
          <t>الفول السوداني</t>
        </is>
      </c>
    </row>
    <row r="1013">
      <c r="A1013" t="inlineStr">
        <is>
          <t>crop2</t>
        </is>
      </c>
      <c r="B1013" t="inlineStr">
        <is>
          <t>8.3</t>
        </is>
      </c>
      <c r="C1013" t="inlineStr">
        <is>
          <t>Cashew Nut</t>
        </is>
      </c>
      <c r="D1013" t="inlineStr">
        <is>
          <t>الكاجو</t>
        </is>
      </c>
    </row>
    <row r="1014">
      <c r="A1014" t="inlineStr">
        <is>
          <t>crop2</t>
        </is>
      </c>
      <c r="B1014" t="inlineStr">
        <is>
          <t>8.4</t>
        </is>
      </c>
      <c r="C1014" t="inlineStr">
        <is>
          <t>Kola Nut</t>
        </is>
      </c>
      <c r="D1014" t="inlineStr">
        <is>
          <t>جوز الكولا</t>
        </is>
      </c>
    </row>
    <row r="1015">
      <c r="A1015" t="inlineStr">
        <is>
          <t>crop2</t>
        </is>
      </c>
      <c r="B1015" t="inlineStr">
        <is>
          <t>8.6</t>
        </is>
      </c>
      <c r="C1015" t="inlineStr">
        <is>
          <t>Bambara nut</t>
        </is>
      </c>
      <c r="D1015" t="inlineStr">
        <is>
          <t>جوز البامبارا</t>
        </is>
      </c>
    </row>
    <row r="1016">
      <c r="A1016" t="inlineStr">
        <is>
          <t>crop2</t>
        </is>
      </c>
      <c r="B1016" t="inlineStr">
        <is>
          <t>8.8</t>
        </is>
      </c>
      <c r="C1016" t="inlineStr">
        <is>
          <t>Walnut</t>
        </is>
      </c>
      <c r="D1016" t="inlineStr">
        <is>
          <t>الجوز</t>
        </is>
      </c>
    </row>
    <row r="1017">
      <c r="A1017" t="inlineStr">
        <is>
          <t>crop2</t>
        </is>
      </c>
      <c r="B1017" t="inlineStr">
        <is>
          <t>8.99</t>
        </is>
      </c>
      <c r="C1017" t="inlineStr">
        <is>
          <t>Other nuts</t>
        </is>
      </c>
      <c r="D1017" t="inlineStr">
        <is>
          <t>المكسرات الأخرى</t>
        </is>
      </c>
    </row>
    <row r="1018">
      <c r="A1018" t="inlineStr">
        <is>
          <t>crop2</t>
        </is>
      </c>
      <c r="B1018" t="inlineStr">
        <is>
          <t>9.1</t>
        </is>
      </c>
      <c r="C1018" t="inlineStr">
        <is>
          <t>Cocoa</t>
        </is>
      </c>
      <c r="D1018" t="inlineStr">
        <is>
          <t>الكاكاو</t>
        </is>
      </c>
    </row>
    <row r="1019">
      <c r="A1019" t="inlineStr">
        <is>
          <t>crop2</t>
        </is>
      </c>
      <c r="B1019" t="inlineStr">
        <is>
          <t>9.2</t>
        </is>
      </c>
      <c r="C1019" t="inlineStr">
        <is>
          <t>Coffee</t>
        </is>
      </c>
      <c r="D1019" t="inlineStr">
        <is>
          <t>القهوة</t>
        </is>
      </c>
    </row>
    <row r="1020">
      <c r="A1020" t="inlineStr">
        <is>
          <t>crop2</t>
        </is>
      </c>
      <c r="B1020" t="inlineStr">
        <is>
          <t>9.3</t>
        </is>
      </c>
      <c r="C1020" t="inlineStr">
        <is>
          <t>Tea</t>
        </is>
      </c>
      <c r="D1020" t="inlineStr">
        <is>
          <t>الشاي</t>
        </is>
      </c>
    </row>
    <row r="1021">
      <c r="A1021" t="inlineStr">
        <is>
          <t>crop2</t>
        </is>
      </c>
      <c r="B1021" t="inlineStr">
        <is>
          <t>9.4</t>
        </is>
      </c>
      <c r="C1021" t="inlineStr">
        <is>
          <t>Sugarcane</t>
        </is>
      </c>
      <c r="D1021" t="inlineStr">
        <is>
          <t>قصب السكر</t>
        </is>
      </c>
    </row>
    <row r="1022">
      <c r="A1022" t="inlineStr">
        <is>
          <t>crop2</t>
        </is>
      </c>
      <c r="B1022" t="inlineStr">
        <is>
          <t>9.5</t>
        </is>
      </c>
      <c r="C1022" t="inlineStr">
        <is>
          <t>Sunflower</t>
        </is>
      </c>
      <c r="D1022" t="inlineStr">
        <is>
          <t>دوار الشمس</t>
        </is>
      </c>
    </row>
    <row r="1023">
      <c r="A1023" t="inlineStr">
        <is>
          <t>crop2</t>
        </is>
      </c>
      <c r="B1023" t="inlineStr">
        <is>
          <t>9.99</t>
        </is>
      </c>
      <c r="C1023" t="inlineStr">
        <is>
          <t>Other food cash crop</t>
        </is>
      </c>
      <c r="D1023" t="inlineStr">
        <is>
          <t xml:space="preserve">المحاصيل الغذائية النقدية الأخرى </t>
        </is>
      </c>
    </row>
    <row r="1024">
      <c r="A1024" t="inlineStr">
        <is>
          <t>crop2</t>
        </is>
      </c>
      <c r="B1024" t="inlineStr">
        <is>
          <t>10.1</t>
        </is>
      </c>
      <c r="C1024" t="inlineStr">
        <is>
          <t>Cotton</t>
        </is>
      </c>
      <c r="D1024" t="inlineStr">
        <is>
          <t>القطن</t>
        </is>
      </c>
    </row>
    <row r="1025">
      <c r="A1025" t="inlineStr">
        <is>
          <t>crop2</t>
        </is>
      </c>
      <c r="B1025" t="inlineStr">
        <is>
          <t>10.2</t>
        </is>
      </c>
      <c r="C1025" t="inlineStr">
        <is>
          <t>Rubber</t>
        </is>
      </c>
      <c r="D1025" t="inlineStr">
        <is>
          <t>المطاط</t>
        </is>
      </c>
    </row>
    <row r="1026">
      <c r="A1026" t="inlineStr">
        <is>
          <t>crop2</t>
        </is>
      </c>
      <c r="B1026" t="inlineStr">
        <is>
          <t>10.3</t>
        </is>
      </c>
      <c r="C1026" t="inlineStr">
        <is>
          <t>Jute</t>
        </is>
      </c>
      <c r="D1026" t="inlineStr">
        <is>
          <t>الجوت</t>
        </is>
      </c>
    </row>
    <row r="1027">
      <c r="A1027" t="inlineStr">
        <is>
          <t>crop2</t>
        </is>
      </c>
      <c r="B1027" t="inlineStr">
        <is>
          <t>10.4</t>
        </is>
      </c>
      <c r="C1027" t="inlineStr">
        <is>
          <t>Fodder</t>
        </is>
      </c>
      <c r="D1027" t="inlineStr">
        <is>
          <t>العلف</t>
        </is>
      </c>
    </row>
    <row r="1028">
      <c r="A1028" t="inlineStr">
        <is>
          <t>crop2</t>
        </is>
      </c>
      <c r="B1028" t="inlineStr">
        <is>
          <t>10.5</t>
        </is>
      </c>
      <c r="C1028" t="inlineStr">
        <is>
          <t>Tobacco</t>
        </is>
      </c>
      <c r="D1028" t="inlineStr">
        <is>
          <t>التبغ</t>
        </is>
      </c>
    </row>
    <row r="1029">
      <c r="A1029" t="inlineStr">
        <is>
          <t>crop2</t>
        </is>
      </c>
      <c r="B1029" t="inlineStr">
        <is>
          <t>10.6</t>
        </is>
      </c>
      <c r="C1029" t="inlineStr">
        <is>
          <t>Qat</t>
        </is>
      </c>
      <c r="D1029" t="inlineStr">
        <is>
          <t>القات</t>
        </is>
      </c>
    </row>
    <row r="1030">
      <c r="A1030" t="inlineStr">
        <is>
          <t>crop2</t>
        </is>
      </c>
      <c r="B1030" t="inlineStr">
        <is>
          <t>10.99</t>
        </is>
      </c>
      <c r="C1030" t="inlineStr">
        <is>
          <t>Other non-food cash crop</t>
        </is>
      </c>
      <c r="D1030" t="inlineStr">
        <is>
          <t xml:space="preserve"> المحاصيل النقدية غير الغذائية الأخرى </t>
        </is>
      </c>
    </row>
    <row r="1031">
      <c r="A1031" t="inlineStr">
        <is>
          <t>crop2</t>
        </is>
      </c>
      <c r="B1031" t="inlineStr">
        <is>
          <t>666</t>
        </is>
      </c>
      <c r="C1031" t="inlineStr">
        <is>
          <t>No other crop</t>
        </is>
      </c>
      <c r="D1031" t="inlineStr">
        <is>
          <t>لا محاصيل أخرى</t>
        </is>
      </c>
    </row>
    <row r="1032">
      <c r="A1032" t="inlineStr">
        <is>
          <t>crop2</t>
        </is>
      </c>
      <c r="B1032" t="inlineStr">
        <is>
          <t>888</t>
        </is>
      </c>
      <c r="C1032" t="inlineStr">
        <is>
          <t>Don't know</t>
        </is>
      </c>
      <c r="D1032" t="inlineStr">
        <is>
          <t>لا أعرف</t>
        </is>
      </c>
    </row>
    <row r="1033">
      <c r="A1033" t="inlineStr">
        <is>
          <t>crop2</t>
        </is>
      </c>
      <c r="B1033" t="inlineStr">
        <is>
          <t>999</t>
        </is>
      </c>
      <c r="C1033" t="inlineStr">
        <is>
          <t>Refused</t>
        </is>
      </c>
      <c r="D1033" t="inlineStr">
        <is>
          <t>رفض الإجابة</t>
        </is>
      </c>
    </row>
    <row r="1035">
      <c r="A1035" t="inlineStr">
        <is>
          <t>crop3</t>
        </is>
      </c>
      <c r="B1035" t="inlineStr">
        <is>
          <t>1.2</t>
        </is>
      </c>
      <c r="C1035" t="inlineStr">
        <is>
          <t>Wheat</t>
        </is>
      </c>
      <c r="D1035" t="inlineStr">
        <is>
          <t>القمح</t>
        </is>
      </c>
    </row>
    <row r="1036">
      <c r="A1036" t="inlineStr">
        <is>
          <t>crop3</t>
        </is>
      </c>
      <c r="B1036" t="inlineStr">
        <is>
          <t>1.5</t>
        </is>
      </c>
      <c r="C1036" t="inlineStr">
        <is>
          <t>Maize</t>
        </is>
      </c>
      <c r="D1036" t="inlineStr">
        <is>
          <t>الذرة</t>
        </is>
      </c>
    </row>
    <row r="1037">
      <c r="A1037" t="inlineStr">
        <is>
          <t>crop3</t>
        </is>
      </c>
      <c r="B1037" t="inlineStr">
        <is>
          <t>1.6</t>
        </is>
      </c>
      <c r="C1037" t="inlineStr">
        <is>
          <t>Barley</t>
        </is>
      </c>
      <c r="D1037" t="inlineStr">
        <is>
          <t>الشعير</t>
        </is>
      </c>
    </row>
    <row r="1038">
      <c r="A1038" t="inlineStr">
        <is>
          <t>crop3</t>
        </is>
      </c>
      <c r="B1038" t="inlineStr">
        <is>
          <t>2.2</t>
        </is>
      </c>
      <c r="C1038" t="inlineStr">
        <is>
          <t>Potatoe</t>
        </is>
      </c>
      <c r="D1038" t="inlineStr">
        <is>
          <t>البطاطا</t>
        </is>
      </c>
    </row>
    <row r="1039">
      <c r="A1039" t="inlineStr">
        <is>
          <t>crop3</t>
        </is>
      </c>
      <c r="B1039" t="inlineStr">
        <is>
          <t>3.1</t>
        </is>
      </c>
      <c r="C1039" t="inlineStr">
        <is>
          <t>Beans</t>
        </is>
      </c>
      <c r="D1039" t="inlineStr">
        <is>
          <t>الفاصوليا</t>
        </is>
      </c>
    </row>
    <row r="1040">
      <c r="A1040" t="inlineStr">
        <is>
          <t>crop3</t>
        </is>
      </c>
      <c r="B1040" t="inlineStr">
        <is>
          <t>3.2</t>
        </is>
      </c>
      <c r="C1040" t="inlineStr">
        <is>
          <t>Lentils</t>
        </is>
      </c>
      <c r="D1040" t="inlineStr">
        <is>
          <t>العدس</t>
        </is>
      </c>
    </row>
    <row r="1041">
      <c r="A1041" t="inlineStr">
        <is>
          <t>crop3</t>
        </is>
      </c>
      <c r="B1041" t="inlineStr">
        <is>
          <t>3.3</t>
        </is>
      </c>
      <c r="C1041" t="inlineStr">
        <is>
          <t>Peas</t>
        </is>
      </c>
      <c r="D1041" t="inlineStr">
        <is>
          <t>البازيلاء</t>
        </is>
      </c>
    </row>
    <row r="1042">
      <c r="A1042" t="inlineStr">
        <is>
          <t>crop3</t>
        </is>
      </c>
      <c r="B1042" t="inlineStr">
        <is>
          <t>3.4</t>
        </is>
      </c>
      <c r="C1042" t="inlineStr">
        <is>
          <t>Soybeans</t>
        </is>
      </c>
      <c r="D1042" t="inlineStr">
        <is>
          <t>فول الصويا</t>
        </is>
      </c>
    </row>
    <row r="1043">
      <c r="A1043" t="inlineStr">
        <is>
          <t>crop3</t>
        </is>
      </c>
      <c r="B1043" t="inlineStr">
        <is>
          <t>3.5</t>
        </is>
      </c>
      <c r="C1043" t="inlineStr">
        <is>
          <t>Chickpeas</t>
        </is>
      </c>
      <c r="D1043" t="inlineStr">
        <is>
          <t>الحمص</t>
        </is>
      </c>
    </row>
    <row r="1044">
      <c r="A1044" t="inlineStr">
        <is>
          <t>crop3</t>
        </is>
      </c>
      <c r="B1044" t="inlineStr">
        <is>
          <t>3.6</t>
        </is>
      </c>
      <c r="C1044" t="inlineStr">
        <is>
          <t>Fava beans</t>
        </is>
      </c>
      <c r="D1044" t="inlineStr">
        <is>
          <t>الفول</t>
        </is>
      </c>
    </row>
    <row r="1045">
      <c r="A1045" t="inlineStr">
        <is>
          <t>crop3</t>
        </is>
      </c>
      <c r="B1045" t="inlineStr">
        <is>
          <t>4.2</t>
        </is>
      </c>
      <c r="C1045" t="inlineStr">
        <is>
          <t>Lettuce</t>
        </is>
      </c>
      <c r="D1045" t="inlineStr">
        <is>
          <t>الخس</t>
        </is>
      </c>
    </row>
    <row r="1046">
      <c r="A1046" t="inlineStr">
        <is>
          <t>crop3</t>
        </is>
      </c>
      <c r="B1046" t="inlineStr">
        <is>
          <t>4.9</t>
        </is>
      </c>
      <c r="C1046" t="inlineStr">
        <is>
          <t>Green salad herbs (thyme, parsley, mint, rocca, other)</t>
        </is>
      </c>
      <c r="D1046" t="inlineStr">
        <is>
          <t>أعشاب السلطة الخضراء [زعتر ، بقدونس ، نعناع ، جرجير ، أنواع أخرى]</t>
        </is>
      </c>
    </row>
    <row r="1047">
      <c r="A1047" t="inlineStr">
        <is>
          <t>crop3</t>
        </is>
      </c>
      <c r="B1047" t="inlineStr">
        <is>
          <t>5.1</t>
        </is>
      </c>
      <c r="C1047" t="inlineStr">
        <is>
          <t>Tomatoes</t>
        </is>
      </c>
      <c r="D1047" t="inlineStr">
        <is>
          <t>الطماطم</t>
        </is>
      </c>
    </row>
    <row r="1048">
      <c r="A1048" t="inlineStr">
        <is>
          <t>crop3</t>
        </is>
      </c>
      <c r="B1048" t="inlineStr">
        <is>
          <t>5.101</t>
        </is>
      </c>
      <c r="C1048" t="inlineStr">
        <is>
          <t>Green peas</t>
        </is>
      </c>
      <c r="D1048" t="inlineStr">
        <is>
          <t>البازلاء الخضراء</t>
        </is>
      </c>
    </row>
    <row r="1049">
      <c r="A1049" t="inlineStr">
        <is>
          <t>crop3</t>
        </is>
      </c>
      <c r="B1049" t="inlineStr">
        <is>
          <t>5.11</t>
        </is>
      </c>
      <c r="C1049" t="inlineStr">
        <is>
          <t>Fava beans green</t>
        </is>
      </c>
      <c r="D1049" t="inlineStr">
        <is>
          <t>الفول الأخضر</t>
        </is>
      </c>
    </row>
    <row r="1050">
      <c r="A1050" t="inlineStr">
        <is>
          <t>crop3</t>
        </is>
      </c>
      <c r="B1050" t="inlineStr">
        <is>
          <t>5.2</t>
        </is>
      </c>
      <c r="C1050" t="inlineStr">
        <is>
          <t>Cucumber</t>
        </is>
      </c>
      <c r="D1050" t="inlineStr">
        <is>
          <t>الخيار</t>
        </is>
      </c>
    </row>
    <row r="1051">
      <c r="A1051" t="inlineStr">
        <is>
          <t>crop3</t>
        </is>
      </c>
      <c r="B1051" t="inlineStr">
        <is>
          <t>5.4</t>
        </is>
      </c>
      <c r="C1051" t="inlineStr">
        <is>
          <t>Eggplant/aubergine</t>
        </is>
      </c>
      <c r="D1051" t="inlineStr">
        <is>
          <t>الباذنجان</t>
        </is>
      </c>
    </row>
    <row r="1052">
      <c r="A1052" t="inlineStr">
        <is>
          <t>crop3</t>
        </is>
      </c>
      <c r="B1052" t="inlineStr">
        <is>
          <t>5.5</t>
        </is>
      </c>
      <c r="C1052" t="inlineStr">
        <is>
          <t>Zucchini</t>
        </is>
      </c>
      <c r="D1052" t="inlineStr">
        <is>
          <t>الكوسة</t>
        </is>
      </c>
    </row>
    <row r="1053">
      <c r="A1053" t="inlineStr">
        <is>
          <t>crop3</t>
        </is>
      </c>
      <c r="B1053" t="inlineStr">
        <is>
          <t>5.6</t>
        </is>
      </c>
      <c r="C1053" t="inlineStr">
        <is>
          <t>Okra</t>
        </is>
      </c>
      <c r="D1053" t="inlineStr">
        <is>
          <t>البامية</t>
        </is>
      </c>
    </row>
    <row r="1054">
      <c r="A1054" t="inlineStr">
        <is>
          <t>crop3</t>
        </is>
      </c>
      <c r="B1054" t="inlineStr">
        <is>
          <t>5.7</t>
        </is>
      </c>
      <c r="C1054" t="inlineStr">
        <is>
          <t>Bell pepper</t>
        </is>
      </c>
      <c r="D1054" t="inlineStr">
        <is>
          <t>الفلفل حلو</t>
        </is>
      </c>
    </row>
    <row r="1055">
      <c r="A1055" t="inlineStr">
        <is>
          <t>crop3</t>
        </is>
      </c>
      <c r="B1055" t="inlineStr">
        <is>
          <t>5.8</t>
        </is>
      </c>
      <c r="C1055" t="inlineStr">
        <is>
          <t>Onions</t>
        </is>
      </c>
      <c r="D1055" t="inlineStr">
        <is>
          <t>بصل</t>
        </is>
      </c>
    </row>
    <row r="1056">
      <c r="A1056" t="inlineStr">
        <is>
          <t>crop3</t>
        </is>
      </c>
      <c r="B1056" t="inlineStr">
        <is>
          <t>7.11</t>
        </is>
      </c>
      <c r="C1056" t="inlineStr">
        <is>
          <t>Grapes</t>
        </is>
      </c>
      <c r="D1056" t="inlineStr">
        <is>
          <t>العنب</t>
        </is>
      </c>
    </row>
    <row r="1057">
      <c r="A1057" t="inlineStr">
        <is>
          <t>crop3</t>
        </is>
      </c>
      <c r="B1057" t="inlineStr">
        <is>
          <t>7.12</t>
        </is>
      </c>
      <c r="C1057" t="inlineStr">
        <is>
          <t>Olives</t>
        </is>
      </c>
      <c r="D1057" t="inlineStr">
        <is>
          <t>الزيتون</t>
        </is>
      </c>
    </row>
    <row r="1058">
      <c r="A1058" t="inlineStr">
        <is>
          <t>crop3</t>
        </is>
      </c>
      <c r="B1058" t="inlineStr">
        <is>
          <t>7.15</t>
        </is>
      </c>
      <c r="C1058" t="inlineStr">
        <is>
          <t>Cherries</t>
        </is>
      </c>
      <c r="D1058" t="inlineStr">
        <is>
          <t>الكرز</t>
        </is>
      </c>
    </row>
    <row r="1059">
      <c r="A1059" t="inlineStr">
        <is>
          <t>crop3</t>
        </is>
      </c>
      <c r="B1059" t="inlineStr">
        <is>
          <t>7.8</t>
        </is>
      </c>
      <c r="C1059" t="inlineStr">
        <is>
          <t>Water Melon</t>
        </is>
      </c>
      <c r="D1059" t="inlineStr">
        <is>
          <t>البطيخ الأحمر</t>
        </is>
      </c>
    </row>
    <row r="1060">
      <c r="A1060" t="inlineStr">
        <is>
          <t>crop3</t>
        </is>
      </c>
      <c r="B1060" t="inlineStr">
        <is>
          <t>8.5</t>
        </is>
      </c>
      <c r="C1060" t="inlineStr">
        <is>
          <t>Sesame</t>
        </is>
      </c>
      <c r="D1060" t="inlineStr">
        <is>
          <t>السمسم</t>
        </is>
      </c>
    </row>
    <row r="1061">
      <c r="A1061" t="inlineStr">
        <is>
          <t>crop3</t>
        </is>
      </c>
      <c r="B1061" t="inlineStr">
        <is>
          <t>8.7</t>
        </is>
      </c>
      <c r="C1061" t="inlineStr">
        <is>
          <t>Almond</t>
        </is>
      </c>
      <c r="D1061" t="inlineStr">
        <is>
          <t>اللوز</t>
        </is>
      </c>
    </row>
    <row r="1062">
      <c r="A1062" t="inlineStr">
        <is>
          <t>crop3</t>
        </is>
      </c>
      <c r="B1062" t="inlineStr">
        <is>
          <t>1.1</t>
        </is>
      </c>
      <c r="C1062" t="inlineStr">
        <is>
          <t>Rice</t>
        </is>
      </c>
      <c r="D1062" t="inlineStr">
        <is>
          <t>الرز</t>
        </is>
      </c>
    </row>
    <row r="1063">
      <c r="A1063" t="inlineStr">
        <is>
          <t>crop3</t>
        </is>
      </c>
      <c r="B1063" t="inlineStr">
        <is>
          <t>1.3</t>
        </is>
      </c>
      <c r="C1063" t="inlineStr">
        <is>
          <t>Millet</t>
        </is>
      </c>
      <c r="D1063" t="inlineStr">
        <is>
          <t>الدخن</t>
        </is>
      </c>
    </row>
    <row r="1064">
      <c r="A1064" t="inlineStr">
        <is>
          <t>crop3</t>
        </is>
      </c>
      <c r="B1064" t="inlineStr">
        <is>
          <t>1.4</t>
        </is>
      </c>
      <c r="C1064" t="inlineStr">
        <is>
          <t>Sorghum</t>
        </is>
      </c>
      <c r="D1064" t="inlineStr">
        <is>
          <t>الذرة الرفيعة</t>
        </is>
      </c>
    </row>
    <row r="1065">
      <c r="A1065" t="inlineStr">
        <is>
          <t>crop3</t>
        </is>
      </c>
      <c r="B1065" t="inlineStr">
        <is>
          <t>1.99</t>
        </is>
      </c>
      <c r="C1065" t="inlineStr">
        <is>
          <t>Other Cereal</t>
        </is>
      </c>
      <c r="D1065" t="inlineStr">
        <is>
          <t>الحبوب الأخرى</t>
        </is>
      </c>
    </row>
    <row r="1066">
      <c r="A1066" t="inlineStr">
        <is>
          <t>crop3</t>
        </is>
      </c>
      <c r="B1066" t="inlineStr">
        <is>
          <t>2.1</t>
        </is>
      </c>
      <c r="C1066" t="inlineStr">
        <is>
          <t>Cassava</t>
        </is>
      </c>
      <c r="D1066" t="inlineStr">
        <is>
          <t>الكسافا</t>
        </is>
      </c>
    </row>
    <row r="1067">
      <c r="A1067" t="inlineStr">
        <is>
          <t>crop3</t>
        </is>
      </c>
      <c r="B1067" t="inlineStr">
        <is>
          <t>2.3</t>
        </is>
      </c>
      <c r="C1067" t="inlineStr">
        <is>
          <t>Sweet Potatoes</t>
        </is>
      </c>
      <c r="D1067" t="inlineStr">
        <is>
          <t>البطاطا الحلوة</t>
        </is>
      </c>
    </row>
    <row r="1068">
      <c r="A1068" t="inlineStr">
        <is>
          <t>crop3</t>
        </is>
      </c>
      <c r="B1068" t="inlineStr">
        <is>
          <t>2.4</t>
        </is>
      </c>
      <c r="C1068" t="inlineStr">
        <is>
          <t>Yams</t>
        </is>
      </c>
      <c r="D1068" t="inlineStr">
        <is>
          <t>اليام</t>
        </is>
      </c>
    </row>
    <row r="1069">
      <c r="A1069" t="inlineStr">
        <is>
          <t>crop3</t>
        </is>
      </c>
      <c r="B1069" t="inlineStr">
        <is>
          <t>2.5</t>
        </is>
      </c>
      <c r="C1069" t="inlineStr">
        <is>
          <t>Carrots</t>
        </is>
      </c>
      <c r="D1069" t="inlineStr">
        <is>
          <t>الجزر</t>
        </is>
      </c>
    </row>
    <row r="1070">
      <c r="A1070" t="inlineStr">
        <is>
          <t>crop3</t>
        </is>
      </c>
      <c r="B1070" t="inlineStr">
        <is>
          <t>2.6</t>
        </is>
      </c>
      <c r="C1070" t="inlineStr">
        <is>
          <t>Cocoyam</t>
        </is>
      </c>
      <c r="D1070" t="inlineStr">
        <is>
          <t>القلقاس</t>
        </is>
      </c>
    </row>
    <row r="1071">
      <c r="A1071" t="inlineStr">
        <is>
          <t>crop3</t>
        </is>
      </c>
      <c r="B1071" t="inlineStr">
        <is>
          <t>2.99</t>
        </is>
      </c>
      <c r="C1071" t="inlineStr">
        <is>
          <t>Other tubers</t>
        </is>
      </c>
      <c r="D1071" t="inlineStr">
        <is>
          <t>الدرنات الأخرى</t>
        </is>
      </c>
    </row>
    <row r="1072">
      <c r="A1072" t="inlineStr">
        <is>
          <t>crop3</t>
        </is>
      </c>
      <c r="B1072" t="inlineStr">
        <is>
          <t>3.7</t>
        </is>
      </c>
      <c r="C1072" t="inlineStr">
        <is>
          <t>Broad beans</t>
        </is>
      </c>
      <c r="D1072" t="inlineStr">
        <is>
          <t>الفاصوليا العريضة</t>
        </is>
      </c>
    </row>
    <row r="1073">
      <c r="A1073" t="inlineStr">
        <is>
          <t>crop3</t>
        </is>
      </c>
      <c r="B1073" t="inlineStr">
        <is>
          <t>3.99</t>
        </is>
      </c>
      <c r="C1073" t="inlineStr">
        <is>
          <t>Other pulses</t>
        </is>
      </c>
      <c r="D1073" t="inlineStr">
        <is>
          <t>البقول الاخرى</t>
        </is>
      </c>
    </row>
    <row r="1074">
      <c r="A1074" t="inlineStr">
        <is>
          <t>crop3</t>
        </is>
      </c>
      <c r="B1074" t="inlineStr">
        <is>
          <t>4.1</t>
        </is>
      </c>
      <c r="C1074" t="inlineStr">
        <is>
          <t>Cabbage</t>
        </is>
      </c>
      <c r="D1074" t="inlineStr">
        <is>
          <t>الملفوف</t>
        </is>
      </c>
    </row>
    <row r="1075">
      <c r="A1075" t="inlineStr">
        <is>
          <t>crop3</t>
        </is>
      </c>
      <c r="B1075" t="inlineStr">
        <is>
          <t>4.101</t>
        </is>
      </c>
      <c r="C1075" t="inlineStr">
        <is>
          <t>Cauliflower</t>
        </is>
      </c>
      <c r="D1075" t="inlineStr">
        <is>
          <t>القرنبيط</t>
        </is>
      </c>
    </row>
    <row r="1076">
      <c r="A1076" t="inlineStr">
        <is>
          <t>crop3</t>
        </is>
      </c>
      <c r="B1076" t="inlineStr">
        <is>
          <t>4.3</t>
        </is>
      </c>
      <c r="C1076" t="inlineStr">
        <is>
          <t>Spinach-Amaranth</t>
        </is>
      </c>
      <c r="D1076" t="inlineStr">
        <is>
          <t>السبانخ - القطيفة</t>
        </is>
      </c>
    </row>
    <row r="1077">
      <c r="A1077" t="inlineStr">
        <is>
          <t>crop3</t>
        </is>
      </c>
      <c r="B1077" t="inlineStr">
        <is>
          <t>4.4</t>
        </is>
      </c>
      <c r="C1077" t="inlineStr">
        <is>
          <t>Cassava leaves</t>
        </is>
      </c>
      <c r="D1077" t="inlineStr">
        <is>
          <t>أوراق الكسافا</t>
        </is>
      </c>
    </row>
    <row r="1078">
      <c r="A1078" t="inlineStr">
        <is>
          <t>crop3</t>
        </is>
      </c>
      <c r="B1078" t="inlineStr">
        <is>
          <t>4.5</t>
        </is>
      </c>
      <c r="C1078" t="inlineStr">
        <is>
          <t>Potatoe leaves</t>
        </is>
      </c>
      <c r="D1078" t="inlineStr">
        <is>
          <t>أوراق البطاطا</t>
        </is>
      </c>
    </row>
    <row r="1079">
      <c r="A1079" t="inlineStr">
        <is>
          <t>crop3</t>
        </is>
      </c>
      <c r="B1079" t="inlineStr">
        <is>
          <t>4.6</t>
        </is>
      </c>
      <c r="C1079" t="inlineStr">
        <is>
          <t>Moringa</t>
        </is>
      </c>
      <c r="D1079" t="inlineStr">
        <is>
          <t>المورينجا</t>
        </is>
      </c>
    </row>
    <row r="1080">
      <c r="A1080" t="inlineStr">
        <is>
          <t>crop3</t>
        </is>
      </c>
      <c r="B1080" t="inlineStr">
        <is>
          <t>4.7</t>
        </is>
      </c>
      <c r="C1080" t="inlineStr">
        <is>
          <t>Sorrel Hibiscus / Rosselle</t>
        </is>
      </c>
      <c r="D1080" t="inlineStr">
        <is>
          <t>الكركديه</t>
        </is>
      </c>
    </row>
    <row r="1081">
      <c r="A1081" t="inlineStr">
        <is>
          <t>crop3</t>
        </is>
      </c>
      <c r="B1081" t="inlineStr">
        <is>
          <t>4.99</t>
        </is>
      </c>
      <c r="C1081" t="inlineStr">
        <is>
          <t>Other leafy vegetables</t>
        </is>
      </c>
      <c r="D1081" t="inlineStr">
        <is>
          <t>الخضار الورقية الأخرى</t>
        </is>
      </c>
    </row>
    <row r="1082">
      <c r="A1082" t="inlineStr">
        <is>
          <t>crop3</t>
        </is>
      </c>
      <c r="B1082" t="inlineStr">
        <is>
          <t>5.3</t>
        </is>
      </c>
      <c r="C1082" t="inlineStr">
        <is>
          <t>Pumpkin</t>
        </is>
      </c>
      <c r="D1082" t="inlineStr">
        <is>
          <t>اليقطين</t>
        </is>
      </c>
    </row>
    <row r="1083">
      <c r="A1083" t="inlineStr">
        <is>
          <t>crop3</t>
        </is>
      </c>
      <c r="B1083" t="inlineStr">
        <is>
          <t>5.9</t>
        </is>
      </c>
      <c r="C1083" t="inlineStr">
        <is>
          <t>Haricot</t>
        </is>
      </c>
      <c r="D1083" t="inlineStr">
        <is>
          <t>اللوبياء</t>
        </is>
      </c>
    </row>
    <row r="1084">
      <c r="A1084" t="inlineStr">
        <is>
          <t>crop3</t>
        </is>
      </c>
      <c r="B1084" t="inlineStr">
        <is>
          <t>5.99</t>
        </is>
      </c>
      <c r="C1084" t="inlineStr">
        <is>
          <t>Other non leafy vegs</t>
        </is>
      </c>
      <c r="D1084" t="inlineStr">
        <is>
          <t>الخضار غير الورقية الأخرى</t>
        </is>
      </c>
    </row>
    <row r="1085">
      <c r="A1085" t="inlineStr">
        <is>
          <t>crop3</t>
        </is>
      </c>
      <c r="B1085" t="inlineStr">
        <is>
          <t>6.1</t>
        </is>
      </c>
      <c r="C1085" t="inlineStr">
        <is>
          <t>Orange</t>
        </is>
      </c>
      <c r="D1085" t="inlineStr">
        <is>
          <t>البرتقال</t>
        </is>
      </c>
    </row>
    <row r="1086">
      <c r="A1086" t="inlineStr">
        <is>
          <t>crop3</t>
        </is>
      </c>
      <c r="B1086" t="inlineStr">
        <is>
          <t>6.2</t>
        </is>
      </c>
      <c r="C1086" t="inlineStr">
        <is>
          <t>Lemon</t>
        </is>
      </c>
      <c r="D1086" t="inlineStr">
        <is>
          <t>الليمون</t>
        </is>
      </c>
    </row>
    <row r="1087">
      <c r="A1087" t="inlineStr">
        <is>
          <t>crop3</t>
        </is>
      </c>
      <c r="B1087" t="inlineStr">
        <is>
          <t>6.3</t>
        </is>
      </c>
      <c r="C1087" t="inlineStr">
        <is>
          <t>Grapefruit</t>
        </is>
      </c>
      <c r="D1087" t="inlineStr">
        <is>
          <t>الجريب فروت</t>
        </is>
      </c>
    </row>
    <row r="1088">
      <c r="A1088" t="inlineStr">
        <is>
          <t>crop3</t>
        </is>
      </c>
      <c r="B1088" t="inlineStr">
        <is>
          <t>6.4</t>
        </is>
      </c>
      <c r="C1088" t="inlineStr">
        <is>
          <t>Mandarins/clementines</t>
        </is>
      </c>
      <c r="D1088" t="inlineStr">
        <is>
          <t>اليوسفي / الكليمنتين</t>
        </is>
      </c>
    </row>
    <row r="1089">
      <c r="A1089" t="inlineStr">
        <is>
          <t>crop3</t>
        </is>
      </c>
      <c r="B1089" t="inlineStr">
        <is>
          <t>6.99</t>
        </is>
      </c>
      <c r="C1089" t="inlineStr">
        <is>
          <t>Other citrus fruit</t>
        </is>
      </c>
      <c r="D1089" t="inlineStr">
        <is>
          <t>الحمضيات الأخرى</t>
        </is>
      </c>
    </row>
    <row r="1090">
      <c r="A1090" t="inlineStr">
        <is>
          <t>crop3</t>
        </is>
      </c>
      <c r="B1090" t="inlineStr">
        <is>
          <t>7.1</t>
        </is>
      </c>
      <c r="C1090" t="inlineStr">
        <is>
          <t>Sweet Banana</t>
        </is>
      </c>
      <c r="D1090" t="inlineStr">
        <is>
          <t>الموز</t>
        </is>
      </c>
    </row>
    <row r="1091">
      <c r="A1091" t="inlineStr">
        <is>
          <t>crop3</t>
        </is>
      </c>
      <c r="B1091" t="inlineStr">
        <is>
          <t>7.101</t>
        </is>
      </c>
      <c r="C1091" t="inlineStr">
        <is>
          <t>Figs</t>
        </is>
      </c>
      <c r="D1091" t="inlineStr">
        <is>
          <t>التين</t>
        </is>
      </c>
    </row>
    <row r="1092">
      <c r="A1092" t="inlineStr">
        <is>
          <t>crop3</t>
        </is>
      </c>
      <c r="B1092" t="inlineStr">
        <is>
          <t>7.13</t>
        </is>
      </c>
      <c r="C1092" t="inlineStr">
        <is>
          <t>Apple</t>
        </is>
      </c>
      <c r="D1092" t="inlineStr">
        <is>
          <t>التفاح</t>
        </is>
      </c>
    </row>
    <row r="1093">
      <c r="A1093" t="inlineStr">
        <is>
          <t>crop3</t>
        </is>
      </c>
      <c r="B1093" t="inlineStr">
        <is>
          <t>7.14</t>
        </is>
      </c>
      <c r="C1093" t="inlineStr">
        <is>
          <t>Apricot</t>
        </is>
      </c>
      <c r="D1093" t="inlineStr">
        <is>
          <t>المشمش</t>
        </is>
      </c>
    </row>
    <row r="1094">
      <c r="A1094" t="inlineStr">
        <is>
          <t>crop3</t>
        </is>
      </c>
      <c r="B1094" t="inlineStr">
        <is>
          <t>7.16</t>
        </is>
      </c>
      <c r="C1094" t="inlineStr">
        <is>
          <t>Peach/nectarine</t>
        </is>
      </c>
      <c r="D1094" t="inlineStr">
        <is>
          <t>الدراق / النكتارين</t>
        </is>
      </c>
    </row>
    <row r="1095">
      <c r="A1095" t="inlineStr">
        <is>
          <t>crop3</t>
        </is>
      </c>
      <c r="B1095" t="inlineStr">
        <is>
          <t>7.17</t>
        </is>
      </c>
      <c r="C1095" t="inlineStr">
        <is>
          <t>Strawberries</t>
        </is>
      </c>
      <c r="D1095" t="inlineStr">
        <is>
          <t>الفراولة</t>
        </is>
      </c>
    </row>
    <row r="1096">
      <c r="A1096" t="inlineStr">
        <is>
          <t>crop3</t>
        </is>
      </c>
      <c r="B1096" t="inlineStr">
        <is>
          <t>7.18</t>
        </is>
      </c>
      <c r="C1096" t="inlineStr">
        <is>
          <t>Melon (Cantaloupe)</t>
        </is>
      </c>
      <c r="D1096" t="inlineStr">
        <is>
          <t>الشمام</t>
        </is>
      </c>
    </row>
    <row r="1097">
      <c r="A1097" t="inlineStr">
        <is>
          <t>crop3</t>
        </is>
      </c>
      <c r="B1097" t="inlineStr">
        <is>
          <t>7.2</t>
        </is>
      </c>
      <c r="C1097" t="inlineStr">
        <is>
          <t>Plantains</t>
        </is>
      </c>
      <c r="D1097" t="inlineStr">
        <is>
          <t>موز الجنة</t>
        </is>
      </c>
    </row>
    <row r="1098">
      <c r="A1098" t="inlineStr">
        <is>
          <t>crop3</t>
        </is>
      </c>
      <c r="B1098" t="inlineStr">
        <is>
          <t>7.3</t>
        </is>
      </c>
      <c r="C1098" t="inlineStr">
        <is>
          <t>Papaya</t>
        </is>
      </c>
      <c r="D1098" t="inlineStr">
        <is>
          <t>البابايا</t>
        </is>
      </c>
    </row>
    <row r="1099">
      <c r="A1099" t="inlineStr">
        <is>
          <t>crop3</t>
        </is>
      </c>
      <c r="B1099" t="inlineStr">
        <is>
          <t>7.4</t>
        </is>
      </c>
      <c r="C1099" t="inlineStr">
        <is>
          <t>Mango</t>
        </is>
      </c>
      <c r="D1099" t="inlineStr">
        <is>
          <t>المانجو</t>
        </is>
      </c>
    </row>
    <row r="1100">
      <c r="A1100" t="inlineStr">
        <is>
          <t>crop3</t>
        </is>
      </c>
      <c r="B1100" t="inlineStr">
        <is>
          <t>7.5</t>
        </is>
      </c>
      <c r="C1100" t="inlineStr">
        <is>
          <t>Guava</t>
        </is>
      </c>
      <c r="D1100" t="inlineStr">
        <is>
          <t>الجوافة</t>
        </is>
      </c>
    </row>
    <row r="1101">
      <c r="A1101" t="inlineStr">
        <is>
          <t>crop3</t>
        </is>
      </c>
      <c r="B1101" t="inlineStr">
        <is>
          <t>7.6</t>
        </is>
      </c>
      <c r="C1101" t="inlineStr">
        <is>
          <t>Pineapple</t>
        </is>
      </c>
      <c r="D1101" t="inlineStr">
        <is>
          <t>الأناناس</t>
        </is>
      </c>
    </row>
    <row r="1102">
      <c r="A1102" t="inlineStr">
        <is>
          <t>crop3</t>
        </is>
      </c>
      <c r="B1102" t="inlineStr">
        <is>
          <t>7.7</t>
        </is>
      </c>
      <c r="C1102" t="inlineStr">
        <is>
          <t>Avocado</t>
        </is>
      </c>
      <c r="D1102" t="inlineStr">
        <is>
          <t>الأفوكادو</t>
        </is>
      </c>
    </row>
    <row r="1103">
      <c r="A1103" t="inlineStr">
        <is>
          <t>crop3</t>
        </is>
      </c>
      <c r="B1103" t="inlineStr">
        <is>
          <t>7.9</t>
        </is>
      </c>
      <c r="C1103" t="inlineStr">
        <is>
          <t>Dates</t>
        </is>
      </c>
      <c r="D1103" t="inlineStr">
        <is>
          <t>التمر</t>
        </is>
      </c>
    </row>
    <row r="1104">
      <c r="A1104" t="inlineStr">
        <is>
          <t>crop3</t>
        </is>
      </c>
      <c r="B1104" t="inlineStr">
        <is>
          <t>7.99</t>
        </is>
      </c>
      <c r="C1104" t="inlineStr">
        <is>
          <t>Other fruit</t>
        </is>
      </c>
      <c r="D1104" t="inlineStr">
        <is>
          <t>الفواكه الأخرى</t>
        </is>
      </c>
    </row>
    <row r="1105">
      <c r="A1105" t="inlineStr">
        <is>
          <t>crop3</t>
        </is>
      </c>
      <c r="B1105" t="inlineStr">
        <is>
          <t>8.1</t>
        </is>
      </c>
      <c r="C1105" t="inlineStr">
        <is>
          <t>Coconuts</t>
        </is>
      </c>
      <c r="D1105" t="inlineStr">
        <is>
          <t>جوز الهند</t>
        </is>
      </c>
    </row>
    <row r="1106">
      <c r="A1106" t="inlineStr">
        <is>
          <t>crop3</t>
        </is>
      </c>
      <c r="B1106" t="inlineStr">
        <is>
          <t>8.2</t>
        </is>
      </c>
      <c r="C1106" t="inlineStr">
        <is>
          <t>Groundnut/peanut</t>
        </is>
      </c>
      <c r="D1106" t="inlineStr">
        <is>
          <t>الفول السوداني</t>
        </is>
      </c>
    </row>
    <row r="1107">
      <c r="A1107" t="inlineStr">
        <is>
          <t>crop3</t>
        </is>
      </c>
      <c r="B1107" t="inlineStr">
        <is>
          <t>8.3</t>
        </is>
      </c>
      <c r="C1107" t="inlineStr">
        <is>
          <t>Cashew Nut</t>
        </is>
      </c>
      <c r="D1107" t="inlineStr">
        <is>
          <t>الكاجو</t>
        </is>
      </c>
    </row>
    <row r="1108">
      <c r="A1108" t="inlineStr">
        <is>
          <t>crop3</t>
        </is>
      </c>
      <c r="B1108" t="inlineStr">
        <is>
          <t>8.4</t>
        </is>
      </c>
      <c r="C1108" t="inlineStr">
        <is>
          <t>Kola Nut</t>
        </is>
      </c>
      <c r="D1108" t="inlineStr">
        <is>
          <t>جوز الكولا</t>
        </is>
      </c>
    </row>
    <row r="1109">
      <c r="A1109" t="inlineStr">
        <is>
          <t>crop3</t>
        </is>
      </c>
      <c r="B1109" t="inlineStr">
        <is>
          <t>8.6</t>
        </is>
      </c>
      <c r="C1109" t="inlineStr">
        <is>
          <t>Bambara nut</t>
        </is>
      </c>
      <c r="D1109" t="inlineStr">
        <is>
          <t>جوز البامبارا</t>
        </is>
      </c>
    </row>
    <row r="1110">
      <c r="A1110" t="inlineStr">
        <is>
          <t>crop3</t>
        </is>
      </c>
      <c r="B1110" t="inlineStr">
        <is>
          <t>8.8</t>
        </is>
      </c>
      <c r="C1110" t="inlineStr">
        <is>
          <t>Walnut</t>
        </is>
      </c>
      <c r="D1110" t="inlineStr">
        <is>
          <t>الجوز</t>
        </is>
      </c>
    </row>
    <row r="1111">
      <c r="A1111" t="inlineStr">
        <is>
          <t>crop3</t>
        </is>
      </c>
      <c r="B1111" t="inlineStr">
        <is>
          <t>8.99</t>
        </is>
      </c>
      <c r="C1111" t="inlineStr">
        <is>
          <t>Other nuts</t>
        </is>
      </c>
      <c r="D1111" t="inlineStr">
        <is>
          <t>المكسرات الأخرى</t>
        </is>
      </c>
    </row>
    <row r="1112">
      <c r="A1112" t="inlineStr">
        <is>
          <t>crop3</t>
        </is>
      </c>
      <c r="B1112" t="inlineStr">
        <is>
          <t>9.1</t>
        </is>
      </c>
      <c r="C1112" t="inlineStr">
        <is>
          <t>Cocoa</t>
        </is>
      </c>
      <c r="D1112" t="inlineStr">
        <is>
          <t>الكاكاو</t>
        </is>
      </c>
    </row>
    <row r="1113">
      <c r="A1113" t="inlineStr">
        <is>
          <t>crop3</t>
        </is>
      </c>
      <c r="B1113" t="inlineStr">
        <is>
          <t>9.2</t>
        </is>
      </c>
      <c r="C1113" t="inlineStr">
        <is>
          <t>Coffee</t>
        </is>
      </c>
      <c r="D1113" t="inlineStr">
        <is>
          <t>القهوة</t>
        </is>
      </c>
    </row>
    <row r="1114">
      <c r="A1114" t="inlineStr">
        <is>
          <t>crop3</t>
        </is>
      </c>
      <c r="B1114" t="inlineStr">
        <is>
          <t>9.3</t>
        </is>
      </c>
      <c r="C1114" t="inlineStr">
        <is>
          <t>Tea</t>
        </is>
      </c>
      <c r="D1114" t="inlineStr">
        <is>
          <t>الشاي</t>
        </is>
      </c>
    </row>
    <row r="1115">
      <c r="A1115" t="inlineStr">
        <is>
          <t>crop3</t>
        </is>
      </c>
      <c r="B1115" t="inlineStr">
        <is>
          <t>9.4</t>
        </is>
      </c>
      <c r="C1115" t="inlineStr">
        <is>
          <t>Sugarcane</t>
        </is>
      </c>
      <c r="D1115" t="inlineStr">
        <is>
          <t>قصب السكر</t>
        </is>
      </c>
    </row>
    <row r="1116">
      <c r="A1116" t="inlineStr">
        <is>
          <t>crop3</t>
        </is>
      </c>
      <c r="B1116" t="inlineStr">
        <is>
          <t>9.5</t>
        </is>
      </c>
      <c r="C1116" t="inlineStr">
        <is>
          <t>Sunflower</t>
        </is>
      </c>
      <c r="D1116" t="inlineStr">
        <is>
          <t>دوار الشمس</t>
        </is>
      </c>
    </row>
    <row r="1117">
      <c r="A1117" t="inlineStr">
        <is>
          <t>crop3</t>
        </is>
      </c>
      <c r="B1117" t="inlineStr">
        <is>
          <t>9.99</t>
        </is>
      </c>
      <c r="C1117" t="inlineStr">
        <is>
          <t>Other food cash crop</t>
        </is>
      </c>
      <c r="D1117" t="inlineStr">
        <is>
          <t xml:space="preserve">المحاصيل الغذائية النقدية الأخرى </t>
        </is>
      </c>
    </row>
    <row r="1118">
      <c r="A1118" t="inlineStr">
        <is>
          <t>crop3</t>
        </is>
      </c>
      <c r="B1118" t="inlineStr">
        <is>
          <t>10.1</t>
        </is>
      </c>
      <c r="C1118" t="inlineStr">
        <is>
          <t>Cotton</t>
        </is>
      </c>
      <c r="D1118" t="inlineStr">
        <is>
          <t>القطن</t>
        </is>
      </c>
    </row>
    <row r="1119">
      <c r="A1119" t="inlineStr">
        <is>
          <t>crop3</t>
        </is>
      </c>
      <c r="B1119" t="inlineStr">
        <is>
          <t>10.2</t>
        </is>
      </c>
      <c r="C1119" t="inlineStr">
        <is>
          <t>Rubber</t>
        </is>
      </c>
      <c r="D1119" t="inlineStr">
        <is>
          <t>المطاط</t>
        </is>
      </c>
    </row>
    <row r="1120">
      <c r="A1120" t="inlineStr">
        <is>
          <t>crop3</t>
        </is>
      </c>
      <c r="B1120" t="inlineStr">
        <is>
          <t>10.3</t>
        </is>
      </c>
      <c r="C1120" t="inlineStr">
        <is>
          <t>Jute</t>
        </is>
      </c>
      <c r="D1120" t="inlineStr">
        <is>
          <t>الجوت</t>
        </is>
      </c>
    </row>
    <row r="1121">
      <c r="A1121" t="inlineStr">
        <is>
          <t>crop3</t>
        </is>
      </c>
      <c r="B1121" t="inlineStr">
        <is>
          <t>10.4</t>
        </is>
      </c>
      <c r="C1121" t="inlineStr">
        <is>
          <t>Fodder</t>
        </is>
      </c>
      <c r="D1121" t="inlineStr">
        <is>
          <t>العلف</t>
        </is>
      </c>
    </row>
    <row r="1122">
      <c r="A1122" t="inlineStr">
        <is>
          <t>crop3</t>
        </is>
      </c>
      <c r="B1122" t="inlineStr">
        <is>
          <t>10.5</t>
        </is>
      </c>
      <c r="C1122" t="inlineStr">
        <is>
          <t>Tobacco</t>
        </is>
      </c>
      <c r="D1122" t="inlineStr">
        <is>
          <t>التبغ</t>
        </is>
      </c>
    </row>
    <row r="1123">
      <c r="A1123" t="inlineStr">
        <is>
          <t>crop3</t>
        </is>
      </c>
      <c r="B1123" t="inlineStr">
        <is>
          <t>10.6</t>
        </is>
      </c>
      <c r="C1123" t="inlineStr">
        <is>
          <t>Qat</t>
        </is>
      </c>
      <c r="D1123" t="inlineStr">
        <is>
          <t>القات</t>
        </is>
      </c>
    </row>
    <row r="1124">
      <c r="A1124" t="inlineStr">
        <is>
          <t>crop3</t>
        </is>
      </c>
      <c r="B1124" t="inlineStr">
        <is>
          <t>10.99</t>
        </is>
      </c>
      <c r="C1124" t="inlineStr">
        <is>
          <t>Other non-food cash crop</t>
        </is>
      </c>
      <c r="D1124" t="inlineStr">
        <is>
          <t xml:space="preserve"> المحاصيل النقدية غير الغذائية الأخرى </t>
        </is>
      </c>
    </row>
    <row r="1125">
      <c r="A1125" t="inlineStr">
        <is>
          <t>crop3</t>
        </is>
      </c>
      <c r="B1125" t="inlineStr">
        <is>
          <t>888</t>
        </is>
      </c>
      <c r="C1125" t="inlineStr">
        <is>
          <t>Don't know</t>
        </is>
      </c>
      <c r="D1125" t="inlineStr">
        <is>
          <t>لا أعرف</t>
        </is>
      </c>
    </row>
    <row r="1126">
      <c r="A1126" t="inlineStr">
        <is>
          <t>crop3</t>
        </is>
      </c>
      <c r="B1126" t="inlineStr">
        <is>
          <t>999</t>
        </is>
      </c>
      <c r="C1126" t="inlineStr">
        <is>
          <t>Refused</t>
        </is>
      </c>
      <c r="D1126" t="inlineStr">
        <is>
          <t>رفض الإجابة</t>
        </is>
      </c>
    </row>
    <row r="1128" customFormat="1" s="8">
      <c r="A1128" s="200" t="inlineStr">
        <is>
          <t>admin1</t>
        </is>
      </c>
      <c r="B1128" s="200" t="inlineStr">
        <is>
          <t>SY02</t>
        </is>
      </c>
      <c r="C1128" s="200" t="inlineStr">
        <is>
          <t>Aleppo</t>
        </is>
      </c>
      <c r="D1128" s="200" t="inlineStr">
        <is>
          <t>حلب</t>
        </is>
      </c>
      <c r="E1128" s="4" t="n"/>
    </row>
    <row r="1129" customFormat="1" s="8">
      <c r="A1129" s="200" t="inlineStr">
        <is>
          <t>admin1</t>
        </is>
      </c>
      <c r="B1129" s="200" t="inlineStr">
        <is>
          <t>SY07</t>
        </is>
      </c>
      <c r="C1129" s="200" t="inlineStr">
        <is>
          <t>Idleb</t>
        </is>
      </c>
      <c r="D1129" s="200" t="inlineStr">
        <is>
          <t>إدلب</t>
        </is>
      </c>
      <c r="E1129" s="4" t="n"/>
    </row>
    <row r="1130" customFormat="1" s="8">
      <c r="A1130" s="200" t="n"/>
      <c r="B1130" s="200" t="n"/>
      <c r="C1130" s="200" t="n"/>
      <c r="D1130" s="200" t="n"/>
      <c r="E1130" s="4" t="n"/>
    </row>
    <row r="1131" customFormat="1" s="8">
      <c r="A1131" s="200" t="inlineStr">
        <is>
          <t>admin2</t>
        </is>
      </c>
      <c r="B1131" s="200" t="inlineStr">
        <is>
          <t>SY0200</t>
        </is>
      </c>
      <c r="C1131" s="8" t="inlineStr">
        <is>
          <t>Jebel Saman</t>
        </is>
      </c>
      <c r="D1131" s="200" t="inlineStr">
        <is>
          <t>جبل سمعان</t>
        </is>
      </c>
      <c r="E1131" s="5" t="n"/>
      <c r="F1131" s="200" t="inlineStr">
        <is>
          <t>SY02</t>
        </is>
      </c>
    </row>
    <row r="1132" customFormat="1" s="8">
      <c r="A1132" s="200" t="inlineStr">
        <is>
          <t>admin2</t>
        </is>
      </c>
      <c r="B1132" s="200" t="inlineStr">
        <is>
          <t>SY0202</t>
        </is>
      </c>
      <c r="C1132" s="200" t="inlineStr">
        <is>
          <t>Al Bab</t>
        </is>
      </c>
      <c r="D1132" s="200" t="inlineStr">
        <is>
          <t>الباب</t>
        </is>
      </c>
      <c r="E1132" s="5" t="n"/>
      <c r="F1132" s="200" t="inlineStr">
        <is>
          <t>SY02</t>
        </is>
      </c>
    </row>
    <row r="1133" customFormat="1" s="8">
      <c r="A1133" s="200" t="inlineStr">
        <is>
          <t>admin2</t>
        </is>
      </c>
      <c r="B1133" s="200" t="inlineStr">
        <is>
          <t>SY0203</t>
        </is>
      </c>
      <c r="C1133" s="200" t="inlineStr">
        <is>
          <t>Afrin</t>
        </is>
      </c>
      <c r="D1133" s="200" t="inlineStr">
        <is>
          <t>عفرين</t>
        </is>
      </c>
      <c r="E1133" s="5" t="n"/>
      <c r="F1133" s="200" t="inlineStr">
        <is>
          <t>SY02</t>
        </is>
      </c>
    </row>
    <row r="1134" customFormat="1" s="8">
      <c r="A1134" s="200" t="inlineStr">
        <is>
          <t>admin2</t>
        </is>
      </c>
      <c r="B1134" s="200" t="inlineStr">
        <is>
          <t>SY0204</t>
        </is>
      </c>
      <c r="C1134" s="200" t="inlineStr">
        <is>
          <t>Azaz</t>
        </is>
      </c>
      <c r="D1134" s="200" t="inlineStr">
        <is>
          <t>اعزاز</t>
        </is>
      </c>
      <c r="E1134" s="5" t="n"/>
      <c r="F1134" s="200" t="inlineStr">
        <is>
          <t>SY02</t>
        </is>
      </c>
    </row>
    <row r="1135" customFormat="1" s="8">
      <c r="A1135" s="200" t="inlineStr">
        <is>
          <t>admin2</t>
        </is>
      </c>
      <c r="B1135" s="200" t="inlineStr">
        <is>
          <t>SY0208</t>
        </is>
      </c>
      <c r="C1135" s="200" t="inlineStr">
        <is>
          <t>Jarablus</t>
        </is>
      </c>
      <c r="D1135" s="200" t="inlineStr">
        <is>
          <t>جرابلس</t>
        </is>
      </c>
      <c r="E1135" s="5" t="n"/>
      <c r="F1135" s="200" t="inlineStr">
        <is>
          <t>SY02</t>
        </is>
      </c>
    </row>
    <row r="1136" customFormat="1" s="8">
      <c r="A1136" s="200" t="inlineStr">
        <is>
          <t>admin2</t>
        </is>
      </c>
      <c r="B1136" s="200" t="inlineStr">
        <is>
          <t>SY0700</t>
        </is>
      </c>
      <c r="C1136" s="200" t="inlineStr">
        <is>
          <t>Idleb</t>
        </is>
      </c>
      <c r="D1136" s="200" t="inlineStr">
        <is>
          <t>مركز إدلب</t>
        </is>
      </c>
      <c r="E1136" s="5" t="n"/>
      <c r="F1136" s="200" t="inlineStr">
        <is>
          <t>SY07</t>
        </is>
      </c>
    </row>
    <row r="1137" customFormat="1" s="8">
      <c r="A1137" s="200" t="inlineStr">
        <is>
          <t>admin2</t>
        </is>
      </c>
      <c r="B1137" s="200" t="inlineStr">
        <is>
          <t>SY0703</t>
        </is>
      </c>
      <c r="C1137" s="200" t="inlineStr">
        <is>
          <t>Harim</t>
        </is>
      </c>
      <c r="D1137" s="200" t="inlineStr">
        <is>
          <t>حارم</t>
        </is>
      </c>
      <c r="E1137" s="5" t="n"/>
      <c r="F1137" s="200" t="inlineStr">
        <is>
          <t>SY07</t>
        </is>
      </c>
    </row>
    <row r="1138" customFormat="1" s="8">
      <c r="A1138" s="200" t="n"/>
      <c r="B1138" s="200" t="n"/>
      <c r="C1138" s="200" t="n"/>
      <c r="D1138" s="200" t="n"/>
      <c r="E1138" s="5" t="n"/>
    </row>
    <row r="1139" customFormat="1" s="8">
      <c r="A1139" s="200" t="inlineStr">
        <is>
          <t>admin3</t>
        </is>
      </c>
      <c r="B1139" s="200" t="inlineStr">
        <is>
          <t>SY020001</t>
        </is>
      </c>
      <c r="C1139" s="200" t="inlineStr">
        <is>
          <t>Atareb</t>
        </is>
      </c>
      <c r="D1139" s="200" t="inlineStr">
        <is>
          <t>أتارب</t>
        </is>
      </c>
      <c r="E1139" s="5" t="n"/>
      <c r="F1139" s="200" t="inlineStr">
        <is>
          <t>SY0200</t>
        </is>
      </c>
    </row>
    <row r="1140" customFormat="1" s="8">
      <c r="A1140" s="200" t="inlineStr">
        <is>
          <t>admin3</t>
        </is>
      </c>
      <c r="B1140" s="200" t="inlineStr">
        <is>
          <t>SY020200</t>
        </is>
      </c>
      <c r="C1140" s="200" t="inlineStr">
        <is>
          <t>Al Bab</t>
        </is>
      </c>
      <c r="D1140" s="200" t="inlineStr">
        <is>
          <t>مركز الباب</t>
        </is>
      </c>
      <c r="E1140" s="5" t="n"/>
      <c r="F1140" s="200" t="inlineStr">
        <is>
          <t>SY0202</t>
        </is>
      </c>
    </row>
    <row r="1141" customFormat="1" s="8">
      <c r="A1141" s="200" t="inlineStr">
        <is>
          <t>admin3</t>
        </is>
      </c>
      <c r="B1141" s="200" t="inlineStr">
        <is>
          <t>SY020203</t>
        </is>
      </c>
      <c r="C1141" s="200" t="inlineStr">
        <is>
          <t>Ar-Ra'ee</t>
        </is>
      </c>
      <c r="D1141" s="200" t="inlineStr">
        <is>
          <t>الراعي</t>
        </is>
      </c>
      <c r="E1141" s="5" t="n"/>
      <c r="F1141" s="200" t="inlineStr">
        <is>
          <t>SY0202</t>
        </is>
      </c>
    </row>
    <row r="1142" customFormat="1" s="8">
      <c r="A1142" s="200" t="inlineStr">
        <is>
          <t>admin3</t>
        </is>
      </c>
      <c r="B1142" s="200" t="inlineStr">
        <is>
          <t>SY020300</t>
        </is>
      </c>
      <c r="C1142" s="200" t="inlineStr">
        <is>
          <t>Afrin</t>
        </is>
      </c>
      <c r="D1142" s="200" t="inlineStr">
        <is>
          <t>مركز عفرين</t>
        </is>
      </c>
      <c r="E1142" s="5" t="n"/>
      <c r="F1142" s="200" t="inlineStr">
        <is>
          <t>SY0203</t>
        </is>
      </c>
    </row>
    <row r="1143" customFormat="1" s="8">
      <c r="A1143" s="200" t="inlineStr">
        <is>
          <t>admin3</t>
        </is>
      </c>
      <c r="B1143" s="200" t="inlineStr">
        <is>
          <t>SY020301</t>
        </is>
      </c>
      <c r="C1143" s="200" t="inlineStr">
        <is>
          <t>Bulbul</t>
        </is>
      </c>
      <c r="D1143" s="200" t="inlineStr">
        <is>
          <t>بلبل</t>
        </is>
      </c>
      <c r="E1143" s="5" t="n"/>
      <c r="F1143" s="200" t="inlineStr">
        <is>
          <t>SY0203</t>
        </is>
      </c>
    </row>
    <row r="1144" customFormat="1" s="8">
      <c r="A1144" s="200" t="inlineStr">
        <is>
          <t>admin3</t>
        </is>
      </c>
      <c r="B1144" s="200" t="inlineStr">
        <is>
          <t>SY020302</t>
        </is>
      </c>
      <c r="C1144" s="200" t="inlineStr">
        <is>
          <t>Jandairis</t>
        </is>
      </c>
      <c r="D1144" s="200" t="inlineStr">
        <is>
          <t>جنديرس</t>
        </is>
      </c>
      <c r="E1144" s="5" t="n"/>
      <c r="F1144" s="200" t="inlineStr">
        <is>
          <t>SY0203</t>
        </is>
      </c>
    </row>
    <row r="1145" customFormat="1" s="8">
      <c r="A1145" s="200" t="inlineStr">
        <is>
          <t>admin3</t>
        </is>
      </c>
      <c r="B1145" s="200" t="inlineStr">
        <is>
          <t>SY020303</t>
        </is>
      </c>
      <c r="C1145" s="200" t="inlineStr">
        <is>
          <t>Raju</t>
        </is>
      </c>
      <c r="D1145" s="200" t="inlineStr">
        <is>
          <t>راجو</t>
        </is>
      </c>
      <c r="E1145" s="5" t="n"/>
      <c r="F1145" s="200" t="inlineStr">
        <is>
          <t>SY0203</t>
        </is>
      </c>
    </row>
    <row r="1146" customFormat="1" s="8">
      <c r="A1146" s="200" t="inlineStr">
        <is>
          <t>admin3</t>
        </is>
      </c>
      <c r="B1146" s="200" t="inlineStr">
        <is>
          <t>SY020305</t>
        </is>
      </c>
      <c r="C1146" s="200" t="inlineStr">
        <is>
          <t>Sheikh El-Hadid</t>
        </is>
      </c>
      <c r="D1146" s="200" t="inlineStr">
        <is>
          <t>شيخ الحديد</t>
        </is>
      </c>
      <c r="E1146" s="5" t="n"/>
      <c r="F1146" s="200" t="inlineStr">
        <is>
          <t>SY0203</t>
        </is>
      </c>
    </row>
    <row r="1147" customFormat="1" s="8">
      <c r="A1147" s="200" t="inlineStr">
        <is>
          <t>admin3</t>
        </is>
      </c>
      <c r="B1147" s="200" t="inlineStr">
        <is>
          <t>SY020306</t>
        </is>
      </c>
      <c r="C1147" s="200" t="inlineStr">
        <is>
          <t>Ma'btali</t>
        </is>
      </c>
      <c r="D1147" s="200" t="inlineStr">
        <is>
          <t>معبطلي</t>
        </is>
      </c>
      <c r="E1147" s="5" t="n"/>
      <c r="F1147" s="200" t="inlineStr">
        <is>
          <t>SY0203</t>
        </is>
      </c>
    </row>
    <row r="1148" customFormat="1" s="8">
      <c r="A1148" s="200" t="inlineStr">
        <is>
          <t>admin3</t>
        </is>
      </c>
      <c r="B1148" s="200" t="inlineStr">
        <is>
          <t>SY020401</t>
        </is>
      </c>
      <c r="C1148" s="200" t="inlineStr">
        <is>
          <t>Aghtrin</t>
        </is>
      </c>
      <c r="D1148" s="200" t="inlineStr">
        <is>
          <t>اخترين</t>
        </is>
      </c>
      <c r="E1148" s="5" t="n"/>
      <c r="F1148" s="200" t="inlineStr">
        <is>
          <t>SY0204</t>
        </is>
      </c>
    </row>
    <row r="1149" customFormat="1" s="8">
      <c r="A1149" s="200" t="inlineStr">
        <is>
          <t>admin3</t>
        </is>
      </c>
      <c r="B1149" s="200" t="inlineStr">
        <is>
          <t>SY020403</t>
        </is>
      </c>
      <c r="C1149" s="200" t="inlineStr">
        <is>
          <t>Mare'</t>
        </is>
      </c>
      <c r="D1149" s="200" t="inlineStr">
        <is>
          <t>مارع</t>
        </is>
      </c>
      <c r="E1149" s="5" t="n"/>
      <c r="F1149" s="200" t="inlineStr">
        <is>
          <t>SY0204</t>
        </is>
      </c>
    </row>
    <row r="1150" customFormat="1" s="8">
      <c r="A1150" s="200" t="inlineStr">
        <is>
          <t>admin3</t>
        </is>
      </c>
      <c r="B1150" s="200" t="inlineStr">
        <is>
          <t>SY020405</t>
        </is>
      </c>
      <c r="C1150" s="200" t="inlineStr">
        <is>
          <t>Suran</t>
        </is>
      </c>
      <c r="D1150" s="200" t="inlineStr">
        <is>
          <t>صوران</t>
        </is>
      </c>
      <c r="E1150" s="5" t="n"/>
      <c r="F1150" s="200" t="inlineStr">
        <is>
          <t>SY0204</t>
        </is>
      </c>
    </row>
    <row r="1151" customFormat="1" s="8">
      <c r="A1151" s="200" t="inlineStr">
        <is>
          <t>admin3</t>
        </is>
      </c>
      <c r="B1151" s="200" t="inlineStr">
        <is>
          <t>SY020800</t>
        </is>
      </c>
      <c r="C1151" s="200" t="inlineStr">
        <is>
          <t>Jarablus</t>
        </is>
      </c>
      <c r="D1151" s="200" t="inlineStr">
        <is>
          <t>مركز جرابلس</t>
        </is>
      </c>
      <c r="E1151" s="5" t="n"/>
      <c r="F1151" s="200" t="inlineStr">
        <is>
          <t>SY0208</t>
        </is>
      </c>
    </row>
    <row r="1152" customFormat="1" s="8">
      <c r="A1152" s="200" t="inlineStr">
        <is>
          <t>admin3</t>
        </is>
      </c>
      <c r="B1152" s="200" t="inlineStr">
        <is>
          <t>SY070000</t>
        </is>
      </c>
      <c r="C1152" s="200" t="inlineStr">
        <is>
          <t>Idleb</t>
        </is>
      </c>
      <c r="D1152" s="200" t="inlineStr">
        <is>
          <t>مركز إدلب</t>
        </is>
      </c>
      <c r="E1152" s="5" t="n"/>
      <c r="F1152" s="200" t="inlineStr">
        <is>
          <t>SY0700</t>
        </is>
      </c>
    </row>
    <row r="1153" customFormat="1" s="8">
      <c r="A1153" s="200" t="inlineStr">
        <is>
          <t>admin3</t>
        </is>
      </c>
      <c r="B1153" s="200" t="inlineStr">
        <is>
          <t>SY070300</t>
        </is>
      </c>
      <c r="C1153" s="200" t="inlineStr">
        <is>
          <t>Harim</t>
        </is>
      </c>
      <c r="D1153" s="200" t="inlineStr">
        <is>
          <t>مركز حارم</t>
        </is>
      </c>
      <c r="E1153" s="5" t="n"/>
      <c r="F1153" s="200" t="inlineStr">
        <is>
          <t>SY0703</t>
        </is>
      </c>
    </row>
    <row r="1154" customFormat="1" s="8">
      <c r="A1154" s="200" t="inlineStr">
        <is>
          <t>admin3</t>
        </is>
      </c>
      <c r="B1154" s="200" t="inlineStr">
        <is>
          <t>SY070301</t>
        </is>
      </c>
      <c r="C1154" s="200" t="inlineStr">
        <is>
          <t>Dana</t>
        </is>
      </c>
      <c r="D1154" s="200" t="inlineStr">
        <is>
          <t>دانا</t>
        </is>
      </c>
      <c r="E1154" s="5" t="n"/>
      <c r="F1154" s="200" t="inlineStr">
        <is>
          <t>SY0703</t>
        </is>
      </c>
    </row>
    <row r="1155" customFormat="1" s="8">
      <c r="A1155" s="200" t="inlineStr">
        <is>
          <t>admin3</t>
        </is>
      </c>
      <c r="B1155" s="200" t="inlineStr">
        <is>
          <t>SY070302</t>
        </is>
      </c>
      <c r="C1155" s="200" t="inlineStr">
        <is>
          <t>Salqin</t>
        </is>
      </c>
      <c r="D1155" s="200" t="inlineStr">
        <is>
          <t>سلقين</t>
        </is>
      </c>
      <c r="E1155" s="5" t="n"/>
      <c r="F1155" s="200" t="inlineStr">
        <is>
          <t>SY0703</t>
        </is>
      </c>
    </row>
    <row r="1156" customFormat="1" s="8">
      <c r="A1156" s="200" t="n"/>
      <c r="B1156" s="200" t="n"/>
      <c r="C1156" s="200" t="n"/>
      <c r="D1156" s="200" t="n"/>
      <c r="E1156" s="5" t="n"/>
    </row>
    <row r="1157" customFormat="1" s="8">
      <c r="A1157" s="200" t="inlineStr">
        <is>
          <t>admin4</t>
        </is>
      </c>
      <c r="B1157" s="200" t="inlineStr">
        <is>
          <t>C1020</t>
        </is>
      </c>
      <c r="C1157" s="200" t="inlineStr">
        <is>
          <t>Tuwama</t>
        </is>
      </c>
      <c r="D1157" s="200" t="inlineStr">
        <is>
          <t>التوامة</t>
        </is>
      </c>
      <c r="E1157" s="5" t="n"/>
      <c r="F1157" s="200" t="inlineStr">
        <is>
          <t>SY020001</t>
        </is>
      </c>
    </row>
    <row r="1158" customFormat="1" s="8">
      <c r="A1158" s="200" t="inlineStr">
        <is>
          <t>admin4</t>
        </is>
      </c>
      <c r="B1158" s="200" t="inlineStr">
        <is>
          <t>C1022</t>
        </is>
      </c>
      <c r="C1158" s="200" t="inlineStr">
        <is>
          <t>Atareb</t>
        </is>
      </c>
      <c r="D1158" s="200" t="inlineStr">
        <is>
          <t>الأتارب</t>
        </is>
      </c>
      <c r="E1158" s="5" t="n"/>
      <c r="F1158" s="200" t="inlineStr">
        <is>
          <t>SY020001</t>
        </is>
      </c>
    </row>
    <row r="1159" customFormat="1" s="8">
      <c r="A1159" s="200" t="inlineStr">
        <is>
          <t>admin4</t>
        </is>
      </c>
      <c r="B1159" s="200" t="inlineStr">
        <is>
          <t>C1023</t>
        </is>
      </c>
      <c r="C1159" s="200" t="inlineStr">
        <is>
          <t>Sahara</t>
        </is>
      </c>
      <c r="D1159" s="200" t="inlineStr">
        <is>
          <t>السحارة</t>
        </is>
      </c>
      <c r="E1159" s="5" t="n"/>
      <c r="F1159" s="200" t="inlineStr">
        <is>
          <t>SY020001</t>
        </is>
      </c>
    </row>
    <row r="1160" customFormat="1" s="8">
      <c r="A1160" s="200" t="inlineStr">
        <is>
          <t>admin4</t>
        </is>
      </c>
      <c r="B1160" s="200" t="inlineStr">
        <is>
          <t>C1024</t>
        </is>
      </c>
      <c r="C1160" s="200" t="inlineStr">
        <is>
          <t>Oweijel</t>
        </is>
      </c>
      <c r="D1160" s="200" t="inlineStr">
        <is>
          <t>عويجل</t>
        </is>
      </c>
      <c r="E1160" s="5" t="n"/>
      <c r="F1160" s="200" t="inlineStr">
        <is>
          <t>SY020001</t>
        </is>
      </c>
    </row>
    <row r="1161" customFormat="1" s="8">
      <c r="A1161" s="200" t="inlineStr">
        <is>
          <t>admin4</t>
        </is>
      </c>
      <c r="B1161" s="200" t="inlineStr">
        <is>
          <t>C1025</t>
        </is>
      </c>
      <c r="C1161" s="200" t="inlineStr">
        <is>
          <t>Batbu</t>
        </is>
      </c>
      <c r="D1161" s="200" t="inlineStr">
        <is>
          <t>باتبو</t>
        </is>
      </c>
      <c r="E1161" s="5" t="n"/>
      <c r="F1161" s="200" t="inlineStr">
        <is>
          <t>SY020001</t>
        </is>
      </c>
    </row>
    <row r="1162" customFormat="1" s="8">
      <c r="A1162" s="200" t="inlineStr">
        <is>
          <t>admin4</t>
        </is>
      </c>
      <c r="B1162" s="200" t="inlineStr">
        <is>
          <t>C1026</t>
        </is>
      </c>
      <c r="C1162" s="200" t="inlineStr">
        <is>
          <t>Abin Samaan</t>
        </is>
      </c>
      <c r="D1162" s="200" t="inlineStr">
        <is>
          <t>ابين سمعان</t>
        </is>
      </c>
      <c r="E1162" s="5" t="n"/>
      <c r="F1162" s="200" t="inlineStr">
        <is>
          <t>SY020001</t>
        </is>
      </c>
    </row>
    <row r="1163" customFormat="1" s="8">
      <c r="A1163" s="200" t="inlineStr">
        <is>
          <t>admin4</t>
        </is>
      </c>
      <c r="B1163" s="200" t="inlineStr">
        <is>
          <t>C1027</t>
        </is>
      </c>
      <c r="C1163" s="200" t="inlineStr">
        <is>
          <t>Little Orm</t>
        </is>
      </c>
      <c r="D1163" s="200" t="inlineStr">
        <is>
          <t>أورم الصغرى</t>
        </is>
      </c>
      <c r="E1163" s="5" t="n"/>
      <c r="F1163" s="200" t="inlineStr">
        <is>
          <t>SY020001</t>
        </is>
      </c>
    </row>
    <row r="1164" customFormat="1" s="8">
      <c r="A1164" s="200" t="inlineStr">
        <is>
          <t>admin4</t>
        </is>
      </c>
      <c r="B1164" s="200" t="inlineStr">
        <is>
          <t>C1029</t>
        </is>
      </c>
      <c r="C1164" s="200" t="inlineStr">
        <is>
          <t>Big Orm</t>
        </is>
      </c>
      <c r="D1164" s="200" t="inlineStr">
        <is>
          <t>أورم الكبرى</t>
        </is>
      </c>
      <c r="E1164" s="5" t="n"/>
      <c r="F1164" s="200" t="inlineStr">
        <is>
          <t>SY020001</t>
        </is>
      </c>
    </row>
    <row r="1165" customFormat="1" s="8">
      <c r="A1165" s="200" t="inlineStr">
        <is>
          <t>admin4</t>
        </is>
      </c>
      <c r="B1165" s="200" t="inlineStr">
        <is>
          <t>C1031</t>
        </is>
      </c>
      <c r="C1165" s="200" t="inlineStr">
        <is>
          <t>Sheikh Ali</t>
        </is>
      </c>
      <c r="D1165" s="200" t="inlineStr">
        <is>
          <t>الشيخ علي</t>
        </is>
      </c>
      <c r="E1165" s="5" t="n"/>
      <c r="F1165" s="200" t="inlineStr">
        <is>
          <t>SY020001</t>
        </is>
      </c>
    </row>
    <row r="1166" customFormat="1" s="8">
      <c r="A1166" s="200" t="inlineStr">
        <is>
          <t>admin4</t>
        </is>
      </c>
      <c r="B1166" s="200" t="inlineStr">
        <is>
          <t>C1033</t>
        </is>
      </c>
      <c r="C1166" s="200" t="inlineStr">
        <is>
          <t>Kafr Amma</t>
        </is>
      </c>
      <c r="D1166" s="200" t="inlineStr">
        <is>
          <t>كفر عمة</t>
        </is>
      </c>
      <c r="E1166" s="5" t="n"/>
      <c r="F1166" s="200" t="inlineStr">
        <is>
          <t>SY020001</t>
        </is>
      </c>
    </row>
    <row r="1167" customFormat="1" s="8">
      <c r="A1167" s="200" t="inlineStr">
        <is>
          <t>admin4</t>
        </is>
      </c>
      <c r="B1167" s="200" t="inlineStr">
        <is>
          <t>C1035</t>
        </is>
      </c>
      <c r="C1167" s="200" t="inlineStr">
        <is>
          <t>Kafr Karmin</t>
        </is>
      </c>
      <c r="D1167" s="200" t="inlineStr">
        <is>
          <t>كفر كرمين</t>
        </is>
      </c>
      <c r="E1167" s="5" t="n"/>
      <c r="F1167" s="200" t="inlineStr">
        <is>
          <t>SY020001</t>
        </is>
      </c>
    </row>
    <row r="1168" customFormat="1" s="8">
      <c r="A1168" s="200" t="inlineStr">
        <is>
          <t>admin4</t>
        </is>
      </c>
      <c r="B1168" s="200" t="inlineStr">
        <is>
          <t>C1037</t>
        </is>
      </c>
      <c r="C1168" s="200" t="inlineStr">
        <is>
          <t>Kafr Taal</t>
        </is>
      </c>
      <c r="D1168" s="200" t="inlineStr">
        <is>
          <t>كفر تعال</t>
        </is>
      </c>
      <c r="E1168" s="5" t="n"/>
      <c r="F1168" s="200" t="inlineStr">
        <is>
          <t>SY020001</t>
        </is>
      </c>
    </row>
    <row r="1169" customFormat="1" s="8">
      <c r="A1169" s="200" t="inlineStr">
        <is>
          <t>admin4</t>
        </is>
      </c>
      <c r="B1169" s="200" t="inlineStr">
        <is>
          <t>C1038</t>
        </is>
      </c>
      <c r="C1169" s="200" t="inlineStr">
        <is>
          <t>Maaret Atarib</t>
        </is>
      </c>
      <c r="D1169" s="200" t="inlineStr">
        <is>
          <t>معارة اتارب</t>
        </is>
      </c>
      <c r="E1169" s="5" t="n"/>
      <c r="F1169" s="200" t="inlineStr">
        <is>
          <t>SY020001</t>
        </is>
      </c>
    </row>
    <row r="1170" customFormat="1" s="8">
      <c r="A1170" s="200" t="inlineStr">
        <is>
          <t>admin4</t>
        </is>
      </c>
      <c r="B1170" s="200" t="inlineStr">
        <is>
          <t>C1039</t>
        </is>
      </c>
      <c r="C1170" s="200" t="inlineStr">
        <is>
          <t>Kafr Aleppo</t>
        </is>
      </c>
      <c r="D1170" s="200" t="inlineStr">
        <is>
          <t>كفر حلب</t>
        </is>
      </c>
      <c r="E1170" s="5" t="n"/>
      <c r="F1170" s="200" t="inlineStr">
        <is>
          <t>SY020001</t>
        </is>
      </c>
    </row>
    <row r="1171" customFormat="1" s="8">
      <c r="A1171" s="200" t="inlineStr">
        <is>
          <t>admin4</t>
        </is>
      </c>
      <c r="B1171" s="200" t="inlineStr">
        <is>
          <t>C1040</t>
        </is>
      </c>
      <c r="C1171" s="200" t="inlineStr">
        <is>
          <t>Western Kafr Jum</t>
        </is>
      </c>
      <c r="D1171" s="200" t="inlineStr">
        <is>
          <t>كفر جوم غربية</t>
        </is>
      </c>
      <c r="E1171" s="5" t="n"/>
      <c r="F1171" s="200" t="inlineStr">
        <is>
          <t>SY020001</t>
        </is>
      </c>
    </row>
    <row r="1172" customFormat="1" s="8">
      <c r="A1172" s="200" t="inlineStr">
        <is>
          <t>admin4</t>
        </is>
      </c>
      <c r="B1172" s="200" t="inlineStr">
        <is>
          <t>C6424</t>
        </is>
      </c>
      <c r="C1172" s="200" t="inlineStr">
        <is>
          <t>Halazon</t>
        </is>
      </c>
      <c r="D1172" s="200" t="inlineStr">
        <is>
          <t>الحلزون</t>
        </is>
      </c>
      <c r="E1172" s="5" t="n"/>
      <c r="F1172" s="200" t="inlineStr">
        <is>
          <t>SY020001</t>
        </is>
      </c>
    </row>
    <row r="1173" customFormat="1" s="8">
      <c r="A1173" s="200" t="inlineStr">
        <is>
          <t>admin4</t>
        </is>
      </c>
      <c r="B1173" s="200" t="inlineStr">
        <is>
          <t>C6679</t>
        </is>
      </c>
      <c r="C1173" s="200" t="inlineStr">
        <is>
          <t>Mezanaz</t>
        </is>
      </c>
      <c r="D1173" s="200" t="inlineStr">
        <is>
          <t>ميزناز</t>
        </is>
      </c>
      <c r="E1173" s="5" t="n"/>
      <c r="F1173" s="200" t="inlineStr">
        <is>
          <t>SY020001</t>
        </is>
      </c>
    </row>
    <row r="1174" customFormat="1" s="8">
      <c r="A1174" s="200" t="inlineStr">
        <is>
          <t>admin4</t>
        </is>
      </c>
      <c r="B1174" s="200" t="inlineStr">
        <is>
          <t>C7348</t>
        </is>
      </c>
      <c r="C1174" s="200" t="inlineStr">
        <is>
          <t>Al Radwan</t>
        </is>
      </c>
      <c r="D1174" s="200" t="inlineStr">
        <is>
          <t>الرضوان</t>
        </is>
      </c>
      <c r="E1174" s="5" t="n"/>
      <c r="F1174" s="200" t="inlineStr">
        <is>
          <t>SY020001</t>
        </is>
      </c>
    </row>
    <row r="1175" customFormat="1" s="8">
      <c r="A1175" s="200" t="inlineStr">
        <is>
          <t>admin4</t>
        </is>
      </c>
      <c r="B1175" s="200" t="inlineStr">
        <is>
          <t>C7359</t>
        </is>
      </c>
      <c r="C1175" s="200" t="inlineStr">
        <is>
          <t>Jamiyat al Rahal</t>
        </is>
      </c>
      <c r="D1175" s="200" t="inlineStr">
        <is>
          <t>جمعية الرحال</t>
        </is>
      </c>
      <c r="E1175" s="5" t="n"/>
      <c r="F1175" s="200" t="inlineStr">
        <is>
          <t>SY020001</t>
        </is>
      </c>
    </row>
    <row r="1176" customFormat="1" s="8">
      <c r="A1176" s="200" t="inlineStr">
        <is>
          <t>admin4</t>
        </is>
      </c>
      <c r="B1176" s="200" t="inlineStr">
        <is>
          <t>C8065</t>
        </is>
      </c>
      <c r="C1176" s="200" t="inlineStr">
        <is>
          <t>Jameyt Al-Arman</t>
        </is>
      </c>
      <c r="D1176" s="200" t="inlineStr">
        <is>
          <t>جمعية الأرمن</t>
        </is>
      </c>
      <c r="E1176" s="5" t="n"/>
      <c r="F1176" s="200" t="inlineStr">
        <is>
          <t>SY020001</t>
        </is>
      </c>
    </row>
    <row r="1177" customFormat="1" s="8">
      <c r="A1177" s="200" t="inlineStr">
        <is>
          <t>admin4</t>
        </is>
      </c>
      <c r="B1177" s="200" t="inlineStr">
        <is>
          <t>C1041</t>
        </is>
      </c>
      <c r="C1177" s="200" t="inlineStr">
        <is>
          <t>Kafr Noran</t>
        </is>
      </c>
      <c r="D1177" s="200" t="inlineStr">
        <is>
          <t>كفر نوران</t>
        </is>
      </c>
      <c r="E1177" s="5" t="n"/>
      <c r="F1177" s="200" t="inlineStr">
        <is>
          <t>SY020001</t>
        </is>
      </c>
    </row>
    <row r="1178" customFormat="1" s="8">
      <c r="A1178" s="200" t="inlineStr">
        <is>
          <t>admin4</t>
        </is>
      </c>
      <c r="B1178" s="200" t="inlineStr">
        <is>
          <t>C1036</t>
        </is>
      </c>
      <c r="C1178" s="200" t="inlineStr">
        <is>
          <t>Kafr Naseh Elatareb</t>
        </is>
      </c>
      <c r="D1178" s="200" t="inlineStr">
        <is>
          <t>كفر ناصح الاتارب</t>
        </is>
      </c>
      <c r="E1178" s="5" t="n"/>
      <c r="F1178" s="200" t="inlineStr">
        <is>
          <t>SY020001</t>
        </is>
      </c>
    </row>
    <row r="1179" customFormat="1" s="8">
      <c r="A1179" s="200" t="inlineStr">
        <is>
          <t>admin4</t>
        </is>
      </c>
      <c r="B1179" s="200" t="inlineStr">
        <is>
          <t>C1028</t>
        </is>
      </c>
      <c r="C1179" s="200" t="inlineStr">
        <is>
          <t>Tadil</t>
        </is>
      </c>
      <c r="D1179" s="200" t="inlineStr">
        <is>
          <t>تديل</t>
        </is>
      </c>
      <c r="E1179" s="5" t="n"/>
      <c r="F1179" s="200" t="inlineStr">
        <is>
          <t>SY020001</t>
        </is>
      </c>
    </row>
    <row r="1180" customFormat="1" s="8">
      <c r="A1180" s="200" t="inlineStr">
        <is>
          <t>admin4</t>
        </is>
      </c>
      <c r="B1180" s="200" t="inlineStr">
        <is>
          <t>C1019</t>
        </is>
      </c>
      <c r="C1180" s="200" t="inlineStr">
        <is>
          <t>Qanater</t>
        </is>
      </c>
      <c r="D1180" s="200" t="inlineStr">
        <is>
          <t>القناطر</t>
        </is>
      </c>
      <c r="E1180" s="5" t="n"/>
      <c r="F1180" s="200" t="inlineStr">
        <is>
          <t>SY020001</t>
        </is>
      </c>
    </row>
    <row r="1181" customFormat="1" s="8">
      <c r="A1181" s="200" t="inlineStr">
        <is>
          <t>admin4</t>
        </is>
      </c>
      <c r="B1181" s="200" t="inlineStr">
        <is>
          <t>C1021</t>
        </is>
      </c>
      <c r="C1181" s="200" t="inlineStr">
        <is>
          <t>Babka</t>
        </is>
      </c>
      <c r="D1181" s="200" t="inlineStr">
        <is>
          <t>بابكة</t>
        </is>
      </c>
      <c r="E1181" s="5" t="n"/>
      <c r="F1181" s="200" t="inlineStr">
        <is>
          <t>SY020001</t>
        </is>
      </c>
    </row>
    <row r="1182" customFormat="1" s="8">
      <c r="A1182" s="200" t="inlineStr">
        <is>
          <t>admin4</t>
        </is>
      </c>
      <c r="B1182" s="200" t="inlineStr">
        <is>
          <t>C1030</t>
        </is>
      </c>
      <c r="C1182" s="200" t="inlineStr">
        <is>
          <t>Abzemo</t>
        </is>
      </c>
      <c r="D1182" s="200" t="inlineStr">
        <is>
          <t>الابزمو</t>
        </is>
      </c>
      <c r="E1182" s="5" t="n"/>
      <c r="F1182" s="200" t="inlineStr">
        <is>
          <t>SY020001</t>
        </is>
      </c>
    </row>
    <row r="1183" customFormat="1" s="8">
      <c r="A1183" s="200" t="inlineStr">
        <is>
          <t>admin4</t>
        </is>
      </c>
      <c r="B1183" s="200" t="inlineStr">
        <is>
          <t>C1032</t>
        </is>
      </c>
      <c r="C1183" s="200" t="inlineStr">
        <is>
          <t>Jeineh</t>
        </is>
      </c>
      <c r="D1183" s="200" t="inlineStr">
        <is>
          <t>الجينة</t>
        </is>
      </c>
      <c r="E1183" s="5" t="n"/>
      <c r="F1183" s="200" t="inlineStr">
        <is>
          <t>SY020001</t>
        </is>
      </c>
    </row>
    <row r="1184" customFormat="1" s="8">
      <c r="A1184" s="200" t="inlineStr">
        <is>
          <t>admin4</t>
        </is>
      </c>
      <c r="B1184" s="200" t="inlineStr">
        <is>
          <t>C1034</t>
        </is>
      </c>
      <c r="C1184" s="200" t="inlineStr">
        <is>
          <t>Kafr Naha</t>
        </is>
      </c>
      <c r="D1184" s="200" t="inlineStr">
        <is>
          <t>كفر ناها</t>
        </is>
      </c>
      <c r="E1184" s="5" t="n"/>
      <c r="F1184" s="200" t="inlineStr">
        <is>
          <t>SY020001</t>
        </is>
      </c>
    </row>
    <row r="1185" customFormat="1" s="8">
      <c r="A1185" s="200" t="inlineStr">
        <is>
          <t>admin4</t>
        </is>
      </c>
      <c r="B1185" s="200" t="inlineStr">
        <is>
          <t>C6680</t>
        </is>
      </c>
      <c r="C1185" s="200" t="inlineStr">
        <is>
          <t>Arnaz</t>
        </is>
      </c>
      <c r="D1185" s="200" t="inlineStr">
        <is>
          <t>أرناز</t>
        </is>
      </c>
      <c r="E1185" s="5" t="n"/>
      <c r="F1185" s="200" t="inlineStr">
        <is>
          <t>SY020001</t>
        </is>
      </c>
    </row>
    <row r="1186" customFormat="1" s="8">
      <c r="A1186" s="200" t="inlineStr">
        <is>
          <t>admin4</t>
        </is>
      </c>
      <c r="B1186" s="200" t="inlineStr">
        <is>
          <t>C6753</t>
        </is>
      </c>
      <c r="C1186" s="200" t="inlineStr">
        <is>
          <t>Ajel</t>
        </is>
      </c>
      <c r="D1186" s="200" t="inlineStr">
        <is>
          <t>عاجل</t>
        </is>
      </c>
      <c r="E1186" s="5" t="n"/>
      <c r="F1186" s="200" t="inlineStr">
        <is>
          <t>SY020001</t>
        </is>
      </c>
    </row>
    <row r="1187" customFormat="1" s="8">
      <c r="A1187" s="200" t="inlineStr">
        <is>
          <t>admin4</t>
        </is>
      </c>
      <c r="B1187" s="200" t="inlineStr">
        <is>
          <t>C1194</t>
        </is>
      </c>
      <c r="C1187" s="200" t="inlineStr">
        <is>
          <t>Aabad</t>
        </is>
      </c>
      <c r="D1187" s="200" t="inlineStr">
        <is>
          <t>اعبد</t>
        </is>
      </c>
      <c r="E1187" s="5" t="n"/>
      <c r="F1187" s="8" t="inlineStr">
        <is>
          <t>SY020200</t>
        </is>
      </c>
    </row>
    <row r="1188" customFormat="1" s="8">
      <c r="A1188" s="200" t="inlineStr">
        <is>
          <t>admin4</t>
        </is>
      </c>
      <c r="B1188" s="200" t="inlineStr">
        <is>
          <t>C8126</t>
        </is>
      </c>
      <c r="C1188" s="200" t="inlineStr">
        <is>
          <t>Abu Zendin</t>
        </is>
      </c>
      <c r="D1188" s="200" t="inlineStr">
        <is>
          <t>أبو الزندين</t>
        </is>
      </c>
      <c r="E1188" s="5" t="n"/>
      <c r="F1188" s="8" t="inlineStr">
        <is>
          <t>SY020200</t>
        </is>
      </c>
    </row>
    <row r="1189" customFormat="1" s="8">
      <c r="A1189" s="200" t="inlineStr">
        <is>
          <t>admin4</t>
        </is>
      </c>
      <c r="B1189" s="200" t="inlineStr">
        <is>
          <t>C7466</t>
        </is>
      </c>
      <c r="C1189" s="200" t="inlineStr">
        <is>
          <t>Al Azraq</t>
        </is>
      </c>
      <c r="D1189" s="200" t="inlineStr">
        <is>
          <t>الازرق</t>
        </is>
      </c>
      <c r="E1189" s="5" t="n"/>
      <c r="F1189" s="8" t="inlineStr">
        <is>
          <t>SY020200</t>
        </is>
      </c>
    </row>
    <row r="1190" customFormat="1" s="8">
      <c r="A1190" s="200" t="inlineStr">
        <is>
          <t>admin4</t>
        </is>
      </c>
      <c r="B1190" s="200" t="inlineStr">
        <is>
          <t>C1202</t>
        </is>
      </c>
      <c r="C1190" s="200" t="inlineStr">
        <is>
          <t>Al Bab</t>
        </is>
      </c>
      <c r="D1190" s="200" t="inlineStr">
        <is>
          <t>الباب</t>
        </is>
      </c>
      <c r="E1190" s="5" t="n"/>
      <c r="F1190" s="8" t="inlineStr">
        <is>
          <t>SY020200</t>
        </is>
      </c>
    </row>
    <row r="1191" customFormat="1" s="8">
      <c r="A1191" s="200" t="inlineStr">
        <is>
          <t>admin4</t>
        </is>
      </c>
      <c r="B1191" s="200" t="inlineStr">
        <is>
          <t>C8108</t>
        </is>
      </c>
      <c r="C1191" s="200" t="inlineStr">
        <is>
          <t>Al Dourea</t>
        </is>
      </c>
      <c r="D1191" s="200" t="inlineStr">
        <is>
          <t>الدرعية</t>
        </is>
      </c>
      <c r="E1191" s="5" t="n"/>
      <c r="F1191" s="8" t="inlineStr">
        <is>
          <t>SY020200</t>
        </is>
      </c>
    </row>
    <row r="1192" customFormat="1" s="8">
      <c r="A1192" s="200" t="inlineStr">
        <is>
          <t>admin4</t>
        </is>
      </c>
      <c r="B1192" s="200" t="inlineStr">
        <is>
          <t>C7468</t>
        </is>
      </c>
      <c r="C1192" s="200" t="inlineStr">
        <is>
          <t>Al Khashkashat</t>
        </is>
      </c>
      <c r="D1192" s="200" t="inlineStr">
        <is>
          <t>الخشخشات</t>
        </is>
      </c>
      <c r="E1192" s="5" t="n"/>
      <c r="F1192" s="8" t="inlineStr">
        <is>
          <t>SY020200</t>
        </is>
      </c>
    </row>
    <row r="1193" customFormat="1" s="8">
      <c r="A1193" s="200" t="inlineStr">
        <is>
          <t>admin4</t>
        </is>
      </c>
      <c r="B1193" s="200" t="inlineStr">
        <is>
          <t>C7484</t>
        </is>
      </c>
      <c r="C1193" s="200" t="inlineStr">
        <is>
          <t>Ash Sharqiyat</t>
        </is>
      </c>
      <c r="D1193" s="200" t="inlineStr">
        <is>
          <t>شرقيات</t>
        </is>
      </c>
      <c r="E1193" s="5" t="n"/>
      <c r="F1193" s="8" t="inlineStr">
        <is>
          <t>SY020200</t>
        </is>
      </c>
    </row>
    <row r="1194" customFormat="1" s="8">
      <c r="A1194" s="200" t="inlineStr">
        <is>
          <t>admin4</t>
        </is>
      </c>
      <c r="B1194" s="200" t="inlineStr">
        <is>
          <t>C1188</t>
        </is>
      </c>
      <c r="C1194" s="200" t="inlineStr">
        <is>
          <t>Bazagha</t>
        </is>
      </c>
      <c r="D1194" s="200" t="inlineStr">
        <is>
          <t>بزاعة</t>
        </is>
      </c>
      <c r="E1194" s="5" t="n"/>
      <c r="F1194" s="8" t="inlineStr">
        <is>
          <t>SY020200</t>
        </is>
      </c>
    </row>
    <row r="1195" customFormat="1" s="8">
      <c r="A1195" s="200" t="inlineStr">
        <is>
          <t>admin4</t>
        </is>
      </c>
      <c r="B1195" s="200" t="inlineStr">
        <is>
          <t>C1203</t>
        </is>
      </c>
      <c r="C1195" s="200" t="inlineStr">
        <is>
          <t>Big Sarja</t>
        </is>
      </c>
      <c r="D1195" s="200" t="inlineStr">
        <is>
          <t>سرجة كبيرة</t>
        </is>
      </c>
      <c r="E1195" s="5" t="n"/>
      <c r="F1195" s="8" t="inlineStr">
        <is>
          <t>SY020200</t>
        </is>
      </c>
    </row>
    <row r="1196" customFormat="1" s="8">
      <c r="A1196" s="200" t="inlineStr">
        <is>
          <t>admin4</t>
        </is>
      </c>
      <c r="B1196" s="200" t="inlineStr">
        <is>
          <t>C1192</t>
        </is>
      </c>
      <c r="C1196" s="200" t="inlineStr">
        <is>
          <t>Borj</t>
        </is>
      </c>
      <c r="D1196" s="200" t="inlineStr">
        <is>
          <t>البرج</t>
        </is>
      </c>
      <c r="E1196" s="5" t="n"/>
      <c r="F1196" s="8" t="inlineStr">
        <is>
          <t>SY020200</t>
        </is>
      </c>
    </row>
    <row r="1197" customFormat="1" s="8">
      <c r="A1197" s="200" t="inlineStr">
        <is>
          <t>admin4</t>
        </is>
      </c>
      <c r="B1197" s="200" t="inlineStr">
        <is>
          <t>C8149</t>
        </is>
      </c>
      <c r="C1197" s="200" t="inlineStr">
        <is>
          <t>Brat</t>
        </is>
      </c>
      <c r="D1197" s="200" t="inlineStr">
        <is>
          <t>برات</t>
        </is>
      </c>
      <c r="E1197" s="5" t="n"/>
      <c r="F1197" s="8" t="inlineStr">
        <is>
          <t>SY020200</t>
        </is>
      </c>
    </row>
    <row r="1198" customFormat="1" s="8">
      <c r="A1198" s="200" t="inlineStr">
        <is>
          <t>admin4</t>
        </is>
      </c>
      <c r="B1198" s="200" t="inlineStr">
        <is>
          <t>C8154</t>
        </is>
      </c>
      <c r="C1198" s="200" t="inlineStr">
        <is>
          <t>Dana</t>
        </is>
      </c>
      <c r="D1198" s="200" t="inlineStr">
        <is>
          <t>دانا</t>
        </is>
      </c>
      <c r="E1198" s="5" t="n"/>
      <c r="F1198" s="8" t="inlineStr">
        <is>
          <t>SY020200</t>
        </is>
      </c>
    </row>
    <row r="1199" customFormat="1" s="8">
      <c r="A1199" s="200" t="inlineStr">
        <is>
          <t>admin4</t>
        </is>
      </c>
      <c r="B1199" s="200" t="inlineStr">
        <is>
          <t>C7446</t>
        </is>
      </c>
      <c r="C1199" s="200" t="inlineStr">
        <is>
          <t>Darkale</t>
        </is>
      </c>
      <c r="D1199" s="200" t="inlineStr">
        <is>
          <t>الداكرلي</t>
        </is>
      </c>
      <c r="E1199" s="5" t="n"/>
      <c r="F1199" s="8" t="inlineStr">
        <is>
          <t>SY020200</t>
        </is>
      </c>
    </row>
    <row r="1200" customFormat="1" s="8">
      <c r="A1200" s="200" t="inlineStr">
        <is>
          <t>admin4</t>
        </is>
      </c>
      <c r="B1200" s="200" t="inlineStr">
        <is>
          <t>C7456</t>
        </is>
      </c>
      <c r="C1200" s="200" t="inlineStr">
        <is>
          <t>Dayr Antah</t>
        </is>
      </c>
      <c r="D1200" s="200" t="inlineStr">
        <is>
          <t>دير انطة</t>
        </is>
      </c>
      <c r="E1200" s="5" t="n"/>
      <c r="F1200" s="8" t="inlineStr">
        <is>
          <t>SY020200</t>
        </is>
      </c>
    </row>
    <row r="1201" customFormat="1" s="8">
      <c r="A1201" s="200" t="inlineStr">
        <is>
          <t>admin4</t>
        </is>
      </c>
      <c r="B1201" s="200" t="inlineStr">
        <is>
          <t>C8132</t>
        </is>
      </c>
      <c r="C1201" s="200" t="inlineStr">
        <is>
          <t>Ghuz</t>
        </is>
      </c>
      <c r="D1201" s="200" t="inlineStr">
        <is>
          <t>غوز</t>
        </is>
      </c>
      <c r="E1201" s="5" t="n"/>
      <c r="F1201" s="8" t="inlineStr">
        <is>
          <t>SY020200</t>
        </is>
      </c>
    </row>
    <row r="1202" customFormat="1" s="8">
      <c r="A1202" s="200" t="inlineStr">
        <is>
          <t>admin4</t>
        </is>
      </c>
      <c r="B1202" s="200" t="inlineStr">
        <is>
          <t>C1198</t>
        </is>
      </c>
      <c r="C1202" s="200" t="inlineStr">
        <is>
          <t>Hadath</t>
        </is>
      </c>
      <c r="D1202" s="200" t="inlineStr">
        <is>
          <t>حدث</t>
        </is>
      </c>
      <c r="E1202" s="5" t="n"/>
      <c r="F1202" s="8" t="inlineStr">
        <is>
          <t>SY020200</t>
        </is>
      </c>
    </row>
    <row r="1203" customFormat="1" s="8">
      <c r="A1203" s="200" t="inlineStr">
        <is>
          <t>admin4</t>
        </is>
      </c>
      <c r="B1203" s="200" t="inlineStr">
        <is>
          <t>C7443</t>
        </is>
      </c>
      <c r="C1203" s="200" t="inlineStr">
        <is>
          <t>Hajj Hassan</t>
        </is>
      </c>
      <c r="D1203" s="200" t="inlineStr">
        <is>
          <t>حج حسان</t>
        </is>
      </c>
      <c r="E1203" s="5" t="n"/>
      <c r="F1203" s="8" t="inlineStr">
        <is>
          <t>SY020200</t>
        </is>
      </c>
    </row>
    <row r="1204" customFormat="1" s="8">
      <c r="A1204" s="200" t="inlineStr">
        <is>
          <t>admin4</t>
        </is>
      </c>
      <c r="B1204" s="200" t="inlineStr">
        <is>
          <t>C7442</t>
        </is>
      </c>
      <c r="C1204" s="200" t="inlineStr">
        <is>
          <t>Halisah</t>
        </is>
      </c>
      <c r="D1204" s="200" t="inlineStr">
        <is>
          <t>حليسة</t>
        </is>
      </c>
      <c r="E1204" s="5" t="n"/>
      <c r="F1204" s="8" t="inlineStr">
        <is>
          <t>SY020200</t>
        </is>
      </c>
    </row>
    <row r="1205" customFormat="1" s="8">
      <c r="A1205" s="200" t="inlineStr">
        <is>
          <t>admin4</t>
        </is>
      </c>
      <c r="B1205" s="200" t="inlineStr">
        <is>
          <t>C1191</t>
        </is>
      </c>
      <c r="C1205" s="200" t="inlineStr">
        <is>
          <t>Hazwan</t>
        </is>
      </c>
      <c r="D1205" s="200" t="inlineStr">
        <is>
          <t>حزوان</t>
        </is>
      </c>
      <c r="E1205" s="5" t="n"/>
      <c r="F1205" s="8" t="inlineStr">
        <is>
          <t>SY020200</t>
        </is>
      </c>
    </row>
    <row r="1206" customFormat="1" s="8">
      <c r="A1206" s="200" t="inlineStr">
        <is>
          <t>admin4</t>
        </is>
      </c>
      <c r="B1206" s="200" t="inlineStr">
        <is>
          <t>C8163</t>
        </is>
      </c>
      <c r="C1206" s="200" t="inlineStr">
        <is>
          <t>Khalilieyh</t>
        </is>
      </c>
      <c r="D1206" s="200" t="inlineStr">
        <is>
          <t>خليلية</t>
        </is>
      </c>
      <c r="E1206" s="5" t="n"/>
      <c r="F1206" s="8" t="inlineStr">
        <is>
          <t>SY020200</t>
        </is>
      </c>
    </row>
    <row r="1207" customFormat="1" s="8">
      <c r="A1207" s="200" t="inlineStr">
        <is>
          <t>admin4</t>
        </is>
      </c>
      <c r="B1207" s="200" t="inlineStr">
        <is>
          <t>C7450</t>
        </is>
      </c>
      <c r="C1207" s="200" t="inlineStr">
        <is>
          <t>Khan Hufrah</t>
        </is>
      </c>
      <c r="D1207" s="200" t="inlineStr">
        <is>
          <t>خان حفرة</t>
        </is>
      </c>
      <c r="E1207" s="5" t="n"/>
      <c r="F1207" s="8" t="inlineStr">
        <is>
          <t>SY020200</t>
        </is>
      </c>
    </row>
    <row r="1208" customFormat="1" s="8">
      <c r="A1208" s="200" t="inlineStr">
        <is>
          <t>admin4</t>
        </is>
      </c>
      <c r="B1208" s="200" t="inlineStr">
        <is>
          <t>C8127</t>
        </is>
      </c>
      <c r="C1208" s="200" t="inlineStr">
        <is>
          <t>Kharbashieh</t>
        </is>
      </c>
      <c r="D1208" s="200" t="inlineStr">
        <is>
          <t>خربشية</t>
        </is>
      </c>
      <c r="E1208" s="5" t="n"/>
      <c r="F1208" s="8" t="inlineStr">
        <is>
          <t>SY020200</t>
        </is>
      </c>
    </row>
    <row r="1209" customFormat="1" s="8">
      <c r="A1209" s="200" t="inlineStr">
        <is>
          <t>admin4</t>
        </is>
      </c>
      <c r="B1209" s="200" t="inlineStr">
        <is>
          <t>C7470</t>
        </is>
      </c>
      <c r="C1209" s="200" t="inlineStr">
        <is>
          <t>Khirbet Duwayr</t>
        </is>
      </c>
      <c r="D1209" s="200" t="inlineStr">
        <is>
          <t>خربة الدوير</t>
        </is>
      </c>
      <c r="E1209" s="5" t="n"/>
      <c r="F1209" s="8" t="inlineStr">
        <is>
          <t>SY020200</t>
        </is>
      </c>
    </row>
    <row r="1210" customFormat="1" s="8">
      <c r="A1210" s="200" t="inlineStr">
        <is>
          <t>admin4</t>
        </is>
      </c>
      <c r="B1210" s="200" t="inlineStr">
        <is>
          <t>C8143</t>
        </is>
      </c>
      <c r="C1210" s="200" t="inlineStr">
        <is>
          <t>Kufair</t>
        </is>
      </c>
      <c r="D1210" s="200" t="inlineStr">
        <is>
          <t>الكفير</t>
        </is>
      </c>
      <c r="E1210" s="5" t="n"/>
      <c r="F1210" s="8" t="inlineStr">
        <is>
          <t>SY020200</t>
        </is>
      </c>
    </row>
    <row r="1211" customFormat="1" s="8">
      <c r="A1211" s="200" t="inlineStr">
        <is>
          <t>admin4</t>
        </is>
      </c>
      <c r="B1211" s="200" t="inlineStr">
        <is>
          <t>C8106</t>
        </is>
      </c>
      <c r="C1211" s="200" t="inlineStr">
        <is>
          <t>Little Sarja</t>
        </is>
      </c>
      <c r="D1211" s="200" t="inlineStr">
        <is>
          <t>سرجة صغيرة</t>
        </is>
      </c>
      <c r="E1211" s="5" t="n"/>
      <c r="F1211" s="8" t="inlineStr">
        <is>
          <t>SY020200</t>
        </is>
      </c>
    </row>
    <row r="1212" customFormat="1" s="8">
      <c r="A1212" s="200" t="inlineStr">
        <is>
          <t>admin4</t>
        </is>
      </c>
      <c r="B1212" s="200" t="inlineStr">
        <is>
          <t>C6412</t>
        </is>
      </c>
      <c r="C1212" s="200" t="inlineStr">
        <is>
          <t>Madyuneh</t>
        </is>
      </c>
      <c r="D1212" s="200" t="inlineStr">
        <is>
          <t>مديونة</t>
        </is>
      </c>
      <c r="E1212" s="5" t="n"/>
      <c r="F1212" s="8" t="inlineStr">
        <is>
          <t>SY020200</t>
        </is>
      </c>
    </row>
    <row r="1213" customFormat="1" s="8">
      <c r="A1213" s="200" t="inlineStr">
        <is>
          <t>admin4</t>
        </is>
      </c>
      <c r="B1213" s="200" t="inlineStr">
        <is>
          <t>C1193</t>
        </is>
      </c>
      <c r="C1213" s="200" t="inlineStr">
        <is>
          <t>Maqri</t>
        </is>
      </c>
      <c r="D1213" s="200" t="inlineStr">
        <is>
          <t>المقري</t>
        </is>
      </c>
      <c r="E1213" s="5" t="n"/>
      <c r="F1213" s="8" t="inlineStr">
        <is>
          <t>SY020200</t>
        </is>
      </c>
    </row>
    <row r="1214" customFormat="1" s="8">
      <c r="A1214" s="200" t="inlineStr">
        <is>
          <t>admin4</t>
        </is>
      </c>
      <c r="B1214" s="200" t="inlineStr">
        <is>
          <t>C7514</t>
        </is>
      </c>
      <c r="C1214" s="200" t="inlineStr">
        <is>
          <t>Mezraat Hemmo</t>
        </is>
      </c>
      <c r="D1214" s="200" t="inlineStr">
        <is>
          <t>مزرعة حمو</t>
        </is>
      </c>
      <c r="E1214" s="5" t="n"/>
      <c r="F1214" s="8" t="inlineStr">
        <is>
          <t>SY020200</t>
        </is>
      </c>
    </row>
    <row r="1215" customFormat="1" s="8">
      <c r="A1215" s="200" t="inlineStr">
        <is>
          <t>admin4</t>
        </is>
      </c>
      <c r="B1215" s="200" t="inlineStr">
        <is>
          <t>C1210</t>
        </is>
      </c>
      <c r="C1215" s="200" t="inlineStr">
        <is>
          <t>Mran</t>
        </is>
      </c>
      <c r="D1215" s="200" t="inlineStr">
        <is>
          <t>مران</t>
        </is>
      </c>
      <c r="E1215" s="5" t="n"/>
      <c r="F1215" s="8" t="inlineStr">
        <is>
          <t>SY020200</t>
        </is>
      </c>
    </row>
    <row r="1216" customFormat="1" s="8">
      <c r="A1216" s="200" t="inlineStr">
        <is>
          <t>admin4</t>
        </is>
      </c>
      <c r="B1216" s="200" t="inlineStr">
        <is>
          <t>C1186</t>
        </is>
      </c>
      <c r="C1216" s="200" t="inlineStr">
        <is>
          <t>Nayrabiyeh</t>
        </is>
      </c>
      <c r="D1216" s="200" t="inlineStr">
        <is>
          <t>النيربية</t>
        </is>
      </c>
      <c r="E1216" s="5" t="n"/>
      <c r="F1216" s="8" t="inlineStr">
        <is>
          <t>SY020200</t>
        </is>
      </c>
    </row>
    <row r="1217" customFormat="1" s="8">
      <c r="A1217" s="200" t="inlineStr">
        <is>
          <t>admin4</t>
        </is>
      </c>
      <c r="B1217" s="200" t="inlineStr">
        <is>
          <t>C1213</t>
        </is>
      </c>
      <c r="C1217" s="200" t="inlineStr">
        <is>
          <t>Noman</t>
        </is>
      </c>
      <c r="D1217" s="200" t="inlineStr">
        <is>
          <t>نعمان</t>
        </is>
      </c>
      <c r="E1217" s="5" t="n"/>
      <c r="F1217" s="8" t="inlineStr">
        <is>
          <t>SY020200</t>
        </is>
      </c>
    </row>
    <row r="1218" customFormat="1" s="8">
      <c r="A1218" s="200" t="inlineStr">
        <is>
          <t>admin4</t>
        </is>
      </c>
      <c r="B1218" s="200" t="inlineStr">
        <is>
          <t>C1204</t>
        </is>
      </c>
      <c r="C1218" s="200" t="inlineStr">
        <is>
          <t>Olan</t>
        </is>
      </c>
      <c r="D1218" s="200" t="inlineStr">
        <is>
          <t>عولان</t>
        </is>
      </c>
      <c r="E1218" s="5" t="n"/>
      <c r="F1218" s="8" t="inlineStr">
        <is>
          <t>SY020200</t>
        </is>
      </c>
    </row>
    <row r="1219" customFormat="1" s="8">
      <c r="A1219" s="200" t="inlineStr">
        <is>
          <t>admin4</t>
        </is>
      </c>
      <c r="B1219" s="200" t="inlineStr">
        <is>
          <t>C1209</t>
        </is>
      </c>
      <c r="C1219" s="200" t="inlineStr">
        <is>
          <t>Qabasin</t>
        </is>
      </c>
      <c r="D1219" s="200" t="inlineStr">
        <is>
          <t>قباسين</t>
        </is>
      </c>
      <c r="E1219" s="5" t="n"/>
      <c r="F1219" s="8" t="inlineStr">
        <is>
          <t>SY020200</t>
        </is>
      </c>
    </row>
    <row r="1220" customFormat="1" s="8">
      <c r="A1220" s="200" t="inlineStr">
        <is>
          <t>admin4</t>
        </is>
      </c>
      <c r="B1220" s="200" t="inlineStr">
        <is>
          <t>C1211</t>
        </is>
      </c>
      <c r="C1220" s="200" t="inlineStr">
        <is>
          <t>Qdeiran</t>
        </is>
      </c>
      <c r="D1220" s="200" t="inlineStr">
        <is>
          <t>قديران</t>
        </is>
      </c>
      <c r="E1220" s="5" t="n"/>
      <c r="F1220" s="8" t="inlineStr">
        <is>
          <t>SY020200</t>
        </is>
      </c>
    </row>
    <row r="1221" customFormat="1" s="8">
      <c r="A1221" s="200" t="inlineStr">
        <is>
          <t>admin4</t>
        </is>
      </c>
      <c r="B1221" s="200" t="inlineStr">
        <is>
          <t>C1208</t>
        </is>
      </c>
      <c r="C1221" s="200" t="inlineStr">
        <is>
          <t>Qemmet Daghelbash</t>
        </is>
      </c>
      <c r="D1221" s="200" t="inlineStr">
        <is>
          <t>قمة داغلباش</t>
        </is>
      </c>
      <c r="E1221" s="5" t="n"/>
      <c r="F1221" s="8" t="inlineStr">
        <is>
          <t>SY020200</t>
        </is>
      </c>
    </row>
    <row r="1222" customFormat="1" s="8">
      <c r="A1222" s="200" t="inlineStr">
        <is>
          <t>admin4</t>
        </is>
      </c>
      <c r="B1222" s="200" t="inlineStr">
        <is>
          <t>C1214</t>
        </is>
      </c>
      <c r="C1222" s="200" t="inlineStr">
        <is>
          <t>Qubbet Elsheikh</t>
        </is>
      </c>
      <c r="D1222" s="200" t="inlineStr">
        <is>
          <t>قبة الشيخ</t>
        </is>
      </c>
      <c r="E1222" s="5" t="n"/>
      <c r="F1222" s="8" t="inlineStr">
        <is>
          <t>SY020200</t>
        </is>
      </c>
    </row>
    <row r="1223" customFormat="1" s="8">
      <c r="A1223" s="200" t="inlineStr">
        <is>
          <t>admin4</t>
        </is>
      </c>
      <c r="B1223" s="200" t="inlineStr">
        <is>
          <t>C1200</t>
        </is>
      </c>
      <c r="C1223" s="200" t="inlineStr">
        <is>
          <t>Saflaniyeh</t>
        </is>
      </c>
      <c r="D1223" s="200" t="inlineStr">
        <is>
          <t>سفلانية</t>
        </is>
      </c>
      <c r="E1223" s="5" t="n"/>
      <c r="F1223" s="8" t="inlineStr">
        <is>
          <t>SY020200</t>
        </is>
      </c>
    </row>
    <row r="1224" customFormat="1" s="8">
      <c r="A1224" s="200" t="inlineStr">
        <is>
          <t>admin4</t>
        </is>
      </c>
      <c r="B1224" s="200" t="inlineStr">
        <is>
          <t>C1189</t>
        </is>
      </c>
      <c r="C1224" s="200" t="inlineStr">
        <is>
          <t>Shaala</t>
        </is>
      </c>
      <c r="D1224" s="200" t="inlineStr">
        <is>
          <t>شعالة</t>
        </is>
      </c>
      <c r="E1224" s="5" t="n"/>
      <c r="F1224" s="8" t="inlineStr">
        <is>
          <t>SY020200</t>
        </is>
      </c>
    </row>
    <row r="1225" customFormat="1" s="8">
      <c r="A1225" s="200" t="inlineStr">
        <is>
          <t>admin4</t>
        </is>
      </c>
      <c r="B1225" s="200" t="inlineStr">
        <is>
          <t>C8196</t>
        </is>
      </c>
      <c r="C1225" s="200" t="inlineStr">
        <is>
          <t>Shbiran</t>
        </is>
      </c>
      <c r="D1225" s="200" t="inlineStr">
        <is>
          <t>شابيران</t>
        </is>
      </c>
      <c r="E1225" s="5" t="n"/>
      <c r="F1225" s="8" t="inlineStr">
        <is>
          <t>SY020200</t>
        </is>
      </c>
    </row>
    <row r="1226" customFormat="1" s="8">
      <c r="A1226" s="200" t="inlineStr">
        <is>
          <t>admin4</t>
        </is>
      </c>
      <c r="B1226" s="200" t="inlineStr">
        <is>
          <t>C1206</t>
        </is>
      </c>
      <c r="C1226" s="200" t="inlineStr">
        <is>
          <t>Shdud</t>
        </is>
      </c>
      <c r="D1226" s="200" t="inlineStr">
        <is>
          <t>شدود</t>
        </is>
      </c>
      <c r="E1226" s="5" t="n"/>
      <c r="F1226" s="8" t="inlineStr">
        <is>
          <t>SY020200</t>
        </is>
      </c>
    </row>
    <row r="1227" customFormat="1" s="8">
      <c r="A1227" s="200" t="inlineStr">
        <is>
          <t>admin4</t>
        </is>
      </c>
      <c r="B1227" s="200" t="inlineStr">
        <is>
          <t>C1196</t>
        </is>
      </c>
      <c r="C1227" s="200" t="inlineStr">
        <is>
          <t>Sheikh Elwan</t>
        </is>
      </c>
      <c r="D1227" s="200" t="inlineStr">
        <is>
          <t>شيخ علوان</t>
        </is>
      </c>
      <c r="E1227" s="5" t="n"/>
      <c r="F1227" s="8" t="inlineStr">
        <is>
          <t>SY020200</t>
        </is>
      </c>
    </row>
    <row r="1228" customFormat="1" s="8">
      <c r="A1228" s="200" t="inlineStr">
        <is>
          <t>admin4</t>
        </is>
      </c>
      <c r="B1228" s="200" t="inlineStr">
        <is>
          <t>C1195</t>
        </is>
      </c>
      <c r="C1228" s="200" t="inlineStr">
        <is>
          <t>Sheikh Jarrah</t>
        </is>
      </c>
      <c r="D1228" s="200" t="inlineStr">
        <is>
          <t>شيخ جراح</t>
        </is>
      </c>
      <c r="E1228" s="5" t="n"/>
      <c r="F1228" s="8" t="inlineStr">
        <is>
          <t>SY020200</t>
        </is>
      </c>
    </row>
    <row r="1229" customFormat="1" s="8">
      <c r="A1229" s="200" t="inlineStr">
        <is>
          <t>admin4</t>
        </is>
      </c>
      <c r="B1229" s="200" t="inlineStr">
        <is>
          <t>C1207</t>
        </is>
      </c>
      <c r="C1229" s="200" t="inlineStr">
        <is>
          <t>Sheikh Kif</t>
        </is>
      </c>
      <c r="D1229" s="200" t="inlineStr">
        <is>
          <t>الشيخ كيف</t>
        </is>
      </c>
      <c r="E1229" s="5" t="n"/>
      <c r="F1229" s="8" t="inlineStr">
        <is>
          <t>SY020200</t>
        </is>
      </c>
    </row>
    <row r="1230" customFormat="1" s="8">
      <c r="A1230" s="200" t="inlineStr">
        <is>
          <t>admin4</t>
        </is>
      </c>
      <c r="B1230" s="200" t="inlineStr">
        <is>
          <t>C1187</t>
        </is>
      </c>
      <c r="C1230" s="200" t="inlineStr">
        <is>
          <t>Sosyan</t>
        </is>
      </c>
      <c r="D1230" s="200" t="inlineStr">
        <is>
          <t>سوسيان</t>
        </is>
      </c>
      <c r="E1230" s="5" t="n"/>
      <c r="F1230" s="8" t="inlineStr">
        <is>
          <t>SY020200</t>
        </is>
      </c>
    </row>
    <row r="1231" customFormat="1" s="8">
      <c r="A1231" s="200" t="inlineStr">
        <is>
          <t>admin4</t>
        </is>
      </c>
      <c r="B1231" s="200" t="inlineStr">
        <is>
          <t>C1190</t>
        </is>
      </c>
      <c r="C1231" s="200" t="inlineStr">
        <is>
          <t>Su Sinbat</t>
        </is>
      </c>
      <c r="D1231" s="200" t="inlineStr">
        <is>
          <t>سو سنباط</t>
        </is>
      </c>
      <c r="E1231" s="5" t="n"/>
      <c r="F1231" s="8" t="inlineStr">
        <is>
          <t>SY020200</t>
        </is>
      </c>
    </row>
    <row r="1232" customFormat="1" s="8">
      <c r="A1232" s="200" t="inlineStr">
        <is>
          <t>admin4</t>
        </is>
      </c>
      <c r="B1232" s="200" t="inlineStr">
        <is>
          <t>C1197</t>
        </is>
      </c>
      <c r="C1232" s="200" t="inlineStr">
        <is>
          <t>Suran</t>
        </is>
      </c>
      <c r="D1232" s="200" t="inlineStr">
        <is>
          <t>صوران</t>
        </is>
      </c>
      <c r="E1232" s="5" t="n"/>
      <c r="F1232" s="8" t="inlineStr">
        <is>
          <t>SY020200</t>
        </is>
      </c>
    </row>
    <row r="1233" customFormat="1" s="8">
      <c r="A1233" s="200" t="inlineStr">
        <is>
          <t>admin4</t>
        </is>
      </c>
      <c r="B1233" s="200" t="inlineStr">
        <is>
          <t>C1199</t>
        </is>
      </c>
      <c r="C1233" s="200" t="inlineStr">
        <is>
          <t>Tal Jerji</t>
        </is>
      </c>
      <c r="D1233" s="200" t="inlineStr">
        <is>
          <t>تل جرجي</t>
        </is>
      </c>
      <c r="E1233" s="5" t="n"/>
      <c r="F1233" s="8" t="inlineStr">
        <is>
          <t>SY020200</t>
        </is>
      </c>
    </row>
    <row r="1234" customFormat="1" s="8">
      <c r="A1234" s="200" t="inlineStr">
        <is>
          <t>admin4</t>
        </is>
      </c>
      <c r="B1234" s="200" t="inlineStr">
        <is>
          <t>C1205</t>
        </is>
      </c>
      <c r="C1234" s="200" t="inlineStr">
        <is>
          <t>Tal Rahhal</t>
        </is>
      </c>
      <c r="D1234" s="200" t="inlineStr">
        <is>
          <t>تل رحال</t>
        </is>
      </c>
      <c r="E1234" s="5" t="n"/>
      <c r="F1234" s="8" t="inlineStr">
        <is>
          <t>SY020200</t>
        </is>
      </c>
    </row>
    <row r="1235" customFormat="1" s="8">
      <c r="A1235" s="200" t="inlineStr">
        <is>
          <t>admin4</t>
        </is>
      </c>
      <c r="B1235" s="200" t="inlineStr">
        <is>
          <t>C7473</t>
        </is>
      </c>
      <c r="C1235" s="200" t="inlineStr">
        <is>
          <t>Talal Al-Enab</t>
        </is>
      </c>
      <c r="D1235" s="200" t="inlineStr">
        <is>
          <t>تلال العنب</t>
        </is>
      </c>
      <c r="E1235" s="5" t="n"/>
      <c r="F1235" s="8" t="inlineStr">
        <is>
          <t>SY020200</t>
        </is>
      </c>
    </row>
    <row r="1236" customFormat="1" s="8">
      <c r="A1236" s="200" t="inlineStr">
        <is>
          <t>admin4</t>
        </is>
      </c>
      <c r="B1236" s="200" t="inlineStr">
        <is>
          <t>C8101</t>
        </is>
      </c>
      <c r="C1236" s="200" t="inlineStr">
        <is>
          <t>Tanbor</t>
        </is>
      </c>
      <c r="D1236" s="200" t="inlineStr">
        <is>
          <t>طنبور</t>
        </is>
      </c>
      <c r="E1236" s="5" t="n"/>
      <c r="F1236" s="8" t="inlineStr">
        <is>
          <t>SY020200</t>
        </is>
      </c>
    </row>
    <row r="1237" customFormat="1" s="8">
      <c r="A1237" s="200" t="inlineStr">
        <is>
          <t>admin4</t>
        </is>
      </c>
      <c r="B1237" s="200" t="inlineStr">
        <is>
          <t>C1201</t>
        </is>
      </c>
      <c r="C1237" s="200" t="inlineStr">
        <is>
          <t>Um Elamad Elbab</t>
        </is>
      </c>
      <c r="D1237" s="200" t="inlineStr">
        <is>
          <t>أم العمد الباب</t>
        </is>
      </c>
      <c r="E1237" s="5" t="n"/>
      <c r="F1237" s="8" t="inlineStr">
        <is>
          <t>SY020200</t>
        </is>
      </c>
    </row>
    <row r="1238" customFormat="1" s="8">
      <c r="A1238" s="200" t="inlineStr">
        <is>
          <t>admin4</t>
        </is>
      </c>
      <c r="B1238" s="200" t="inlineStr">
        <is>
          <t>C1212</t>
        </is>
      </c>
      <c r="C1238" s="200" t="inlineStr">
        <is>
          <t>Waqqah</t>
        </is>
      </c>
      <c r="D1238" s="200" t="inlineStr">
        <is>
          <t>وقاح</t>
        </is>
      </c>
      <c r="E1238" s="5" t="n"/>
      <c r="F1238" s="8" t="inlineStr">
        <is>
          <t>SY020200</t>
        </is>
      </c>
    </row>
    <row r="1239" customFormat="1" s="8">
      <c r="A1239" s="200" t="inlineStr">
        <is>
          <t>admin4</t>
        </is>
      </c>
      <c r="B1239" s="200" t="inlineStr">
        <is>
          <t>C7438</t>
        </is>
      </c>
      <c r="C1239" s="200" t="inlineStr">
        <is>
          <t>Wuradaya</t>
        </is>
      </c>
      <c r="D1239" s="200" t="inlineStr">
        <is>
          <t>ورودية</t>
        </is>
      </c>
      <c r="E1239" s="5" t="n"/>
      <c r="F1239" s="8" t="inlineStr">
        <is>
          <t>SY020200</t>
        </is>
      </c>
    </row>
    <row r="1240" customFormat="1" s="8">
      <c r="A1240" s="200" t="inlineStr">
        <is>
          <t>admin4</t>
        </is>
      </c>
      <c r="B1240" s="200" t="inlineStr">
        <is>
          <t>C8157</t>
        </is>
      </c>
      <c r="C1240" s="200" t="inlineStr">
        <is>
          <t>Zarzur</t>
        </is>
      </c>
      <c r="D1240" s="200" t="inlineStr">
        <is>
          <t>زرزور</t>
        </is>
      </c>
      <c r="E1240" s="5" t="n"/>
      <c r="F1240" s="8" t="inlineStr">
        <is>
          <t>SY020200</t>
        </is>
      </c>
    </row>
    <row r="1241" customFormat="1" s="8">
      <c r="A1241" s="200" t="inlineStr">
        <is>
          <t>admin4</t>
        </is>
      </c>
      <c r="B1241" s="200" t="inlineStr">
        <is>
          <t>C8155</t>
        </is>
      </c>
      <c r="C1241" s="200" t="inlineStr">
        <is>
          <t>Zwaian</t>
        </is>
      </c>
      <c r="D1241" s="200" t="inlineStr">
        <is>
          <t>زويان</t>
        </is>
      </c>
      <c r="E1241" s="5" t="n"/>
      <c r="F1241" s="8" t="inlineStr">
        <is>
          <t>SY020200</t>
        </is>
      </c>
    </row>
    <row r="1242" customFormat="1" s="8">
      <c r="A1242" s="200" t="inlineStr">
        <is>
          <t>admin4</t>
        </is>
      </c>
      <c r="B1242" s="200" t="inlineStr">
        <is>
          <t>C8203</t>
        </is>
      </c>
      <c r="C1242" s="200" t="inlineStr">
        <is>
          <t>Al-Oun</t>
        </is>
      </c>
      <c r="D1242" s="200" t="inlineStr">
        <is>
          <t>العون</t>
        </is>
      </c>
      <c r="E1242" s="5" t="n"/>
      <c r="F1242" s="8" t="inlineStr">
        <is>
          <t>SY020203</t>
        </is>
      </c>
    </row>
    <row r="1243" customFormat="1" s="8">
      <c r="A1243" s="200" t="inlineStr">
        <is>
          <t>admin4</t>
        </is>
      </c>
      <c r="B1243" s="200" t="inlineStr">
        <is>
          <t>C1260</t>
        </is>
      </c>
      <c r="C1243" s="200" t="inlineStr">
        <is>
          <t>Ameriyeh</t>
        </is>
      </c>
      <c r="D1243" s="200" t="inlineStr">
        <is>
          <t>العامرية</t>
        </is>
      </c>
      <c r="E1243" s="5" t="n"/>
      <c r="F1243" s="8" t="inlineStr">
        <is>
          <t>SY020203</t>
        </is>
      </c>
    </row>
    <row r="1244" customFormat="1" s="8">
      <c r="A1244" s="200" t="inlineStr">
        <is>
          <t>admin4</t>
        </is>
      </c>
      <c r="B1244" s="200" t="inlineStr">
        <is>
          <t>C1250</t>
        </is>
      </c>
      <c r="C1244" s="200" t="inlineStr">
        <is>
          <t>Ar-Ra'ee</t>
        </is>
      </c>
      <c r="D1244" s="200" t="inlineStr">
        <is>
          <t>الراعي</t>
        </is>
      </c>
      <c r="E1244" s="5" t="n"/>
      <c r="F1244" s="8" t="inlineStr">
        <is>
          <t>SY020203</t>
        </is>
      </c>
    </row>
    <row r="1245" customFormat="1" s="8">
      <c r="A1245" s="200" t="inlineStr">
        <is>
          <t>admin4</t>
        </is>
      </c>
      <c r="B1245" s="200" t="inlineStr">
        <is>
          <t>C1264</t>
        </is>
      </c>
      <c r="C1245" s="200" t="inlineStr">
        <is>
          <t>Atharia</t>
        </is>
      </c>
      <c r="D1245" s="200" t="inlineStr">
        <is>
          <t>الأثرية</t>
        </is>
      </c>
      <c r="E1245" s="5" t="n"/>
      <c r="F1245" s="8" t="inlineStr">
        <is>
          <t>SY020203</t>
        </is>
      </c>
    </row>
    <row r="1246" customFormat="1" s="8">
      <c r="A1246" s="200" t="inlineStr">
        <is>
          <t>admin4</t>
        </is>
      </c>
      <c r="B1246" s="200" t="inlineStr">
        <is>
          <t>C8218</t>
        </is>
      </c>
      <c r="C1246" s="200" t="inlineStr">
        <is>
          <t>Ayubiyeh (Ar-Ra'ee)</t>
        </is>
      </c>
      <c r="D1246" s="200" t="inlineStr">
        <is>
          <t>الايوبية</t>
        </is>
      </c>
      <c r="E1246" s="5" t="n"/>
      <c r="F1246" s="8" t="inlineStr">
        <is>
          <t>SY020203</t>
        </is>
      </c>
    </row>
    <row r="1247" customFormat="1" s="8">
      <c r="A1247" s="200" t="inlineStr">
        <is>
          <t>admin4</t>
        </is>
      </c>
      <c r="B1247" s="200" t="inlineStr">
        <is>
          <t>C1270</t>
        </is>
      </c>
      <c r="C1247" s="200" t="inlineStr">
        <is>
          <t>Ayyasha</t>
        </is>
      </c>
      <c r="D1247" s="200" t="inlineStr">
        <is>
          <t>عياشة</t>
        </is>
      </c>
      <c r="E1247" s="5" t="n"/>
      <c r="F1247" s="8" t="inlineStr">
        <is>
          <t>SY020203</t>
        </is>
      </c>
    </row>
    <row r="1248" customFormat="1" s="8">
      <c r="A1248" s="200" t="inlineStr">
        <is>
          <t>admin4</t>
        </is>
      </c>
      <c r="B1248" s="200" t="inlineStr">
        <is>
          <t>C7605</t>
        </is>
      </c>
      <c r="C1248" s="200" t="inlineStr">
        <is>
          <t>Az Zahrah</t>
        </is>
      </c>
      <c r="D1248" s="200" t="inlineStr">
        <is>
          <t>الزهرة</t>
        </is>
      </c>
      <c r="E1248" s="5" t="n"/>
      <c r="F1248" s="8" t="inlineStr">
        <is>
          <t>SY020203</t>
        </is>
      </c>
    </row>
    <row r="1249" customFormat="1" s="8">
      <c r="A1249" s="200" t="inlineStr">
        <is>
          <t>admin4</t>
        </is>
      </c>
      <c r="B1249" s="200" t="inlineStr">
        <is>
          <t>C1272</t>
        </is>
      </c>
      <c r="C1249" s="200" t="inlineStr">
        <is>
          <t>Bab Laymun</t>
        </is>
      </c>
      <c r="D1249" s="200" t="inlineStr">
        <is>
          <t>باب ليمون</t>
        </is>
      </c>
      <c r="E1249" s="5" t="n"/>
      <c r="F1249" s="8" t="inlineStr">
        <is>
          <t>SY020203</t>
        </is>
      </c>
    </row>
    <row r="1250" customFormat="1" s="8">
      <c r="A1250" s="200" t="inlineStr">
        <is>
          <t>admin4</t>
        </is>
      </c>
      <c r="B1250" s="200" t="inlineStr">
        <is>
          <t>C1273</t>
        </is>
      </c>
      <c r="C1250" s="200" t="inlineStr">
        <is>
          <t>Hadabat</t>
        </is>
      </c>
      <c r="D1250" s="200" t="inlineStr">
        <is>
          <t>هضبات</t>
        </is>
      </c>
      <c r="E1250" s="5" t="n"/>
      <c r="F1250" s="8" t="inlineStr">
        <is>
          <t>SY020203</t>
        </is>
      </c>
    </row>
    <row r="1251" customFormat="1" s="8">
      <c r="A1251" s="200" t="inlineStr">
        <is>
          <t>admin4</t>
        </is>
      </c>
      <c r="B1251" s="200" t="inlineStr">
        <is>
          <t>C1253</t>
        </is>
      </c>
      <c r="C1251" s="200" t="inlineStr">
        <is>
          <t>Haji Kusa</t>
        </is>
      </c>
      <c r="D1251" s="200" t="inlineStr">
        <is>
          <t>حاجي كوسة</t>
        </is>
      </c>
      <c r="E1251" s="5" t="n"/>
      <c r="F1251" s="8" t="inlineStr">
        <is>
          <t>SY020203</t>
        </is>
      </c>
    </row>
    <row r="1252" customFormat="1" s="8">
      <c r="A1252" s="200" t="inlineStr">
        <is>
          <t>admin4</t>
        </is>
      </c>
      <c r="B1252" s="200" t="inlineStr">
        <is>
          <t>C1252</t>
        </is>
      </c>
      <c r="C1252" s="200" t="inlineStr">
        <is>
          <t>Haji Wali</t>
        </is>
      </c>
      <c r="D1252" s="200" t="inlineStr">
        <is>
          <t>حاجي ولي</t>
        </is>
      </c>
      <c r="E1252" s="5" t="n"/>
      <c r="F1252" s="8" t="inlineStr">
        <is>
          <t>SY020203</t>
        </is>
      </c>
    </row>
    <row r="1253" customFormat="1" s="8">
      <c r="A1253" s="200" t="inlineStr">
        <is>
          <t>admin4</t>
        </is>
      </c>
      <c r="B1253" s="200" t="inlineStr">
        <is>
          <t>C1251</t>
        </is>
      </c>
      <c r="C1253" s="200" t="inlineStr">
        <is>
          <t>Hleisa</t>
        </is>
      </c>
      <c r="D1253" s="200" t="inlineStr">
        <is>
          <t>حليصة</t>
        </is>
      </c>
      <c r="E1253" s="5" t="n"/>
      <c r="F1253" s="8" t="inlineStr">
        <is>
          <t>SY020203</t>
        </is>
      </c>
    </row>
    <row r="1254" customFormat="1" s="8">
      <c r="A1254" s="200" t="inlineStr">
        <is>
          <t>admin4</t>
        </is>
      </c>
      <c r="B1254" s="200" t="inlineStr">
        <is>
          <t>C1256</t>
        </is>
      </c>
      <c r="C1254" s="200" t="inlineStr">
        <is>
          <t>Jbine</t>
        </is>
      </c>
      <c r="D1254" s="200" t="inlineStr">
        <is>
          <t>جبين</t>
        </is>
      </c>
      <c r="E1254" s="5" t="n"/>
      <c r="F1254" s="8" t="inlineStr">
        <is>
          <t>SY020203</t>
        </is>
      </c>
    </row>
    <row r="1255" customFormat="1" s="8">
      <c r="A1255" s="200" t="inlineStr">
        <is>
          <t>admin4</t>
        </is>
      </c>
      <c r="B1255" s="200" t="inlineStr">
        <is>
          <t>C1274</t>
        </is>
      </c>
      <c r="C1255" s="200" t="inlineStr">
        <is>
          <t>Karsanli</t>
        </is>
      </c>
      <c r="D1255" s="200" t="inlineStr">
        <is>
          <t>كرسنلي</t>
        </is>
      </c>
      <c r="E1255" s="5" t="n"/>
      <c r="F1255" s="8" t="inlineStr">
        <is>
          <t>SY020203</t>
        </is>
      </c>
    </row>
    <row r="1256" customFormat="1" s="8">
      <c r="A1256" s="200" t="inlineStr">
        <is>
          <t>admin4</t>
        </is>
      </c>
      <c r="B1256" s="200" t="inlineStr">
        <is>
          <t>C1262</t>
        </is>
      </c>
      <c r="C1256" s="200" t="inlineStr">
        <is>
          <t>Khalilieyh</t>
        </is>
      </c>
      <c r="D1256" s="200" t="inlineStr">
        <is>
          <t>خليلية</t>
        </is>
      </c>
      <c r="E1256" s="5" t="n"/>
      <c r="F1256" s="8" t="inlineStr">
        <is>
          <t>SY020203</t>
        </is>
      </c>
    </row>
    <row r="1257" customFormat="1" s="8">
      <c r="A1257" s="200" t="inlineStr">
        <is>
          <t>admin4</t>
        </is>
      </c>
      <c r="B1257" s="200" t="inlineStr">
        <is>
          <t>C7607</t>
        </is>
      </c>
      <c r="C1257" s="200" t="inlineStr">
        <is>
          <t>Khirbet Bashir</t>
        </is>
      </c>
      <c r="D1257" s="200" t="inlineStr">
        <is>
          <t>خربة بشير</t>
        </is>
      </c>
      <c r="E1257" s="5" t="n"/>
      <c r="F1257" s="8" t="inlineStr">
        <is>
          <t>SY020203</t>
        </is>
      </c>
    </row>
    <row r="1258" customFormat="1" s="8">
      <c r="A1258" s="200" t="inlineStr">
        <is>
          <t>admin4</t>
        </is>
      </c>
      <c r="B1258" s="200" t="inlineStr">
        <is>
          <t>C1249</t>
        </is>
      </c>
      <c r="C1258" s="200" t="inlineStr">
        <is>
          <t>Matmana</t>
        </is>
      </c>
      <c r="D1258" s="200" t="inlineStr">
        <is>
          <t>المتمنة</t>
        </is>
      </c>
      <c r="E1258" s="5" t="n"/>
      <c r="F1258" s="8" t="inlineStr">
        <is>
          <t>SY020203</t>
        </is>
      </c>
    </row>
    <row r="1259" customFormat="1" s="8">
      <c r="A1259" s="200" t="inlineStr">
        <is>
          <t>admin4</t>
        </is>
      </c>
      <c r="B1259" s="200" t="inlineStr">
        <is>
          <t>C1254</t>
        </is>
      </c>
      <c r="C1259" s="200" t="inlineStr">
        <is>
          <t>Misannah Bab</t>
        </is>
      </c>
      <c r="D1259" s="200" t="inlineStr">
        <is>
          <t>المسنة الباب</t>
        </is>
      </c>
      <c r="E1259" s="5" t="n"/>
      <c r="F1259" s="8" t="inlineStr">
        <is>
          <t>SY020203</t>
        </is>
      </c>
    </row>
    <row r="1260" customFormat="1" s="8">
      <c r="A1260" s="200" t="inlineStr">
        <is>
          <t>admin4</t>
        </is>
      </c>
      <c r="B1260" s="200" t="inlineStr">
        <is>
          <t>C1257</t>
        </is>
      </c>
      <c r="C1260" s="200" t="inlineStr">
        <is>
          <t>Nahda</t>
        </is>
      </c>
      <c r="D1260" s="200" t="inlineStr">
        <is>
          <t>النهضة</t>
        </is>
      </c>
      <c r="E1260" s="5" t="n"/>
      <c r="F1260" s="8" t="inlineStr">
        <is>
          <t>SY020203</t>
        </is>
      </c>
    </row>
    <row r="1261" customFormat="1" s="8">
      <c r="A1261" s="200" t="inlineStr">
        <is>
          <t>admin4</t>
        </is>
      </c>
      <c r="B1261" s="200" t="inlineStr">
        <is>
          <t>C1275</t>
        </is>
      </c>
      <c r="C1261" s="200" t="inlineStr">
        <is>
          <t>Qantaret Elbab</t>
        </is>
      </c>
      <c r="D1261" s="200" t="inlineStr">
        <is>
          <t>قنطرة الباب</t>
        </is>
      </c>
      <c r="E1261" s="5" t="n"/>
      <c r="F1261" s="8" t="inlineStr">
        <is>
          <t>SY020203</t>
        </is>
      </c>
    </row>
    <row r="1262" customFormat="1" s="8">
      <c r="A1262" s="200" t="inlineStr">
        <is>
          <t>admin4</t>
        </is>
      </c>
      <c r="B1262" s="200" t="inlineStr">
        <is>
          <t>C8241</t>
        </is>
      </c>
      <c r="C1262" s="200" t="inlineStr">
        <is>
          <t>Raghibiyah</t>
        </is>
      </c>
      <c r="D1262" s="200" t="inlineStr">
        <is>
          <t>راغبية</t>
        </is>
      </c>
      <c r="E1262" s="5" t="n"/>
      <c r="F1262" s="8" t="inlineStr">
        <is>
          <t>SY020203</t>
        </is>
      </c>
    </row>
    <row r="1263" customFormat="1" s="8">
      <c r="A1263" s="200" t="inlineStr">
        <is>
          <t>admin4</t>
        </is>
      </c>
      <c r="B1263" s="200" t="inlineStr">
        <is>
          <t>C1248</t>
        </is>
      </c>
      <c r="C1263" s="200" t="inlineStr">
        <is>
          <t>Sandi</t>
        </is>
      </c>
      <c r="D1263" s="200" t="inlineStr">
        <is>
          <t>صندي</t>
        </is>
      </c>
      <c r="E1263" s="5" t="n"/>
      <c r="F1263" s="8" t="inlineStr">
        <is>
          <t>SY020203</t>
        </is>
      </c>
    </row>
    <row r="1264" customFormat="1" s="8">
      <c r="A1264" s="200" t="inlineStr">
        <is>
          <t>admin4</t>
        </is>
      </c>
      <c r="B1264" s="200" t="inlineStr">
        <is>
          <t>C1255</t>
        </is>
      </c>
      <c r="C1264" s="200" t="inlineStr">
        <is>
          <t>Shawa</t>
        </is>
      </c>
      <c r="D1264" s="200" t="inlineStr">
        <is>
          <t>شاوة</t>
        </is>
      </c>
      <c r="E1264" s="5" t="n"/>
      <c r="F1264" s="8" t="inlineStr">
        <is>
          <t>SY020203</t>
        </is>
      </c>
    </row>
    <row r="1265" customFormat="1" s="8">
      <c r="A1265" s="200" t="inlineStr">
        <is>
          <t>admin4</t>
        </is>
      </c>
      <c r="B1265" s="200" t="inlineStr">
        <is>
          <t>C1261</t>
        </is>
      </c>
      <c r="C1265" s="200" t="inlineStr">
        <is>
          <t>Silsileh</t>
        </is>
      </c>
      <c r="D1265" s="200" t="inlineStr">
        <is>
          <t>سلسلة</t>
        </is>
      </c>
      <c r="E1265" s="5" t="n"/>
      <c r="F1265" s="8" t="inlineStr">
        <is>
          <t>SY020203</t>
        </is>
      </c>
    </row>
    <row r="1266" customFormat="1" s="8">
      <c r="A1266" s="200" t="inlineStr">
        <is>
          <t>admin4</t>
        </is>
      </c>
      <c r="B1266" s="200" t="inlineStr">
        <is>
          <t>C8238</t>
        </is>
      </c>
      <c r="C1266" s="200" t="inlineStr">
        <is>
          <t>Tal Ahmar</t>
        </is>
      </c>
      <c r="D1266" s="200" t="inlineStr">
        <is>
          <t>تل احمر</t>
        </is>
      </c>
      <c r="E1266" s="5" t="n"/>
      <c r="F1266" s="8" t="inlineStr">
        <is>
          <t>SY020203</t>
        </is>
      </c>
    </row>
    <row r="1267" customFormat="1" s="8">
      <c r="A1267" s="200" t="inlineStr">
        <is>
          <t>admin4</t>
        </is>
      </c>
      <c r="B1267" s="200" t="inlineStr">
        <is>
          <t>C1271</t>
        </is>
      </c>
      <c r="C1267" s="200" t="inlineStr">
        <is>
          <t>Tal Atieh</t>
        </is>
      </c>
      <c r="D1267" s="200" t="inlineStr">
        <is>
          <t>تل عطية</t>
        </is>
      </c>
      <c r="E1267" s="5" t="n"/>
      <c r="F1267" s="8" t="inlineStr">
        <is>
          <t>SY020203</t>
        </is>
      </c>
    </row>
    <row r="1268" customFormat="1" s="8">
      <c r="A1268" s="200" t="inlineStr">
        <is>
          <t>admin4</t>
        </is>
      </c>
      <c r="B1268" s="200" t="inlineStr">
        <is>
          <t>C1267</t>
        </is>
      </c>
      <c r="C1268" s="200" t="inlineStr">
        <is>
          <t>Tal Eisheh</t>
        </is>
      </c>
      <c r="D1268" s="200" t="inlineStr">
        <is>
          <t>تل عيشة</t>
        </is>
      </c>
      <c r="E1268" s="5" t="n"/>
      <c r="F1268" s="8" t="inlineStr">
        <is>
          <t>SY020203</t>
        </is>
      </c>
    </row>
    <row r="1269" customFormat="1" s="8">
      <c r="A1269" s="200" t="inlineStr">
        <is>
          <t>admin4</t>
        </is>
      </c>
      <c r="B1269" s="200" t="inlineStr">
        <is>
          <t>C1269</t>
        </is>
      </c>
      <c r="C1269" s="200" t="inlineStr">
        <is>
          <t>Tal Elhawa</t>
        </is>
      </c>
      <c r="D1269" s="200" t="inlineStr">
        <is>
          <t>تل الهوى</t>
        </is>
      </c>
      <c r="E1269" s="5" t="n"/>
      <c r="F1269" s="8" t="inlineStr">
        <is>
          <t>SY020203</t>
        </is>
      </c>
    </row>
    <row r="1270" customFormat="1" s="8">
      <c r="A1270" s="200" t="inlineStr">
        <is>
          <t>admin4</t>
        </is>
      </c>
      <c r="B1270" s="200" t="inlineStr">
        <is>
          <t>C1258</t>
        </is>
      </c>
      <c r="C1270" s="200" t="inlineStr">
        <is>
          <t>Tal Mizab</t>
        </is>
      </c>
      <c r="D1270" s="200" t="inlineStr">
        <is>
          <t>تل ميزاب</t>
        </is>
      </c>
      <c r="E1270" s="5" t="n"/>
      <c r="F1270" s="8" t="inlineStr">
        <is>
          <t>SY020203</t>
        </is>
      </c>
    </row>
    <row r="1271" customFormat="1" s="8">
      <c r="A1271" s="200" t="inlineStr">
        <is>
          <t>admin4</t>
        </is>
      </c>
      <c r="B1271" s="200" t="inlineStr">
        <is>
          <t>C8227</t>
        </is>
      </c>
      <c r="C1271" s="200" t="inlineStr">
        <is>
          <t>Tal Sfir</t>
        </is>
      </c>
      <c r="D1271" s="200" t="inlineStr">
        <is>
          <t>تل صفير</t>
        </is>
      </c>
      <c r="E1271" s="5" t="n"/>
      <c r="F1271" s="8" t="inlineStr">
        <is>
          <t>SY020203</t>
        </is>
      </c>
    </row>
    <row r="1272" customFormat="1" s="8">
      <c r="A1272" s="200" t="inlineStr">
        <is>
          <t>admin4</t>
        </is>
      </c>
      <c r="B1272" s="200" t="inlineStr">
        <is>
          <t>C8245</t>
        </is>
      </c>
      <c r="C1272" s="200" t="inlineStr">
        <is>
          <t>Thlaija Gharbi</t>
        </is>
      </c>
      <c r="D1272" s="200" t="inlineStr">
        <is>
          <t>ثليجة غربي</t>
        </is>
      </c>
      <c r="E1272" s="5" t="n"/>
      <c r="F1272" s="8" t="inlineStr">
        <is>
          <t>SY020203</t>
        </is>
      </c>
    </row>
    <row r="1273" customFormat="1" s="8">
      <c r="A1273" s="200" t="inlineStr">
        <is>
          <t>admin4</t>
        </is>
      </c>
      <c r="B1273" s="200" t="inlineStr">
        <is>
          <t>C1263</t>
        </is>
      </c>
      <c r="C1273" s="200" t="inlineStr">
        <is>
          <t>Tlilet Elbab</t>
        </is>
      </c>
      <c r="D1273" s="200" t="inlineStr">
        <is>
          <t>تليلة الباب</t>
        </is>
      </c>
      <c r="E1273" s="5" t="n"/>
      <c r="F1273" s="8" t="inlineStr">
        <is>
          <t>SY020203</t>
        </is>
      </c>
    </row>
    <row r="1274" customFormat="1" s="8">
      <c r="A1274" s="200" t="inlineStr">
        <is>
          <t>admin4</t>
        </is>
      </c>
      <c r="B1274" s="200" t="inlineStr">
        <is>
          <t>C1259</t>
        </is>
      </c>
      <c r="C1274" s="200" t="inlineStr">
        <is>
          <t>Tweiran</t>
        </is>
      </c>
      <c r="D1274" s="200" t="inlineStr">
        <is>
          <t>طويران</t>
        </is>
      </c>
      <c r="E1274" s="5" t="n"/>
      <c r="F1274" s="8" t="inlineStr">
        <is>
          <t>SY020203</t>
        </is>
      </c>
    </row>
    <row r="1275" customFormat="1" s="8">
      <c r="A1275" s="200" t="inlineStr">
        <is>
          <t>admin4</t>
        </is>
      </c>
      <c r="B1275" s="200" t="inlineStr">
        <is>
          <t>C1265</t>
        </is>
      </c>
      <c r="C1275" s="200" t="inlineStr">
        <is>
          <t>Um Elthadaya Mamli</t>
        </is>
      </c>
      <c r="D1275" s="200" t="inlineStr">
        <is>
          <t>أم الثدايا_ماملي</t>
        </is>
      </c>
      <c r="E1275" s="5" t="n"/>
      <c r="F1275" s="8" t="inlineStr">
        <is>
          <t>SY020203</t>
        </is>
      </c>
    </row>
    <row r="1276" customFormat="1" s="8">
      <c r="A1276" s="200" t="inlineStr">
        <is>
          <t>admin4</t>
        </is>
      </c>
      <c r="B1276" s="200" t="inlineStr">
        <is>
          <t>C1247</t>
        </is>
      </c>
      <c r="C1276" s="200" t="inlineStr">
        <is>
          <t>Waqf</t>
        </is>
      </c>
      <c r="D1276" s="200" t="inlineStr">
        <is>
          <t>الوقف</t>
        </is>
      </c>
      <c r="E1276" s="5" t="n"/>
      <c r="F1276" s="8" t="inlineStr">
        <is>
          <t>SY020203</t>
        </is>
      </c>
    </row>
    <row r="1277" customFormat="1" s="8">
      <c r="A1277" s="200" t="inlineStr">
        <is>
          <t>admin4</t>
        </is>
      </c>
      <c r="B1277" s="200" t="inlineStr">
        <is>
          <t>C1266</t>
        </is>
      </c>
      <c r="C1277" s="200" t="inlineStr">
        <is>
          <t>Zalaf</t>
        </is>
      </c>
      <c r="D1277" s="200" t="inlineStr">
        <is>
          <t>زلف</t>
        </is>
      </c>
      <c r="E1277" s="5" t="n"/>
      <c r="F1277" s="8" t="inlineStr">
        <is>
          <t>SY020203</t>
        </is>
      </c>
    </row>
    <row r="1278" customFormat="1" s="8">
      <c r="A1278" s="200" t="inlineStr">
        <is>
          <t>admin4</t>
        </is>
      </c>
      <c r="B1278" s="200" t="inlineStr">
        <is>
          <t>C1268</t>
        </is>
      </c>
      <c r="C1278" s="200" t="inlineStr">
        <is>
          <t>Zyaret Elbab</t>
        </is>
      </c>
      <c r="D1278" s="200" t="inlineStr">
        <is>
          <t>زيارة الباب</t>
        </is>
      </c>
      <c r="E1278" s="5" t="n"/>
      <c r="F1278" s="8" t="inlineStr">
        <is>
          <t>SY020203</t>
        </is>
      </c>
    </row>
    <row r="1279" customFormat="1" s="8">
      <c r="A1279" s="200" t="inlineStr">
        <is>
          <t>admin4</t>
        </is>
      </c>
      <c r="B1279" s="200" t="inlineStr">
        <is>
          <t>C1353</t>
        </is>
      </c>
      <c r="C1279" s="200" t="inlineStr">
        <is>
          <t>Abin - Efrin</t>
        </is>
      </c>
      <c r="D1279" s="200" t="inlineStr">
        <is>
          <t>ابين- عفرين</t>
        </is>
      </c>
      <c r="E1279" s="5" t="n"/>
      <c r="F1279" s="8" t="inlineStr">
        <is>
          <t>SY020300</t>
        </is>
      </c>
    </row>
    <row r="1280" customFormat="1" s="8">
      <c r="A1280" s="200" t="inlineStr">
        <is>
          <t>admin4</t>
        </is>
      </c>
      <c r="B1280" s="200" t="inlineStr">
        <is>
          <t>C1366</t>
        </is>
      </c>
      <c r="C1280" s="200" t="inlineStr">
        <is>
          <t>Afrin</t>
        </is>
      </c>
      <c r="D1280" s="200" t="inlineStr">
        <is>
          <t>عفرين</t>
        </is>
      </c>
      <c r="E1280" s="5" t="n"/>
      <c r="F1280" s="8" t="inlineStr">
        <is>
          <t>SY020300</t>
        </is>
      </c>
    </row>
    <row r="1281" customFormat="1" s="8">
      <c r="A1281" s="200" t="inlineStr">
        <is>
          <t>admin4</t>
        </is>
      </c>
      <c r="B1281" s="200" t="inlineStr">
        <is>
          <t>C7515</t>
        </is>
      </c>
      <c r="C1281" s="200" t="inlineStr">
        <is>
          <t>Al Jumaliyah</t>
        </is>
      </c>
      <c r="D1281" s="200" t="inlineStr">
        <is>
          <t>الجميلة</t>
        </is>
      </c>
      <c r="E1281" s="5" t="n"/>
      <c r="F1281" s="8" t="inlineStr">
        <is>
          <t>SY020300</t>
        </is>
      </c>
    </row>
    <row r="1282" customFormat="1" s="8">
      <c r="A1282" s="200" t="inlineStr">
        <is>
          <t>admin4</t>
        </is>
      </c>
      <c r="B1282" s="200" t="inlineStr">
        <is>
          <t>C1351</t>
        </is>
      </c>
      <c r="C1282" s="200" t="inlineStr">
        <is>
          <t>Bablit</t>
        </is>
      </c>
      <c r="D1282" s="200" t="inlineStr">
        <is>
          <t>بابليت</t>
        </is>
      </c>
      <c r="E1282" s="5" t="n"/>
      <c r="F1282" s="8" t="inlineStr">
        <is>
          <t>SY020300</t>
        </is>
      </c>
    </row>
    <row r="1283" customFormat="1" s="8">
      <c r="A1283" s="200" t="inlineStr">
        <is>
          <t>admin4</t>
        </is>
      </c>
      <c r="B1283" s="200" t="inlineStr">
        <is>
          <t>C1373</t>
        </is>
      </c>
      <c r="C1283" s="200" t="inlineStr">
        <is>
          <t>Baee</t>
        </is>
      </c>
      <c r="D1283" s="200" t="inlineStr">
        <is>
          <t>باعي</t>
        </is>
      </c>
      <c r="E1283" s="5" t="n"/>
      <c r="F1283" s="8" t="inlineStr">
        <is>
          <t>SY020300</t>
        </is>
      </c>
    </row>
    <row r="1284" customFormat="1" s="8">
      <c r="A1284" s="200" t="inlineStr">
        <is>
          <t>admin4</t>
        </is>
      </c>
      <c r="B1284" s="200" t="inlineStr">
        <is>
          <t>C1371</t>
        </is>
      </c>
      <c r="C1284" s="200" t="inlineStr">
        <is>
          <t>Baselhaya</t>
        </is>
      </c>
      <c r="D1284" s="200" t="inlineStr">
        <is>
          <t>باصلحايا</t>
        </is>
      </c>
      <c r="E1284" s="5" t="n"/>
      <c r="F1284" s="8" t="inlineStr">
        <is>
          <t>SY020300</t>
        </is>
      </c>
    </row>
    <row r="1285" customFormat="1" s="8">
      <c r="A1285" s="200" t="inlineStr">
        <is>
          <t>admin4</t>
        </is>
      </c>
      <c r="B1285" s="200" t="inlineStr">
        <is>
          <t>C1374</t>
        </is>
      </c>
      <c r="C1285" s="200" t="inlineStr">
        <is>
          <t>Basufan</t>
        </is>
      </c>
      <c r="D1285" s="200" t="inlineStr">
        <is>
          <t>باصوفان</t>
        </is>
      </c>
      <c r="E1285" s="5" t="n"/>
      <c r="F1285" s="8" t="inlineStr">
        <is>
          <t>SY020300</t>
        </is>
      </c>
    </row>
    <row r="1286" customFormat="1" s="8">
      <c r="A1286" s="200" t="inlineStr">
        <is>
          <t>admin4</t>
        </is>
      </c>
      <c r="B1286" s="200" t="inlineStr">
        <is>
          <t>C1376</t>
        </is>
      </c>
      <c r="C1286" s="200" t="inlineStr">
        <is>
          <t>Basuta</t>
        </is>
      </c>
      <c r="D1286" s="200" t="inlineStr">
        <is>
          <t>باسوطة</t>
        </is>
      </c>
      <c r="E1286" s="5" t="n"/>
      <c r="F1286" s="8" t="inlineStr">
        <is>
          <t>SY020300</t>
        </is>
      </c>
    </row>
    <row r="1287" customFormat="1" s="8">
      <c r="A1287" s="200" t="inlineStr">
        <is>
          <t>admin4</t>
        </is>
      </c>
      <c r="B1287" s="200" t="inlineStr">
        <is>
          <t>C1375</t>
        </is>
      </c>
      <c r="C1287" s="200" t="inlineStr">
        <is>
          <t>Brad</t>
        </is>
      </c>
      <c r="D1287" s="200" t="inlineStr">
        <is>
          <t>براد</t>
        </is>
      </c>
      <c r="E1287" s="5" t="n"/>
      <c r="F1287" s="8" t="inlineStr">
        <is>
          <t>SY020300</t>
        </is>
      </c>
    </row>
    <row r="1288" customFormat="1" s="8">
      <c r="A1288" s="200" t="inlineStr">
        <is>
          <t>admin4</t>
        </is>
      </c>
      <c r="B1288" s="200" t="inlineStr">
        <is>
          <t>C1369</t>
        </is>
      </c>
      <c r="C1288" s="200" t="inlineStr">
        <is>
          <t>Bseileh</t>
        </is>
      </c>
      <c r="D1288" s="200" t="inlineStr">
        <is>
          <t>البصلية</t>
        </is>
      </c>
      <c r="E1288" s="5" t="n"/>
      <c r="F1288" s="8" t="inlineStr">
        <is>
          <t>SY020300</t>
        </is>
      </c>
    </row>
    <row r="1289" customFormat="1" s="8">
      <c r="A1289" s="200" t="inlineStr">
        <is>
          <t>admin4</t>
        </is>
      </c>
      <c r="B1289" s="200" t="inlineStr">
        <is>
          <t>C1372</t>
        </is>
      </c>
      <c r="C1289" s="200" t="inlineStr">
        <is>
          <t>Bteita</t>
        </is>
      </c>
      <c r="D1289" s="200" t="inlineStr">
        <is>
          <t>بتيتة</t>
        </is>
      </c>
      <c r="E1289" s="5" t="n"/>
      <c r="F1289" s="8" t="inlineStr">
        <is>
          <t>SY020300</t>
        </is>
      </c>
    </row>
    <row r="1290" customFormat="1" s="8">
      <c r="A1290" s="200" t="inlineStr">
        <is>
          <t>admin4</t>
        </is>
      </c>
      <c r="B1290" s="200" t="inlineStr">
        <is>
          <t>C1377</t>
        </is>
      </c>
      <c r="C1290" s="200" t="inlineStr">
        <is>
          <t>Burj Abdallah</t>
        </is>
      </c>
      <c r="D1290" s="200" t="inlineStr">
        <is>
          <t>برج عبد الله</t>
        </is>
      </c>
      <c r="E1290" s="5" t="n"/>
      <c r="F1290" s="8" t="inlineStr">
        <is>
          <t>SY020300</t>
        </is>
      </c>
    </row>
    <row r="1291" customFormat="1" s="8">
      <c r="A1291" s="200" t="inlineStr">
        <is>
          <t>admin4</t>
        </is>
      </c>
      <c r="B1291" s="200" t="inlineStr">
        <is>
          <t>C1354</t>
        </is>
      </c>
      <c r="C1291" s="200" t="inlineStr">
        <is>
          <t>Burj Haydar</t>
        </is>
      </c>
      <c r="D1291" s="200" t="inlineStr">
        <is>
          <t>برج حيدر</t>
        </is>
      </c>
      <c r="E1291" s="5" t="n"/>
      <c r="F1291" s="8" t="inlineStr">
        <is>
          <t>SY020300</t>
        </is>
      </c>
    </row>
    <row r="1292" customFormat="1" s="8">
      <c r="A1292" s="200" t="inlineStr">
        <is>
          <t>admin4</t>
        </is>
      </c>
      <c r="B1292" s="200" t="inlineStr">
        <is>
          <t>C8123</t>
        </is>
      </c>
      <c r="C1292" s="200" t="inlineStr">
        <is>
          <t>Burj Slaiman</t>
        </is>
      </c>
      <c r="D1292" s="200" t="inlineStr">
        <is>
          <t>برج سليمان</t>
        </is>
      </c>
      <c r="E1292" s="5" t="n"/>
      <c r="F1292" s="8" t="inlineStr">
        <is>
          <t>SY020300</t>
        </is>
      </c>
    </row>
    <row r="1293" customFormat="1" s="8">
      <c r="A1293" s="200" t="inlineStr">
        <is>
          <t>admin4</t>
        </is>
      </c>
      <c r="B1293" s="200" t="inlineStr">
        <is>
          <t>C8178</t>
        </is>
      </c>
      <c r="C1293" s="200" t="inlineStr">
        <is>
          <t>Deir Meshmesh</t>
        </is>
      </c>
      <c r="D1293" s="200" t="inlineStr">
        <is>
          <t>دير مشمش</t>
        </is>
      </c>
      <c r="E1293" s="5" t="n"/>
      <c r="F1293" s="8" t="inlineStr">
        <is>
          <t>SY020300</t>
        </is>
      </c>
    </row>
    <row r="1294" customFormat="1" s="8">
      <c r="A1294" s="200" t="inlineStr">
        <is>
          <t>admin4</t>
        </is>
      </c>
      <c r="B1294" s="200" t="inlineStr">
        <is>
          <t>C1370</t>
        </is>
      </c>
      <c r="C1294" s="200" t="inlineStr">
        <is>
          <t>Ein Dara</t>
        </is>
      </c>
      <c r="D1294" s="200" t="inlineStr">
        <is>
          <t>عين دارة</t>
        </is>
      </c>
      <c r="E1294" s="5" t="n"/>
      <c r="F1294" s="8" t="inlineStr">
        <is>
          <t>SY020300</t>
        </is>
      </c>
    </row>
    <row r="1295" customFormat="1" s="8">
      <c r="A1295" s="200" t="inlineStr">
        <is>
          <t>admin4</t>
        </is>
      </c>
      <c r="B1295" s="200" t="inlineStr">
        <is>
          <t>C1367</t>
        </is>
      </c>
      <c r="C1295" s="200" t="inlineStr">
        <is>
          <t>Enab</t>
        </is>
      </c>
      <c r="D1295" s="200" t="inlineStr">
        <is>
          <t>اناب</t>
        </is>
      </c>
      <c r="E1295" s="5" t="n"/>
      <c r="F1295" s="8" t="inlineStr">
        <is>
          <t>SY020300</t>
        </is>
      </c>
    </row>
    <row r="1296" customFormat="1" s="8">
      <c r="A1296" s="200" t="inlineStr">
        <is>
          <t>admin4</t>
        </is>
      </c>
      <c r="B1296" s="200" t="inlineStr">
        <is>
          <t>C1352</t>
        </is>
      </c>
      <c r="C1296" s="200" t="inlineStr">
        <is>
          <t>Eskan</t>
        </is>
      </c>
      <c r="D1296" s="200" t="inlineStr">
        <is>
          <t>اسكان</t>
        </is>
      </c>
      <c r="E1296" s="5" t="n"/>
      <c r="F1296" s="8" t="inlineStr">
        <is>
          <t>SY020300</t>
        </is>
      </c>
    </row>
    <row r="1297" customFormat="1" s="8">
      <c r="A1297" s="200" t="inlineStr">
        <is>
          <t>admin4</t>
        </is>
      </c>
      <c r="B1297" s="200" t="inlineStr">
        <is>
          <t>C1383</t>
        </is>
      </c>
      <c r="C1297" s="200" t="inlineStr">
        <is>
          <t>Fafertein</t>
        </is>
      </c>
      <c r="D1297" s="200" t="inlineStr">
        <is>
          <t>فافرتين</t>
        </is>
      </c>
      <c r="E1297" s="5" t="n"/>
      <c r="F1297" s="8" t="inlineStr">
        <is>
          <t>SY020300</t>
        </is>
      </c>
    </row>
    <row r="1298" customFormat="1" s="8">
      <c r="A1298" s="200" t="inlineStr">
        <is>
          <t>admin4</t>
        </is>
      </c>
      <c r="B1298" s="200" t="inlineStr">
        <is>
          <t>C1378</t>
        </is>
      </c>
      <c r="C1298" s="200" t="inlineStr">
        <is>
          <t>Ghazawiyet Afrin</t>
        </is>
      </c>
      <c r="D1298" s="200" t="inlineStr">
        <is>
          <t>غزاوية عفرين</t>
        </is>
      </c>
      <c r="E1298" s="5" t="n"/>
      <c r="F1298" s="8" t="inlineStr">
        <is>
          <t>SY020300</t>
        </is>
      </c>
    </row>
    <row r="1299" customFormat="1" s="8">
      <c r="A1299" s="200" t="inlineStr">
        <is>
          <t>admin4</t>
        </is>
      </c>
      <c r="B1299" s="200" t="inlineStr">
        <is>
          <t>C1362</t>
        </is>
      </c>
      <c r="C1299" s="200" t="inlineStr">
        <is>
          <t>Hawa</t>
        </is>
      </c>
      <c r="D1299" s="200" t="inlineStr">
        <is>
          <t>الهوى</t>
        </is>
      </c>
      <c r="E1299" s="5" t="n"/>
      <c r="F1299" s="8" t="inlineStr">
        <is>
          <t>SY020300</t>
        </is>
      </c>
    </row>
    <row r="1300" customFormat="1" s="8">
      <c r="A1300" s="200" t="inlineStr">
        <is>
          <t>admin4</t>
        </is>
      </c>
      <c r="B1300" s="200" t="inlineStr">
        <is>
          <t>C1360</t>
        </is>
      </c>
      <c r="C1300" s="200" t="inlineStr">
        <is>
          <t>Jalbal</t>
        </is>
      </c>
      <c r="D1300" s="200" t="inlineStr">
        <is>
          <t>جلبل</t>
        </is>
      </c>
      <c r="E1300" s="5" t="n"/>
      <c r="F1300" s="8" t="inlineStr">
        <is>
          <t>SY020300</t>
        </is>
      </c>
    </row>
    <row r="1301" customFormat="1" s="8">
      <c r="A1301" s="200" t="inlineStr">
        <is>
          <t>admin4</t>
        </is>
      </c>
      <c r="B1301" s="200" t="inlineStr">
        <is>
          <t>C1380</t>
        </is>
      </c>
      <c r="C1301" s="200" t="inlineStr">
        <is>
          <t>Kabashin</t>
        </is>
      </c>
      <c r="D1301" s="200" t="inlineStr">
        <is>
          <t>كباشين</t>
        </is>
      </c>
      <c r="E1301" s="5" t="n"/>
      <c r="F1301" s="8" t="inlineStr">
        <is>
          <t>SY020300</t>
        </is>
      </c>
    </row>
    <row r="1302" customFormat="1" s="8">
      <c r="A1302" s="200" t="inlineStr">
        <is>
          <t>admin4</t>
        </is>
      </c>
      <c r="B1302" s="200" t="inlineStr">
        <is>
          <t>C1390</t>
        </is>
      </c>
      <c r="C1302" s="200" t="inlineStr">
        <is>
          <t>Kafir</t>
        </is>
      </c>
      <c r="D1302" s="200" t="inlineStr">
        <is>
          <t>كفير</t>
        </is>
      </c>
      <c r="E1302" s="5" t="n"/>
      <c r="F1302" s="8" t="inlineStr">
        <is>
          <t>SY020300</t>
        </is>
      </c>
    </row>
    <row r="1303" customFormat="1" s="8">
      <c r="A1303" s="200" t="inlineStr">
        <is>
          <t>admin4</t>
        </is>
      </c>
      <c r="B1303" s="200" t="inlineStr">
        <is>
          <t>C1388</t>
        </is>
      </c>
      <c r="C1303" s="200" t="inlineStr">
        <is>
          <t>Kafr Batra</t>
        </is>
      </c>
      <c r="D1303" s="200" t="inlineStr">
        <is>
          <t>كفر بطرة</t>
        </is>
      </c>
      <c r="E1303" s="5" t="n"/>
      <c r="F1303" s="8" t="inlineStr">
        <is>
          <t>SY020300</t>
        </is>
      </c>
    </row>
    <row r="1304" customFormat="1" s="8">
      <c r="A1304" s="200" t="inlineStr">
        <is>
          <t>admin4</t>
        </is>
      </c>
      <c r="B1304" s="200" t="inlineStr">
        <is>
          <t>C1389</t>
        </is>
      </c>
      <c r="C1304" s="200" t="inlineStr">
        <is>
          <t>Kafr Zeid</t>
        </is>
      </c>
      <c r="D1304" s="200" t="inlineStr">
        <is>
          <t>كفر زيد</t>
        </is>
      </c>
      <c r="E1304" s="5" t="n"/>
      <c r="F1304" s="8" t="inlineStr">
        <is>
          <t>SY020300</t>
        </is>
      </c>
    </row>
    <row r="1305" customFormat="1" s="8">
      <c r="A1305" s="200" t="inlineStr">
        <is>
          <t>admin4</t>
        </is>
      </c>
      <c r="B1305" s="200" t="inlineStr">
        <is>
          <t>C6395</t>
        </is>
      </c>
      <c r="C1305" s="200" t="inlineStr">
        <is>
          <t>Kafrmeez</t>
        </is>
      </c>
      <c r="D1305" s="200" t="inlineStr">
        <is>
          <t>كفرميز</t>
        </is>
      </c>
      <c r="E1305" s="5" t="n"/>
      <c r="F1305" s="8" t="inlineStr">
        <is>
          <t>SY020300</t>
        </is>
      </c>
    </row>
    <row r="1306" customFormat="1" s="8">
      <c r="A1306" s="200" t="inlineStr">
        <is>
          <t>admin4</t>
        </is>
      </c>
      <c r="B1306" s="200" t="inlineStr">
        <is>
          <t>C1385</t>
        </is>
      </c>
      <c r="C1306" s="200" t="inlineStr">
        <is>
          <t>Kafrshil</t>
        </is>
      </c>
      <c r="D1306" s="200" t="inlineStr">
        <is>
          <t>كفرشيل</t>
        </is>
      </c>
      <c r="E1306" s="5" t="n"/>
      <c r="F1306" s="8" t="inlineStr">
        <is>
          <t>SY020300</t>
        </is>
      </c>
    </row>
    <row r="1307" customFormat="1" s="8">
      <c r="A1307" s="200" t="inlineStr">
        <is>
          <t>admin4</t>
        </is>
      </c>
      <c r="B1307" s="200" t="inlineStr">
        <is>
          <t>C7465</t>
        </is>
      </c>
      <c r="C1307" s="200" t="inlineStr">
        <is>
          <t>Kaft Nabu</t>
        </is>
      </c>
      <c r="D1307" s="200" t="inlineStr">
        <is>
          <t>كفر نبو</t>
        </is>
      </c>
      <c r="E1307" s="5" t="n"/>
      <c r="F1307" s="8" t="inlineStr">
        <is>
          <t>SY020300</t>
        </is>
      </c>
    </row>
    <row r="1308" customFormat="1" s="8">
      <c r="A1308" s="200" t="inlineStr">
        <is>
          <t>admin4</t>
        </is>
      </c>
      <c r="B1308" s="200" t="inlineStr">
        <is>
          <t>C1381</t>
        </is>
      </c>
      <c r="C1308" s="200" t="inlineStr">
        <is>
          <t>Kawkabeh</t>
        </is>
      </c>
      <c r="D1308" s="200" t="inlineStr">
        <is>
          <t>كوكبة</t>
        </is>
      </c>
      <c r="E1308" s="5" t="n"/>
      <c r="F1308" s="8" t="inlineStr">
        <is>
          <t>SY020300</t>
        </is>
      </c>
    </row>
    <row r="1309" customFormat="1" s="8">
      <c r="A1309" s="200" t="inlineStr">
        <is>
          <t>admin4</t>
        </is>
      </c>
      <c r="B1309" s="200" t="inlineStr">
        <is>
          <t>C1365</t>
        </is>
      </c>
      <c r="C1309" s="200" t="inlineStr">
        <is>
          <t>Khadraa</t>
        </is>
      </c>
      <c r="D1309" s="200" t="inlineStr">
        <is>
          <t>الخضراء</t>
        </is>
      </c>
      <c r="E1309" s="5" t="n"/>
      <c r="F1309" s="8" t="inlineStr">
        <is>
          <t>SY020300</t>
        </is>
      </c>
    </row>
    <row r="1310" customFormat="1" s="8">
      <c r="A1310" s="200" t="inlineStr">
        <is>
          <t>admin4</t>
        </is>
      </c>
      <c r="B1310" s="200" t="inlineStr">
        <is>
          <t>C1364</t>
        </is>
      </c>
      <c r="C1310" s="200" t="inlineStr">
        <is>
          <t>Khaldiyet Afrin</t>
        </is>
      </c>
      <c r="D1310" s="200" t="inlineStr">
        <is>
          <t>خالدية عفرين</t>
        </is>
      </c>
      <c r="E1310" s="5" t="n"/>
      <c r="F1310" s="8" t="inlineStr">
        <is>
          <t>SY020300</t>
        </is>
      </c>
    </row>
    <row r="1311" customFormat="1" s="8">
      <c r="A1311" s="200" t="inlineStr">
        <is>
          <t>admin4</t>
        </is>
      </c>
      <c r="B1311" s="200" t="inlineStr">
        <is>
          <t>C1382</t>
        </is>
      </c>
      <c r="C1311" s="200" t="inlineStr">
        <is>
          <t>Kimar</t>
        </is>
      </c>
      <c r="D1311" s="200" t="inlineStr">
        <is>
          <t>كيمار</t>
        </is>
      </c>
      <c r="E1311" s="5" t="n"/>
      <c r="F1311" s="8" t="inlineStr">
        <is>
          <t>SY020300</t>
        </is>
      </c>
    </row>
    <row r="1312" customFormat="1" s="8">
      <c r="A1312" s="200" t="inlineStr">
        <is>
          <t>admin4</t>
        </is>
      </c>
      <c r="B1312" s="200" t="inlineStr">
        <is>
          <t>C1384</t>
        </is>
      </c>
      <c r="C1312" s="200" t="inlineStr">
        <is>
          <t>Marata</t>
        </is>
      </c>
      <c r="D1312" s="200" t="inlineStr">
        <is>
          <t>معراتة</t>
        </is>
      </c>
      <c r="E1312" s="5" t="n"/>
      <c r="F1312" s="8" t="inlineStr">
        <is>
          <t>SY020300</t>
        </is>
      </c>
    </row>
    <row r="1313" customFormat="1" s="8">
      <c r="A1313" s="200" t="inlineStr">
        <is>
          <t>admin4</t>
        </is>
      </c>
      <c r="B1313" s="200" t="inlineStr">
        <is>
          <t>C1386</t>
        </is>
      </c>
      <c r="C1313" s="200" t="inlineStr">
        <is>
          <t>Mreimin Afrin</t>
        </is>
      </c>
      <c r="D1313" s="200" t="inlineStr">
        <is>
          <t>مريمين عفرين</t>
        </is>
      </c>
      <c r="E1313" s="5" t="n"/>
      <c r="F1313" s="8" t="inlineStr">
        <is>
          <t>SY020300</t>
        </is>
      </c>
    </row>
    <row r="1314" customFormat="1" s="8">
      <c r="A1314" s="200" t="inlineStr">
        <is>
          <t>admin4</t>
        </is>
      </c>
      <c r="B1314" s="200" t="inlineStr">
        <is>
          <t>C6394</t>
        </is>
      </c>
      <c r="C1314" s="200" t="inlineStr">
        <is>
          <t>Muarset Khateeb</t>
        </is>
      </c>
      <c r="D1314" s="200" t="inlineStr">
        <is>
          <t>معرستة الخطيب</t>
        </is>
      </c>
      <c r="E1314" s="5" t="n"/>
      <c r="F1314" s="8" t="inlineStr">
        <is>
          <t>SY020300</t>
        </is>
      </c>
    </row>
    <row r="1315" customFormat="1" s="8">
      <c r="A1315" s="200" t="inlineStr">
        <is>
          <t>admin4</t>
        </is>
      </c>
      <c r="B1315" s="200" t="inlineStr">
        <is>
          <t>C1368</t>
        </is>
      </c>
      <c r="C1315" s="200" t="inlineStr">
        <is>
          <t>Nireh</t>
        </is>
      </c>
      <c r="D1315" s="200" t="inlineStr">
        <is>
          <t>النيرة</t>
        </is>
      </c>
      <c r="E1315" s="5" t="n"/>
      <c r="F1315" s="8" t="inlineStr">
        <is>
          <t>SY020300</t>
        </is>
      </c>
    </row>
    <row r="1316" customFormat="1" s="8">
      <c r="A1316" s="200" t="inlineStr">
        <is>
          <t>admin4</t>
        </is>
      </c>
      <c r="B1316" s="200" t="inlineStr">
        <is>
          <t>C1361</t>
        </is>
      </c>
      <c r="C1316" s="200" t="inlineStr">
        <is>
          <t>Oqayba</t>
        </is>
      </c>
      <c r="D1316" s="200" t="inlineStr">
        <is>
          <t>عقيبة</t>
        </is>
      </c>
      <c r="E1316" s="5" t="n"/>
      <c r="F1316" s="8" t="inlineStr">
        <is>
          <t>SY020300</t>
        </is>
      </c>
    </row>
    <row r="1317" customFormat="1" s="8">
      <c r="A1317" s="200" t="inlineStr">
        <is>
          <t>admin4</t>
        </is>
      </c>
      <c r="B1317" s="200" t="inlineStr">
        <is>
          <t>C1387</t>
        </is>
      </c>
      <c r="C1317" s="200" t="inlineStr">
        <is>
          <t>Qarzihel</t>
        </is>
      </c>
      <c r="D1317" s="200" t="inlineStr">
        <is>
          <t>قرزيحل</t>
        </is>
      </c>
      <c r="E1317" s="5" t="n"/>
      <c r="F1317" s="8" t="inlineStr">
        <is>
          <t>SY020300</t>
        </is>
      </c>
    </row>
    <row r="1318" customFormat="1" s="8">
      <c r="A1318" s="200" t="inlineStr">
        <is>
          <t>admin4</t>
        </is>
      </c>
      <c r="B1318" s="200" t="inlineStr">
        <is>
          <t>C1357</t>
        </is>
      </c>
      <c r="C1318" s="200" t="inlineStr">
        <is>
          <t>Shawarghet Elarz</t>
        </is>
      </c>
      <c r="D1318" s="200" t="inlineStr">
        <is>
          <t>شوارغة الأرز</t>
        </is>
      </c>
      <c r="E1318" s="5" t="n"/>
      <c r="F1318" s="8" t="inlineStr">
        <is>
          <t>SY020300</t>
        </is>
      </c>
    </row>
    <row r="1319" customFormat="1" s="8">
      <c r="A1319" s="200" t="inlineStr">
        <is>
          <t>admin4</t>
        </is>
      </c>
      <c r="B1319" s="200" t="inlineStr">
        <is>
          <t>C1356</t>
        </is>
      </c>
      <c r="C1319" s="200" t="inlineStr">
        <is>
          <t>Shawarghet Eljoz</t>
        </is>
      </c>
      <c r="D1319" s="200" t="inlineStr">
        <is>
          <t>شوارغة الجوز</t>
        </is>
      </c>
      <c r="E1319" s="5" t="n"/>
      <c r="F1319" s="8" t="inlineStr">
        <is>
          <t>SY020300</t>
        </is>
      </c>
    </row>
    <row r="1320" customFormat="1" s="8">
      <c r="A1320" s="200" t="inlineStr">
        <is>
          <t>admin4</t>
        </is>
      </c>
      <c r="B1320" s="200" t="inlineStr">
        <is>
          <t>C1359</t>
        </is>
      </c>
      <c r="C1320" s="200" t="inlineStr">
        <is>
          <t>Sheikh Eldeir</t>
        </is>
      </c>
      <c r="D1320" s="200" t="inlineStr">
        <is>
          <t>شيخ الدير</t>
        </is>
      </c>
      <c r="E1320" s="5" t="n"/>
      <c r="F1320" s="8" t="inlineStr">
        <is>
          <t>SY020300</t>
        </is>
      </c>
    </row>
    <row r="1321" customFormat="1" s="8">
      <c r="A1321" s="200" t="inlineStr">
        <is>
          <t>admin4</t>
        </is>
      </c>
      <c r="B1321" s="200" t="inlineStr">
        <is>
          <t>C6333</t>
        </is>
      </c>
      <c r="C1321" s="200" t="inlineStr">
        <is>
          <t>Tal Tawil</t>
        </is>
      </c>
      <c r="D1321" s="200" t="inlineStr">
        <is>
          <t>تل طويل</t>
        </is>
      </c>
      <c r="E1321" s="5" t="n"/>
      <c r="F1321" s="8" t="inlineStr">
        <is>
          <t>SY020300</t>
        </is>
      </c>
    </row>
    <row r="1322" customFormat="1" s="8">
      <c r="A1322" s="200" t="inlineStr">
        <is>
          <t>admin4</t>
        </is>
      </c>
      <c r="B1322" s="200" t="inlineStr">
        <is>
          <t>C1355</t>
        </is>
      </c>
      <c r="C1322" s="200" t="inlineStr">
        <is>
          <t>Tellef</t>
        </is>
      </c>
      <c r="D1322" s="200" t="inlineStr">
        <is>
          <t>تللف</t>
        </is>
      </c>
      <c r="E1322" s="5" t="n"/>
      <c r="F1322" s="8" t="inlineStr">
        <is>
          <t>SY020300</t>
        </is>
      </c>
    </row>
    <row r="1323" customFormat="1" s="8">
      <c r="A1323" s="200" t="inlineStr">
        <is>
          <t>admin4</t>
        </is>
      </c>
      <c r="B1323" s="200" t="inlineStr">
        <is>
          <t>C1363</t>
        </is>
      </c>
      <c r="C1323" s="200" t="inlineStr">
        <is>
          <t>Tharifa</t>
        </is>
      </c>
      <c r="D1323" s="200" t="inlineStr">
        <is>
          <t>الظريفة</t>
        </is>
      </c>
      <c r="E1323" s="5" t="n"/>
      <c r="F1323" s="8" t="inlineStr">
        <is>
          <t>SY020300</t>
        </is>
      </c>
    </row>
    <row r="1324" customFormat="1" s="8">
      <c r="A1324" s="200" t="inlineStr">
        <is>
          <t>admin4</t>
        </is>
      </c>
      <c r="B1324" s="200" t="inlineStr">
        <is>
          <t>C1379</t>
        </is>
      </c>
      <c r="C1324" s="200" t="inlineStr">
        <is>
          <t>Zahrat Elhayat</t>
        </is>
      </c>
      <c r="D1324" s="200" t="inlineStr">
        <is>
          <t>زهرةالحياة</t>
        </is>
      </c>
      <c r="E1324" s="5" t="n"/>
      <c r="F1324" s="8" t="inlineStr">
        <is>
          <t>SY020300</t>
        </is>
      </c>
    </row>
    <row r="1325" customFormat="1" s="8">
      <c r="A1325" s="200" t="inlineStr">
        <is>
          <t>admin4</t>
        </is>
      </c>
      <c r="B1325" s="200" t="inlineStr">
        <is>
          <t>C1358</t>
        </is>
      </c>
      <c r="C1325" s="200" t="inlineStr">
        <is>
          <t>Ziyara Afrin</t>
        </is>
      </c>
      <c r="D1325" s="200" t="inlineStr">
        <is>
          <t>الزيارة عفرين</t>
        </is>
      </c>
      <c r="E1325" s="5" t="n"/>
      <c r="F1325" s="8" t="inlineStr">
        <is>
          <t>SY020300</t>
        </is>
      </c>
    </row>
    <row r="1326" customFormat="1" s="8">
      <c r="A1326" s="200" t="inlineStr">
        <is>
          <t>admin4</t>
        </is>
      </c>
      <c r="B1326" s="200" t="inlineStr">
        <is>
          <t>C6393</t>
        </is>
      </c>
      <c r="C1326" s="200" t="inlineStr">
        <is>
          <t>Zuraikat</t>
        </is>
      </c>
      <c r="D1326" s="200" t="inlineStr">
        <is>
          <t>الزريقات</t>
        </is>
      </c>
      <c r="E1326" s="5" t="n"/>
      <c r="F1326" s="8" t="inlineStr">
        <is>
          <t>SY020300</t>
        </is>
      </c>
    </row>
    <row r="1327" customFormat="1" s="8">
      <c r="A1327" s="200" t="inlineStr">
        <is>
          <t>admin4</t>
        </is>
      </c>
      <c r="B1327" s="200" t="inlineStr">
        <is>
          <t>C1397</t>
        </is>
      </c>
      <c r="C1327" s="200" t="inlineStr">
        <is>
          <t>Abel</t>
        </is>
      </c>
      <c r="D1327" s="200" t="inlineStr">
        <is>
          <t>أبل</t>
        </is>
      </c>
      <c r="E1327" s="5" t="n"/>
      <c r="F1327" s="8" t="inlineStr">
        <is>
          <t>SY020301</t>
        </is>
      </c>
    </row>
    <row r="1328" customFormat="1" s="8">
      <c r="A1328" s="200" t="inlineStr">
        <is>
          <t>admin4</t>
        </is>
      </c>
      <c r="B1328" s="200" t="inlineStr">
        <is>
          <t>C1408</t>
        </is>
      </c>
      <c r="C1328" s="200" t="inlineStr">
        <is>
          <t>Ali Elatrash - Olikar</t>
        </is>
      </c>
      <c r="D1328" s="200" t="inlineStr">
        <is>
          <t>علي الأطرش_عليكار</t>
        </is>
      </c>
      <c r="E1328" s="5" t="n"/>
      <c r="F1328" s="8" t="inlineStr">
        <is>
          <t>SY020301</t>
        </is>
      </c>
    </row>
    <row r="1329" customFormat="1" s="8">
      <c r="A1329" s="200" t="inlineStr">
        <is>
          <t>admin4</t>
        </is>
      </c>
      <c r="B1329" s="200" t="inlineStr">
        <is>
          <t>C8286</t>
        </is>
      </c>
      <c r="C1329" s="200" t="inlineStr">
        <is>
          <t>Ali Jaru</t>
        </is>
      </c>
      <c r="D1329" s="200" t="inlineStr">
        <is>
          <t>علي جارو</t>
        </is>
      </c>
      <c r="E1329" s="5" t="n"/>
      <c r="F1329" s="8" t="inlineStr">
        <is>
          <t>SY020301</t>
        </is>
      </c>
    </row>
    <row r="1330" customFormat="1" s="8">
      <c r="A1330" s="200" t="inlineStr">
        <is>
          <t>admin4</t>
        </is>
      </c>
      <c r="B1330" s="200" t="inlineStr">
        <is>
          <t>C1411</t>
        </is>
      </c>
      <c r="C1330" s="200" t="inlineStr">
        <is>
          <t>Ashani</t>
        </is>
      </c>
      <c r="D1330" s="200" t="inlineStr">
        <is>
          <t>عشاني</t>
        </is>
      </c>
      <c r="E1330" s="5" t="n"/>
      <c r="F1330" s="8" t="inlineStr">
        <is>
          <t>SY020301</t>
        </is>
      </c>
    </row>
    <row r="1331" customFormat="1" s="8">
      <c r="A1331" s="200" t="inlineStr">
        <is>
          <t>admin4</t>
        </is>
      </c>
      <c r="B1331" s="200" t="inlineStr">
        <is>
          <t>C1407</t>
        </is>
      </c>
      <c r="C1331" s="200" t="inlineStr">
        <is>
          <t>Bali - Koy</t>
        </is>
      </c>
      <c r="D1331" s="200" t="inlineStr">
        <is>
          <t>بالي_كوي</t>
        </is>
      </c>
      <c r="E1331" s="5" t="n"/>
      <c r="F1331" s="8" t="inlineStr">
        <is>
          <t>SY020301</t>
        </is>
      </c>
    </row>
    <row r="1332" customFormat="1" s="8">
      <c r="A1332" s="200" t="inlineStr">
        <is>
          <t>admin4</t>
        </is>
      </c>
      <c r="B1332" s="200" t="inlineStr">
        <is>
          <t>C8263</t>
        </is>
      </c>
      <c r="C1332" s="200" t="inlineStr">
        <is>
          <t>Beylan</t>
        </is>
      </c>
      <c r="D1332" s="200" t="inlineStr">
        <is>
          <t>بيلان</t>
        </is>
      </c>
      <c r="E1332" s="5" t="n"/>
      <c r="F1332" s="8" t="inlineStr">
        <is>
          <t>SY020301</t>
        </is>
      </c>
    </row>
    <row r="1333" customFormat="1" s="8">
      <c r="A1333" s="200" t="inlineStr">
        <is>
          <t>admin4</t>
        </is>
      </c>
      <c r="B1333" s="200" t="inlineStr">
        <is>
          <t>C1391</t>
        </is>
      </c>
      <c r="C1333" s="200" t="inlineStr">
        <is>
          <t>Bulbul</t>
        </is>
      </c>
      <c r="D1333" s="200" t="inlineStr">
        <is>
          <t>بلبل</t>
        </is>
      </c>
      <c r="E1333" s="5" t="n"/>
      <c r="F1333" s="8" t="inlineStr">
        <is>
          <t>SY020301</t>
        </is>
      </c>
    </row>
    <row r="1334" customFormat="1" s="8">
      <c r="A1334" s="200" t="inlineStr">
        <is>
          <t>admin4</t>
        </is>
      </c>
      <c r="B1334" s="200" t="inlineStr">
        <is>
          <t>C1399</t>
        </is>
      </c>
      <c r="C1334" s="200" t="inlineStr">
        <is>
          <t>Deir Hasan</t>
        </is>
      </c>
      <c r="D1334" s="200" t="inlineStr">
        <is>
          <t>دير حسن</t>
        </is>
      </c>
      <c r="E1334" s="5" t="n"/>
      <c r="F1334" s="8" t="inlineStr">
        <is>
          <t>SY020301</t>
        </is>
      </c>
    </row>
    <row r="1335" customFormat="1" s="8">
      <c r="A1335" s="200" t="inlineStr">
        <is>
          <t>admin4</t>
        </is>
      </c>
      <c r="B1335" s="200" t="inlineStr">
        <is>
          <t>C1398</t>
        </is>
      </c>
      <c r="C1335" s="200" t="inlineStr">
        <is>
          <t>Dik</t>
        </is>
      </c>
      <c r="D1335" s="200" t="inlineStr">
        <is>
          <t>الديك</t>
        </is>
      </c>
      <c r="E1335" s="5" t="n"/>
      <c r="F1335" s="8" t="inlineStr">
        <is>
          <t>SY020301</t>
        </is>
      </c>
    </row>
    <row r="1336" customFormat="1" s="8">
      <c r="A1336" s="200" t="inlineStr">
        <is>
          <t>admin4</t>
        </is>
      </c>
      <c r="B1336" s="200" t="inlineStr">
        <is>
          <t>C8285</t>
        </is>
      </c>
      <c r="C1336" s="200" t="inlineStr">
        <is>
          <t>Dobera</t>
        </is>
      </c>
      <c r="D1336" s="200" t="inlineStr">
        <is>
          <t>دوبيرة</t>
        </is>
      </c>
      <c r="E1336" s="5" t="n"/>
      <c r="F1336" s="8" t="inlineStr">
        <is>
          <t>SY020301</t>
        </is>
      </c>
    </row>
    <row r="1337" customFormat="1" s="8">
      <c r="A1337" s="200" t="inlineStr">
        <is>
          <t>admin4</t>
        </is>
      </c>
      <c r="B1337" s="200" t="inlineStr">
        <is>
          <t>C8289</t>
        </is>
      </c>
      <c r="C1337" s="200" t="inlineStr">
        <is>
          <t>Hafatro</t>
        </is>
      </c>
      <c r="D1337" s="200" t="inlineStr">
        <is>
          <t>حفتارو</t>
        </is>
      </c>
      <c r="E1337" s="5" t="n"/>
      <c r="F1337" s="8" t="inlineStr">
        <is>
          <t>SY020301</t>
        </is>
      </c>
    </row>
    <row r="1338" customFormat="1" s="8">
      <c r="A1338" s="200" t="inlineStr">
        <is>
          <t>admin4</t>
        </is>
      </c>
      <c r="B1338" s="200" t="inlineStr">
        <is>
          <t>C1402</t>
        </is>
      </c>
      <c r="C1338" s="200" t="inlineStr">
        <is>
          <t>Hajeb - Qash Ogli</t>
        </is>
      </c>
      <c r="D1338" s="200" t="inlineStr">
        <is>
          <t>الحاجب_قاش أوغلي</t>
        </is>
      </c>
      <c r="E1338" s="5" t="n"/>
      <c r="F1338" s="8" t="inlineStr">
        <is>
          <t>SY020301</t>
        </is>
      </c>
    </row>
    <row r="1339" customFormat="1" s="8">
      <c r="A1339" s="200" t="inlineStr">
        <is>
          <t>admin4</t>
        </is>
      </c>
      <c r="B1339" s="200" t="inlineStr">
        <is>
          <t>C8293</t>
        </is>
      </c>
      <c r="C1339" s="200" t="inlineStr">
        <is>
          <t>Hayamli</t>
        </is>
      </c>
      <c r="D1339" s="200" t="inlineStr">
        <is>
          <t>هياملي</t>
        </is>
      </c>
      <c r="E1339" s="5" t="n"/>
      <c r="F1339" s="8" t="inlineStr">
        <is>
          <t>SY020301</t>
        </is>
      </c>
    </row>
    <row r="1340" customFormat="1" s="8">
      <c r="A1340" s="200" t="inlineStr">
        <is>
          <t>admin4</t>
        </is>
      </c>
      <c r="B1340" s="200" t="inlineStr">
        <is>
          <t>C1417</t>
        </is>
      </c>
      <c r="C1340" s="200" t="inlineStr">
        <is>
          <t>Hozan</t>
        </is>
      </c>
      <c r="D1340" s="200" t="inlineStr">
        <is>
          <t>هوزان</t>
        </is>
      </c>
      <c r="E1340" s="5" t="n"/>
      <c r="F1340" s="8" t="inlineStr">
        <is>
          <t>SY020301</t>
        </is>
      </c>
    </row>
    <row r="1341" customFormat="1" s="8">
      <c r="A1341" s="200" t="inlineStr">
        <is>
          <t>admin4</t>
        </is>
      </c>
      <c r="B1341" s="200" t="inlineStr">
        <is>
          <t>C7640</t>
        </is>
      </c>
      <c r="C1341" s="200" t="inlineStr">
        <is>
          <t>Jolaqi</t>
        </is>
      </c>
      <c r="D1341" s="200" t="inlineStr">
        <is>
          <t>جولاقي</t>
        </is>
      </c>
      <c r="E1341" s="5" t="n"/>
      <c r="F1341" s="8" t="inlineStr">
        <is>
          <t>SY020301</t>
        </is>
      </c>
    </row>
    <row r="1342" customFormat="1" s="8">
      <c r="A1342" s="200" t="inlineStr">
        <is>
          <t>admin4</t>
        </is>
      </c>
      <c r="B1342" s="200" t="inlineStr">
        <is>
          <t>C1394</t>
        </is>
      </c>
      <c r="C1342" s="200" t="inlineStr">
        <is>
          <t>Khader</t>
        </is>
      </c>
      <c r="D1342" s="200" t="inlineStr">
        <is>
          <t>خضر</t>
        </is>
      </c>
      <c r="E1342" s="5" t="n"/>
      <c r="F1342" s="8" t="inlineStr">
        <is>
          <t>SY020301</t>
        </is>
      </c>
    </row>
    <row r="1343" customFormat="1" s="8">
      <c r="A1343" s="200" t="inlineStr">
        <is>
          <t>admin4</t>
        </is>
      </c>
      <c r="B1343" s="200" t="inlineStr">
        <is>
          <t>C1404</t>
        </is>
      </c>
      <c r="C1343" s="200" t="inlineStr">
        <is>
          <t>Khalil - Khleilak</t>
        </is>
      </c>
      <c r="D1343" s="200" t="inlineStr">
        <is>
          <t>الخليل_خليلاك</t>
        </is>
      </c>
      <c r="E1343" s="5" t="n"/>
      <c r="F1343" s="8" t="inlineStr">
        <is>
          <t>SY020301</t>
        </is>
      </c>
    </row>
    <row r="1344" customFormat="1" s="8">
      <c r="A1344" s="200" t="inlineStr">
        <is>
          <t>admin4</t>
        </is>
      </c>
      <c r="B1344" s="200" t="inlineStr">
        <is>
          <t>C8278</t>
        </is>
      </c>
      <c r="C1344" s="200" t="inlineStr">
        <is>
          <t>Kurazli</t>
        </is>
      </c>
      <c r="D1344" s="200" t="inlineStr">
        <is>
          <t>قورزلي</t>
        </is>
      </c>
      <c r="E1344" s="5" t="n"/>
      <c r="F1344" s="8" t="inlineStr">
        <is>
          <t>SY020301</t>
        </is>
      </c>
    </row>
    <row r="1345" customFormat="1" s="8">
      <c r="A1345" s="200" t="inlineStr">
        <is>
          <t>admin4</t>
        </is>
      </c>
      <c r="B1345" s="200" t="inlineStr">
        <is>
          <t>C1414</t>
        </is>
      </c>
      <c r="C1345" s="200" t="inlineStr">
        <is>
          <t>Marwiyeh</t>
        </is>
      </c>
      <c r="D1345" s="200" t="inlineStr">
        <is>
          <t>المروية</t>
        </is>
      </c>
      <c r="E1345" s="5" t="n"/>
      <c r="F1345" s="8" t="inlineStr">
        <is>
          <t>SY020301</t>
        </is>
      </c>
    </row>
    <row r="1346" customFormat="1" s="8">
      <c r="A1346" s="200" t="inlineStr">
        <is>
          <t>admin4</t>
        </is>
      </c>
      <c r="B1346" s="200" t="inlineStr">
        <is>
          <t>C1413</t>
        </is>
      </c>
      <c r="C1346" s="200" t="inlineStr">
        <is>
          <t>Mudallala Afrin - Eastern Kotanly</t>
        </is>
      </c>
      <c r="D1346" s="200" t="inlineStr">
        <is>
          <t>المدللة عفرين_كوتانلي شرقي</t>
        </is>
      </c>
      <c r="E1346" s="5" t="n"/>
      <c r="F1346" s="8" t="inlineStr">
        <is>
          <t>SY020301</t>
        </is>
      </c>
    </row>
    <row r="1347" customFormat="1" s="8">
      <c r="A1347" s="200" t="inlineStr">
        <is>
          <t>admin4</t>
        </is>
      </c>
      <c r="B1347" s="200" t="inlineStr">
        <is>
          <t>C1393</t>
        </is>
      </c>
      <c r="C1347" s="200" t="inlineStr">
        <is>
          <t>Oba Beik Oba Basi</t>
        </is>
      </c>
      <c r="D1347" s="200" t="inlineStr">
        <is>
          <t>أوبة_بيك أوبه باسي</t>
        </is>
      </c>
      <c r="E1347" s="5" t="n"/>
      <c r="F1347" s="8" t="inlineStr">
        <is>
          <t>SY020301</t>
        </is>
      </c>
    </row>
    <row r="1348" customFormat="1" s="8">
      <c r="A1348" s="200" t="inlineStr">
        <is>
          <t>admin4</t>
        </is>
      </c>
      <c r="B1348" s="200" t="inlineStr">
        <is>
          <t>C1395</t>
        </is>
      </c>
      <c r="C1348" s="200" t="inlineStr">
        <is>
          <t>Obudan</t>
        </is>
      </c>
      <c r="D1348" s="200" t="inlineStr">
        <is>
          <t>عبودان</t>
        </is>
      </c>
      <c r="E1348" s="5" t="n"/>
      <c r="F1348" s="8" t="inlineStr">
        <is>
          <t>SY020301</t>
        </is>
      </c>
    </row>
    <row r="1349" customFormat="1" s="8">
      <c r="A1349" s="200" t="inlineStr">
        <is>
          <t>admin4</t>
        </is>
      </c>
      <c r="B1349" s="200" t="inlineStr">
        <is>
          <t>C1409</t>
        </is>
      </c>
      <c r="C1349" s="200" t="inlineStr">
        <is>
          <t>Okan</t>
        </is>
      </c>
      <c r="D1349" s="200" t="inlineStr">
        <is>
          <t>عوكان</t>
        </is>
      </c>
      <c r="E1349" s="5" t="n"/>
      <c r="F1349" s="8" t="inlineStr">
        <is>
          <t>SY020301</t>
        </is>
      </c>
    </row>
    <row r="1350" customFormat="1" s="8">
      <c r="A1350" s="200" t="inlineStr">
        <is>
          <t>admin4</t>
        </is>
      </c>
      <c r="B1350" s="200" t="inlineStr">
        <is>
          <t>C1416</t>
        </is>
      </c>
      <c r="C1350" s="200" t="inlineStr">
        <is>
          <t>Qastal Miqdad</t>
        </is>
      </c>
      <c r="D1350" s="200" t="inlineStr">
        <is>
          <t>قسطل مقداد</t>
        </is>
      </c>
      <c r="E1350" s="5" t="n"/>
      <c r="F1350" s="8" t="inlineStr">
        <is>
          <t>SY020301</t>
        </is>
      </c>
    </row>
    <row r="1351" customFormat="1" s="8">
      <c r="A1351" s="200" t="inlineStr">
        <is>
          <t>admin4</t>
        </is>
      </c>
      <c r="B1351" s="200" t="inlineStr">
        <is>
          <t>C1418</t>
        </is>
      </c>
      <c r="C1351" s="200" t="inlineStr">
        <is>
          <t>Qorna</t>
        </is>
      </c>
      <c r="D1351" s="200" t="inlineStr">
        <is>
          <t>قورنة</t>
        </is>
      </c>
      <c r="E1351" s="5" t="n"/>
      <c r="F1351" s="8" t="inlineStr">
        <is>
          <t>SY020301</t>
        </is>
      </c>
    </row>
    <row r="1352" customFormat="1" s="8">
      <c r="A1352" s="200" t="inlineStr">
        <is>
          <t>admin4</t>
        </is>
      </c>
      <c r="B1352" s="200" t="inlineStr">
        <is>
          <t>C1415</t>
        </is>
      </c>
      <c r="C1352" s="200" t="inlineStr">
        <is>
          <t>Qotan</t>
        </is>
      </c>
      <c r="D1352" s="200" t="inlineStr">
        <is>
          <t>قوطان</t>
        </is>
      </c>
      <c r="E1352" s="5" t="n"/>
      <c r="F1352" s="8" t="inlineStr">
        <is>
          <t>SY020301</t>
        </is>
      </c>
    </row>
    <row r="1353" customFormat="1" s="8">
      <c r="A1353" s="200" t="inlineStr">
        <is>
          <t>admin4</t>
        </is>
      </c>
      <c r="B1353" s="200" t="inlineStr">
        <is>
          <t>C1403</t>
        </is>
      </c>
      <c r="C1353" s="200" t="inlineStr">
        <is>
          <t>Ras Ahmar</t>
        </is>
      </c>
      <c r="D1353" s="200" t="inlineStr">
        <is>
          <t>الرأس الأحمر</t>
        </is>
      </c>
      <c r="E1353" s="5" t="n"/>
      <c r="F1353" s="8" t="inlineStr">
        <is>
          <t>SY020301</t>
        </is>
      </c>
    </row>
    <row r="1354" customFormat="1" s="8">
      <c r="A1354" s="200" t="inlineStr">
        <is>
          <t>admin4</t>
        </is>
      </c>
      <c r="B1354" s="200" t="inlineStr">
        <is>
          <t>C1405</t>
        </is>
      </c>
      <c r="C1354" s="200" t="inlineStr">
        <is>
          <t>Sagher - Sagher Oba Si</t>
        </is>
      </c>
      <c r="D1354" s="200" t="inlineStr">
        <is>
          <t>صاغر_صاغر أوبه سي</t>
        </is>
      </c>
      <c r="E1354" s="5" t="n"/>
      <c r="F1354" s="8" t="inlineStr">
        <is>
          <t>SY020301</t>
        </is>
      </c>
    </row>
    <row r="1355" customFormat="1" s="8">
      <c r="A1355" s="200" t="inlineStr">
        <is>
          <t>admin4</t>
        </is>
      </c>
      <c r="B1355" s="200" t="inlineStr">
        <is>
          <t>C1392</t>
        </is>
      </c>
      <c r="C1355" s="200" t="inlineStr">
        <is>
          <t>Samha Kilani</t>
        </is>
      </c>
      <c r="D1355" s="200" t="inlineStr">
        <is>
          <t>السمحة_كيلانلي</t>
        </is>
      </c>
      <c r="E1355" s="5" t="n"/>
      <c r="F1355" s="8" t="inlineStr">
        <is>
          <t>SY020301</t>
        </is>
      </c>
    </row>
    <row r="1356" customFormat="1" s="8">
      <c r="A1356" s="200" t="inlineStr">
        <is>
          <t>admin4</t>
        </is>
      </c>
      <c r="B1356" s="200" t="inlineStr">
        <is>
          <t>C1400</t>
        </is>
      </c>
      <c r="C1356" s="200" t="inlineStr">
        <is>
          <t>Sara</t>
        </is>
      </c>
      <c r="D1356" s="200" t="inlineStr">
        <is>
          <t>السعرة</t>
        </is>
      </c>
      <c r="E1356" s="5" t="n"/>
      <c r="F1356" s="8" t="inlineStr">
        <is>
          <t>SY020301</t>
        </is>
      </c>
    </row>
    <row r="1357" customFormat="1" s="8">
      <c r="A1357" s="200" t="inlineStr">
        <is>
          <t>admin4</t>
        </is>
      </c>
      <c r="B1357" s="200" t="inlineStr">
        <is>
          <t>C1396</t>
        </is>
      </c>
      <c r="C1357" s="200" t="inlineStr">
        <is>
          <t>Sharqan</t>
        </is>
      </c>
      <c r="D1357" s="200" t="inlineStr">
        <is>
          <t>شرقان</t>
        </is>
      </c>
      <c r="E1357" s="5" t="n"/>
      <c r="F1357" s="8" t="inlineStr">
        <is>
          <t>SY020301</t>
        </is>
      </c>
    </row>
    <row r="1358" customFormat="1" s="8">
      <c r="A1358" s="200" t="inlineStr">
        <is>
          <t>admin4</t>
        </is>
      </c>
      <c r="B1358" s="200" t="inlineStr">
        <is>
          <t>C1410</t>
        </is>
      </c>
      <c r="C1358" s="200" t="inlineStr">
        <is>
          <t>Sheikh Khoraz</t>
        </is>
      </c>
      <c r="D1358" s="200" t="inlineStr">
        <is>
          <t>شيخ خورز</t>
        </is>
      </c>
      <c r="E1358" s="5" t="n"/>
      <c r="F1358" s="8" t="inlineStr">
        <is>
          <t>SY020301</t>
        </is>
      </c>
    </row>
    <row r="1359" customFormat="1" s="8">
      <c r="A1359" s="200" t="inlineStr">
        <is>
          <t>admin4</t>
        </is>
      </c>
      <c r="B1359" s="200" t="inlineStr">
        <is>
          <t>C1412</t>
        </is>
      </c>
      <c r="C1359" s="200" t="inlineStr">
        <is>
          <t>Tafla</t>
        </is>
      </c>
      <c r="D1359" s="200" t="inlineStr">
        <is>
          <t>الطفلة</t>
        </is>
      </c>
      <c r="E1359" s="5" t="n"/>
      <c r="F1359" s="8" t="inlineStr">
        <is>
          <t>SY020301</t>
        </is>
      </c>
    </row>
    <row r="1360" customFormat="1" s="8">
      <c r="A1360" s="200" t="inlineStr">
        <is>
          <t>admin4</t>
        </is>
      </c>
      <c r="B1360" s="200" t="inlineStr">
        <is>
          <t>C1401</t>
        </is>
      </c>
      <c r="C1360" s="200" t="inlineStr">
        <is>
          <t>Yabseh</t>
        </is>
      </c>
      <c r="D1360" s="200" t="inlineStr">
        <is>
          <t>اليابسة</t>
        </is>
      </c>
      <c r="E1360" s="5" t="n"/>
      <c r="F1360" s="8" t="inlineStr">
        <is>
          <t>SY020301</t>
        </is>
      </c>
    </row>
    <row r="1361" customFormat="1" s="8">
      <c r="A1361" s="200" t="inlineStr">
        <is>
          <t>admin4</t>
        </is>
      </c>
      <c r="B1361" s="200" t="inlineStr">
        <is>
          <t>C1406</t>
        </is>
      </c>
      <c r="C1361" s="200" t="inlineStr">
        <is>
          <t>Za'ra</t>
        </is>
      </c>
      <c r="D1361" s="200" t="inlineStr">
        <is>
          <t>زعرة</t>
        </is>
      </c>
      <c r="E1361" s="5" t="n"/>
      <c r="F1361" s="8" t="inlineStr">
        <is>
          <t>SY020301</t>
        </is>
      </c>
    </row>
    <row r="1362" customFormat="1" s="8">
      <c r="A1362" s="200" t="inlineStr">
        <is>
          <t>admin4</t>
        </is>
      </c>
      <c r="B1362" s="200" t="inlineStr">
        <is>
          <t>C6396</t>
        </is>
      </c>
      <c r="C1362" s="200" t="inlineStr">
        <is>
          <t>Zfnek</t>
        </is>
      </c>
      <c r="D1362" s="200" t="inlineStr">
        <is>
          <t>زفنك</t>
        </is>
      </c>
      <c r="E1362" s="5" t="n"/>
      <c r="F1362" s="8" t="inlineStr">
        <is>
          <t>SY020301</t>
        </is>
      </c>
    </row>
    <row r="1363" customFormat="1" s="8">
      <c r="A1363" s="200" t="inlineStr">
        <is>
          <t>admin4</t>
        </is>
      </c>
      <c r="B1363" s="200" t="inlineStr">
        <is>
          <t>C8151</t>
        </is>
      </c>
      <c r="C1363" s="200" t="inlineStr">
        <is>
          <t>Abu Ka'ab</t>
        </is>
      </c>
      <c r="D1363" s="200" t="inlineStr">
        <is>
          <t>أبو كعب</t>
        </is>
      </c>
      <c r="E1363" s="5" t="n"/>
      <c r="F1363" s="8" t="inlineStr">
        <is>
          <t>SY020302</t>
        </is>
      </c>
    </row>
    <row r="1364" customFormat="1" s="8">
      <c r="A1364" s="200" t="inlineStr">
        <is>
          <t>admin4</t>
        </is>
      </c>
      <c r="B1364" s="200" t="inlineStr">
        <is>
          <t>C8156</t>
        </is>
      </c>
      <c r="C1364" s="200" t="inlineStr">
        <is>
          <t>Baflur</t>
        </is>
      </c>
      <c r="D1364" s="200" t="inlineStr">
        <is>
          <t>بفلور</t>
        </is>
      </c>
      <c r="E1364" s="5" t="n"/>
      <c r="F1364" s="8" t="inlineStr">
        <is>
          <t>SY020302</t>
        </is>
      </c>
    </row>
    <row r="1365" customFormat="1" s="8">
      <c r="A1365" s="200" t="inlineStr">
        <is>
          <t>admin4</t>
        </is>
      </c>
      <c r="B1365" s="200" t="inlineStr">
        <is>
          <t>C1434</t>
        </is>
      </c>
      <c r="C1365" s="200" t="inlineStr">
        <is>
          <t>Bayada - Jendris</t>
        </is>
      </c>
      <c r="D1365" s="200" t="inlineStr">
        <is>
          <t>البياضة - جنديرس</t>
        </is>
      </c>
      <c r="E1365" s="5" t="n"/>
      <c r="F1365" s="8" t="inlineStr">
        <is>
          <t>SY020302</t>
        </is>
      </c>
    </row>
    <row r="1366" customFormat="1" s="8">
      <c r="A1366" s="200" t="inlineStr">
        <is>
          <t>admin4</t>
        </is>
      </c>
      <c r="B1366" s="200" t="inlineStr">
        <is>
          <t>C1428</t>
        </is>
      </c>
      <c r="C1366" s="200" t="inlineStr">
        <is>
          <t>Burj Kmush</t>
        </is>
      </c>
      <c r="D1366" s="200" t="inlineStr">
        <is>
          <t>برج كموش</t>
        </is>
      </c>
      <c r="E1366" s="5" t="n"/>
      <c r="F1366" s="8" t="inlineStr">
        <is>
          <t>SY020302</t>
        </is>
      </c>
    </row>
    <row r="1367" customFormat="1" s="8">
      <c r="A1367" s="200" t="inlineStr">
        <is>
          <t>admin4</t>
        </is>
      </c>
      <c r="B1367" s="200" t="inlineStr">
        <is>
          <t>C1423</t>
        </is>
      </c>
      <c r="C1367" s="200" t="inlineStr">
        <is>
          <t>Dakhm</t>
        </is>
      </c>
      <c r="D1367" s="200" t="inlineStr">
        <is>
          <t>الضخم</t>
        </is>
      </c>
      <c r="E1367" s="5" t="n"/>
      <c r="F1367" s="8" t="inlineStr">
        <is>
          <t>SY020302</t>
        </is>
      </c>
    </row>
    <row r="1368" customFormat="1" s="8">
      <c r="A1368" s="200" t="inlineStr">
        <is>
          <t>admin4</t>
        </is>
      </c>
      <c r="B1368" s="200" t="inlineStr">
        <is>
          <t>C1435</t>
        </is>
      </c>
      <c r="C1368" s="200" t="inlineStr">
        <is>
          <t>Deir Ballut</t>
        </is>
      </c>
      <c r="D1368" s="200" t="inlineStr">
        <is>
          <t>دير بلوط</t>
        </is>
      </c>
      <c r="E1368" s="5" t="n"/>
      <c r="F1368" s="8" t="inlineStr">
        <is>
          <t>SY020302</t>
        </is>
      </c>
    </row>
    <row r="1369" customFormat="1" s="8">
      <c r="A1369" s="200" t="inlineStr">
        <is>
          <t>admin4</t>
        </is>
      </c>
      <c r="B1369" s="200" t="inlineStr">
        <is>
          <t>C8130</t>
        </is>
      </c>
      <c r="C1369" s="200" t="inlineStr">
        <is>
          <t>Dukan</t>
        </is>
      </c>
      <c r="D1369" s="200" t="inlineStr">
        <is>
          <t>دوكان</t>
        </is>
      </c>
      <c r="E1369" s="5" t="n"/>
      <c r="F1369" s="8" t="inlineStr">
        <is>
          <t>SY020302</t>
        </is>
      </c>
    </row>
    <row r="1370" customFormat="1" s="8">
      <c r="A1370" s="200" t="inlineStr">
        <is>
          <t>admin4</t>
        </is>
      </c>
      <c r="B1370" s="200" t="inlineStr">
        <is>
          <t>C1441</t>
        </is>
      </c>
      <c r="C1370" s="200" t="inlineStr">
        <is>
          <t>Eastern Eshkan</t>
        </is>
      </c>
      <c r="D1370" s="200" t="inlineStr">
        <is>
          <t>اشكان شرقي</t>
        </is>
      </c>
      <c r="E1370" s="5" t="n"/>
      <c r="F1370" s="8" t="inlineStr">
        <is>
          <t>SY020302</t>
        </is>
      </c>
    </row>
    <row r="1371" customFormat="1" s="8">
      <c r="A1371" s="200" t="inlineStr">
        <is>
          <t>admin4</t>
        </is>
      </c>
      <c r="B1371" s="200" t="inlineStr">
        <is>
          <t>C1440</t>
        </is>
      </c>
      <c r="C1371" s="200" t="inlineStr">
        <is>
          <t>Fasha</t>
        </is>
      </c>
      <c r="D1371" s="200" t="inlineStr">
        <is>
          <t>الفسحة</t>
        </is>
      </c>
      <c r="E1371" s="5" t="n"/>
      <c r="F1371" s="8" t="inlineStr">
        <is>
          <t>SY020302</t>
        </is>
      </c>
    </row>
    <row r="1372" customFormat="1" s="8">
      <c r="A1372" s="200" t="inlineStr">
        <is>
          <t>admin4</t>
        </is>
      </c>
      <c r="B1372" s="200" t="inlineStr">
        <is>
          <t>C1446</t>
        </is>
      </c>
      <c r="C1372" s="200" t="inlineStr">
        <is>
          <t>Freiriyeh</t>
        </is>
      </c>
      <c r="D1372" s="200" t="inlineStr">
        <is>
          <t>فريرية</t>
        </is>
      </c>
      <c r="E1372" s="5" t="n"/>
      <c r="F1372" s="8" t="inlineStr">
        <is>
          <t>SY020302</t>
        </is>
      </c>
    </row>
    <row r="1373" customFormat="1" s="8">
      <c r="A1373" s="200" t="inlineStr">
        <is>
          <t>admin4</t>
        </is>
      </c>
      <c r="B1373" s="200" t="inlineStr">
        <is>
          <t>C1420</t>
        </is>
      </c>
      <c r="C1373" s="200" t="inlineStr">
        <is>
          <t>Haj Eskandar</t>
        </is>
      </c>
      <c r="D1373" s="200" t="inlineStr">
        <is>
          <t>حاج اسكندر</t>
        </is>
      </c>
      <c r="E1373" s="5" t="n"/>
      <c r="F1373" s="8" t="inlineStr">
        <is>
          <t>SY020302</t>
        </is>
      </c>
    </row>
    <row r="1374" customFormat="1" s="8">
      <c r="A1374" s="200" t="inlineStr">
        <is>
          <t>admin4</t>
        </is>
      </c>
      <c r="B1374" s="200" t="inlineStr">
        <is>
          <t>C8184</t>
        </is>
      </c>
      <c r="C1374" s="200" t="inlineStr">
        <is>
          <t>Haji Hasanli</t>
        </is>
      </c>
      <c r="D1374" s="200" t="inlineStr">
        <is>
          <t>حجي حسنلي</t>
        </is>
      </c>
      <c r="E1374" s="5" t="n"/>
      <c r="F1374" s="8" t="inlineStr">
        <is>
          <t>SY020302</t>
        </is>
      </c>
    </row>
    <row r="1375" customFormat="1" s="8">
      <c r="A1375" s="200" t="inlineStr">
        <is>
          <t>admin4</t>
        </is>
      </c>
      <c r="B1375" s="200" t="inlineStr">
        <is>
          <t>C8150</t>
        </is>
      </c>
      <c r="C1375" s="200" t="inlineStr">
        <is>
          <t>Hajilar</t>
        </is>
      </c>
      <c r="D1375" s="200" t="inlineStr">
        <is>
          <t>حجلار</t>
        </is>
      </c>
      <c r="E1375" s="5" t="n"/>
      <c r="F1375" s="8" t="inlineStr">
        <is>
          <t>SY020302</t>
        </is>
      </c>
    </row>
    <row r="1376" customFormat="1" s="8">
      <c r="A1376" s="200" t="inlineStr">
        <is>
          <t>admin4</t>
        </is>
      </c>
      <c r="B1376" s="200" t="inlineStr">
        <is>
          <t>C1427</t>
        </is>
      </c>
      <c r="C1376" s="200" t="inlineStr">
        <is>
          <t>Hamam</t>
        </is>
      </c>
      <c r="D1376" s="200" t="inlineStr">
        <is>
          <t>الحمام</t>
        </is>
      </c>
      <c r="E1376" s="5" t="n"/>
      <c r="F1376" s="8" t="inlineStr">
        <is>
          <t>SY020302</t>
        </is>
      </c>
    </row>
    <row r="1377" customFormat="1" s="8">
      <c r="A1377" s="200" t="inlineStr">
        <is>
          <t>admin4</t>
        </is>
      </c>
      <c r="B1377" s="200" t="inlineStr">
        <is>
          <t>C8166</t>
        </is>
      </c>
      <c r="C1377" s="200" t="inlineStr">
        <is>
          <t>Hikageh</t>
        </is>
      </c>
      <c r="D1377" s="200" t="inlineStr">
        <is>
          <t>هيكجة</t>
        </is>
      </c>
      <c r="E1377" s="5" t="n"/>
      <c r="F1377" s="8" t="inlineStr">
        <is>
          <t>SY020302</t>
        </is>
      </c>
    </row>
    <row r="1378" customFormat="1" s="8">
      <c r="A1378" s="200" t="inlineStr">
        <is>
          <t>admin4</t>
        </is>
      </c>
      <c r="B1378" s="200" t="inlineStr">
        <is>
          <t>C6397</t>
        </is>
      </c>
      <c r="C1378" s="200" t="inlineStr">
        <is>
          <t>Hmlak-Hmelek</t>
        </is>
      </c>
      <c r="D1378" s="200" t="inlineStr">
        <is>
          <t>حملك-حميلك</t>
        </is>
      </c>
      <c r="E1378" s="5" t="n"/>
      <c r="F1378" s="8" t="inlineStr">
        <is>
          <t>SY020302</t>
        </is>
      </c>
    </row>
    <row r="1379" customFormat="1" s="8">
      <c r="A1379" s="200" t="inlineStr">
        <is>
          <t>admin4</t>
        </is>
      </c>
      <c r="B1379" s="200" t="inlineStr">
        <is>
          <t>C1425</t>
        </is>
      </c>
      <c r="C1379" s="200" t="inlineStr">
        <is>
          <t>Jalaq</t>
        </is>
      </c>
      <c r="D1379" s="200" t="inlineStr">
        <is>
          <t>جلق</t>
        </is>
      </c>
      <c r="E1379" s="5" t="n"/>
      <c r="F1379" s="8" t="inlineStr">
        <is>
          <t>SY020302</t>
        </is>
      </c>
    </row>
    <row r="1380" customFormat="1" s="8">
      <c r="A1380" s="200" t="inlineStr">
        <is>
          <t>admin4</t>
        </is>
      </c>
      <c r="B1380" s="200" t="inlineStr">
        <is>
          <t>C1424</t>
        </is>
      </c>
      <c r="C1380" s="200" t="inlineStr">
        <is>
          <t>Jalma</t>
        </is>
      </c>
      <c r="D1380" s="200" t="inlineStr">
        <is>
          <t>جلمة</t>
        </is>
      </c>
      <c r="E1380" s="5" t="n"/>
      <c r="F1380" s="8" t="inlineStr">
        <is>
          <t>SY020302</t>
        </is>
      </c>
    </row>
    <row r="1381" customFormat="1" s="8">
      <c r="A1381" s="200" t="inlineStr">
        <is>
          <t>admin4</t>
        </is>
      </c>
      <c r="B1381" s="200" t="inlineStr">
        <is>
          <t>C1426</t>
        </is>
      </c>
      <c r="C1381" s="200" t="inlineStr">
        <is>
          <t>Jandairis</t>
        </is>
      </c>
      <c r="D1381" s="200" t="inlineStr">
        <is>
          <t>جنديرس</t>
        </is>
      </c>
      <c r="E1381" s="5" t="n"/>
      <c r="F1381" s="8" t="inlineStr">
        <is>
          <t>SY020302</t>
        </is>
      </c>
    </row>
    <row r="1382" customFormat="1" s="8">
      <c r="A1382" s="200" t="inlineStr">
        <is>
          <t>admin4</t>
        </is>
      </c>
      <c r="B1382" s="200" t="inlineStr">
        <is>
          <t>C1421</t>
        </is>
      </c>
      <c r="C1382" s="200" t="inlineStr">
        <is>
          <t>Jum Afrin</t>
        </is>
      </c>
      <c r="D1382" s="200" t="inlineStr">
        <is>
          <t>جوم عفرين</t>
        </is>
      </c>
      <c r="E1382" s="5" t="n"/>
      <c r="F1382" s="8" t="inlineStr">
        <is>
          <t>SY020302</t>
        </is>
      </c>
    </row>
    <row r="1383" customFormat="1" s="8">
      <c r="A1383" s="200" t="inlineStr">
        <is>
          <t>admin4</t>
        </is>
      </c>
      <c r="B1383" s="200" t="inlineStr">
        <is>
          <t>C1449</t>
        </is>
      </c>
      <c r="C1383" s="200" t="inlineStr">
        <is>
          <t>Kafr Safra</t>
        </is>
      </c>
      <c r="D1383" s="200" t="inlineStr">
        <is>
          <t>كفر صفرة</t>
        </is>
      </c>
      <c r="E1383" s="5" t="n"/>
      <c r="F1383" s="8" t="inlineStr">
        <is>
          <t>SY020302</t>
        </is>
      </c>
    </row>
    <row r="1384" customFormat="1" s="8">
      <c r="A1384" s="200" t="inlineStr">
        <is>
          <t>admin4</t>
        </is>
      </c>
      <c r="B1384" s="200" t="inlineStr">
        <is>
          <t>C1432</t>
        </is>
      </c>
      <c r="C1384" s="200" t="inlineStr">
        <is>
          <t>Kharzan</t>
        </is>
      </c>
      <c r="D1384" s="200" t="inlineStr">
        <is>
          <t>خرزان</t>
        </is>
      </c>
      <c r="E1384" s="5" t="n"/>
      <c r="F1384" s="8" t="inlineStr">
        <is>
          <t>SY020302</t>
        </is>
      </c>
    </row>
    <row r="1385" customFormat="1" s="8">
      <c r="A1385" s="200" t="inlineStr">
        <is>
          <t>admin4</t>
        </is>
      </c>
      <c r="B1385" s="200" t="inlineStr">
        <is>
          <t>C8161</t>
        </is>
      </c>
      <c r="C1385" s="200" t="inlineStr">
        <is>
          <t>Khureibah/Qurbe</t>
        </is>
      </c>
      <c r="D1385" s="200" t="inlineStr">
        <is>
          <t>خريبة / قربة</t>
        </is>
      </c>
      <c r="E1385" s="5" t="n"/>
      <c r="F1385" s="8" t="inlineStr">
        <is>
          <t>SY020302</t>
        </is>
      </c>
    </row>
    <row r="1386" customFormat="1" s="8">
      <c r="A1386" s="200" t="inlineStr">
        <is>
          <t>admin4</t>
        </is>
      </c>
      <c r="B1386" s="200" t="inlineStr">
        <is>
          <t>C7490</t>
        </is>
      </c>
      <c r="C1386" s="200" t="inlineStr">
        <is>
          <t>Koban</t>
        </is>
      </c>
      <c r="D1386" s="200" t="inlineStr">
        <is>
          <t>كوبان</t>
        </is>
      </c>
      <c r="E1386" s="5" t="n"/>
      <c r="F1386" s="8" t="inlineStr">
        <is>
          <t>SY020302</t>
        </is>
      </c>
    </row>
    <row r="1387" customFormat="1" s="8">
      <c r="A1387" s="200" t="inlineStr">
        <is>
          <t>admin4</t>
        </is>
      </c>
      <c r="B1387" s="200" t="inlineStr">
        <is>
          <t>C1447</t>
        </is>
      </c>
      <c r="C1387" s="200" t="inlineStr">
        <is>
          <t>Koran Jandris</t>
        </is>
      </c>
      <c r="D1387" s="200" t="inlineStr">
        <is>
          <t>كوران جنديرس</t>
        </is>
      </c>
      <c r="E1387" s="5" t="n"/>
      <c r="F1387" s="8" t="inlineStr">
        <is>
          <t>SY020302</t>
        </is>
      </c>
    </row>
    <row r="1388" customFormat="1" s="8">
      <c r="A1388" s="200" t="inlineStr">
        <is>
          <t>admin4</t>
        </is>
      </c>
      <c r="B1388" s="200" t="inlineStr">
        <is>
          <t>C1445</t>
        </is>
      </c>
      <c r="C1388" s="200" t="inlineStr">
        <is>
          <t>Kordan</t>
        </is>
      </c>
      <c r="D1388" s="200" t="inlineStr">
        <is>
          <t>كوردان</t>
        </is>
      </c>
      <c r="E1388" s="5" t="n"/>
      <c r="F1388" s="8" t="inlineStr">
        <is>
          <t>SY020302</t>
        </is>
      </c>
    </row>
    <row r="1389" customFormat="1" s="8">
      <c r="A1389" s="200" t="inlineStr">
        <is>
          <t>admin4</t>
        </is>
      </c>
      <c r="B1389" s="200" t="inlineStr">
        <is>
          <t>C1448</t>
        </is>
      </c>
      <c r="C1389" s="200" t="inlineStr">
        <is>
          <t>Lower Kafardali</t>
        </is>
      </c>
      <c r="D1389" s="200" t="inlineStr">
        <is>
          <t>كفردلي تحتاني</t>
        </is>
      </c>
      <c r="E1389" s="5" t="n"/>
      <c r="F1389" s="8" t="inlineStr">
        <is>
          <t>SY020302</t>
        </is>
      </c>
    </row>
    <row r="1390" customFormat="1" s="8">
      <c r="A1390" s="200" t="inlineStr">
        <is>
          <t>admin4</t>
        </is>
      </c>
      <c r="B1390" s="200" t="inlineStr">
        <is>
          <t>C6399</t>
        </is>
      </c>
      <c r="C1390" s="200" t="inlineStr">
        <is>
          <t>Lower-Marwana</t>
        </is>
      </c>
      <c r="D1390" s="200" t="inlineStr">
        <is>
          <t>مروانة تحتاني</t>
        </is>
      </c>
      <c r="E1390" s="5" t="n"/>
      <c r="F1390" s="8" t="inlineStr">
        <is>
          <t>SY020302</t>
        </is>
      </c>
    </row>
    <row r="1391" customFormat="1" s="8">
      <c r="A1391" s="200" t="inlineStr">
        <is>
          <t>admin4</t>
        </is>
      </c>
      <c r="B1391" s="200" t="inlineStr">
        <is>
          <t>C8135</t>
        </is>
      </c>
      <c r="C1391" s="200" t="inlineStr">
        <is>
          <t>Mhamadia</t>
        </is>
      </c>
      <c r="D1391" s="200" t="inlineStr">
        <is>
          <t>محمودية</t>
        </is>
      </c>
      <c r="E1391" s="5" t="n"/>
      <c r="F1391" s="8" t="inlineStr">
        <is>
          <t>SY020302</t>
        </is>
      </c>
    </row>
    <row r="1392" customFormat="1" s="8">
      <c r="A1392" s="200" t="inlineStr">
        <is>
          <t>admin4</t>
        </is>
      </c>
      <c r="B1392" s="200" t="inlineStr">
        <is>
          <t>C1439</t>
        </is>
      </c>
      <c r="C1392" s="200" t="inlineStr">
        <is>
          <t>Nisriyeh</t>
        </is>
      </c>
      <c r="D1392" s="200" t="inlineStr">
        <is>
          <t>النسرية</t>
        </is>
      </c>
      <c r="E1392" s="5" t="n"/>
      <c r="F1392" s="8" t="inlineStr">
        <is>
          <t>SY020302</t>
        </is>
      </c>
    </row>
    <row r="1393" customFormat="1" s="8">
      <c r="A1393" s="200" t="inlineStr">
        <is>
          <t>admin4</t>
        </is>
      </c>
      <c r="B1393" s="200" t="inlineStr">
        <is>
          <t>C8160</t>
        </is>
      </c>
      <c r="C1393" s="200" t="inlineStr">
        <is>
          <t>Qila</t>
        </is>
      </c>
      <c r="D1393" s="200" t="inlineStr">
        <is>
          <t>قيلة</t>
        </is>
      </c>
      <c r="E1393" s="5" t="n"/>
      <c r="F1393" s="8" t="inlineStr">
        <is>
          <t>SY020302</t>
        </is>
      </c>
    </row>
    <row r="1394" customFormat="1" s="8">
      <c r="A1394" s="200" t="inlineStr">
        <is>
          <t>admin4</t>
        </is>
      </c>
      <c r="B1394" s="200" t="inlineStr">
        <is>
          <t>C1422</t>
        </is>
      </c>
      <c r="C1394" s="200" t="inlineStr">
        <is>
          <t>Ramadiyeh</t>
        </is>
      </c>
      <c r="D1394" s="200" t="inlineStr">
        <is>
          <t>رمادية</t>
        </is>
      </c>
      <c r="E1394" s="5" t="n"/>
      <c r="F1394" s="8" t="inlineStr">
        <is>
          <t>SY020302</t>
        </is>
      </c>
    </row>
    <row r="1395" customFormat="1" s="8">
      <c r="A1395" s="200" t="inlineStr">
        <is>
          <t>admin4</t>
        </is>
      </c>
      <c r="B1395" s="200" t="inlineStr">
        <is>
          <t>C1429</t>
        </is>
      </c>
      <c r="C1395" s="200" t="inlineStr">
        <is>
          <t>Ras Elosud - Qarablish</t>
        </is>
      </c>
      <c r="D1395" s="200" t="inlineStr">
        <is>
          <t>راس الأسود_قراباش</t>
        </is>
      </c>
      <c r="E1395" s="5" t="n"/>
      <c r="F1395" s="8" t="inlineStr">
        <is>
          <t>SY020302</t>
        </is>
      </c>
    </row>
    <row r="1396" customFormat="1" s="8">
      <c r="A1396" s="200" t="inlineStr">
        <is>
          <t>admin4</t>
        </is>
      </c>
      <c r="B1396" s="200" t="inlineStr">
        <is>
          <t>C1419</t>
        </is>
      </c>
      <c r="C1396" s="200" t="inlineStr">
        <is>
          <t>Sheikh Abel Rahman</t>
        </is>
      </c>
      <c r="D1396" s="200" t="inlineStr">
        <is>
          <t>شيخ عبد الرحمن</t>
        </is>
      </c>
      <c r="E1396" s="5" t="n"/>
      <c r="F1396" s="8" t="inlineStr">
        <is>
          <t>SY020302</t>
        </is>
      </c>
    </row>
    <row r="1397" customFormat="1" s="8">
      <c r="A1397" s="200" t="inlineStr">
        <is>
          <t>admin4</t>
        </is>
      </c>
      <c r="B1397" s="200" t="inlineStr">
        <is>
          <t>C1430</t>
        </is>
      </c>
      <c r="C1397" s="200" t="inlineStr">
        <is>
          <t>Tal Hamo</t>
        </is>
      </c>
      <c r="D1397" s="200" t="inlineStr">
        <is>
          <t>تل حمو</t>
        </is>
      </c>
      <c r="E1397" s="5" t="n"/>
      <c r="F1397" s="8" t="inlineStr">
        <is>
          <t>SY020302</t>
        </is>
      </c>
    </row>
    <row r="1398" customFormat="1" s="8">
      <c r="A1398" s="200" t="inlineStr">
        <is>
          <t>admin4</t>
        </is>
      </c>
      <c r="B1398" s="200" t="inlineStr">
        <is>
          <t>C1433</t>
        </is>
      </c>
      <c r="C1398" s="200" t="inlineStr">
        <is>
          <t>Tal Slur</t>
        </is>
      </c>
      <c r="D1398" s="200" t="inlineStr">
        <is>
          <t>تل سلور</t>
        </is>
      </c>
      <c r="E1398" s="5" t="n"/>
      <c r="F1398" s="8" t="inlineStr">
        <is>
          <t>SY020302</t>
        </is>
      </c>
    </row>
    <row r="1399" customFormat="1" s="8">
      <c r="A1399" s="200" t="inlineStr">
        <is>
          <t>admin4</t>
        </is>
      </c>
      <c r="B1399" s="200" t="inlineStr">
        <is>
          <t>C6398</t>
        </is>
      </c>
      <c r="C1399" s="200" t="inlineStr">
        <is>
          <t>Tatara-Tataranli</t>
        </is>
      </c>
      <c r="D1399" s="200" t="inlineStr">
        <is>
          <t>تاتارا-تاتارانلي</t>
        </is>
      </c>
      <c r="E1399" s="5" t="n"/>
      <c r="F1399" s="8" t="inlineStr">
        <is>
          <t>SY020302</t>
        </is>
      </c>
    </row>
    <row r="1400" customFormat="1" s="8">
      <c r="A1400" s="200" t="inlineStr">
        <is>
          <t>admin4</t>
        </is>
      </c>
      <c r="B1400" s="200" t="inlineStr">
        <is>
          <t>C1431</t>
        </is>
      </c>
      <c r="C1400" s="200" t="inlineStr">
        <is>
          <t>Upper Diwan</t>
        </is>
      </c>
      <c r="D1400" s="200" t="inlineStr">
        <is>
          <t>ديوان فوقاني</t>
        </is>
      </c>
      <c r="E1400" s="5" t="n"/>
      <c r="F1400" s="8" t="inlineStr">
        <is>
          <t>SY020302</t>
        </is>
      </c>
    </row>
    <row r="1401" customFormat="1" s="8">
      <c r="A1401" s="200" t="inlineStr">
        <is>
          <t>admin4</t>
        </is>
      </c>
      <c r="B1401" s="200" t="inlineStr">
        <is>
          <t>C1442</t>
        </is>
      </c>
      <c r="C1401" s="200" t="inlineStr">
        <is>
          <t>Upper Kafardali</t>
        </is>
      </c>
      <c r="D1401" s="200" t="inlineStr">
        <is>
          <t>كفردلي فوقاني</t>
        </is>
      </c>
      <c r="E1401" s="5" t="n"/>
      <c r="F1401" s="8" t="inlineStr">
        <is>
          <t>SY020302</t>
        </is>
      </c>
    </row>
    <row r="1402" customFormat="1" s="8">
      <c r="A1402" s="200" t="inlineStr">
        <is>
          <t>admin4</t>
        </is>
      </c>
      <c r="B1402" s="200" t="inlineStr">
        <is>
          <t>C1443</t>
        </is>
      </c>
      <c r="C1402" s="200" t="inlineStr">
        <is>
          <t>Upper Marwana</t>
        </is>
      </c>
      <c r="D1402" s="200" t="inlineStr">
        <is>
          <t>مروانة فوقاني</t>
        </is>
      </c>
      <c r="E1402" s="5" t="n"/>
      <c r="F1402" s="8" t="inlineStr">
        <is>
          <t>SY020302</t>
        </is>
      </c>
    </row>
    <row r="1403" customFormat="1" s="8">
      <c r="A1403" s="200" t="inlineStr">
        <is>
          <t>admin4</t>
        </is>
      </c>
      <c r="B1403" s="200" t="inlineStr">
        <is>
          <t>C1444</t>
        </is>
      </c>
      <c r="C1403" s="200" t="inlineStr">
        <is>
          <t>Upper Maskeh</t>
        </is>
      </c>
      <c r="D1403" s="200" t="inlineStr">
        <is>
          <t>مسكة فوقاني</t>
        </is>
      </c>
      <c r="E1403" s="5" t="n"/>
      <c r="F1403" s="8" t="inlineStr">
        <is>
          <t>SY020302</t>
        </is>
      </c>
    </row>
    <row r="1404" customFormat="1" s="8">
      <c r="A1404" s="200" t="inlineStr">
        <is>
          <t>admin4</t>
        </is>
      </c>
      <c r="B1404" s="200" t="inlineStr">
        <is>
          <t>C1437</t>
        </is>
      </c>
      <c r="C1404" s="200" t="inlineStr">
        <is>
          <t>Western Eshkab</t>
        </is>
      </c>
      <c r="D1404" s="200" t="inlineStr">
        <is>
          <t>اشكان غربي</t>
        </is>
      </c>
      <c r="E1404" s="5" t="n"/>
      <c r="F1404" s="8" t="inlineStr">
        <is>
          <t>SY020302</t>
        </is>
      </c>
    </row>
    <row r="1405" customFormat="1" s="8">
      <c r="A1405" s="200" t="inlineStr">
        <is>
          <t>admin4</t>
        </is>
      </c>
      <c r="B1405" s="200" t="inlineStr">
        <is>
          <t>C1436</t>
        </is>
      </c>
      <c r="C1405" s="200" t="inlineStr">
        <is>
          <t>Western Khaltan</t>
        </is>
      </c>
      <c r="D1405" s="200" t="inlineStr">
        <is>
          <t>خلطان غربي</t>
        </is>
      </c>
      <c r="E1405" s="5" t="n"/>
      <c r="F1405" s="8" t="inlineStr">
        <is>
          <t>SY020302</t>
        </is>
      </c>
    </row>
    <row r="1406" customFormat="1" s="8">
      <c r="A1406" s="200" t="inlineStr">
        <is>
          <t>admin4</t>
        </is>
      </c>
      <c r="B1406" s="200" t="inlineStr">
        <is>
          <t>C8146</t>
        </is>
      </c>
      <c r="C1406" s="200" t="inlineStr">
        <is>
          <t>Zalaqah</t>
        </is>
      </c>
      <c r="D1406" s="200" t="inlineStr">
        <is>
          <t>زلقة</t>
        </is>
      </c>
      <c r="E1406" s="5" t="n"/>
      <c r="F1406" s="8" t="inlineStr">
        <is>
          <t>SY020302</t>
        </is>
      </c>
    </row>
    <row r="1407" customFormat="1" s="8">
      <c r="A1407" s="200" t="inlineStr">
        <is>
          <t>admin4</t>
        </is>
      </c>
      <c r="B1407" s="200" t="inlineStr">
        <is>
          <t>C1438</t>
        </is>
      </c>
      <c r="C1407" s="200" t="inlineStr">
        <is>
          <t>Zanda</t>
        </is>
      </c>
      <c r="D1407" s="200" t="inlineStr">
        <is>
          <t>زندة</t>
        </is>
      </c>
      <c r="E1407" s="5" t="n"/>
      <c r="F1407" s="8" t="inlineStr">
        <is>
          <t>SY020302</t>
        </is>
      </c>
    </row>
    <row r="1408" customFormat="1" s="8">
      <c r="A1408" s="200" t="inlineStr">
        <is>
          <t>admin4</t>
        </is>
      </c>
      <c r="B1408" s="200" t="inlineStr">
        <is>
          <t>C1458</t>
        </is>
      </c>
      <c r="C1408" s="200" t="inlineStr">
        <is>
          <t>Aaliaa - Ali Baski</t>
        </is>
      </c>
      <c r="D1408" s="200" t="inlineStr">
        <is>
          <t>العلياء_علي بسكي</t>
        </is>
      </c>
      <c r="E1408" s="5" t="n"/>
      <c r="F1408" s="8" t="inlineStr">
        <is>
          <t>SY020303</t>
        </is>
      </c>
    </row>
    <row r="1409" customFormat="1" s="8">
      <c r="A1409" s="200" t="inlineStr">
        <is>
          <t>admin4</t>
        </is>
      </c>
      <c r="B1409" s="200" t="inlineStr">
        <is>
          <t>C1479</t>
        </is>
      </c>
      <c r="C1409" s="200" t="inlineStr">
        <is>
          <t>Ada</t>
        </is>
      </c>
      <c r="D1409" s="200" t="inlineStr">
        <is>
          <t>ادة</t>
        </is>
      </c>
      <c r="E1409" s="5" t="n"/>
      <c r="F1409" s="8" t="inlineStr">
        <is>
          <t>SY020303</t>
        </is>
      </c>
    </row>
    <row r="1410" customFormat="1" s="8">
      <c r="A1410" s="200" t="inlineStr">
        <is>
          <t>admin4</t>
        </is>
      </c>
      <c r="B1410" s="200" t="inlineStr">
        <is>
          <t>C1467</t>
        </is>
      </c>
      <c r="C1410" s="200" t="inlineStr">
        <is>
          <t>Almadar</t>
        </is>
      </c>
      <c r="D1410" s="200" t="inlineStr">
        <is>
          <t>علمدار</t>
        </is>
      </c>
      <c r="E1410" s="5" t="n"/>
      <c r="F1410" s="8" t="inlineStr">
        <is>
          <t>SY020303</t>
        </is>
      </c>
    </row>
    <row r="1411" customFormat="1" s="8">
      <c r="A1411" s="200" t="inlineStr">
        <is>
          <t>admin4</t>
        </is>
      </c>
      <c r="B1411" s="200" t="inlineStr">
        <is>
          <t>C1481</t>
        </is>
      </c>
      <c r="C1411" s="200" t="inlineStr">
        <is>
          <t>Atman</t>
        </is>
      </c>
      <c r="D1411" s="200" t="inlineStr">
        <is>
          <t>عطمان</t>
        </is>
      </c>
      <c r="E1411" s="5" t="n"/>
      <c r="F1411" s="8" t="inlineStr">
        <is>
          <t>SY020303</t>
        </is>
      </c>
    </row>
    <row r="1412" customFormat="1" s="8">
      <c r="A1412" s="200" t="inlineStr">
        <is>
          <t>admin4</t>
        </is>
      </c>
      <c r="B1412" s="200" t="inlineStr">
        <is>
          <t>C1465</t>
        </is>
      </c>
      <c r="C1412" s="200" t="inlineStr">
        <is>
          <t>Barband</t>
        </is>
      </c>
      <c r="D1412" s="200" t="inlineStr">
        <is>
          <t>بربند</t>
        </is>
      </c>
      <c r="E1412" s="5" t="n"/>
      <c r="F1412" s="8" t="inlineStr">
        <is>
          <t>SY020303</t>
        </is>
      </c>
    </row>
    <row r="1413" customFormat="1" s="8">
      <c r="A1413" s="200" t="inlineStr">
        <is>
          <t>admin4</t>
        </is>
      </c>
      <c r="B1413" s="200" t="inlineStr">
        <is>
          <t>C1459</t>
        </is>
      </c>
      <c r="C1413" s="200" t="inlineStr">
        <is>
          <t>Batra</t>
        </is>
      </c>
      <c r="D1413" s="200" t="inlineStr">
        <is>
          <t>البتراء</t>
        </is>
      </c>
      <c r="E1413" s="5" t="n"/>
      <c r="F1413" s="8" t="inlineStr">
        <is>
          <t>SY020303</t>
        </is>
      </c>
    </row>
    <row r="1414" customFormat="1" s="8">
      <c r="A1414" s="200" t="inlineStr">
        <is>
          <t>admin4</t>
        </is>
      </c>
      <c r="B1414" s="200" t="inlineStr">
        <is>
          <t>C1473</t>
        </is>
      </c>
      <c r="C1414" s="200" t="inlineStr">
        <is>
          <t>Beit Adin</t>
        </is>
      </c>
      <c r="D1414" s="200" t="inlineStr">
        <is>
          <t>بيت عدين</t>
        </is>
      </c>
      <c r="E1414" s="5" t="n"/>
      <c r="F1414" s="8" t="inlineStr">
        <is>
          <t>SY020303</t>
        </is>
      </c>
    </row>
    <row r="1415" customFormat="1" s="8">
      <c r="A1415" s="200" t="inlineStr">
        <is>
          <t>admin4</t>
        </is>
      </c>
      <c r="B1415" s="200" t="inlineStr">
        <is>
          <t>C1478</t>
        </is>
      </c>
      <c r="C1415" s="200" t="inlineStr">
        <is>
          <t>Big Siwan</t>
        </is>
      </c>
      <c r="D1415" s="200" t="inlineStr">
        <is>
          <t>الصوان الكبير</t>
        </is>
      </c>
      <c r="E1415" s="5" t="n"/>
      <c r="F1415" s="8" t="inlineStr">
        <is>
          <t>SY020303</t>
        </is>
      </c>
    </row>
    <row r="1416" customFormat="1" s="8">
      <c r="A1416" s="200" t="inlineStr">
        <is>
          <t>admin4</t>
        </is>
      </c>
      <c r="B1416" s="200" t="inlineStr">
        <is>
          <t>C1468</t>
        </is>
      </c>
      <c r="C1416" s="200" t="inlineStr">
        <is>
          <t>Bilaliyeh - Blaliko</t>
        </is>
      </c>
      <c r="D1416" s="200" t="inlineStr">
        <is>
          <t>بلالية_بلاليكو</t>
        </is>
      </c>
      <c r="E1416" s="5" t="n"/>
      <c r="F1416" s="8" t="inlineStr">
        <is>
          <t>SY020303</t>
        </is>
      </c>
    </row>
    <row r="1417" customFormat="1" s="8">
      <c r="A1417" s="200" t="inlineStr">
        <is>
          <t>admin4</t>
        </is>
      </c>
      <c r="B1417" s="200" t="inlineStr">
        <is>
          <t>C1471</t>
        </is>
      </c>
      <c r="C1417" s="200" t="inlineStr">
        <is>
          <t>Birein - Jtal Qoyo</t>
        </is>
      </c>
      <c r="D1417" s="200" t="inlineStr">
        <is>
          <t>البئرين_جتال قويو</t>
        </is>
      </c>
      <c r="E1417" s="5" t="n"/>
      <c r="F1417" s="8" t="inlineStr">
        <is>
          <t>SY020303</t>
        </is>
      </c>
    </row>
    <row r="1418" customFormat="1" s="8">
      <c r="A1418" s="200" t="inlineStr">
        <is>
          <t>admin4</t>
        </is>
      </c>
      <c r="B1418" s="200" t="inlineStr">
        <is>
          <t>C1456</t>
        </is>
      </c>
      <c r="C1418" s="200" t="inlineStr">
        <is>
          <t>Darwishiyeh</t>
        </is>
      </c>
      <c r="D1418" s="200" t="inlineStr">
        <is>
          <t>الدرويشية</t>
        </is>
      </c>
      <c r="E1418" s="5" t="n"/>
      <c r="F1418" s="8" t="inlineStr">
        <is>
          <t>SY020303</t>
        </is>
      </c>
    </row>
    <row r="1419" customFormat="1" s="8">
      <c r="A1419" s="200" t="inlineStr">
        <is>
          <t>admin4</t>
        </is>
      </c>
      <c r="B1419" s="200" t="inlineStr">
        <is>
          <t>C1454</t>
        </is>
      </c>
      <c r="C1419" s="200" t="inlineStr">
        <is>
          <t>Dawdaw</t>
        </is>
      </c>
      <c r="D1419" s="200" t="inlineStr">
        <is>
          <t>ضوضو</t>
        </is>
      </c>
      <c r="E1419" s="5" t="n"/>
      <c r="F1419" s="8" t="inlineStr">
        <is>
          <t>SY020303</t>
        </is>
      </c>
    </row>
    <row r="1420" customFormat="1" s="8">
      <c r="A1420" s="200" t="inlineStr">
        <is>
          <t>admin4</t>
        </is>
      </c>
      <c r="B1420" s="200" t="inlineStr">
        <is>
          <t>C1451</t>
        </is>
      </c>
      <c r="C1420" s="200" t="inlineStr">
        <is>
          <t>Ghizlan - Jilani</t>
        </is>
      </c>
      <c r="D1420" s="200" t="inlineStr">
        <is>
          <t>الغزلان_جيلاني</t>
        </is>
      </c>
      <c r="E1420" s="5" t="n"/>
      <c r="F1420" s="8" t="inlineStr">
        <is>
          <t>SY020303</t>
        </is>
      </c>
    </row>
    <row r="1421" customFormat="1" s="8">
      <c r="A1421" s="200" t="inlineStr">
        <is>
          <t>admin4</t>
        </is>
      </c>
      <c r="B1421" s="200" t="inlineStr">
        <is>
          <t>C6403</t>
        </is>
      </c>
      <c r="C1421" s="200" t="inlineStr">
        <is>
          <t>Haidar Obasi</t>
        </is>
      </c>
      <c r="D1421" s="200" t="inlineStr">
        <is>
          <t>حيدر أوبه سي</t>
        </is>
      </c>
      <c r="E1421" s="5" t="n"/>
      <c r="F1421" s="8" t="inlineStr">
        <is>
          <t>SY020303</t>
        </is>
      </c>
    </row>
    <row r="1422" customFormat="1" s="8">
      <c r="A1422" s="200" t="inlineStr">
        <is>
          <t>admin4</t>
        </is>
      </c>
      <c r="B1422" s="200" t="inlineStr">
        <is>
          <t>C1455</t>
        </is>
      </c>
      <c r="C1422" s="200" t="inlineStr">
        <is>
          <t>Haj Khalil</t>
        </is>
      </c>
      <c r="D1422" s="200" t="inlineStr">
        <is>
          <t>حاج خليل</t>
        </is>
      </c>
      <c r="E1422" s="5" t="n"/>
      <c r="F1422" s="8" t="inlineStr">
        <is>
          <t>SY020303</t>
        </is>
      </c>
    </row>
    <row r="1423" customFormat="1" s="8">
      <c r="A1423" s="200" t="inlineStr">
        <is>
          <t>admin4</t>
        </is>
      </c>
      <c r="B1423" s="200" t="inlineStr">
        <is>
          <t>C1463</t>
        </is>
      </c>
      <c r="C1423" s="200" t="inlineStr">
        <is>
          <t>Hajman</t>
        </is>
      </c>
      <c r="D1423" s="200" t="inlineStr">
        <is>
          <t>حجمان</t>
        </is>
      </c>
      <c r="E1423" s="5" t="n"/>
      <c r="F1423" s="8" t="inlineStr">
        <is>
          <t>SY020303</t>
        </is>
      </c>
    </row>
    <row r="1424" customFormat="1" s="8">
      <c r="A1424" s="200" t="inlineStr">
        <is>
          <t>admin4</t>
        </is>
      </c>
      <c r="B1424" s="200" t="inlineStr">
        <is>
          <t>C1489</t>
        </is>
      </c>
      <c r="C1424" s="200" t="inlineStr">
        <is>
          <t>Halil - Holilo</t>
        </is>
      </c>
      <c r="D1424" s="200" t="inlineStr">
        <is>
          <t>هليل_هوليلو</t>
        </is>
      </c>
      <c r="E1424" s="5" t="n"/>
      <c r="F1424" s="8" t="inlineStr">
        <is>
          <t>SY020303</t>
        </is>
      </c>
    </row>
    <row r="1425" customFormat="1" s="8">
      <c r="A1425" s="200" t="inlineStr">
        <is>
          <t>admin4</t>
        </is>
      </c>
      <c r="B1425" s="200" t="inlineStr">
        <is>
          <t>C1452</t>
        </is>
      </c>
      <c r="C1425" s="200" t="inlineStr">
        <is>
          <t>Hamshu - Hamashtlak</t>
        </is>
      </c>
      <c r="D1425" s="200" t="inlineStr">
        <is>
          <t>حمشو_حمشتلك</t>
        </is>
      </c>
      <c r="E1425" s="5" t="n"/>
      <c r="F1425" s="8" t="inlineStr">
        <is>
          <t>SY020303</t>
        </is>
      </c>
    </row>
    <row r="1426" customFormat="1" s="8">
      <c r="A1426" s="200" t="inlineStr">
        <is>
          <t>admin4</t>
        </is>
      </c>
      <c r="B1426" s="200" t="inlineStr">
        <is>
          <t>C6404</t>
        </is>
      </c>
      <c r="C1426" s="200" t="inlineStr">
        <is>
          <t>Hasan Klkawi</t>
        </is>
      </c>
      <c r="D1426" s="200" t="inlineStr">
        <is>
          <t>حسن كلكاوي</t>
        </is>
      </c>
      <c r="E1426" s="5" t="n"/>
      <c r="F1426" s="8" t="inlineStr">
        <is>
          <t>SY020303</t>
        </is>
      </c>
    </row>
    <row r="1427" customFormat="1" s="8">
      <c r="A1427" s="200" t="inlineStr">
        <is>
          <t>admin4</t>
        </is>
      </c>
      <c r="B1427" s="200" t="inlineStr">
        <is>
          <t>C1485</t>
        </is>
      </c>
      <c r="C1427" s="200" t="inlineStr">
        <is>
          <t>Hjeij - Haji Kanli</t>
        </is>
      </c>
      <c r="D1427" s="200" t="inlineStr">
        <is>
          <t>الحجيج_حجي كانلي</t>
        </is>
      </c>
      <c r="E1427" s="5" t="n"/>
      <c r="F1427" s="8" t="inlineStr">
        <is>
          <t>SY020303</t>
        </is>
      </c>
    </row>
    <row r="1428" customFormat="1" s="8">
      <c r="A1428" s="200" t="inlineStr">
        <is>
          <t>admin4</t>
        </is>
      </c>
      <c r="B1428" s="200" t="inlineStr">
        <is>
          <t>C8257</t>
        </is>
      </c>
      <c r="C1428" s="200" t="inlineStr">
        <is>
          <t>Hopkan</t>
        </is>
      </c>
      <c r="D1428" s="200" t="inlineStr">
        <is>
          <t>هوبكان</t>
        </is>
      </c>
      <c r="E1428" s="5" t="n"/>
      <c r="F1428" s="8" t="inlineStr">
        <is>
          <t>SY020303</t>
        </is>
      </c>
    </row>
    <row r="1429" customFormat="1" s="8">
      <c r="A1429" s="200" t="inlineStr">
        <is>
          <t>admin4</t>
        </is>
      </c>
      <c r="B1429" s="200" t="inlineStr">
        <is>
          <t>C1475</t>
        </is>
      </c>
      <c r="C1429" s="200" t="inlineStr">
        <is>
          <t>Jablieh - Tag Obeh Si</t>
        </is>
      </c>
      <c r="D1429" s="200" t="inlineStr">
        <is>
          <t>الجبلية_طاغ أوبه سي</t>
        </is>
      </c>
      <c r="E1429" s="5" t="n"/>
      <c r="F1429" s="8" t="inlineStr">
        <is>
          <t>SY020303</t>
        </is>
      </c>
    </row>
    <row r="1430" customFormat="1" s="8">
      <c r="A1430" s="200" t="inlineStr">
        <is>
          <t>admin4</t>
        </is>
      </c>
      <c r="B1430" s="200" t="inlineStr">
        <is>
          <t>C8280</t>
        </is>
      </c>
      <c r="C1430" s="200" t="inlineStr">
        <is>
          <t>Jainka</t>
        </is>
      </c>
      <c r="D1430" s="200" t="inlineStr">
        <is>
          <t>جعنكا</t>
        </is>
      </c>
      <c r="E1430" s="5" t="n"/>
      <c r="F1430" s="8" t="inlineStr">
        <is>
          <t>SY020303</t>
        </is>
      </c>
    </row>
    <row r="1431" customFormat="1" s="8">
      <c r="A1431" s="200" t="inlineStr">
        <is>
          <t>admin4</t>
        </is>
      </c>
      <c r="B1431" s="200" t="inlineStr">
        <is>
          <t>C1477</t>
        </is>
      </c>
      <c r="C1431" s="200" t="inlineStr">
        <is>
          <t>Jalqama</t>
        </is>
      </c>
      <c r="D1431" s="200" t="inlineStr">
        <is>
          <t>جلقمة</t>
        </is>
      </c>
      <c r="E1431" s="5" t="n"/>
      <c r="F1431" s="8" t="inlineStr">
        <is>
          <t>SY020303</t>
        </is>
      </c>
    </row>
    <row r="1432" customFormat="1" s="8">
      <c r="A1432" s="200" t="inlineStr">
        <is>
          <t>admin4</t>
        </is>
      </c>
      <c r="B1432" s="200" t="inlineStr">
        <is>
          <t>C1476</t>
        </is>
      </c>
      <c r="C1432" s="200" t="inlineStr">
        <is>
          <t>Janjaleh</t>
        </is>
      </c>
      <c r="D1432" s="200" t="inlineStr">
        <is>
          <t>جنجلة</t>
        </is>
      </c>
      <c r="E1432" s="5" t="n"/>
      <c r="F1432" s="8" t="inlineStr">
        <is>
          <t>SY020303</t>
        </is>
      </c>
    </row>
    <row r="1433" customFormat="1" s="8">
      <c r="A1433" s="200" t="inlineStr">
        <is>
          <t>admin4</t>
        </is>
      </c>
      <c r="B1433" s="200" t="inlineStr">
        <is>
          <t>C7567</t>
        </is>
      </c>
      <c r="C1433" s="200" t="inlineStr">
        <is>
          <t>Karri</t>
        </is>
      </c>
      <c r="D1433" s="200" t="inlineStr">
        <is>
          <t>كري</t>
        </is>
      </c>
      <c r="E1433" s="5" t="n"/>
      <c r="F1433" s="8" t="inlineStr">
        <is>
          <t>SY020303</t>
        </is>
      </c>
    </row>
    <row r="1434" customFormat="1" s="8">
      <c r="A1434" s="200" t="inlineStr">
        <is>
          <t>admin4</t>
        </is>
      </c>
      <c r="B1434" s="200" t="inlineStr">
        <is>
          <t>C8283</t>
        </is>
      </c>
      <c r="C1434" s="200" t="inlineStr">
        <is>
          <t>Kharab Suluq</t>
        </is>
      </c>
      <c r="D1434" s="200" t="inlineStr">
        <is>
          <t>خربة سلوك</t>
        </is>
      </c>
      <c r="E1434" s="5" t="n"/>
      <c r="F1434" s="8" t="inlineStr">
        <is>
          <t>SY020303</t>
        </is>
      </c>
    </row>
    <row r="1435" customFormat="1" s="8">
      <c r="A1435" s="200" t="inlineStr">
        <is>
          <t>admin4</t>
        </is>
      </c>
      <c r="B1435" s="200" t="inlineStr">
        <is>
          <t>C1492</t>
        </is>
      </c>
      <c r="C1435" s="200" t="inlineStr">
        <is>
          <t>Koran Afrin</t>
        </is>
      </c>
      <c r="D1435" s="200" t="inlineStr">
        <is>
          <t>كوران عفرين</t>
        </is>
      </c>
      <c r="E1435" s="5" t="n"/>
      <c r="F1435" s="8" t="inlineStr">
        <is>
          <t>SY020303</t>
        </is>
      </c>
    </row>
    <row r="1436" customFormat="1" s="8">
      <c r="A1436" s="200" t="inlineStr">
        <is>
          <t>admin4</t>
        </is>
      </c>
      <c r="B1436" s="200" t="inlineStr">
        <is>
          <t>C1490</t>
        </is>
      </c>
      <c r="C1436" s="200" t="inlineStr">
        <is>
          <t>Kusan</t>
        </is>
      </c>
      <c r="D1436" s="200" t="inlineStr">
        <is>
          <t>كوسان</t>
        </is>
      </c>
      <c r="E1436" s="5" t="n"/>
      <c r="F1436" s="8" t="inlineStr">
        <is>
          <t>SY020303</t>
        </is>
      </c>
    </row>
    <row r="1437" customFormat="1" s="8">
      <c r="A1437" s="200" t="inlineStr">
        <is>
          <t>admin4</t>
        </is>
      </c>
      <c r="B1437" s="200" t="inlineStr">
        <is>
          <t>C1470</t>
        </is>
      </c>
      <c r="C1437" s="200" t="inlineStr">
        <is>
          <t>Little Siwan - Little Jaqmaq</t>
        </is>
      </c>
      <c r="D1437" s="200" t="inlineStr">
        <is>
          <t>الصوان الصغير_جقمق صغير</t>
        </is>
      </c>
      <c r="E1437" s="5" t="n"/>
      <c r="F1437" s="8" t="inlineStr">
        <is>
          <t>SY020303</t>
        </is>
      </c>
    </row>
    <row r="1438" customFormat="1" s="8">
      <c r="A1438" s="200" t="inlineStr">
        <is>
          <t>admin4</t>
        </is>
      </c>
      <c r="B1438" s="200" t="inlineStr">
        <is>
          <t>C1474</t>
        </is>
      </c>
      <c r="C1438" s="200" t="inlineStr">
        <is>
          <t>Lower Dhak - Kolyan</t>
        </is>
      </c>
      <c r="D1438" s="200" t="inlineStr">
        <is>
          <t>الضحاك التحتاني_كوليان</t>
        </is>
      </c>
      <c r="E1438" s="5" t="n"/>
      <c r="F1438" s="8" t="inlineStr">
        <is>
          <t>SY020303</t>
        </is>
      </c>
    </row>
    <row r="1439" customFormat="1" s="8">
      <c r="A1439" s="200" t="inlineStr">
        <is>
          <t>admin4</t>
        </is>
      </c>
      <c r="B1439" s="200" t="inlineStr">
        <is>
          <t>C1457</t>
        </is>
      </c>
      <c r="C1439" s="200" t="inlineStr">
        <is>
          <t>Maamel - Oshagi</t>
        </is>
      </c>
      <c r="D1439" s="200" t="inlineStr">
        <is>
          <t>المعامل_أوشاغي</t>
        </is>
      </c>
      <c r="E1439" s="5" t="n"/>
      <c r="F1439" s="8" t="inlineStr">
        <is>
          <t>SY020303</t>
        </is>
      </c>
    </row>
    <row r="1440" customFormat="1" s="8">
      <c r="A1440" s="200" t="inlineStr">
        <is>
          <t>admin4</t>
        </is>
      </c>
      <c r="B1440" s="200" t="inlineStr">
        <is>
          <t>C1491</t>
        </is>
      </c>
      <c r="C1440" s="200" t="inlineStr">
        <is>
          <t>Masikan</t>
        </is>
      </c>
      <c r="D1440" s="200" t="inlineStr">
        <is>
          <t>ماسيكان</t>
        </is>
      </c>
      <c r="E1440" s="5" t="n"/>
      <c r="F1440" s="8" t="inlineStr">
        <is>
          <t>SY020303</t>
        </is>
      </c>
    </row>
    <row r="1441" customFormat="1" s="8">
      <c r="A1441" s="200" t="inlineStr">
        <is>
          <t>admin4</t>
        </is>
      </c>
      <c r="B1441" s="200" t="inlineStr">
        <is>
          <t>C1488</t>
        </is>
      </c>
      <c r="C1441" s="200" t="inlineStr">
        <is>
          <t>Meidan Ekbis</t>
        </is>
      </c>
      <c r="D1441" s="200" t="inlineStr">
        <is>
          <t>ميدان أكبس</t>
        </is>
      </c>
      <c r="E1441" s="5" t="n"/>
      <c r="F1441" s="8" t="inlineStr">
        <is>
          <t>SY020303</t>
        </is>
      </c>
    </row>
    <row r="1442" customFormat="1" s="8">
      <c r="A1442" s="200" t="inlineStr">
        <is>
          <t>admin4</t>
        </is>
      </c>
      <c r="B1442" s="200" t="inlineStr">
        <is>
          <t>C1460</t>
        </is>
      </c>
      <c r="C1442" s="200" t="inlineStr">
        <is>
          <t>Murtafiah</t>
        </is>
      </c>
      <c r="D1442" s="200" t="inlineStr">
        <is>
          <t>المرتفعة_قودة كوي</t>
        </is>
      </c>
      <c r="E1442" s="5" t="n"/>
      <c r="F1442" s="8" t="inlineStr">
        <is>
          <t>SY020303</t>
        </is>
      </c>
    </row>
    <row r="1443" customFormat="1" s="8">
      <c r="A1443" s="200" t="inlineStr">
        <is>
          <t>admin4</t>
        </is>
      </c>
      <c r="B1443" s="200" t="inlineStr">
        <is>
          <t>C1487</t>
        </is>
      </c>
      <c r="C1443" s="200" t="inlineStr">
        <is>
          <t>Musiyeh - Oba Si</t>
        </is>
      </c>
      <c r="D1443" s="200" t="inlineStr">
        <is>
          <t>موسيه_أوبه سي</t>
        </is>
      </c>
      <c r="E1443" s="5" t="n"/>
      <c r="F1443" s="8" t="inlineStr">
        <is>
          <t>SY020303</t>
        </is>
      </c>
    </row>
    <row r="1444" customFormat="1" s="8">
      <c r="A1444" s="200" t="inlineStr">
        <is>
          <t>admin4</t>
        </is>
      </c>
      <c r="B1444" s="200" t="inlineStr">
        <is>
          <t>C1461</t>
        </is>
      </c>
      <c r="C1444" s="200" t="inlineStr">
        <is>
          <t>Omar - Omar Oshaghi</t>
        </is>
      </c>
      <c r="D1444" s="200" t="inlineStr">
        <is>
          <t>عمر_عمر أوشاغي</t>
        </is>
      </c>
      <c r="E1444" s="5" t="n"/>
      <c r="F1444" s="8" t="inlineStr">
        <is>
          <t>SY020303</t>
        </is>
      </c>
    </row>
    <row r="1445" customFormat="1" s="8">
      <c r="A1445" s="200" t="inlineStr">
        <is>
          <t>admin4</t>
        </is>
      </c>
      <c r="B1445" s="200" t="inlineStr">
        <is>
          <t>C1486</t>
        </is>
      </c>
      <c r="C1445" s="200" t="inlineStr">
        <is>
          <t>Omsiya - Donbaly</t>
        </is>
      </c>
      <c r="D1445" s="200" t="inlineStr">
        <is>
          <t>الأمسية_دونبللي</t>
        </is>
      </c>
      <c r="E1445" s="5" t="n"/>
      <c r="F1445" s="8" t="inlineStr">
        <is>
          <t>SY020303</t>
        </is>
      </c>
    </row>
    <row r="1446" customFormat="1" s="8">
      <c r="A1446" s="200" t="inlineStr">
        <is>
          <t>admin4</t>
        </is>
      </c>
      <c r="B1446" s="200" t="inlineStr">
        <is>
          <t>C1480</t>
        </is>
      </c>
      <c r="C1446" s="200" t="inlineStr">
        <is>
          <t>Qalam - Bandrak</t>
        </is>
      </c>
      <c r="D1446" s="200" t="inlineStr">
        <is>
          <t>القلم_بندرك</t>
        </is>
      </c>
      <c r="E1446" s="5" t="n"/>
      <c r="F1446" s="8" t="inlineStr">
        <is>
          <t>SY020303</t>
        </is>
      </c>
    </row>
    <row r="1447" customFormat="1" s="8">
      <c r="A1447" s="200" t="inlineStr">
        <is>
          <t>admin4</t>
        </is>
      </c>
      <c r="B1447" s="200" t="inlineStr">
        <is>
          <t>C8287</t>
        </is>
      </c>
      <c r="C1447" s="200" t="inlineStr">
        <is>
          <t>Qarah Baba</t>
        </is>
      </c>
      <c r="D1447" s="200" t="inlineStr">
        <is>
          <t>قرة بابا</t>
        </is>
      </c>
      <c r="E1447" s="5" t="n"/>
      <c r="F1447" s="8" t="inlineStr">
        <is>
          <t>SY020303</t>
        </is>
      </c>
    </row>
    <row r="1448" customFormat="1" s="8">
      <c r="A1448" s="200" t="inlineStr">
        <is>
          <t>admin4</t>
        </is>
      </c>
      <c r="B1448" s="200" t="inlineStr">
        <is>
          <t>C1462</t>
        </is>
      </c>
      <c r="C1448" s="200" t="inlineStr">
        <is>
          <t>Raee - Jobanli</t>
        </is>
      </c>
      <c r="D1448" s="200" t="inlineStr">
        <is>
          <t>الراعي_جوبانلي</t>
        </is>
      </c>
      <c r="E1448" s="5" t="n"/>
      <c r="F1448" s="8" t="inlineStr">
        <is>
          <t>SY020303</t>
        </is>
      </c>
    </row>
    <row r="1449" customFormat="1" s="8">
      <c r="A1449" s="200" t="inlineStr">
        <is>
          <t>admin4</t>
        </is>
      </c>
      <c r="B1449" s="200" t="inlineStr">
        <is>
          <t>C1484</t>
        </is>
      </c>
      <c r="C1449" s="200" t="inlineStr">
        <is>
          <t>Raju</t>
        </is>
      </c>
      <c r="D1449" s="200" t="inlineStr">
        <is>
          <t>راجو</t>
        </is>
      </c>
      <c r="E1449" s="5" t="n"/>
      <c r="F1449" s="8" t="inlineStr">
        <is>
          <t>SY020303</t>
        </is>
      </c>
    </row>
    <row r="1450" customFormat="1" s="8">
      <c r="A1450" s="200" t="inlineStr">
        <is>
          <t>admin4</t>
        </is>
      </c>
      <c r="B1450" s="200" t="inlineStr">
        <is>
          <t>C8237</t>
        </is>
      </c>
      <c r="C1450" s="200" t="inlineStr">
        <is>
          <t>Shadiah</t>
        </is>
      </c>
      <c r="D1450" s="200" t="inlineStr">
        <is>
          <t>شاديا</t>
        </is>
      </c>
      <c r="E1450" s="5" t="n"/>
      <c r="F1450" s="8" t="inlineStr">
        <is>
          <t>SY020303</t>
        </is>
      </c>
    </row>
    <row r="1451" customFormat="1" s="8">
      <c r="A1451" s="200" t="inlineStr">
        <is>
          <t>admin4</t>
        </is>
      </c>
      <c r="B1451" s="200" t="inlineStr">
        <is>
          <t>C1482</t>
        </is>
      </c>
      <c r="C1451" s="200" t="inlineStr">
        <is>
          <t>Shankal</t>
        </is>
      </c>
      <c r="D1451" s="200" t="inlineStr">
        <is>
          <t>شنكل</t>
        </is>
      </c>
      <c r="E1451" s="5" t="n"/>
      <c r="F1451" s="8" t="inlineStr">
        <is>
          <t>SY020303</t>
        </is>
      </c>
    </row>
    <row r="1452" customFormat="1" s="8">
      <c r="A1452" s="200" t="inlineStr">
        <is>
          <t>admin4</t>
        </is>
      </c>
      <c r="B1452" s="200" t="inlineStr">
        <is>
          <t>C1453</t>
        </is>
      </c>
      <c r="C1452" s="200" t="inlineStr">
        <is>
          <t>Sheikh Mohammed</t>
        </is>
      </c>
      <c r="D1452" s="200" t="inlineStr">
        <is>
          <t>شيخ محمد</t>
        </is>
      </c>
      <c r="E1452" s="5" t="n"/>
      <c r="F1452" s="8" t="inlineStr">
        <is>
          <t>SY020303</t>
        </is>
      </c>
    </row>
    <row r="1453" customFormat="1" s="8">
      <c r="A1453" s="200" t="inlineStr">
        <is>
          <t>admin4</t>
        </is>
      </c>
      <c r="B1453" s="200" t="inlineStr">
        <is>
          <t>C6402</t>
        </is>
      </c>
      <c r="C1453" s="200" t="inlineStr">
        <is>
          <t>Shekh Bilal</t>
        </is>
      </c>
      <c r="D1453" s="200" t="inlineStr">
        <is>
          <t>شيخ بلال</t>
        </is>
      </c>
      <c r="E1453" s="5" t="n"/>
      <c r="F1453" s="8" t="inlineStr">
        <is>
          <t>SY020303</t>
        </is>
      </c>
    </row>
    <row r="1454" customFormat="1" s="8">
      <c r="A1454" s="200" t="inlineStr">
        <is>
          <t>admin4</t>
        </is>
      </c>
      <c r="B1454" s="200" t="inlineStr">
        <is>
          <t>C8249</t>
        </is>
      </c>
      <c r="C1454" s="200" t="inlineStr">
        <is>
          <t>Sherbanli</t>
        </is>
      </c>
      <c r="D1454" s="200" t="inlineStr">
        <is>
          <t>شربانلي</t>
        </is>
      </c>
      <c r="E1454" s="5" t="n"/>
      <c r="F1454" s="8" t="inlineStr">
        <is>
          <t>SY020303</t>
        </is>
      </c>
    </row>
    <row r="1455" customFormat="1" s="8">
      <c r="A1455" s="200" t="inlineStr">
        <is>
          <t>admin4</t>
        </is>
      </c>
      <c r="B1455" s="200" t="inlineStr">
        <is>
          <t>C1450</t>
        </is>
      </c>
      <c r="C1455" s="200" t="inlineStr">
        <is>
          <t>Shyukh - Sheikh Oba Si</t>
        </is>
      </c>
      <c r="D1455" s="200" t="inlineStr">
        <is>
          <t>الشيوخ_شيخ أوبه سي</t>
        </is>
      </c>
      <c r="E1455" s="5" t="n"/>
      <c r="F1455" s="8" t="inlineStr">
        <is>
          <t>SY020303</t>
        </is>
      </c>
    </row>
    <row r="1456" customFormat="1" s="8">
      <c r="A1456" s="200" t="inlineStr">
        <is>
          <t>admin4</t>
        </is>
      </c>
      <c r="B1456" s="200" t="inlineStr">
        <is>
          <t>C1483</t>
        </is>
      </c>
      <c r="C1456" s="200" t="inlineStr">
        <is>
          <t>Talleh - Zarkani</t>
        </is>
      </c>
      <c r="D1456" s="200" t="inlineStr">
        <is>
          <t>الطلة_زركانلي</t>
        </is>
      </c>
      <c r="E1456" s="5" t="n"/>
      <c r="F1456" s="8" t="inlineStr">
        <is>
          <t>SY020303</t>
        </is>
      </c>
    </row>
    <row r="1457" customFormat="1" s="8">
      <c r="A1457" s="200" t="inlineStr">
        <is>
          <t>admin4</t>
        </is>
      </c>
      <c r="B1457" s="200" t="inlineStr">
        <is>
          <t>C1464</t>
        </is>
      </c>
      <c r="C1457" s="200" t="inlineStr">
        <is>
          <t>Taqiyeh - Kamrash</t>
        </is>
      </c>
      <c r="D1457" s="200" t="inlineStr">
        <is>
          <t>الطاقية_كمرش</t>
        </is>
      </c>
      <c r="E1457" s="5" t="n"/>
      <c r="F1457" s="8" t="inlineStr">
        <is>
          <t>SY020303</t>
        </is>
      </c>
    </row>
    <row r="1458" customFormat="1" s="8">
      <c r="A1458" s="200" t="inlineStr">
        <is>
          <t>admin4</t>
        </is>
      </c>
      <c r="B1458" s="200" t="inlineStr">
        <is>
          <t>C1472</t>
        </is>
      </c>
      <c r="C1458" s="200" t="inlineStr">
        <is>
          <t>Thadi - Mamali</t>
        </is>
      </c>
      <c r="D1458" s="200" t="inlineStr">
        <is>
          <t>الثدي_مامالي</t>
        </is>
      </c>
      <c r="E1458" s="5" t="n"/>
      <c r="F1458" s="8" t="inlineStr">
        <is>
          <t>SY020303</t>
        </is>
      </c>
    </row>
    <row r="1459" customFormat="1" s="8">
      <c r="A1459" s="200" t="inlineStr">
        <is>
          <t>admin4</t>
        </is>
      </c>
      <c r="B1459" s="200" t="inlineStr">
        <is>
          <t>C1469</t>
        </is>
      </c>
      <c r="C1459" s="200" t="inlineStr">
        <is>
          <t>Tholathiyeh</t>
        </is>
      </c>
      <c r="D1459" s="200" t="inlineStr">
        <is>
          <t>الثلاثية</t>
        </is>
      </c>
      <c r="E1459" s="5" t="n"/>
      <c r="F1459" s="8" t="inlineStr">
        <is>
          <t>SY020303</t>
        </is>
      </c>
    </row>
    <row r="1460" customFormat="1" s="8">
      <c r="A1460" s="200" t="inlineStr">
        <is>
          <t>admin4</t>
        </is>
      </c>
      <c r="B1460" s="200" t="inlineStr">
        <is>
          <t>C1466</t>
        </is>
      </c>
      <c r="C1460" s="200" t="inlineStr">
        <is>
          <t>Upper Dhak - Upper Kolyan</t>
        </is>
      </c>
      <c r="D1460" s="200" t="inlineStr">
        <is>
          <t>الضحاك فوقاني_كوليان فوقاني</t>
        </is>
      </c>
      <c r="E1460" s="5" t="n"/>
      <c r="F1460" s="8" t="inlineStr">
        <is>
          <t>SY020303</t>
        </is>
      </c>
    </row>
    <row r="1461" customFormat="1" s="8">
      <c r="A1461" s="200" t="inlineStr">
        <is>
          <t>admin4</t>
        </is>
      </c>
      <c r="B1461" s="200" t="inlineStr">
        <is>
          <t>C6405</t>
        </is>
      </c>
      <c r="C1461" s="200" t="inlineStr">
        <is>
          <t>Alwardya</t>
        </is>
      </c>
      <c r="D1461" s="200" t="inlineStr">
        <is>
          <t>الوردية</t>
        </is>
      </c>
      <c r="E1461" s="5" t="n"/>
      <c r="F1461" s="8" t="inlineStr">
        <is>
          <t>SY020305</t>
        </is>
      </c>
    </row>
    <row r="1462" customFormat="1" s="8">
      <c r="A1462" s="200" t="inlineStr">
        <is>
          <t>admin4</t>
        </is>
      </c>
      <c r="B1462" s="200" t="inlineStr">
        <is>
          <t>C1528</t>
        </is>
      </c>
      <c r="C1462" s="200" t="inlineStr">
        <is>
          <t>Anqala</t>
        </is>
      </c>
      <c r="D1462" s="200" t="inlineStr">
        <is>
          <t>انقلة</t>
        </is>
      </c>
      <c r="E1462" s="5" t="n"/>
      <c r="F1462" s="8" t="inlineStr">
        <is>
          <t>SY020305</t>
        </is>
      </c>
    </row>
    <row r="1463" customFormat="1" s="8">
      <c r="A1463" s="200" t="inlineStr">
        <is>
          <t>admin4</t>
        </is>
      </c>
      <c r="B1463" s="200" t="inlineStr">
        <is>
          <t>C1531</t>
        </is>
      </c>
      <c r="C1463" s="200" t="inlineStr">
        <is>
          <t>Darmash - Darmashkanli</t>
        </is>
      </c>
      <c r="D1463" s="200" t="inlineStr">
        <is>
          <t>درمش_درمشكانلي</t>
        </is>
      </c>
      <c r="E1463" s="5" t="n"/>
      <c r="F1463" s="8" t="inlineStr">
        <is>
          <t>SY020305</t>
        </is>
      </c>
    </row>
    <row r="1464" customFormat="1" s="8">
      <c r="A1464" s="200" t="inlineStr">
        <is>
          <t>admin4</t>
        </is>
      </c>
      <c r="B1464" s="200" t="inlineStr">
        <is>
          <t>C8208</t>
        </is>
      </c>
      <c r="C1464" s="200" t="inlineStr">
        <is>
          <t>Haj Belal</t>
        </is>
      </c>
      <c r="D1464" s="200" t="inlineStr">
        <is>
          <t>حاج بلال</t>
        </is>
      </c>
      <c r="E1464" s="5" t="n"/>
      <c r="F1464" s="8" t="inlineStr">
        <is>
          <t>SY020305</t>
        </is>
      </c>
    </row>
    <row r="1465" customFormat="1" s="8">
      <c r="A1465" s="200" t="inlineStr">
        <is>
          <t>admin4</t>
        </is>
      </c>
      <c r="B1465" s="200" t="inlineStr">
        <is>
          <t>C6406</t>
        </is>
      </c>
      <c r="C1465" s="200" t="inlineStr">
        <is>
          <t>Kalanli</t>
        </is>
      </c>
      <c r="D1465" s="200" t="inlineStr">
        <is>
          <t>كلانلي</t>
        </is>
      </c>
      <c r="E1465" s="5" t="n"/>
      <c r="F1465" s="8" t="inlineStr">
        <is>
          <t>SY020305</t>
        </is>
      </c>
    </row>
    <row r="1466" customFormat="1" s="8">
      <c r="A1466" s="200" t="inlineStr">
        <is>
          <t>admin4</t>
        </is>
      </c>
      <c r="B1466" s="200" t="inlineStr">
        <is>
          <t>C1527</t>
        </is>
      </c>
      <c r="C1466" s="200" t="inlineStr">
        <is>
          <t>Khazafiyeh - Qorret Matlaq</t>
        </is>
      </c>
      <c r="D1466" s="200" t="inlineStr">
        <is>
          <t>خزفية_قرة متلق</t>
        </is>
      </c>
      <c r="E1466" s="5" t="n"/>
      <c r="F1466" s="8" t="inlineStr">
        <is>
          <t>SY020305</t>
        </is>
      </c>
    </row>
    <row r="1467" customFormat="1" s="8">
      <c r="A1467" s="200" t="inlineStr">
        <is>
          <t>admin4</t>
        </is>
      </c>
      <c r="B1467" s="200" t="inlineStr">
        <is>
          <t>C1533</t>
        </is>
      </c>
      <c r="C1467" s="200" t="inlineStr">
        <is>
          <t>Maghar - Maghar Jeq</t>
        </is>
      </c>
      <c r="D1467" s="200" t="inlineStr">
        <is>
          <t>مغار_مغار جق</t>
        </is>
      </c>
      <c r="E1467" s="5" t="n"/>
      <c r="F1467" s="8" t="inlineStr">
        <is>
          <t>SY020305</t>
        </is>
      </c>
    </row>
    <row r="1468" customFormat="1" s="8">
      <c r="A1468" s="200" t="inlineStr">
        <is>
          <t>admin4</t>
        </is>
      </c>
      <c r="B1468" s="200" t="inlineStr">
        <is>
          <t>C1530</t>
        </is>
      </c>
      <c r="C1468" s="200" t="inlineStr">
        <is>
          <t>Mazineh - Aranda</t>
        </is>
      </c>
      <c r="D1468" s="200" t="inlineStr">
        <is>
          <t>المزينة_أرندة</t>
        </is>
      </c>
      <c r="E1468" s="5" t="n"/>
      <c r="F1468" s="8" t="inlineStr">
        <is>
          <t>SY020305</t>
        </is>
      </c>
    </row>
    <row r="1469" customFormat="1" s="8">
      <c r="A1469" s="200" t="inlineStr">
        <is>
          <t>admin4</t>
        </is>
      </c>
      <c r="B1469" s="200" t="inlineStr">
        <is>
          <t>C1534</t>
        </is>
      </c>
      <c r="C1469" s="200" t="inlineStr">
        <is>
          <t>Mostakan</t>
        </is>
      </c>
      <c r="D1469" s="200" t="inlineStr">
        <is>
          <t>مستكان</t>
        </is>
      </c>
      <c r="E1469" s="5" t="n"/>
      <c r="F1469" s="8" t="inlineStr">
        <is>
          <t>SY020305</t>
        </is>
      </c>
    </row>
    <row r="1470" customFormat="1" s="8">
      <c r="A1470" s="200" t="inlineStr">
        <is>
          <t>admin4</t>
        </is>
      </c>
      <c r="B1470" s="200" t="inlineStr">
        <is>
          <t>C7524</t>
        </is>
      </c>
      <c r="C1470" s="200" t="inlineStr">
        <is>
          <t>Sahuljuk</t>
        </is>
      </c>
      <c r="D1470" s="200" t="inlineStr">
        <is>
          <t>سحولجك</t>
        </is>
      </c>
      <c r="E1470" s="5" t="n"/>
      <c r="F1470" s="8" t="inlineStr">
        <is>
          <t>SY020305</t>
        </is>
      </c>
    </row>
    <row r="1471" customFormat="1" s="8">
      <c r="A1471" s="200" t="inlineStr">
        <is>
          <t>admin4</t>
        </is>
      </c>
      <c r="B1471" s="200" t="inlineStr">
        <is>
          <t>C1525</t>
        </is>
      </c>
      <c r="C1471" s="200" t="inlineStr">
        <is>
          <t>Sheikh El-Hadid</t>
        </is>
      </c>
      <c r="D1471" s="200" t="inlineStr">
        <is>
          <t>شيخ الحديد</t>
        </is>
      </c>
      <c r="E1471" s="5" t="n"/>
      <c r="F1471" s="8" t="inlineStr">
        <is>
          <t>SY020305</t>
        </is>
      </c>
    </row>
    <row r="1472" customFormat="1" s="8">
      <c r="A1472" s="200" t="inlineStr">
        <is>
          <t>admin4</t>
        </is>
      </c>
      <c r="B1472" s="200" t="inlineStr">
        <is>
          <t>C8212</t>
        </is>
      </c>
      <c r="C1472" s="200" t="inlineStr">
        <is>
          <t>Sheikh Khalil</t>
        </is>
      </c>
      <c r="D1472" s="200" t="inlineStr">
        <is>
          <t>الشيخ خليل</t>
        </is>
      </c>
      <c r="E1472" s="5" t="n"/>
      <c r="F1472" s="8" t="inlineStr">
        <is>
          <t>SY020305</t>
        </is>
      </c>
    </row>
    <row r="1473" customFormat="1" s="8">
      <c r="A1473" s="200" t="inlineStr">
        <is>
          <t>admin4</t>
        </is>
      </c>
      <c r="B1473" s="200" t="inlineStr">
        <is>
          <t>C1529</t>
        </is>
      </c>
      <c r="C1473" s="200" t="inlineStr">
        <is>
          <t>Sinnara</t>
        </is>
      </c>
      <c r="D1473" s="200" t="inlineStr">
        <is>
          <t>سنارة</t>
        </is>
      </c>
      <c r="E1473" s="5" t="n"/>
      <c r="F1473" s="8" t="inlineStr">
        <is>
          <t>SY020305</t>
        </is>
      </c>
    </row>
    <row r="1474" customFormat="1" s="8">
      <c r="A1474" s="200" t="inlineStr">
        <is>
          <t>admin4</t>
        </is>
      </c>
      <c r="B1474" s="200" t="inlineStr">
        <is>
          <t>C1526</t>
        </is>
      </c>
      <c r="C1474" s="200" t="inlineStr">
        <is>
          <t>Tal Elthaaleb - Sheikh Jqali</t>
        </is>
      </c>
      <c r="D1474" s="200" t="inlineStr">
        <is>
          <t>تل الثعالب_شيخ جقاللي</t>
        </is>
      </c>
      <c r="E1474" s="5" t="n"/>
      <c r="F1474" s="8" t="inlineStr">
        <is>
          <t>SY020305</t>
        </is>
      </c>
    </row>
    <row r="1475" customFormat="1" s="8">
      <c r="A1475" s="200" t="inlineStr">
        <is>
          <t>admin4</t>
        </is>
      </c>
      <c r="B1475" s="200" t="inlineStr">
        <is>
          <t>C1532</t>
        </is>
      </c>
      <c r="C1475" s="200" t="inlineStr">
        <is>
          <t>Wadi Elthaalab - Lower Jqal</t>
        </is>
      </c>
      <c r="D1475" s="200" t="inlineStr">
        <is>
          <t>وادي الثعالب_جقال تحتاني</t>
        </is>
      </c>
      <c r="E1475" s="5" t="n"/>
      <c r="F1475" s="8" t="inlineStr">
        <is>
          <t>SY020305</t>
        </is>
      </c>
    </row>
    <row r="1476" customFormat="1" s="8">
      <c r="A1476" s="200" t="inlineStr">
        <is>
          <t>admin4</t>
        </is>
      </c>
      <c r="B1476" s="200" t="inlineStr">
        <is>
          <t>C1547</t>
        </is>
      </c>
      <c r="C1476" s="200" t="inlineStr">
        <is>
          <t>Abraz</t>
        </is>
      </c>
      <c r="D1476" s="200" t="inlineStr">
        <is>
          <t>أبرز</t>
        </is>
      </c>
      <c r="E1476" s="5" t="n"/>
      <c r="F1476" s="8" t="inlineStr">
        <is>
          <t>SY020306</t>
        </is>
      </c>
    </row>
    <row r="1477" customFormat="1" s="8">
      <c r="A1477" s="200" t="inlineStr">
        <is>
          <t>admin4</t>
        </is>
      </c>
      <c r="B1477" s="200" t="inlineStr">
        <is>
          <t>C8216</t>
        </is>
      </c>
      <c r="C1477" s="200" t="inlineStr">
        <is>
          <t>Al-Rahmaniyah</t>
        </is>
      </c>
      <c r="D1477" s="200" t="inlineStr">
        <is>
          <t>الرحمانية</t>
        </is>
      </c>
      <c r="E1477" s="5" t="n"/>
      <c r="F1477" s="8" t="inlineStr">
        <is>
          <t>SY020306</t>
        </is>
      </c>
    </row>
    <row r="1478" customFormat="1" s="8">
      <c r="A1478" s="200" t="inlineStr">
        <is>
          <t>admin4</t>
        </is>
      </c>
      <c r="B1478" s="200" t="inlineStr">
        <is>
          <t>C1543</t>
        </is>
      </c>
      <c r="C1478" s="200" t="inlineStr">
        <is>
          <t>Amiriya - Meirkan</t>
        </is>
      </c>
      <c r="D1478" s="200" t="inlineStr">
        <is>
          <t>الأميرية_ميركان</t>
        </is>
      </c>
      <c r="E1478" s="5" t="n"/>
      <c r="F1478" s="8" t="inlineStr">
        <is>
          <t>SY020306</t>
        </is>
      </c>
    </row>
    <row r="1479" customFormat="1" s="8">
      <c r="A1479" s="200" t="inlineStr">
        <is>
          <t>admin4</t>
        </is>
      </c>
      <c r="B1479" s="200" t="inlineStr">
        <is>
          <t>C1549</t>
        </is>
      </c>
      <c r="C1479" s="200" t="inlineStr">
        <is>
          <t>Anbar</t>
        </is>
      </c>
      <c r="D1479" s="200" t="inlineStr">
        <is>
          <t>أنبار</t>
        </is>
      </c>
      <c r="E1479" s="5" t="n"/>
      <c r="F1479" s="8" t="inlineStr">
        <is>
          <t>SY020306</t>
        </is>
      </c>
    </row>
    <row r="1480" customFormat="1" s="8">
      <c r="A1480" s="200" t="inlineStr">
        <is>
          <t>admin4</t>
        </is>
      </c>
      <c r="B1480" s="200" t="inlineStr">
        <is>
          <t>C6401</t>
        </is>
      </c>
      <c r="C1480" s="200" t="inlineStr">
        <is>
          <t>Arab-Shekho</t>
        </is>
      </c>
      <c r="D1480" s="200" t="inlineStr">
        <is>
          <t>عرب شيخو</t>
        </is>
      </c>
      <c r="E1480" s="5" t="n"/>
      <c r="F1480" s="8" t="inlineStr">
        <is>
          <t>SY020306</t>
        </is>
      </c>
    </row>
    <row r="1481" customFormat="1" s="8">
      <c r="A1481" s="200" t="inlineStr">
        <is>
          <t>admin4</t>
        </is>
      </c>
      <c r="B1481" s="200" t="inlineStr">
        <is>
          <t>C1537</t>
        </is>
      </c>
      <c r="C1481" s="200" t="inlineStr">
        <is>
          <t>Ashur</t>
        </is>
      </c>
      <c r="D1481" s="200" t="inlineStr">
        <is>
          <t>عاشور</t>
        </is>
      </c>
      <c r="E1481" s="5" t="n"/>
      <c r="F1481" s="8" t="inlineStr">
        <is>
          <t>SY020306</t>
        </is>
      </c>
    </row>
    <row r="1482" customFormat="1" s="8">
      <c r="A1482" s="200" t="inlineStr">
        <is>
          <t>admin4</t>
        </is>
      </c>
      <c r="B1482" s="200" t="inlineStr">
        <is>
          <t>C1548</t>
        </is>
      </c>
      <c r="C1482" s="200" t="inlineStr">
        <is>
          <t>Awlad El Arab - Arab Oshagi</t>
        </is>
      </c>
      <c r="D1482" s="200" t="inlineStr">
        <is>
          <t>أولاد العرب_عرب أوشاغي</t>
        </is>
      </c>
      <c r="E1482" s="5" t="n"/>
      <c r="F1482" s="8" t="inlineStr">
        <is>
          <t>SY020306</t>
        </is>
      </c>
    </row>
    <row r="1483" customFormat="1" s="8">
      <c r="A1483" s="200" t="inlineStr">
        <is>
          <t>admin4</t>
        </is>
      </c>
      <c r="B1483" s="200" t="inlineStr">
        <is>
          <t>C8209</t>
        </is>
      </c>
      <c r="C1483" s="200" t="inlineStr">
        <is>
          <t>Ayn Al-Hajar</t>
        </is>
      </c>
      <c r="D1483" s="200" t="inlineStr">
        <is>
          <t>عين الحجر</t>
        </is>
      </c>
      <c r="E1483" s="5" t="n"/>
      <c r="F1483" s="8" t="inlineStr">
        <is>
          <t>SY020306</t>
        </is>
      </c>
    </row>
    <row r="1484" customFormat="1" s="8">
      <c r="A1484" s="200" t="inlineStr">
        <is>
          <t>admin4</t>
        </is>
      </c>
      <c r="B1484" s="200" t="inlineStr">
        <is>
          <t>C8201</t>
        </is>
      </c>
      <c r="C1484" s="200" t="inlineStr">
        <is>
          <t>Barakeh</t>
        </is>
      </c>
      <c r="D1484" s="200" t="inlineStr">
        <is>
          <t>بركة</t>
        </is>
      </c>
      <c r="E1484" s="5" t="n"/>
      <c r="F1484" s="8" t="inlineStr">
        <is>
          <t>SY020306</t>
        </is>
      </c>
    </row>
    <row r="1485" customFormat="1" s="8">
      <c r="A1485" s="200" t="inlineStr">
        <is>
          <t>admin4</t>
        </is>
      </c>
      <c r="B1485" s="200" t="inlineStr">
        <is>
          <t>C1535</t>
        </is>
      </c>
      <c r="C1485" s="200" t="inlineStr">
        <is>
          <t>Bermaja</t>
        </is>
      </c>
      <c r="D1485" s="200" t="inlineStr">
        <is>
          <t>برماجة</t>
        </is>
      </c>
      <c r="E1485" s="5" t="n"/>
      <c r="F1485" s="8" t="inlineStr">
        <is>
          <t>SY020306</t>
        </is>
      </c>
    </row>
    <row r="1486" customFormat="1" s="8">
      <c r="A1486" s="200" t="inlineStr">
        <is>
          <t>admin4</t>
        </is>
      </c>
      <c r="B1486" s="200" t="inlineStr">
        <is>
          <t>C1542</t>
        </is>
      </c>
      <c r="C1486" s="200" t="inlineStr">
        <is>
          <t>Big Dar</t>
        </is>
      </c>
      <c r="D1486" s="200" t="inlineStr">
        <is>
          <t>دار كبير</t>
        </is>
      </c>
      <c r="E1486" s="5" t="n"/>
      <c r="F1486" s="8" t="inlineStr">
        <is>
          <t>SY020306</t>
        </is>
      </c>
    </row>
    <row r="1487" customFormat="1" s="8">
      <c r="A1487" s="200" t="inlineStr">
        <is>
          <t>admin4</t>
        </is>
      </c>
      <c r="B1487" s="200" t="inlineStr">
        <is>
          <t>C8200</t>
        </is>
      </c>
      <c r="C1487" s="200" t="inlineStr">
        <is>
          <t>Gumazanli</t>
        </is>
      </c>
      <c r="D1487" s="200" t="inlineStr">
        <is>
          <t>جومازانلي</t>
        </is>
      </c>
      <c r="E1487" s="5" t="n"/>
      <c r="F1487" s="8" t="inlineStr">
        <is>
          <t>SY020306</t>
        </is>
      </c>
    </row>
    <row r="1488" customFormat="1" s="8">
      <c r="A1488" s="200" t="inlineStr">
        <is>
          <t>admin4</t>
        </is>
      </c>
      <c r="B1488" s="200" t="inlineStr">
        <is>
          <t>C1541</t>
        </is>
      </c>
      <c r="C1488" s="200" t="inlineStr">
        <is>
          <t>Haj Qassem</t>
        </is>
      </c>
      <c r="D1488" s="200" t="inlineStr">
        <is>
          <t>حاج قاسم</t>
        </is>
      </c>
      <c r="E1488" s="5" t="n"/>
      <c r="F1488" s="8" t="inlineStr">
        <is>
          <t>SY020306</t>
        </is>
      </c>
    </row>
    <row r="1489" customFormat="1" s="8">
      <c r="A1489" s="200" t="inlineStr">
        <is>
          <t>admin4</t>
        </is>
      </c>
      <c r="B1489" s="200" t="inlineStr">
        <is>
          <t>C1538</t>
        </is>
      </c>
      <c r="C1489" s="200" t="inlineStr">
        <is>
          <t>Hamu Raju</t>
        </is>
      </c>
      <c r="D1489" s="200" t="inlineStr">
        <is>
          <t>حمو راجو</t>
        </is>
      </c>
      <c r="E1489" s="5" t="n"/>
      <c r="F1489" s="8" t="inlineStr">
        <is>
          <t>SY020306</t>
        </is>
      </c>
    </row>
    <row r="1490" customFormat="1" s="8">
      <c r="A1490" s="200" t="inlineStr">
        <is>
          <t>admin4</t>
        </is>
      </c>
      <c r="B1490" s="200" t="inlineStr">
        <is>
          <t>C1551</t>
        </is>
      </c>
      <c r="C1490" s="200" t="inlineStr">
        <is>
          <t>Jazruniyeh</t>
        </is>
      </c>
      <c r="D1490" s="200" t="inlineStr">
        <is>
          <t>الجزرونية</t>
        </is>
      </c>
      <c r="E1490" s="5" t="n"/>
      <c r="F1490" s="8" t="inlineStr">
        <is>
          <t>SY020306</t>
        </is>
      </c>
    </row>
    <row r="1491" customFormat="1" s="8">
      <c r="A1491" s="200" t="inlineStr">
        <is>
          <t>admin4</t>
        </is>
      </c>
      <c r="B1491" s="200" t="inlineStr">
        <is>
          <t>C1544</t>
        </is>
      </c>
      <c r="C1491" s="200" t="inlineStr">
        <is>
          <t>Jomrokiyeh</t>
        </is>
      </c>
      <c r="D1491" s="200" t="inlineStr">
        <is>
          <t>الجمركية</t>
        </is>
      </c>
      <c r="E1491" s="5" t="n"/>
      <c r="F1491" s="8" t="inlineStr">
        <is>
          <t>SY020306</t>
        </is>
      </c>
    </row>
    <row r="1492" customFormat="1" s="8">
      <c r="A1492" s="200" t="inlineStr">
        <is>
          <t>admin4</t>
        </is>
      </c>
      <c r="B1492" s="200" t="inlineStr">
        <is>
          <t>C7522</t>
        </is>
      </c>
      <c r="C1492" s="200" t="inlineStr">
        <is>
          <t>Kantara Ma'abatli</t>
        </is>
      </c>
      <c r="D1492" s="200" t="inlineStr">
        <is>
          <t>القنطرة معبطلي</t>
        </is>
      </c>
      <c r="E1492" s="5" t="n"/>
      <c r="F1492" s="8" t="inlineStr">
        <is>
          <t>SY020306</t>
        </is>
      </c>
    </row>
    <row r="1493" customFormat="1" s="8">
      <c r="A1493" s="200" t="inlineStr">
        <is>
          <t>admin4</t>
        </is>
      </c>
      <c r="B1493" s="200" t="inlineStr">
        <is>
          <t>C8220</t>
        </is>
      </c>
      <c r="C1493" s="200" t="inlineStr">
        <is>
          <t>Lower Al-Thahrah</t>
        </is>
      </c>
      <c r="D1493" s="200" t="inlineStr">
        <is>
          <t>الظاهرة الدنبا</t>
        </is>
      </c>
      <c r="E1493" s="5" t="n"/>
      <c r="F1493" s="8" t="inlineStr">
        <is>
          <t>SY020306</t>
        </is>
      </c>
    </row>
    <row r="1494" customFormat="1" s="8">
      <c r="A1494" s="200" t="inlineStr">
        <is>
          <t>admin4</t>
        </is>
      </c>
      <c r="B1494" s="200" t="inlineStr">
        <is>
          <t>C1546</t>
        </is>
      </c>
      <c r="C1494" s="200" t="inlineStr">
        <is>
          <t>Maasara - Maasaret Jaq</t>
        </is>
      </c>
      <c r="D1494" s="200" t="inlineStr">
        <is>
          <t>المعصرة_معصرةجق</t>
        </is>
      </c>
      <c r="E1494" s="5" t="n"/>
      <c r="F1494" s="8" t="inlineStr">
        <is>
          <t>SY020306</t>
        </is>
      </c>
    </row>
    <row r="1495" customFormat="1" s="8">
      <c r="A1495" s="200" t="inlineStr">
        <is>
          <t>admin4</t>
        </is>
      </c>
      <c r="B1495" s="200" t="inlineStr">
        <is>
          <t>C1552</t>
        </is>
      </c>
      <c r="C1495" s="200" t="inlineStr">
        <is>
          <t>Ma'btali</t>
        </is>
      </c>
      <c r="D1495" s="200" t="inlineStr">
        <is>
          <t>المعبطلي</t>
        </is>
      </c>
      <c r="E1495" s="5" t="n"/>
      <c r="F1495" s="8" t="inlineStr">
        <is>
          <t>SY020306</t>
        </is>
      </c>
    </row>
    <row r="1496" customFormat="1" s="8">
      <c r="A1496" s="200" t="inlineStr">
        <is>
          <t>admin4</t>
        </is>
      </c>
      <c r="B1496" s="200" t="inlineStr">
        <is>
          <t>C6400</t>
        </is>
      </c>
      <c r="C1496" s="200" t="inlineStr">
        <is>
          <t>Mazraet Shlu</t>
        </is>
      </c>
      <c r="D1496" s="200" t="inlineStr">
        <is>
          <t>مزرعة شلو</t>
        </is>
      </c>
      <c r="E1496" s="5" t="n"/>
      <c r="F1496" s="8" t="inlineStr">
        <is>
          <t>SY020306</t>
        </is>
      </c>
    </row>
    <row r="1497" customFormat="1" s="8">
      <c r="A1497" s="200" t="inlineStr">
        <is>
          <t>admin4</t>
        </is>
      </c>
      <c r="B1497" s="200" t="inlineStr">
        <is>
          <t>C1553</t>
        </is>
      </c>
      <c r="C1497" s="200" t="inlineStr">
        <is>
          <t>Mazuleh - Rotanli</t>
        </is>
      </c>
      <c r="D1497" s="200" t="inlineStr">
        <is>
          <t>المعزولة_روطانلي</t>
        </is>
      </c>
      <c r="E1497" s="5" t="n"/>
      <c r="F1497" s="8" t="inlineStr">
        <is>
          <t>SY020306</t>
        </is>
      </c>
    </row>
    <row r="1498" customFormat="1" s="8">
      <c r="A1498" s="200" t="inlineStr">
        <is>
          <t>admin4</t>
        </is>
      </c>
      <c r="B1498" s="200" t="inlineStr">
        <is>
          <t>C1554</t>
        </is>
      </c>
      <c r="C1498" s="200" t="inlineStr">
        <is>
          <t>Sheikh Aqraa - Kilo</t>
        </is>
      </c>
      <c r="D1498" s="200" t="inlineStr">
        <is>
          <t>الشيخ الأقرع_كيلو</t>
        </is>
      </c>
      <c r="E1498" s="5" t="n"/>
      <c r="F1498" s="8" t="inlineStr">
        <is>
          <t>SY020306</t>
        </is>
      </c>
    </row>
    <row r="1499" customFormat="1" s="8">
      <c r="A1499" s="200" t="inlineStr">
        <is>
          <t>admin4</t>
        </is>
      </c>
      <c r="B1499" s="200" t="inlineStr">
        <is>
          <t>C1540</t>
        </is>
      </c>
      <c r="C1499" s="200" t="inlineStr">
        <is>
          <t>Sherkan - Sherkanli</t>
        </is>
      </c>
      <c r="D1499" s="200" t="inlineStr">
        <is>
          <t>شيركان_شيركانلي</t>
        </is>
      </c>
      <c r="E1499" s="5" t="n"/>
      <c r="F1499" s="8" t="inlineStr">
        <is>
          <t>SY020306</t>
        </is>
      </c>
    </row>
    <row r="1500" customFormat="1" s="8">
      <c r="A1500" s="200" t="inlineStr">
        <is>
          <t>admin4</t>
        </is>
      </c>
      <c r="B1500" s="200" t="inlineStr">
        <is>
          <t>C1539</t>
        </is>
      </c>
      <c r="C1500" s="200" t="inlineStr">
        <is>
          <t>Shorba</t>
        </is>
      </c>
      <c r="D1500" s="200" t="inlineStr">
        <is>
          <t>الشوربة</t>
        </is>
      </c>
      <c r="E1500" s="5" t="n"/>
      <c r="F1500" s="8" t="inlineStr">
        <is>
          <t>SY020306</t>
        </is>
      </c>
    </row>
    <row r="1501" customFormat="1" s="8">
      <c r="A1501" s="200" t="inlineStr">
        <is>
          <t>admin4</t>
        </is>
      </c>
      <c r="B1501" s="200" t="inlineStr">
        <is>
          <t>C1550</t>
        </is>
      </c>
      <c r="C1501" s="200" t="inlineStr">
        <is>
          <t>Smal</t>
        </is>
      </c>
      <c r="D1501" s="200" t="inlineStr">
        <is>
          <t>السمال</t>
        </is>
      </c>
      <c r="E1501" s="5" t="n"/>
      <c r="F1501" s="8" t="inlineStr">
        <is>
          <t>SY020306</t>
        </is>
      </c>
    </row>
    <row r="1502" customFormat="1" s="8">
      <c r="A1502" s="200" t="inlineStr">
        <is>
          <t>admin4</t>
        </is>
      </c>
      <c r="B1502" s="200" t="inlineStr">
        <is>
          <t>C1536</t>
        </is>
      </c>
      <c r="C1502" s="200" t="inlineStr">
        <is>
          <t>Surra - Kobak</t>
        </is>
      </c>
      <c r="D1502" s="200" t="inlineStr">
        <is>
          <t>الصرة_كوباك</t>
        </is>
      </c>
      <c r="E1502" s="5" t="n"/>
      <c r="F1502" s="8" t="inlineStr">
        <is>
          <t>SY020306</t>
        </is>
      </c>
    </row>
    <row r="1503" customFormat="1" s="8">
      <c r="A1503" s="200" t="inlineStr">
        <is>
          <t>admin4</t>
        </is>
      </c>
      <c r="B1503" s="200" t="inlineStr">
        <is>
          <t>C8219</t>
        </is>
      </c>
      <c r="C1503" s="200" t="inlineStr">
        <is>
          <t>Upper Al-Thahrah</t>
        </is>
      </c>
      <c r="D1503" s="200" t="inlineStr">
        <is>
          <t>الظاهرة العليا</t>
        </is>
      </c>
      <c r="E1503" s="5" t="n"/>
      <c r="F1503" s="8" t="inlineStr">
        <is>
          <t>SY020306</t>
        </is>
      </c>
    </row>
    <row r="1504" customFormat="1" s="8">
      <c r="A1504" s="200" t="inlineStr">
        <is>
          <t>admin4</t>
        </is>
      </c>
      <c r="B1504" s="200" t="inlineStr">
        <is>
          <t>C8207</t>
        </is>
      </c>
      <c r="C1504" s="200" t="inlineStr">
        <is>
          <t>Upper Khazian</t>
        </is>
      </c>
      <c r="D1504" s="200" t="inlineStr">
        <is>
          <t>خزيان فوقاني</t>
        </is>
      </c>
      <c r="E1504" s="5" t="n"/>
      <c r="F1504" s="8" t="inlineStr">
        <is>
          <t>SY020306</t>
        </is>
      </c>
    </row>
    <row r="1505" customFormat="1" s="8">
      <c r="A1505" s="200" t="inlineStr">
        <is>
          <t>admin4</t>
        </is>
      </c>
      <c r="B1505" s="200" t="inlineStr">
        <is>
          <t>C1555</t>
        </is>
      </c>
      <c r="C1505" s="200" t="inlineStr">
        <is>
          <t>Yakhur - Ayki Yakhur</t>
        </is>
      </c>
      <c r="D1505" s="200" t="inlineStr">
        <is>
          <t>ياخور_أيكي أخور</t>
        </is>
      </c>
      <c r="E1505" s="5" t="n"/>
      <c r="F1505" s="8" t="inlineStr">
        <is>
          <t>SY020306</t>
        </is>
      </c>
    </row>
    <row r="1506" customFormat="1" s="8">
      <c r="A1506" s="200" t="inlineStr">
        <is>
          <t>admin4</t>
        </is>
      </c>
      <c r="B1506" s="200" t="inlineStr">
        <is>
          <t>C1545</t>
        </is>
      </c>
      <c r="C1506" s="200" t="inlineStr">
        <is>
          <t>Yatimeh - Oksozli</t>
        </is>
      </c>
      <c r="D1506" s="200" t="inlineStr">
        <is>
          <t>اليتيمة_أوكسوزلي</t>
        </is>
      </c>
      <c r="E1506" s="5" t="n"/>
      <c r="F1506" s="8" t="inlineStr">
        <is>
          <t>SY020306</t>
        </is>
      </c>
    </row>
    <row r="1507" customFormat="1" s="8">
      <c r="A1507" s="200" t="inlineStr">
        <is>
          <t>admin4</t>
        </is>
      </c>
      <c r="B1507" s="200" t="inlineStr">
        <is>
          <t>C1584</t>
        </is>
      </c>
      <c r="C1507" s="200" t="inlineStr">
        <is>
          <t>Abla</t>
        </is>
      </c>
      <c r="D1507" s="200" t="inlineStr">
        <is>
          <t>عبلة</t>
        </is>
      </c>
      <c r="E1507" s="5" t="n"/>
      <c r="F1507" s="8" t="inlineStr">
        <is>
          <t>SY020401</t>
        </is>
      </c>
    </row>
    <row r="1508" customFormat="1" s="8">
      <c r="A1508" s="200" t="inlineStr">
        <is>
          <t>admin4</t>
        </is>
      </c>
      <c r="B1508" s="200" t="inlineStr">
        <is>
          <t>C8247</t>
        </is>
      </c>
      <c r="C1508" s="200" t="inlineStr">
        <is>
          <t>Ahmadiyha</t>
        </is>
      </c>
      <c r="D1508" s="200" t="inlineStr">
        <is>
          <t>الاحمدية</t>
        </is>
      </c>
      <c r="E1508" s="5" t="n"/>
      <c r="F1508" s="8" t="inlineStr">
        <is>
          <t>SY020401</t>
        </is>
      </c>
    </row>
    <row r="1509" customFormat="1" s="8">
      <c r="A1509" s="200" t="inlineStr">
        <is>
          <t>admin4</t>
        </is>
      </c>
      <c r="B1509" s="200" t="inlineStr">
        <is>
          <t>C1581</t>
        </is>
      </c>
      <c r="C1509" s="200" t="inlineStr">
        <is>
          <t>Akhtrein</t>
        </is>
      </c>
      <c r="D1509" s="200" t="inlineStr">
        <is>
          <t>أخترين</t>
        </is>
      </c>
      <c r="E1509" s="5" t="n"/>
      <c r="F1509" s="8" t="inlineStr">
        <is>
          <t>SY020401</t>
        </is>
      </c>
    </row>
    <row r="1510" customFormat="1" s="8">
      <c r="A1510" s="200" t="inlineStr">
        <is>
          <t>admin4</t>
        </is>
      </c>
      <c r="B1510" s="200" t="inlineStr">
        <is>
          <t>C7478</t>
        </is>
      </c>
      <c r="C1510" s="200" t="inlineStr">
        <is>
          <t>Al Kharab</t>
        </is>
      </c>
      <c r="D1510" s="200" t="inlineStr">
        <is>
          <t>الخراب</t>
        </is>
      </c>
      <c r="E1510" s="5" t="n"/>
      <c r="F1510" s="8" t="inlineStr">
        <is>
          <t>SY020401</t>
        </is>
      </c>
    </row>
    <row r="1511" customFormat="1" s="8">
      <c r="A1511" s="200" t="inlineStr">
        <is>
          <t>admin4</t>
        </is>
      </c>
      <c r="B1511" s="200" t="inlineStr">
        <is>
          <t>C7502</t>
        </is>
      </c>
      <c r="C1511" s="200" t="inlineStr">
        <is>
          <t>Al Salihiyah Maree</t>
        </is>
      </c>
      <c r="D1511" s="200" t="inlineStr">
        <is>
          <t>الصالحية مارع</t>
        </is>
      </c>
      <c r="E1511" s="5" t="n"/>
      <c r="F1511" s="8" t="inlineStr">
        <is>
          <t>SY020401</t>
        </is>
      </c>
    </row>
    <row r="1512" customFormat="1" s="8">
      <c r="A1512" s="200" t="inlineStr">
        <is>
          <t>admin4</t>
        </is>
      </c>
      <c r="B1512" s="200" t="inlineStr">
        <is>
          <t>C8228</t>
        </is>
      </c>
      <c r="C1512" s="200" t="inlineStr">
        <is>
          <t>Al-Kamaliya</t>
        </is>
      </c>
      <c r="D1512" s="200" t="inlineStr">
        <is>
          <t>كمالية</t>
        </is>
      </c>
      <c r="E1512" s="5" t="n"/>
      <c r="F1512" s="8" t="inlineStr">
        <is>
          <t>SY020401</t>
        </is>
      </c>
    </row>
    <row r="1513" customFormat="1" s="8">
      <c r="A1513" s="200" t="inlineStr">
        <is>
          <t>admin4</t>
        </is>
      </c>
      <c r="B1513" s="200" t="inlineStr">
        <is>
          <t>C6334</t>
        </is>
      </c>
      <c r="C1513" s="200" t="inlineStr">
        <is>
          <t>Arshaf</t>
        </is>
      </c>
      <c r="D1513" s="200" t="inlineStr">
        <is>
          <t>ارشاف</t>
        </is>
      </c>
      <c r="E1513" s="5" t="n"/>
      <c r="F1513" s="8" t="inlineStr">
        <is>
          <t>SY020401</t>
        </is>
      </c>
    </row>
    <row r="1514" customFormat="1" s="8">
      <c r="A1514" s="200" t="inlineStr">
        <is>
          <t>admin4</t>
        </is>
      </c>
      <c r="B1514" s="200" t="inlineStr">
        <is>
          <t>C1578</t>
        </is>
      </c>
      <c r="C1514" s="200" t="inlineStr">
        <is>
          <t>Aziziyeh</t>
        </is>
      </c>
      <c r="D1514" s="200" t="inlineStr">
        <is>
          <t>العزيزية</t>
        </is>
      </c>
      <c r="E1514" s="5" t="n"/>
      <c r="F1514" s="8" t="inlineStr">
        <is>
          <t>SY020401</t>
        </is>
      </c>
    </row>
    <row r="1515" customFormat="1" s="8">
      <c r="A1515" s="200" t="inlineStr">
        <is>
          <t>admin4</t>
        </is>
      </c>
      <c r="B1515" s="200" t="inlineStr">
        <is>
          <t>C1582</t>
        </is>
      </c>
      <c r="C1515" s="200" t="inlineStr">
        <is>
          <t>Baruz</t>
        </is>
      </c>
      <c r="D1515" s="200" t="inlineStr">
        <is>
          <t>باروزة</t>
        </is>
      </c>
      <c r="E1515" s="5" t="n"/>
      <c r="F1515" s="8" t="inlineStr">
        <is>
          <t>SY020401</t>
        </is>
      </c>
    </row>
    <row r="1516" customFormat="1" s="8">
      <c r="A1516" s="200" t="inlineStr">
        <is>
          <t>admin4</t>
        </is>
      </c>
      <c r="B1516" s="200" t="inlineStr">
        <is>
          <t>C1580</t>
        </is>
      </c>
      <c r="C1516" s="200" t="inlineStr">
        <is>
          <t>Bayada - Aq Burhan</t>
        </is>
      </c>
      <c r="D1516" s="200" t="inlineStr">
        <is>
          <t>البياضية_آق برهان</t>
        </is>
      </c>
      <c r="E1516" s="5" t="n"/>
      <c r="F1516" s="8" t="inlineStr">
        <is>
          <t>SY020401</t>
        </is>
      </c>
    </row>
    <row r="1517" customFormat="1" s="8">
      <c r="A1517" s="200" t="inlineStr">
        <is>
          <t>admin4</t>
        </is>
      </c>
      <c r="B1517" s="200" t="inlineStr">
        <is>
          <t>C7492</t>
        </is>
      </c>
      <c r="C1517" s="200" t="inlineStr">
        <is>
          <t>Beit Misto</t>
        </is>
      </c>
      <c r="D1517" s="200" t="inlineStr">
        <is>
          <t>بيت مستو</t>
        </is>
      </c>
      <c r="E1517" s="5" t="n"/>
      <c r="F1517" s="8" t="inlineStr">
        <is>
          <t>SY020401</t>
        </is>
      </c>
    </row>
    <row r="1518" customFormat="1" s="8">
      <c r="A1518" s="200" t="inlineStr">
        <is>
          <t>admin4</t>
        </is>
      </c>
      <c r="B1518" s="200" t="inlineStr">
        <is>
          <t>C1593</t>
        </is>
      </c>
      <c r="C1518" s="200" t="inlineStr">
        <is>
          <t>Bgheidine</t>
        </is>
      </c>
      <c r="D1518" s="200" t="inlineStr">
        <is>
          <t>بغيدين</t>
        </is>
      </c>
      <c r="E1518" s="5" t="n"/>
      <c r="F1518" s="8" t="inlineStr">
        <is>
          <t>SY020401</t>
        </is>
      </c>
    </row>
    <row r="1519" customFormat="1" s="8">
      <c r="A1519" s="200" t="inlineStr">
        <is>
          <t>admin4</t>
        </is>
      </c>
      <c r="B1519" s="200" t="inlineStr">
        <is>
          <t>C1577</t>
        </is>
      </c>
      <c r="C1519" s="200" t="inlineStr">
        <is>
          <t>Bhorta</t>
        </is>
      </c>
      <c r="D1519" s="200" t="inlineStr">
        <is>
          <t>بحورته</t>
        </is>
      </c>
      <c r="E1519" s="5" t="n"/>
      <c r="F1519" s="8" t="inlineStr">
        <is>
          <t>SY020401</t>
        </is>
      </c>
    </row>
    <row r="1520" customFormat="1" s="8">
      <c r="A1520" s="200" t="inlineStr">
        <is>
          <t>admin4</t>
        </is>
      </c>
      <c r="B1520" s="200" t="inlineStr">
        <is>
          <t>C1583</t>
        </is>
      </c>
      <c r="C1520" s="200" t="inlineStr">
        <is>
          <t>Bleikha</t>
        </is>
      </c>
      <c r="D1520" s="200" t="inlineStr">
        <is>
          <t>بليخة</t>
        </is>
      </c>
      <c r="E1520" s="5" t="n"/>
      <c r="F1520" s="8" t="inlineStr">
        <is>
          <t>SY020401</t>
        </is>
      </c>
    </row>
    <row r="1521" customFormat="1" s="8">
      <c r="A1521" s="200" t="inlineStr">
        <is>
          <t>admin4</t>
        </is>
      </c>
      <c r="B1521" s="200" t="inlineStr">
        <is>
          <t>C1597</t>
        </is>
      </c>
      <c r="C1521" s="200" t="inlineStr">
        <is>
          <t>Dabeq</t>
        </is>
      </c>
      <c r="D1521" s="200" t="inlineStr">
        <is>
          <t>دابق</t>
        </is>
      </c>
      <c r="E1521" s="5" t="n"/>
      <c r="F1521" s="8" t="inlineStr">
        <is>
          <t>SY020401</t>
        </is>
      </c>
    </row>
    <row r="1522" customFormat="1" s="8">
      <c r="A1522" s="200" t="inlineStr">
        <is>
          <t>admin4</t>
        </is>
      </c>
      <c r="B1522" s="200" t="inlineStr">
        <is>
          <t>C1591</t>
        </is>
      </c>
      <c r="C1522" s="200" t="inlineStr">
        <is>
          <t>Dweidan</t>
        </is>
      </c>
      <c r="D1522" s="200" t="inlineStr">
        <is>
          <t>دوديان</t>
        </is>
      </c>
      <c r="E1522" s="5" t="n"/>
      <c r="F1522" s="8" t="inlineStr">
        <is>
          <t>SY020401</t>
        </is>
      </c>
    </row>
    <row r="1523" customFormat="1" s="8">
      <c r="A1523" s="200" t="inlineStr">
        <is>
          <t>admin4</t>
        </is>
      </c>
      <c r="B1523" s="200" t="inlineStr">
        <is>
          <t>C1586</t>
        </is>
      </c>
      <c r="C1523" s="200" t="inlineStr">
        <is>
          <t>Dweir Elhawa</t>
        </is>
      </c>
      <c r="D1523" s="200" t="inlineStr">
        <is>
          <t>دوير الهوا</t>
        </is>
      </c>
      <c r="E1523" s="5" t="n"/>
      <c r="F1523" s="8" t="inlineStr">
        <is>
          <t>SY020401</t>
        </is>
      </c>
    </row>
    <row r="1524" customFormat="1" s="8">
      <c r="A1524" s="200" t="inlineStr">
        <is>
          <t>admin4</t>
        </is>
      </c>
      <c r="B1524" s="200" t="inlineStr">
        <is>
          <t>C1594</t>
        </is>
      </c>
      <c r="C1524" s="200" t="inlineStr">
        <is>
          <t>Eastern Tal Aar</t>
        </is>
      </c>
      <c r="D1524" s="200" t="inlineStr">
        <is>
          <t>تل عار شرقية</t>
        </is>
      </c>
      <c r="E1524" s="5" t="n"/>
      <c r="F1524" s="8" t="inlineStr">
        <is>
          <t>SY020401</t>
        </is>
      </c>
    </row>
    <row r="1525" customFormat="1" s="8">
      <c r="A1525" s="200" t="inlineStr">
        <is>
          <t>admin4</t>
        </is>
      </c>
      <c r="B1525" s="200" t="inlineStr">
        <is>
          <t>C1601</t>
        </is>
      </c>
      <c r="C1525" s="200" t="inlineStr">
        <is>
          <t>Eastern Tal Battal</t>
        </is>
      </c>
      <c r="D1525" s="200" t="inlineStr">
        <is>
          <t>تل بطال شرقي</t>
        </is>
      </c>
      <c r="E1525" s="5" t="n"/>
      <c r="F1525" s="8" t="inlineStr">
        <is>
          <t>SY020401</t>
        </is>
      </c>
    </row>
    <row r="1526" customFormat="1" s="8">
      <c r="A1526" s="200" t="inlineStr">
        <is>
          <t>admin4</t>
        </is>
      </c>
      <c r="B1526" s="200" t="inlineStr">
        <is>
          <t>C1604</t>
        </is>
      </c>
      <c r="C1526" s="200" t="inlineStr">
        <is>
          <t>Ein Elosud</t>
        </is>
      </c>
      <c r="D1526" s="200" t="inlineStr">
        <is>
          <t>عين الاسود</t>
        </is>
      </c>
      <c r="E1526" s="5" t="n"/>
      <c r="F1526" s="8" t="inlineStr">
        <is>
          <t>SY020401</t>
        </is>
      </c>
    </row>
    <row r="1527" customFormat="1" s="8">
      <c r="A1527" s="200" t="inlineStr">
        <is>
          <t>admin4</t>
        </is>
      </c>
      <c r="B1527" s="200" t="inlineStr">
        <is>
          <t>C1598</t>
        </is>
      </c>
      <c r="C1527" s="200" t="inlineStr">
        <is>
          <t>Eskar</t>
        </is>
      </c>
      <c r="D1527" s="200" t="inlineStr">
        <is>
          <t>اكسار</t>
        </is>
      </c>
      <c r="E1527" s="5" t="n"/>
      <c r="F1527" s="8" t="inlineStr">
        <is>
          <t>SY020401</t>
        </is>
      </c>
    </row>
    <row r="1528" customFormat="1" s="8">
      <c r="A1528" s="200" t="inlineStr">
        <is>
          <t>admin4</t>
        </is>
      </c>
      <c r="B1528" s="200" t="inlineStr">
        <is>
          <t>C1614</t>
        </is>
      </c>
      <c r="C1528" s="200" t="inlineStr">
        <is>
          <t>Ghaytun</t>
        </is>
      </c>
      <c r="D1528" s="200" t="inlineStr">
        <is>
          <t>غيطون</t>
        </is>
      </c>
      <c r="E1528" s="5" t="n"/>
      <c r="F1528" s="8" t="inlineStr">
        <is>
          <t>SY020401</t>
        </is>
      </c>
    </row>
    <row r="1529" customFormat="1" s="8">
      <c r="A1529" s="200" t="inlineStr">
        <is>
          <t>admin4</t>
        </is>
      </c>
      <c r="B1529" s="200" t="inlineStr">
        <is>
          <t>C1608</t>
        </is>
      </c>
      <c r="C1529" s="200" t="inlineStr">
        <is>
          <t>Gheilaniyeh</t>
        </is>
      </c>
      <c r="D1529" s="200" t="inlineStr">
        <is>
          <t>الغيلانية</t>
        </is>
      </c>
      <c r="E1529" s="5" t="n"/>
      <c r="F1529" s="8" t="inlineStr">
        <is>
          <t>SY020401</t>
        </is>
      </c>
    </row>
    <row r="1530" customFormat="1" s="8">
      <c r="A1530" s="200" t="inlineStr">
        <is>
          <t>admin4</t>
        </is>
      </c>
      <c r="B1530" s="200" t="inlineStr">
        <is>
          <t>C1603</t>
        </is>
      </c>
      <c r="C1530" s="200" t="inlineStr">
        <is>
          <t>Ghorur</t>
        </is>
      </c>
      <c r="D1530" s="200" t="inlineStr">
        <is>
          <t>غرور</t>
        </is>
      </c>
      <c r="E1530" s="5" t="n"/>
      <c r="F1530" s="8" t="inlineStr">
        <is>
          <t>SY020401</t>
        </is>
      </c>
    </row>
    <row r="1531" customFormat="1" s="8">
      <c r="A1531" s="200" t="inlineStr">
        <is>
          <t>admin4</t>
        </is>
      </c>
      <c r="B1531" s="200" t="inlineStr">
        <is>
          <t>C1607</t>
        </is>
      </c>
      <c r="C1531" s="200" t="inlineStr">
        <is>
          <t>Ghoz</t>
        </is>
      </c>
      <c r="D1531" s="200" t="inlineStr">
        <is>
          <t>الغوز</t>
        </is>
      </c>
      <c r="E1531" s="5" t="n"/>
      <c r="F1531" s="8" t="inlineStr">
        <is>
          <t>SY020401</t>
        </is>
      </c>
    </row>
    <row r="1532" customFormat="1" s="8">
      <c r="A1532" s="200" t="inlineStr">
        <is>
          <t>admin4</t>
        </is>
      </c>
      <c r="B1532" s="200" t="inlineStr">
        <is>
          <t>C1585</t>
        </is>
      </c>
      <c r="C1532" s="200" t="inlineStr">
        <is>
          <t>Hardana</t>
        </is>
      </c>
      <c r="D1532" s="200" t="inlineStr">
        <is>
          <t>الحردانة</t>
        </is>
      </c>
      <c r="E1532" s="5" t="n"/>
      <c r="F1532" s="8" t="inlineStr">
        <is>
          <t>SY020401</t>
        </is>
      </c>
    </row>
    <row r="1533" customFormat="1" s="8">
      <c r="A1533" s="200" t="inlineStr">
        <is>
          <t>admin4</t>
        </is>
      </c>
      <c r="B1533" s="200" t="inlineStr">
        <is>
          <t>C1600</t>
        </is>
      </c>
      <c r="C1533" s="200" t="inlineStr">
        <is>
          <t>Jakkeh</t>
        </is>
      </c>
      <c r="D1533" s="200" t="inlineStr">
        <is>
          <t>جكة</t>
        </is>
      </c>
      <c r="E1533" s="5" t="n"/>
      <c r="F1533" s="8" t="inlineStr">
        <is>
          <t>SY020401</t>
        </is>
      </c>
    </row>
    <row r="1534" customFormat="1" s="8">
      <c r="A1534" s="200" t="inlineStr">
        <is>
          <t>admin4</t>
        </is>
      </c>
      <c r="B1534" s="200" t="inlineStr">
        <is>
          <t>C8173</t>
        </is>
      </c>
      <c r="C1534" s="200" t="inlineStr">
        <is>
          <t>Jubb Al-Asi</t>
        </is>
      </c>
      <c r="D1534" s="200" t="inlineStr">
        <is>
          <t>جب العاصي</t>
        </is>
      </c>
      <c r="E1534" s="5" t="n"/>
      <c r="F1534" s="8" t="inlineStr">
        <is>
          <t>SY020401</t>
        </is>
      </c>
    </row>
    <row r="1535" customFormat="1" s="8">
      <c r="A1535" s="200" t="inlineStr">
        <is>
          <t>admin4</t>
        </is>
      </c>
      <c r="B1535" s="200" t="inlineStr">
        <is>
          <t>C1609</t>
        </is>
      </c>
      <c r="C1535" s="200" t="inlineStr">
        <is>
          <t>Kaeebeh</t>
        </is>
      </c>
      <c r="D1535" s="200" t="inlineStr">
        <is>
          <t>كعيبة</t>
        </is>
      </c>
      <c r="E1535" s="5" t="n"/>
      <c r="F1535" s="8" t="inlineStr">
        <is>
          <t>SY020401</t>
        </is>
      </c>
    </row>
    <row r="1536" customFormat="1" s="8">
      <c r="A1536" s="200" t="inlineStr">
        <is>
          <t>admin4</t>
        </is>
      </c>
      <c r="B1536" s="200" t="inlineStr">
        <is>
          <t>C1610</t>
        </is>
      </c>
      <c r="C1536" s="200" t="inlineStr">
        <is>
          <t>Kardish</t>
        </is>
      </c>
      <c r="D1536" s="200" t="inlineStr">
        <is>
          <t>كدريش</t>
        </is>
      </c>
      <c r="E1536" s="5" t="n"/>
      <c r="F1536" s="8" t="inlineStr">
        <is>
          <t>SY020401</t>
        </is>
      </c>
    </row>
    <row r="1537" customFormat="1" s="8">
      <c r="A1537" s="200" t="inlineStr">
        <is>
          <t>admin4</t>
        </is>
      </c>
      <c r="B1537" s="200" t="inlineStr">
        <is>
          <t>C1576</t>
        </is>
      </c>
      <c r="C1537" s="200" t="inlineStr">
        <is>
          <t>Khalfatli</t>
        </is>
      </c>
      <c r="D1537" s="200" t="inlineStr">
        <is>
          <t>خلفتلي</t>
        </is>
      </c>
      <c r="E1537" s="5" t="n"/>
      <c r="F1537" s="8" t="inlineStr">
        <is>
          <t>SY020401</t>
        </is>
      </c>
    </row>
    <row r="1538" customFormat="1" s="8">
      <c r="A1538" s="200" t="inlineStr">
        <is>
          <t>admin4</t>
        </is>
      </c>
      <c r="B1538" s="200" t="inlineStr">
        <is>
          <t>C7559</t>
        </is>
      </c>
      <c r="C1538" s="200" t="inlineStr">
        <is>
          <t>Khirbet tall Shair</t>
        </is>
      </c>
      <c r="D1538" s="200" t="inlineStr">
        <is>
          <t>خربة تل شعير</t>
        </is>
      </c>
      <c r="E1538" s="5" t="n"/>
      <c r="F1538" s="8" t="inlineStr">
        <is>
          <t>SY020401</t>
        </is>
      </c>
    </row>
    <row r="1539" customFormat="1" s="8">
      <c r="A1539" s="200" t="inlineStr">
        <is>
          <t>admin4</t>
        </is>
      </c>
      <c r="B1539" s="200" t="inlineStr">
        <is>
          <t>C1599</t>
        </is>
      </c>
      <c r="C1539" s="200" t="inlineStr">
        <is>
          <t>Masudiyeh</t>
        </is>
      </c>
      <c r="D1539" s="200" t="inlineStr">
        <is>
          <t>المسعودية</t>
        </is>
      </c>
      <c r="E1539" s="5" t="n"/>
      <c r="F1539" s="8" t="inlineStr">
        <is>
          <t>SY020401</t>
        </is>
      </c>
    </row>
    <row r="1540" customFormat="1" s="8">
      <c r="A1540" s="200" t="inlineStr">
        <is>
          <t>admin4</t>
        </is>
      </c>
      <c r="B1540" s="200" t="inlineStr">
        <is>
          <t>C7572</t>
        </is>
      </c>
      <c r="C1540" s="200" t="inlineStr">
        <is>
          <t>Mezraat Shahin</t>
        </is>
      </c>
      <c r="D1540" s="200" t="inlineStr">
        <is>
          <t>مزرعة شاهين</t>
        </is>
      </c>
      <c r="E1540" s="5" t="n"/>
      <c r="F1540" s="8" t="inlineStr">
        <is>
          <t>SY020401</t>
        </is>
      </c>
    </row>
    <row r="1541" customFormat="1" s="8">
      <c r="A1541" s="200" t="inlineStr">
        <is>
          <t>admin4</t>
        </is>
      </c>
      <c r="B1541" s="200" t="inlineStr">
        <is>
          <t>C7476</t>
        </is>
      </c>
      <c r="C1541" s="200" t="inlineStr">
        <is>
          <t>Miserefe</t>
        </is>
      </c>
      <c r="D1541" s="200" t="inlineStr">
        <is>
          <t>مصيرفة</t>
        </is>
      </c>
      <c r="E1541" s="5" t="n"/>
      <c r="F1541" s="8" t="inlineStr">
        <is>
          <t>SY020401</t>
        </is>
      </c>
    </row>
    <row r="1542" customFormat="1" s="8">
      <c r="A1542" s="200" t="inlineStr">
        <is>
          <t>admin4</t>
        </is>
      </c>
      <c r="B1542" s="200" t="inlineStr">
        <is>
          <t>C1587</t>
        </is>
      </c>
      <c r="C1542" s="200" t="inlineStr">
        <is>
          <t>Oweilin</t>
        </is>
      </c>
      <c r="D1542" s="200" t="inlineStr">
        <is>
          <t>عويلين</t>
        </is>
      </c>
      <c r="E1542" s="5" t="n"/>
      <c r="F1542" s="8" t="inlineStr">
        <is>
          <t>SY020401</t>
        </is>
      </c>
    </row>
    <row r="1543" customFormat="1" s="8">
      <c r="A1543" s="200" t="inlineStr">
        <is>
          <t>admin4</t>
        </is>
      </c>
      <c r="B1543" s="200" t="inlineStr">
        <is>
          <t>C1616</t>
        </is>
      </c>
      <c r="C1543" s="200" t="inlineStr">
        <is>
          <t>Qaar Kalbein</t>
        </is>
      </c>
      <c r="D1543" s="200" t="inlineStr">
        <is>
          <t>قعر كلبين</t>
        </is>
      </c>
      <c r="E1543" s="5" t="n"/>
      <c r="F1543" s="8" t="inlineStr">
        <is>
          <t>SY020401</t>
        </is>
      </c>
    </row>
    <row r="1544" customFormat="1" s="8">
      <c r="A1544" s="200" t="inlineStr">
        <is>
          <t>admin4</t>
        </is>
      </c>
      <c r="B1544" s="200" t="inlineStr">
        <is>
          <t>C1611</t>
        </is>
      </c>
      <c r="C1544" s="200" t="inlineStr">
        <is>
          <t>Qabtan</t>
        </is>
      </c>
      <c r="D1544" s="200" t="inlineStr">
        <is>
          <t>قبتان</t>
        </is>
      </c>
      <c r="E1544" s="5" t="n"/>
      <c r="F1544" s="8" t="inlineStr">
        <is>
          <t>SY020401</t>
        </is>
      </c>
    </row>
    <row r="1545" customFormat="1" s="8">
      <c r="A1545" s="200" t="inlineStr">
        <is>
          <t>admin4</t>
        </is>
      </c>
      <c r="B1545" s="200" t="inlineStr">
        <is>
          <t>C1613</t>
        </is>
      </c>
      <c r="C1545" s="200" t="inlineStr">
        <is>
          <t>Qazam - Qesset Jak</t>
        </is>
      </c>
      <c r="D1545" s="200" t="inlineStr">
        <is>
          <t>قزم_قصه جك</t>
        </is>
      </c>
      <c r="E1545" s="5" t="n"/>
      <c r="F1545" s="8" t="inlineStr">
        <is>
          <t>SY020401</t>
        </is>
      </c>
    </row>
    <row r="1546" customFormat="1" s="8">
      <c r="A1546" s="200" t="inlineStr">
        <is>
          <t>admin4</t>
        </is>
      </c>
      <c r="B1546" s="200" t="inlineStr">
        <is>
          <t>C1612</t>
        </is>
      </c>
      <c r="C1546" s="200" t="inlineStr">
        <is>
          <t>Qorra Mazraa</t>
        </is>
      </c>
      <c r="D1546" s="200" t="inlineStr">
        <is>
          <t>قره مزرعة</t>
        </is>
      </c>
      <c r="E1546" s="5" t="n"/>
      <c r="F1546" s="8" t="inlineStr">
        <is>
          <t>SY020401</t>
        </is>
      </c>
    </row>
    <row r="1547" customFormat="1" s="8">
      <c r="A1547" s="200" t="inlineStr">
        <is>
          <t>admin4</t>
        </is>
      </c>
      <c r="B1547" s="200" t="inlineStr">
        <is>
          <t>C1596</t>
        </is>
      </c>
      <c r="C1547" s="200" t="inlineStr">
        <is>
          <t>Samuqet Aazaz</t>
        </is>
      </c>
      <c r="D1547" s="200" t="inlineStr">
        <is>
          <t>سموقة اعزاز</t>
        </is>
      </c>
      <c r="E1547" s="5" t="n"/>
      <c r="F1547" s="8" t="inlineStr">
        <is>
          <t>SY020401</t>
        </is>
      </c>
    </row>
    <row r="1548" customFormat="1" s="8">
      <c r="A1548" s="200" t="inlineStr">
        <is>
          <t>admin4</t>
        </is>
      </c>
      <c r="B1548" s="200" t="inlineStr">
        <is>
          <t>C1588</t>
        </is>
      </c>
      <c r="C1548" s="200" t="inlineStr">
        <is>
          <t>Sandara</t>
        </is>
      </c>
      <c r="D1548" s="200" t="inlineStr">
        <is>
          <t>صندرة</t>
        </is>
      </c>
      <c r="E1548" s="5" t="n"/>
      <c r="F1548" s="8" t="inlineStr">
        <is>
          <t>SY020401</t>
        </is>
      </c>
    </row>
    <row r="1549" customFormat="1" s="8">
      <c r="A1549" s="200" t="inlineStr">
        <is>
          <t>admin4</t>
        </is>
      </c>
      <c r="B1549" s="200" t="inlineStr">
        <is>
          <t>C8244</t>
        </is>
      </c>
      <c r="C1549" s="200" t="inlineStr">
        <is>
          <t>Shabanyiha</t>
        </is>
      </c>
      <c r="D1549" s="200" t="inlineStr">
        <is>
          <t>الشعبانية</t>
        </is>
      </c>
      <c r="E1549" s="5" t="n"/>
      <c r="F1549" s="8" t="inlineStr">
        <is>
          <t>SY020401</t>
        </is>
      </c>
    </row>
    <row r="1550" customFormat="1" s="8">
      <c r="A1550" s="200" t="inlineStr">
        <is>
          <t>admin4</t>
        </is>
      </c>
      <c r="B1550" s="200" t="inlineStr">
        <is>
          <t>C1590</t>
        </is>
      </c>
      <c r="C1550" s="200" t="inlineStr">
        <is>
          <t>Taanah</t>
        </is>
      </c>
      <c r="D1550" s="200" t="inlineStr">
        <is>
          <t>طعانة</t>
        </is>
      </c>
      <c r="E1550" s="5" t="n"/>
      <c r="F1550" s="8" t="inlineStr">
        <is>
          <t>SY020401</t>
        </is>
      </c>
    </row>
    <row r="1551" customFormat="1" s="8">
      <c r="A1551" s="200" t="inlineStr">
        <is>
          <t>admin4</t>
        </is>
      </c>
      <c r="B1551" s="200" t="inlineStr">
        <is>
          <t>C8250</t>
        </is>
      </c>
      <c r="C1551" s="200" t="inlineStr">
        <is>
          <t>Tal Battal</t>
        </is>
      </c>
      <c r="D1551" s="200" t="inlineStr">
        <is>
          <t>تل بطال</t>
        </is>
      </c>
      <c r="E1551" s="5" t="n"/>
      <c r="F1551" s="8" t="inlineStr">
        <is>
          <t>SY020401</t>
        </is>
      </c>
    </row>
    <row r="1552" customFormat="1" s="8">
      <c r="A1552" s="200" t="inlineStr">
        <is>
          <t>admin4</t>
        </is>
      </c>
      <c r="B1552" s="200" t="inlineStr">
        <is>
          <t>C8158</t>
        </is>
      </c>
      <c r="C1552" s="200" t="inlineStr">
        <is>
          <t>Tal Jijan</t>
        </is>
      </c>
      <c r="D1552" s="200" t="inlineStr">
        <is>
          <t>تل جيجان</t>
        </is>
      </c>
      <c r="E1552" s="5" t="n"/>
      <c r="F1552" s="8" t="inlineStr">
        <is>
          <t>SY020401</t>
        </is>
      </c>
    </row>
    <row r="1553" customFormat="1" s="8">
      <c r="A1553" s="200" t="inlineStr">
        <is>
          <t>admin4</t>
        </is>
      </c>
      <c r="B1553" s="200" t="inlineStr">
        <is>
          <t>C1592</t>
        </is>
      </c>
      <c r="C1553" s="200" t="inlineStr">
        <is>
          <t>Tal Sheer Aazaz</t>
        </is>
      </c>
      <c r="D1553" s="200" t="inlineStr">
        <is>
          <t>تل شعير اعزاز</t>
        </is>
      </c>
      <c r="E1553" s="5" t="n"/>
      <c r="F1553" s="8" t="inlineStr">
        <is>
          <t>SY020401</t>
        </is>
      </c>
    </row>
    <row r="1554" customFormat="1" s="8">
      <c r="A1554" s="200" t="inlineStr">
        <is>
          <t>admin4</t>
        </is>
      </c>
      <c r="B1554" s="200" t="inlineStr">
        <is>
          <t>C8179</t>
        </is>
      </c>
      <c r="C1554" s="200" t="inlineStr">
        <is>
          <t xml:space="preserve">Talatayna </t>
        </is>
      </c>
      <c r="D1554" s="200" t="inlineStr">
        <is>
          <t>تلاتينة</t>
        </is>
      </c>
      <c r="E1554" s="5" t="n"/>
      <c r="F1554" s="8" t="inlineStr">
        <is>
          <t>SY020401</t>
        </is>
      </c>
    </row>
    <row r="1555" customFormat="1" s="8">
      <c r="A1555" s="200" t="inlineStr">
        <is>
          <t>admin4</t>
        </is>
      </c>
      <c r="B1555" s="200" t="inlineStr">
        <is>
          <t>C1602</t>
        </is>
      </c>
      <c r="C1555" s="200" t="inlineStr">
        <is>
          <t>Tat Hims</t>
        </is>
      </c>
      <c r="D1555" s="200" t="inlineStr">
        <is>
          <t>طاط حمس</t>
        </is>
      </c>
      <c r="E1555" s="5" t="n"/>
      <c r="F1555" s="8" t="inlineStr">
        <is>
          <t>SY020401</t>
        </is>
      </c>
    </row>
    <row r="1556" customFormat="1" s="8">
      <c r="A1556" s="200" t="inlineStr">
        <is>
          <t>admin4</t>
        </is>
      </c>
      <c r="B1556" s="200" t="inlineStr">
        <is>
          <t>C1606</t>
        </is>
      </c>
      <c r="C1556" s="200" t="inlineStr">
        <is>
          <t>Teltana</t>
        </is>
      </c>
      <c r="D1556" s="200" t="inlineStr">
        <is>
          <t>تلتانة</t>
        </is>
      </c>
      <c r="E1556" s="5" t="n"/>
      <c r="F1556" s="8" t="inlineStr">
        <is>
          <t>SY020401</t>
        </is>
      </c>
    </row>
    <row r="1557" customFormat="1" s="8">
      <c r="A1557" s="200" t="inlineStr">
        <is>
          <t>admin4</t>
        </is>
      </c>
      <c r="B1557" s="200" t="inlineStr">
        <is>
          <t>C1605</t>
        </is>
      </c>
      <c r="C1557" s="200" t="inlineStr">
        <is>
          <t>Turkman Bareh</t>
        </is>
      </c>
      <c r="D1557" s="200" t="inlineStr">
        <is>
          <t>تركمان بارح</t>
        </is>
      </c>
      <c r="E1557" s="5" t="n"/>
      <c r="F1557" s="8" t="inlineStr">
        <is>
          <t>SY020401</t>
        </is>
      </c>
    </row>
    <row r="1558" customFormat="1" s="8">
      <c r="A1558" s="200" t="inlineStr">
        <is>
          <t>admin4</t>
        </is>
      </c>
      <c r="B1558" s="200" t="inlineStr">
        <is>
          <t>C7487</t>
        </is>
      </c>
      <c r="C1558" s="200" t="inlineStr">
        <is>
          <t>Tuwainiyah</t>
        </is>
      </c>
      <c r="D1558" s="200" t="inlineStr">
        <is>
          <t>طويحينة</t>
        </is>
      </c>
      <c r="E1558" s="5" t="n"/>
      <c r="F1558" s="8" t="inlineStr">
        <is>
          <t>SY020401</t>
        </is>
      </c>
    </row>
    <row r="1559" customFormat="1" s="8">
      <c r="A1559" s="200" t="inlineStr">
        <is>
          <t>admin4</t>
        </is>
      </c>
      <c r="B1559" s="200" t="inlineStr">
        <is>
          <t>C1589</t>
        </is>
      </c>
      <c r="C1559" s="200" t="inlineStr">
        <is>
          <t>Tweis</t>
        </is>
      </c>
      <c r="D1559" s="200" t="inlineStr">
        <is>
          <t>طويس</t>
        </is>
      </c>
      <c r="E1559" s="5" t="n"/>
      <c r="F1559" s="8" t="inlineStr">
        <is>
          <t>SY020401</t>
        </is>
      </c>
    </row>
    <row r="1560" customFormat="1" s="8">
      <c r="A1560" s="200" t="inlineStr">
        <is>
          <t>admin4</t>
        </is>
      </c>
      <c r="B1560" s="200" t="inlineStr">
        <is>
          <t>C1615</t>
        </is>
      </c>
      <c r="C1560" s="200" t="inlineStr">
        <is>
          <t>Wash</t>
        </is>
      </c>
      <c r="D1560" s="200" t="inlineStr">
        <is>
          <t>واش</t>
        </is>
      </c>
      <c r="E1560" s="5" t="n"/>
      <c r="F1560" s="8" t="inlineStr">
        <is>
          <t>SY020401</t>
        </is>
      </c>
    </row>
    <row r="1561" customFormat="1" s="8">
      <c r="A1561" s="200" t="inlineStr">
        <is>
          <t>admin4</t>
        </is>
      </c>
      <c r="B1561" s="200" t="inlineStr">
        <is>
          <t>C1595</t>
        </is>
      </c>
      <c r="C1561" s="200" t="inlineStr">
        <is>
          <t>Western Tal Aar</t>
        </is>
      </c>
      <c r="D1561" s="200" t="inlineStr">
        <is>
          <t>تل عار غربية</t>
        </is>
      </c>
      <c r="E1561" s="5" t="n"/>
      <c r="F1561" s="8" t="inlineStr">
        <is>
          <t>SY020401</t>
        </is>
      </c>
    </row>
    <row r="1562" customFormat="1" s="8">
      <c r="A1562" s="200" t="inlineStr">
        <is>
          <t>admin4</t>
        </is>
      </c>
      <c r="B1562" s="200" t="inlineStr">
        <is>
          <t>C1579</t>
        </is>
      </c>
      <c r="C1562" s="200" t="inlineStr">
        <is>
          <t>Zayadiyeh</t>
        </is>
      </c>
      <c r="D1562" s="200" t="inlineStr">
        <is>
          <t>زيادية</t>
        </is>
      </c>
      <c r="E1562" s="5" t="n"/>
      <c r="F1562" s="8" t="inlineStr">
        <is>
          <t>SY020401</t>
        </is>
      </c>
    </row>
    <row r="1563" customFormat="1" s="8">
      <c r="A1563" s="200" t="inlineStr">
        <is>
          <t>admin4</t>
        </is>
      </c>
      <c r="B1563" s="200" t="inlineStr">
        <is>
          <t>C1630</t>
        </is>
      </c>
      <c r="C1563" s="200" t="inlineStr">
        <is>
          <t>Saed - Qlsroj</t>
        </is>
      </c>
      <c r="D1563" s="200" t="inlineStr">
        <is>
          <t>الساعد_قولسروج</t>
        </is>
      </c>
      <c r="E1563" s="5" t="n"/>
      <c r="F1563" s="8" t="inlineStr">
        <is>
          <t>SY020403</t>
        </is>
      </c>
    </row>
    <row r="1564" customFormat="1" s="8">
      <c r="A1564" s="200" t="inlineStr">
        <is>
          <t>admin4</t>
        </is>
      </c>
      <c r="B1564" s="200" t="inlineStr">
        <is>
          <t>C1632</t>
        </is>
      </c>
      <c r="C1564" s="200" t="inlineStr">
        <is>
          <t>Tlaline</t>
        </is>
      </c>
      <c r="D1564" s="200" t="inlineStr">
        <is>
          <t>تلالين</t>
        </is>
      </c>
      <c r="E1564" s="5" t="n"/>
      <c r="F1564" s="8" t="inlineStr">
        <is>
          <t>SY020403</t>
        </is>
      </c>
    </row>
    <row r="1565" customFormat="1" s="8">
      <c r="A1565" s="200" t="inlineStr">
        <is>
          <t>admin4</t>
        </is>
      </c>
      <c r="B1565" s="200" t="inlineStr">
        <is>
          <t>C1634</t>
        </is>
      </c>
      <c r="C1565" s="200" t="inlineStr">
        <is>
          <t>Hosniyeh - Hsajek</t>
        </is>
      </c>
      <c r="D1565" s="200" t="inlineStr">
        <is>
          <t>الحسنية_حساجك</t>
        </is>
      </c>
      <c r="E1565" s="5" t="n"/>
      <c r="F1565" s="8" t="inlineStr">
        <is>
          <t>SY020403</t>
        </is>
      </c>
    </row>
    <row r="1566" customFormat="1" s="8">
      <c r="A1566" s="200" t="inlineStr">
        <is>
          <t>admin4</t>
        </is>
      </c>
      <c r="B1566" s="200" t="inlineStr">
        <is>
          <t>C1636</t>
        </is>
      </c>
      <c r="C1566" s="200" t="inlineStr">
        <is>
          <t>Hiwar Elnahr</t>
        </is>
      </c>
      <c r="D1566" s="200" t="inlineStr">
        <is>
          <t>حوار النهر</t>
        </is>
      </c>
      <c r="E1566" s="5" t="n"/>
      <c r="F1566" s="8" t="inlineStr">
        <is>
          <t>SY020403</t>
        </is>
      </c>
    </row>
    <row r="1567" customFormat="1" s="8">
      <c r="A1567" s="200" t="inlineStr">
        <is>
          <t>admin4</t>
        </is>
      </c>
      <c r="B1567" s="200" t="inlineStr">
        <is>
          <t>C1637</t>
        </is>
      </c>
      <c r="C1567" s="200" t="inlineStr">
        <is>
          <t>Hissiyeh</t>
        </is>
      </c>
      <c r="D1567" s="200" t="inlineStr">
        <is>
          <t>الحصية</t>
        </is>
      </c>
      <c r="E1567" s="5" t="n"/>
      <c r="F1567" s="8" t="inlineStr">
        <is>
          <t>SY020403</t>
        </is>
      </c>
    </row>
    <row r="1568" customFormat="1" s="8">
      <c r="A1568" s="200" t="inlineStr">
        <is>
          <t>admin4</t>
        </is>
      </c>
      <c r="B1568" s="200" t="inlineStr">
        <is>
          <t>C1640</t>
        </is>
      </c>
      <c r="C1568" s="200" t="inlineStr">
        <is>
          <t>Fafin</t>
        </is>
      </c>
      <c r="D1568" s="200" t="inlineStr">
        <is>
          <t>فافين</t>
        </is>
      </c>
      <c r="E1568" s="5" t="n"/>
      <c r="F1568" s="8" t="inlineStr">
        <is>
          <t>SY020403</t>
        </is>
      </c>
    </row>
    <row r="1569" customFormat="1" s="8">
      <c r="A1569" s="200" t="inlineStr">
        <is>
          <t>admin4</t>
        </is>
      </c>
      <c r="B1569" s="200" t="inlineStr">
        <is>
          <t>C1641</t>
        </is>
      </c>
      <c r="C1569" s="200" t="inlineStr">
        <is>
          <t>Maratet Um Hosh</t>
        </is>
      </c>
      <c r="D1569" s="200" t="inlineStr">
        <is>
          <t>معراتة أم حوش</t>
        </is>
      </c>
      <c r="E1569" s="5" t="n"/>
      <c r="F1569" s="8" t="inlineStr">
        <is>
          <t>SY020403</t>
        </is>
      </c>
    </row>
    <row r="1570" customFormat="1" s="8">
      <c r="A1570" s="200" t="inlineStr">
        <is>
          <t>admin4</t>
        </is>
      </c>
      <c r="B1570" s="200" t="inlineStr">
        <is>
          <t>C1643</t>
        </is>
      </c>
      <c r="C1570" s="200" t="inlineStr">
        <is>
          <t>Mare'</t>
        </is>
      </c>
      <c r="D1570" s="200" t="inlineStr">
        <is>
          <t>مارع</t>
        </is>
      </c>
      <c r="E1570" s="5" t="n"/>
      <c r="F1570" s="8" t="inlineStr">
        <is>
          <t>SY020403</t>
        </is>
      </c>
    </row>
    <row r="1571" customFormat="1" s="8">
      <c r="A1571" s="200" t="inlineStr">
        <is>
          <t>admin4</t>
        </is>
      </c>
      <c r="B1571" s="200" t="inlineStr">
        <is>
          <t>C6419</t>
        </is>
      </c>
      <c r="C1571" s="200" t="inlineStr">
        <is>
          <t>Sandaf</t>
        </is>
      </c>
      <c r="D1571" s="200" t="inlineStr">
        <is>
          <t>صندف</t>
        </is>
      </c>
      <c r="E1571" s="5" t="n"/>
      <c r="F1571" s="8" t="inlineStr">
        <is>
          <t>SY020403</t>
        </is>
      </c>
    </row>
    <row r="1572" customFormat="1" s="8">
      <c r="A1572" s="200" t="inlineStr">
        <is>
          <t>admin4</t>
        </is>
      </c>
      <c r="B1572" s="200" t="inlineStr">
        <is>
          <t>C6420</t>
        </is>
      </c>
      <c r="C1572" s="200" t="inlineStr">
        <is>
          <t>Em Al-Qura</t>
        </is>
      </c>
      <c r="D1572" s="200" t="inlineStr">
        <is>
          <t>أم القرى</t>
        </is>
      </c>
      <c r="E1572" s="5" t="n"/>
      <c r="F1572" s="8" t="inlineStr">
        <is>
          <t>SY020403</t>
        </is>
      </c>
    </row>
    <row r="1573" customFormat="1" s="8">
      <c r="A1573" s="200" t="inlineStr">
        <is>
          <t>admin4</t>
        </is>
      </c>
      <c r="B1573" s="200" t="inlineStr">
        <is>
          <t>C7480</t>
        </is>
      </c>
      <c r="C1573" s="200" t="inlineStr">
        <is>
          <t>Mezraat Hewarin</t>
        </is>
      </c>
      <c r="D1573" s="200" t="inlineStr">
        <is>
          <t>مزرعة حوارين</t>
        </is>
      </c>
      <c r="E1573" s="5" t="n"/>
      <c r="F1573" s="8" t="inlineStr">
        <is>
          <t>SY020403</t>
        </is>
      </c>
    </row>
    <row r="1574" customFormat="1" s="8">
      <c r="A1574" s="200" t="inlineStr">
        <is>
          <t>admin4</t>
        </is>
      </c>
      <c r="B1574" s="200" t="inlineStr">
        <is>
          <t>C1633</t>
        </is>
      </c>
      <c r="C1574" s="200" t="inlineStr">
        <is>
          <t>Alsayed Ali</t>
        </is>
      </c>
      <c r="D1574" s="200" t="inlineStr">
        <is>
          <t>السيد علي</t>
        </is>
      </c>
      <c r="E1574" s="5" t="n"/>
      <c r="F1574" s="8" t="inlineStr">
        <is>
          <t>SY020403</t>
        </is>
      </c>
    </row>
    <row r="1575" customFormat="1" s="8">
      <c r="A1575" s="200" t="inlineStr">
        <is>
          <t>admin4</t>
        </is>
      </c>
      <c r="B1575" s="200" t="inlineStr">
        <is>
          <t>C1629</t>
        </is>
      </c>
      <c r="C1575" s="200" t="inlineStr">
        <is>
          <t>Asanbal</t>
        </is>
      </c>
      <c r="D1575" s="200" t="inlineStr">
        <is>
          <t>اسنبل</t>
        </is>
      </c>
      <c r="E1575" s="5" t="n"/>
      <c r="F1575" s="8" t="inlineStr">
        <is>
          <t>SY020403</t>
        </is>
      </c>
    </row>
    <row r="1576" customFormat="1" s="8">
      <c r="A1576" s="200" t="inlineStr">
        <is>
          <t>admin4</t>
        </is>
      </c>
      <c r="B1576" s="200" t="inlineStr">
        <is>
          <t>C1631</t>
        </is>
      </c>
      <c r="C1576" s="200" t="inlineStr">
        <is>
          <t>Harbal</t>
        </is>
      </c>
      <c r="D1576" s="200" t="inlineStr">
        <is>
          <t>حربل</t>
        </is>
      </c>
      <c r="E1576" s="5" t="n"/>
      <c r="F1576" s="8" t="inlineStr">
        <is>
          <t>SY020403</t>
        </is>
      </c>
    </row>
    <row r="1577" customFormat="1" s="8">
      <c r="A1577" s="200" t="inlineStr">
        <is>
          <t>admin4</t>
        </is>
      </c>
      <c r="B1577" s="200" t="inlineStr">
        <is>
          <t>C8140</t>
        </is>
      </c>
      <c r="C1577" s="200" t="inlineStr">
        <is>
          <t>Hasin</t>
        </is>
      </c>
      <c r="D1577" s="200" t="inlineStr">
        <is>
          <t>حاسين</t>
        </is>
      </c>
      <c r="E1577" s="5" t="n"/>
      <c r="F1577" s="8" t="inlineStr">
        <is>
          <t>SY020403</t>
        </is>
      </c>
    </row>
    <row r="1578" customFormat="1" s="8">
      <c r="A1578" s="200" t="inlineStr">
        <is>
          <t>admin4</t>
        </is>
      </c>
      <c r="B1578" s="200" t="inlineStr">
        <is>
          <t>C1642</t>
        </is>
      </c>
      <c r="C1578" s="200" t="inlineStr">
        <is>
          <t>Kafr Elward</t>
        </is>
      </c>
      <c r="D1578" s="200" t="inlineStr">
        <is>
          <t>كفر الورد</t>
        </is>
      </c>
      <c r="E1578" s="5" t="n"/>
      <c r="F1578" s="8" t="inlineStr">
        <is>
          <t>SY020403</t>
        </is>
      </c>
    </row>
    <row r="1579" customFormat="1" s="8">
      <c r="A1579" s="200" t="inlineStr">
        <is>
          <t>admin4</t>
        </is>
      </c>
      <c r="B1579" s="200" t="inlineStr">
        <is>
          <t>C1639</t>
        </is>
      </c>
      <c r="C1579" s="200" t="inlineStr">
        <is>
          <t>Qaramel</t>
        </is>
      </c>
      <c r="D1579" s="200" t="inlineStr">
        <is>
          <t>قرامل</t>
        </is>
      </c>
      <c r="E1579" s="5" t="n"/>
      <c r="F1579" s="8" t="inlineStr">
        <is>
          <t>SY020403</t>
        </is>
      </c>
    </row>
    <row r="1580" customFormat="1" s="8">
      <c r="A1580" s="200" t="inlineStr">
        <is>
          <t>admin4</t>
        </is>
      </c>
      <c r="B1580" s="200" t="inlineStr">
        <is>
          <t>C6418</t>
        </is>
      </c>
      <c r="C1580" s="200" t="inlineStr">
        <is>
          <t>Tal Maled</t>
        </is>
      </c>
      <c r="D1580" s="200" t="inlineStr">
        <is>
          <t>تل مالد</t>
        </is>
      </c>
      <c r="E1580" s="5" t="n"/>
      <c r="F1580" s="8" t="inlineStr">
        <is>
          <t>SY020403</t>
        </is>
      </c>
    </row>
    <row r="1581" customFormat="1" s="8">
      <c r="A1581" s="200" t="inlineStr">
        <is>
          <t>admin4</t>
        </is>
      </c>
      <c r="B1581" s="200" t="inlineStr">
        <is>
          <t>C1638</t>
        </is>
      </c>
      <c r="C1581" s="200" t="inlineStr">
        <is>
          <t>Telqraq</t>
        </is>
      </c>
      <c r="D1581" s="200" t="inlineStr">
        <is>
          <t>تلقراح</t>
        </is>
      </c>
      <c r="E1581" s="5" t="n"/>
      <c r="F1581" s="8" t="inlineStr">
        <is>
          <t>SY020403</t>
        </is>
      </c>
    </row>
    <row r="1582" customFormat="1" s="8">
      <c r="A1582" s="200" t="inlineStr">
        <is>
          <t>admin4</t>
        </is>
      </c>
      <c r="B1582" s="200" t="inlineStr">
        <is>
          <t>C1644</t>
        </is>
      </c>
      <c r="C1582" s="200" t="inlineStr">
        <is>
          <t>Wahshiyeh</t>
        </is>
      </c>
      <c r="D1582" s="200" t="inlineStr">
        <is>
          <t>وحشية</t>
        </is>
      </c>
      <c r="E1582" s="5" t="n"/>
      <c r="F1582" s="8" t="inlineStr">
        <is>
          <t>SY020403</t>
        </is>
      </c>
    </row>
    <row r="1583" customFormat="1" s="8">
      <c r="A1583" s="200" t="inlineStr">
        <is>
          <t>admin4</t>
        </is>
      </c>
      <c r="B1583" s="200" t="inlineStr">
        <is>
          <t>C8152</t>
        </is>
      </c>
      <c r="C1583" s="200" t="inlineStr">
        <is>
          <t>Wardyah</t>
        </is>
      </c>
      <c r="D1583" s="200" t="inlineStr">
        <is>
          <t>وردية</t>
        </is>
      </c>
      <c r="E1583" s="5" t="n"/>
      <c r="F1583" s="8" t="inlineStr">
        <is>
          <t>SY020403</t>
        </is>
      </c>
    </row>
    <row r="1584" customFormat="1" s="8">
      <c r="A1584" s="200" t="inlineStr">
        <is>
          <t>admin4</t>
        </is>
      </c>
      <c r="B1584" s="200" t="inlineStr">
        <is>
          <t>C7474</t>
        </is>
      </c>
      <c r="C1584" s="200" t="inlineStr">
        <is>
          <t>Wasitiyah Maree</t>
        </is>
      </c>
      <c r="D1584" s="200" t="inlineStr">
        <is>
          <t>وسيطية مارع</t>
        </is>
      </c>
      <c r="E1584" s="5" t="n"/>
      <c r="F1584" s="8" t="inlineStr">
        <is>
          <t>SY020403</t>
        </is>
      </c>
    </row>
    <row r="1585" customFormat="1" s="8">
      <c r="A1585" s="200" t="inlineStr">
        <is>
          <t>admin4</t>
        </is>
      </c>
      <c r="B1585" s="200" t="inlineStr">
        <is>
          <t>C6419</t>
        </is>
      </c>
      <c r="C1585" s="200" t="inlineStr">
        <is>
          <t>Sandaf</t>
        </is>
      </c>
      <c r="D1585" s="200" t="inlineStr">
        <is>
          <t>صندف</t>
        </is>
      </c>
      <c r="E1585" s="5" t="n"/>
      <c r="F1585" s="8" t="inlineStr">
        <is>
          <t>SY020403</t>
        </is>
      </c>
    </row>
    <row r="1586" customFormat="1" s="8">
      <c r="A1586" s="200" t="inlineStr">
        <is>
          <t>admin4</t>
        </is>
      </c>
      <c r="B1586" s="200" t="inlineStr">
        <is>
          <t>C1657</t>
        </is>
      </c>
      <c r="C1586" s="200" t="inlineStr">
        <is>
          <t>Yarobiyeh</t>
        </is>
      </c>
      <c r="D1586" s="200" t="inlineStr">
        <is>
          <t>اليعربية</t>
        </is>
      </c>
      <c r="E1586" s="5" t="n"/>
      <c r="F1586" s="8" t="inlineStr">
        <is>
          <t>SY020405</t>
        </is>
      </c>
    </row>
    <row r="1587" customFormat="1" s="8">
      <c r="A1587" s="200" t="inlineStr">
        <is>
          <t>admin4</t>
        </is>
      </c>
      <c r="B1587" s="200" t="inlineStr">
        <is>
          <t>C1658</t>
        </is>
      </c>
      <c r="C1587" s="200" t="inlineStr">
        <is>
          <t>Zayzafun - Ekdeh</t>
        </is>
      </c>
      <c r="D1587" s="200" t="inlineStr">
        <is>
          <t>الزيزفون_إيكدة</t>
        </is>
      </c>
      <c r="E1587" s="5" t="n"/>
      <c r="F1587" s="8" t="inlineStr">
        <is>
          <t>SY020405</t>
        </is>
      </c>
    </row>
    <row r="1588" customFormat="1" s="8">
      <c r="A1588" s="200" t="inlineStr">
        <is>
          <t>admin4</t>
        </is>
      </c>
      <c r="B1588" s="200" t="inlineStr">
        <is>
          <t>C1660</t>
        </is>
      </c>
      <c r="C1588" s="200" t="inlineStr">
        <is>
          <t>Shweirin</t>
        </is>
      </c>
      <c r="D1588" s="200" t="inlineStr">
        <is>
          <t>شويرين</t>
        </is>
      </c>
      <c r="E1588" s="5" t="n"/>
      <c r="F1588" s="8" t="inlineStr">
        <is>
          <t>SY020405</t>
        </is>
      </c>
    </row>
    <row r="1589" customFormat="1" s="8">
      <c r="A1589" s="200" t="inlineStr">
        <is>
          <t>admin4</t>
        </is>
      </c>
      <c r="B1589" s="200" t="inlineStr">
        <is>
          <t>C1662</t>
        </is>
      </c>
      <c r="C1589" s="200" t="inlineStr">
        <is>
          <t>Jdideh</t>
        </is>
      </c>
      <c r="D1589" s="200" t="inlineStr">
        <is>
          <t>الجديدة</t>
        </is>
      </c>
      <c r="E1589" s="5" t="n"/>
      <c r="F1589" s="8" t="inlineStr">
        <is>
          <t>SY020405</t>
        </is>
      </c>
    </row>
    <row r="1590" customFormat="1" s="8">
      <c r="A1590" s="200" t="inlineStr">
        <is>
          <t>admin4</t>
        </is>
      </c>
      <c r="B1590" s="200" t="inlineStr">
        <is>
          <t>C1665</t>
        </is>
      </c>
      <c r="C1590" s="200" t="inlineStr">
        <is>
          <t>Rael</t>
        </is>
      </c>
      <c r="D1590" s="200" t="inlineStr">
        <is>
          <t>راعل</t>
        </is>
      </c>
      <c r="E1590" s="5" t="n"/>
      <c r="F1590" s="8" t="inlineStr">
        <is>
          <t>SY020405</t>
        </is>
      </c>
    </row>
    <row r="1591" customFormat="1" s="8">
      <c r="A1591" s="200" t="inlineStr">
        <is>
          <t>admin4</t>
        </is>
      </c>
      <c r="B1591" s="200" t="inlineStr">
        <is>
          <t>C1667</t>
        </is>
      </c>
      <c r="C1591" s="200" t="inlineStr">
        <is>
          <t>Ehteimlat</t>
        </is>
      </c>
      <c r="D1591" s="200" t="inlineStr">
        <is>
          <t>احتيملات</t>
        </is>
      </c>
      <c r="E1591" s="5" t="n"/>
      <c r="F1591" s="8" t="inlineStr">
        <is>
          <t>SY020405</t>
        </is>
      </c>
    </row>
    <row r="1592" customFormat="1" s="8">
      <c r="A1592" s="200" t="inlineStr">
        <is>
          <t>admin4</t>
        </is>
      </c>
      <c r="B1592" s="200" t="inlineStr">
        <is>
          <t>C1670</t>
        </is>
      </c>
      <c r="C1592" s="200" t="inlineStr">
        <is>
          <t>Mreigel</t>
        </is>
      </c>
      <c r="D1592" s="200" t="inlineStr">
        <is>
          <t>مريغل</t>
        </is>
      </c>
      <c r="E1592" s="5" t="n"/>
      <c r="F1592" s="8" t="inlineStr">
        <is>
          <t>SY020405</t>
        </is>
      </c>
    </row>
    <row r="1593" customFormat="1" s="8">
      <c r="A1593" s="200" t="inlineStr">
        <is>
          <t>admin4</t>
        </is>
      </c>
      <c r="B1593" s="200" t="inlineStr">
        <is>
          <t>C1672</t>
        </is>
      </c>
      <c r="C1593" s="200" t="inlineStr">
        <is>
          <t>Kafra</t>
        </is>
      </c>
      <c r="D1593" s="200" t="inlineStr">
        <is>
          <t>كفرة</t>
        </is>
      </c>
      <c r="E1593" s="5" t="n"/>
      <c r="F1593" s="8" t="inlineStr">
        <is>
          <t>SY020405</t>
        </is>
      </c>
    </row>
    <row r="1594" customFormat="1" s="8">
      <c r="A1594" s="200" t="inlineStr">
        <is>
          <t>admin4</t>
        </is>
      </c>
      <c r="B1594" s="200" t="inlineStr">
        <is>
          <t>C6421</t>
        </is>
      </c>
      <c r="C1594" s="200" t="inlineStr">
        <is>
          <t>Qazal</t>
        </is>
      </c>
      <c r="D1594" s="200" t="inlineStr">
        <is>
          <t>قزل/غزل</t>
        </is>
      </c>
      <c r="E1594" s="5" t="n"/>
      <c r="F1594" s="8" t="inlineStr">
        <is>
          <t>SY020405</t>
        </is>
      </c>
    </row>
    <row r="1595" customFormat="1" s="8">
      <c r="A1595" s="200" t="inlineStr">
        <is>
          <t>admin4</t>
        </is>
      </c>
      <c r="B1595" s="200" t="inlineStr">
        <is>
          <t>C6423</t>
        </is>
      </c>
      <c r="C1595" s="200" t="inlineStr">
        <is>
          <t>Dalha</t>
        </is>
      </c>
      <c r="D1595" s="200" t="inlineStr">
        <is>
          <t>دلحة</t>
        </is>
      </c>
      <c r="E1595" s="5" t="n"/>
      <c r="F1595" s="8" t="inlineStr">
        <is>
          <t>SY020405</t>
        </is>
      </c>
    </row>
    <row r="1596" customFormat="1" s="8">
      <c r="A1596" s="200" t="inlineStr">
        <is>
          <t>admin4</t>
        </is>
      </c>
      <c r="B1596" s="200" t="inlineStr">
        <is>
          <t>C8222</t>
        </is>
      </c>
      <c r="C1596" s="200" t="inlineStr">
        <is>
          <t>Al-Sheikh Rih</t>
        </is>
      </c>
      <c r="D1596" s="200" t="inlineStr">
        <is>
          <t>شيخ ريح</t>
        </is>
      </c>
      <c r="E1596" s="5" t="n"/>
      <c r="F1596" s="8" t="inlineStr">
        <is>
          <t>SY020405</t>
        </is>
      </c>
    </row>
    <row r="1597" customFormat="1" s="8">
      <c r="A1597" s="200" t="inlineStr">
        <is>
          <t>admin4</t>
        </is>
      </c>
      <c r="B1597" s="200" t="inlineStr">
        <is>
          <t>C8239</t>
        </is>
      </c>
      <c r="C1597" s="200" t="inlineStr">
        <is>
          <t>Qara Kubri</t>
        </is>
      </c>
      <c r="D1597" s="200" t="inlineStr">
        <is>
          <t>قرة كبري</t>
        </is>
      </c>
      <c r="E1597" s="5" t="n"/>
      <c r="F1597" s="8" t="inlineStr">
        <is>
          <t>SY020405</t>
        </is>
      </c>
    </row>
    <row r="1598" customFormat="1" s="8">
      <c r="A1598" s="200" t="inlineStr">
        <is>
          <t>admin4</t>
        </is>
      </c>
      <c r="B1598" s="200" t="inlineStr">
        <is>
          <t>C1669</t>
        </is>
      </c>
      <c r="C1598" s="200" t="inlineStr">
        <is>
          <t>Albil</t>
        </is>
      </c>
      <c r="D1598" s="200" t="inlineStr">
        <is>
          <t>البل</t>
        </is>
      </c>
      <c r="E1598" s="5" t="n"/>
      <c r="F1598" s="8" t="inlineStr">
        <is>
          <t>SY020405</t>
        </is>
      </c>
    </row>
    <row r="1599" customFormat="1" s="8">
      <c r="A1599" s="200" t="inlineStr">
        <is>
          <t>admin4</t>
        </is>
      </c>
      <c r="B1599" s="200" t="inlineStr">
        <is>
          <t>C8253</t>
        </is>
      </c>
      <c r="C1599" s="200" t="inlineStr">
        <is>
          <t>Al-Maraa Al-Sawda</t>
        </is>
      </c>
      <c r="D1599" s="200" t="inlineStr">
        <is>
          <t>المرعة السودا</t>
        </is>
      </c>
      <c r="E1599" s="5" t="n"/>
      <c r="F1599" s="8" t="inlineStr">
        <is>
          <t>SY020405</t>
        </is>
      </c>
    </row>
    <row r="1600" customFormat="1" s="8">
      <c r="A1600" s="200" t="inlineStr">
        <is>
          <t>admin4</t>
        </is>
      </c>
      <c r="B1600" s="200" t="inlineStr">
        <is>
          <t>C1663</t>
        </is>
      </c>
      <c r="C1600" s="200" t="inlineStr">
        <is>
          <t>Baraghideh</t>
        </is>
      </c>
      <c r="D1600" s="200" t="inlineStr">
        <is>
          <t>براغيدة</t>
        </is>
      </c>
      <c r="E1600" s="5" t="n"/>
      <c r="F1600" s="8" t="inlineStr">
        <is>
          <t>SY020405</t>
        </is>
      </c>
    </row>
    <row r="1601" customFormat="1" s="8">
      <c r="A1601" s="200" t="inlineStr">
        <is>
          <t>admin4</t>
        </is>
      </c>
      <c r="B1601" s="200" t="inlineStr">
        <is>
          <t>C1659</t>
        </is>
      </c>
      <c r="C1601" s="200" t="inlineStr">
        <is>
          <t>Dweibeq</t>
        </is>
      </c>
      <c r="D1601" s="200" t="inlineStr">
        <is>
          <t>دويبق</t>
        </is>
      </c>
      <c r="E1601" s="5" t="n"/>
      <c r="F1601" s="8" t="inlineStr">
        <is>
          <t>SY020405</t>
        </is>
      </c>
    </row>
    <row r="1602" customFormat="1" s="8">
      <c r="A1602" s="200" t="inlineStr">
        <is>
          <t>admin4</t>
        </is>
      </c>
      <c r="B1602" s="200" t="inlineStr">
        <is>
          <t>C6422</t>
        </is>
      </c>
      <c r="C1602" s="200" t="inlineStr">
        <is>
          <t>Harjalah</t>
        </is>
      </c>
      <c r="D1602" s="200" t="inlineStr">
        <is>
          <t>حرجلة</t>
        </is>
      </c>
      <c r="E1602" s="5" t="n"/>
      <c r="F1602" s="8" t="inlineStr">
        <is>
          <t>SY020405</t>
        </is>
      </c>
    </row>
    <row r="1603" customFormat="1" s="8">
      <c r="A1603" s="200" t="inlineStr">
        <is>
          <t>admin4</t>
        </is>
      </c>
      <c r="B1603" s="200" t="inlineStr">
        <is>
          <t>C1661</t>
        </is>
      </c>
      <c r="C1603" s="200" t="inlineStr">
        <is>
          <t>Hiwar Kalas</t>
        </is>
      </c>
      <c r="D1603" s="200" t="inlineStr">
        <is>
          <t>حوار كلس</t>
        </is>
      </c>
      <c r="E1603" s="5" t="n"/>
      <c r="F1603" s="8" t="inlineStr">
        <is>
          <t>SY020405</t>
        </is>
      </c>
    </row>
    <row r="1604" customFormat="1" s="8">
      <c r="A1604" s="200" t="inlineStr">
        <is>
          <t>admin4</t>
        </is>
      </c>
      <c r="B1604" s="200" t="inlineStr">
        <is>
          <t>C1671</t>
        </is>
      </c>
      <c r="C1604" s="200" t="inlineStr">
        <is>
          <t>Kafr Barja</t>
        </is>
      </c>
      <c r="D1604" s="200" t="inlineStr">
        <is>
          <t>كفر بارجة</t>
        </is>
      </c>
      <c r="E1604" s="5" t="n"/>
      <c r="F1604" s="8" t="inlineStr">
        <is>
          <t>SY020405</t>
        </is>
      </c>
    </row>
    <row r="1605" customFormat="1" s="8">
      <c r="A1605" s="200" t="inlineStr">
        <is>
          <t>admin4</t>
        </is>
      </c>
      <c r="B1605" s="200" t="inlineStr">
        <is>
          <t>C6781</t>
        </is>
      </c>
      <c r="C1605" s="200" t="inlineStr">
        <is>
          <t>Kafr Ghan</t>
        </is>
      </c>
      <c r="D1605" s="200" t="inlineStr">
        <is>
          <t>كفرغان</t>
        </is>
      </c>
      <c r="E1605" s="5" t="n"/>
      <c r="F1605" s="8" t="inlineStr">
        <is>
          <t>SY020405</t>
        </is>
      </c>
    </row>
    <row r="1606" customFormat="1" s="8">
      <c r="A1606" s="200" t="inlineStr">
        <is>
          <t>admin4</t>
        </is>
      </c>
      <c r="B1606" s="200" t="inlineStr">
        <is>
          <t>C1673</t>
        </is>
      </c>
      <c r="C1606" s="200" t="inlineStr">
        <is>
          <t>Kafrshush</t>
        </is>
      </c>
      <c r="D1606" s="200" t="inlineStr">
        <is>
          <t>كفرشوش</t>
        </is>
      </c>
      <c r="E1606" s="5" t="n"/>
      <c r="F1606" s="8" t="inlineStr">
        <is>
          <t>SY020405</t>
        </is>
      </c>
    </row>
    <row r="1607" customFormat="1" s="8">
      <c r="A1607" s="200" t="inlineStr">
        <is>
          <t>admin4</t>
        </is>
      </c>
      <c r="B1607" s="200" t="inlineStr">
        <is>
          <t>C1668</t>
        </is>
      </c>
      <c r="C1607" s="200" t="inlineStr">
        <is>
          <t>Odaya</t>
        </is>
      </c>
      <c r="D1607" s="200" t="inlineStr">
        <is>
          <t>العدية</t>
        </is>
      </c>
      <c r="E1607" s="5" t="n"/>
      <c r="F1607" s="8" t="inlineStr">
        <is>
          <t>SY020405</t>
        </is>
      </c>
    </row>
    <row r="1608" customFormat="1" s="8">
      <c r="A1608" s="200" t="inlineStr">
        <is>
          <t>admin4</t>
        </is>
      </c>
      <c r="B1608" s="200" t="inlineStr">
        <is>
          <t>C8231</t>
        </is>
      </c>
      <c r="C1608" s="200" t="inlineStr">
        <is>
          <t>Tall Husson</t>
        </is>
      </c>
      <c r="D1608" s="200" t="inlineStr">
        <is>
          <t>تل الحصن</t>
        </is>
      </c>
      <c r="E1608" s="5" t="n"/>
      <c r="F1608" s="8" t="inlineStr">
        <is>
          <t>SY020405</t>
        </is>
      </c>
    </row>
    <row r="1609" customFormat="1" s="8">
      <c r="A1609" s="200" t="inlineStr">
        <is>
          <t>admin4</t>
        </is>
      </c>
      <c r="B1609" s="200" t="inlineStr">
        <is>
          <t>C1666</t>
        </is>
      </c>
      <c r="C1609" s="200" t="inlineStr">
        <is>
          <t>Thaheriya Azaz</t>
        </is>
      </c>
      <c r="D1609" s="200" t="inlineStr">
        <is>
          <t>الظاهرية أعزاز</t>
        </is>
      </c>
      <c r="E1609" s="5" t="n"/>
      <c r="F1609" s="8" t="inlineStr">
        <is>
          <t>SY020405</t>
        </is>
      </c>
    </row>
    <row r="1610" customFormat="1" s="8">
      <c r="A1610" s="200" t="inlineStr">
        <is>
          <t>admin4</t>
        </is>
      </c>
      <c r="B1610" s="200" t="inlineStr">
        <is>
          <t>C8223</t>
        </is>
      </c>
      <c r="C1610" s="200" t="inlineStr">
        <is>
          <t>Touqi</t>
        </is>
      </c>
      <c r="D1610" s="200" t="inlineStr">
        <is>
          <t>الطوقي</t>
        </is>
      </c>
      <c r="E1610" s="5" t="n"/>
      <c r="F1610" s="8" t="inlineStr">
        <is>
          <t>SY020405</t>
        </is>
      </c>
    </row>
    <row r="1611" customFormat="1" s="8">
      <c r="A1611" s="200" t="inlineStr">
        <is>
          <t>admin4</t>
        </is>
      </c>
      <c r="B1611" s="200" t="inlineStr">
        <is>
          <t>C1664</t>
        </is>
      </c>
      <c r="C1611" s="200" t="inlineStr">
        <is>
          <t>Suran</t>
        </is>
      </c>
      <c r="D1611" s="200" t="inlineStr">
        <is>
          <t>صوران</t>
        </is>
      </c>
      <c r="E1611" s="5" t="n"/>
      <c r="F1611" s="8" t="inlineStr">
        <is>
          <t>SY020405</t>
        </is>
      </c>
    </row>
    <row r="1612" customFormat="1" s="8">
      <c r="A1612" s="200" t="inlineStr">
        <is>
          <t>admin4</t>
        </is>
      </c>
      <c r="B1612" s="200" t="inlineStr">
        <is>
          <t>C7554</t>
        </is>
      </c>
      <c r="C1612" s="200" t="inlineStr">
        <is>
          <t>Al Muwass</t>
        </is>
      </c>
      <c r="D1612" s="200" t="inlineStr">
        <is>
          <t>المواس</t>
        </is>
      </c>
      <c r="E1612" s="5" t="n"/>
      <c r="F1612" s="8" t="inlineStr">
        <is>
          <t>SY020800</t>
        </is>
      </c>
    </row>
    <row r="1613" customFormat="1" s="8">
      <c r="A1613" s="200" t="inlineStr">
        <is>
          <t>admin4</t>
        </is>
      </c>
      <c r="B1613" s="200" t="inlineStr">
        <is>
          <t>C7629</t>
        </is>
      </c>
      <c r="C1613" s="200" t="inlineStr">
        <is>
          <t>Ayn Al Bayda</t>
        </is>
      </c>
      <c r="D1613" s="200" t="inlineStr">
        <is>
          <t>عين البيضا</t>
        </is>
      </c>
      <c r="E1613" s="5" t="n"/>
      <c r="F1613" s="8" t="inlineStr">
        <is>
          <t>SY020800</t>
        </is>
      </c>
    </row>
    <row r="1614" customFormat="1" s="8">
      <c r="A1614" s="200" t="inlineStr">
        <is>
          <t>admin4</t>
        </is>
      </c>
      <c r="B1614" s="200" t="inlineStr">
        <is>
          <t>C8264</t>
        </is>
      </c>
      <c r="C1614" s="200" t="inlineStr">
        <is>
          <t>Bablan</t>
        </is>
      </c>
      <c r="D1614" s="200" t="inlineStr">
        <is>
          <t>ببلان</t>
        </is>
      </c>
      <c r="E1614" s="5" t="n"/>
      <c r="F1614" s="8" t="inlineStr">
        <is>
          <t>SY020800</t>
        </is>
      </c>
    </row>
    <row r="1615" customFormat="1" s="8">
      <c r="A1615" s="200" t="inlineStr">
        <is>
          <t>admin4</t>
        </is>
      </c>
      <c r="B1615" s="200" t="inlineStr">
        <is>
          <t>C8274</t>
        </is>
      </c>
      <c r="C1615" s="200" t="inlineStr">
        <is>
          <t>Bait Hussain</t>
        </is>
      </c>
      <c r="D1615" s="200" t="inlineStr">
        <is>
          <t>بيت حسين</t>
        </is>
      </c>
      <c r="E1615" s="5" t="n"/>
      <c r="F1615" s="8" t="inlineStr">
        <is>
          <t>SY020800</t>
        </is>
      </c>
    </row>
    <row r="1616" customFormat="1" s="8">
      <c r="A1616" s="200" t="inlineStr">
        <is>
          <t>admin4</t>
        </is>
      </c>
      <c r="B1616" s="200" t="inlineStr">
        <is>
          <t>C2235</t>
        </is>
      </c>
      <c r="C1616" s="200" t="inlineStr">
        <is>
          <t>Big Majra</t>
        </is>
      </c>
      <c r="D1616" s="200" t="inlineStr">
        <is>
          <t>مجرى كبير</t>
        </is>
      </c>
      <c r="E1616" s="5" t="n"/>
      <c r="F1616" s="8" t="inlineStr">
        <is>
          <t>SY020800</t>
        </is>
      </c>
    </row>
    <row r="1617" customFormat="1" s="8">
      <c r="A1617" s="200" t="inlineStr">
        <is>
          <t>admin4</t>
        </is>
      </c>
      <c r="B1617" s="200" t="inlineStr">
        <is>
          <t>C2217</t>
        </is>
      </c>
      <c r="C1617" s="200" t="inlineStr">
        <is>
          <t>Dabis</t>
        </is>
      </c>
      <c r="D1617" s="200" t="inlineStr">
        <is>
          <t>الدابس</t>
        </is>
      </c>
      <c r="E1617" s="5" t="n"/>
      <c r="F1617" s="8" t="inlineStr">
        <is>
          <t>SY020800</t>
        </is>
      </c>
    </row>
    <row r="1618" customFormat="1" s="8">
      <c r="A1618" s="200" t="inlineStr">
        <is>
          <t>admin4</t>
        </is>
      </c>
      <c r="B1618" s="200" t="inlineStr">
        <is>
          <t>C7593</t>
        </is>
      </c>
      <c r="C1618" s="200" t="inlineStr">
        <is>
          <t>Dulaym</t>
        </is>
      </c>
      <c r="D1618" s="200" t="inlineStr">
        <is>
          <t>الدليم</t>
        </is>
      </c>
      <c r="E1618" s="5" t="n"/>
      <c r="F1618" s="8" t="inlineStr">
        <is>
          <t>SY020800</t>
        </is>
      </c>
    </row>
    <row r="1619" customFormat="1" s="8">
      <c r="A1619" s="200" t="inlineStr">
        <is>
          <t>admin4</t>
        </is>
      </c>
      <c r="B1619" s="200" t="inlineStr">
        <is>
          <t>C2231</t>
        </is>
      </c>
      <c r="C1619" s="200" t="inlineStr">
        <is>
          <t>Hadra - Big Baldaq</t>
        </is>
      </c>
      <c r="D1619" s="200" t="inlineStr">
        <is>
          <t>الحاضرة_بلدق كبير</t>
        </is>
      </c>
      <c r="E1619" s="5" t="n"/>
      <c r="F1619" s="8" t="inlineStr">
        <is>
          <t>SY020800</t>
        </is>
      </c>
    </row>
    <row r="1620" customFormat="1" s="8">
      <c r="A1620" s="200" t="inlineStr">
        <is>
          <t>admin4</t>
        </is>
      </c>
      <c r="B1620" s="200" t="inlineStr">
        <is>
          <t>C2219</t>
        </is>
      </c>
      <c r="C1620" s="200" t="inlineStr">
        <is>
          <t>Halawaniyeh</t>
        </is>
      </c>
      <c r="D1620" s="200" t="inlineStr">
        <is>
          <t>الحلوانية</t>
        </is>
      </c>
      <c r="E1620" s="5" t="n"/>
      <c r="F1620" s="8" t="inlineStr">
        <is>
          <t>SY020800</t>
        </is>
      </c>
    </row>
    <row r="1621" customFormat="1" s="8">
      <c r="A1621" s="200" t="inlineStr">
        <is>
          <t>admin4</t>
        </is>
      </c>
      <c r="B1621" s="200" t="inlineStr">
        <is>
          <t>C2214</t>
        </is>
      </c>
      <c r="C1621" s="200" t="inlineStr">
        <is>
          <t>Halawanji</t>
        </is>
      </c>
      <c r="D1621" s="200" t="inlineStr">
        <is>
          <t>حلونجي</t>
        </is>
      </c>
      <c r="E1621" s="5" t="n"/>
      <c r="F1621" s="8" t="inlineStr">
        <is>
          <t>SY020800</t>
        </is>
      </c>
    </row>
    <row r="1622" customFormat="1" s="8">
      <c r="A1622" s="200" t="inlineStr">
        <is>
          <t>admin4</t>
        </is>
      </c>
      <c r="B1622" s="200" t="inlineStr">
        <is>
          <t>C2229</t>
        </is>
      </c>
      <c r="C1622" s="200" t="inlineStr">
        <is>
          <t>Himar</t>
        </is>
      </c>
      <c r="D1622" s="200" t="inlineStr">
        <is>
          <t>حيمر</t>
        </is>
      </c>
      <c r="E1622" s="5" t="n"/>
      <c r="F1622" s="8" t="inlineStr">
        <is>
          <t>SY020800</t>
        </is>
      </c>
    </row>
    <row r="1623" customFormat="1" s="8">
      <c r="A1623" s="200" t="inlineStr">
        <is>
          <t>admin4</t>
        </is>
      </c>
      <c r="B1623" s="200" t="inlineStr">
        <is>
          <t>C2215</t>
        </is>
      </c>
      <c r="C1623" s="200" t="inlineStr">
        <is>
          <t>Hjeileh - Jrables</t>
        </is>
      </c>
      <c r="D1623" s="200" t="inlineStr">
        <is>
          <t>الحجلية - جرابلس</t>
        </is>
      </c>
      <c r="E1623" s="5" t="n"/>
      <c r="F1623" s="8" t="inlineStr">
        <is>
          <t>SY020800</t>
        </is>
      </c>
    </row>
    <row r="1624" customFormat="1" s="8">
      <c r="A1624" s="200" t="inlineStr">
        <is>
          <t>admin4</t>
        </is>
      </c>
      <c r="B1624" s="200" t="inlineStr">
        <is>
          <t>C2224</t>
        </is>
      </c>
      <c r="C1624" s="200" t="inlineStr">
        <is>
          <t>Jamel</t>
        </is>
      </c>
      <c r="D1624" s="200" t="inlineStr">
        <is>
          <t>الجامل</t>
        </is>
      </c>
      <c r="E1624" s="5" t="n"/>
      <c r="F1624" s="8" t="inlineStr">
        <is>
          <t>SY020800</t>
        </is>
      </c>
    </row>
    <row r="1625" customFormat="1" s="8">
      <c r="A1625" s="200" t="inlineStr">
        <is>
          <t>admin4</t>
        </is>
      </c>
      <c r="B1625" s="200" t="inlineStr">
        <is>
          <t>C2227</t>
        </is>
      </c>
      <c r="C1625" s="200" t="inlineStr">
        <is>
          <t>Jarablus</t>
        </is>
      </c>
      <c r="D1625" s="200" t="inlineStr">
        <is>
          <t>جرابلس</t>
        </is>
      </c>
      <c r="E1625" s="5" t="n"/>
      <c r="F1625" s="8" t="inlineStr">
        <is>
          <t>SY020800</t>
        </is>
      </c>
    </row>
    <row r="1626" customFormat="1" s="8">
      <c r="A1626" s="200" t="inlineStr">
        <is>
          <t>admin4</t>
        </is>
      </c>
      <c r="B1626" s="200" t="inlineStr">
        <is>
          <t>C8243</t>
        </is>
      </c>
      <c r="C1626" s="200" t="inlineStr">
        <is>
          <t>Jat</t>
        </is>
      </c>
      <c r="D1626" s="200" t="inlineStr">
        <is>
          <t>جات</t>
        </is>
      </c>
      <c r="E1626" s="5" t="n"/>
      <c r="F1626" s="8" t="inlineStr">
        <is>
          <t>SY020800</t>
        </is>
      </c>
    </row>
    <row r="1627" customFormat="1" s="8">
      <c r="A1627" s="200" t="inlineStr">
        <is>
          <t>admin4</t>
        </is>
      </c>
      <c r="B1627" s="200" t="inlineStr">
        <is>
          <t>C8265</t>
        </is>
      </c>
      <c r="C1627" s="200" t="inlineStr">
        <is>
          <t>Jubb Al-Kusa</t>
        </is>
      </c>
      <c r="D1627" s="200" t="inlineStr">
        <is>
          <t>جب الكوسا</t>
        </is>
      </c>
      <c r="E1627" s="5" t="n"/>
      <c r="F1627" s="8" t="inlineStr">
        <is>
          <t>SY020800</t>
        </is>
      </c>
    </row>
    <row r="1628" customFormat="1" s="8">
      <c r="A1628" s="200" t="inlineStr">
        <is>
          <t>admin4</t>
        </is>
      </c>
      <c r="B1628" s="200" t="inlineStr">
        <is>
          <t>C2239</t>
        </is>
      </c>
      <c r="C1628" s="200" t="inlineStr">
        <is>
          <t>Little Majra</t>
        </is>
      </c>
      <c r="D1628" s="200" t="inlineStr">
        <is>
          <t>مجرى صغير</t>
        </is>
      </c>
      <c r="E1628" s="5" t="n"/>
      <c r="F1628" s="8" t="inlineStr">
        <is>
          <t>SY020800</t>
        </is>
      </c>
    </row>
    <row r="1629" customFormat="1" s="8">
      <c r="A1629" s="200" t="inlineStr">
        <is>
          <t>admin4</t>
        </is>
      </c>
      <c r="B1629" s="200" t="inlineStr">
        <is>
          <t>C2216</t>
        </is>
      </c>
      <c r="C1629" s="200" t="inlineStr">
        <is>
          <t>Lower Bir</t>
        </is>
      </c>
      <c r="D1629" s="200" t="inlineStr">
        <is>
          <t>البير التحتاني</t>
        </is>
      </c>
      <c r="E1629" s="5" t="n"/>
      <c r="F1629" s="8" t="inlineStr">
        <is>
          <t>SY020800</t>
        </is>
      </c>
    </row>
    <row r="1630" customFormat="1" s="8">
      <c r="A1630" s="200" t="inlineStr">
        <is>
          <t>admin4</t>
        </is>
      </c>
      <c r="B1630" s="200" t="inlineStr">
        <is>
          <t>C2226</t>
        </is>
      </c>
      <c r="C1630" s="200" t="inlineStr">
        <is>
          <t>Lower Jrables</t>
        </is>
      </c>
      <c r="D1630" s="200" t="inlineStr">
        <is>
          <t>جرابلس تحتاني</t>
        </is>
      </c>
      <c r="E1630" s="5" t="n"/>
      <c r="F1630" s="8" t="inlineStr">
        <is>
          <t>SY020800</t>
        </is>
      </c>
    </row>
    <row r="1631" customFormat="1" s="8">
      <c r="A1631" s="200" t="inlineStr">
        <is>
          <t>admin4</t>
        </is>
      </c>
      <c r="B1631" s="200" t="inlineStr">
        <is>
          <t>C2223</t>
        </is>
      </c>
      <c r="C1631" s="200" t="inlineStr">
        <is>
          <t>Lower Um Rotha</t>
        </is>
      </c>
      <c r="D1631" s="200" t="inlineStr">
        <is>
          <t>أم روثة تحتاني</t>
        </is>
      </c>
      <c r="E1631" s="5" t="n"/>
      <c r="F1631" s="8" t="inlineStr">
        <is>
          <t>SY020800</t>
        </is>
      </c>
    </row>
    <row r="1632" customFormat="1" s="8">
      <c r="A1632" s="200" t="inlineStr">
        <is>
          <t>admin4</t>
        </is>
      </c>
      <c r="B1632" s="200" t="inlineStr">
        <is>
          <t>C2218</t>
        </is>
      </c>
      <c r="C1632" s="200" t="inlineStr">
        <is>
          <t>Maghayer - Qorq Mghar</t>
        </is>
      </c>
      <c r="D1632" s="200" t="inlineStr">
        <is>
          <t>المغاير_قرق مغار</t>
        </is>
      </c>
      <c r="E1632" s="5" t="n"/>
      <c r="F1632" s="8" t="inlineStr">
        <is>
          <t>SY020800</t>
        </is>
      </c>
    </row>
    <row r="1633" customFormat="1" s="8">
      <c r="A1633" s="200" t="inlineStr">
        <is>
          <t>admin4</t>
        </is>
      </c>
      <c r="B1633" s="200" t="inlineStr">
        <is>
          <t>C2232</t>
        </is>
      </c>
      <c r="C1633" s="200" t="inlineStr">
        <is>
          <t>Mahsana - Mahsanli</t>
        </is>
      </c>
      <c r="D1633" s="200" t="inlineStr">
        <is>
          <t>المحسنة_محسنلي</t>
        </is>
      </c>
      <c r="E1633" s="5" t="n"/>
      <c r="F1633" s="8" t="inlineStr">
        <is>
          <t>SY020800</t>
        </is>
      </c>
    </row>
    <row r="1634" customFormat="1" s="8">
      <c r="A1634" s="200" t="inlineStr">
        <is>
          <t>admin4</t>
        </is>
      </c>
      <c r="B1634" s="200" t="inlineStr">
        <is>
          <t>C2238</t>
        </is>
      </c>
      <c r="C1634" s="200" t="inlineStr">
        <is>
          <t>Marma Elhajar</t>
        </is>
      </c>
      <c r="D1634" s="200" t="inlineStr">
        <is>
          <t>مرمى الحجر</t>
        </is>
      </c>
      <c r="E1634" s="5" t="n"/>
      <c r="F1634" s="8" t="inlineStr">
        <is>
          <t>SY020800</t>
        </is>
      </c>
    </row>
    <row r="1635" customFormat="1" s="8">
      <c r="A1635" s="200" t="inlineStr">
        <is>
          <t>admin4</t>
        </is>
      </c>
      <c r="B1635" s="200" t="inlineStr">
        <is>
          <t>C2240</t>
        </is>
      </c>
      <c r="C1635" s="200" t="inlineStr">
        <is>
          <t>Mazaalah</t>
        </is>
      </c>
      <c r="D1635" s="200" t="inlineStr">
        <is>
          <t>مزعلة</t>
        </is>
      </c>
      <c r="E1635" s="5" t="n"/>
      <c r="F1635" s="8" t="inlineStr">
        <is>
          <t>SY020800</t>
        </is>
      </c>
    </row>
    <row r="1636" customFormat="1" s="8">
      <c r="A1636" s="200" t="inlineStr">
        <is>
          <t>admin4</t>
        </is>
      </c>
      <c r="B1636" s="200" t="inlineStr">
        <is>
          <t>C2241</t>
        </is>
      </c>
      <c r="C1636" s="200" t="inlineStr">
        <is>
          <t>Qandariya</t>
        </is>
      </c>
      <c r="D1636" s="200" t="inlineStr">
        <is>
          <t>قندرية</t>
        </is>
      </c>
      <c r="E1636" s="5" t="n"/>
      <c r="F1636" s="8" t="inlineStr">
        <is>
          <t>SY020800</t>
        </is>
      </c>
    </row>
    <row r="1637" customFormat="1" s="8">
      <c r="A1637" s="200" t="inlineStr">
        <is>
          <t>admin4</t>
        </is>
      </c>
      <c r="B1637" s="200" t="inlineStr">
        <is>
          <t>C2237</t>
        </is>
      </c>
      <c r="C1637" s="200" t="inlineStr">
        <is>
          <t>Qirata</t>
        </is>
      </c>
      <c r="D1637" s="200" t="inlineStr">
        <is>
          <t>قيراطة</t>
        </is>
      </c>
      <c r="E1637" s="5" t="n"/>
      <c r="F1637" s="8" t="inlineStr">
        <is>
          <t>SY020800</t>
        </is>
      </c>
    </row>
    <row r="1638" customFormat="1" s="8">
      <c r="A1638" s="200" t="inlineStr">
        <is>
          <t>admin4</t>
        </is>
      </c>
      <c r="B1638" s="200" t="inlineStr">
        <is>
          <t>C2230</t>
        </is>
      </c>
      <c r="C1638" s="200" t="inlineStr">
        <is>
          <t>Sreisat</t>
        </is>
      </c>
      <c r="D1638" s="200" t="inlineStr">
        <is>
          <t>صريصات</t>
        </is>
      </c>
      <c r="E1638" s="5" t="n"/>
      <c r="F1638" s="8" t="inlineStr">
        <is>
          <t>SY020800</t>
        </is>
      </c>
    </row>
    <row r="1639" customFormat="1" s="8">
      <c r="A1639" s="200" t="inlineStr">
        <is>
          <t>admin4</t>
        </is>
      </c>
      <c r="B1639" s="200" t="inlineStr">
        <is>
          <t>C2213</t>
        </is>
      </c>
      <c r="C1639" s="200" t="inlineStr">
        <is>
          <t>Tal Elamara</t>
        </is>
      </c>
      <c r="D1639" s="200" t="inlineStr">
        <is>
          <t>تل العمارة</t>
        </is>
      </c>
      <c r="E1639" s="5" t="n"/>
      <c r="F1639" s="8" t="inlineStr">
        <is>
          <t>SY020800</t>
        </is>
      </c>
    </row>
    <row r="1640" customFormat="1" s="8">
      <c r="A1640" s="200" t="inlineStr">
        <is>
          <t>admin4</t>
        </is>
      </c>
      <c r="B1640" s="200" t="inlineStr">
        <is>
          <t>C7665</t>
        </is>
      </c>
      <c r="C1640" s="200" t="inlineStr">
        <is>
          <t>Tall Shair</t>
        </is>
      </c>
      <c r="D1640" s="200" t="inlineStr">
        <is>
          <t>تل شعير</t>
        </is>
      </c>
      <c r="E1640" s="5" t="n"/>
      <c r="F1640" s="8" t="inlineStr">
        <is>
          <t>SY020800</t>
        </is>
      </c>
    </row>
    <row r="1641" customFormat="1" s="8">
      <c r="A1641" s="200" t="inlineStr">
        <is>
          <t>admin4</t>
        </is>
      </c>
      <c r="B1641" s="200" t="inlineStr">
        <is>
          <t>C2221</t>
        </is>
      </c>
      <c r="C1641" s="200" t="inlineStr">
        <is>
          <t>Thahr Elmaghayer</t>
        </is>
      </c>
      <c r="D1641" s="200" t="inlineStr">
        <is>
          <t>ظهر المغاير</t>
        </is>
      </c>
      <c r="E1641" s="5" t="n"/>
      <c r="F1641" s="8" t="inlineStr">
        <is>
          <t>SY020800</t>
        </is>
      </c>
    </row>
    <row r="1642" customFormat="1" s="8">
      <c r="A1642" s="200" t="inlineStr">
        <is>
          <t>admin4</t>
        </is>
      </c>
      <c r="B1642" s="200" t="inlineStr">
        <is>
          <t>C2222</t>
        </is>
      </c>
      <c r="C1642" s="200" t="inlineStr">
        <is>
          <t>Treikhem</t>
        </is>
      </c>
      <c r="D1642" s="200" t="inlineStr">
        <is>
          <t>طريخم</t>
        </is>
      </c>
      <c r="E1642" s="5" t="n"/>
      <c r="F1642" s="8" t="inlineStr">
        <is>
          <t>SY020800</t>
        </is>
      </c>
    </row>
    <row r="1643" customFormat="1" s="8">
      <c r="A1643" s="200" t="inlineStr">
        <is>
          <t>admin4</t>
        </is>
      </c>
      <c r="B1643" s="200" t="inlineStr">
        <is>
          <t>C2228</t>
        </is>
      </c>
      <c r="C1643" s="200" t="inlineStr">
        <is>
          <t>Um Sosa</t>
        </is>
      </c>
      <c r="D1643" s="200" t="inlineStr">
        <is>
          <t>أم سوسة</t>
        </is>
      </c>
      <c r="E1643" s="5" t="n"/>
      <c r="F1643" s="8" t="inlineStr">
        <is>
          <t>SY020800</t>
        </is>
      </c>
    </row>
    <row r="1644" customFormat="1" s="8">
      <c r="A1644" s="200" t="inlineStr">
        <is>
          <t>admin4</t>
        </is>
      </c>
      <c r="B1644" s="200" t="inlineStr">
        <is>
          <t>C2225</t>
        </is>
      </c>
      <c r="C1644" s="200" t="inlineStr">
        <is>
          <t>Upper Um Rotha</t>
        </is>
      </c>
      <c r="D1644" s="200" t="inlineStr">
        <is>
          <t>أم روثة فوقاني</t>
        </is>
      </c>
      <c r="E1644" s="5" t="n"/>
      <c r="F1644" s="8" t="inlineStr">
        <is>
          <t>SY020800</t>
        </is>
      </c>
    </row>
    <row r="1645" customFormat="1" s="8">
      <c r="A1645" s="200" t="inlineStr">
        <is>
          <t>admin4</t>
        </is>
      </c>
      <c r="B1645" s="200" t="inlineStr">
        <is>
          <t>C2236</t>
        </is>
      </c>
      <c r="C1645" s="200" t="inlineStr">
        <is>
          <t>Yusef Elbeik</t>
        </is>
      </c>
      <c r="D1645" s="200" t="inlineStr">
        <is>
          <t>يوسف بك</t>
        </is>
      </c>
      <c r="E1645" s="5" t="n"/>
      <c r="F1645" s="8" t="inlineStr">
        <is>
          <t>SY020800</t>
        </is>
      </c>
    </row>
    <row r="1646" customFormat="1" s="8">
      <c r="A1646" s="200" t="inlineStr">
        <is>
          <t>admin4</t>
        </is>
      </c>
      <c r="B1646" s="200" t="inlineStr">
        <is>
          <t>C2220</t>
        </is>
      </c>
      <c r="C1646" s="200" t="inlineStr">
        <is>
          <t>Zoghra</t>
        </is>
      </c>
      <c r="D1646" s="200" t="inlineStr">
        <is>
          <t>زوغرة</t>
        </is>
      </c>
      <c r="E1646" s="5" t="n"/>
      <c r="F1646" s="8" t="inlineStr">
        <is>
          <t>SY020800</t>
        </is>
      </c>
    </row>
    <row r="1647" customFormat="1" s="8">
      <c r="A1647" s="200" t="inlineStr">
        <is>
          <t>admin4</t>
        </is>
      </c>
      <c r="B1647" s="200" t="inlineStr">
        <is>
          <t>C3866</t>
        </is>
      </c>
      <c r="C1647" s="200" t="inlineStr">
        <is>
          <t>Aqrabat</t>
        </is>
      </c>
      <c r="D1647" s="200" t="inlineStr">
        <is>
          <t>عقربات</t>
        </is>
      </c>
      <c r="E1647" s="5" t="n"/>
      <c r="F1647" s="8" t="inlineStr">
        <is>
          <t>SY070000</t>
        </is>
      </c>
    </row>
    <row r="1648" customFormat="1" s="8">
      <c r="A1648" s="200" t="inlineStr">
        <is>
          <t>admin4</t>
        </is>
      </c>
      <c r="B1648" s="200" t="inlineStr">
        <is>
          <t>C3867</t>
        </is>
      </c>
      <c r="C1648" s="200" t="inlineStr">
        <is>
          <t>Nayrab</t>
        </is>
      </c>
      <c r="D1648" s="200" t="inlineStr">
        <is>
          <t>النيرب</t>
        </is>
      </c>
      <c r="E1648" s="5" t="n"/>
      <c r="F1648" s="8" t="inlineStr">
        <is>
          <t>SY070000</t>
        </is>
      </c>
    </row>
    <row r="1649" customFormat="1" s="8">
      <c r="A1649" s="200" t="inlineStr">
        <is>
          <t>admin4</t>
        </is>
      </c>
      <c r="B1649" s="200" t="inlineStr">
        <is>
          <t>C3868</t>
        </is>
      </c>
      <c r="C1649" s="200" t="inlineStr">
        <is>
          <t>Ein Shib</t>
        </is>
      </c>
      <c r="D1649" s="200" t="inlineStr">
        <is>
          <t>عين شيب</t>
        </is>
      </c>
      <c r="E1649" s="5" t="n"/>
      <c r="F1649" s="8" t="inlineStr">
        <is>
          <t>SY070000</t>
        </is>
      </c>
    </row>
    <row r="1650" customFormat="1" s="8">
      <c r="A1650" s="200" t="inlineStr">
        <is>
          <t>admin4</t>
        </is>
      </c>
      <c r="B1650" s="200" t="inlineStr">
        <is>
          <t>C3869</t>
        </is>
      </c>
      <c r="C1650" s="200" t="inlineStr">
        <is>
          <t>Kreiz</t>
        </is>
      </c>
      <c r="D1650" s="200" t="inlineStr">
        <is>
          <t>الكريز</t>
        </is>
      </c>
      <c r="E1650" s="5" t="n"/>
      <c r="F1650" s="8" t="inlineStr">
        <is>
          <t>SY070000</t>
        </is>
      </c>
    </row>
    <row r="1651" customFormat="1" s="8">
      <c r="A1651" s="200" t="inlineStr">
        <is>
          <t>admin4</t>
        </is>
      </c>
      <c r="B1651" s="200" t="inlineStr">
        <is>
          <t>C3870</t>
        </is>
      </c>
      <c r="C1651" s="200" t="inlineStr">
        <is>
          <t>Tab Issa - Eastern And Western</t>
        </is>
      </c>
      <c r="D1651" s="200" t="inlineStr">
        <is>
          <t>تب عيسى_شرقية وغربية</t>
        </is>
      </c>
      <c r="E1651" s="5" t="n"/>
      <c r="F1651" s="8" t="inlineStr">
        <is>
          <t>SY070000</t>
        </is>
      </c>
    </row>
    <row r="1652" customFormat="1" s="8">
      <c r="A1652" s="200" t="inlineStr">
        <is>
          <t>admin4</t>
        </is>
      </c>
      <c r="B1652" s="200" t="inlineStr">
        <is>
          <t>C3871</t>
        </is>
      </c>
      <c r="C1652" s="200" t="inlineStr">
        <is>
          <t>Idleb</t>
        </is>
      </c>
      <c r="D1652" s="200" t="inlineStr">
        <is>
          <t>إدلب</t>
        </is>
      </c>
      <c r="E1652" s="5" t="n"/>
      <c r="F1652" s="8" t="inlineStr">
        <is>
          <t>SY070000</t>
        </is>
      </c>
    </row>
    <row r="1653" customFormat="1" s="8">
      <c r="A1653" s="200" t="inlineStr">
        <is>
          <t>admin4</t>
        </is>
      </c>
      <c r="B1653" s="200" t="inlineStr">
        <is>
          <t>C3872</t>
        </is>
      </c>
      <c r="C1653" s="200" t="inlineStr">
        <is>
          <t>Mastumeh</t>
        </is>
      </c>
      <c r="D1653" s="200" t="inlineStr">
        <is>
          <t>المسطومة</t>
        </is>
      </c>
      <c r="E1653" s="5" t="n"/>
      <c r="F1653" s="8" t="inlineStr">
        <is>
          <t>SY070000</t>
        </is>
      </c>
    </row>
    <row r="1654" customFormat="1" s="8">
      <c r="A1654" s="200" t="inlineStr">
        <is>
          <t>admin4</t>
        </is>
      </c>
      <c r="B1654" s="200" t="inlineStr">
        <is>
          <t>C3873</t>
        </is>
      </c>
      <c r="C1654" s="200" t="inlineStr">
        <is>
          <t>Sijer - Bqesemtoh</t>
        </is>
      </c>
      <c r="D1654" s="200" t="inlineStr">
        <is>
          <t>سيجر - بقسمته</t>
        </is>
      </c>
      <c r="E1654" s="5" t="n"/>
      <c r="F1654" s="8" t="inlineStr">
        <is>
          <t>SY070000</t>
        </is>
      </c>
    </row>
    <row r="1655" customFormat="1" s="8">
      <c r="A1655" s="200" t="inlineStr">
        <is>
          <t>admin4</t>
        </is>
      </c>
      <c r="B1655" s="200" t="inlineStr">
        <is>
          <t>C3874</t>
        </is>
      </c>
      <c r="C1655" s="200" t="inlineStr">
        <is>
          <t>Northern Ora</t>
        </is>
      </c>
      <c r="D1655" s="200" t="inlineStr">
        <is>
          <t>عرى الشمالية</t>
        </is>
      </c>
      <c r="E1655" s="5" t="n"/>
      <c r="F1655" s="8" t="inlineStr">
        <is>
          <t>SY070000</t>
        </is>
      </c>
    </row>
    <row r="1656" customFormat="1" s="8">
      <c r="A1656" s="200" t="inlineStr">
        <is>
          <t>admin4</t>
        </is>
      </c>
      <c r="B1656" s="200" t="inlineStr">
        <is>
          <t>C3875</t>
        </is>
      </c>
      <c r="C1656" s="200" t="inlineStr">
        <is>
          <t>Arshani</t>
        </is>
      </c>
      <c r="D1656" s="200" t="inlineStr">
        <is>
          <t>عرشاني</t>
        </is>
      </c>
      <c r="E1656" s="5" t="n"/>
      <c r="F1656" s="8" t="inlineStr">
        <is>
          <t>SY070000</t>
        </is>
      </c>
    </row>
    <row r="1657" customFormat="1" s="8">
      <c r="A1657" s="200" t="inlineStr">
        <is>
          <t>admin4</t>
        </is>
      </c>
      <c r="B1657" s="200" t="inlineStr">
        <is>
          <t>C3876</t>
        </is>
      </c>
      <c r="C1657" s="200" t="inlineStr">
        <is>
          <t>Qminas</t>
        </is>
      </c>
      <c r="D1657" s="200" t="inlineStr">
        <is>
          <t>قميناس</t>
        </is>
      </c>
      <c r="E1657" s="5" t="n"/>
      <c r="F1657" s="8" t="inlineStr">
        <is>
          <t>SY070000</t>
        </is>
      </c>
    </row>
    <row r="1658" customFormat="1" s="8">
      <c r="A1658" s="200" t="inlineStr">
        <is>
          <t>admin4</t>
        </is>
      </c>
      <c r="B1658" s="200" t="inlineStr">
        <is>
          <t>C3877</t>
        </is>
      </c>
      <c r="C1658" s="200" t="inlineStr">
        <is>
          <t>Falyun</t>
        </is>
      </c>
      <c r="D1658" s="200" t="inlineStr">
        <is>
          <t>فيلون</t>
        </is>
      </c>
      <c r="E1658" s="5" t="n"/>
      <c r="F1658" s="8" t="inlineStr">
        <is>
          <t>SY070000</t>
        </is>
      </c>
    </row>
    <row r="1659" customFormat="1" s="8">
      <c r="A1659" s="200" t="inlineStr">
        <is>
          <t>admin4</t>
        </is>
      </c>
      <c r="B1659" s="200" t="inlineStr">
        <is>
          <t>C3878</t>
        </is>
      </c>
      <c r="C1659" s="200" t="inlineStr">
        <is>
          <t>Martein</t>
        </is>
      </c>
      <c r="D1659" s="200" t="inlineStr">
        <is>
          <t>مرتين</t>
        </is>
      </c>
      <c r="E1659" s="5" t="n"/>
      <c r="F1659" s="8" t="inlineStr">
        <is>
          <t>SY070000</t>
        </is>
      </c>
    </row>
    <row r="1660" customFormat="1" s="8">
      <c r="A1660" s="200" t="inlineStr">
        <is>
          <t>admin4</t>
        </is>
      </c>
      <c r="B1660" s="200" t="inlineStr">
        <is>
          <t>C3879</t>
        </is>
      </c>
      <c r="C1660" s="200" t="inlineStr">
        <is>
          <t>Kafruhin</t>
        </is>
      </c>
      <c r="D1660" s="200" t="inlineStr">
        <is>
          <t>كفروحين</t>
        </is>
      </c>
      <c r="E1660" s="5" t="n"/>
      <c r="F1660" s="8" t="inlineStr">
        <is>
          <t>SY070000</t>
        </is>
      </c>
    </row>
    <row r="1661" customFormat="1" s="8">
      <c r="A1661" s="200" t="inlineStr">
        <is>
          <t>admin4</t>
        </is>
      </c>
      <c r="B1661" s="200" t="inlineStr">
        <is>
          <t>C6689</t>
        </is>
      </c>
      <c r="C1661" s="200" t="inlineStr">
        <is>
          <t>Bshmaron</t>
        </is>
      </c>
      <c r="D1661" s="200" t="inlineStr">
        <is>
          <t>بشمارون</t>
        </is>
      </c>
      <c r="E1661" s="5" t="n"/>
      <c r="F1661" s="8" t="inlineStr">
        <is>
          <t>SY070000</t>
        </is>
      </c>
    </row>
    <row r="1662" customFormat="1" s="8">
      <c r="A1662" s="200" t="inlineStr">
        <is>
          <t>admin4</t>
        </is>
      </c>
      <c r="B1662" s="200" t="inlineStr">
        <is>
          <t>C8014</t>
        </is>
      </c>
      <c r="C1662" s="200" t="inlineStr">
        <is>
          <t>Deir Al-Zaghab</t>
        </is>
      </c>
      <c r="D1662" s="200" t="inlineStr">
        <is>
          <t>دير الزغب</t>
        </is>
      </c>
      <c r="E1662" s="5" t="n"/>
      <c r="F1662" s="8" t="inlineStr">
        <is>
          <t>SY070000</t>
        </is>
      </c>
    </row>
    <row r="1663" customFormat="1" s="8">
      <c r="A1663" s="200" t="inlineStr">
        <is>
          <t>admin4</t>
        </is>
      </c>
      <c r="B1663" s="200" t="inlineStr">
        <is>
          <t>C8021</t>
        </is>
      </c>
      <c r="C1663" s="200" t="inlineStr">
        <is>
          <t>Bruma</t>
        </is>
      </c>
      <c r="D1663" s="200" t="inlineStr">
        <is>
          <t>بروما</t>
        </is>
      </c>
      <c r="E1663" s="5" t="n"/>
      <c r="F1663" s="8" t="inlineStr">
        <is>
          <t>SY070000</t>
        </is>
      </c>
    </row>
    <row r="1664" customFormat="1" s="8">
      <c r="A1664" s="200" t="inlineStr">
        <is>
          <t>admin4</t>
        </is>
      </c>
      <c r="B1664" s="200" t="inlineStr">
        <is>
          <t>C4114</t>
        </is>
      </c>
      <c r="C1664" s="200" t="inlineStr">
        <is>
          <t>Ariba</t>
        </is>
      </c>
      <c r="D1664" s="200" t="inlineStr">
        <is>
          <t>عريبا</t>
        </is>
      </c>
      <c r="E1664" s="5" t="n"/>
      <c r="F1664" s="8" t="inlineStr">
        <is>
          <t>SY070300</t>
        </is>
      </c>
    </row>
    <row r="1665" customFormat="1" s="8">
      <c r="A1665" s="200" t="inlineStr">
        <is>
          <t>admin4</t>
        </is>
      </c>
      <c r="B1665" s="200" t="inlineStr">
        <is>
          <t>C4115</t>
        </is>
      </c>
      <c r="C1665" s="200" t="inlineStr">
        <is>
          <t>Harim</t>
        </is>
      </c>
      <c r="D1665" s="200" t="inlineStr">
        <is>
          <t>حارم</t>
        </is>
      </c>
      <c r="E1665" s="5" t="n"/>
      <c r="F1665" s="8" t="inlineStr">
        <is>
          <t>SY070300</t>
        </is>
      </c>
    </row>
    <row r="1666" customFormat="1" s="8">
      <c r="A1666" s="200" t="inlineStr">
        <is>
          <t>admin4</t>
        </is>
      </c>
      <c r="B1666" s="200" t="inlineStr">
        <is>
          <t>C4116</t>
        </is>
      </c>
      <c r="C1666" s="200" t="inlineStr">
        <is>
          <t>Besnaya - Bseineh</t>
        </is>
      </c>
      <c r="D1666" s="200" t="inlineStr">
        <is>
          <t>بسنيا_بسينة</t>
        </is>
      </c>
      <c r="E1666" s="5" t="n"/>
      <c r="F1666" s="8" t="inlineStr">
        <is>
          <t>SY070300</t>
        </is>
      </c>
    </row>
    <row r="1667" customFormat="1" s="8">
      <c r="A1667" s="200" t="inlineStr">
        <is>
          <t>admin4</t>
        </is>
      </c>
      <c r="B1667" s="200" t="inlineStr">
        <is>
          <t>C4117</t>
        </is>
      </c>
      <c r="C1667" s="200" t="inlineStr">
        <is>
          <t>Kafr Hum</t>
        </is>
      </c>
      <c r="D1667" s="200" t="inlineStr">
        <is>
          <t>كفرحوم</t>
        </is>
      </c>
      <c r="E1667" s="5" t="n"/>
      <c r="F1667" s="8" t="inlineStr">
        <is>
          <t>SY070300</t>
        </is>
      </c>
    </row>
    <row r="1668" customFormat="1" s="8">
      <c r="A1668" s="200" t="inlineStr">
        <is>
          <t>admin4</t>
        </is>
      </c>
      <c r="B1668" s="200" t="inlineStr">
        <is>
          <t>C4118</t>
        </is>
      </c>
      <c r="C1668" s="200" t="inlineStr">
        <is>
          <t>Mira Shaq</t>
        </is>
      </c>
      <c r="D1668" s="200" t="inlineStr">
        <is>
          <t>ميرا سحاق</t>
        </is>
      </c>
      <c r="E1668" s="5" t="n"/>
      <c r="F1668" s="8" t="inlineStr">
        <is>
          <t>SY070300</t>
        </is>
      </c>
    </row>
    <row r="1669" customFormat="1" s="8">
      <c r="A1669" s="200" t="inlineStr">
        <is>
          <t>admin4</t>
        </is>
      </c>
      <c r="B1669" s="200" t="inlineStr">
        <is>
          <t>C4119</t>
        </is>
      </c>
      <c r="C1669" s="200" t="inlineStr">
        <is>
          <t>Kafr Mu</t>
        </is>
      </c>
      <c r="D1669" s="200" t="inlineStr">
        <is>
          <t>كفر مو</t>
        </is>
      </c>
      <c r="E1669" s="5" t="n"/>
      <c r="F1669" s="8" t="inlineStr">
        <is>
          <t>SY070300</t>
        </is>
      </c>
    </row>
    <row r="1670" customFormat="1" s="8">
      <c r="A1670" s="200" t="inlineStr">
        <is>
          <t>admin4</t>
        </is>
      </c>
      <c r="B1670" s="200" t="inlineStr">
        <is>
          <t>C4120</t>
        </is>
      </c>
      <c r="C1670" s="200" t="inlineStr">
        <is>
          <t>Hezreh - Hezri</t>
        </is>
      </c>
      <c r="D1670" s="200" t="inlineStr">
        <is>
          <t>حزرة_حرزي</t>
        </is>
      </c>
      <c r="E1670" s="5" t="n"/>
      <c r="F1670" s="8" t="inlineStr">
        <is>
          <t>SY070301</t>
        </is>
      </c>
    </row>
    <row r="1671" customFormat="1" s="8">
      <c r="A1671" s="200" t="inlineStr">
        <is>
          <t>admin4</t>
        </is>
      </c>
      <c r="B1671" s="200" t="inlineStr">
        <is>
          <t>C4121</t>
        </is>
      </c>
      <c r="C1671" s="200" t="inlineStr">
        <is>
          <t>Sarmada</t>
        </is>
      </c>
      <c r="D1671" s="200" t="inlineStr">
        <is>
          <t>سرمدا</t>
        </is>
      </c>
      <c r="E1671" s="5" t="n"/>
      <c r="F1671" s="8" t="inlineStr">
        <is>
          <t>SY070301</t>
        </is>
      </c>
    </row>
    <row r="1672" customFormat="1" s="8">
      <c r="A1672" s="200" t="inlineStr">
        <is>
          <t>admin4</t>
        </is>
      </c>
      <c r="B1672" s="200" t="inlineStr">
        <is>
          <t>C4122</t>
        </is>
      </c>
      <c r="C1672" s="200" t="inlineStr">
        <is>
          <t>Tal Elkaramej</t>
        </is>
      </c>
      <c r="D1672" s="200" t="inlineStr">
        <is>
          <t>تل الكرامة</t>
        </is>
      </c>
      <c r="E1672" s="5" t="n"/>
      <c r="F1672" s="8" t="inlineStr">
        <is>
          <t>SY070301</t>
        </is>
      </c>
    </row>
    <row r="1673" customFormat="1" s="8">
      <c r="A1673" s="200" t="inlineStr">
        <is>
          <t>admin4</t>
        </is>
      </c>
      <c r="B1673" s="200" t="inlineStr">
        <is>
          <t>C4123</t>
        </is>
      </c>
      <c r="C1673" s="200" t="inlineStr">
        <is>
          <t>Selwa</t>
        </is>
      </c>
      <c r="D1673" s="200" t="inlineStr">
        <is>
          <t>صلوة</t>
        </is>
      </c>
      <c r="E1673" s="5" t="n"/>
      <c r="F1673" s="8" t="inlineStr">
        <is>
          <t>SY070301</t>
        </is>
      </c>
    </row>
    <row r="1674" customFormat="1" s="8">
      <c r="A1674" s="200" t="inlineStr">
        <is>
          <t>admin4</t>
        </is>
      </c>
      <c r="B1674" s="200" t="inlineStr">
        <is>
          <t>C4124</t>
        </is>
      </c>
      <c r="C1674" s="200" t="inlineStr">
        <is>
          <t>Tilaada</t>
        </is>
      </c>
      <c r="D1674" s="200" t="inlineStr">
        <is>
          <t>تلعادة</t>
        </is>
      </c>
      <c r="E1674" s="5" t="n"/>
      <c r="F1674" s="8" t="inlineStr">
        <is>
          <t>SY070301</t>
        </is>
      </c>
    </row>
    <row r="1675" customFormat="1" s="8">
      <c r="A1675" s="200" t="inlineStr">
        <is>
          <t>admin4</t>
        </is>
      </c>
      <c r="B1675" s="200" t="inlineStr">
        <is>
          <t>C4125</t>
        </is>
      </c>
      <c r="C1675" s="200" t="inlineStr">
        <is>
          <t>Termanin</t>
        </is>
      </c>
      <c r="D1675" s="200" t="inlineStr">
        <is>
          <t>ترمانين</t>
        </is>
      </c>
      <c r="E1675" s="5" t="n"/>
      <c r="F1675" s="8" t="inlineStr">
        <is>
          <t>SY070301</t>
        </is>
      </c>
    </row>
    <row r="1676" customFormat="1" s="8">
      <c r="A1676" s="200" t="inlineStr">
        <is>
          <t>admin4</t>
        </is>
      </c>
      <c r="B1676" s="200" t="inlineStr">
        <is>
          <t>C4126</t>
        </is>
      </c>
      <c r="C1676" s="200" t="inlineStr">
        <is>
          <t>Dana</t>
        </is>
      </c>
      <c r="D1676" s="200" t="inlineStr">
        <is>
          <t>الدانا</t>
        </is>
      </c>
      <c r="E1676" s="5" t="n"/>
      <c r="F1676" s="8" t="inlineStr">
        <is>
          <t>SY070301</t>
        </is>
      </c>
    </row>
    <row r="1677" customFormat="1" s="8">
      <c r="A1677" s="200" t="inlineStr">
        <is>
          <t>admin4</t>
        </is>
      </c>
      <c r="B1677" s="200" t="inlineStr">
        <is>
          <t>C4127</t>
        </is>
      </c>
      <c r="C1677" s="200" t="inlineStr">
        <is>
          <t>Aqrabat</t>
        </is>
      </c>
      <c r="D1677" s="200" t="inlineStr">
        <is>
          <t>عقربات</t>
        </is>
      </c>
      <c r="E1677" s="5" t="n"/>
      <c r="F1677" s="8" t="inlineStr">
        <is>
          <t>SY070301</t>
        </is>
      </c>
    </row>
    <row r="1678" customFormat="1" s="8">
      <c r="A1678" s="200" t="inlineStr">
        <is>
          <t>admin4</t>
        </is>
      </c>
      <c r="B1678" s="200" t="inlineStr">
        <is>
          <t>C4128</t>
        </is>
      </c>
      <c r="C1678" s="200" t="inlineStr">
        <is>
          <t>Burj Elnumra</t>
        </is>
      </c>
      <c r="D1678" s="200" t="inlineStr">
        <is>
          <t>برج النمرة</t>
        </is>
      </c>
      <c r="E1678" s="5" t="n"/>
      <c r="F1678" s="8" t="inlineStr">
        <is>
          <t>SY070301</t>
        </is>
      </c>
    </row>
    <row r="1679" customFormat="1" s="8">
      <c r="A1679" s="200" t="inlineStr">
        <is>
          <t>admin4</t>
        </is>
      </c>
      <c r="B1679" s="200" t="inlineStr">
        <is>
          <t>C4129</t>
        </is>
      </c>
      <c r="C1679" s="200" t="inlineStr">
        <is>
          <t>Deir Hassan - Darhashan</t>
        </is>
      </c>
      <c r="D1679" s="200" t="inlineStr">
        <is>
          <t>دير حسان_درحشان</t>
        </is>
      </c>
      <c r="E1679" s="5" t="n"/>
      <c r="F1679" s="8" t="inlineStr">
        <is>
          <t>SY070301</t>
        </is>
      </c>
    </row>
    <row r="1680" customFormat="1" s="8">
      <c r="A1680" s="200" t="inlineStr">
        <is>
          <t>admin4</t>
        </is>
      </c>
      <c r="B1680" s="200" t="inlineStr">
        <is>
          <t>C4130</t>
        </is>
      </c>
      <c r="C1680" s="200" t="inlineStr">
        <is>
          <t>Atma</t>
        </is>
      </c>
      <c r="D1680" s="200" t="inlineStr">
        <is>
          <t>اطمه</t>
        </is>
      </c>
      <c r="E1680" s="5" t="n"/>
      <c r="F1680" s="8" t="inlineStr">
        <is>
          <t>SY070301</t>
        </is>
      </c>
    </row>
    <row r="1681" customFormat="1" s="8">
      <c r="A1681" s="200" t="inlineStr">
        <is>
          <t>admin4</t>
        </is>
      </c>
      <c r="B1681" s="200" t="inlineStr">
        <is>
          <t>C4131</t>
        </is>
      </c>
      <c r="C1681" s="200" t="inlineStr">
        <is>
          <t>Qah</t>
        </is>
      </c>
      <c r="D1681" s="200" t="inlineStr">
        <is>
          <t>قاح</t>
        </is>
      </c>
      <c r="E1681" s="5" t="n"/>
      <c r="F1681" s="8" t="inlineStr">
        <is>
          <t>SY070301</t>
        </is>
      </c>
    </row>
    <row r="1682" customFormat="1" s="8">
      <c r="A1682" s="200" t="inlineStr">
        <is>
          <t>admin4</t>
        </is>
      </c>
      <c r="B1682" s="200" t="inlineStr">
        <is>
          <t>C4132</t>
        </is>
      </c>
      <c r="C1682" s="200" t="inlineStr">
        <is>
          <t>Kafr Deryan</t>
        </is>
      </c>
      <c r="D1682" s="200" t="inlineStr">
        <is>
          <t>كفردريان</t>
        </is>
      </c>
      <c r="E1682" s="5" t="n"/>
      <c r="F1682" s="8" t="inlineStr">
        <is>
          <t>SY070301</t>
        </is>
      </c>
    </row>
    <row r="1683" customFormat="1" s="8">
      <c r="A1683" s="200" t="inlineStr">
        <is>
          <t>admin4</t>
        </is>
      </c>
      <c r="B1683" s="200" t="inlineStr">
        <is>
          <t>C6389</t>
        </is>
      </c>
      <c r="C1683" s="200" t="inlineStr">
        <is>
          <t>Bab El Hawa</t>
        </is>
      </c>
      <c r="D1683" s="200" t="inlineStr">
        <is>
          <t>باب الهوى</t>
        </is>
      </c>
      <c r="E1683" s="5" t="n"/>
      <c r="F1683" s="8" t="inlineStr">
        <is>
          <t>SY070301</t>
        </is>
      </c>
    </row>
    <row r="1684" customFormat="1" s="8">
      <c r="A1684" s="200" t="inlineStr">
        <is>
          <t>admin4</t>
        </is>
      </c>
      <c r="B1684" s="200" t="inlineStr">
        <is>
          <t>C6692</t>
        </is>
      </c>
      <c r="C1684" s="200" t="inlineStr">
        <is>
          <t>Mashhad Ruhin</t>
        </is>
      </c>
      <c r="D1684" s="200" t="inlineStr">
        <is>
          <t>مشهد روحين</t>
        </is>
      </c>
      <c r="E1684" s="5" t="n"/>
      <c r="F1684" s="8" t="inlineStr">
        <is>
          <t>SY070301</t>
        </is>
      </c>
    </row>
    <row r="1685" customFormat="1" s="8">
      <c r="A1685" s="200" t="inlineStr">
        <is>
          <t>admin4</t>
        </is>
      </c>
      <c r="B1685" s="200" t="inlineStr">
        <is>
          <t>C6693</t>
        </is>
      </c>
      <c r="C1685" s="200" t="inlineStr">
        <is>
          <t>Burdaqly</t>
        </is>
      </c>
      <c r="D1685" s="200" t="inlineStr">
        <is>
          <t>بردقلي</t>
        </is>
      </c>
      <c r="E1685" s="5" t="n"/>
      <c r="F1685" s="8" t="inlineStr">
        <is>
          <t>SY070301</t>
        </is>
      </c>
    </row>
    <row r="1686" customFormat="1" s="8">
      <c r="A1686" s="200" t="inlineStr">
        <is>
          <t>admin4</t>
        </is>
      </c>
      <c r="B1686" s="200" t="inlineStr">
        <is>
          <t>C6755</t>
        </is>
      </c>
      <c r="C1686" s="200" t="inlineStr">
        <is>
          <t>Babisqa</t>
        </is>
      </c>
      <c r="D1686" s="200" t="inlineStr">
        <is>
          <t>بابيسقا</t>
        </is>
      </c>
      <c r="E1686" s="5" t="n"/>
      <c r="F1686" s="8" t="inlineStr">
        <is>
          <t>SY070301</t>
        </is>
      </c>
    </row>
    <row r="1687" customFormat="1" s="8">
      <c r="A1687" s="200" t="inlineStr">
        <is>
          <t>admin4</t>
        </is>
      </c>
      <c r="B1687" s="200" t="inlineStr">
        <is>
          <t>C7407</t>
        </is>
      </c>
      <c r="C1687" s="200" t="inlineStr">
        <is>
          <t>Al Kufir</t>
        </is>
      </c>
      <c r="D1687" s="200" t="inlineStr">
        <is>
          <t>الكفير حارم</t>
        </is>
      </c>
      <c r="E1687" s="5" t="n"/>
      <c r="F1687" s="8" t="inlineStr">
        <is>
          <t>SY070301</t>
        </is>
      </c>
    </row>
    <row r="1688" customFormat="1" s="8">
      <c r="A1688" s="200" t="inlineStr">
        <is>
          <t>admin4</t>
        </is>
      </c>
      <c r="B1688" s="200" t="inlineStr">
        <is>
          <t>C7427</t>
        </is>
      </c>
      <c r="C1688" s="200" t="inlineStr">
        <is>
          <t>Sarjableh</t>
        </is>
      </c>
      <c r="D1688" s="200" t="inlineStr">
        <is>
          <t>سرجبلة</t>
        </is>
      </c>
      <c r="E1688" s="5" t="n"/>
      <c r="F1688" s="8" t="inlineStr">
        <is>
          <t>SY070301</t>
        </is>
      </c>
    </row>
    <row r="1689" customFormat="1" s="8">
      <c r="A1689" s="200" t="inlineStr">
        <is>
          <t>admin4</t>
        </is>
      </c>
      <c r="B1689" s="200" t="inlineStr">
        <is>
          <t>C8092</t>
        </is>
      </c>
      <c r="C1689" s="200" t="inlineStr">
        <is>
          <t>Kafr Kafaldin</t>
        </is>
      </c>
      <c r="D1689" s="200" t="inlineStr">
        <is>
          <t>كفر كفلدين</t>
        </is>
      </c>
      <c r="E1689" s="5" t="n"/>
      <c r="F1689" s="8" t="inlineStr">
        <is>
          <t>SY070301</t>
        </is>
      </c>
    </row>
    <row r="1690" customFormat="1" s="8">
      <c r="A1690" s="200" t="inlineStr">
        <is>
          <t>admin4</t>
        </is>
      </c>
      <c r="B1690" s="200" t="inlineStr">
        <is>
          <t>C4133</t>
        </is>
      </c>
      <c r="C1690" s="200" t="inlineStr">
        <is>
          <t>Abu Talha</t>
        </is>
      </c>
      <c r="D1690" s="200" t="inlineStr">
        <is>
          <t>ابو طلحة</t>
        </is>
      </c>
      <c r="E1690" s="5" t="n"/>
      <c r="F1690" s="8" t="inlineStr">
        <is>
          <t>SY070302</t>
        </is>
      </c>
    </row>
    <row r="1691" customFormat="1" s="8">
      <c r="A1691" s="200" t="inlineStr">
        <is>
          <t>admin4</t>
        </is>
      </c>
      <c r="B1691" s="200" t="inlineStr">
        <is>
          <t>C6694</t>
        </is>
      </c>
      <c r="C1691" s="200" t="inlineStr">
        <is>
          <t>Aljib</t>
        </is>
      </c>
      <c r="D1691" s="200" t="inlineStr">
        <is>
          <t>الجب</t>
        </is>
      </c>
      <c r="E1691" s="5" t="n"/>
      <c r="F1691" s="8" t="inlineStr">
        <is>
          <t>SY070302</t>
        </is>
      </c>
    </row>
    <row r="1692" customFormat="1" s="8">
      <c r="A1692" s="200" t="inlineStr">
        <is>
          <t>admin4</t>
        </is>
      </c>
      <c r="B1692" s="200" t="inlineStr">
        <is>
          <t>C4142</t>
        </is>
      </c>
      <c r="C1692" s="200" t="inlineStr">
        <is>
          <t>Allani</t>
        </is>
      </c>
      <c r="D1692" s="200" t="inlineStr">
        <is>
          <t>العلاني</t>
        </is>
      </c>
      <c r="E1692" s="5" t="n"/>
      <c r="F1692" s="8" t="inlineStr">
        <is>
          <t>SY070302</t>
        </is>
      </c>
    </row>
    <row r="1693" customFormat="1" s="8">
      <c r="A1693" s="200" t="inlineStr">
        <is>
          <t>admin4</t>
        </is>
      </c>
      <c r="B1693" s="200" t="inlineStr">
        <is>
          <t>C4143</t>
        </is>
      </c>
      <c r="C1693" s="200" t="inlineStr">
        <is>
          <t>Azmarin</t>
        </is>
      </c>
      <c r="D1693" s="200" t="inlineStr">
        <is>
          <t>عزمارين</t>
        </is>
      </c>
      <c r="E1693" s="5" t="n"/>
      <c r="F1693" s="8" t="inlineStr">
        <is>
          <t>SY070302</t>
        </is>
      </c>
    </row>
    <row r="1694" customFormat="1" s="8">
      <c r="A1694" s="200" t="inlineStr">
        <is>
          <t>admin4</t>
        </is>
      </c>
      <c r="B1694" s="200" t="inlineStr">
        <is>
          <t>C4147</t>
        </is>
      </c>
      <c r="C1694" s="200" t="inlineStr">
        <is>
          <t>Betiya</t>
        </is>
      </c>
      <c r="D1694" s="200" t="inlineStr">
        <is>
          <t>بتيا</t>
        </is>
      </c>
      <c r="E1694" s="5" t="n"/>
      <c r="F1694" s="8" t="inlineStr">
        <is>
          <t>SY070302</t>
        </is>
      </c>
    </row>
    <row r="1695" customFormat="1" s="8">
      <c r="A1695" s="200" t="inlineStr">
        <is>
          <t>admin4</t>
        </is>
      </c>
      <c r="B1695" s="200" t="inlineStr">
        <is>
          <t>C4141</t>
        </is>
      </c>
      <c r="C1695" s="200" t="inlineStr">
        <is>
          <t>Big Hir Jamus</t>
        </is>
      </c>
      <c r="D1695" s="200" t="inlineStr">
        <is>
          <t>حير جاموس كبير</t>
        </is>
      </c>
      <c r="E1695" s="5" t="n"/>
      <c r="F1695" s="8" t="inlineStr">
        <is>
          <t>SY070302</t>
        </is>
      </c>
    </row>
    <row r="1696" customFormat="1" s="8">
      <c r="A1696" s="200" t="inlineStr">
        <is>
          <t>admin4</t>
        </is>
      </c>
      <c r="B1696" s="200" t="inlineStr">
        <is>
          <t>C4144</t>
        </is>
      </c>
      <c r="C1696" s="200" t="inlineStr">
        <is>
          <t>Bozanti</t>
        </is>
      </c>
      <c r="D1696" s="200" t="inlineStr">
        <is>
          <t>بوزانطي</t>
        </is>
      </c>
      <c r="E1696" s="5" t="n"/>
      <c r="F1696" s="8" t="inlineStr">
        <is>
          <t>SY070302</t>
        </is>
      </c>
    </row>
    <row r="1697" customFormat="1" s="8">
      <c r="A1697" s="200" t="inlineStr">
        <is>
          <t>admin4</t>
        </is>
      </c>
      <c r="B1697" s="200" t="inlineStr">
        <is>
          <t>C4146</t>
        </is>
      </c>
      <c r="C1697" s="200" t="inlineStr">
        <is>
          <t>Delbiya</t>
        </is>
      </c>
      <c r="D1697" s="200" t="inlineStr">
        <is>
          <t>دلبيا</t>
        </is>
      </c>
      <c r="E1697" s="5" t="n"/>
      <c r="F1697" s="8" t="inlineStr">
        <is>
          <t>SY070302</t>
        </is>
      </c>
    </row>
    <row r="1698" customFormat="1" s="8">
      <c r="A1698" s="200" t="inlineStr">
        <is>
          <t>admin4</t>
        </is>
      </c>
      <c r="B1698" s="200" t="inlineStr">
        <is>
          <t>C4136</t>
        </is>
      </c>
      <c r="C1698" s="200" t="inlineStr">
        <is>
          <t>Ein Elbikara</t>
        </is>
      </c>
      <c r="D1698" s="200" t="inlineStr">
        <is>
          <t>عين البكارة</t>
        </is>
      </c>
      <c r="E1698" s="5" t="n"/>
      <c r="F1698" s="8" t="inlineStr">
        <is>
          <t>SY070302</t>
        </is>
      </c>
    </row>
    <row r="1699" customFormat="1" s="8">
      <c r="A1699" s="200" t="inlineStr">
        <is>
          <t>admin4</t>
        </is>
      </c>
      <c r="B1699" s="200" t="inlineStr">
        <is>
          <t>C4145</t>
        </is>
      </c>
      <c r="C1699" s="200" t="inlineStr">
        <is>
          <t>Eskat</t>
        </is>
      </c>
      <c r="D1699" s="200" t="inlineStr">
        <is>
          <t>اسقاط</t>
        </is>
      </c>
      <c r="E1699" s="5" t="n"/>
      <c r="F1699" s="8" t="inlineStr">
        <is>
          <t>SY070302</t>
        </is>
      </c>
    </row>
    <row r="1700" customFormat="1" s="8">
      <c r="A1700" s="200" t="inlineStr">
        <is>
          <t>admin4</t>
        </is>
      </c>
      <c r="B1700" s="200" t="inlineStr">
        <is>
          <t>C6619</t>
        </is>
      </c>
      <c r="C1700" s="200" t="inlineStr">
        <is>
          <t>Faroukiyeh</t>
        </is>
      </c>
      <c r="D1700" s="200" t="inlineStr">
        <is>
          <t>الفاروقية</t>
        </is>
      </c>
      <c r="E1700" s="5" t="n"/>
      <c r="F1700" s="8" t="inlineStr">
        <is>
          <t>SY070302</t>
        </is>
      </c>
    </row>
    <row r="1701" customFormat="1" s="8">
      <c r="A1701" s="200" t="inlineStr">
        <is>
          <t>admin4</t>
        </is>
      </c>
      <c r="B1701" s="200" t="inlineStr">
        <is>
          <t>C4135</t>
        </is>
      </c>
      <c r="C1701" s="200" t="inlineStr">
        <is>
          <t>Foziyeh</t>
        </is>
      </c>
      <c r="D1701" s="200" t="inlineStr">
        <is>
          <t>الفوزية</t>
        </is>
      </c>
      <c r="E1701" s="5" t="n"/>
      <c r="F1701" s="8" t="inlineStr">
        <is>
          <t>SY070302</t>
        </is>
      </c>
    </row>
    <row r="1702" customFormat="1" s="8">
      <c r="A1702" s="200" t="inlineStr">
        <is>
          <t>admin4</t>
        </is>
      </c>
      <c r="B1702" s="200" t="inlineStr">
        <is>
          <t>C6621</t>
        </is>
      </c>
      <c r="C1702" s="200" t="inlineStr">
        <is>
          <t>Hamra</t>
        </is>
      </c>
      <c r="D1702" s="200" t="inlineStr">
        <is>
          <t>الحمرة</t>
        </is>
      </c>
      <c r="E1702" s="5" t="n"/>
      <c r="F1702" s="8" t="inlineStr">
        <is>
          <t>SY070302</t>
        </is>
      </c>
    </row>
    <row r="1703" customFormat="1" s="8">
      <c r="A1703" s="200" t="inlineStr">
        <is>
          <t>admin4</t>
        </is>
      </c>
      <c r="B1703" s="200" t="inlineStr">
        <is>
          <t>C4134</t>
        </is>
      </c>
      <c r="C1703" s="200" t="inlineStr">
        <is>
          <t>Hamziyeh</t>
        </is>
      </c>
      <c r="D1703" s="200" t="inlineStr">
        <is>
          <t>الحمزية</t>
        </is>
      </c>
      <c r="E1703" s="5" t="n"/>
      <c r="F1703" s="8" t="inlineStr">
        <is>
          <t>SY070302</t>
        </is>
      </c>
    </row>
    <row r="1704" customFormat="1" s="8">
      <c r="A1704" s="200" t="inlineStr">
        <is>
          <t>admin4</t>
        </is>
      </c>
      <c r="B1704" s="200" t="inlineStr">
        <is>
          <t>C6622</t>
        </is>
      </c>
      <c r="C1704" s="200" t="inlineStr">
        <is>
          <t>Jakara</t>
        </is>
      </c>
      <c r="D1704" s="200" t="inlineStr">
        <is>
          <t>جكارة</t>
        </is>
      </c>
      <c r="E1704" s="5" t="n"/>
      <c r="F1704" s="8" t="inlineStr">
        <is>
          <t>SY070302</t>
        </is>
      </c>
    </row>
    <row r="1705" customFormat="1" s="8">
      <c r="A1705" s="200" t="inlineStr">
        <is>
          <t>admin4</t>
        </is>
      </c>
      <c r="B1705" s="200" t="inlineStr">
        <is>
          <t>C6618</t>
        </is>
      </c>
      <c r="C1705" s="200" t="inlineStr">
        <is>
          <t>Jeser Maksour</t>
        </is>
      </c>
      <c r="D1705" s="200" t="inlineStr">
        <is>
          <t>الجسر المكسور</t>
        </is>
      </c>
      <c r="E1705" s="5" t="n"/>
      <c r="F1705" s="8" t="inlineStr">
        <is>
          <t>SY070302</t>
        </is>
      </c>
    </row>
    <row r="1706" customFormat="1" s="8">
      <c r="A1706" s="200" t="inlineStr">
        <is>
          <t>admin4</t>
        </is>
      </c>
      <c r="B1706" s="200" t="inlineStr">
        <is>
          <t>C4149</t>
        </is>
      </c>
      <c r="C1706" s="200" t="inlineStr">
        <is>
          <t>Kafarna</t>
        </is>
      </c>
      <c r="D1706" s="200" t="inlineStr">
        <is>
          <t>كفرنه</t>
        </is>
      </c>
      <c r="E1706" s="5" t="n"/>
      <c r="F1706" s="8" t="inlineStr">
        <is>
          <t>SY070302</t>
        </is>
      </c>
    </row>
    <row r="1707" customFormat="1" s="8">
      <c r="A1707" s="200" t="inlineStr">
        <is>
          <t>admin4</t>
        </is>
      </c>
      <c r="B1707" s="200" t="inlineStr">
        <is>
          <t>C4151</t>
        </is>
      </c>
      <c r="C1707" s="200" t="inlineStr">
        <is>
          <t>Kafr Hind</t>
        </is>
      </c>
      <c r="D1707" s="200" t="inlineStr">
        <is>
          <t>كفر هند</t>
        </is>
      </c>
      <c r="E1707" s="5" t="n"/>
      <c r="F1707" s="8" t="inlineStr">
        <is>
          <t>SY070302</t>
        </is>
      </c>
    </row>
    <row r="1708" customFormat="1" s="8">
      <c r="A1708" s="200" t="inlineStr">
        <is>
          <t>admin4</t>
        </is>
      </c>
      <c r="B1708" s="200" t="inlineStr">
        <is>
          <t>C4150</t>
        </is>
      </c>
      <c r="C1708" s="200" t="inlineStr">
        <is>
          <t>Kafrahlat Jallad</t>
        </is>
      </c>
      <c r="D1708" s="200" t="inlineStr">
        <is>
          <t>كفرحات جلاد</t>
        </is>
      </c>
      <c r="E1708" s="5" t="n"/>
      <c r="F1708" s="8" t="inlineStr">
        <is>
          <t>SY070302</t>
        </is>
      </c>
    </row>
    <row r="1709" customFormat="1" s="8">
      <c r="A1709" s="200" t="inlineStr">
        <is>
          <t>admin4</t>
        </is>
      </c>
      <c r="B1709" s="200" t="inlineStr">
        <is>
          <t>C4139</t>
        </is>
      </c>
      <c r="C1709" s="200" t="inlineStr">
        <is>
          <t>Little Hir Jamus</t>
        </is>
      </c>
      <c r="D1709" s="200" t="inlineStr">
        <is>
          <t>حير جاموس صغير</t>
        </is>
      </c>
      <c r="E1709" s="5" t="n"/>
      <c r="F1709" s="8" t="inlineStr">
        <is>
          <t>SY070302</t>
        </is>
      </c>
    </row>
    <row r="1710" customFormat="1" s="8">
      <c r="A1710" s="200" t="inlineStr">
        <is>
          <t>admin4</t>
        </is>
      </c>
      <c r="B1710" s="200" t="inlineStr">
        <is>
          <t>C6620</t>
        </is>
      </c>
      <c r="C1710" s="200" t="inlineStr">
        <is>
          <t>Msheirfeh</t>
        </is>
      </c>
      <c r="D1710" s="200" t="inlineStr">
        <is>
          <t>المشيرفة</t>
        </is>
      </c>
      <c r="E1710" s="5" t="n"/>
      <c r="F1710" s="8" t="inlineStr">
        <is>
          <t>SY070302</t>
        </is>
      </c>
    </row>
    <row r="1711" customFormat="1" s="8">
      <c r="A1711" s="200" t="inlineStr">
        <is>
          <t>admin4</t>
        </is>
      </c>
      <c r="B1711" s="200" t="inlineStr">
        <is>
          <t>C4138</t>
        </is>
      </c>
      <c r="C1711" s="200" t="inlineStr">
        <is>
          <t>Saidiyeh</t>
        </is>
      </c>
      <c r="D1711" s="200" t="inlineStr">
        <is>
          <t>السعيدية</t>
        </is>
      </c>
      <c r="E1711" s="5" t="n"/>
      <c r="F1711" s="8" t="inlineStr">
        <is>
          <t>SY070302</t>
        </is>
      </c>
    </row>
    <row r="1712" customFormat="1" s="8">
      <c r="A1712" s="200" t="inlineStr">
        <is>
          <t>admin4</t>
        </is>
      </c>
      <c r="B1712" s="200" t="inlineStr">
        <is>
          <t>C4140</t>
        </is>
      </c>
      <c r="C1712" s="200" t="inlineStr">
        <is>
          <t>Salqin</t>
        </is>
      </c>
      <c r="D1712" s="200" t="inlineStr">
        <is>
          <t>سلقين</t>
        </is>
      </c>
      <c r="E1712" s="5" t="n"/>
      <c r="F1712" s="8" t="inlineStr">
        <is>
          <t>SY070302</t>
        </is>
      </c>
    </row>
    <row r="1713" customFormat="1" s="8">
      <c r="A1713" s="200" t="inlineStr">
        <is>
          <t>admin4</t>
        </is>
      </c>
      <c r="B1713" s="200" t="inlineStr">
        <is>
          <t>C6617</t>
        </is>
      </c>
      <c r="C1713" s="200" t="inlineStr">
        <is>
          <t>Sayed Khalil</t>
        </is>
      </c>
      <c r="D1713" s="200" t="inlineStr">
        <is>
          <t>السيد خليل</t>
        </is>
      </c>
      <c r="E1713" s="5" t="n"/>
      <c r="F1713" s="8" t="inlineStr">
        <is>
          <t>SY070302</t>
        </is>
      </c>
    </row>
    <row r="1714" customFormat="1" s="8">
      <c r="A1714" s="200" t="inlineStr">
        <is>
          <t>admin4</t>
        </is>
      </c>
      <c r="B1714" s="200" t="inlineStr">
        <is>
          <t>C6750</t>
        </is>
      </c>
      <c r="C1714" s="200" t="inlineStr">
        <is>
          <t>Set Aateka</t>
        </is>
      </c>
      <c r="D1714" s="200" t="inlineStr">
        <is>
          <t>ست عاتكة</t>
        </is>
      </c>
      <c r="E1714" s="5" t="n"/>
      <c r="F1714" s="8" t="inlineStr">
        <is>
          <t>SY070302</t>
        </is>
      </c>
    </row>
    <row r="1715" customFormat="1" s="8">
      <c r="A1715" s="200" t="inlineStr">
        <is>
          <t>admin4</t>
        </is>
      </c>
      <c r="B1715" s="200" t="inlineStr">
        <is>
          <t>C6364</t>
        </is>
      </c>
      <c r="C1715" s="200" t="inlineStr">
        <is>
          <t>Shyukh</t>
        </is>
      </c>
      <c r="D1715" s="200" t="inlineStr">
        <is>
          <t>الشيوخ</t>
        </is>
      </c>
      <c r="E1715" s="5" t="n"/>
      <c r="F1715" s="8" t="inlineStr">
        <is>
          <t>SY070302</t>
        </is>
      </c>
    </row>
    <row r="1716" customFormat="1" s="8">
      <c r="A1716" s="200" t="inlineStr">
        <is>
          <t>admin4</t>
        </is>
      </c>
      <c r="B1716" s="200" t="inlineStr">
        <is>
          <t>C4148</t>
        </is>
      </c>
      <c r="C1716" s="200" t="inlineStr">
        <is>
          <t>Tellemar</t>
        </is>
      </c>
      <c r="D1716" s="200" t="inlineStr">
        <is>
          <t>تلعمار</t>
        </is>
      </c>
      <c r="E1716" s="5" t="n"/>
      <c r="F1716" s="8" t="inlineStr">
        <is>
          <t>SY070302</t>
        </is>
      </c>
    </row>
    <row r="1717" customFormat="1" s="8">
      <c r="A1717" s="200" t="inlineStr">
        <is>
          <t>admin4</t>
        </is>
      </c>
      <c r="B1717" s="200" t="inlineStr">
        <is>
          <t>C4137</t>
        </is>
      </c>
      <c r="C1717" s="200" t="inlineStr">
        <is>
          <t>Tlul</t>
        </is>
      </c>
      <c r="D1717" s="200" t="inlineStr">
        <is>
          <t>التلول</t>
        </is>
      </c>
      <c r="E1717" s="5" t="n"/>
      <c r="F1717" s="8" t="inlineStr">
        <is>
          <t>SY070302</t>
        </is>
      </c>
    </row>
    <row r="1719">
      <c r="A1719" t="inlineStr">
        <is>
          <t>crop</t>
        </is>
      </c>
      <c r="B1719" t="inlineStr">
        <is>
          <t>1.2</t>
        </is>
      </c>
      <c r="C1719" t="inlineStr">
        <is>
          <t>Wheat</t>
        </is>
      </c>
      <c r="D1719" t="inlineStr">
        <is>
          <t>القمح</t>
        </is>
      </c>
    </row>
    <row r="1720">
      <c r="A1720" t="inlineStr">
        <is>
          <t>crop</t>
        </is>
      </c>
      <c r="B1720" t="inlineStr">
        <is>
          <t>1.5</t>
        </is>
      </c>
      <c r="C1720" t="inlineStr">
        <is>
          <t>Maize</t>
        </is>
      </c>
      <c r="D1720" t="inlineStr">
        <is>
          <t>الذرة</t>
        </is>
      </c>
    </row>
    <row r="1721">
      <c r="A1721" t="inlineStr">
        <is>
          <t>crop</t>
        </is>
      </c>
      <c r="B1721" t="inlineStr">
        <is>
          <t>1.6</t>
        </is>
      </c>
      <c r="C1721" t="inlineStr">
        <is>
          <t>Barley</t>
        </is>
      </c>
      <c r="D1721" t="inlineStr">
        <is>
          <t>الشعير</t>
        </is>
      </c>
    </row>
    <row r="1722">
      <c r="A1722" t="inlineStr">
        <is>
          <t>crop</t>
        </is>
      </c>
      <c r="B1722" t="inlineStr">
        <is>
          <t>2.2</t>
        </is>
      </c>
      <c r="C1722" t="inlineStr">
        <is>
          <t>Potatoe</t>
        </is>
      </c>
      <c r="D1722" t="inlineStr">
        <is>
          <t>البطاطا</t>
        </is>
      </c>
    </row>
    <row r="1723">
      <c r="A1723" t="inlineStr">
        <is>
          <t>crop</t>
        </is>
      </c>
      <c r="B1723" t="inlineStr">
        <is>
          <t>3.1</t>
        </is>
      </c>
      <c r="C1723" t="inlineStr">
        <is>
          <t>Beans</t>
        </is>
      </c>
      <c r="D1723" t="inlineStr">
        <is>
          <t>الفاصوليا</t>
        </is>
      </c>
    </row>
    <row r="1724">
      <c r="A1724" t="inlineStr">
        <is>
          <t>crop</t>
        </is>
      </c>
      <c r="B1724" t="inlineStr">
        <is>
          <t>3.2</t>
        </is>
      </c>
      <c r="C1724" t="inlineStr">
        <is>
          <t>Lentils</t>
        </is>
      </c>
      <c r="D1724" t="inlineStr">
        <is>
          <t>العدس</t>
        </is>
      </c>
    </row>
    <row r="1725">
      <c r="A1725" t="inlineStr">
        <is>
          <t>crop</t>
        </is>
      </c>
      <c r="B1725" t="inlineStr">
        <is>
          <t>3.3</t>
        </is>
      </c>
      <c r="C1725" t="inlineStr">
        <is>
          <t>Peas</t>
        </is>
      </c>
      <c r="D1725" t="inlineStr">
        <is>
          <t>البازيلاء</t>
        </is>
      </c>
    </row>
    <row r="1726">
      <c r="A1726" t="inlineStr">
        <is>
          <t>crop</t>
        </is>
      </c>
      <c r="B1726" t="inlineStr">
        <is>
          <t>3.4</t>
        </is>
      </c>
      <c r="C1726" t="inlineStr">
        <is>
          <t>Soybeans</t>
        </is>
      </c>
      <c r="D1726" t="inlineStr">
        <is>
          <t>فول الصويا</t>
        </is>
      </c>
    </row>
    <row r="1727">
      <c r="A1727" t="inlineStr">
        <is>
          <t>crop</t>
        </is>
      </c>
      <c r="B1727" t="inlineStr">
        <is>
          <t>3.5</t>
        </is>
      </c>
      <c r="C1727" t="inlineStr">
        <is>
          <t>Chickpeas</t>
        </is>
      </c>
      <c r="D1727" t="inlineStr">
        <is>
          <t>الحمص</t>
        </is>
      </c>
    </row>
    <row r="1728">
      <c r="A1728" t="inlineStr">
        <is>
          <t>crop</t>
        </is>
      </c>
      <c r="B1728" t="inlineStr">
        <is>
          <t>3.6</t>
        </is>
      </c>
      <c r="C1728" t="inlineStr">
        <is>
          <t>Fava beans</t>
        </is>
      </c>
      <c r="D1728" t="inlineStr">
        <is>
          <t>الفول</t>
        </is>
      </c>
    </row>
    <row r="1729">
      <c r="A1729" t="inlineStr">
        <is>
          <t>crop</t>
        </is>
      </c>
      <c r="B1729" t="inlineStr">
        <is>
          <t>4.2</t>
        </is>
      </c>
      <c r="C1729" t="inlineStr">
        <is>
          <t>Lettuce</t>
        </is>
      </c>
      <c r="D1729" t="inlineStr">
        <is>
          <t>الخس</t>
        </is>
      </c>
    </row>
    <row r="1730">
      <c r="A1730" t="inlineStr">
        <is>
          <t>crop</t>
        </is>
      </c>
      <c r="B1730" t="inlineStr">
        <is>
          <t>4.9</t>
        </is>
      </c>
      <c r="C1730" t="inlineStr">
        <is>
          <t>Green salad herbs (thyme, parsley, mint, rocca, other)</t>
        </is>
      </c>
      <c r="D1730" t="inlineStr">
        <is>
          <t>أعشاب السلطة الخضراء [زعتر ، بقدونس ، نعناع ، جرجير ، أنواع أخرى]</t>
        </is>
      </c>
    </row>
    <row r="1731">
      <c r="A1731" t="inlineStr">
        <is>
          <t>crop</t>
        </is>
      </c>
      <c r="B1731" t="inlineStr">
        <is>
          <t>5.1</t>
        </is>
      </c>
      <c r="C1731" t="inlineStr">
        <is>
          <t>Tomatoes</t>
        </is>
      </c>
      <c r="D1731" t="inlineStr">
        <is>
          <t>الطماطم</t>
        </is>
      </c>
    </row>
    <row r="1732">
      <c r="A1732" t="inlineStr">
        <is>
          <t>crop</t>
        </is>
      </c>
      <c r="B1732" t="inlineStr">
        <is>
          <t>5.101</t>
        </is>
      </c>
      <c r="C1732" t="inlineStr">
        <is>
          <t>Green peas</t>
        </is>
      </c>
      <c r="D1732" t="inlineStr">
        <is>
          <t>البازلاء الخضراء</t>
        </is>
      </c>
    </row>
    <row r="1733">
      <c r="A1733" t="inlineStr">
        <is>
          <t>crop</t>
        </is>
      </c>
      <c r="B1733" t="inlineStr">
        <is>
          <t>5.11</t>
        </is>
      </c>
      <c r="C1733" t="inlineStr">
        <is>
          <t>Fava beans green</t>
        </is>
      </c>
      <c r="D1733" t="inlineStr">
        <is>
          <t>الفول الأخضر</t>
        </is>
      </c>
    </row>
    <row r="1734">
      <c r="A1734" t="inlineStr">
        <is>
          <t>crop</t>
        </is>
      </c>
      <c r="B1734" t="inlineStr">
        <is>
          <t>5.2</t>
        </is>
      </c>
      <c r="C1734" t="inlineStr">
        <is>
          <t>Cucumber</t>
        </is>
      </c>
      <c r="D1734" t="inlineStr">
        <is>
          <t>الخيار</t>
        </is>
      </c>
    </row>
    <row r="1735">
      <c r="A1735" t="inlineStr">
        <is>
          <t>crop</t>
        </is>
      </c>
      <c r="B1735" t="inlineStr">
        <is>
          <t>5.4</t>
        </is>
      </c>
      <c r="C1735" t="inlineStr">
        <is>
          <t>Eggplant/aubergine</t>
        </is>
      </c>
      <c r="D1735" t="inlineStr">
        <is>
          <t>الباذنجان</t>
        </is>
      </c>
    </row>
    <row r="1736">
      <c r="A1736" t="inlineStr">
        <is>
          <t>crop</t>
        </is>
      </c>
      <c r="B1736" t="inlineStr">
        <is>
          <t>5.5</t>
        </is>
      </c>
      <c r="C1736" t="inlineStr">
        <is>
          <t>Zucchini</t>
        </is>
      </c>
      <c r="D1736" t="inlineStr">
        <is>
          <t>الكوسة</t>
        </is>
      </c>
    </row>
    <row r="1737">
      <c r="A1737" t="inlineStr">
        <is>
          <t>crop</t>
        </is>
      </c>
      <c r="B1737" t="inlineStr">
        <is>
          <t>5.6</t>
        </is>
      </c>
      <c r="C1737" t="inlineStr">
        <is>
          <t>Okra</t>
        </is>
      </c>
      <c r="D1737" t="inlineStr">
        <is>
          <t>البامية</t>
        </is>
      </c>
    </row>
    <row r="1738">
      <c r="A1738" t="inlineStr">
        <is>
          <t>crop</t>
        </is>
      </c>
      <c r="B1738" t="inlineStr">
        <is>
          <t>5.7</t>
        </is>
      </c>
      <c r="C1738" t="inlineStr">
        <is>
          <t>Bell pepper</t>
        </is>
      </c>
      <c r="D1738" t="inlineStr">
        <is>
          <t>الفلفل حلو</t>
        </is>
      </c>
    </row>
    <row r="1739">
      <c r="A1739" t="inlineStr">
        <is>
          <t>crop</t>
        </is>
      </c>
      <c r="B1739" t="inlineStr">
        <is>
          <t>5.8</t>
        </is>
      </c>
      <c r="C1739" t="inlineStr">
        <is>
          <t>Onions</t>
        </is>
      </c>
      <c r="D1739" t="inlineStr">
        <is>
          <t>بصل</t>
        </is>
      </c>
    </row>
    <row r="1740">
      <c r="A1740" t="inlineStr">
        <is>
          <t>crop</t>
        </is>
      </c>
      <c r="B1740" t="inlineStr">
        <is>
          <t>7.11</t>
        </is>
      </c>
      <c r="C1740" t="inlineStr">
        <is>
          <t>Grapes</t>
        </is>
      </c>
      <c r="D1740" t="inlineStr">
        <is>
          <t>العنب</t>
        </is>
      </c>
    </row>
    <row r="1741">
      <c r="A1741" t="inlineStr">
        <is>
          <t>crop</t>
        </is>
      </c>
      <c r="B1741" t="inlineStr">
        <is>
          <t>7.12</t>
        </is>
      </c>
      <c r="C1741" t="inlineStr">
        <is>
          <t>Olives</t>
        </is>
      </c>
      <c r="D1741" t="inlineStr">
        <is>
          <t>الزيتون</t>
        </is>
      </c>
    </row>
    <row r="1742">
      <c r="A1742" t="inlineStr">
        <is>
          <t>crop</t>
        </is>
      </c>
      <c r="B1742" t="inlineStr">
        <is>
          <t>7.15</t>
        </is>
      </c>
      <c r="C1742" t="inlineStr">
        <is>
          <t>Cherries</t>
        </is>
      </c>
      <c r="D1742" t="inlineStr">
        <is>
          <t>الكرز</t>
        </is>
      </c>
    </row>
    <row r="1743">
      <c r="A1743" t="inlineStr">
        <is>
          <t>crop</t>
        </is>
      </c>
      <c r="B1743" t="inlineStr">
        <is>
          <t>7.8</t>
        </is>
      </c>
      <c r="C1743" t="inlineStr">
        <is>
          <t>Water Melon</t>
        </is>
      </c>
      <c r="D1743" t="inlineStr">
        <is>
          <t>البطيخ الأحمر</t>
        </is>
      </c>
    </row>
    <row r="1744">
      <c r="A1744" t="inlineStr">
        <is>
          <t>crop</t>
        </is>
      </c>
      <c r="B1744" t="inlineStr">
        <is>
          <t>8.5</t>
        </is>
      </c>
      <c r="C1744" t="inlineStr">
        <is>
          <t>Sesame</t>
        </is>
      </c>
      <c r="D1744" t="inlineStr">
        <is>
          <t>السمسم</t>
        </is>
      </c>
    </row>
    <row r="1745">
      <c r="A1745" t="inlineStr">
        <is>
          <t>crop</t>
        </is>
      </c>
      <c r="B1745" t="inlineStr">
        <is>
          <t>8.7</t>
        </is>
      </c>
      <c r="C1745" t="inlineStr">
        <is>
          <t>Almond</t>
        </is>
      </c>
      <c r="D1745" t="inlineStr">
        <is>
          <t>اللوز</t>
        </is>
      </c>
    </row>
    <row r="1746">
      <c r="A1746" t="inlineStr">
        <is>
          <t>crop</t>
        </is>
      </c>
      <c r="B1746" t="inlineStr">
        <is>
          <t>1.1</t>
        </is>
      </c>
      <c r="C1746" t="inlineStr">
        <is>
          <t>Rice</t>
        </is>
      </c>
      <c r="D1746" t="inlineStr">
        <is>
          <t>الرز</t>
        </is>
      </c>
    </row>
    <row r="1747">
      <c r="A1747" t="inlineStr">
        <is>
          <t>crop</t>
        </is>
      </c>
      <c r="B1747" t="inlineStr">
        <is>
          <t>1.3</t>
        </is>
      </c>
      <c r="C1747" t="inlineStr">
        <is>
          <t>Millet</t>
        </is>
      </c>
      <c r="D1747" t="inlineStr">
        <is>
          <t>الدخن</t>
        </is>
      </c>
    </row>
    <row r="1748">
      <c r="A1748" t="inlineStr">
        <is>
          <t>crop</t>
        </is>
      </c>
      <c r="B1748" t="inlineStr">
        <is>
          <t>1.4</t>
        </is>
      </c>
      <c r="C1748" t="inlineStr">
        <is>
          <t>Sorghum</t>
        </is>
      </c>
      <c r="D1748" t="inlineStr">
        <is>
          <t>الذرة الرفيعة</t>
        </is>
      </c>
    </row>
    <row r="1749">
      <c r="A1749" t="inlineStr">
        <is>
          <t>crop</t>
        </is>
      </c>
      <c r="B1749" t="inlineStr">
        <is>
          <t>1.99</t>
        </is>
      </c>
      <c r="C1749" t="inlineStr">
        <is>
          <t>Other Cereal</t>
        </is>
      </c>
      <c r="D1749" t="inlineStr">
        <is>
          <t>الحبوب الأخرى</t>
        </is>
      </c>
    </row>
    <row r="1750">
      <c r="A1750" t="inlineStr">
        <is>
          <t>crop</t>
        </is>
      </c>
      <c r="B1750" t="inlineStr">
        <is>
          <t>2.1</t>
        </is>
      </c>
      <c r="C1750" t="inlineStr">
        <is>
          <t>Cassava</t>
        </is>
      </c>
      <c r="D1750" t="inlineStr">
        <is>
          <t>الكسافا</t>
        </is>
      </c>
    </row>
    <row r="1751">
      <c r="A1751" t="inlineStr">
        <is>
          <t>crop</t>
        </is>
      </c>
      <c r="B1751" t="inlineStr">
        <is>
          <t>2.3</t>
        </is>
      </c>
      <c r="C1751" t="inlineStr">
        <is>
          <t>Sweet Potatoes</t>
        </is>
      </c>
      <c r="D1751" t="inlineStr">
        <is>
          <t>البطاطا الحلوة</t>
        </is>
      </c>
    </row>
    <row r="1752">
      <c r="A1752" t="inlineStr">
        <is>
          <t>crop</t>
        </is>
      </c>
      <c r="B1752" t="inlineStr">
        <is>
          <t>2.4</t>
        </is>
      </c>
      <c r="C1752" t="inlineStr">
        <is>
          <t>Yams</t>
        </is>
      </c>
      <c r="D1752" t="inlineStr">
        <is>
          <t>اليام</t>
        </is>
      </c>
    </row>
    <row r="1753">
      <c r="A1753" t="inlineStr">
        <is>
          <t>crop</t>
        </is>
      </c>
      <c r="B1753" t="inlineStr">
        <is>
          <t>2.5</t>
        </is>
      </c>
      <c r="C1753" t="inlineStr">
        <is>
          <t>Carrots</t>
        </is>
      </c>
      <c r="D1753" t="inlineStr">
        <is>
          <t>الجزر</t>
        </is>
      </c>
    </row>
    <row r="1754">
      <c r="A1754" t="inlineStr">
        <is>
          <t>crop</t>
        </is>
      </c>
      <c r="B1754" t="inlineStr">
        <is>
          <t>2.6</t>
        </is>
      </c>
      <c r="C1754" t="inlineStr">
        <is>
          <t>Cocoyam</t>
        </is>
      </c>
      <c r="D1754" t="inlineStr">
        <is>
          <t>القلقاس</t>
        </is>
      </c>
    </row>
    <row r="1755">
      <c r="A1755" t="inlineStr">
        <is>
          <t>crop</t>
        </is>
      </c>
      <c r="B1755" t="inlineStr">
        <is>
          <t>2.99</t>
        </is>
      </c>
      <c r="C1755" t="inlineStr">
        <is>
          <t>Other tubers</t>
        </is>
      </c>
      <c r="D1755" t="inlineStr">
        <is>
          <t>الدرنات الأخرى</t>
        </is>
      </c>
    </row>
    <row r="1756">
      <c r="A1756" t="inlineStr">
        <is>
          <t>crop</t>
        </is>
      </c>
      <c r="B1756" t="inlineStr">
        <is>
          <t>3.7</t>
        </is>
      </c>
      <c r="C1756" t="inlineStr">
        <is>
          <t>Broad beans</t>
        </is>
      </c>
      <c r="D1756" t="inlineStr">
        <is>
          <t>الفاصوليا العريضة</t>
        </is>
      </c>
    </row>
    <row r="1757">
      <c r="A1757" t="inlineStr">
        <is>
          <t>crop</t>
        </is>
      </c>
      <c r="B1757" t="inlineStr">
        <is>
          <t>3.99</t>
        </is>
      </c>
      <c r="C1757" t="inlineStr">
        <is>
          <t>Other pulses</t>
        </is>
      </c>
      <c r="D1757" t="inlineStr">
        <is>
          <t>البقول الاخرى</t>
        </is>
      </c>
    </row>
    <row r="1758">
      <c r="A1758" t="inlineStr">
        <is>
          <t>crop</t>
        </is>
      </c>
      <c r="B1758" t="inlineStr">
        <is>
          <t>4.1</t>
        </is>
      </c>
      <c r="C1758" t="inlineStr">
        <is>
          <t>Cabbage</t>
        </is>
      </c>
      <c r="D1758" t="inlineStr">
        <is>
          <t>الملفوف</t>
        </is>
      </c>
    </row>
    <row r="1759">
      <c r="A1759" t="inlineStr">
        <is>
          <t>crop</t>
        </is>
      </c>
      <c r="B1759" t="inlineStr">
        <is>
          <t>4.101</t>
        </is>
      </c>
      <c r="C1759" t="inlineStr">
        <is>
          <t>Cauliflower</t>
        </is>
      </c>
      <c r="D1759" t="inlineStr">
        <is>
          <t>القرنبيط</t>
        </is>
      </c>
    </row>
    <row r="1760">
      <c r="A1760" t="inlineStr">
        <is>
          <t>crop</t>
        </is>
      </c>
      <c r="B1760" t="inlineStr">
        <is>
          <t>4.3</t>
        </is>
      </c>
      <c r="C1760" t="inlineStr">
        <is>
          <t>Spinach-Amaranth</t>
        </is>
      </c>
      <c r="D1760" t="inlineStr">
        <is>
          <t>السبانخ - القطيفة</t>
        </is>
      </c>
    </row>
    <row r="1761">
      <c r="A1761" t="inlineStr">
        <is>
          <t>crop</t>
        </is>
      </c>
      <c r="B1761" t="inlineStr">
        <is>
          <t>4.4</t>
        </is>
      </c>
      <c r="C1761" t="inlineStr">
        <is>
          <t>Cassava leaves</t>
        </is>
      </c>
      <c r="D1761" t="inlineStr">
        <is>
          <t>أوراق الكسافا</t>
        </is>
      </c>
    </row>
    <row r="1762">
      <c r="A1762" t="inlineStr">
        <is>
          <t>crop</t>
        </is>
      </c>
      <c r="B1762" t="inlineStr">
        <is>
          <t>4.5</t>
        </is>
      </c>
      <c r="C1762" t="inlineStr">
        <is>
          <t>Potatoe leaves</t>
        </is>
      </c>
      <c r="D1762" t="inlineStr">
        <is>
          <t>أوراق البطاطا</t>
        </is>
      </c>
    </row>
    <row r="1763">
      <c r="A1763" t="inlineStr">
        <is>
          <t>crop</t>
        </is>
      </c>
      <c r="B1763" t="inlineStr">
        <is>
          <t>4.6</t>
        </is>
      </c>
      <c r="C1763" t="inlineStr">
        <is>
          <t>Moringa</t>
        </is>
      </c>
      <c r="D1763" t="inlineStr">
        <is>
          <t>المورينجا</t>
        </is>
      </c>
    </row>
    <row r="1764">
      <c r="A1764" t="inlineStr">
        <is>
          <t>crop</t>
        </is>
      </c>
      <c r="B1764" t="inlineStr">
        <is>
          <t>4.7</t>
        </is>
      </c>
      <c r="C1764" t="inlineStr">
        <is>
          <t>Sorrel Hibiscus / Rosselle</t>
        </is>
      </c>
      <c r="D1764" t="inlineStr">
        <is>
          <t>الكركديه</t>
        </is>
      </c>
    </row>
    <row r="1765">
      <c r="A1765" t="inlineStr">
        <is>
          <t>crop</t>
        </is>
      </c>
      <c r="B1765" t="inlineStr">
        <is>
          <t>4.99</t>
        </is>
      </c>
      <c r="C1765" t="inlineStr">
        <is>
          <t>Other leafy vegetables</t>
        </is>
      </c>
      <c r="D1765" t="inlineStr">
        <is>
          <t>الخضار الورقية الأخرى</t>
        </is>
      </c>
    </row>
    <row r="1766">
      <c r="A1766" t="inlineStr">
        <is>
          <t>crop</t>
        </is>
      </c>
      <c r="B1766" t="inlineStr">
        <is>
          <t>5.3</t>
        </is>
      </c>
      <c r="C1766" t="inlineStr">
        <is>
          <t>Pumpkin</t>
        </is>
      </c>
      <c r="D1766" t="inlineStr">
        <is>
          <t>اليقطين</t>
        </is>
      </c>
    </row>
    <row r="1767">
      <c r="A1767" t="inlineStr">
        <is>
          <t>crop</t>
        </is>
      </c>
      <c r="B1767" t="inlineStr">
        <is>
          <t>5.9</t>
        </is>
      </c>
      <c r="C1767" t="inlineStr">
        <is>
          <t>Haricot</t>
        </is>
      </c>
      <c r="D1767" t="inlineStr">
        <is>
          <t>اللوبياء</t>
        </is>
      </c>
    </row>
    <row r="1768">
      <c r="A1768" t="inlineStr">
        <is>
          <t>crop</t>
        </is>
      </c>
      <c r="B1768" t="inlineStr">
        <is>
          <t>5.99</t>
        </is>
      </c>
      <c r="C1768" t="inlineStr">
        <is>
          <t>Other non leafy vegs</t>
        </is>
      </c>
      <c r="D1768" t="inlineStr">
        <is>
          <t>الخضار غير الورقية الأخرى</t>
        </is>
      </c>
    </row>
    <row r="1769">
      <c r="A1769" t="inlineStr">
        <is>
          <t>crop</t>
        </is>
      </c>
      <c r="B1769" t="inlineStr">
        <is>
          <t>6.1</t>
        </is>
      </c>
      <c r="C1769" t="inlineStr">
        <is>
          <t>Orange</t>
        </is>
      </c>
      <c r="D1769" t="inlineStr">
        <is>
          <t>البرتقال</t>
        </is>
      </c>
    </row>
    <row r="1770">
      <c r="A1770" t="inlineStr">
        <is>
          <t>crop</t>
        </is>
      </c>
      <c r="B1770" t="inlineStr">
        <is>
          <t>6.2</t>
        </is>
      </c>
      <c r="C1770" t="inlineStr">
        <is>
          <t>Lemon</t>
        </is>
      </c>
      <c r="D1770" t="inlineStr">
        <is>
          <t>الليمون</t>
        </is>
      </c>
    </row>
    <row r="1771">
      <c r="A1771" t="inlineStr">
        <is>
          <t>crop</t>
        </is>
      </c>
      <c r="B1771" t="inlineStr">
        <is>
          <t>6.3</t>
        </is>
      </c>
      <c r="C1771" t="inlineStr">
        <is>
          <t>Grapefruit</t>
        </is>
      </c>
      <c r="D1771" t="inlineStr">
        <is>
          <t>الجريب فروت</t>
        </is>
      </c>
    </row>
    <row r="1772">
      <c r="A1772" t="inlineStr">
        <is>
          <t>crop</t>
        </is>
      </c>
      <c r="B1772" t="inlineStr">
        <is>
          <t>6.4</t>
        </is>
      </c>
      <c r="C1772" t="inlineStr">
        <is>
          <t>Mandarins/clementines</t>
        </is>
      </c>
      <c r="D1772" t="inlineStr">
        <is>
          <t>اليوسفي / الكليمنتين</t>
        </is>
      </c>
    </row>
    <row r="1773">
      <c r="A1773" t="inlineStr">
        <is>
          <t>crop</t>
        </is>
      </c>
      <c r="B1773" t="inlineStr">
        <is>
          <t>6.99</t>
        </is>
      </c>
      <c r="C1773" t="inlineStr">
        <is>
          <t>Other citrus fruit</t>
        </is>
      </c>
      <c r="D1773" t="inlineStr">
        <is>
          <t>الحمضيات الأخرى</t>
        </is>
      </c>
    </row>
    <row r="1774">
      <c r="A1774" t="inlineStr">
        <is>
          <t>crop</t>
        </is>
      </c>
      <c r="B1774" t="inlineStr">
        <is>
          <t>7.1</t>
        </is>
      </c>
      <c r="C1774" t="inlineStr">
        <is>
          <t>Sweet Banana</t>
        </is>
      </c>
      <c r="D1774" t="inlineStr">
        <is>
          <t>الموز</t>
        </is>
      </c>
    </row>
    <row r="1775">
      <c r="A1775" t="inlineStr">
        <is>
          <t>crop</t>
        </is>
      </c>
      <c r="B1775" t="inlineStr">
        <is>
          <t>7.101</t>
        </is>
      </c>
      <c r="C1775" t="inlineStr">
        <is>
          <t>Figs</t>
        </is>
      </c>
      <c r="D1775" t="inlineStr">
        <is>
          <t>التين</t>
        </is>
      </c>
    </row>
    <row r="1776">
      <c r="A1776" t="inlineStr">
        <is>
          <t>crop</t>
        </is>
      </c>
      <c r="B1776" t="inlineStr">
        <is>
          <t>7.13</t>
        </is>
      </c>
      <c r="C1776" t="inlineStr">
        <is>
          <t>Apple</t>
        </is>
      </c>
      <c r="D1776" t="inlineStr">
        <is>
          <t>التفاح</t>
        </is>
      </c>
    </row>
    <row r="1777">
      <c r="A1777" t="inlineStr">
        <is>
          <t>crop</t>
        </is>
      </c>
      <c r="B1777" t="inlineStr">
        <is>
          <t>7.14</t>
        </is>
      </c>
      <c r="C1777" t="inlineStr">
        <is>
          <t>Apricot</t>
        </is>
      </c>
      <c r="D1777" t="inlineStr">
        <is>
          <t>المشمش</t>
        </is>
      </c>
    </row>
    <row r="1778">
      <c r="A1778" t="inlineStr">
        <is>
          <t>crop</t>
        </is>
      </c>
      <c r="B1778" t="inlineStr">
        <is>
          <t>7.16</t>
        </is>
      </c>
      <c r="C1778" t="inlineStr">
        <is>
          <t>Peach/nectarine</t>
        </is>
      </c>
      <c r="D1778" t="inlineStr">
        <is>
          <t>الدراق / النكتارين</t>
        </is>
      </c>
    </row>
    <row r="1779">
      <c r="A1779" t="inlineStr">
        <is>
          <t>crop</t>
        </is>
      </c>
      <c r="B1779" t="inlineStr">
        <is>
          <t>7.17</t>
        </is>
      </c>
      <c r="C1779" t="inlineStr">
        <is>
          <t>Strawberries</t>
        </is>
      </c>
      <c r="D1779" t="inlineStr">
        <is>
          <t>الفراولة</t>
        </is>
      </c>
    </row>
    <row r="1780">
      <c r="A1780" t="inlineStr">
        <is>
          <t>crop</t>
        </is>
      </c>
      <c r="B1780" t="inlineStr">
        <is>
          <t>7.18</t>
        </is>
      </c>
      <c r="C1780" t="inlineStr">
        <is>
          <t>Melon (Cantaloupe)</t>
        </is>
      </c>
      <c r="D1780" t="inlineStr">
        <is>
          <t>الشمام</t>
        </is>
      </c>
    </row>
    <row r="1781">
      <c r="A1781" t="inlineStr">
        <is>
          <t>crop</t>
        </is>
      </c>
      <c r="B1781" t="inlineStr">
        <is>
          <t>7.2</t>
        </is>
      </c>
      <c r="C1781" t="inlineStr">
        <is>
          <t>Plantains</t>
        </is>
      </c>
      <c r="D1781" t="inlineStr">
        <is>
          <t>موز الجنة</t>
        </is>
      </c>
    </row>
    <row r="1782">
      <c r="A1782" t="inlineStr">
        <is>
          <t>crop</t>
        </is>
      </c>
      <c r="B1782" t="inlineStr">
        <is>
          <t>7.3</t>
        </is>
      </c>
      <c r="C1782" t="inlineStr">
        <is>
          <t>Papaya</t>
        </is>
      </c>
      <c r="D1782" t="inlineStr">
        <is>
          <t>البابايا</t>
        </is>
      </c>
    </row>
    <row r="1783">
      <c r="A1783" t="inlineStr">
        <is>
          <t>crop</t>
        </is>
      </c>
      <c r="B1783" t="inlineStr">
        <is>
          <t>7.4</t>
        </is>
      </c>
      <c r="C1783" t="inlineStr">
        <is>
          <t>Mango</t>
        </is>
      </c>
      <c r="D1783" t="inlineStr">
        <is>
          <t>المانجو</t>
        </is>
      </c>
    </row>
    <row r="1784">
      <c r="A1784" t="inlineStr">
        <is>
          <t>crop</t>
        </is>
      </c>
      <c r="B1784" t="inlineStr">
        <is>
          <t>7.5</t>
        </is>
      </c>
      <c r="C1784" t="inlineStr">
        <is>
          <t>Guava</t>
        </is>
      </c>
      <c r="D1784" t="inlineStr">
        <is>
          <t>الجوافة</t>
        </is>
      </c>
    </row>
    <row r="1785">
      <c r="A1785" t="inlineStr">
        <is>
          <t>crop</t>
        </is>
      </c>
      <c r="B1785" t="inlineStr">
        <is>
          <t>7.6</t>
        </is>
      </c>
      <c r="C1785" t="inlineStr">
        <is>
          <t>Pineapple</t>
        </is>
      </c>
      <c r="D1785" t="inlineStr">
        <is>
          <t>الأناناس</t>
        </is>
      </c>
    </row>
    <row r="1786">
      <c r="A1786" t="inlineStr">
        <is>
          <t>crop</t>
        </is>
      </c>
      <c r="B1786" t="inlineStr">
        <is>
          <t>7.7</t>
        </is>
      </c>
      <c r="C1786" t="inlineStr">
        <is>
          <t>Avocado</t>
        </is>
      </c>
      <c r="D1786" t="inlineStr">
        <is>
          <t>الأفوكادو</t>
        </is>
      </c>
    </row>
    <row r="1787">
      <c r="A1787" t="inlineStr">
        <is>
          <t>crop</t>
        </is>
      </c>
      <c r="B1787" t="inlineStr">
        <is>
          <t>7.9</t>
        </is>
      </c>
      <c r="C1787" t="inlineStr">
        <is>
          <t>Dates</t>
        </is>
      </c>
      <c r="D1787" t="inlineStr">
        <is>
          <t>التمر</t>
        </is>
      </c>
    </row>
    <row r="1788">
      <c r="A1788" t="inlineStr">
        <is>
          <t>crop</t>
        </is>
      </c>
      <c r="B1788" t="inlineStr">
        <is>
          <t>7.99</t>
        </is>
      </c>
      <c r="C1788" t="inlineStr">
        <is>
          <t>Other fruit</t>
        </is>
      </c>
      <c r="D1788" t="inlineStr">
        <is>
          <t>الفواكه الأخرى</t>
        </is>
      </c>
    </row>
    <row r="1789">
      <c r="A1789" t="inlineStr">
        <is>
          <t>crop</t>
        </is>
      </c>
      <c r="B1789" t="inlineStr">
        <is>
          <t>8.1</t>
        </is>
      </c>
      <c r="C1789" t="inlineStr">
        <is>
          <t>Coconuts</t>
        </is>
      </c>
      <c r="D1789" t="inlineStr">
        <is>
          <t>جوز الهند</t>
        </is>
      </c>
    </row>
    <row r="1790">
      <c r="A1790" t="inlineStr">
        <is>
          <t>crop</t>
        </is>
      </c>
      <c r="B1790" t="inlineStr">
        <is>
          <t>8.2</t>
        </is>
      </c>
      <c r="C1790" t="inlineStr">
        <is>
          <t>Groundnut/peanut</t>
        </is>
      </c>
      <c r="D1790" t="inlineStr">
        <is>
          <t>الفول السوداني</t>
        </is>
      </c>
    </row>
    <row r="1791">
      <c r="A1791" t="inlineStr">
        <is>
          <t>crop</t>
        </is>
      </c>
      <c r="B1791" t="inlineStr">
        <is>
          <t>8.3</t>
        </is>
      </c>
      <c r="C1791" t="inlineStr">
        <is>
          <t>Cashew Nut</t>
        </is>
      </c>
      <c r="D1791" t="inlineStr">
        <is>
          <t>الكاجو</t>
        </is>
      </c>
    </row>
    <row r="1792">
      <c r="A1792" t="inlineStr">
        <is>
          <t>crop</t>
        </is>
      </c>
      <c r="B1792" t="inlineStr">
        <is>
          <t>8.4</t>
        </is>
      </c>
      <c r="C1792" t="inlineStr">
        <is>
          <t>Kola Nut</t>
        </is>
      </c>
      <c r="D1792" t="inlineStr">
        <is>
          <t>جوز الكولا</t>
        </is>
      </c>
    </row>
    <row r="1793">
      <c r="A1793" t="inlineStr">
        <is>
          <t>crop</t>
        </is>
      </c>
      <c r="B1793" t="inlineStr">
        <is>
          <t>8.6</t>
        </is>
      </c>
      <c r="C1793" t="inlineStr">
        <is>
          <t>Bambara nut</t>
        </is>
      </c>
      <c r="D1793" t="inlineStr">
        <is>
          <t>جوز البامبارا</t>
        </is>
      </c>
    </row>
    <row r="1794">
      <c r="A1794" t="inlineStr">
        <is>
          <t>crop</t>
        </is>
      </c>
      <c r="B1794" t="inlineStr">
        <is>
          <t>8.8</t>
        </is>
      </c>
      <c r="C1794" t="inlineStr">
        <is>
          <t>Walnut</t>
        </is>
      </c>
      <c r="D1794" t="inlineStr">
        <is>
          <t>الجوز</t>
        </is>
      </c>
    </row>
    <row r="1795">
      <c r="A1795" t="inlineStr">
        <is>
          <t>crop</t>
        </is>
      </c>
      <c r="B1795" t="inlineStr">
        <is>
          <t>8.99</t>
        </is>
      </c>
      <c r="C1795" t="inlineStr">
        <is>
          <t>Other nuts</t>
        </is>
      </c>
      <c r="D1795" t="inlineStr">
        <is>
          <t>المكسرات الأخرى</t>
        </is>
      </c>
    </row>
    <row r="1796">
      <c r="A1796" t="inlineStr">
        <is>
          <t>crop</t>
        </is>
      </c>
      <c r="B1796" t="inlineStr">
        <is>
          <t>9.1</t>
        </is>
      </c>
      <c r="C1796" t="inlineStr">
        <is>
          <t>Cocoa</t>
        </is>
      </c>
      <c r="D1796" t="inlineStr">
        <is>
          <t>الكاكاو</t>
        </is>
      </c>
    </row>
    <row r="1797">
      <c r="A1797" t="inlineStr">
        <is>
          <t>crop</t>
        </is>
      </c>
      <c r="B1797" t="inlineStr">
        <is>
          <t>9.2</t>
        </is>
      </c>
      <c r="C1797" t="inlineStr">
        <is>
          <t>Coffee</t>
        </is>
      </c>
      <c r="D1797" t="inlineStr">
        <is>
          <t>القهوة</t>
        </is>
      </c>
    </row>
    <row r="1798">
      <c r="A1798" t="inlineStr">
        <is>
          <t>crop</t>
        </is>
      </c>
      <c r="B1798" t="inlineStr">
        <is>
          <t>9.3</t>
        </is>
      </c>
      <c r="C1798" t="inlineStr">
        <is>
          <t>Tea</t>
        </is>
      </c>
      <c r="D1798" t="inlineStr">
        <is>
          <t>الشاي</t>
        </is>
      </c>
    </row>
    <row r="1799">
      <c r="A1799" t="inlineStr">
        <is>
          <t>crop</t>
        </is>
      </c>
      <c r="B1799" t="inlineStr">
        <is>
          <t>9.4</t>
        </is>
      </c>
      <c r="C1799" t="inlineStr">
        <is>
          <t>Sugarcane</t>
        </is>
      </c>
      <c r="D1799" t="inlineStr">
        <is>
          <t>قصب السكر</t>
        </is>
      </c>
    </row>
    <row r="1800">
      <c r="A1800" t="inlineStr">
        <is>
          <t>crop</t>
        </is>
      </c>
      <c r="B1800" t="inlineStr">
        <is>
          <t>9.5</t>
        </is>
      </c>
      <c r="C1800" t="inlineStr">
        <is>
          <t>Sunflower</t>
        </is>
      </c>
      <c r="D1800" t="inlineStr">
        <is>
          <t>دوار الشمس</t>
        </is>
      </c>
    </row>
    <row r="1801">
      <c r="A1801" t="inlineStr">
        <is>
          <t>crop</t>
        </is>
      </c>
      <c r="B1801" t="inlineStr">
        <is>
          <t>9.99</t>
        </is>
      </c>
      <c r="C1801" t="inlineStr">
        <is>
          <t>Other food cash crop</t>
        </is>
      </c>
      <c r="D1801" t="inlineStr">
        <is>
          <t xml:space="preserve">المحاصيل الغذائية النقدية الأخرى </t>
        </is>
      </c>
    </row>
    <row r="1802">
      <c r="A1802" t="inlineStr">
        <is>
          <t>crop</t>
        </is>
      </c>
      <c r="B1802" t="inlineStr">
        <is>
          <t>10.1</t>
        </is>
      </c>
      <c r="C1802" t="inlineStr">
        <is>
          <t>Cotton</t>
        </is>
      </c>
      <c r="D1802" t="inlineStr">
        <is>
          <t>القطن</t>
        </is>
      </c>
    </row>
    <row r="1803">
      <c r="A1803" t="inlineStr">
        <is>
          <t>crop</t>
        </is>
      </c>
      <c r="B1803" t="inlineStr">
        <is>
          <t>10.2</t>
        </is>
      </c>
      <c r="C1803" t="inlineStr">
        <is>
          <t>Rubber</t>
        </is>
      </c>
      <c r="D1803" t="inlineStr">
        <is>
          <t>المطاط</t>
        </is>
      </c>
    </row>
    <row r="1804">
      <c r="A1804" t="inlineStr">
        <is>
          <t>crop</t>
        </is>
      </c>
      <c r="B1804" t="inlineStr">
        <is>
          <t>10.3</t>
        </is>
      </c>
      <c r="C1804" t="inlineStr">
        <is>
          <t>Jute</t>
        </is>
      </c>
      <c r="D1804" t="inlineStr">
        <is>
          <t>الجوت</t>
        </is>
      </c>
    </row>
    <row r="1805">
      <c r="A1805" t="inlineStr">
        <is>
          <t>crop</t>
        </is>
      </c>
      <c r="B1805" t="inlineStr">
        <is>
          <t>10.4</t>
        </is>
      </c>
      <c r="C1805" t="inlineStr">
        <is>
          <t>Fodder</t>
        </is>
      </c>
      <c r="D1805" t="inlineStr">
        <is>
          <t>العلف</t>
        </is>
      </c>
    </row>
    <row r="1806">
      <c r="A1806" t="inlineStr">
        <is>
          <t>crop</t>
        </is>
      </c>
      <c r="B1806" t="inlineStr">
        <is>
          <t>10.5</t>
        </is>
      </c>
      <c r="C1806" t="inlineStr">
        <is>
          <t>Tobacco</t>
        </is>
      </c>
      <c r="D1806" t="inlineStr">
        <is>
          <t>التبغ</t>
        </is>
      </c>
    </row>
    <row r="1807">
      <c r="A1807" t="inlineStr">
        <is>
          <t>crop</t>
        </is>
      </c>
      <c r="B1807" t="inlineStr">
        <is>
          <t>10.6</t>
        </is>
      </c>
      <c r="C1807" t="inlineStr">
        <is>
          <t>Qat</t>
        </is>
      </c>
      <c r="D1807" t="inlineStr">
        <is>
          <t>القات</t>
        </is>
      </c>
    </row>
    <row r="1808">
      <c r="A1808" t="inlineStr">
        <is>
          <t>crop</t>
        </is>
      </c>
      <c r="B1808" t="inlineStr">
        <is>
          <t>10.99</t>
        </is>
      </c>
      <c r="C1808" t="inlineStr">
        <is>
          <t>Other non-food cash crop</t>
        </is>
      </c>
      <c r="D1808" t="inlineStr">
        <is>
          <t xml:space="preserve"> المحاصيل النقدية غير الغذائية الأخرى </t>
        </is>
      </c>
    </row>
    <row r="1809">
      <c r="A1809" t="inlineStr">
        <is>
          <t>crop</t>
        </is>
      </c>
      <c r="B1809" t="inlineStr">
        <is>
          <t>777</t>
        </is>
      </c>
      <c r="C1809" t="inlineStr">
        <is>
          <t>No crop production</t>
        </is>
      </c>
      <c r="D1809" t="inlineStr">
        <is>
          <t>لا إنتاج للمحصول</t>
        </is>
      </c>
    </row>
    <row r="1810">
      <c r="A1810" t="inlineStr">
        <is>
          <t>crop</t>
        </is>
      </c>
      <c r="B1810" t="inlineStr">
        <is>
          <t>888</t>
        </is>
      </c>
      <c r="C1810" t="inlineStr">
        <is>
          <t>Don't know</t>
        </is>
      </c>
      <c r="D1810" t="inlineStr">
        <is>
          <t>لا أعرف</t>
        </is>
      </c>
    </row>
    <row r="1811">
      <c r="A1811" t="inlineStr">
        <is>
          <t>crop</t>
        </is>
      </c>
      <c r="B1811" t="inlineStr">
        <is>
          <t>999</t>
        </is>
      </c>
      <c r="C1811" t="inlineStr">
        <is>
          <t>Refused</t>
        </is>
      </c>
      <c r="D1811" t="inlineStr">
        <is>
          <t>رفض الإجابة</t>
        </is>
      </c>
    </row>
    <row r="1813">
      <c r="A1813" t="inlineStr">
        <is>
          <t>crop2</t>
        </is>
      </c>
      <c r="B1813" t="inlineStr">
        <is>
          <t>1.2</t>
        </is>
      </c>
      <c r="C1813" t="inlineStr">
        <is>
          <t>Wheat</t>
        </is>
      </c>
      <c r="D1813" t="inlineStr">
        <is>
          <t>القمح</t>
        </is>
      </c>
    </row>
    <row r="1814">
      <c r="A1814" t="inlineStr">
        <is>
          <t>crop2</t>
        </is>
      </c>
      <c r="B1814" t="inlineStr">
        <is>
          <t>1.5</t>
        </is>
      </c>
      <c r="C1814" t="inlineStr">
        <is>
          <t>Maize</t>
        </is>
      </c>
      <c r="D1814" t="inlineStr">
        <is>
          <t>الذرة</t>
        </is>
      </c>
    </row>
    <row r="1815">
      <c r="A1815" t="inlineStr">
        <is>
          <t>crop2</t>
        </is>
      </c>
      <c r="B1815" t="inlineStr">
        <is>
          <t>1.6</t>
        </is>
      </c>
      <c r="C1815" t="inlineStr">
        <is>
          <t>Barley</t>
        </is>
      </c>
      <c r="D1815" t="inlineStr">
        <is>
          <t>الشعير</t>
        </is>
      </c>
    </row>
    <row r="1816">
      <c r="A1816" t="inlineStr">
        <is>
          <t>crop2</t>
        </is>
      </c>
      <c r="B1816" t="inlineStr">
        <is>
          <t>2.2</t>
        </is>
      </c>
      <c r="C1816" t="inlineStr">
        <is>
          <t>Potatoe</t>
        </is>
      </c>
      <c r="D1816" t="inlineStr">
        <is>
          <t>البطاطا</t>
        </is>
      </c>
    </row>
    <row r="1817">
      <c r="A1817" t="inlineStr">
        <is>
          <t>crop2</t>
        </is>
      </c>
      <c r="B1817" t="inlineStr">
        <is>
          <t>3.1</t>
        </is>
      </c>
      <c r="C1817" t="inlineStr">
        <is>
          <t>Beans</t>
        </is>
      </c>
      <c r="D1817" t="inlineStr">
        <is>
          <t>الفاصوليا</t>
        </is>
      </c>
    </row>
    <row r="1818">
      <c r="A1818" t="inlineStr">
        <is>
          <t>crop2</t>
        </is>
      </c>
      <c r="B1818" t="inlineStr">
        <is>
          <t>3.2</t>
        </is>
      </c>
      <c r="C1818" t="inlineStr">
        <is>
          <t>Lentils</t>
        </is>
      </c>
      <c r="D1818" t="inlineStr">
        <is>
          <t>العدس</t>
        </is>
      </c>
    </row>
    <row r="1819">
      <c r="A1819" t="inlineStr">
        <is>
          <t>crop2</t>
        </is>
      </c>
      <c r="B1819" t="inlineStr">
        <is>
          <t>3.3</t>
        </is>
      </c>
      <c r="C1819" t="inlineStr">
        <is>
          <t>Peas</t>
        </is>
      </c>
      <c r="D1819" t="inlineStr">
        <is>
          <t>البازيلاء</t>
        </is>
      </c>
    </row>
    <row r="1820">
      <c r="A1820" t="inlineStr">
        <is>
          <t>crop2</t>
        </is>
      </c>
      <c r="B1820" t="inlineStr">
        <is>
          <t>3.4</t>
        </is>
      </c>
      <c r="C1820" t="inlineStr">
        <is>
          <t>Soybeans</t>
        </is>
      </c>
      <c r="D1820" t="inlineStr">
        <is>
          <t>فول الصويا</t>
        </is>
      </c>
    </row>
    <row r="1821">
      <c r="A1821" t="inlineStr">
        <is>
          <t>crop2</t>
        </is>
      </c>
      <c r="B1821" t="inlineStr">
        <is>
          <t>3.5</t>
        </is>
      </c>
      <c r="C1821" t="inlineStr">
        <is>
          <t>Chickpeas</t>
        </is>
      </c>
      <c r="D1821" t="inlineStr">
        <is>
          <t>الحمص</t>
        </is>
      </c>
    </row>
    <row r="1822">
      <c r="A1822" t="inlineStr">
        <is>
          <t>crop2</t>
        </is>
      </c>
      <c r="B1822" t="inlineStr">
        <is>
          <t>3.6</t>
        </is>
      </c>
      <c r="C1822" t="inlineStr">
        <is>
          <t>Fava beans</t>
        </is>
      </c>
      <c r="D1822" t="inlineStr">
        <is>
          <t>الفول</t>
        </is>
      </c>
    </row>
    <row r="1823">
      <c r="A1823" t="inlineStr">
        <is>
          <t>crop2</t>
        </is>
      </c>
      <c r="B1823" t="inlineStr">
        <is>
          <t>4.2</t>
        </is>
      </c>
      <c r="C1823" t="inlineStr">
        <is>
          <t>Lettuce</t>
        </is>
      </c>
      <c r="D1823" t="inlineStr">
        <is>
          <t>الخس</t>
        </is>
      </c>
    </row>
    <row r="1824">
      <c r="A1824" t="inlineStr">
        <is>
          <t>crop2</t>
        </is>
      </c>
      <c r="B1824" t="inlineStr">
        <is>
          <t>4.9</t>
        </is>
      </c>
      <c r="C1824" t="inlineStr">
        <is>
          <t>Green salad herbs (thyme, parsley, mint, rocca, other)</t>
        </is>
      </c>
      <c r="D1824" t="inlineStr">
        <is>
          <t>أعشاب السلطة الخضراء [زعتر ، بقدونس ، نعناع ، جرجير ، أنواع أخرى]</t>
        </is>
      </c>
    </row>
    <row r="1825">
      <c r="A1825" t="inlineStr">
        <is>
          <t>crop2</t>
        </is>
      </c>
      <c r="B1825" t="inlineStr">
        <is>
          <t>5.1</t>
        </is>
      </c>
      <c r="C1825" t="inlineStr">
        <is>
          <t>Tomatoes</t>
        </is>
      </c>
      <c r="D1825" t="inlineStr">
        <is>
          <t>الطماطم</t>
        </is>
      </c>
    </row>
    <row r="1826">
      <c r="A1826" t="inlineStr">
        <is>
          <t>crop2</t>
        </is>
      </c>
      <c r="B1826" t="inlineStr">
        <is>
          <t>5.101</t>
        </is>
      </c>
      <c r="C1826" t="inlineStr">
        <is>
          <t>Green peas</t>
        </is>
      </c>
      <c r="D1826" t="inlineStr">
        <is>
          <t>البازلاء الخضراء</t>
        </is>
      </c>
    </row>
    <row r="1827">
      <c r="A1827" t="inlineStr">
        <is>
          <t>crop2</t>
        </is>
      </c>
      <c r="B1827" t="inlineStr">
        <is>
          <t>5.11</t>
        </is>
      </c>
      <c r="C1827" t="inlineStr">
        <is>
          <t>Fava beans green</t>
        </is>
      </c>
      <c r="D1827" t="inlineStr">
        <is>
          <t>الفول الأخضر</t>
        </is>
      </c>
    </row>
    <row r="1828">
      <c r="A1828" t="inlineStr">
        <is>
          <t>crop2</t>
        </is>
      </c>
      <c r="B1828" t="inlineStr">
        <is>
          <t>5.2</t>
        </is>
      </c>
      <c r="C1828" t="inlineStr">
        <is>
          <t>Cucumber</t>
        </is>
      </c>
      <c r="D1828" t="inlineStr">
        <is>
          <t>الخيار</t>
        </is>
      </c>
    </row>
    <row r="1829">
      <c r="A1829" t="inlineStr">
        <is>
          <t>crop2</t>
        </is>
      </c>
      <c r="B1829" t="inlineStr">
        <is>
          <t>5.4</t>
        </is>
      </c>
      <c r="C1829" t="inlineStr">
        <is>
          <t>Eggplant/aubergine</t>
        </is>
      </c>
      <c r="D1829" t="inlineStr">
        <is>
          <t>الباذنجان</t>
        </is>
      </c>
    </row>
    <row r="1830">
      <c r="A1830" t="inlineStr">
        <is>
          <t>crop2</t>
        </is>
      </c>
      <c r="B1830" t="inlineStr">
        <is>
          <t>5.5</t>
        </is>
      </c>
      <c r="C1830" t="inlineStr">
        <is>
          <t>Zucchini</t>
        </is>
      </c>
      <c r="D1830" t="inlineStr">
        <is>
          <t>الكوسة</t>
        </is>
      </c>
    </row>
    <row r="1831">
      <c r="A1831" t="inlineStr">
        <is>
          <t>crop2</t>
        </is>
      </c>
      <c r="B1831" t="inlineStr">
        <is>
          <t>5.6</t>
        </is>
      </c>
      <c r="C1831" t="inlineStr">
        <is>
          <t>Okra</t>
        </is>
      </c>
      <c r="D1831" t="inlineStr">
        <is>
          <t>البامية</t>
        </is>
      </c>
    </row>
    <row r="1832">
      <c r="A1832" t="inlineStr">
        <is>
          <t>crop2</t>
        </is>
      </c>
      <c r="B1832" t="inlineStr">
        <is>
          <t>5.7</t>
        </is>
      </c>
      <c r="C1832" t="inlineStr">
        <is>
          <t>Bell pepper</t>
        </is>
      </c>
      <c r="D1832" t="inlineStr">
        <is>
          <t>الفلفل حلو</t>
        </is>
      </c>
    </row>
    <row r="1833">
      <c r="A1833" t="inlineStr">
        <is>
          <t>crop2</t>
        </is>
      </c>
      <c r="B1833" t="inlineStr">
        <is>
          <t>5.8</t>
        </is>
      </c>
      <c r="C1833" t="inlineStr">
        <is>
          <t>Onions</t>
        </is>
      </c>
      <c r="D1833" t="inlineStr">
        <is>
          <t>بصل</t>
        </is>
      </c>
    </row>
    <row r="1834">
      <c r="A1834" t="inlineStr">
        <is>
          <t>crop2</t>
        </is>
      </c>
      <c r="B1834" t="inlineStr">
        <is>
          <t>7.11</t>
        </is>
      </c>
      <c r="C1834" t="inlineStr">
        <is>
          <t>Grapes</t>
        </is>
      </c>
      <c r="D1834" t="inlineStr">
        <is>
          <t>العنب</t>
        </is>
      </c>
    </row>
    <row r="1835">
      <c r="A1835" t="inlineStr">
        <is>
          <t>crop2</t>
        </is>
      </c>
      <c r="B1835" t="inlineStr">
        <is>
          <t>7.12</t>
        </is>
      </c>
      <c r="C1835" t="inlineStr">
        <is>
          <t>Olives</t>
        </is>
      </c>
      <c r="D1835" t="inlineStr">
        <is>
          <t>الزيتون</t>
        </is>
      </c>
    </row>
    <row r="1836">
      <c r="A1836" t="inlineStr">
        <is>
          <t>crop2</t>
        </is>
      </c>
      <c r="B1836" t="inlineStr">
        <is>
          <t>7.15</t>
        </is>
      </c>
      <c r="C1836" t="inlineStr">
        <is>
          <t>Cherries</t>
        </is>
      </c>
      <c r="D1836" t="inlineStr">
        <is>
          <t>الكرز</t>
        </is>
      </c>
    </row>
    <row r="1837">
      <c r="A1837" t="inlineStr">
        <is>
          <t>crop2</t>
        </is>
      </c>
      <c r="B1837" t="inlineStr">
        <is>
          <t>7.8</t>
        </is>
      </c>
      <c r="C1837" t="inlineStr">
        <is>
          <t>Water Melon</t>
        </is>
      </c>
      <c r="D1837" t="inlineStr">
        <is>
          <t>البطيخ الأحمر</t>
        </is>
      </c>
    </row>
    <row r="1838">
      <c r="A1838" t="inlineStr">
        <is>
          <t>crop2</t>
        </is>
      </c>
      <c r="B1838" t="inlineStr">
        <is>
          <t>8.5</t>
        </is>
      </c>
      <c r="C1838" t="inlineStr">
        <is>
          <t>Sesame</t>
        </is>
      </c>
      <c r="D1838" t="inlineStr">
        <is>
          <t>السمسم</t>
        </is>
      </c>
    </row>
    <row r="1839">
      <c r="A1839" t="inlineStr">
        <is>
          <t>crop2</t>
        </is>
      </c>
      <c r="B1839" t="inlineStr">
        <is>
          <t>8.7</t>
        </is>
      </c>
      <c r="C1839" t="inlineStr">
        <is>
          <t>Almond</t>
        </is>
      </c>
      <c r="D1839" t="inlineStr">
        <is>
          <t>اللوز</t>
        </is>
      </c>
    </row>
    <row r="1840">
      <c r="A1840" t="inlineStr">
        <is>
          <t>crop2</t>
        </is>
      </c>
      <c r="B1840" t="inlineStr">
        <is>
          <t>1.1</t>
        </is>
      </c>
      <c r="C1840" t="inlineStr">
        <is>
          <t>Rice</t>
        </is>
      </c>
      <c r="D1840" t="inlineStr">
        <is>
          <t>الرز</t>
        </is>
      </c>
    </row>
    <row r="1841">
      <c r="A1841" t="inlineStr">
        <is>
          <t>crop2</t>
        </is>
      </c>
      <c r="B1841" t="inlineStr">
        <is>
          <t>1.3</t>
        </is>
      </c>
      <c r="C1841" t="inlineStr">
        <is>
          <t>Millet</t>
        </is>
      </c>
      <c r="D1841" t="inlineStr">
        <is>
          <t>الدخن</t>
        </is>
      </c>
    </row>
    <row r="1842">
      <c r="A1842" t="inlineStr">
        <is>
          <t>crop2</t>
        </is>
      </c>
      <c r="B1842" t="inlineStr">
        <is>
          <t>1.4</t>
        </is>
      </c>
      <c r="C1842" t="inlineStr">
        <is>
          <t>Sorghum</t>
        </is>
      </c>
      <c r="D1842" t="inlineStr">
        <is>
          <t>الذرة الرفيعة</t>
        </is>
      </c>
    </row>
    <row r="1843">
      <c r="A1843" t="inlineStr">
        <is>
          <t>crop2</t>
        </is>
      </c>
      <c r="B1843" t="inlineStr">
        <is>
          <t>1.99</t>
        </is>
      </c>
      <c r="C1843" t="inlineStr">
        <is>
          <t>Other Cereal</t>
        </is>
      </c>
      <c r="D1843" t="inlineStr">
        <is>
          <t>الحبوب الأخرى</t>
        </is>
      </c>
    </row>
    <row r="1844">
      <c r="A1844" t="inlineStr">
        <is>
          <t>crop2</t>
        </is>
      </c>
      <c r="B1844" t="inlineStr">
        <is>
          <t>2.1</t>
        </is>
      </c>
      <c r="C1844" t="inlineStr">
        <is>
          <t>Cassava</t>
        </is>
      </c>
      <c r="D1844" t="inlineStr">
        <is>
          <t>الكسافا</t>
        </is>
      </c>
    </row>
    <row r="1845">
      <c r="A1845" t="inlineStr">
        <is>
          <t>crop2</t>
        </is>
      </c>
      <c r="B1845" t="inlineStr">
        <is>
          <t>2.3</t>
        </is>
      </c>
      <c r="C1845" t="inlineStr">
        <is>
          <t>Sweet Potatoes</t>
        </is>
      </c>
      <c r="D1845" t="inlineStr">
        <is>
          <t>البطاطا الحلوة</t>
        </is>
      </c>
    </row>
    <row r="1846">
      <c r="A1846" t="inlineStr">
        <is>
          <t>crop2</t>
        </is>
      </c>
      <c r="B1846" t="inlineStr">
        <is>
          <t>2.4</t>
        </is>
      </c>
      <c r="C1846" t="inlineStr">
        <is>
          <t>Yams</t>
        </is>
      </c>
      <c r="D1846" t="inlineStr">
        <is>
          <t>اليام</t>
        </is>
      </c>
    </row>
    <row r="1847">
      <c r="A1847" t="inlineStr">
        <is>
          <t>crop2</t>
        </is>
      </c>
      <c r="B1847" t="inlineStr">
        <is>
          <t>2.5</t>
        </is>
      </c>
      <c r="C1847" t="inlineStr">
        <is>
          <t>Carrots</t>
        </is>
      </c>
      <c r="D1847" t="inlineStr">
        <is>
          <t>الجزر</t>
        </is>
      </c>
    </row>
    <row r="1848">
      <c r="A1848" t="inlineStr">
        <is>
          <t>crop2</t>
        </is>
      </c>
      <c r="B1848" t="inlineStr">
        <is>
          <t>2.6</t>
        </is>
      </c>
      <c r="C1848" t="inlineStr">
        <is>
          <t>Cocoyam</t>
        </is>
      </c>
      <c r="D1848" t="inlineStr">
        <is>
          <t>القلقاس</t>
        </is>
      </c>
    </row>
    <row r="1849">
      <c r="A1849" t="inlineStr">
        <is>
          <t>crop2</t>
        </is>
      </c>
      <c r="B1849" t="inlineStr">
        <is>
          <t>2.99</t>
        </is>
      </c>
      <c r="C1849" t="inlineStr">
        <is>
          <t>Other tubers</t>
        </is>
      </c>
      <c r="D1849" t="inlineStr">
        <is>
          <t>الدرنات الأخرى</t>
        </is>
      </c>
    </row>
    <row r="1850">
      <c r="A1850" t="inlineStr">
        <is>
          <t>crop2</t>
        </is>
      </c>
      <c r="B1850" t="inlineStr">
        <is>
          <t>3.7</t>
        </is>
      </c>
      <c r="C1850" t="inlineStr">
        <is>
          <t>Broad beans</t>
        </is>
      </c>
      <c r="D1850" t="inlineStr">
        <is>
          <t>الفاصوليا العريضة</t>
        </is>
      </c>
    </row>
    <row r="1851">
      <c r="A1851" t="inlineStr">
        <is>
          <t>crop2</t>
        </is>
      </c>
      <c r="B1851" t="inlineStr">
        <is>
          <t>3.99</t>
        </is>
      </c>
      <c r="C1851" t="inlineStr">
        <is>
          <t>Other pulses</t>
        </is>
      </c>
      <c r="D1851" t="inlineStr">
        <is>
          <t>البقول الاخرى</t>
        </is>
      </c>
    </row>
    <row r="1852">
      <c r="A1852" t="inlineStr">
        <is>
          <t>crop2</t>
        </is>
      </c>
      <c r="B1852" t="inlineStr">
        <is>
          <t>4.1</t>
        </is>
      </c>
      <c r="C1852" t="inlineStr">
        <is>
          <t>Cabbage</t>
        </is>
      </c>
      <c r="D1852" t="inlineStr">
        <is>
          <t>الملفوف</t>
        </is>
      </c>
    </row>
    <row r="1853">
      <c r="A1853" t="inlineStr">
        <is>
          <t>crop2</t>
        </is>
      </c>
      <c r="B1853" t="inlineStr">
        <is>
          <t>4.101</t>
        </is>
      </c>
      <c r="C1853" t="inlineStr">
        <is>
          <t>Cauliflower</t>
        </is>
      </c>
      <c r="D1853" t="inlineStr">
        <is>
          <t>القرنبيط</t>
        </is>
      </c>
    </row>
    <row r="1854">
      <c r="A1854" t="inlineStr">
        <is>
          <t>crop2</t>
        </is>
      </c>
      <c r="B1854" t="inlineStr">
        <is>
          <t>4.3</t>
        </is>
      </c>
      <c r="C1854" t="inlineStr">
        <is>
          <t>Spinach-Amaranth</t>
        </is>
      </c>
      <c r="D1854" t="inlineStr">
        <is>
          <t>السبانخ - القطيفة</t>
        </is>
      </c>
    </row>
    <row r="1855">
      <c r="A1855" t="inlineStr">
        <is>
          <t>crop2</t>
        </is>
      </c>
      <c r="B1855" t="inlineStr">
        <is>
          <t>4.4</t>
        </is>
      </c>
      <c r="C1855" t="inlineStr">
        <is>
          <t>Cassava leaves</t>
        </is>
      </c>
      <c r="D1855" t="inlineStr">
        <is>
          <t>أوراق الكسافا</t>
        </is>
      </c>
    </row>
    <row r="1856">
      <c r="A1856" t="inlineStr">
        <is>
          <t>crop2</t>
        </is>
      </c>
      <c r="B1856" t="inlineStr">
        <is>
          <t>4.5</t>
        </is>
      </c>
      <c r="C1856" t="inlineStr">
        <is>
          <t>Potatoe leaves</t>
        </is>
      </c>
      <c r="D1856" t="inlineStr">
        <is>
          <t>أوراق البطاطا</t>
        </is>
      </c>
    </row>
    <row r="1857">
      <c r="A1857" t="inlineStr">
        <is>
          <t>crop2</t>
        </is>
      </c>
      <c r="B1857" t="inlineStr">
        <is>
          <t>4.6</t>
        </is>
      </c>
      <c r="C1857" t="inlineStr">
        <is>
          <t>Moringa</t>
        </is>
      </c>
      <c r="D1857" t="inlineStr">
        <is>
          <t>المورينجا</t>
        </is>
      </c>
    </row>
    <row r="1858">
      <c r="A1858" t="inlineStr">
        <is>
          <t>crop2</t>
        </is>
      </c>
      <c r="B1858" t="inlineStr">
        <is>
          <t>4.7</t>
        </is>
      </c>
      <c r="C1858" t="inlineStr">
        <is>
          <t>Sorrel Hibiscus / Rosselle</t>
        </is>
      </c>
      <c r="D1858" t="inlineStr">
        <is>
          <t>الكركديه</t>
        </is>
      </c>
    </row>
    <row r="1859">
      <c r="A1859" t="inlineStr">
        <is>
          <t>crop2</t>
        </is>
      </c>
      <c r="B1859" t="inlineStr">
        <is>
          <t>4.99</t>
        </is>
      </c>
      <c r="C1859" t="inlineStr">
        <is>
          <t>Other leafy vegetables</t>
        </is>
      </c>
      <c r="D1859" t="inlineStr">
        <is>
          <t>الخضار الورقية الأخرى</t>
        </is>
      </c>
    </row>
    <row r="1860">
      <c r="A1860" t="inlineStr">
        <is>
          <t>crop2</t>
        </is>
      </c>
      <c r="B1860" t="inlineStr">
        <is>
          <t>5.3</t>
        </is>
      </c>
      <c r="C1860" t="inlineStr">
        <is>
          <t>Pumpkin</t>
        </is>
      </c>
      <c r="D1860" t="inlineStr">
        <is>
          <t>اليقطين</t>
        </is>
      </c>
    </row>
    <row r="1861">
      <c r="A1861" t="inlineStr">
        <is>
          <t>crop2</t>
        </is>
      </c>
      <c r="B1861" t="inlineStr">
        <is>
          <t>5.9</t>
        </is>
      </c>
      <c r="C1861" t="inlineStr">
        <is>
          <t>Haricot</t>
        </is>
      </c>
      <c r="D1861" t="inlineStr">
        <is>
          <t>اللوبياء</t>
        </is>
      </c>
    </row>
    <row r="1862">
      <c r="A1862" t="inlineStr">
        <is>
          <t>crop2</t>
        </is>
      </c>
      <c r="B1862" t="inlineStr">
        <is>
          <t>5.99</t>
        </is>
      </c>
      <c r="C1862" t="inlineStr">
        <is>
          <t>Other non leafy vegs</t>
        </is>
      </c>
      <c r="D1862" t="inlineStr">
        <is>
          <t>الخضار غير الورقية الأخرى</t>
        </is>
      </c>
    </row>
    <row r="1863">
      <c r="A1863" t="inlineStr">
        <is>
          <t>crop2</t>
        </is>
      </c>
      <c r="B1863" t="inlineStr">
        <is>
          <t>6.1</t>
        </is>
      </c>
      <c r="C1863" t="inlineStr">
        <is>
          <t>Orange</t>
        </is>
      </c>
      <c r="D1863" t="inlineStr">
        <is>
          <t>البرتقال</t>
        </is>
      </c>
    </row>
    <row r="1864">
      <c r="A1864" t="inlineStr">
        <is>
          <t>crop2</t>
        </is>
      </c>
      <c r="B1864" t="inlineStr">
        <is>
          <t>6.2</t>
        </is>
      </c>
      <c r="C1864" t="inlineStr">
        <is>
          <t>Lemon</t>
        </is>
      </c>
      <c r="D1864" t="inlineStr">
        <is>
          <t>الليمون</t>
        </is>
      </c>
    </row>
    <row r="1865">
      <c r="A1865" t="inlineStr">
        <is>
          <t>crop2</t>
        </is>
      </c>
      <c r="B1865" t="inlineStr">
        <is>
          <t>6.3</t>
        </is>
      </c>
      <c r="C1865" t="inlineStr">
        <is>
          <t>Grapefruit</t>
        </is>
      </c>
      <c r="D1865" t="inlineStr">
        <is>
          <t>الجريب فروت</t>
        </is>
      </c>
    </row>
    <row r="1866">
      <c r="A1866" t="inlineStr">
        <is>
          <t>crop2</t>
        </is>
      </c>
      <c r="B1866" t="inlineStr">
        <is>
          <t>6.4</t>
        </is>
      </c>
      <c r="C1866" t="inlineStr">
        <is>
          <t>Mandarins/clementines</t>
        </is>
      </c>
      <c r="D1866" t="inlineStr">
        <is>
          <t>اليوسفي / الكليمنتين</t>
        </is>
      </c>
    </row>
    <row r="1867">
      <c r="A1867" t="inlineStr">
        <is>
          <t>crop2</t>
        </is>
      </c>
      <c r="B1867" t="inlineStr">
        <is>
          <t>6.99</t>
        </is>
      </c>
      <c r="C1867" t="inlineStr">
        <is>
          <t>Other citrus fruit</t>
        </is>
      </c>
      <c r="D1867" t="inlineStr">
        <is>
          <t>الحمضيات الأخرى</t>
        </is>
      </c>
    </row>
    <row r="1868">
      <c r="A1868" t="inlineStr">
        <is>
          <t>crop2</t>
        </is>
      </c>
      <c r="B1868" t="inlineStr">
        <is>
          <t>7.1</t>
        </is>
      </c>
      <c r="C1868" t="inlineStr">
        <is>
          <t>Sweet Banana</t>
        </is>
      </c>
      <c r="D1868" t="inlineStr">
        <is>
          <t>الموز</t>
        </is>
      </c>
    </row>
    <row r="1869">
      <c r="A1869" t="inlineStr">
        <is>
          <t>crop2</t>
        </is>
      </c>
      <c r="B1869" t="inlineStr">
        <is>
          <t>7.101</t>
        </is>
      </c>
      <c r="C1869" t="inlineStr">
        <is>
          <t>Figs</t>
        </is>
      </c>
      <c r="D1869" t="inlineStr">
        <is>
          <t>التين</t>
        </is>
      </c>
    </row>
    <row r="1870">
      <c r="A1870" t="inlineStr">
        <is>
          <t>crop2</t>
        </is>
      </c>
      <c r="B1870" t="inlineStr">
        <is>
          <t>7.13</t>
        </is>
      </c>
      <c r="C1870" t="inlineStr">
        <is>
          <t>Apple</t>
        </is>
      </c>
      <c r="D1870" t="inlineStr">
        <is>
          <t>التفاح</t>
        </is>
      </c>
    </row>
    <row r="1871">
      <c r="A1871" t="inlineStr">
        <is>
          <t>crop2</t>
        </is>
      </c>
      <c r="B1871" t="inlineStr">
        <is>
          <t>7.14</t>
        </is>
      </c>
      <c r="C1871" t="inlineStr">
        <is>
          <t>Apricot</t>
        </is>
      </c>
      <c r="D1871" t="inlineStr">
        <is>
          <t>المشمش</t>
        </is>
      </c>
    </row>
    <row r="1872">
      <c r="A1872" t="inlineStr">
        <is>
          <t>crop2</t>
        </is>
      </c>
      <c r="B1872" t="inlineStr">
        <is>
          <t>7.16</t>
        </is>
      </c>
      <c r="C1872" t="inlineStr">
        <is>
          <t>Peach/nectarine</t>
        </is>
      </c>
      <c r="D1872" t="inlineStr">
        <is>
          <t>الدراق / النكتارين</t>
        </is>
      </c>
    </row>
    <row r="1873">
      <c r="A1873" t="inlineStr">
        <is>
          <t>crop2</t>
        </is>
      </c>
      <c r="B1873" t="inlineStr">
        <is>
          <t>7.17</t>
        </is>
      </c>
      <c r="C1873" t="inlineStr">
        <is>
          <t>Strawberries</t>
        </is>
      </c>
      <c r="D1873" t="inlineStr">
        <is>
          <t>الفراولة</t>
        </is>
      </c>
    </row>
    <row r="1874">
      <c r="A1874" t="inlineStr">
        <is>
          <t>crop2</t>
        </is>
      </c>
      <c r="B1874" t="inlineStr">
        <is>
          <t>7.18</t>
        </is>
      </c>
      <c r="C1874" t="inlineStr">
        <is>
          <t>Melon (Cantaloupe)</t>
        </is>
      </c>
      <c r="D1874" t="inlineStr">
        <is>
          <t>الشمام</t>
        </is>
      </c>
    </row>
    <row r="1875">
      <c r="A1875" t="inlineStr">
        <is>
          <t>crop2</t>
        </is>
      </c>
      <c r="B1875" t="inlineStr">
        <is>
          <t>7.2</t>
        </is>
      </c>
      <c r="C1875" t="inlineStr">
        <is>
          <t>Plantains</t>
        </is>
      </c>
      <c r="D1875" t="inlineStr">
        <is>
          <t>موز الجنة</t>
        </is>
      </c>
    </row>
    <row r="1876">
      <c r="A1876" t="inlineStr">
        <is>
          <t>crop2</t>
        </is>
      </c>
      <c r="B1876" t="inlineStr">
        <is>
          <t>7.3</t>
        </is>
      </c>
      <c r="C1876" t="inlineStr">
        <is>
          <t>Papaya</t>
        </is>
      </c>
      <c r="D1876" t="inlineStr">
        <is>
          <t>البابايا</t>
        </is>
      </c>
    </row>
    <row r="1877">
      <c r="A1877" t="inlineStr">
        <is>
          <t>crop2</t>
        </is>
      </c>
      <c r="B1877" t="inlineStr">
        <is>
          <t>7.4</t>
        </is>
      </c>
      <c r="C1877" t="inlineStr">
        <is>
          <t>Mango</t>
        </is>
      </c>
      <c r="D1877" t="inlineStr">
        <is>
          <t>المانجو</t>
        </is>
      </c>
    </row>
    <row r="1878">
      <c r="A1878" t="inlineStr">
        <is>
          <t>crop2</t>
        </is>
      </c>
      <c r="B1878" t="inlineStr">
        <is>
          <t>7.5</t>
        </is>
      </c>
      <c r="C1878" t="inlineStr">
        <is>
          <t>Guava</t>
        </is>
      </c>
      <c r="D1878" t="inlineStr">
        <is>
          <t>الجوافة</t>
        </is>
      </c>
    </row>
    <row r="1879">
      <c r="A1879" t="inlineStr">
        <is>
          <t>crop2</t>
        </is>
      </c>
      <c r="B1879" t="inlineStr">
        <is>
          <t>7.6</t>
        </is>
      </c>
      <c r="C1879" t="inlineStr">
        <is>
          <t>Pineapple</t>
        </is>
      </c>
      <c r="D1879" t="inlineStr">
        <is>
          <t>الأناناس</t>
        </is>
      </c>
    </row>
    <row r="1880">
      <c r="A1880" t="inlineStr">
        <is>
          <t>crop2</t>
        </is>
      </c>
      <c r="B1880" t="inlineStr">
        <is>
          <t>7.7</t>
        </is>
      </c>
      <c r="C1880" t="inlineStr">
        <is>
          <t>Avocado</t>
        </is>
      </c>
      <c r="D1880" t="inlineStr">
        <is>
          <t>الأفوكادو</t>
        </is>
      </c>
    </row>
    <row r="1881">
      <c r="A1881" t="inlineStr">
        <is>
          <t>crop2</t>
        </is>
      </c>
      <c r="B1881" t="inlineStr">
        <is>
          <t>7.9</t>
        </is>
      </c>
      <c r="C1881" t="inlineStr">
        <is>
          <t>Dates</t>
        </is>
      </c>
      <c r="D1881" t="inlineStr">
        <is>
          <t>التمر</t>
        </is>
      </c>
    </row>
    <row r="1882">
      <c r="A1882" t="inlineStr">
        <is>
          <t>crop2</t>
        </is>
      </c>
      <c r="B1882" t="inlineStr">
        <is>
          <t>7.99</t>
        </is>
      </c>
      <c r="C1882" t="inlineStr">
        <is>
          <t>Other fruit</t>
        </is>
      </c>
      <c r="D1882" t="inlineStr">
        <is>
          <t>الفواكه الأخرى</t>
        </is>
      </c>
    </row>
    <row r="1883">
      <c r="A1883" t="inlineStr">
        <is>
          <t>crop2</t>
        </is>
      </c>
      <c r="B1883" t="inlineStr">
        <is>
          <t>8.1</t>
        </is>
      </c>
      <c r="C1883" t="inlineStr">
        <is>
          <t>Coconuts</t>
        </is>
      </c>
      <c r="D1883" t="inlineStr">
        <is>
          <t>جوز الهند</t>
        </is>
      </c>
    </row>
    <row r="1884">
      <c r="A1884" t="inlineStr">
        <is>
          <t>crop2</t>
        </is>
      </c>
      <c r="B1884" t="inlineStr">
        <is>
          <t>8.2</t>
        </is>
      </c>
      <c r="C1884" t="inlineStr">
        <is>
          <t>Groundnut/peanut</t>
        </is>
      </c>
      <c r="D1884" t="inlineStr">
        <is>
          <t>الفول السوداني</t>
        </is>
      </c>
    </row>
    <row r="1885">
      <c r="A1885" t="inlineStr">
        <is>
          <t>crop2</t>
        </is>
      </c>
      <c r="B1885" t="inlineStr">
        <is>
          <t>8.3</t>
        </is>
      </c>
      <c r="C1885" t="inlineStr">
        <is>
          <t>Cashew Nut</t>
        </is>
      </c>
      <c r="D1885" t="inlineStr">
        <is>
          <t>الكاجو</t>
        </is>
      </c>
    </row>
    <row r="1886">
      <c r="A1886" t="inlineStr">
        <is>
          <t>crop2</t>
        </is>
      </c>
      <c r="B1886" t="inlineStr">
        <is>
          <t>8.4</t>
        </is>
      </c>
      <c r="C1886" t="inlineStr">
        <is>
          <t>Kola Nut</t>
        </is>
      </c>
      <c r="D1886" t="inlineStr">
        <is>
          <t>جوز الكولا</t>
        </is>
      </c>
    </row>
    <row r="1887">
      <c r="A1887" t="inlineStr">
        <is>
          <t>crop2</t>
        </is>
      </c>
      <c r="B1887" t="inlineStr">
        <is>
          <t>8.6</t>
        </is>
      </c>
      <c r="C1887" t="inlineStr">
        <is>
          <t>Bambara nut</t>
        </is>
      </c>
      <c r="D1887" t="inlineStr">
        <is>
          <t>جوز البامبارا</t>
        </is>
      </c>
    </row>
    <row r="1888">
      <c r="A1888" t="inlineStr">
        <is>
          <t>crop2</t>
        </is>
      </c>
      <c r="B1888" t="inlineStr">
        <is>
          <t>8.8</t>
        </is>
      </c>
      <c r="C1888" t="inlineStr">
        <is>
          <t>Walnut</t>
        </is>
      </c>
      <c r="D1888" t="inlineStr">
        <is>
          <t>الجوز</t>
        </is>
      </c>
    </row>
    <row r="1889">
      <c r="A1889" t="inlineStr">
        <is>
          <t>crop2</t>
        </is>
      </c>
      <c r="B1889" t="inlineStr">
        <is>
          <t>8.99</t>
        </is>
      </c>
      <c r="C1889" t="inlineStr">
        <is>
          <t>Other nuts</t>
        </is>
      </c>
      <c r="D1889" t="inlineStr">
        <is>
          <t>المكسرات الأخرى</t>
        </is>
      </c>
    </row>
    <row r="1890">
      <c r="A1890" t="inlineStr">
        <is>
          <t>crop2</t>
        </is>
      </c>
      <c r="B1890" t="inlineStr">
        <is>
          <t>9.1</t>
        </is>
      </c>
      <c r="C1890" t="inlineStr">
        <is>
          <t>Cocoa</t>
        </is>
      </c>
      <c r="D1890" t="inlineStr">
        <is>
          <t>الكاكاو</t>
        </is>
      </c>
    </row>
    <row r="1891">
      <c r="A1891" t="inlineStr">
        <is>
          <t>crop2</t>
        </is>
      </c>
      <c r="B1891" t="inlineStr">
        <is>
          <t>9.2</t>
        </is>
      </c>
      <c r="C1891" t="inlineStr">
        <is>
          <t>Coffee</t>
        </is>
      </c>
      <c r="D1891" t="inlineStr">
        <is>
          <t>القهوة</t>
        </is>
      </c>
    </row>
    <row r="1892">
      <c r="A1892" t="inlineStr">
        <is>
          <t>crop2</t>
        </is>
      </c>
      <c r="B1892" t="inlineStr">
        <is>
          <t>9.3</t>
        </is>
      </c>
      <c r="C1892" t="inlineStr">
        <is>
          <t>Tea</t>
        </is>
      </c>
      <c r="D1892" t="inlineStr">
        <is>
          <t>الشاي</t>
        </is>
      </c>
    </row>
    <row r="1893">
      <c r="A1893" t="inlineStr">
        <is>
          <t>crop2</t>
        </is>
      </c>
      <c r="B1893" t="inlineStr">
        <is>
          <t>9.4</t>
        </is>
      </c>
      <c r="C1893" t="inlineStr">
        <is>
          <t>Sugarcane</t>
        </is>
      </c>
      <c r="D1893" t="inlineStr">
        <is>
          <t>قصب السكر</t>
        </is>
      </c>
    </row>
    <row r="1894">
      <c r="A1894" t="inlineStr">
        <is>
          <t>crop2</t>
        </is>
      </c>
      <c r="B1894" t="inlineStr">
        <is>
          <t>9.5</t>
        </is>
      </c>
      <c r="C1894" t="inlineStr">
        <is>
          <t>Sunflower</t>
        </is>
      </c>
      <c r="D1894" t="inlineStr">
        <is>
          <t>دوار الشمس</t>
        </is>
      </c>
    </row>
    <row r="1895">
      <c r="A1895" t="inlineStr">
        <is>
          <t>crop2</t>
        </is>
      </c>
      <c r="B1895" t="inlineStr">
        <is>
          <t>9.99</t>
        </is>
      </c>
      <c r="C1895" t="inlineStr">
        <is>
          <t>Other food cash crop</t>
        </is>
      </c>
      <c r="D1895" t="inlineStr">
        <is>
          <t xml:space="preserve">المحاصيل الغذائية النقدية الأخرى </t>
        </is>
      </c>
    </row>
    <row r="1896">
      <c r="A1896" t="inlineStr">
        <is>
          <t>crop2</t>
        </is>
      </c>
      <c r="B1896" t="inlineStr">
        <is>
          <t>10.1</t>
        </is>
      </c>
      <c r="C1896" t="inlineStr">
        <is>
          <t>Cotton</t>
        </is>
      </c>
      <c r="D1896" t="inlineStr">
        <is>
          <t>القطن</t>
        </is>
      </c>
    </row>
    <row r="1897">
      <c r="A1897" t="inlineStr">
        <is>
          <t>crop2</t>
        </is>
      </c>
      <c r="B1897" t="inlineStr">
        <is>
          <t>10.2</t>
        </is>
      </c>
      <c r="C1897" t="inlineStr">
        <is>
          <t>Rubber</t>
        </is>
      </c>
      <c r="D1897" t="inlineStr">
        <is>
          <t>المطاط</t>
        </is>
      </c>
    </row>
    <row r="1898">
      <c r="A1898" t="inlineStr">
        <is>
          <t>crop2</t>
        </is>
      </c>
      <c r="B1898" t="inlineStr">
        <is>
          <t>10.3</t>
        </is>
      </c>
      <c r="C1898" t="inlineStr">
        <is>
          <t>Jute</t>
        </is>
      </c>
      <c r="D1898" t="inlineStr">
        <is>
          <t>الجوت</t>
        </is>
      </c>
    </row>
    <row r="1899">
      <c r="A1899" t="inlineStr">
        <is>
          <t>crop2</t>
        </is>
      </c>
      <c r="B1899" t="inlineStr">
        <is>
          <t>10.4</t>
        </is>
      </c>
      <c r="C1899" t="inlineStr">
        <is>
          <t>Fodder</t>
        </is>
      </c>
      <c r="D1899" t="inlineStr">
        <is>
          <t>العلف</t>
        </is>
      </c>
    </row>
    <row r="1900">
      <c r="A1900" t="inlineStr">
        <is>
          <t>crop2</t>
        </is>
      </c>
      <c r="B1900" t="inlineStr">
        <is>
          <t>10.5</t>
        </is>
      </c>
      <c r="C1900" t="inlineStr">
        <is>
          <t>Tobacco</t>
        </is>
      </c>
      <c r="D1900" t="inlineStr">
        <is>
          <t>التبغ</t>
        </is>
      </c>
    </row>
    <row r="1901">
      <c r="A1901" t="inlineStr">
        <is>
          <t>crop2</t>
        </is>
      </c>
      <c r="B1901" t="inlineStr">
        <is>
          <t>10.6</t>
        </is>
      </c>
      <c r="C1901" t="inlineStr">
        <is>
          <t>Qat</t>
        </is>
      </c>
      <c r="D1901" t="inlineStr">
        <is>
          <t>القات</t>
        </is>
      </c>
    </row>
    <row r="1902">
      <c r="A1902" t="inlineStr">
        <is>
          <t>crop2</t>
        </is>
      </c>
      <c r="B1902" t="inlineStr">
        <is>
          <t>10.99</t>
        </is>
      </c>
      <c r="C1902" t="inlineStr">
        <is>
          <t>Other non-food cash crop</t>
        </is>
      </c>
      <c r="D1902" t="inlineStr">
        <is>
          <t xml:space="preserve"> المحاصيل النقدية غير الغذائية الأخرى </t>
        </is>
      </c>
    </row>
    <row r="1903">
      <c r="A1903" t="inlineStr">
        <is>
          <t>crop2</t>
        </is>
      </c>
      <c r="B1903" t="inlineStr">
        <is>
          <t>666</t>
        </is>
      </c>
      <c r="C1903" t="inlineStr">
        <is>
          <t>No other crop</t>
        </is>
      </c>
      <c r="D1903" t="inlineStr">
        <is>
          <t>لا محاصيل أخرى</t>
        </is>
      </c>
    </row>
    <row r="1904">
      <c r="A1904" t="inlineStr">
        <is>
          <t>crop2</t>
        </is>
      </c>
      <c r="B1904" t="inlineStr">
        <is>
          <t>888</t>
        </is>
      </c>
      <c r="C1904" t="inlineStr">
        <is>
          <t>Don't know</t>
        </is>
      </c>
      <c r="D1904" t="inlineStr">
        <is>
          <t>لا أعرف</t>
        </is>
      </c>
    </row>
    <row r="1905">
      <c r="A1905" t="inlineStr">
        <is>
          <t>crop2</t>
        </is>
      </c>
      <c r="B1905" t="inlineStr">
        <is>
          <t>999</t>
        </is>
      </c>
      <c r="C1905" t="inlineStr">
        <is>
          <t>Refused</t>
        </is>
      </c>
      <c r="D1905" t="inlineStr">
        <is>
          <t>رفض الإجابة</t>
        </is>
      </c>
    </row>
    <row r="1907">
      <c r="A1907" t="inlineStr">
        <is>
          <t>crop3</t>
        </is>
      </c>
      <c r="B1907" t="inlineStr">
        <is>
          <t>1.2</t>
        </is>
      </c>
      <c r="C1907" t="inlineStr">
        <is>
          <t>Wheat</t>
        </is>
      </c>
      <c r="D1907" t="inlineStr">
        <is>
          <t>القمح</t>
        </is>
      </c>
    </row>
    <row r="1908">
      <c r="A1908" t="inlineStr">
        <is>
          <t>crop3</t>
        </is>
      </c>
      <c r="B1908" t="inlineStr">
        <is>
          <t>1.5</t>
        </is>
      </c>
      <c r="C1908" t="inlineStr">
        <is>
          <t>Maize</t>
        </is>
      </c>
      <c r="D1908" t="inlineStr">
        <is>
          <t>الذرة</t>
        </is>
      </c>
    </row>
    <row r="1909">
      <c r="A1909" t="inlineStr">
        <is>
          <t>crop3</t>
        </is>
      </c>
      <c r="B1909" t="inlineStr">
        <is>
          <t>1.6</t>
        </is>
      </c>
      <c r="C1909" t="inlineStr">
        <is>
          <t>Barley</t>
        </is>
      </c>
      <c r="D1909" t="inlineStr">
        <is>
          <t>الشعير</t>
        </is>
      </c>
    </row>
    <row r="1910">
      <c r="A1910" t="inlineStr">
        <is>
          <t>crop3</t>
        </is>
      </c>
      <c r="B1910" t="inlineStr">
        <is>
          <t>2.2</t>
        </is>
      </c>
      <c r="C1910" t="inlineStr">
        <is>
          <t>Potatoe</t>
        </is>
      </c>
      <c r="D1910" t="inlineStr">
        <is>
          <t>البطاطا</t>
        </is>
      </c>
    </row>
    <row r="1911">
      <c r="A1911" t="inlineStr">
        <is>
          <t>crop3</t>
        </is>
      </c>
      <c r="B1911" t="inlineStr">
        <is>
          <t>3.1</t>
        </is>
      </c>
      <c r="C1911" t="inlineStr">
        <is>
          <t>Beans</t>
        </is>
      </c>
      <c r="D1911" t="inlineStr">
        <is>
          <t>الفاصوليا</t>
        </is>
      </c>
    </row>
    <row r="1912">
      <c r="A1912" t="inlineStr">
        <is>
          <t>crop3</t>
        </is>
      </c>
      <c r="B1912" t="inlineStr">
        <is>
          <t>3.2</t>
        </is>
      </c>
      <c r="C1912" t="inlineStr">
        <is>
          <t>Lentils</t>
        </is>
      </c>
      <c r="D1912" t="inlineStr">
        <is>
          <t>العدس</t>
        </is>
      </c>
    </row>
    <row r="1913">
      <c r="A1913" t="inlineStr">
        <is>
          <t>crop3</t>
        </is>
      </c>
      <c r="B1913" t="inlineStr">
        <is>
          <t>3.3</t>
        </is>
      </c>
      <c r="C1913" t="inlineStr">
        <is>
          <t>Peas</t>
        </is>
      </c>
      <c r="D1913" t="inlineStr">
        <is>
          <t>البازيلاء</t>
        </is>
      </c>
    </row>
    <row r="1914">
      <c r="A1914" t="inlineStr">
        <is>
          <t>crop3</t>
        </is>
      </c>
      <c r="B1914" t="inlineStr">
        <is>
          <t>3.4</t>
        </is>
      </c>
      <c r="C1914" t="inlineStr">
        <is>
          <t>Soybeans</t>
        </is>
      </c>
      <c r="D1914" t="inlineStr">
        <is>
          <t>فول الصويا</t>
        </is>
      </c>
    </row>
    <row r="1915">
      <c r="A1915" t="inlineStr">
        <is>
          <t>crop3</t>
        </is>
      </c>
      <c r="B1915" t="inlineStr">
        <is>
          <t>3.5</t>
        </is>
      </c>
      <c r="C1915" t="inlineStr">
        <is>
          <t>Chickpeas</t>
        </is>
      </c>
      <c r="D1915" t="inlineStr">
        <is>
          <t>الحمص</t>
        </is>
      </c>
    </row>
    <row r="1916">
      <c r="A1916" t="inlineStr">
        <is>
          <t>crop3</t>
        </is>
      </c>
      <c r="B1916" t="inlineStr">
        <is>
          <t>3.6</t>
        </is>
      </c>
      <c r="C1916" t="inlineStr">
        <is>
          <t>Fava beans</t>
        </is>
      </c>
      <c r="D1916" t="inlineStr">
        <is>
          <t>الفول</t>
        </is>
      </c>
    </row>
    <row r="1917">
      <c r="A1917" t="inlineStr">
        <is>
          <t>crop3</t>
        </is>
      </c>
      <c r="B1917" t="inlineStr">
        <is>
          <t>4.2</t>
        </is>
      </c>
      <c r="C1917" t="inlineStr">
        <is>
          <t>Lettuce</t>
        </is>
      </c>
      <c r="D1917" t="inlineStr">
        <is>
          <t>الخس</t>
        </is>
      </c>
    </row>
    <row r="1918">
      <c r="A1918" t="inlineStr">
        <is>
          <t>crop3</t>
        </is>
      </c>
      <c r="B1918" t="inlineStr">
        <is>
          <t>4.9</t>
        </is>
      </c>
      <c r="C1918" t="inlineStr">
        <is>
          <t>Green salad herbs (thyme, parsley, mint, rocca, other)</t>
        </is>
      </c>
      <c r="D1918" t="inlineStr">
        <is>
          <t>أعشاب السلطة الخضراء [زعتر ، بقدونس ، نعناع ، جرجير ، أنواع أخرى]</t>
        </is>
      </c>
    </row>
    <row r="1919">
      <c r="A1919" t="inlineStr">
        <is>
          <t>crop3</t>
        </is>
      </c>
      <c r="B1919" t="inlineStr">
        <is>
          <t>5.1</t>
        </is>
      </c>
      <c r="C1919" t="inlineStr">
        <is>
          <t>Tomatoes</t>
        </is>
      </c>
      <c r="D1919" t="inlineStr">
        <is>
          <t>الطماطم</t>
        </is>
      </c>
    </row>
    <row r="1920">
      <c r="A1920" t="inlineStr">
        <is>
          <t>crop3</t>
        </is>
      </c>
      <c r="B1920" t="inlineStr">
        <is>
          <t>5.101</t>
        </is>
      </c>
      <c r="C1920" t="inlineStr">
        <is>
          <t>Green peas</t>
        </is>
      </c>
      <c r="D1920" t="inlineStr">
        <is>
          <t>البازلاء الخضراء</t>
        </is>
      </c>
    </row>
    <row r="1921">
      <c r="A1921" t="inlineStr">
        <is>
          <t>crop3</t>
        </is>
      </c>
      <c r="B1921" t="inlineStr">
        <is>
          <t>5.11</t>
        </is>
      </c>
      <c r="C1921" t="inlineStr">
        <is>
          <t>Fava beans green</t>
        </is>
      </c>
      <c r="D1921" t="inlineStr">
        <is>
          <t>الفول الأخضر</t>
        </is>
      </c>
    </row>
    <row r="1922">
      <c r="A1922" t="inlineStr">
        <is>
          <t>crop3</t>
        </is>
      </c>
      <c r="B1922" t="inlineStr">
        <is>
          <t>5.2</t>
        </is>
      </c>
      <c r="C1922" t="inlineStr">
        <is>
          <t>Cucumber</t>
        </is>
      </c>
      <c r="D1922" t="inlineStr">
        <is>
          <t>الخيار</t>
        </is>
      </c>
    </row>
    <row r="1923">
      <c r="A1923" t="inlineStr">
        <is>
          <t>crop3</t>
        </is>
      </c>
      <c r="B1923" t="inlineStr">
        <is>
          <t>5.4</t>
        </is>
      </c>
      <c r="C1923" t="inlineStr">
        <is>
          <t>Eggplant/aubergine</t>
        </is>
      </c>
      <c r="D1923" t="inlineStr">
        <is>
          <t>الباذنجان</t>
        </is>
      </c>
    </row>
    <row r="1924">
      <c r="A1924" t="inlineStr">
        <is>
          <t>crop3</t>
        </is>
      </c>
      <c r="B1924" t="inlineStr">
        <is>
          <t>5.5</t>
        </is>
      </c>
      <c r="C1924" t="inlineStr">
        <is>
          <t>Zucchini</t>
        </is>
      </c>
      <c r="D1924" t="inlineStr">
        <is>
          <t>الكوسة</t>
        </is>
      </c>
    </row>
    <row r="1925">
      <c r="A1925" t="inlineStr">
        <is>
          <t>crop3</t>
        </is>
      </c>
      <c r="B1925" t="inlineStr">
        <is>
          <t>5.6</t>
        </is>
      </c>
      <c r="C1925" t="inlineStr">
        <is>
          <t>Okra</t>
        </is>
      </c>
      <c r="D1925" t="inlineStr">
        <is>
          <t>البامية</t>
        </is>
      </c>
    </row>
    <row r="1926">
      <c r="A1926" t="inlineStr">
        <is>
          <t>crop3</t>
        </is>
      </c>
      <c r="B1926" t="inlineStr">
        <is>
          <t>5.7</t>
        </is>
      </c>
      <c r="C1926" t="inlineStr">
        <is>
          <t>Bell pepper</t>
        </is>
      </c>
      <c r="D1926" t="inlineStr">
        <is>
          <t>الفلفل حلو</t>
        </is>
      </c>
    </row>
    <row r="1927">
      <c r="A1927" t="inlineStr">
        <is>
          <t>crop3</t>
        </is>
      </c>
      <c r="B1927" t="inlineStr">
        <is>
          <t>5.8</t>
        </is>
      </c>
      <c r="C1927" t="inlineStr">
        <is>
          <t>Onions</t>
        </is>
      </c>
      <c r="D1927" t="inlineStr">
        <is>
          <t>بصل</t>
        </is>
      </c>
    </row>
    <row r="1928">
      <c r="A1928" t="inlineStr">
        <is>
          <t>crop3</t>
        </is>
      </c>
      <c r="B1928" t="inlineStr">
        <is>
          <t>7.11</t>
        </is>
      </c>
      <c r="C1928" t="inlineStr">
        <is>
          <t>Grapes</t>
        </is>
      </c>
      <c r="D1928" t="inlineStr">
        <is>
          <t>العنب</t>
        </is>
      </c>
    </row>
    <row r="1929">
      <c r="A1929" t="inlineStr">
        <is>
          <t>crop3</t>
        </is>
      </c>
      <c r="B1929" t="inlineStr">
        <is>
          <t>7.12</t>
        </is>
      </c>
      <c r="C1929" t="inlineStr">
        <is>
          <t>Olives</t>
        </is>
      </c>
      <c r="D1929" t="inlineStr">
        <is>
          <t>الزيتون</t>
        </is>
      </c>
    </row>
    <row r="1930">
      <c r="A1930" t="inlineStr">
        <is>
          <t>crop3</t>
        </is>
      </c>
      <c r="B1930" t="inlineStr">
        <is>
          <t>7.15</t>
        </is>
      </c>
      <c r="C1930" t="inlineStr">
        <is>
          <t>Cherries</t>
        </is>
      </c>
      <c r="D1930" t="inlineStr">
        <is>
          <t>الكرز</t>
        </is>
      </c>
    </row>
    <row r="1931">
      <c r="A1931" t="inlineStr">
        <is>
          <t>crop3</t>
        </is>
      </c>
      <c r="B1931" t="inlineStr">
        <is>
          <t>7.8</t>
        </is>
      </c>
      <c r="C1931" t="inlineStr">
        <is>
          <t>Water Melon</t>
        </is>
      </c>
      <c r="D1931" t="inlineStr">
        <is>
          <t>البطيخ الأحمر</t>
        </is>
      </c>
    </row>
    <row r="1932">
      <c r="A1932" t="inlineStr">
        <is>
          <t>crop3</t>
        </is>
      </c>
      <c r="B1932" t="inlineStr">
        <is>
          <t>8.5</t>
        </is>
      </c>
      <c r="C1932" t="inlineStr">
        <is>
          <t>Sesame</t>
        </is>
      </c>
      <c r="D1932" t="inlineStr">
        <is>
          <t>السمسم</t>
        </is>
      </c>
    </row>
    <row r="1933">
      <c r="A1933" t="inlineStr">
        <is>
          <t>crop3</t>
        </is>
      </c>
      <c r="B1933" t="inlineStr">
        <is>
          <t>8.7</t>
        </is>
      </c>
      <c r="C1933" t="inlineStr">
        <is>
          <t>Almond</t>
        </is>
      </c>
      <c r="D1933" t="inlineStr">
        <is>
          <t>اللوز</t>
        </is>
      </c>
    </row>
    <row r="1934">
      <c r="A1934" t="inlineStr">
        <is>
          <t>crop3</t>
        </is>
      </c>
      <c r="B1934" t="inlineStr">
        <is>
          <t>1.1</t>
        </is>
      </c>
      <c r="C1934" t="inlineStr">
        <is>
          <t>Rice</t>
        </is>
      </c>
      <c r="D1934" t="inlineStr">
        <is>
          <t>الرز</t>
        </is>
      </c>
    </row>
    <row r="1935">
      <c r="A1935" t="inlineStr">
        <is>
          <t>crop3</t>
        </is>
      </c>
      <c r="B1935" t="inlineStr">
        <is>
          <t>1.3</t>
        </is>
      </c>
      <c r="C1935" t="inlineStr">
        <is>
          <t>Millet</t>
        </is>
      </c>
      <c r="D1935" t="inlineStr">
        <is>
          <t>الدخن</t>
        </is>
      </c>
    </row>
    <row r="1936">
      <c r="A1936" t="inlineStr">
        <is>
          <t>crop3</t>
        </is>
      </c>
      <c r="B1936" t="inlineStr">
        <is>
          <t>1.4</t>
        </is>
      </c>
      <c r="C1936" t="inlineStr">
        <is>
          <t>Sorghum</t>
        </is>
      </c>
      <c r="D1936" t="inlineStr">
        <is>
          <t>الذرة الرفيعة</t>
        </is>
      </c>
    </row>
    <row r="1937">
      <c r="A1937" t="inlineStr">
        <is>
          <t>crop3</t>
        </is>
      </c>
      <c r="B1937" t="inlineStr">
        <is>
          <t>1.99</t>
        </is>
      </c>
      <c r="C1937" t="inlineStr">
        <is>
          <t>Other Cereal</t>
        </is>
      </c>
      <c r="D1937" t="inlineStr">
        <is>
          <t>الحبوب الأخرى</t>
        </is>
      </c>
    </row>
    <row r="1938">
      <c r="A1938" t="inlineStr">
        <is>
          <t>crop3</t>
        </is>
      </c>
      <c r="B1938" t="inlineStr">
        <is>
          <t>2.1</t>
        </is>
      </c>
      <c r="C1938" t="inlineStr">
        <is>
          <t>Cassava</t>
        </is>
      </c>
      <c r="D1938" t="inlineStr">
        <is>
          <t>الكسافا</t>
        </is>
      </c>
    </row>
    <row r="1939">
      <c r="A1939" t="inlineStr">
        <is>
          <t>crop3</t>
        </is>
      </c>
      <c r="B1939" t="inlineStr">
        <is>
          <t>2.3</t>
        </is>
      </c>
      <c r="C1939" t="inlineStr">
        <is>
          <t>Sweet Potatoes</t>
        </is>
      </c>
      <c r="D1939" t="inlineStr">
        <is>
          <t>البطاطا الحلوة</t>
        </is>
      </c>
    </row>
    <row r="1940">
      <c r="A1940" t="inlineStr">
        <is>
          <t>crop3</t>
        </is>
      </c>
      <c r="B1940" t="inlineStr">
        <is>
          <t>2.4</t>
        </is>
      </c>
      <c r="C1940" t="inlineStr">
        <is>
          <t>Yams</t>
        </is>
      </c>
      <c r="D1940" t="inlineStr">
        <is>
          <t>اليام</t>
        </is>
      </c>
    </row>
    <row r="1941">
      <c r="A1941" t="inlineStr">
        <is>
          <t>crop3</t>
        </is>
      </c>
      <c r="B1941" t="inlineStr">
        <is>
          <t>2.5</t>
        </is>
      </c>
      <c r="C1941" t="inlineStr">
        <is>
          <t>Carrots</t>
        </is>
      </c>
      <c r="D1941" t="inlineStr">
        <is>
          <t>الجزر</t>
        </is>
      </c>
    </row>
    <row r="1942">
      <c r="A1942" t="inlineStr">
        <is>
          <t>crop3</t>
        </is>
      </c>
      <c r="B1942" t="inlineStr">
        <is>
          <t>2.6</t>
        </is>
      </c>
      <c r="C1942" t="inlineStr">
        <is>
          <t>Cocoyam</t>
        </is>
      </c>
      <c r="D1942" t="inlineStr">
        <is>
          <t>القلقاس</t>
        </is>
      </c>
    </row>
    <row r="1943">
      <c r="A1943" t="inlineStr">
        <is>
          <t>crop3</t>
        </is>
      </c>
      <c r="B1943" t="inlineStr">
        <is>
          <t>2.99</t>
        </is>
      </c>
      <c r="C1943" t="inlineStr">
        <is>
          <t>Other tubers</t>
        </is>
      </c>
      <c r="D1943" t="inlineStr">
        <is>
          <t>الدرنات الأخرى</t>
        </is>
      </c>
    </row>
    <row r="1944">
      <c r="A1944" t="inlineStr">
        <is>
          <t>crop3</t>
        </is>
      </c>
      <c r="B1944" t="inlineStr">
        <is>
          <t>3.7</t>
        </is>
      </c>
      <c r="C1944" t="inlineStr">
        <is>
          <t>Broad beans</t>
        </is>
      </c>
      <c r="D1944" t="inlineStr">
        <is>
          <t>الفاصوليا العريضة</t>
        </is>
      </c>
    </row>
    <row r="1945">
      <c r="A1945" t="inlineStr">
        <is>
          <t>crop3</t>
        </is>
      </c>
      <c r="B1945" t="inlineStr">
        <is>
          <t>3.99</t>
        </is>
      </c>
      <c r="C1945" t="inlineStr">
        <is>
          <t>Other pulses</t>
        </is>
      </c>
      <c r="D1945" t="inlineStr">
        <is>
          <t>البقول الاخرى</t>
        </is>
      </c>
    </row>
    <row r="1946">
      <c r="A1946" t="inlineStr">
        <is>
          <t>crop3</t>
        </is>
      </c>
      <c r="B1946" t="inlineStr">
        <is>
          <t>4.1</t>
        </is>
      </c>
      <c r="C1946" t="inlineStr">
        <is>
          <t>Cabbage</t>
        </is>
      </c>
      <c r="D1946" t="inlineStr">
        <is>
          <t>الملفوف</t>
        </is>
      </c>
    </row>
    <row r="1947">
      <c r="A1947" t="inlineStr">
        <is>
          <t>crop3</t>
        </is>
      </c>
      <c r="B1947" t="inlineStr">
        <is>
          <t>4.101</t>
        </is>
      </c>
      <c r="C1947" t="inlineStr">
        <is>
          <t>Cauliflower</t>
        </is>
      </c>
      <c r="D1947" t="inlineStr">
        <is>
          <t>القرنبيط</t>
        </is>
      </c>
    </row>
    <row r="1948">
      <c r="A1948" t="inlineStr">
        <is>
          <t>crop3</t>
        </is>
      </c>
      <c r="B1948" t="inlineStr">
        <is>
          <t>4.3</t>
        </is>
      </c>
      <c r="C1948" t="inlineStr">
        <is>
          <t>Spinach-Amaranth</t>
        </is>
      </c>
      <c r="D1948" t="inlineStr">
        <is>
          <t>السبانخ - القطيفة</t>
        </is>
      </c>
    </row>
    <row r="1949">
      <c r="A1949" t="inlineStr">
        <is>
          <t>crop3</t>
        </is>
      </c>
      <c r="B1949" t="inlineStr">
        <is>
          <t>4.4</t>
        </is>
      </c>
      <c r="C1949" t="inlineStr">
        <is>
          <t>Cassava leaves</t>
        </is>
      </c>
      <c r="D1949" t="inlineStr">
        <is>
          <t>أوراق الكسافا</t>
        </is>
      </c>
    </row>
    <row r="1950">
      <c r="A1950" t="inlineStr">
        <is>
          <t>crop3</t>
        </is>
      </c>
      <c r="B1950" t="inlineStr">
        <is>
          <t>4.5</t>
        </is>
      </c>
      <c r="C1950" t="inlineStr">
        <is>
          <t>Potatoe leaves</t>
        </is>
      </c>
      <c r="D1950" t="inlineStr">
        <is>
          <t>أوراق البطاطا</t>
        </is>
      </c>
    </row>
    <row r="1951">
      <c r="A1951" t="inlineStr">
        <is>
          <t>crop3</t>
        </is>
      </c>
      <c r="B1951" t="inlineStr">
        <is>
          <t>4.6</t>
        </is>
      </c>
      <c r="C1951" t="inlineStr">
        <is>
          <t>Moringa</t>
        </is>
      </c>
      <c r="D1951" t="inlineStr">
        <is>
          <t>المورينجا</t>
        </is>
      </c>
    </row>
    <row r="1952">
      <c r="A1952" t="inlineStr">
        <is>
          <t>crop3</t>
        </is>
      </c>
      <c r="B1952" t="inlineStr">
        <is>
          <t>4.7</t>
        </is>
      </c>
      <c r="C1952" t="inlineStr">
        <is>
          <t>Sorrel Hibiscus / Rosselle</t>
        </is>
      </c>
      <c r="D1952" t="inlineStr">
        <is>
          <t>الكركديه</t>
        </is>
      </c>
    </row>
    <row r="1953">
      <c r="A1953" t="inlineStr">
        <is>
          <t>crop3</t>
        </is>
      </c>
      <c r="B1953" t="inlineStr">
        <is>
          <t>4.99</t>
        </is>
      </c>
      <c r="C1953" t="inlineStr">
        <is>
          <t>Other leafy vegetables</t>
        </is>
      </c>
      <c r="D1953" t="inlineStr">
        <is>
          <t>الخضار الورقية الأخرى</t>
        </is>
      </c>
    </row>
    <row r="1954">
      <c r="A1954" t="inlineStr">
        <is>
          <t>crop3</t>
        </is>
      </c>
      <c r="B1954" t="inlineStr">
        <is>
          <t>5.3</t>
        </is>
      </c>
      <c r="C1954" t="inlineStr">
        <is>
          <t>Pumpkin</t>
        </is>
      </c>
      <c r="D1954" t="inlineStr">
        <is>
          <t>اليقطين</t>
        </is>
      </c>
    </row>
    <row r="1955">
      <c r="A1955" t="inlineStr">
        <is>
          <t>crop3</t>
        </is>
      </c>
      <c r="B1955" t="inlineStr">
        <is>
          <t>5.9</t>
        </is>
      </c>
      <c r="C1955" t="inlineStr">
        <is>
          <t>Haricot</t>
        </is>
      </c>
      <c r="D1955" t="inlineStr">
        <is>
          <t>اللوبياء</t>
        </is>
      </c>
    </row>
    <row r="1956">
      <c r="A1956" t="inlineStr">
        <is>
          <t>crop3</t>
        </is>
      </c>
      <c r="B1956" t="inlineStr">
        <is>
          <t>5.99</t>
        </is>
      </c>
      <c r="C1956" t="inlineStr">
        <is>
          <t>Other non leafy vegs</t>
        </is>
      </c>
      <c r="D1956" t="inlineStr">
        <is>
          <t>الخضار غير الورقية الأخرى</t>
        </is>
      </c>
    </row>
    <row r="1957">
      <c r="A1957" t="inlineStr">
        <is>
          <t>crop3</t>
        </is>
      </c>
      <c r="B1957" t="inlineStr">
        <is>
          <t>6.1</t>
        </is>
      </c>
      <c r="C1957" t="inlineStr">
        <is>
          <t>Orange</t>
        </is>
      </c>
      <c r="D1957" t="inlineStr">
        <is>
          <t>البرتقال</t>
        </is>
      </c>
    </row>
    <row r="1958">
      <c r="A1958" t="inlineStr">
        <is>
          <t>crop3</t>
        </is>
      </c>
      <c r="B1958" t="inlineStr">
        <is>
          <t>6.2</t>
        </is>
      </c>
      <c r="C1958" t="inlineStr">
        <is>
          <t>Lemon</t>
        </is>
      </c>
      <c r="D1958" t="inlineStr">
        <is>
          <t>الليمون</t>
        </is>
      </c>
    </row>
    <row r="1959">
      <c r="A1959" t="inlineStr">
        <is>
          <t>crop3</t>
        </is>
      </c>
      <c r="B1959" t="inlineStr">
        <is>
          <t>6.3</t>
        </is>
      </c>
      <c r="C1959" t="inlineStr">
        <is>
          <t>Grapefruit</t>
        </is>
      </c>
      <c r="D1959" t="inlineStr">
        <is>
          <t>الجريب فروت</t>
        </is>
      </c>
    </row>
    <row r="1960">
      <c r="A1960" t="inlineStr">
        <is>
          <t>crop3</t>
        </is>
      </c>
      <c r="B1960" t="inlineStr">
        <is>
          <t>6.4</t>
        </is>
      </c>
      <c r="C1960" t="inlineStr">
        <is>
          <t>Mandarins/clementines</t>
        </is>
      </c>
      <c r="D1960" t="inlineStr">
        <is>
          <t>اليوسفي / الكليمنتين</t>
        </is>
      </c>
    </row>
    <row r="1961">
      <c r="A1961" t="inlineStr">
        <is>
          <t>crop3</t>
        </is>
      </c>
      <c r="B1961" t="inlineStr">
        <is>
          <t>6.99</t>
        </is>
      </c>
      <c r="C1961" t="inlineStr">
        <is>
          <t>Other citrus fruit</t>
        </is>
      </c>
      <c r="D1961" t="inlineStr">
        <is>
          <t>الحمضيات الأخرى</t>
        </is>
      </c>
    </row>
    <row r="1962">
      <c r="A1962" t="inlineStr">
        <is>
          <t>crop3</t>
        </is>
      </c>
      <c r="B1962" t="inlineStr">
        <is>
          <t>7.1</t>
        </is>
      </c>
      <c r="C1962" t="inlineStr">
        <is>
          <t>Sweet Banana</t>
        </is>
      </c>
      <c r="D1962" t="inlineStr">
        <is>
          <t>الموز</t>
        </is>
      </c>
    </row>
    <row r="1963">
      <c r="A1963" t="inlineStr">
        <is>
          <t>crop3</t>
        </is>
      </c>
      <c r="B1963" t="inlineStr">
        <is>
          <t>7.101</t>
        </is>
      </c>
      <c r="C1963" t="inlineStr">
        <is>
          <t>Figs</t>
        </is>
      </c>
      <c r="D1963" t="inlineStr">
        <is>
          <t>التين</t>
        </is>
      </c>
    </row>
    <row r="1964">
      <c r="A1964" t="inlineStr">
        <is>
          <t>crop3</t>
        </is>
      </c>
      <c r="B1964" t="inlineStr">
        <is>
          <t>7.13</t>
        </is>
      </c>
      <c r="C1964" t="inlineStr">
        <is>
          <t>Apple</t>
        </is>
      </c>
      <c r="D1964" t="inlineStr">
        <is>
          <t>التفاح</t>
        </is>
      </c>
    </row>
    <row r="1965">
      <c r="A1965" t="inlineStr">
        <is>
          <t>crop3</t>
        </is>
      </c>
      <c r="B1965" t="inlineStr">
        <is>
          <t>7.14</t>
        </is>
      </c>
      <c r="C1965" t="inlineStr">
        <is>
          <t>Apricot</t>
        </is>
      </c>
      <c r="D1965" t="inlineStr">
        <is>
          <t>المشمش</t>
        </is>
      </c>
    </row>
    <row r="1966">
      <c r="A1966" t="inlineStr">
        <is>
          <t>crop3</t>
        </is>
      </c>
      <c r="B1966" t="inlineStr">
        <is>
          <t>7.16</t>
        </is>
      </c>
      <c r="C1966" t="inlineStr">
        <is>
          <t>Peach/nectarine</t>
        </is>
      </c>
      <c r="D1966" t="inlineStr">
        <is>
          <t>الدراق / النكتارين</t>
        </is>
      </c>
    </row>
    <row r="1967">
      <c r="A1967" t="inlineStr">
        <is>
          <t>crop3</t>
        </is>
      </c>
      <c r="B1967" t="inlineStr">
        <is>
          <t>7.17</t>
        </is>
      </c>
      <c r="C1967" t="inlineStr">
        <is>
          <t>Strawberries</t>
        </is>
      </c>
      <c r="D1967" t="inlineStr">
        <is>
          <t>الفراولة</t>
        </is>
      </c>
    </row>
    <row r="1968">
      <c r="A1968" t="inlineStr">
        <is>
          <t>crop3</t>
        </is>
      </c>
      <c r="B1968" t="inlineStr">
        <is>
          <t>7.18</t>
        </is>
      </c>
      <c r="C1968" t="inlineStr">
        <is>
          <t>Melon (Cantaloupe)</t>
        </is>
      </c>
      <c r="D1968" t="inlineStr">
        <is>
          <t>الشمام</t>
        </is>
      </c>
    </row>
    <row r="1969">
      <c r="A1969" t="inlineStr">
        <is>
          <t>crop3</t>
        </is>
      </c>
      <c r="B1969" t="inlineStr">
        <is>
          <t>7.2</t>
        </is>
      </c>
      <c r="C1969" t="inlineStr">
        <is>
          <t>Plantains</t>
        </is>
      </c>
      <c r="D1969" t="inlineStr">
        <is>
          <t>موز الجنة</t>
        </is>
      </c>
    </row>
    <row r="1970">
      <c r="A1970" t="inlineStr">
        <is>
          <t>crop3</t>
        </is>
      </c>
      <c r="B1970" t="inlineStr">
        <is>
          <t>7.3</t>
        </is>
      </c>
      <c r="C1970" t="inlineStr">
        <is>
          <t>Papaya</t>
        </is>
      </c>
      <c r="D1970" t="inlineStr">
        <is>
          <t>البابايا</t>
        </is>
      </c>
    </row>
    <row r="1971">
      <c r="A1971" t="inlineStr">
        <is>
          <t>crop3</t>
        </is>
      </c>
      <c r="B1971" t="inlineStr">
        <is>
          <t>7.4</t>
        </is>
      </c>
      <c r="C1971" t="inlineStr">
        <is>
          <t>Mango</t>
        </is>
      </c>
      <c r="D1971" t="inlineStr">
        <is>
          <t>المانجو</t>
        </is>
      </c>
    </row>
    <row r="1972">
      <c r="A1972" t="inlineStr">
        <is>
          <t>crop3</t>
        </is>
      </c>
      <c r="B1972" t="inlineStr">
        <is>
          <t>7.5</t>
        </is>
      </c>
      <c r="C1972" t="inlineStr">
        <is>
          <t>Guava</t>
        </is>
      </c>
      <c r="D1972" t="inlineStr">
        <is>
          <t>الجوافة</t>
        </is>
      </c>
    </row>
    <row r="1973">
      <c r="A1973" t="inlineStr">
        <is>
          <t>crop3</t>
        </is>
      </c>
      <c r="B1973" t="inlineStr">
        <is>
          <t>7.6</t>
        </is>
      </c>
      <c r="C1973" t="inlineStr">
        <is>
          <t>Pineapple</t>
        </is>
      </c>
      <c r="D1973" t="inlineStr">
        <is>
          <t>الأناناس</t>
        </is>
      </c>
    </row>
    <row r="1974">
      <c r="A1974" t="inlineStr">
        <is>
          <t>crop3</t>
        </is>
      </c>
      <c r="B1974" t="inlineStr">
        <is>
          <t>7.7</t>
        </is>
      </c>
      <c r="C1974" t="inlineStr">
        <is>
          <t>Avocado</t>
        </is>
      </c>
      <c r="D1974" t="inlineStr">
        <is>
          <t>الأفوكادو</t>
        </is>
      </c>
    </row>
    <row r="1975">
      <c r="A1975" t="inlineStr">
        <is>
          <t>crop3</t>
        </is>
      </c>
      <c r="B1975" t="inlineStr">
        <is>
          <t>7.9</t>
        </is>
      </c>
      <c r="C1975" t="inlineStr">
        <is>
          <t>Dates</t>
        </is>
      </c>
      <c r="D1975" t="inlineStr">
        <is>
          <t>التمر</t>
        </is>
      </c>
    </row>
    <row r="1976">
      <c r="A1976" t="inlineStr">
        <is>
          <t>crop3</t>
        </is>
      </c>
      <c r="B1976" t="inlineStr">
        <is>
          <t>7.99</t>
        </is>
      </c>
      <c r="C1976" t="inlineStr">
        <is>
          <t>Other fruit</t>
        </is>
      </c>
      <c r="D1976" t="inlineStr">
        <is>
          <t>الفواكه الأخرى</t>
        </is>
      </c>
    </row>
    <row r="1977">
      <c r="A1977" t="inlineStr">
        <is>
          <t>crop3</t>
        </is>
      </c>
      <c r="B1977" t="inlineStr">
        <is>
          <t>8.1</t>
        </is>
      </c>
      <c r="C1977" t="inlineStr">
        <is>
          <t>Coconuts</t>
        </is>
      </c>
      <c r="D1977" t="inlineStr">
        <is>
          <t>جوز الهند</t>
        </is>
      </c>
    </row>
    <row r="1978">
      <c r="A1978" t="inlineStr">
        <is>
          <t>crop3</t>
        </is>
      </c>
      <c r="B1978" t="inlineStr">
        <is>
          <t>8.2</t>
        </is>
      </c>
      <c r="C1978" t="inlineStr">
        <is>
          <t>Groundnut/peanut</t>
        </is>
      </c>
      <c r="D1978" t="inlineStr">
        <is>
          <t>الفول السوداني</t>
        </is>
      </c>
    </row>
    <row r="1979">
      <c r="A1979" t="inlineStr">
        <is>
          <t>crop3</t>
        </is>
      </c>
      <c r="B1979" t="inlineStr">
        <is>
          <t>8.3</t>
        </is>
      </c>
      <c r="C1979" t="inlineStr">
        <is>
          <t>Cashew Nut</t>
        </is>
      </c>
      <c r="D1979" t="inlineStr">
        <is>
          <t>الكاجو</t>
        </is>
      </c>
    </row>
    <row r="1980">
      <c r="A1980" t="inlineStr">
        <is>
          <t>crop3</t>
        </is>
      </c>
      <c r="B1980" t="inlineStr">
        <is>
          <t>8.4</t>
        </is>
      </c>
      <c r="C1980" t="inlineStr">
        <is>
          <t>Kola Nut</t>
        </is>
      </c>
      <c r="D1980" t="inlineStr">
        <is>
          <t>جوز الكولا</t>
        </is>
      </c>
    </row>
    <row r="1981">
      <c r="A1981" t="inlineStr">
        <is>
          <t>crop3</t>
        </is>
      </c>
      <c r="B1981" t="inlineStr">
        <is>
          <t>8.6</t>
        </is>
      </c>
      <c r="C1981" t="inlineStr">
        <is>
          <t>Bambara nut</t>
        </is>
      </c>
      <c r="D1981" t="inlineStr">
        <is>
          <t>جوز البامبارا</t>
        </is>
      </c>
    </row>
    <row r="1982">
      <c r="A1982" t="inlineStr">
        <is>
          <t>crop3</t>
        </is>
      </c>
      <c r="B1982" t="inlineStr">
        <is>
          <t>8.8</t>
        </is>
      </c>
      <c r="C1982" t="inlineStr">
        <is>
          <t>Walnut</t>
        </is>
      </c>
      <c r="D1982" t="inlineStr">
        <is>
          <t>الجوز</t>
        </is>
      </c>
    </row>
    <row r="1983">
      <c r="A1983" t="inlineStr">
        <is>
          <t>crop3</t>
        </is>
      </c>
      <c r="B1983" t="inlineStr">
        <is>
          <t>8.99</t>
        </is>
      </c>
      <c r="C1983" t="inlineStr">
        <is>
          <t>Other nuts</t>
        </is>
      </c>
      <c r="D1983" t="inlineStr">
        <is>
          <t>المكسرات الأخرى</t>
        </is>
      </c>
    </row>
    <row r="1984">
      <c r="A1984" t="inlineStr">
        <is>
          <t>crop3</t>
        </is>
      </c>
      <c r="B1984" t="inlineStr">
        <is>
          <t>9.1</t>
        </is>
      </c>
      <c r="C1984" t="inlineStr">
        <is>
          <t>Cocoa</t>
        </is>
      </c>
      <c r="D1984" t="inlineStr">
        <is>
          <t>الكاكاو</t>
        </is>
      </c>
    </row>
    <row r="1985">
      <c r="A1985" t="inlineStr">
        <is>
          <t>crop3</t>
        </is>
      </c>
      <c r="B1985" t="inlineStr">
        <is>
          <t>9.2</t>
        </is>
      </c>
      <c r="C1985" t="inlineStr">
        <is>
          <t>Coffee</t>
        </is>
      </c>
      <c r="D1985" t="inlineStr">
        <is>
          <t>القهوة</t>
        </is>
      </c>
    </row>
    <row r="1986">
      <c r="A1986" t="inlineStr">
        <is>
          <t>crop3</t>
        </is>
      </c>
      <c r="B1986" t="inlineStr">
        <is>
          <t>9.3</t>
        </is>
      </c>
      <c r="C1986" t="inlineStr">
        <is>
          <t>Tea</t>
        </is>
      </c>
      <c r="D1986" t="inlineStr">
        <is>
          <t>الشاي</t>
        </is>
      </c>
    </row>
    <row r="1987">
      <c r="A1987" t="inlineStr">
        <is>
          <t>crop3</t>
        </is>
      </c>
      <c r="B1987" t="inlineStr">
        <is>
          <t>9.4</t>
        </is>
      </c>
      <c r="C1987" t="inlineStr">
        <is>
          <t>Sugarcane</t>
        </is>
      </c>
      <c r="D1987" t="inlineStr">
        <is>
          <t>قصب السكر</t>
        </is>
      </c>
    </row>
    <row r="1988">
      <c r="A1988" t="inlineStr">
        <is>
          <t>crop3</t>
        </is>
      </c>
      <c r="B1988" t="inlineStr">
        <is>
          <t>9.5</t>
        </is>
      </c>
      <c r="C1988" t="inlineStr">
        <is>
          <t>Sunflower</t>
        </is>
      </c>
      <c r="D1988" t="inlineStr">
        <is>
          <t>دوار الشمس</t>
        </is>
      </c>
    </row>
    <row r="1989">
      <c r="A1989" t="inlineStr">
        <is>
          <t>crop3</t>
        </is>
      </c>
      <c r="B1989" t="inlineStr">
        <is>
          <t>9.99</t>
        </is>
      </c>
      <c r="C1989" t="inlineStr">
        <is>
          <t>Other food cash crop</t>
        </is>
      </c>
      <c r="D1989" t="inlineStr">
        <is>
          <t xml:space="preserve">المحاصيل الغذائية النقدية الأخرى </t>
        </is>
      </c>
    </row>
    <row r="1990">
      <c r="A1990" t="inlineStr">
        <is>
          <t>crop3</t>
        </is>
      </c>
      <c r="B1990" t="inlineStr">
        <is>
          <t>10.1</t>
        </is>
      </c>
      <c r="C1990" t="inlineStr">
        <is>
          <t>Cotton</t>
        </is>
      </c>
      <c r="D1990" t="inlineStr">
        <is>
          <t>القطن</t>
        </is>
      </c>
    </row>
    <row r="1991">
      <c r="A1991" t="inlineStr">
        <is>
          <t>crop3</t>
        </is>
      </c>
      <c r="B1991" t="inlineStr">
        <is>
          <t>10.2</t>
        </is>
      </c>
      <c r="C1991" t="inlineStr">
        <is>
          <t>Rubber</t>
        </is>
      </c>
      <c r="D1991" t="inlineStr">
        <is>
          <t>المطاط</t>
        </is>
      </c>
    </row>
    <row r="1992">
      <c r="A1992" t="inlineStr">
        <is>
          <t>crop3</t>
        </is>
      </c>
      <c r="B1992" t="inlineStr">
        <is>
          <t>10.3</t>
        </is>
      </c>
      <c r="C1992" t="inlineStr">
        <is>
          <t>Jute</t>
        </is>
      </c>
      <c r="D1992" t="inlineStr">
        <is>
          <t>الجوت</t>
        </is>
      </c>
    </row>
    <row r="1993">
      <c r="A1993" t="inlineStr">
        <is>
          <t>crop3</t>
        </is>
      </c>
      <c r="B1993" t="inlineStr">
        <is>
          <t>10.4</t>
        </is>
      </c>
      <c r="C1993" t="inlineStr">
        <is>
          <t>Fodder</t>
        </is>
      </c>
      <c r="D1993" t="inlineStr">
        <is>
          <t>العلف</t>
        </is>
      </c>
    </row>
    <row r="1994">
      <c r="A1994" t="inlineStr">
        <is>
          <t>crop3</t>
        </is>
      </c>
      <c r="B1994" t="inlineStr">
        <is>
          <t>10.5</t>
        </is>
      </c>
      <c r="C1994" t="inlineStr">
        <is>
          <t>Tobacco</t>
        </is>
      </c>
      <c r="D1994" t="inlineStr">
        <is>
          <t>التبغ</t>
        </is>
      </c>
    </row>
    <row r="1995">
      <c r="A1995" t="inlineStr">
        <is>
          <t>crop3</t>
        </is>
      </c>
      <c r="B1995" t="inlineStr">
        <is>
          <t>10.6</t>
        </is>
      </c>
      <c r="C1995" t="inlineStr">
        <is>
          <t>Qat</t>
        </is>
      </c>
      <c r="D1995" t="inlineStr">
        <is>
          <t>القات</t>
        </is>
      </c>
    </row>
    <row r="1996">
      <c r="A1996" t="inlineStr">
        <is>
          <t>crop3</t>
        </is>
      </c>
      <c r="B1996" t="inlineStr">
        <is>
          <t>10.99</t>
        </is>
      </c>
      <c r="C1996" t="inlineStr">
        <is>
          <t>Other non-food cash crop</t>
        </is>
      </c>
      <c r="D1996" t="inlineStr">
        <is>
          <t xml:space="preserve"> المحاصيل النقدية غير الغذائية الأخرى </t>
        </is>
      </c>
    </row>
    <row r="1997">
      <c r="A1997" t="inlineStr">
        <is>
          <t>crop3</t>
        </is>
      </c>
      <c r="B1997" t="inlineStr">
        <is>
          <t>888</t>
        </is>
      </c>
      <c r="C1997" t="inlineStr">
        <is>
          <t>Don't know</t>
        </is>
      </c>
      <c r="D1997" t="inlineStr">
        <is>
          <t>لا أعرف</t>
        </is>
      </c>
    </row>
    <row r="1998">
      <c r="A1998" t="inlineStr">
        <is>
          <t>crop3</t>
        </is>
      </c>
      <c r="B1998" t="inlineStr">
        <is>
          <t>999</t>
        </is>
      </c>
      <c r="C1998" t="inlineStr">
        <is>
          <t>Refused</t>
        </is>
      </c>
      <c r="D1998" t="inlineStr">
        <is>
          <t>رفض الإجابة</t>
        </is>
      </c>
    </row>
    <row r="2000">
      <c r="A2000" t="inlineStr">
        <is>
          <t>#ADMIN1#</t>
        </is>
      </c>
      <c r="B2000" t="inlineStr">
        <is>
          <t>SY01</t>
        </is>
      </c>
      <c r="C2000" t="inlineStr">
        <is>
          <t>Damascus</t>
        </is>
      </c>
    </row>
    <row r="2001">
      <c r="A2001" t="inlineStr">
        <is>
          <t>#ADMIN1#</t>
        </is>
      </c>
      <c r="B2001" t="inlineStr">
        <is>
          <t>SY02</t>
        </is>
      </c>
      <c r="C2001" t="inlineStr">
        <is>
          <t>Aleppo</t>
        </is>
      </c>
    </row>
    <row r="2002">
      <c r="A2002" t="inlineStr">
        <is>
          <t>#ADMIN1#</t>
        </is>
      </c>
      <c r="B2002" t="inlineStr">
        <is>
          <t>SY03</t>
        </is>
      </c>
      <c r="C2002" t="inlineStr">
        <is>
          <t>Rural Damascus</t>
        </is>
      </c>
    </row>
    <row r="2003">
      <c r="A2003" t="inlineStr">
        <is>
          <t>#ADMIN1#</t>
        </is>
      </c>
      <c r="B2003" t="inlineStr">
        <is>
          <t>SY04</t>
        </is>
      </c>
      <c r="C2003" t="inlineStr">
        <is>
          <t>Homs</t>
        </is>
      </c>
    </row>
    <row r="2004">
      <c r="A2004" t="inlineStr">
        <is>
          <t>#ADMIN1#</t>
        </is>
      </c>
      <c r="B2004" t="inlineStr">
        <is>
          <t>SY05</t>
        </is>
      </c>
      <c r="C2004" t="inlineStr">
        <is>
          <t>Hama</t>
        </is>
      </c>
    </row>
    <row r="2005">
      <c r="A2005" t="inlineStr">
        <is>
          <t>#ADMIN1#</t>
        </is>
      </c>
      <c r="B2005" t="inlineStr">
        <is>
          <t>SY06</t>
        </is>
      </c>
      <c r="C2005" t="inlineStr">
        <is>
          <t>Lattakia</t>
        </is>
      </c>
    </row>
    <row r="2006">
      <c r="A2006" t="inlineStr">
        <is>
          <t>#ADMIN1#</t>
        </is>
      </c>
      <c r="B2006" t="inlineStr">
        <is>
          <t>SY07</t>
        </is>
      </c>
      <c r="C2006" t="inlineStr">
        <is>
          <t>Idleb</t>
        </is>
      </c>
    </row>
    <row r="2007">
      <c r="A2007" t="inlineStr">
        <is>
          <t>#ADMIN1#</t>
        </is>
      </c>
      <c r="B2007" t="inlineStr">
        <is>
          <t>SY08</t>
        </is>
      </c>
      <c r="C2007" t="inlineStr">
        <is>
          <t>Al-Hasakeh</t>
        </is>
      </c>
    </row>
    <row r="2008">
      <c r="A2008" t="inlineStr">
        <is>
          <t>#ADMIN1#</t>
        </is>
      </c>
      <c r="B2008" t="inlineStr">
        <is>
          <t>SY09</t>
        </is>
      </c>
      <c r="C2008" t="inlineStr">
        <is>
          <t>Deir-ez-Zor</t>
        </is>
      </c>
    </row>
    <row r="2009">
      <c r="A2009" t="inlineStr">
        <is>
          <t>#ADMIN1#</t>
        </is>
      </c>
      <c r="B2009" t="inlineStr">
        <is>
          <t>SY10</t>
        </is>
      </c>
      <c r="C2009" t="inlineStr">
        <is>
          <t>Tartous</t>
        </is>
      </c>
    </row>
    <row r="2010">
      <c r="A2010" t="inlineStr">
        <is>
          <t>#ADMIN1#</t>
        </is>
      </c>
      <c r="B2010" t="inlineStr">
        <is>
          <t>SY11</t>
        </is>
      </c>
      <c r="C2010" t="inlineStr">
        <is>
          <t>Ar-Raqqa</t>
        </is>
      </c>
    </row>
    <row r="2011">
      <c r="A2011" t="inlineStr">
        <is>
          <t>#ADMIN1#</t>
        </is>
      </c>
      <c r="B2011" t="inlineStr">
        <is>
          <t>SY12</t>
        </is>
      </c>
      <c r="C2011" t="inlineStr">
        <is>
          <t>Dar'a</t>
        </is>
      </c>
    </row>
    <row r="2012">
      <c r="A2012" t="inlineStr">
        <is>
          <t>#ADMIN1#</t>
        </is>
      </c>
      <c r="B2012" t="inlineStr">
        <is>
          <t>SY13</t>
        </is>
      </c>
      <c r="C2012" t="inlineStr">
        <is>
          <t>As-Sweida</t>
        </is>
      </c>
    </row>
    <row r="2013">
      <c r="A2013" t="inlineStr">
        <is>
          <t>#ADMIN1#</t>
        </is>
      </c>
      <c r="B2013" t="inlineStr">
        <is>
          <t>SY14</t>
        </is>
      </c>
      <c r="C2013" t="inlineStr">
        <is>
          <t>Quneitra</t>
        </is>
      </c>
    </row>
    <row r="2015">
      <c r="A2015" t="inlineStr">
        <is>
          <t>#ADMIN2#</t>
        </is>
      </c>
      <c r="B2015" t="inlineStr">
        <is>
          <t>SY0100</t>
        </is>
      </c>
      <c r="C2015" t="inlineStr">
        <is>
          <t>Damascus</t>
        </is>
      </c>
      <c r="E2015" t="inlineStr">
        <is>
          <t>SY01</t>
        </is>
      </c>
    </row>
    <row r="2016">
      <c r="A2016" t="inlineStr">
        <is>
          <t>#ADMIN2#</t>
        </is>
      </c>
      <c r="B2016" t="inlineStr">
        <is>
          <t>SY0200</t>
        </is>
      </c>
      <c r="C2016" t="inlineStr">
        <is>
          <t>Jebel Saman</t>
        </is>
      </c>
      <c r="E2016" t="inlineStr">
        <is>
          <t>SY02</t>
        </is>
      </c>
    </row>
    <row r="2017">
      <c r="A2017" t="inlineStr">
        <is>
          <t>#ADMIN2#</t>
        </is>
      </c>
      <c r="B2017" t="inlineStr">
        <is>
          <t>SY0202</t>
        </is>
      </c>
      <c r="C2017" t="inlineStr">
        <is>
          <t>Al Bab</t>
        </is>
      </c>
      <c r="E2017" t="inlineStr">
        <is>
          <t>SY02</t>
        </is>
      </c>
    </row>
    <row r="2018">
      <c r="A2018" t="inlineStr">
        <is>
          <t>#ADMIN2#</t>
        </is>
      </c>
      <c r="B2018" t="inlineStr">
        <is>
          <t>SY0203</t>
        </is>
      </c>
      <c r="C2018" t="inlineStr">
        <is>
          <t>Afrin</t>
        </is>
      </c>
      <c r="E2018" t="inlineStr">
        <is>
          <t>SY02</t>
        </is>
      </c>
    </row>
    <row r="2019">
      <c r="A2019" t="inlineStr">
        <is>
          <t>#ADMIN2#</t>
        </is>
      </c>
      <c r="B2019" t="inlineStr">
        <is>
          <t>SY0204</t>
        </is>
      </c>
      <c r="C2019" t="inlineStr">
        <is>
          <t>A'zaz</t>
        </is>
      </c>
      <c r="E2019" t="inlineStr">
        <is>
          <t>SY02</t>
        </is>
      </c>
    </row>
    <row r="2020">
      <c r="A2020" t="inlineStr">
        <is>
          <t>#ADMIN2#</t>
        </is>
      </c>
      <c r="B2020" t="inlineStr">
        <is>
          <t>SY0205</t>
        </is>
      </c>
      <c r="C2020" t="inlineStr">
        <is>
          <t>Menbij</t>
        </is>
      </c>
      <c r="E2020" t="inlineStr">
        <is>
          <t>SY02</t>
        </is>
      </c>
    </row>
    <row r="2021">
      <c r="A2021" t="inlineStr">
        <is>
          <t>#ADMIN2#</t>
        </is>
      </c>
      <c r="B2021" t="inlineStr">
        <is>
          <t>SY0206</t>
        </is>
      </c>
      <c r="C2021" t="inlineStr">
        <is>
          <t>Ain Al Arab</t>
        </is>
      </c>
      <c r="E2021" t="inlineStr">
        <is>
          <t>SY02</t>
        </is>
      </c>
    </row>
    <row r="2022">
      <c r="A2022" t="inlineStr">
        <is>
          <t>#ADMIN2#</t>
        </is>
      </c>
      <c r="B2022" t="inlineStr">
        <is>
          <t>SY0207</t>
        </is>
      </c>
      <c r="C2022" t="inlineStr">
        <is>
          <t>As-Safira</t>
        </is>
      </c>
      <c r="E2022" t="inlineStr">
        <is>
          <t>SY02</t>
        </is>
      </c>
    </row>
    <row r="2023">
      <c r="A2023" t="inlineStr">
        <is>
          <t>#ADMIN2#</t>
        </is>
      </c>
      <c r="B2023" t="inlineStr">
        <is>
          <t>SY0208</t>
        </is>
      </c>
      <c r="C2023" t="inlineStr">
        <is>
          <t>Jarablus</t>
        </is>
      </c>
      <c r="E2023" t="inlineStr">
        <is>
          <t>SY02</t>
        </is>
      </c>
    </row>
    <row r="2024">
      <c r="A2024" t="inlineStr">
        <is>
          <t>#ADMIN2#</t>
        </is>
      </c>
      <c r="B2024" t="inlineStr">
        <is>
          <t>SY0301</t>
        </is>
      </c>
      <c r="C2024" t="inlineStr">
        <is>
          <t>Rural Damascus</t>
        </is>
      </c>
      <c r="E2024" t="inlineStr">
        <is>
          <t>SY03</t>
        </is>
      </c>
    </row>
    <row r="2025">
      <c r="A2025" t="inlineStr">
        <is>
          <t>#ADMIN2#</t>
        </is>
      </c>
      <c r="B2025" t="inlineStr">
        <is>
          <t>SY0302</t>
        </is>
      </c>
      <c r="C2025" t="inlineStr">
        <is>
          <t>Duma</t>
        </is>
      </c>
      <c r="E2025" t="inlineStr">
        <is>
          <t>SY03</t>
        </is>
      </c>
    </row>
    <row r="2026">
      <c r="A2026" t="inlineStr">
        <is>
          <t>#ADMIN2#</t>
        </is>
      </c>
      <c r="B2026" t="inlineStr">
        <is>
          <t>SY0303</t>
        </is>
      </c>
      <c r="C2026" t="inlineStr">
        <is>
          <t>Al Qutayfah</t>
        </is>
      </c>
      <c r="E2026" t="inlineStr">
        <is>
          <t>SY03</t>
        </is>
      </c>
    </row>
    <row r="2027">
      <c r="A2027" t="inlineStr">
        <is>
          <t>#ADMIN2#</t>
        </is>
      </c>
      <c r="B2027" t="inlineStr">
        <is>
          <t>SY0304</t>
        </is>
      </c>
      <c r="C2027" t="inlineStr">
        <is>
          <t>At Tall</t>
        </is>
      </c>
      <c r="E2027" t="inlineStr">
        <is>
          <t>SY03</t>
        </is>
      </c>
    </row>
    <row r="2028">
      <c r="A2028" t="inlineStr">
        <is>
          <t>#ADMIN2#</t>
        </is>
      </c>
      <c r="B2028" t="inlineStr">
        <is>
          <t>SY0305</t>
        </is>
      </c>
      <c r="C2028" t="inlineStr">
        <is>
          <t>Yabroud</t>
        </is>
      </c>
      <c r="E2028" t="inlineStr">
        <is>
          <t>SY03</t>
        </is>
      </c>
    </row>
    <row r="2029">
      <c r="A2029" t="inlineStr">
        <is>
          <t>#ADMIN2#</t>
        </is>
      </c>
      <c r="B2029" t="inlineStr">
        <is>
          <t>SY0306</t>
        </is>
      </c>
      <c r="C2029" t="inlineStr">
        <is>
          <t>An Nabk</t>
        </is>
      </c>
      <c r="E2029" t="inlineStr">
        <is>
          <t>SY03</t>
        </is>
      </c>
    </row>
    <row r="2030">
      <c r="A2030" t="inlineStr">
        <is>
          <t>#ADMIN2#</t>
        </is>
      </c>
      <c r="B2030" t="inlineStr">
        <is>
          <t>SY0307</t>
        </is>
      </c>
      <c r="C2030" t="inlineStr">
        <is>
          <t>Az-Zabdani</t>
        </is>
      </c>
      <c r="E2030" t="inlineStr">
        <is>
          <t>SY03</t>
        </is>
      </c>
    </row>
    <row r="2031">
      <c r="A2031" t="inlineStr">
        <is>
          <t>#ADMIN2#</t>
        </is>
      </c>
      <c r="B2031" t="inlineStr">
        <is>
          <t>SY0308</t>
        </is>
      </c>
      <c r="C2031" t="inlineStr">
        <is>
          <t>Qatana</t>
        </is>
      </c>
      <c r="E2031" t="inlineStr">
        <is>
          <t>SY03</t>
        </is>
      </c>
    </row>
    <row r="2032">
      <c r="A2032" t="inlineStr">
        <is>
          <t>#ADMIN2#</t>
        </is>
      </c>
      <c r="B2032" t="inlineStr">
        <is>
          <t>SY0309</t>
        </is>
      </c>
      <c r="C2032" t="inlineStr">
        <is>
          <t>Darayya</t>
        </is>
      </c>
      <c r="E2032" t="inlineStr">
        <is>
          <t>SY03</t>
        </is>
      </c>
    </row>
    <row r="2033">
      <c r="A2033" t="inlineStr">
        <is>
          <t>#ADMIN2#</t>
        </is>
      </c>
      <c r="B2033" t="inlineStr">
        <is>
          <t>SY0401</t>
        </is>
      </c>
      <c r="C2033" t="inlineStr">
        <is>
          <t>Homs</t>
        </is>
      </c>
      <c r="E2033" t="inlineStr">
        <is>
          <t>SY04</t>
        </is>
      </c>
    </row>
    <row r="2034">
      <c r="A2034" t="inlineStr">
        <is>
          <t>#ADMIN2#</t>
        </is>
      </c>
      <c r="B2034" t="inlineStr">
        <is>
          <t>SY0402</t>
        </is>
      </c>
      <c r="C2034" t="inlineStr">
        <is>
          <t>Al-Qusayr</t>
        </is>
      </c>
      <c r="E2034" t="inlineStr">
        <is>
          <t>SY04</t>
        </is>
      </c>
    </row>
    <row r="2035">
      <c r="A2035" t="inlineStr">
        <is>
          <t>#ADMIN2#</t>
        </is>
      </c>
      <c r="B2035" t="inlineStr">
        <is>
          <t>SY0403</t>
        </is>
      </c>
      <c r="C2035" t="inlineStr">
        <is>
          <t>Tall Kalakh</t>
        </is>
      </c>
      <c r="E2035" t="inlineStr">
        <is>
          <t>SY04</t>
        </is>
      </c>
    </row>
    <row r="2036">
      <c r="A2036" t="inlineStr">
        <is>
          <t>#ADMIN2#</t>
        </is>
      </c>
      <c r="B2036" t="inlineStr">
        <is>
          <t>SY0404</t>
        </is>
      </c>
      <c r="C2036" t="inlineStr">
        <is>
          <t>Ar-Rastan</t>
        </is>
      </c>
      <c r="E2036" t="inlineStr">
        <is>
          <t>SY04</t>
        </is>
      </c>
    </row>
    <row r="2037">
      <c r="A2037" t="inlineStr">
        <is>
          <t>#ADMIN2#</t>
        </is>
      </c>
      <c r="B2037" t="inlineStr">
        <is>
          <t>SY0405</t>
        </is>
      </c>
      <c r="C2037" t="inlineStr">
        <is>
          <t>Tadmor</t>
        </is>
      </c>
      <c r="E2037" t="inlineStr">
        <is>
          <t>SY04</t>
        </is>
      </c>
    </row>
    <row r="2038">
      <c r="A2038" t="inlineStr">
        <is>
          <t>#ADMIN2#</t>
        </is>
      </c>
      <c r="B2038" t="inlineStr">
        <is>
          <t>SY0406</t>
        </is>
      </c>
      <c r="C2038" t="inlineStr">
        <is>
          <t>Al Makhrim</t>
        </is>
      </c>
      <c r="E2038" t="inlineStr">
        <is>
          <t>SY04</t>
        </is>
      </c>
    </row>
    <row r="2039">
      <c r="A2039" t="inlineStr">
        <is>
          <t>#ADMIN2#</t>
        </is>
      </c>
      <c r="B2039" t="inlineStr">
        <is>
          <t>SY0501</t>
        </is>
      </c>
      <c r="C2039" t="inlineStr">
        <is>
          <t>Hama</t>
        </is>
      </c>
      <c r="E2039" t="inlineStr">
        <is>
          <t>SY05</t>
        </is>
      </c>
    </row>
    <row r="2040">
      <c r="A2040" t="inlineStr">
        <is>
          <t>#ADMIN2#</t>
        </is>
      </c>
      <c r="B2040" t="inlineStr">
        <is>
          <t>SY0502</t>
        </is>
      </c>
      <c r="C2040" t="inlineStr">
        <is>
          <t>As-Suqaylabiyah</t>
        </is>
      </c>
      <c r="E2040" t="inlineStr">
        <is>
          <t>SY05</t>
        </is>
      </c>
    </row>
    <row r="2041">
      <c r="A2041" t="inlineStr">
        <is>
          <t>#ADMIN2#</t>
        </is>
      </c>
      <c r="B2041" t="inlineStr">
        <is>
          <t>SY0503</t>
        </is>
      </c>
      <c r="C2041" t="inlineStr">
        <is>
          <t>As-Salamiyeh</t>
        </is>
      </c>
      <c r="E2041" t="inlineStr">
        <is>
          <t>SY05</t>
        </is>
      </c>
    </row>
    <row r="2042">
      <c r="A2042" t="inlineStr">
        <is>
          <t>#ADMIN2#</t>
        </is>
      </c>
      <c r="B2042" t="inlineStr">
        <is>
          <t>SY0504</t>
        </is>
      </c>
      <c r="C2042" t="inlineStr">
        <is>
          <t>Masyaf</t>
        </is>
      </c>
      <c r="E2042" t="inlineStr">
        <is>
          <t>SY05</t>
        </is>
      </c>
    </row>
    <row r="2043">
      <c r="A2043" t="inlineStr">
        <is>
          <t>#ADMIN2#</t>
        </is>
      </c>
      <c r="B2043" t="inlineStr">
        <is>
          <t>SY0505</t>
        </is>
      </c>
      <c r="C2043" t="inlineStr">
        <is>
          <t>Muhradah</t>
        </is>
      </c>
      <c r="E2043" t="inlineStr">
        <is>
          <t>SY05</t>
        </is>
      </c>
    </row>
    <row r="2044">
      <c r="A2044" t="inlineStr">
        <is>
          <t>#ADMIN2#</t>
        </is>
      </c>
      <c r="B2044" t="inlineStr">
        <is>
          <t>SY0600</t>
        </is>
      </c>
      <c r="C2044" t="inlineStr">
        <is>
          <t>Lattakia</t>
        </is>
      </c>
      <c r="E2044" t="inlineStr">
        <is>
          <t>SY06</t>
        </is>
      </c>
    </row>
    <row r="2045">
      <c r="A2045" t="inlineStr">
        <is>
          <t>#ADMIN2#</t>
        </is>
      </c>
      <c r="B2045" t="inlineStr">
        <is>
          <t>SY0602</t>
        </is>
      </c>
      <c r="C2045" t="inlineStr">
        <is>
          <t>Jablah</t>
        </is>
      </c>
      <c r="E2045" t="inlineStr">
        <is>
          <t>SY06</t>
        </is>
      </c>
    </row>
    <row r="2046">
      <c r="A2046" t="inlineStr">
        <is>
          <t>#ADMIN2#</t>
        </is>
      </c>
      <c r="B2046" t="inlineStr">
        <is>
          <t>SY0603</t>
        </is>
      </c>
      <c r="C2046" t="inlineStr">
        <is>
          <t>Al-Haffa</t>
        </is>
      </c>
      <c r="E2046" t="inlineStr">
        <is>
          <t>SY06</t>
        </is>
      </c>
    </row>
    <row r="2047">
      <c r="A2047" t="inlineStr">
        <is>
          <t>#ADMIN2#</t>
        </is>
      </c>
      <c r="B2047" t="inlineStr">
        <is>
          <t>SY0604</t>
        </is>
      </c>
      <c r="C2047" t="inlineStr">
        <is>
          <t>Al-Qardaha</t>
        </is>
      </c>
      <c r="E2047" t="inlineStr">
        <is>
          <t>SY06</t>
        </is>
      </c>
    </row>
    <row r="2048">
      <c r="A2048" t="inlineStr">
        <is>
          <t>#ADMIN2#</t>
        </is>
      </c>
      <c r="B2048" t="inlineStr">
        <is>
          <t>SY0700</t>
        </is>
      </c>
      <c r="C2048" t="inlineStr">
        <is>
          <t>Idleb</t>
        </is>
      </c>
      <c r="E2048" t="inlineStr">
        <is>
          <t>SY07</t>
        </is>
      </c>
    </row>
    <row r="2049">
      <c r="A2049" t="inlineStr">
        <is>
          <t>#ADMIN2#</t>
        </is>
      </c>
      <c r="B2049" t="inlineStr">
        <is>
          <t>SY0702</t>
        </is>
      </c>
      <c r="C2049" t="inlineStr">
        <is>
          <t>Al Ma'ra</t>
        </is>
      </c>
      <c r="E2049" t="inlineStr">
        <is>
          <t>SY07</t>
        </is>
      </c>
    </row>
    <row r="2050">
      <c r="A2050" t="inlineStr">
        <is>
          <t>#ADMIN2#</t>
        </is>
      </c>
      <c r="B2050" t="inlineStr">
        <is>
          <t>SY0703</t>
        </is>
      </c>
      <c r="C2050" t="inlineStr">
        <is>
          <t>Harim</t>
        </is>
      </c>
      <c r="E2050" t="inlineStr">
        <is>
          <t>SY07</t>
        </is>
      </c>
    </row>
    <row r="2051">
      <c r="A2051" t="inlineStr">
        <is>
          <t>#ADMIN2#</t>
        </is>
      </c>
      <c r="B2051" t="inlineStr">
        <is>
          <t>SY0704</t>
        </is>
      </c>
      <c r="C2051" t="inlineStr">
        <is>
          <t>Jisr-Ash-Shugur</t>
        </is>
      </c>
      <c r="E2051" t="inlineStr">
        <is>
          <t>SY07</t>
        </is>
      </c>
    </row>
    <row r="2052">
      <c r="A2052" t="inlineStr">
        <is>
          <t>#ADMIN2#</t>
        </is>
      </c>
      <c r="B2052" t="inlineStr">
        <is>
          <t>SY0705</t>
        </is>
      </c>
      <c r="C2052" t="inlineStr">
        <is>
          <t>Ariha</t>
        </is>
      </c>
      <c r="E2052" t="inlineStr">
        <is>
          <t>SY07</t>
        </is>
      </c>
    </row>
    <row r="2053">
      <c r="A2053" t="inlineStr">
        <is>
          <t>#ADMIN2#</t>
        </is>
      </c>
      <c r="B2053" t="inlineStr">
        <is>
          <t>SY0800</t>
        </is>
      </c>
      <c r="C2053" t="inlineStr">
        <is>
          <t>Al-Hasakeh</t>
        </is>
      </c>
      <c r="E2053" t="inlineStr">
        <is>
          <t>SY08</t>
        </is>
      </c>
    </row>
    <row r="2054">
      <c r="A2054" t="inlineStr">
        <is>
          <t>#ADMIN2#</t>
        </is>
      </c>
      <c r="B2054" t="inlineStr">
        <is>
          <t>SY0802</t>
        </is>
      </c>
      <c r="C2054" t="inlineStr">
        <is>
          <t>Quamishli</t>
        </is>
      </c>
      <c r="E2054" t="inlineStr">
        <is>
          <t>SY08</t>
        </is>
      </c>
    </row>
    <row r="2055">
      <c r="A2055" t="inlineStr">
        <is>
          <t>#ADMIN2#</t>
        </is>
      </c>
      <c r="B2055" t="inlineStr">
        <is>
          <t>SY0803</t>
        </is>
      </c>
      <c r="C2055" t="inlineStr">
        <is>
          <t>Al-Malikeyyeh</t>
        </is>
      </c>
      <c r="E2055" t="inlineStr">
        <is>
          <t>SY08</t>
        </is>
      </c>
    </row>
    <row r="2056">
      <c r="A2056" t="inlineStr">
        <is>
          <t>#ADMIN2#</t>
        </is>
      </c>
      <c r="B2056" t="inlineStr">
        <is>
          <t>SY0804</t>
        </is>
      </c>
      <c r="C2056" t="inlineStr">
        <is>
          <t>Ras Al Ain</t>
        </is>
      </c>
      <c r="E2056" t="inlineStr">
        <is>
          <t>SY08</t>
        </is>
      </c>
    </row>
    <row r="2057">
      <c r="A2057" t="inlineStr">
        <is>
          <t>#ADMIN2#</t>
        </is>
      </c>
      <c r="B2057" t="inlineStr">
        <is>
          <t>SY0901</t>
        </is>
      </c>
      <c r="C2057" t="inlineStr">
        <is>
          <t>Deir-ez-Zor</t>
        </is>
      </c>
      <c r="E2057" t="inlineStr">
        <is>
          <t>SY09</t>
        </is>
      </c>
    </row>
    <row r="2058">
      <c r="A2058" t="inlineStr">
        <is>
          <t>#ADMIN2#</t>
        </is>
      </c>
      <c r="B2058" t="inlineStr">
        <is>
          <t>SY0902</t>
        </is>
      </c>
      <c r="C2058" t="inlineStr">
        <is>
          <t>Abu Kamal</t>
        </is>
      </c>
      <c r="E2058" t="inlineStr">
        <is>
          <t>SY09</t>
        </is>
      </c>
    </row>
    <row r="2059">
      <c r="A2059" t="inlineStr">
        <is>
          <t>#ADMIN2#</t>
        </is>
      </c>
      <c r="B2059" t="inlineStr">
        <is>
          <t>SY0903</t>
        </is>
      </c>
      <c r="C2059" t="inlineStr">
        <is>
          <t>Al Mayadin</t>
        </is>
      </c>
      <c r="E2059" t="inlineStr">
        <is>
          <t>SY09</t>
        </is>
      </c>
    </row>
    <row r="2060">
      <c r="A2060" t="inlineStr">
        <is>
          <t>#ADMIN2#</t>
        </is>
      </c>
      <c r="B2060" t="inlineStr">
        <is>
          <t>SY1000</t>
        </is>
      </c>
      <c r="C2060" t="inlineStr">
        <is>
          <t>Tartous</t>
        </is>
      </c>
      <c r="E2060" t="inlineStr">
        <is>
          <t>SY10</t>
        </is>
      </c>
    </row>
    <row r="2061">
      <c r="A2061" t="inlineStr">
        <is>
          <t>#ADMIN2#</t>
        </is>
      </c>
      <c r="B2061" t="inlineStr">
        <is>
          <t>SY1002</t>
        </is>
      </c>
      <c r="C2061" t="inlineStr">
        <is>
          <t>Banyas</t>
        </is>
      </c>
      <c r="E2061" t="inlineStr">
        <is>
          <t>SY10</t>
        </is>
      </c>
    </row>
    <row r="2062">
      <c r="A2062" t="inlineStr">
        <is>
          <t>#ADMIN2#</t>
        </is>
      </c>
      <c r="B2062" t="inlineStr">
        <is>
          <t>SY1003</t>
        </is>
      </c>
      <c r="C2062" t="inlineStr">
        <is>
          <t>Safita</t>
        </is>
      </c>
      <c r="E2062" t="inlineStr">
        <is>
          <t>SY10</t>
        </is>
      </c>
    </row>
    <row r="2063">
      <c r="A2063" t="inlineStr">
        <is>
          <t>#ADMIN2#</t>
        </is>
      </c>
      <c r="B2063" t="inlineStr">
        <is>
          <t>SY1004</t>
        </is>
      </c>
      <c r="C2063" t="inlineStr">
        <is>
          <t>Dreikish</t>
        </is>
      </c>
      <c r="E2063" t="inlineStr">
        <is>
          <t>SY10</t>
        </is>
      </c>
    </row>
    <row r="2064">
      <c r="A2064" t="inlineStr">
        <is>
          <t>#ADMIN2#</t>
        </is>
      </c>
      <c r="B2064" t="inlineStr">
        <is>
          <t>SY1005</t>
        </is>
      </c>
      <c r="C2064" t="inlineStr">
        <is>
          <t>Sheikh Badr</t>
        </is>
      </c>
      <c r="E2064" t="inlineStr">
        <is>
          <t>SY10</t>
        </is>
      </c>
    </row>
    <row r="2065">
      <c r="A2065" t="inlineStr">
        <is>
          <t>#ADMIN2#</t>
        </is>
      </c>
      <c r="B2065" t="inlineStr">
        <is>
          <t>SY1006</t>
        </is>
      </c>
      <c r="C2065" t="inlineStr">
        <is>
          <t>Qadmous</t>
        </is>
      </c>
      <c r="E2065" t="inlineStr">
        <is>
          <t>SY10</t>
        </is>
      </c>
    </row>
    <row r="2066">
      <c r="A2066" t="inlineStr">
        <is>
          <t>#ADMIN2#</t>
        </is>
      </c>
      <c r="B2066" t="inlineStr">
        <is>
          <t>SY1101</t>
        </is>
      </c>
      <c r="C2066" t="inlineStr">
        <is>
          <t>Ar-Raqqa</t>
        </is>
      </c>
      <c r="E2066" t="inlineStr">
        <is>
          <t>SY11</t>
        </is>
      </c>
    </row>
    <row r="2067">
      <c r="A2067" t="inlineStr">
        <is>
          <t>#ADMIN2#</t>
        </is>
      </c>
      <c r="B2067" t="inlineStr">
        <is>
          <t>SY1102</t>
        </is>
      </c>
      <c r="C2067" t="inlineStr">
        <is>
          <t>Tell Abiad</t>
        </is>
      </c>
      <c r="E2067" t="inlineStr">
        <is>
          <t>SY11</t>
        </is>
      </c>
    </row>
    <row r="2068">
      <c r="A2068" t="inlineStr">
        <is>
          <t>#ADMIN2#</t>
        </is>
      </c>
      <c r="B2068" t="inlineStr">
        <is>
          <t>SY1103</t>
        </is>
      </c>
      <c r="C2068" t="inlineStr">
        <is>
          <t>Ath-Thawrah</t>
        </is>
      </c>
      <c r="E2068" t="inlineStr">
        <is>
          <t>SY11</t>
        </is>
      </c>
    </row>
    <row r="2069">
      <c r="A2069" t="inlineStr">
        <is>
          <t>#ADMIN2#</t>
        </is>
      </c>
      <c r="B2069" t="inlineStr">
        <is>
          <t>SY1200</t>
        </is>
      </c>
      <c r="C2069" t="inlineStr">
        <is>
          <t>Dar'a</t>
        </is>
      </c>
      <c r="E2069" t="inlineStr">
        <is>
          <t>SY12</t>
        </is>
      </c>
    </row>
    <row r="2070">
      <c r="A2070" t="inlineStr">
        <is>
          <t>#ADMIN2#</t>
        </is>
      </c>
      <c r="B2070" t="inlineStr">
        <is>
          <t>SY1202</t>
        </is>
      </c>
      <c r="C2070" t="inlineStr">
        <is>
          <t>As-Sanamayn</t>
        </is>
      </c>
      <c r="E2070" t="inlineStr">
        <is>
          <t>SY12</t>
        </is>
      </c>
    </row>
    <row r="2071">
      <c r="A2071" t="inlineStr">
        <is>
          <t>#ADMIN2#</t>
        </is>
      </c>
      <c r="B2071" t="inlineStr">
        <is>
          <t>SY1203</t>
        </is>
      </c>
      <c r="C2071" t="inlineStr">
        <is>
          <t>Izra'</t>
        </is>
      </c>
      <c r="E2071" t="inlineStr">
        <is>
          <t>SY12</t>
        </is>
      </c>
    </row>
    <row r="2072">
      <c r="A2072" t="inlineStr">
        <is>
          <t>#ADMIN2#</t>
        </is>
      </c>
      <c r="B2072" t="inlineStr">
        <is>
          <t>SY1300</t>
        </is>
      </c>
      <c r="C2072" t="inlineStr">
        <is>
          <t>As-Sweida</t>
        </is>
      </c>
      <c r="E2072" t="inlineStr">
        <is>
          <t>SY13</t>
        </is>
      </c>
    </row>
    <row r="2073">
      <c r="A2073" t="inlineStr">
        <is>
          <t>#ADMIN2#</t>
        </is>
      </c>
      <c r="B2073" t="inlineStr">
        <is>
          <t>SY1302</t>
        </is>
      </c>
      <c r="C2073" t="inlineStr">
        <is>
          <t>Salkhad</t>
        </is>
      </c>
      <c r="E2073" t="inlineStr">
        <is>
          <t>SY13</t>
        </is>
      </c>
    </row>
    <row r="2074">
      <c r="A2074" t="inlineStr">
        <is>
          <t>#ADMIN2#</t>
        </is>
      </c>
      <c r="B2074" t="inlineStr">
        <is>
          <t>SY1303</t>
        </is>
      </c>
      <c r="C2074" t="inlineStr">
        <is>
          <t>Shahba</t>
        </is>
      </c>
      <c r="E2074" t="inlineStr">
        <is>
          <t>SY13</t>
        </is>
      </c>
    </row>
    <row r="2075">
      <c r="A2075" t="inlineStr">
        <is>
          <t>#ADMIN2#</t>
        </is>
      </c>
      <c r="B2075" t="inlineStr">
        <is>
          <t>SY1400</t>
        </is>
      </c>
      <c r="C2075" t="inlineStr">
        <is>
          <t>Quneitra</t>
        </is>
      </c>
      <c r="E2075" t="inlineStr">
        <is>
          <t>SY14</t>
        </is>
      </c>
    </row>
    <row r="2076">
      <c r="A2076" t="inlineStr">
        <is>
          <t>#ADMIN2#</t>
        </is>
      </c>
      <c r="B2076" t="inlineStr">
        <is>
          <t>SY1402</t>
        </is>
      </c>
      <c r="C2076" t="inlineStr">
        <is>
          <t>Al Fiq</t>
        </is>
      </c>
      <c r="E2076" t="inlineStr">
        <is>
          <t>SY14</t>
        </is>
      </c>
    </row>
  </sheetData>
  <autoFilter ref="A1:A1717"/>
  <conditionalFormatting sqref="C1:C1048576">
    <cfRule type="duplicateValues" priority="1" dxfId="0"/>
  </conditionalFormatting>
  <conditionalFormatting sqref="C847:C939">
    <cfRule type="duplicateValues" priority="2" dxfId="0"/>
  </conditionalFormatting>
  <conditionalFormatting sqref="D10 D12:D15 D17:D26">
    <cfRule type="duplicateValues" priority="2477" dxfId="0"/>
  </conditionalFormatting>
  <conditionalFormatting sqref="D10">
    <cfRule type="duplicateValues" priority="426" dxfId="0"/>
    <cfRule type="duplicateValues" priority="431" dxfId="0"/>
    <cfRule type="duplicateValues" priority="430" dxfId="0"/>
    <cfRule type="duplicateValues" priority="429" dxfId="0"/>
    <cfRule type="duplicateValues" priority="428" dxfId="0"/>
    <cfRule type="duplicateValues" priority="427" dxfId="0"/>
    <cfRule type="duplicateValues" priority="440" dxfId="0"/>
  </conditionalFormatting>
  <conditionalFormatting sqref="D11">
    <cfRule type="duplicateValues" priority="5" dxfId="0"/>
    <cfRule type="duplicateValues" priority="6" dxfId="0"/>
    <cfRule type="duplicateValues" priority="7" dxfId="0"/>
    <cfRule type="duplicateValues" priority="8" dxfId="0"/>
    <cfRule type="duplicateValues" priority="9" dxfId="0"/>
    <cfRule type="duplicateValues" priority="10" dxfId="0"/>
    <cfRule type="duplicateValues" priority="11" dxfId="0"/>
    <cfRule type="duplicateValues" priority="12" dxfId="0"/>
    <cfRule type="duplicateValues" priority="13" dxfId="0"/>
    <cfRule type="duplicateValues" priority="14" dxfId="0"/>
    <cfRule type="duplicateValues" priority="15" dxfId="0"/>
    <cfRule type="duplicateValues" priority="16" dxfId="0"/>
    <cfRule type="duplicateValues" priority="17" dxfId="0"/>
    <cfRule type="duplicateValues" priority="18" dxfId="0"/>
    <cfRule type="duplicateValues" priority="19" dxfId="0"/>
    <cfRule type="duplicateValues" priority="20" dxfId="0"/>
    <cfRule type="duplicateValues" priority="29" dxfId="0"/>
    <cfRule type="duplicateValues" priority="30" dxfId="0"/>
    <cfRule type="duplicateValues" priority="31" dxfId="0"/>
    <cfRule type="duplicateValues" priority="32" dxfId="0"/>
    <cfRule type="duplicateValues" priority="23" dxfId="0"/>
    <cfRule type="duplicateValues" priority="24" dxfId="0"/>
    <cfRule type="duplicateValues" priority="25" dxfId="0"/>
    <cfRule type="duplicateValues" priority="21" dxfId="0"/>
    <cfRule type="duplicateValues" priority="26" dxfId="0"/>
    <cfRule type="duplicateValues" priority="27" dxfId="0"/>
    <cfRule type="duplicateValues" priority="28" dxfId="0"/>
    <cfRule type="duplicateValues" priority="22" dxfId="0"/>
  </conditionalFormatting>
  <conditionalFormatting sqref="D12">
    <cfRule type="duplicateValues" priority="165" dxfId="0"/>
    <cfRule type="duplicateValues" priority="160" dxfId="0"/>
    <cfRule type="duplicateValues" priority="169" dxfId="0"/>
    <cfRule type="duplicateValues" priority="168" dxfId="0"/>
    <cfRule type="duplicateValues" priority="167" dxfId="0"/>
    <cfRule type="duplicateValues" priority="166" dxfId="0"/>
    <cfRule type="duplicateValues" priority="164" dxfId="0"/>
    <cfRule type="duplicateValues" priority="163" dxfId="0"/>
    <cfRule type="duplicateValues" priority="162" dxfId="0"/>
    <cfRule type="duplicateValues" priority="161" dxfId="0"/>
    <cfRule type="duplicateValues" priority="150" dxfId="0"/>
    <cfRule type="duplicateValues" priority="151" dxfId="0"/>
    <cfRule type="duplicateValues" priority="152" dxfId="0"/>
    <cfRule type="duplicateValues" priority="153" dxfId="0"/>
    <cfRule type="duplicateValues" priority="154" dxfId="0"/>
    <cfRule type="duplicateValues" priority="156" dxfId="0"/>
    <cfRule type="duplicateValues" priority="157" dxfId="0"/>
    <cfRule type="duplicateValues" priority="158" dxfId="0"/>
    <cfRule type="duplicateValues" priority="155" dxfId="0"/>
    <cfRule type="duplicateValues" priority="159" dxfId="0"/>
  </conditionalFormatting>
  <conditionalFormatting sqref="D12:D15 D17:D37">
    <cfRule type="duplicateValues" priority="2481" dxfId="0"/>
  </conditionalFormatting>
  <conditionalFormatting sqref="D13">
    <cfRule type="duplicateValues" priority="407" dxfId="0"/>
    <cfRule type="duplicateValues" priority="411" dxfId="0"/>
    <cfRule type="duplicateValues" priority="413" dxfId="0"/>
    <cfRule type="duplicateValues" priority="408" dxfId="0"/>
    <cfRule type="duplicateValues" priority="409" dxfId="0"/>
    <cfRule type="duplicateValues" priority="410" dxfId="0"/>
    <cfRule type="duplicateValues" priority="412" dxfId="0"/>
  </conditionalFormatting>
  <conditionalFormatting sqref="D14">
    <cfRule type="duplicateValues" priority="376" dxfId="0"/>
    <cfRule type="duplicateValues" priority="375" dxfId="0"/>
    <cfRule type="duplicateValues" priority="374" dxfId="0"/>
    <cfRule type="duplicateValues" priority="362" dxfId="0"/>
    <cfRule type="duplicateValues" priority="363" dxfId="0"/>
    <cfRule type="duplicateValues" priority="364" dxfId="0"/>
    <cfRule type="duplicateValues" priority="361" dxfId="0"/>
    <cfRule type="duplicateValues" priority="365" dxfId="0"/>
    <cfRule type="duplicateValues" priority="366" dxfId="0"/>
    <cfRule type="duplicateValues" priority="368" dxfId="0"/>
    <cfRule type="duplicateValues" priority="369" dxfId="0"/>
    <cfRule type="duplicateValues" priority="373" dxfId="0"/>
    <cfRule type="duplicateValues" priority="370" dxfId="0"/>
    <cfRule type="duplicateValues" priority="371" dxfId="0"/>
    <cfRule type="duplicateValues" priority="372" dxfId="0"/>
    <cfRule type="duplicateValues" priority="381" dxfId="0"/>
    <cfRule type="duplicateValues" priority="367" dxfId="0"/>
    <cfRule type="duplicateValues" priority="380" dxfId="0"/>
    <cfRule type="duplicateValues" priority="379" dxfId="0"/>
    <cfRule type="duplicateValues" priority="378" dxfId="0"/>
    <cfRule type="duplicateValues" priority="377" dxfId="0"/>
  </conditionalFormatting>
  <conditionalFormatting sqref="D15">
    <cfRule type="duplicateValues" priority="438" dxfId="0"/>
    <cfRule type="duplicateValues" priority="433" dxfId="0"/>
    <cfRule type="duplicateValues" priority="432" dxfId="0"/>
    <cfRule type="duplicateValues" priority="434" dxfId="0"/>
    <cfRule type="duplicateValues" priority="435" dxfId="0"/>
    <cfRule type="duplicateValues" priority="436" dxfId="0"/>
    <cfRule type="duplicateValues" priority="437" dxfId="0"/>
  </conditionalFormatting>
  <conditionalFormatting sqref="D16">
    <cfRule type="duplicateValues" priority="34" dxfId="0"/>
    <cfRule type="duplicateValues" priority="35" dxfId="0"/>
    <cfRule type="duplicateValues" priority="33" dxfId="0"/>
  </conditionalFormatting>
  <conditionalFormatting sqref="D17">
    <cfRule type="duplicateValues" priority="322" dxfId="0"/>
    <cfRule type="duplicateValues" priority="323" dxfId="0"/>
    <cfRule type="duplicateValues" priority="324" dxfId="0"/>
    <cfRule type="duplicateValues" priority="326" dxfId="0"/>
    <cfRule type="duplicateValues" priority="327" dxfId="0"/>
    <cfRule type="duplicateValues" priority="328" dxfId="0"/>
    <cfRule type="duplicateValues" priority="329" dxfId="0"/>
    <cfRule type="duplicateValues" priority="330" dxfId="0"/>
    <cfRule type="duplicateValues" priority="331" dxfId="0"/>
    <cfRule type="duplicateValues" priority="332" dxfId="0"/>
    <cfRule type="duplicateValues" priority="325" dxfId="0"/>
    <cfRule type="duplicateValues" priority="336" dxfId="0"/>
    <cfRule type="duplicateValues" priority="316" dxfId="0"/>
    <cfRule type="duplicateValues" priority="317" dxfId="0"/>
    <cfRule type="duplicateValues" priority="338" dxfId="0"/>
    <cfRule type="duplicateValues" priority="337" dxfId="0"/>
    <cfRule type="duplicateValues" priority="335" dxfId="0"/>
    <cfRule type="duplicateValues" priority="334" dxfId="0"/>
    <cfRule type="duplicateValues" priority="318" dxfId="0"/>
    <cfRule type="duplicateValues" priority="319" dxfId="0"/>
    <cfRule type="duplicateValues" priority="320" dxfId="0"/>
    <cfRule type="duplicateValues" priority="321" dxfId="0"/>
    <cfRule type="duplicateValues" priority="333" dxfId="0"/>
  </conditionalFormatting>
  <conditionalFormatting sqref="D18">
    <cfRule type="duplicateValues" priority="400" dxfId="0"/>
    <cfRule type="duplicateValues" priority="401" dxfId="0"/>
    <cfRule type="duplicateValues" priority="402" dxfId="0"/>
    <cfRule type="duplicateValues" priority="406" dxfId="0"/>
    <cfRule type="duplicateValues" priority="405" dxfId="0"/>
    <cfRule type="duplicateValues" priority="404" dxfId="0"/>
    <cfRule type="duplicateValues" priority="403" dxfId="0"/>
  </conditionalFormatting>
  <conditionalFormatting sqref="D19">
    <cfRule type="duplicateValues" priority="210" dxfId="0"/>
    <cfRule type="duplicateValues" priority="212" dxfId="0"/>
    <cfRule type="duplicateValues" priority="211" dxfId="0"/>
  </conditionalFormatting>
  <conditionalFormatting sqref="D20">
    <cfRule type="duplicateValues" priority="214" dxfId="0"/>
    <cfRule type="duplicateValues" priority="213" dxfId="0"/>
    <cfRule type="duplicateValues" priority="215" dxfId="0"/>
  </conditionalFormatting>
  <conditionalFormatting sqref="D21">
    <cfRule type="duplicateValues" priority="310" dxfId="0"/>
    <cfRule type="duplicateValues" priority="313" dxfId="0"/>
    <cfRule type="duplicateValues" priority="315" dxfId="0"/>
    <cfRule type="duplicateValues" priority="314" dxfId="0"/>
    <cfRule type="duplicateValues" priority="312" dxfId="0"/>
    <cfRule type="duplicateValues" priority="311" dxfId="0"/>
  </conditionalFormatting>
  <conditionalFormatting sqref="D22">
    <cfRule type="duplicateValues" priority="224" dxfId="0"/>
    <cfRule type="duplicateValues" priority="232" dxfId="0"/>
    <cfRule type="duplicateValues" priority="233" dxfId="0"/>
    <cfRule type="duplicateValues" priority="235" dxfId="0"/>
    <cfRule type="duplicateValues" priority="236" dxfId="0"/>
    <cfRule type="duplicateValues" priority="223" dxfId="0"/>
    <cfRule type="duplicateValues" priority="222" dxfId="0"/>
    <cfRule type="duplicateValues" priority="221" dxfId="0"/>
    <cfRule type="duplicateValues" priority="220" dxfId="0"/>
    <cfRule type="duplicateValues" priority="219" dxfId="0"/>
    <cfRule type="duplicateValues" priority="230" dxfId="0"/>
    <cfRule type="duplicateValues" priority="231" dxfId="0"/>
    <cfRule type="duplicateValues" priority="229" dxfId="0"/>
    <cfRule type="duplicateValues" priority="234" dxfId="0"/>
    <cfRule type="duplicateValues" priority="228" dxfId="0"/>
    <cfRule type="duplicateValues" priority="227" dxfId="0"/>
    <cfRule type="duplicateValues" priority="225" dxfId="0"/>
    <cfRule type="duplicateValues" priority="226" dxfId="0"/>
  </conditionalFormatting>
  <conditionalFormatting sqref="D23">
    <cfRule type="duplicateValues" priority="277" dxfId="0"/>
    <cfRule type="duplicateValues" priority="261" dxfId="0"/>
    <cfRule type="duplicateValues" priority="262" dxfId="0"/>
    <cfRule type="duplicateValues" priority="263" dxfId="0"/>
    <cfRule type="duplicateValues" priority="264" dxfId="0"/>
    <cfRule type="duplicateValues" priority="265" dxfId="0"/>
    <cfRule type="duplicateValues" priority="266" dxfId="0"/>
    <cfRule type="duplicateValues" priority="267" dxfId="0"/>
    <cfRule type="duplicateValues" priority="268" dxfId="0"/>
    <cfRule type="duplicateValues" priority="269" dxfId="0"/>
    <cfRule type="duplicateValues" priority="270" dxfId="0"/>
    <cfRule type="duplicateValues" priority="271" dxfId="0"/>
    <cfRule type="duplicateValues" priority="272" dxfId="0"/>
    <cfRule type="duplicateValues" priority="273" dxfId="0"/>
    <cfRule type="duplicateValues" priority="274" dxfId="0"/>
    <cfRule type="duplicateValues" priority="275" dxfId="0"/>
    <cfRule type="duplicateValues" priority="276" dxfId="0"/>
    <cfRule type="duplicateValues" priority="278" dxfId="0"/>
    <cfRule type="duplicateValues" priority="279" dxfId="0"/>
    <cfRule type="duplicateValues" priority="280" dxfId="0"/>
    <cfRule type="duplicateValues" priority="281" dxfId="0"/>
    <cfRule type="duplicateValues" priority="282" dxfId="0"/>
    <cfRule type="duplicateValues" priority="283" dxfId="0"/>
    <cfRule type="duplicateValues" priority="284" dxfId="0"/>
  </conditionalFormatting>
  <conditionalFormatting sqref="D24">
    <cfRule type="duplicateValues" priority="255" dxfId="0"/>
    <cfRule type="duplicateValues" priority="242" dxfId="0"/>
    <cfRule type="duplicateValues" priority="251" dxfId="0"/>
    <cfRule type="duplicateValues" priority="239" dxfId="0"/>
    <cfRule type="duplicateValues" priority="240" dxfId="0"/>
    <cfRule type="duplicateValues" priority="243" dxfId="0"/>
    <cfRule type="duplicateValues" priority="259" dxfId="0"/>
    <cfRule type="duplicateValues" priority="258" dxfId="0"/>
    <cfRule type="duplicateValues" priority="257" dxfId="0"/>
    <cfRule type="duplicateValues" priority="256" dxfId="0"/>
    <cfRule type="duplicateValues" priority="241" dxfId="0"/>
    <cfRule type="duplicateValues" priority="254" dxfId="0"/>
    <cfRule type="duplicateValues" priority="250" dxfId="0"/>
    <cfRule type="duplicateValues" priority="253" dxfId="0"/>
    <cfRule type="duplicateValues" priority="252" dxfId="0"/>
    <cfRule type="duplicateValues" priority="237" dxfId="0"/>
    <cfRule type="duplicateValues" priority="244" dxfId="0"/>
    <cfRule type="duplicateValues" priority="245" dxfId="0"/>
    <cfRule type="duplicateValues" priority="246" dxfId="0"/>
    <cfRule type="duplicateValues" priority="247" dxfId="0"/>
    <cfRule type="duplicateValues" priority="248" dxfId="0"/>
    <cfRule type="duplicateValues" priority="249" dxfId="0"/>
    <cfRule type="duplicateValues" priority="238" dxfId="0"/>
    <cfRule type="duplicateValues" priority="260" dxfId="0"/>
  </conditionalFormatting>
  <conditionalFormatting sqref="D25">
    <cfRule type="duplicateValues" priority="186" dxfId="0"/>
    <cfRule type="duplicateValues" priority="187" dxfId="0"/>
    <cfRule type="duplicateValues" priority="188" dxfId="0"/>
    <cfRule type="duplicateValues" priority="189" dxfId="0"/>
    <cfRule type="duplicateValues" priority="183" dxfId="0"/>
    <cfRule type="duplicateValues" priority="184" dxfId="0"/>
    <cfRule type="duplicateValues" priority="182" dxfId="0"/>
    <cfRule type="duplicateValues" priority="181" dxfId="0"/>
    <cfRule type="duplicateValues" priority="180" dxfId="0"/>
    <cfRule type="duplicateValues" priority="185" dxfId="0"/>
    <cfRule type="duplicateValues" priority="178" dxfId="0"/>
    <cfRule type="duplicateValues" priority="177" dxfId="0"/>
    <cfRule type="duplicateValues" priority="176" dxfId="0"/>
    <cfRule type="duplicateValues" priority="175" dxfId="0"/>
    <cfRule type="duplicateValues" priority="179" dxfId="0"/>
    <cfRule type="duplicateValues" priority="173" dxfId="0"/>
    <cfRule type="duplicateValues" priority="172" dxfId="0"/>
    <cfRule type="duplicateValues" priority="171" dxfId="0"/>
    <cfRule type="duplicateValues" priority="170" dxfId="0"/>
    <cfRule type="duplicateValues" priority="174" dxfId="0"/>
  </conditionalFormatting>
  <conditionalFormatting sqref="D26">
    <cfRule type="duplicateValues" priority="190" dxfId="0"/>
    <cfRule type="duplicateValues" priority="191" dxfId="0"/>
    <cfRule type="duplicateValues" priority="192" dxfId="0"/>
    <cfRule type="duplicateValues" priority="193" dxfId="0"/>
    <cfRule type="duplicateValues" priority="194" dxfId="0"/>
    <cfRule type="duplicateValues" priority="195" dxfId="0"/>
    <cfRule type="duplicateValues" priority="196" dxfId="0"/>
    <cfRule type="duplicateValues" priority="197" dxfId="0"/>
    <cfRule type="duplicateValues" priority="198" dxfId="0"/>
    <cfRule type="duplicateValues" priority="199" dxfId="0"/>
    <cfRule type="duplicateValues" priority="201" dxfId="0"/>
    <cfRule type="duplicateValues" priority="202" dxfId="0"/>
    <cfRule type="duplicateValues" priority="203" dxfId="0"/>
    <cfRule type="duplicateValues" priority="204" dxfId="0"/>
    <cfRule type="duplicateValues" priority="205" dxfId="0"/>
    <cfRule type="duplicateValues" priority="206" dxfId="0"/>
    <cfRule type="duplicateValues" priority="207" dxfId="0"/>
    <cfRule type="duplicateValues" priority="208" dxfId="0"/>
    <cfRule type="duplicateValues" priority="209" dxfId="0"/>
    <cfRule type="duplicateValues" priority="200" dxfId="0"/>
  </conditionalFormatting>
  <conditionalFormatting sqref="D27">
    <cfRule type="duplicateValues" priority="36" dxfId="0"/>
    <cfRule type="duplicateValues" priority="37" dxfId="0"/>
    <cfRule type="duplicateValues" priority="38" dxfId="0"/>
  </conditionalFormatting>
  <conditionalFormatting sqref="D28">
    <cfRule type="duplicateValues" priority="217" dxfId="0"/>
    <cfRule type="duplicateValues" priority="218" dxfId="0"/>
    <cfRule type="duplicateValues" priority="216" dxfId="0"/>
  </conditionalFormatting>
  <conditionalFormatting sqref="D28:D37">
    <cfRule type="duplicateValues" priority="439" dxfId="0"/>
  </conditionalFormatting>
  <conditionalFormatting sqref="D29">
    <cfRule type="duplicateValues" priority="419" dxfId="0"/>
    <cfRule type="duplicateValues" priority="420" dxfId="0"/>
    <cfRule type="duplicateValues" priority="417" dxfId="0"/>
    <cfRule type="duplicateValues" priority="414" dxfId="0"/>
    <cfRule type="duplicateValues" priority="418" dxfId="0"/>
    <cfRule type="duplicateValues" priority="416" dxfId="0"/>
    <cfRule type="duplicateValues" priority="415" dxfId="0"/>
  </conditionalFormatting>
  <conditionalFormatting sqref="D30">
    <cfRule type="duplicateValues" priority="42" dxfId="0"/>
    <cfRule type="duplicateValues" priority="51" dxfId="0"/>
    <cfRule type="duplicateValues" priority="61" dxfId="0"/>
    <cfRule type="duplicateValues" priority="66" dxfId="0"/>
    <cfRule type="duplicateValues" priority="65" dxfId="0"/>
    <cfRule type="duplicateValues" priority="64" dxfId="0"/>
    <cfRule type="duplicateValues" priority="63" dxfId="0"/>
    <cfRule type="duplicateValues" priority="62" dxfId="0"/>
    <cfRule type="duplicateValues" priority="60" dxfId="0"/>
    <cfRule type="duplicateValues" priority="59" dxfId="0"/>
    <cfRule type="duplicateValues" priority="58" dxfId="0"/>
    <cfRule type="duplicateValues" priority="57" dxfId="0"/>
    <cfRule type="duplicateValues" priority="56" dxfId="0"/>
    <cfRule type="duplicateValues" priority="55" dxfId="0"/>
    <cfRule type="duplicateValues" priority="54" dxfId="0"/>
    <cfRule type="duplicateValues" priority="53" dxfId="0"/>
    <cfRule type="duplicateValues" priority="52" dxfId="0"/>
    <cfRule type="duplicateValues" priority="43" dxfId="0"/>
    <cfRule type="duplicateValues" priority="50" dxfId="0"/>
    <cfRule type="duplicateValues" priority="49" dxfId="0"/>
    <cfRule type="duplicateValues" priority="48" dxfId="0"/>
    <cfRule type="duplicateValues" priority="47" dxfId="0"/>
    <cfRule type="duplicateValues" priority="46" dxfId="0"/>
    <cfRule type="duplicateValues" priority="45" dxfId="0"/>
    <cfRule type="duplicateValues" priority="44" dxfId="0"/>
    <cfRule type="duplicateValues" priority="41" dxfId="0"/>
    <cfRule type="duplicateValues" priority="40" dxfId="0"/>
    <cfRule type="duplicateValues" priority="39" dxfId="0"/>
  </conditionalFormatting>
  <conditionalFormatting sqref="D31">
    <cfRule type="duplicateValues" priority="423" dxfId="0"/>
    <cfRule type="duplicateValues" priority="421" dxfId="0"/>
    <cfRule type="duplicateValues" priority="424" dxfId="0"/>
    <cfRule type="duplicateValues" priority="425" dxfId="0"/>
    <cfRule type="duplicateValues" priority="422" dxfId="0"/>
  </conditionalFormatting>
  <conditionalFormatting sqref="D32">
    <cfRule type="duplicateValues" priority="346" dxfId="0"/>
    <cfRule type="duplicateValues" priority="347" dxfId="0"/>
    <cfRule type="duplicateValues" priority="360" dxfId="0"/>
    <cfRule type="duplicateValues" priority="359" dxfId="0"/>
    <cfRule type="duplicateValues" priority="358" dxfId="0"/>
    <cfRule type="duplicateValues" priority="356" dxfId="0"/>
    <cfRule type="duplicateValues" priority="355" dxfId="0"/>
    <cfRule type="duplicateValues" priority="354" dxfId="0"/>
    <cfRule type="duplicateValues" priority="348" dxfId="0"/>
    <cfRule type="duplicateValues" priority="352" dxfId="0"/>
    <cfRule type="duplicateValues" priority="351" dxfId="0"/>
    <cfRule type="duplicateValues" priority="349" dxfId="0"/>
    <cfRule type="duplicateValues" priority="350" dxfId="0"/>
    <cfRule type="duplicateValues" priority="357" dxfId="0"/>
    <cfRule type="duplicateValues" priority="339" dxfId="0"/>
    <cfRule type="duplicateValues" priority="340" dxfId="0"/>
    <cfRule type="duplicateValues" priority="341" dxfId="0"/>
    <cfRule type="duplicateValues" priority="353" dxfId="0"/>
    <cfRule type="duplicateValues" priority="342" dxfId="0"/>
    <cfRule type="duplicateValues" priority="343" dxfId="0"/>
    <cfRule type="duplicateValues" priority="344" dxfId="0"/>
    <cfRule type="duplicateValues" priority="345" dxfId="0"/>
  </conditionalFormatting>
  <conditionalFormatting sqref="D33">
    <cfRule type="duplicateValues" priority="391" dxfId="0"/>
    <cfRule type="duplicateValues" priority="392" dxfId="0"/>
    <cfRule type="duplicateValues" priority="393" dxfId="0"/>
    <cfRule type="duplicateValues" priority="394" dxfId="0"/>
    <cfRule type="duplicateValues" priority="395" dxfId="0"/>
    <cfRule type="duplicateValues" priority="396" dxfId="0"/>
    <cfRule type="duplicateValues" priority="397" dxfId="0"/>
    <cfRule type="duplicateValues" priority="398" dxfId="0"/>
    <cfRule type="duplicateValues" priority="399" dxfId="0"/>
    <cfRule type="duplicateValues" priority="384" dxfId="0"/>
    <cfRule type="duplicateValues" priority="382" dxfId="0"/>
    <cfRule type="duplicateValues" priority="383" dxfId="0"/>
    <cfRule type="duplicateValues" priority="385" dxfId="0"/>
    <cfRule type="duplicateValues" priority="386" dxfId="0"/>
    <cfRule type="duplicateValues" priority="387" dxfId="0"/>
    <cfRule type="duplicateValues" priority="388" dxfId="0"/>
    <cfRule type="duplicateValues" priority="389" dxfId="0"/>
    <cfRule type="duplicateValues" priority="390" dxfId="0"/>
  </conditionalFormatting>
  <conditionalFormatting sqref="D34">
    <cfRule type="duplicateValues" priority="148" dxfId="0"/>
    <cfRule type="duplicateValues" priority="147" dxfId="0"/>
    <cfRule type="duplicateValues" priority="146" dxfId="0"/>
    <cfRule type="duplicateValues" priority="145" dxfId="0"/>
    <cfRule type="duplicateValues" priority="144" dxfId="0"/>
    <cfRule type="duplicateValues" priority="143" dxfId="0"/>
    <cfRule type="duplicateValues" priority="142" dxfId="0"/>
    <cfRule type="duplicateValues" priority="141" dxfId="0"/>
    <cfRule type="duplicateValues" priority="140" dxfId="0"/>
    <cfRule type="duplicateValues" priority="139" dxfId="0"/>
    <cfRule type="duplicateValues" priority="138" dxfId="0"/>
    <cfRule type="duplicateValues" priority="137" dxfId="0"/>
    <cfRule type="duplicateValues" priority="136" dxfId="0"/>
    <cfRule type="duplicateValues" priority="135" dxfId="0"/>
    <cfRule type="duplicateValues" priority="134" dxfId="0"/>
    <cfRule type="duplicateValues" priority="133" dxfId="0"/>
    <cfRule type="duplicateValues" priority="132" dxfId="0"/>
    <cfRule type="duplicateValues" priority="131" dxfId="0"/>
    <cfRule type="duplicateValues" priority="130" dxfId="0"/>
    <cfRule type="duplicateValues" priority="129" dxfId="0"/>
    <cfRule type="duplicateValues" priority="128" dxfId="0"/>
    <cfRule type="duplicateValues" priority="127" dxfId="0"/>
    <cfRule type="duplicateValues" priority="126" dxfId="0"/>
    <cfRule type="duplicateValues" priority="125" dxfId="0"/>
    <cfRule type="duplicateValues" priority="124" dxfId="0"/>
    <cfRule type="duplicateValues" priority="123" dxfId="0"/>
    <cfRule type="duplicateValues" priority="122" dxfId="0"/>
    <cfRule type="duplicateValues" priority="149" dxfId="0"/>
  </conditionalFormatting>
  <conditionalFormatting sqref="D35">
    <cfRule type="duplicateValues" priority="92" dxfId="0"/>
    <cfRule type="duplicateValues" priority="93" dxfId="0"/>
    <cfRule type="duplicateValues" priority="94" dxfId="0"/>
    <cfRule type="duplicateValues" priority="77" dxfId="0"/>
    <cfRule type="duplicateValues" priority="85" dxfId="0"/>
    <cfRule type="duplicateValues" priority="78" dxfId="0"/>
    <cfRule type="duplicateValues" priority="80" dxfId="0"/>
    <cfRule type="duplicateValues" priority="81" dxfId="0"/>
    <cfRule type="duplicateValues" priority="82" dxfId="0"/>
    <cfRule type="duplicateValues" priority="83" dxfId="0"/>
    <cfRule type="duplicateValues" priority="84" dxfId="0"/>
    <cfRule type="duplicateValues" priority="86" dxfId="0"/>
    <cfRule type="duplicateValues" priority="87" dxfId="0"/>
    <cfRule type="duplicateValues" priority="88" dxfId="0"/>
    <cfRule type="duplicateValues" priority="89" dxfId="0"/>
    <cfRule type="duplicateValues" priority="90" dxfId="0"/>
    <cfRule type="duplicateValues" priority="76" dxfId="0"/>
    <cfRule type="duplicateValues" priority="75" dxfId="0"/>
    <cfRule type="duplicateValues" priority="74" dxfId="0"/>
    <cfRule type="duplicateValues" priority="73" dxfId="0"/>
    <cfRule type="duplicateValues" priority="72" dxfId="0"/>
    <cfRule type="duplicateValues" priority="71" dxfId="0"/>
    <cfRule type="duplicateValues" priority="70" dxfId="0"/>
    <cfRule type="duplicateValues" priority="69" dxfId="0"/>
    <cfRule type="duplicateValues" priority="68" dxfId="0"/>
    <cfRule type="duplicateValues" priority="67" dxfId="0"/>
    <cfRule type="duplicateValues" priority="91" dxfId="0"/>
    <cfRule type="duplicateValues" priority="79" dxfId="0"/>
  </conditionalFormatting>
  <conditionalFormatting sqref="D36">
    <cfRule type="duplicateValues" priority="109" dxfId="0"/>
    <cfRule type="duplicateValues" priority="108" dxfId="0"/>
    <cfRule type="duplicateValues" priority="107" dxfId="0"/>
    <cfRule type="duplicateValues" priority="106" dxfId="0"/>
    <cfRule type="duplicateValues" priority="105" dxfId="0"/>
    <cfRule type="duplicateValues" priority="104" dxfId="0"/>
    <cfRule type="duplicateValues" priority="103" dxfId="0"/>
    <cfRule type="duplicateValues" priority="102" dxfId="0"/>
    <cfRule type="duplicateValues" priority="309" dxfId="0"/>
    <cfRule type="duplicateValues" priority="101" dxfId="0"/>
    <cfRule type="duplicateValues" priority="100" dxfId="0"/>
    <cfRule type="duplicateValues" priority="99" dxfId="0"/>
    <cfRule type="duplicateValues" priority="98" dxfId="0"/>
    <cfRule type="duplicateValues" priority="97" dxfId="0"/>
    <cfRule type="duplicateValues" priority="96" dxfId="0"/>
    <cfRule type="duplicateValues" priority="95" dxfId="0"/>
    <cfRule type="duplicateValues" priority="121" dxfId="0"/>
    <cfRule type="duplicateValues" priority="120" dxfId="0"/>
    <cfRule type="duplicateValues" priority="119" dxfId="0"/>
    <cfRule type="duplicateValues" priority="118" dxfId="0"/>
    <cfRule type="duplicateValues" priority="117" dxfId="0"/>
    <cfRule type="duplicateValues" priority="116" dxfId="0"/>
    <cfRule type="duplicateValues" priority="115" dxfId="0"/>
    <cfRule type="duplicateValues" priority="114" dxfId="0"/>
    <cfRule type="duplicateValues" priority="113" dxfId="0"/>
    <cfRule type="duplicateValues" priority="112" dxfId="0"/>
    <cfRule type="duplicateValues" priority="111" dxfId="0"/>
    <cfRule type="duplicateValues" priority="110" dxfId="0"/>
  </conditionalFormatting>
  <conditionalFormatting sqref="D37">
    <cfRule type="duplicateValues" priority="303" dxfId="0"/>
    <cfRule type="duplicateValues" priority="304" dxfId="0"/>
    <cfRule type="duplicateValues" priority="305" dxfId="0"/>
    <cfRule type="duplicateValues" priority="306" dxfId="0"/>
    <cfRule type="duplicateValues" priority="307" dxfId="0"/>
    <cfRule type="duplicateValues" priority="292" dxfId="0"/>
    <cfRule type="duplicateValues" priority="293" dxfId="0"/>
    <cfRule type="duplicateValues" priority="294" dxfId="0"/>
    <cfRule type="duplicateValues" priority="295" dxfId="0"/>
    <cfRule type="duplicateValues" priority="296" dxfId="0"/>
    <cfRule type="duplicateValues" priority="297" dxfId="0"/>
    <cfRule type="duplicateValues" priority="298" dxfId="0"/>
    <cfRule type="duplicateValues" priority="299" dxfId="0"/>
    <cfRule type="duplicateValues" priority="300" dxfId="0"/>
    <cfRule type="duplicateValues" priority="308" dxfId="0"/>
    <cfRule type="duplicateValues" priority="291" dxfId="0"/>
    <cfRule type="duplicateValues" priority="290" dxfId="0"/>
    <cfRule type="duplicateValues" priority="289" dxfId="0"/>
    <cfRule type="duplicateValues" priority="288" dxfId="0"/>
    <cfRule type="duplicateValues" priority="287" dxfId="0"/>
    <cfRule type="duplicateValues" priority="286" dxfId="0"/>
    <cfRule type="duplicateValues" priority="285" dxfId="0"/>
    <cfRule type="duplicateValues" priority="302" dxfId="0"/>
    <cfRule type="duplicateValues" priority="301" dxfId="0"/>
  </conditionalFormatting>
  <conditionalFormatting sqref="D38">
    <cfRule type="duplicateValues" priority="567" dxfId="0"/>
    <cfRule type="duplicateValues" priority="566" dxfId="0"/>
    <cfRule type="duplicateValues" priority="2823" dxfId="0"/>
    <cfRule type="duplicateValues" priority="2822" dxfId="0"/>
    <cfRule type="duplicateValues" priority="2814" dxfId="0"/>
    <cfRule type="duplicateValues" priority="553" dxfId="0"/>
    <cfRule type="duplicateValues" priority="554" dxfId="0"/>
    <cfRule type="duplicateValues" priority="555" dxfId="0"/>
    <cfRule type="duplicateValues" priority="556" dxfId="0"/>
    <cfRule type="duplicateValues" priority="565" dxfId="0"/>
  </conditionalFormatting>
  <conditionalFormatting sqref="D39">
    <cfRule type="duplicateValues" priority="692" dxfId="0"/>
    <cfRule type="duplicateValues" priority="690" dxfId="0"/>
    <cfRule type="duplicateValues" priority="2677" dxfId="0"/>
    <cfRule type="duplicateValues" priority="2672" dxfId="0"/>
    <cfRule type="duplicateValues" priority="2676" dxfId="0"/>
    <cfRule type="duplicateValues" priority="691" dxfId="0"/>
  </conditionalFormatting>
  <conditionalFormatting sqref="D40">
    <cfRule type="duplicateValues" priority="854" dxfId="0"/>
    <cfRule type="duplicateValues" priority="853" dxfId="0"/>
    <cfRule type="duplicateValues" priority="852" dxfId="0"/>
    <cfRule type="duplicateValues" priority="2571" dxfId="0"/>
    <cfRule type="duplicateValues" priority="2570" dxfId="0"/>
    <cfRule type="duplicateValues" priority="2566" dxfId="0"/>
  </conditionalFormatting>
  <conditionalFormatting sqref="D41">
    <cfRule type="duplicateValues" priority="680" dxfId="0"/>
    <cfRule type="duplicateValues" priority="2680" dxfId="0"/>
    <cfRule type="duplicateValues" priority="2682" dxfId="0"/>
    <cfRule type="duplicateValues" priority="2683" dxfId="0"/>
    <cfRule type="duplicateValues" priority="678" dxfId="0"/>
    <cfRule type="duplicateValues" priority="679" dxfId="0"/>
  </conditionalFormatting>
  <conditionalFormatting sqref="D41:D45 D47 D49:D50 D39 D52 D56 D54">
    <cfRule type="duplicateValues" priority="2714" dxfId="0"/>
  </conditionalFormatting>
  <conditionalFormatting sqref="D42">
    <cfRule type="duplicateValues" priority="783" dxfId="0"/>
    <cfRule type="duplicateValues" priority="782" dxfId="0"/>
    <cfRule type="duplicateValues" priority="2597" dxfId="0"/>
    <cfRule type="duplicateValues" priority="2588" dxfId="0"/>
    <cfRule type="duplicateValues" priority="2596" dxfId="0"/>
  </conditionalFormatting>
  <conditionalFormatting sqref="D42:D44">
    <cfRule type="duplicateValues" priority="2696" dxfId="0"/>
  </conditionalFormatting>
  <conditionalFormatting sqref="D43">
    <cfRule type="duplicateValues" priority="2608" dxfId="0"/>
    <cfRule type="duplicateValues" priority="2639" dxfId="0"/>
    <cfRule type="duplicateValues" priority="728" dxfId="0"/>
    <cfRule type="duplicateValues" priority="727" dxfId="0"/>
    <cfRule type="duplicateValues" priority="746" dxfId="0"/>
    <cfRule type="duplicateValues" priority="2638" dxfId="0"/>
    <cfRule type="duplicateValues" priority="745" dxfId="0"/>
    <cfRule type="duplicateValues" priority="731" dxfId="0"/>
    <cfRule type="duplicateValues" priority="730" dxfId="0"/>
    <cfRule type="duplicateValues" priority="729" dxfId="0"/>
  </conditionalFormatting>
  <conditionalFormatting sqref="D44">
    <cfRule type="duplicateValues" priority="2618" dxfId="0"/>
    <cfRule type="duplicateValues" priority="2619" dxfId="0"/>
    <cfRule type="duplicateValues" priority="2610" dxfId="0"/>
    <cfRule type="duplicateValues" priority="751" dxfId="0"/>
    <cfRule type="duplicateValues" priority="752" dxfId="0"/>
    <cfRule type="duplicateValues" priority="753" dxfId="0"/>
    <cfRule type="duplicateValues" priority="754" dxfId="0"/>
    <cfRule type="duplicateValues" priority="755" dxfId="0"/>
    <cfRule type="duplicateValues" priority="769" dxfId="0"/>
    <cfRule type="duplicateValues" priority="770" dxfId="0"/>
  </conditionalFormatting>
  <conditionalFormatting sqref="D45">
    <cfRule type="duplicateValues" priority="2691" dxfId="0"/>
    <cfRule type="duplicateValues" priority="2690" dxfId="0"/>
    <cfRule type="duplicateValues" priority="2688" dxfId="0"/>
    <cfRule type="duplicateValues" priority="668" dxfId="0"/>
    <cfRule type="duplicateValues" priority="669" dxfId="0"/>
    <cfRule type="duplicateValues" priority="670" dxfId="0"/>
  </conditionalFormatting>
  <conditionalFormatting sqref="D47">
    <cfRule type="duplicateValues" priority="718" dxfId="0"/>
    <cfRule type="duplicateValues" priority="2651" dxfId="0"/>
    <cfRule type="duplicateValues" priority="2650" dxfId="0"/>
    <cfRule type="duplicateValues" priority="719" dxfId="0"/>
    <cfRule type="duplicateValues" priority="720" dxfId="0"/>
    <cfRule type="duplicateValues" priority="2648" dxfId="0"/>
  </conditionalFormatting>
  <conditionalFormatting sqref="D48 D51 D40 D46">
    <cfRule type="duplicateValues" priority="2580" dxfId="0"/>
  </conditionalFormatting>
  <conditionalFormatting sqref="D48">
    <cfRule type="duplicateValues" priority="2490" dxfId="0"/>
    <cfRule type="duplicateValues" priority="2482" dxfId="0"/>
    <cfRule type="duplicateValues" priority="828" dxfId="0"/>
    <cfRule type="duplicateValues" priority="2491" dxfId="0"/>
    <cfRule type="duplicateValues" priority="829" dxfId="0"/>
    <cfRule type="duplicateValues" priority="830" dxfId="0"/>
    <cfRule type="duplicateValues" priority="831" dxfId="0"/>
    <cfRule type="duplicateValues" priority="840" dxfId="0"/>
    <cfRule type="duplicateValues" priority="841" dxfId="0"/>
    <cfRule type="duplicateValues" priority="842" dxfId="0"/>
  </conditionalFormatting>
  <conditionalFormatting sqref="D49">
    <cfRule type="duplicateValues" priority="2656" dxfId="0"/>
    <cfRule type="duplicateValues" priority="2658" dxfId="0"/>
    <cfRule type="duplicateValues" priority="708" dxfId="0"/>
    <cfRule type="duplicateValues" priority="2659" dxfId="0"/>
    <cfRule type="duplicateValues" priority="709" dxfId="0"/>
    <cfRule type="duplicateValues" priority="710" dxfId="0"/>
  </conditionalFormatting>
  <conditionalFormatting sqref="D50">
    <cfRule type="duplicateValues" priority="700" dxfId="0"/>
    <cfRule type="duplicateValues" priority="699" dxfId="0"/>
    <cfRule type="duplicateValues" priority="698" dxfId="0"/>
    <cfRule type="duplicateValues" priority="2666" dxfId="0"/>
    <cfRule type="duplicateValues" priority="2664" dxfId="0"/>
    <cfRule type="duplicateValues" priority="2667" dxfId="0"/>
  </conditionalFormatting>
  <conditionalFormatting sqref="D51">
    <cfRule type="duplicateValues" priority="804" dxfId="0"/>
    <cfRule type="duplicateValues" priority="805" dxfId="0"/>
    <cfRule type="duplicateValues" priority="806" dxfId="0"/>
    <cfRule type="duplicateValues" priority="2533" dxfId="0"/>
    <cfRule type="duplicateValues" priority="2532" dxfId="0"/>
    <cfRule type="duplicateValues" priority="2524" dxfId="0"/>
  </conditionalFormatting>
  <conditionalFormatting sqref="D52">
    <cfRule type="duplicateValues" priority="655" dxfId="0"/>
    <cfRule type="duplicateValues" priority="657" dxfId="0"/>
    <cfRule type="duplicateValues" priority="658" dxfId="0"/>
    <cfRule type="duplicateValues" priority="656" dxfId="0"/>
  </conditionalFormatting>
  <conditionalFormatting sqref="D53">
    <cfRule type="duplicateValues" priority="2950" dxfId="0"/>
    <cfRule type="duplicateValues" priority="470" dxfId="0"/>
    <cfRule type="duplicateValues" priority="471" dxfId="0"/>
    <cfRule type="duplicateValues" priority="460" dxfId="0"/>
    <cfRule type="duplicateValues" priority="461" dxfId="0"/>
    <cfRule type="duplicateValues" priority="2951" dxfId="0"/>
    <cfRule type="duplicateValues" priority="459" dxfId="0"/>
    <cfRule type="duplicateValues" priority="458" dxfId="0"/>
    <cfRule type="duplicateValues" priority="472" dxfId="0"/>
    <cfRule type="duplicateValues" priority="2942" dxfId="0"/>
  </conditionalFormatting>
  <conditionalFormatting sqref="D54">
    <cfRule type="duplicateValues" priority="2700" dxfId="0"/>
    <cfRule type="duplicateValues" priority="2698" dxfId="0"/>
    <cfRule type="duplicateValues" priority="664" dxfId="0"/>
    <cfRule type="duplicateValues" priority="665" dxfId="0"/>
    <cfRule type="duplicateValues" priority="2701" dxfId="0"/>
  </conditionalFormatting>
  <conditionalFormatting sqref="D55">
    <cfRule type="duplicateValues" priority="529" dxfId="0"/>
    <cfRule type="duplicateValues" priority="531" dxfId="0"/>
    <cfRule type="duplicateValues" priority="2864" dxfId="0"/>
    <cfRule type="duplicateValues" priority="2856" dxfId="0"/>
    <cfRule type="duplicateValues" priority="2865" dxfId="0"/>
    <cfRule type="duplicateValues" priority="530" dxfId="0"/>
  </conditionalFormatting>
  <conditionalFormatting sqref="D56 D41:D45 D47 D49:D50 D39 D52 D54">
    <cfRule type="duplicateValues" priority="2728" dxfId="0"/>
  </conditionalFormatting>
  <conditionalFormatting sqref="D56">
    <cfRule type="duplicateValues" priority="648" dxfId="0"/>
    <cfRule type="duplicateValues" priority="647" dxfId="0"/>
    <cfRule type="duplicateValues" priority="646" dxfId="0"/>
    <cfRule type="duplicateValues" priority="2710" dxfId="0"/>
    <cfRule type="duplicateValues" priority="2706" dxfId="0"/>
    <cfRule type="duplicateValues" priority="2711" dxfId="0"/>
  </conditionalFormatting>
  <conditionalFormatting sqref="D57">
    <cfRule type="duplicateValues" priority="642" dxfId="0"/>
    <cfRule type="duplicateValues" priority="641" dxfId="0"/>
    <cfRule type="duplicateValues" priority="640" dxfId="0"/>
    <cfRule type="duplicateValues" priority="639" dxfId="0"/>
  </conditionalFormatting>
  <conditionalFormatting sqref="D57:D58 D60:D61">
    <cfRule type="duplicateValues" priority="2906" dxfId="0"/>
  </conditionalFormatting>
  <conditionalFormatting sqref="D58">
    <cfRule type="duplicateValues" priority="602" dxfId="0"/>
    <cfRule type="duplicateValues" priority="603" dxfId="0"/>
    <cfRule type="duplicateValues" priority="590" dxfId="0"/>
    <cfRule type="duplicateValues" priority="2772" dxfId="0"/>
    <cfRule type="duplicateValues" priority="2781" dxfId="0"/>
    <cfRule type="duplicateValues" priority="589" dxfId="0"/>
    <cfRule type="duplicateValues" priority="2780" dxfId="0"/>
    <cfRule type="duplicateValues" priority="591" dxfId="0"/>
    <cfRule type="duplicateValues" priority="592" dxfId="0"/>
    <cfRule type="duplicateValues" priority="601" dxfId="0"/>
  </conditionalFormatting>
  <conditionalFormatting sqref="D59">
    <cfRule type="duplicateValues" priority="494" dxfId="0"/>
    <cfRule type="duplicateValues" priority="493" dxfId="0"/>
    <cfRule type="duplicateValues" priority="492" dxfId="0"/>
    <cfRule type="duplicateValues" priority="508" dxfId="0"/>
    <cfRule type="duplicateValues" priority="509" dxfId="0"/>
    <cfRule type="duplicateValues" priority="510" dxfId="0"/>
    <cfRule type="duplicateValues" priority="2910" dxfId="0"/>
    <cfRule type="duplicateValues" priority="2920" dxfId="0"/>
    <cfRule type="duplicateValues" priority="2921" dxfId="0"/>
    <cfRule type="duplicateValues" priority="490" dxfId="0"/>
    <cfRule type="duplicateValues" priority="491" dxfId="0"/>
  </conditionalFormatting>
  <conditionalFormatting sqref="D60">
    <cfRule type="duplicateValues" priority="621" dxfId="0"/>
    <cfRule type="duplicateValues" priority="622" dxfId="0"/>
    <cfRule type="duplicateValues" priority="623" dxfId="0"/>
    <cfRule type="duplicateValues" priority="618" dxfId="0"/>
    <cfRule type="duplicateValues" priority="2742" dxfId="0"/>
    <cfRule type="duplicateValues" priority="2752" dxfId="0"/>
    <cfRule type="duplicateValues" priority="2753" dxfId="0"/>
    <cfRule type="duplicateValues" priority="625" dxfId="0"/>
    <cfRule type="duplicateValues" priority="619" dxfId="0"/>
    <cfRule type="duplicateValues" priority="624" dxfId="0"/>
  </conditionalFormatting>
  <conditionalFormatting sqref="D61">
    <cfRule type="duplicateValues" priority="868" dxfId="0"/>
    <cfRule type="duplicateValues" priority="866" dxfId="0"/>
    <cfRule type="duplicateValues" priority="867" dxfId="0"/>
    <cfRule type="duplicateValues" priority="2898" dxfId="0"/>
    <cfRule type="duplicateValues" priority="2901" dxfId="0"/>
    <cfRule type="duplicateValues" priority="2900"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1" sqref="B1:B1048576"/>
    </sheetView>
  </sheetViews>
  <sheetFormatPr baseColWidth="8" defaultColWidth="8.77734375" defaultRowHeight="14.4"/>
  <cols>
    <col width="28.109375" customWidth="1" style="3" min="1" max="4"/>
    <col width="8.77734375" customWidth="1" style="3" min="5" max="5"/>
    <col width="8.7773437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Arabic (ar)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G8" sqref="G8"/>
    </sheetView>
  </sheetViews>
  <sheetFormatPr baseColWidth="8" defaultColWidth="10.77734375" defaultRowHeight="14.4"/>
  <cols>
    <col width="10.77734375" customWidth="1" style="89" min="1" max="2"/>
    <col width="15.109375" customWidth="1" style="103" min="3" max="3"/>
    <col width="22.33203125" customWidth="1" style="104" min="4" max="4"/>
    <col width="28.6640625" customWidth="1" style="105" min="5" max="5"/>
    <col width="32" customWidth="1" style="105" min="6" max="6"/>
    <col width="10.77734375" customWidth="1" style="89" min="7" max="7"/>
    <col width="10.77734375" customWidth="1" style="89" min="8" max="16384"/>
  </cols>
  <sheetData>
    <row r="2">
      <c r="C2" s="90" t="n"/>
      <c r="D2" s="91" t="n"/>
      <c r="E2" s="92" t="n"/>
      <c r="F2" s="92" t="n"/>
    </row>
    <row r="3" ht="48" customHeight="1">
      <c r="B3" s="93" t="n"/>
      <c r="C3" s="94" t="inlineStr">
        <is>
          <t xml:space="preserve">Select top 10 crops / حدد أكبر 10 محاصيل </t>
        </is>
      </c>
      <c r="D3" s="95" t="inlineStr">
        <is>
          <t>Dataset code</t>
        </is>
      </c>
      <c r="E3" s="96" t="inlineStr">
        <is>
          <t>Label (EN)</t>
        </is>
      </c>
      <c r="F3" s="96" t="inlineStr">
        <is>
          <t>Label (AR)</t>
        </is>
      </c>
    </row>
    <row r="4" ht="16.05" customHeight="1">
      <c r="B4" s="93" t="n"/>
      <c r="C4" s="7" t="n"/>
      <c r="D4" s="97" t="inlineStr">
        <is>
          <t>1.1</t>
        </is>
      </c>
      <c r="E4" s="98" t="inlineStr">
        <is>
          <t>Rice</t>
        </is>
      </c>
      <c r="F4" s="194" t="inlineStr">
        <is>
          <t>الرز</t>
        </is>
      </c>
    </row>
    <row r="5" ht="16.05" customHeight="1">
      <c r="B5" s="93" t="n"/>
      <c r="C5" s="7" t="inlineStr">
        <is>
          <t>x</t>
        </is>
      </c>
      <c r="D5" s="97" t="inlineStr">
        <is>
          <t>1.2</t>
        </is>
      </c>
      <c r="E5" s="98" t="inlineStr">
        <is>
          <t>Wheat</t>
        </is>
      </c>
      <c r="F5" s="195" t="inlineStr">
        <is>
          <t>القمح</t>
        </is>
      </c>
    </row>
    <row r="6" ht="16.05" customHeight="1">
      <c r="B6" s="93" t="n"/>
      <c r="C6" s="7" t="n"/>
      <c r="D6" s="97" t="inlineStr">
        <is>
          <t>1.3</t>
        </is>
      </c>
      <c r="E6" s="98" t="inlineStr">
        <is>
          <t>Millet</t>
        </is>
      </c>
      <c r="F6" s="195" t="inlineStr">
        <is>
          <t>الدخن</t>
        </is>
      </c>
    </row>
    <row r="7" ht="16.05" customHeight="1">
      <c r="B7" s="93" t="n"/>
      <c r="C7" s="7" t="n"/>
      <c r="D7" s="97" t="inlineStr">
        <is>
          <t>1.4</t>
        </is>
      </c>
      <c r="E7" s="98" t="inlineStr">
        <is>
          <t>Sorghum</t>
        </is>
      </c>
      <c r="F7" s="195" t="inlineStr">
        <is>
          <t>الذرة الرفيعة</t>
        </is>
      </c>
    </row>
    <row r="8" ht="16.05" customHeight="1">
      <c r="B8" s="93" t="n"/>
      <c r="C8" s="7" t="inlineStr">
        <is>
          <t>x</t>
        </is>
      </c>
      <c r="D8" s="97" t="inlineStr">
        <is>
          <t>1.5</t>
        </is>
      </c>
      <c r="E8" s="98" t="inlineStr">
        <is>
          <t>Maize</t>
        </is>
      </c>
      <c r="F8" s="195" t="inlineStr">
        <is>
          <t>الذرة</t>
        </is>
      </c>
    </row>
    <row r="9" ht="16.05" customHeight="1">
      <c r="B9" s="93" t="n"/>
      <c r="C9" s="7" t="inlineStr">
        <is>
          <t>x</t>
        </is>
      </c>
      <c r="D9" s="97" t="inlineStr">
        <is>
          <t>1.6</t>
        </is>
      </c>
      <c r="E9" s="98" t="inlineStr">
        <is>
          <t>Barley</t>
        </is>
      </c>
      <c r="F9" s="195" t="inlineStr">
        <is>
          <t>الشعير</t>
        </is>
      </c>
    </row>
    <row r="10" ht="16.05" customHeight="1">
      <c r="B10" s="93" t="n"/>
      <c r="C10" s="130" t="n"/>
      <c r="D10" s="97" t="inlineStr">
        <is>
          <t>1.99</t>
        </is>
      </c>
      <c r="E10" s="99" t="inlineStr">
        <is>
          <t>Other Cereal</t>
        </is>
      </c>
      <c r="F10" s="196" t="inlineStr">
        <is>
          <t>الحبوب الأخرى</t>
        </is>
      </c>
    </row>
    <row r="11" ht="16.05" customHeight="1">
      <c r="B11" s="93" t="n"/>
      <c r="C11" s="7" t="n"/>
      <c r="D11" s="97" t="inlineStr">
        <is>
          <t>2.1</t>
        </is>
      </c>
      <c r="E11" s="98" t="inlineStr">
        <is>
          <t>Cassava</t>
        </is>
      </c>
      <c r="F11" s="195" t="inlineStr">
        <is>
          <t>الكسافا</t>
        </is>
      </c>
    </row>
    <row r="12" ht="16.05" customHeight="1">
      <c r="B12" s="93" t="n"/>
      <c r="C12" s="7" t="inlineStr">
        <is>
          <t>x</t>
        </is>
      </c>
      <c r="D12" s="97" t="inlineStr">
        <is>
          <t>2.2</t>
        </is>
      </c>
      <c r="E12" s="98" t="inlineStr">
        <is>
          <t>Potatoe</t>
        </is>
      </c>
      <c r="F12" s="195" t="inlineStr">
        <is>
          <t>البطاطا</t>
        </is>
      </c>
    </row>
    <row r="13" ht="16.05" customHeight="1">
      <c r="B13" s="93" t="n"/>
      <c r="C13" s="7" t="n"/>
      <c r="D13" s="97" t="inlineStr">
        <is>
          <t>2.3</t>
        </is>
      </c>
      <c r="E13" s="98" t="inlineStr">
        <is>
          <t>Sweet Potatoes</t>
        </is>
      </c>
      <c r="F13" s="195" t="inlineStr">
        <is>
          <t>البطاطا الحلوة</t>
        </is>
      </c>
    </row>
    <row r="14" ht="16.05" customHeight="1">
      <c r="B14" s="93" t="n"/>
      <c r="C14" s="7" t="n"/>
      <c r="D14" s="97" t="inlineStr">
        <is>
          <t>2.4</t>
        </is>
      </c>
      <c r="E14" s="98" t="inlineStr">
        <is>
          <t>Yams</t>
        </is>
      </c>
      <c r="F14" s="195" t="inlineStr">
        <is>
          <t>اليام</t>
        </is>
      </c>
    </row>
    <row r="15" ht="16.05" customHeight="1">
      <c r="B15" s="93" t="n"/>
      <c r="C15" s="7" t="n"/>
      <c r="D15" s="97" t="inlineStr">
        <is>
          <t>2.5</t>
        </is>
      </c>
      <c r="E15" s="98" t="inlineStr">
        <is>
          <t>Carrots</t>
        </is>
      </c>
      <c r="F15" s="195" t="inlineStr">
        <is>
          <t>الجزر</t>
        </is>
      </c>
    </row>
    <row r="16" ht="16.05" customHeight="1">
      <c r="B16" s="93" t="n"/>
      <c r="C16" s="7" t="n"/>
      <c r="D16" s="97" t="inlineStr">
        <is>
          <t>2.6</t>
        </is>
      </c>
      <c r="E16" s="98" t="inlineStr">
        <is>
          <t>Cocoyam</t>
        </is>
      </c>
      <c r="F16" s="195" t="inlineStr">
        <is>
          <t>القلقاس</t>
        </is>
      </c>
    </row>
    <row r="17" ht="16.05" customHeight="1">
      <c r="B17" s="93" t="n"/>
      <c r="C17" s="130" t="n"/>
      <c r="D17" s="97" t="inlineStr">
        <is>
          <t>2.99</t>
        </is>
      </c>
      <c r="E17" s="99" t="inlineStr">
        <is>
          <t>Other tubers</t>
        </is>
      </c>
      <c r="F17" s="196" t="inlineStr">
        <is>
          <t>الدرنات الأخرى</t>
        </is>
      </c>
    </row>
    <row r="18" ht="16.05" customHeight="1">
      <c r="B18" s="93" t="n"/>
      <c r="C18" s="7" t="inlineStr">
        <is>
          <t>x</t>
        </is>
      </c>
      <c r="D18" s="97" t="inlineStr">
        <is>
          <t>3.1</t>
        </is>
      </c>
      <c r="E18" s="98" t="inlineStr">
        <is>
          <t>Beans</t>
        </is>
      </c>
      <c r="F18" s="195" t="inlineStr">
        <is>
          <t>الفاصوليا</t>
        </is>
      </c>
    </row>
    <row r="19" ht="16.05" customHeight="1">
      <c r="B19" s="93" t="n"/>
      <c r="C19" s="7" t="inlineStr">
        <is>
          <t>x</t>
        </is>
      </c>
      <c r="D19" s="97" t="inlineStr">
        <is>
          <t>3.2</t>
        </is>
      </c>
      <c r="E19" s="98" t="inlineStr">
        <is>
          <t>Lentils</t>
        </is>
      </c>
      <c r="F19" s="195" t="inlineStr">
        <is>
          <t>العدس</t>
        </is>
      </c>
    </row>
    <row r="20" ht="16.05" customHeight="1">
      <c r="B20" s="93" t="n"/>
      <c r="C20" s="7" t="inlineStr">
        <is>
          <t>x</t>
        </is>
      </c>
      <c r="D20" s="97" t="inlineStr">
        <is>
          <t>3.3</t>
        </is>
      </c>
      <c r="E20" s="98" t="inlineStr">
        <is>
          <t>Peas</t>
        </is>
      </c>
      <c r="F20" s="195" t="inlineStr">
        <is>
          <t>البازيلاء</t>
        </is>
      </c>
    </row>
    <row r="21" ht="16.05" customHeight="1">
      <c r="B21" s="93" t="n"/>
      <c r="C21" s="7" t="inlineStr">
        <is>
          <t>x</t>
        </is>
      </c>
      <c r="D21" s="97" t="inlineStr">
        <is>
          <t>3.4</t>
        </is>
      </c>
      <c r="E21" s="98" t="inlineStr">
        <is>
          <t>Soybeans</t>
        </is>
      </c>
      <c r="F21" s="195" t="inlineStr">
        <is>
          <t>فول الصويا</t>
        </is>
      </c>
    </row>
    <row r="22" ht="16.05" customHeight="1">
      <c r="B22" s="93" t="n"/>
      <c r="C22" s="7" t="inlineStr">
        <is>
          <t>x</t>
        </is>
      </c>
      <c r="D22" s="97" t="inlineStr">
        <is>
          <t>3.5</t>
        </is>
      </c>
      <c r="E22" s="98" t="inlineStr">
        <is>
          <t>Chickpeas</t>
        </is>
      </c>
      <c r="F22" s="195" t="inlineStr">
        <is>
          <t>الحمص</t>
        </is>
      </c>
    </row>
    <row r="23" ht="16.05" customHeight="1">
      <c r="B23" s="93" t="n"/>
      <c r="C23" s="7" t="inlineStr">
        <is>
          <t>x</t>
        </is>
      </c>
      <c r="D23" s="97" t="inlineStr">
        <is>
          <t>3.6</t>
        </is>
      </c>
      <c r="E23" s="98" t="inlineStr">
        <is>
          <t>Fava beans</t>
        </is>
      </c>
      <c r="F23" s="195" t="inlineStr">
        <is>
          <t>الفول</t>
        </is>
      </c>
    </row>
    <row r="24" ht="16.05" customHeight="1">
      <c r="B24" s="93" t="n"/>
      <c r="C24" s="7" t="n"/>
      <c r="D24" s="97" t="inlineStr">
        <is>
          <t>3.7</t>
        </is>
      </c>
      <c r="E24" s="98" t="inlineStr">
        <is>
          <t>Broad beans</t>
        </is>
      </c>
      <c r="F24" s="195" t="inlineStr">
        <is>
          <t>الفاصوليا العريضة</t>
        </is>
      </c>
    </row>
    <row r="25" ht="16.05" customHeight="1">
      <c r="B25" s="93" t="n"/>
      <c r="C25" s="130" t="n"/>
      <c r="D25" s="97" t="inlineStr">
        <is>
          <t>3.99</t>
        </is>
      </c>
      <c r="E25" s="99" t="inlineStr">
        <is>
          <t>Other pulses</t>
        </is>
      </c>
      <c r="F25" s="196" t="inlineStr">
        <is>
          <t>البقول الاخرى</t>
        </is>
      </c>
    </row>
    <row r="26" ht="16.05" customHeight="1">
      <c r="B26" s="93" t="n"/>
      <c r="C26" s="7" t="n"/>
      <c r="D26" s="97" t="inlineStr">
        <is>
          <t>4.1</t>
        </is>
      </c>
      <c r="E26" s="98" t="inlineStr">
        <is>
          <t>Cabbage</t>
        </is>
      </c>
      <c r="F26" s="195" t="inlineStr">
        <is>
          <t>الملفوف</t>
        </is>
      </c>
    </row>
    <row r="27" ht="16.05" customHeight="1">
      <c r="B27" s="93" t="n"/>
      <c r="C27" s="7" t="inlineStr">
        <is>
          <t>x</t>
        </is>
      </c>
      <c r="D27" s="97" t="inlineStr">
        <is>
          <t>4.2</t>
        </is>
      </c>
      <c r="E27" s="98" t="inlineStr">
        <is>
          <t>Lettuce</t>
        </is>
      </c>
      <c r="F27" s="195" t="inlineStr">
        <is>
          <t>الخس</t>
        </is>
      </c>
    </row>
    <row r="28" ht="16.05" customHeight="1">
      <c r="B28" s="93" t="n"/>
      <c r="C28" s="7" t="n"/>
      <c r="D28" s="97" t="inlineStr">
        <is>
          <t>4.3</t>
        </is>
      </c>
      <c r="E28" s="98" t="inlineStr">
        <is>
          <t>Spinach-Amaranth</t>
        </is>
      </c>
      <c r="F28" s="195" t="inlineStr">
        <is>
          <t>السبانخ - القطيفة</t>
        </is>
      </c>
    </row>
    <row r="29" ht="16.05" customHeight="1">
      <c r="B29" s="93" t="n"/>
      <c r="C29" s="7" t="n"/>
      <c r="D29" s="97" t="inlineStr">
        <is>
          <t>4.4</t>
        </is>
      </c>
      <c r="E29" s="98" t="inlineStr">
        <is>
          <t>Cassava leaves</t>
        </is>
      </c>
      <c r="F29" s="195" t="inlineStr">
        <is>
          <t>أوراق الكسافا</t>
        </is>
      </c>
    </row>
    <row r="30" ht="16.05" customHeight="1">
      <c r="B30" s="93" t="n"/>
      <c r="C30" s="7" t="n"/>
      <c r="D30" s="97" t="inlineStr">
        <is>
          <t>4.5</t>
        </is>
      </c>
      <c r="E30" s="98" t="inlineStr">
        <is>
          <t>Potatoe leaves</t>
        </is>
      </c>
      <c r="F30" s="195" t="inlineStr">
        <is>
          <t>أوراق البطاطا</t>
        </is>
      </c>
    </row>
    <row r="31" ht="16.05" customHeight="1">
      <c r="B31" s="93" t="n"/>
      <c r="C31" s="7" t="n"/>
      <c r="D31" s="97" t="inlineStr">
        <is>
          <t>4.6</t>
        </is>
      </c>
      <c r="E31" s="98" t="inlineStr">
        <is>
          <t>Moringa</t>
        </is>
      </c>
      <c r="F31" s="195" t="inlineStr">
        <is>
          <t>المورينجا</t>
        </is>
      </c>
    </row>
    <row r="32" ht="16.05" customHeight="1">
      <c r="B32" s="93" t="n"/>
      <c r="C32" s="7" t="n"/>
      <c r="D32" s="97" t="inlineStr">
        <is>
          <t>4.7</t>
        </is>
      </c>
      <c r="E32" s="98" t="inlineStr">
        <is>
          <t>Sorrel Hibiscus / Rosselle</t>
        </is>
      </c>
      <c r="F32" s="195" t="inlineStr">
        <is>
          <t>الكركديه</t>
        </is>
      </c>
    </row>
    <row r="33" ht="31.95" customHeight="1">
      <c r="B33" s="93" t="n"/>
      <c r="C33" s="7" t="inlineStr">
        <is>
          <t>x</t>
        </is>
      </c>
      <c r="D33" s="97" t="inlineStr">
        <is>
          <t>4.9</t>
        </is>
      </c>
      <c r="E33" s="98" t="inlineStr">
        <is>
          <t>Green salad herbs (thyme, parsley, mint, rocca, other)</t>
        </is>
      </c>
      <c r="F33" s="195" t="inlineStr">
        <is>
          <t>أعشاب السلطة الخضراء [زعتر ، بقدونس ، نعناع ، جرجير ، أنواع أخرى]</t>
        </is>
      </c>
    </row>
    <row r="34" ht="16.05" customHeight="1">
      <c r="B34" s="93" t="n"/>
      <c r="C34" s="7" t="n"/>
      <c r="D34" s="97" t="inlineStr">
        <is>
          <t>4.101</t>
        </is>
      </c>
      <c r="E34" s="98" t="inlineStr">
        <is>
          <t>Cauliflower</t>
        </is>
      </c>
      <c r="F34" s="195" t="inlineStr">
        <is>
          <t>القرنبيط</t>
        </is>
      </c>
    </row>
    <row r="35" ht="16.05" customHeight="1">
      <c r="B35" s="93" t="n"/>
      <c r="C35" s="130" t="n"/>
      <c r="D35" s="97" t="inlineStr">
        <is>
          <t>4.99</t>
        </is>
      </c>
      <c r="E35" s="99" t="inlineStr">
        <is>
          <t>Other leafy vegetables</t>
        </is>
      </c>
      <c r="F35" s="196" t="inlineStr">
        <is>
          <t>الخضار الورقية الأخرى</t>
        </is>
      </c>
    </row>
    <row r="36" ht="16.05" customHeight="1">
      <c r="B36" s="93" t="n"/>
      <c r="C36" s="7" t="inlineStr">
        <is>
          <t>x</t>
        </is>
      </c>
      <c r="D36" s="97" t="inlineStr">
        <is>
          <t>5.1</t>
        </is>
      </c>
      <c r="E36" s="98" t="inlineStr">
        <is>
          <t>Tomatoes</t>
        </is>
      </c>
      <c r="F36" s="195" t="inlineStr">
        <is>
          <t>الطماطم</t>
        </is>
      </c>
    </row>
    <row r="37" ht="16.05" customHeight="1">
      <c r="B37" s="93" t="n"/>
      <c r="C37" s="7" t="inlineStr">
        <is>
          <t>x</t>
        </is>
      </c>
      <c r="D37" s="97" t="inlineStr">
        <is>
          <t>5.2</t>
        </is>
      </c>
      <c r="E37" s="98" t="inlineStr">
        <is>
          <t>Cucumber</t>
        </is>
      </c>
      <c r="F37" s="195" t="inlineStr">
        <is>
          <t>الخيار</t>
        </is>
      </c>
    </row>
    <row r="38" ht="16.05" customHeight="1">
      <c r="B38" s="93" t="n"/>
      <c r="C38" s="7" t="n"/>
      <c r="D38" s="97" t="inlineStr">
        <is>
          <t>5.3</t>
        </is>
      </c>
      <c r="E38" s="98" t="inlineStr">
        <is>
          <t>Pumpkin</t>
        </is>
      </c>
      <c r="F38" s="195" t="inlineStr">
        <is>
          <t>اليقطين</t>
        </is>
      </c>
    </row>
    <row r="39" ht="16.05" customHeight="1">
      <c r="B39" s="93" t="n"/>
      <c r="C39" s="7" t="inlineStr">
        <is>
          <t>x</t>
        </is>
      </c>
      <c r="D39" s="97" t="inlineStr">
        <is>
          <t>5.4</t>
        </is>
      </c>
      <c r="E39" s="98" t="inlineStr">
        <is>
          <t>Eggplant/aubergine</t>
        </is>
      </c>
      <c r="F39" s="195" t="inlineStr">
        <is>
          <t>الباذنجان</t>
        </is>
      </c>
    </row>
    <row r="40" ht="16.05" customHeight="1">
      <c r="B40" s="93" t="n"/>
      <c r="C40" s="7" t="inlineStr">
        <is>
          <t>x</t>
        </is>
      </c>
      <c r="D40" s="97" t="inlineStr">
        <is>
          <t>5.5</t>
        </is>
      </c>
      <c r="E40" s="98" t="inlineStr">
        <is>
          <t>Zucchini</t>
        </is>
      </c>
      <c r="F40" s="195" t="inlineStr">
        <is>
          <t>الكوسة</t>
        </is>
      </c>
    </row>
    <row r="41" ht="16.05" customHeight="1">
      <c r="B41" s="93" t="n"/>
      <c r="C41" s="7" t="inlineStr">
        <is>
          <t>x</t>
        </is>
      </c>
      <c r="D41" s="97" t="inlineStr">
        <is>
          <t>5.6</t>
        </is>
      </c>
      <c r="E41" s="98" t="inlineStr">
        <is>
          <t>Okra</t>
        </is>
      </c>
      <c r="F41" s="195" t="inlineStr">
        <is>
          <t>البامية</t>
        </is>
      </c>
    </row>
    <row r="42" ht="16.05" customHeight="1">
      <c r="B42" s="93" t="n"/>
      <c r="C42" s="7" t="inlineStr">
        <is>
          <t>x</t>
        </is>
      </c>
      <c r="D42" s="97" t="inlineStr">
        <is>
          <t>5.7</t>
        </is>
      </c>
      <c r="E42" s="98" t="inlineStr">
        <is>
          <t>Bell pepper</t>
        </is>
      </c>
      <c r="F42" s="195" t="inlineStr">
        <is>
          <t>الفلفل حلو</t>
        </is>
      </c>
    </row>
    <row r="43" ht="16.05" customHeight="1">
      <c r="B43" s="93" t="n"/>
      <c r="C43" s="7" t="inlineStr">
        <is>
          <t>x</t>
        </is>
      </c>
      <c r="D43" s="97" t="inlineStr">
        <is>
          <t>5.8</t>
        </is>
      </c>
      <c r="E43" s="98" t="inlineStr">
        <is>
          <t>Onions</t>
        </is>
      </c>
      <c r="F43" s="195" t="inlineStr">
        <is>
          <t>بصل</t>
        </is>
      </c>
    </row>
    <row r="44" ht="16.05" customHeight="1">
      <c r="B44" s="93" t="n"/>
      <c r="C44" s="7" t="n"/>
      <c r="D44" s="97" t="inlineStr">
        <is>
          <t>5.9</t>
        </is>
      </c>
      <c r="E44" s="98" t="inlineStr">
        <is>
          <t>Haricot</t>
        </is>
      </c>
      <c r="F44" s="195" t="inlineStr">
        <is>
          <t>اللوبياء</t>
        </is>
      </c>
    </row>
    <row r="45" ht="16.05" customHeight="1">
      <c r="B45" s="93" t="n"/>
      <c r="C45" s="7" t="inlineStr">
        <is>
          <t>x</t>
        </is>
      </c>
      <c r="D45" s="97" t="inlineStr">
        <is>
          <t>5.101</t>
        </is>
      </c>
      <c r="E45" s="98" t="inlineStr">
        <is>
          <t>Green peas</t>
        </is>
      </c>
      <c r="F45" s="195" t="inlineStr">
        <is>
          <t>البازلاء الخضراء</t>
        </is>
      </c>
    </row>
    <row r="46" ht="16.05" customHeight="1">
      <c r="B46" s="93" t="n"/>
      <c r="C46" s="7" t="inlineStr">
        <is>
          <t>x</t>
        </is>
      </c>
      <c r="D46" s="97" t="inlineStr">
        <is>
          <t>5.11</t>
        </is>
      </c>
      <c r="E46" s="98" t="inlineStr">
        <is>
          <t>Fava beans green</t>
        </is>
      </c>
      <c r="F46" s="195" t="inlineStr">
        <is>
          <t>الفول الأخضر</t>
        </is>
      </c>
    </row>
    <row r="47" ht="16.05" customHeight="1">
      <c r="B47" s="93" t="n"/>
      <c r="C47" s="130" t="n"/>
      <c r="D47" s="97" t="inlineStr">
        <is>
          <t>5.99</t>
        </is>
      </c>
      <c r="E47" s="99" t="inlineStr">
        <is>
          <t>Other non leafy vegs</t>
        </is>
      </c>
      <c r="F47" s="196" t="inlineStr">
        <is>
          <t>الخضار غير الورقية الأخرى</t>
        </is>
      </c>
    </row>
    <row r="48" ht="16.05" customHeight="1">
      <c r="B48" s="93" t="n"/>
      <c r="C48" s="7" t="n"/>
      <c r="D48" s="97" t="inlineStr">
        <is>
          <t>6.1</t>
        </is>
      </c>
      <c r="E48" s="98" t="inlineStr">
        <is>
          <t>Orange</t>
        </is>
      </c>
      <c r="F48" s="195" t="inlineStr">
        <is>
          <t>البرتقال</t>
        </is>
      </c>
    </row>
    <row r="49" ht="16.05" customHeight="1">
      <c r="B49" s="93" t="n"/>
      <c r="C49" s="7" t="n"/>
      <c r="D49" s="97" t="inlineStr">
        <is>
          <t>6.2</t>
        </is>
      </c>
      <c r="E49" s="98" t="inlineStr">
        <is>
          <t>Lemon</t>
        </is>
      </c>
      <c r="F49" s="195" t="inlineStr">
        <is>
          <t>الليمون</t>
        </is>
      </c>
    </row>
    <row r="50" ht="16.05" customHeight="1">
      <c r="B50" s="93" t="n"/>
      <c r="C50" s="7" t="n"/>
      <c r="D50" s="97" t="inlineStr">
        <is>
          <t>6.3</t>
        </is>
      </c>
      <c r="E50" s="98" t="inlineStr">
        <is>
          <t>Grapefruit</t>
        </is>
      </c>
      <c r="F50" s="195" t="inlineStr">
        <is>
          <t>الجريب فروت</t>
        </is>
      </c>
    </row>
    <row r="51" ht="16.05" customHeight="1">
      <c r="B51" s="93" t="n"/>
      <c r="C51" s="7" t="n"/>
      <c r="D51" s="97" t="inlineStr">
        <is>
          <t>6.4</t>
        </is>
      </c>
      <c r="E51" s="98" t="inlineStr">
        <is>
          <t>Mandarins/clementines</t>
        </is>
      </c>
      <c r="F51" s="195" t="inlineStr">
        <is>
          <t>اليوسفي / الكليمنتين</t>
        </is>
      </c>
    </row>
    <row r="52" ht="16.05" customHeight="1">
      <c r="B52" s="93" t="n"/>
      <c r="C52" s="130" t="n"/>
      <c r="D52" s="97" t="inlineStr">
        <is>
          <t>6.99</t>
        </is>
      </c>
      <c r="E52" s="99" t="inlineStr">
        <is>
          <t>Other citrus fruit</t>
        </is>
      </c>
      <c r="F52" s="196" t="inlineStr">
        <is>
          <t>الحمضيات الأخرى</t>
        </is>
      </c>
    </row>
    <row r="53" ht="16.05" customHeight="1">
      <c r="B53" s="93" t="n"/>
      <c r="C53" s="7" t="n"/>
      <c r="D53" s="97" t="inlineStr">
        <is>
          <t>7.1</t>
        </is>
      </c>
      <c r="E53" s="98" t="inlineStr">
        <is>
          <t>Sweet Banana</t>
        </is>
      </c>
      <c r="F53" s="195" t="inlineStr">
        <is>
          <t>الموز</t>
        </is>
      </c>
    </row>
    <row r="54" ht="16.05" customHeight="1">
      <c r="B54" s="93" t="n"/>
      <c r="C54" s="7" t="n"/>
      <c r="D54" s="97" t="inlineStr">
        <is>
          <t>7.2</t>
        </is>
      </c>
      <c r="E54" s="98" t="inlineStr">
        <is>
          <t>Plantains</t>
        </is>
      </c>
      <c r="F54" s="195" t="inlineStr">
        <is>
          <t>موز الجنة</t>
        </is>
      </c>
    </row>
    <row r="55" ht="16.05" customHeight="1">
      <c r="B55" s="93" t="n"/>
      <c r="C55" s="7" t="n"/>
      <c r="D55" s="97" t="inlineStr">
        <is>
          <t>7.3</t>
        </is>
      </c>
      <c r="E55" s="98" t="inlineStr">
        <is>
          <t>Papaya</t>
        </is>
      </c>
      <c r="F55" s="195" t="inlineStr">
        <is>
          <t>البابايا</t>
        </is>
      </c>
    </row>
    <row r="56" ht="16.05" customHeight="1">
      <c r="B56" s="93" t="n"/>
      <c r="C56" s="7" t="n"/>
      <c r="D56" s="97" t="inlineStr">
        <is>
          <t>7.4</t>
        </is>
      </c>
      <c r="E56" s="98" t="inlineStr">
        <is>
          <t>Mango</t>
        </is>
      </c>
      <c r="F56" s="195" t="inlineStr">
        <is>
          <t>المانجو</t>
        </is>
      </c>
    </row>
    <row r="57" ht="16.05" customHeight="1">
      <c r="B57" s="93" t="n"/>
      <c r="C57" s="7" t="n"/>
      <c r="D57" s="97" t="inlineStr">
        <is>
          <t>7.5</t>
        </is>
      </c>
      <c r="E57" s="98" t="inlineStr">
        <is>
          <t>Guava</t>
        </is>
      </c>
      <c r="F57" s="195" t="inlineStr">
        <is>
          <t>الجوافة</t>
        </is>
      </c>
    </row>
    <row r="58" ht="16.05" customHeight="1">
      <c r="B58" s="93" t="n"/>
      <c r="C58" s="7" t="n"/>
      <c r="D58" s="97" t="inlineStr">
        <is>
          <t>7.6</t>
        </is>
      </c>
      <c r="E58" s="98" t="inlineStr">
        <is>
          <t>Pineapple</t>
        </is>
      </c>
      <c r="F58" s="195" t="inlineStr">
        <is>
          <t>الأناناس</t>
        </is>
      </c>
    </row>
    <row r="59" ht="16.05" customHeight="1">
      <c r="B59" s="93" t="n"/>
      <c r="C59" s="7" t="n"/>
      <c r="D59" s="97" t="inlineStr">
        <is>
          <t>7.7</t>
        </is>
      </c>
      <c r="E59" s="98" t="inlineStr">
        <is>
          <t>Avocado</t>
        </is>
      </c>
      <c r="F59" s="195" t="inlineStr">
        <is>
          <t>الأفوكادو</t>
        </is>
      </c>
    </row>
    <row r="60" ht="16.05" customHeight="1">
      <c r="B60" s="93" t="n"/>
      <c r="C60" s="7" t="inlineStr">
        <is>
          <t>x</t>
        </is>
      </c>
      <c r="D60" s="97" t="inlineStr">
        <is>
          <t>7.8</t>
        </is>
      </c>
      <c r="E60" s="98" t="inlineStr">
        <is>
          <t>Water Melon</t>
        </is>
      </c>
      <c r="F60" s="195" t="inlineStr">
        <is>
          <t>البطيخ الأحمر</t>
        </is>
      </c>
    </row>
    <row r="61" ht="16.05" customHeight="1">
      <c r="B61" s="93" t="n"/>
      <c r="C61" s="7" t="n"/>
      <c r="D61" s="97" t="inlineStr">
        <is>
          <t>7.9</t>
        </is>
      </c>
      <c r="E61" s="98" t="inlineStr">
        <is>
          <t>Dates</t>
        </is>
      </c>
      <c r="F61" s="195" t="inlineStr">
        <is>
          <t>التمر</t>
        </is>
      </c>
    </row>
    <row r="62" ht="16.05" customHeight="1">
      <c r="B62" s="93" t="n"/>
      <c r="C62" s="7" t="n"/>
      <c r="D62" s="97" t="inlineStr">
        <is>
          <t>7.101</t>
        </is>
      </c>
      <c r="E62" s="98" t="inlineStr">
        <is>
          <t>Figs</t>
        </is>
      </c>
      <c r="F62" s="195" t="inlineStr">
        <is>
          <t>التين</t>
        </is>
      </c>
    </row>
    <row r="63" ht="16.05" customHeight="1">
      <c r="B63" s="93" t="n"/>
      <c r="C63" s="7" t="inlineStr">
        <is>
          <t>x</t>
        </is>
      </c>
      <c r="D63" s="97" t="inlineStr">
        <is>
          <t>7.11</t>
        </is>
      </c>
      <c r="E63" s="98" t="inlineStr">
        <is>
          <t>Grapes</t>
        </is>
      </c>
      <c r="F63" s="195" t="inlineStr">
        <is>
          <t>العنب</t>
        </is>
      </c>
    </row>
    <row r="64" ht="16.05" customHeight="1">
      <c r="B64" s="93" t="n"/>
      <c r="C64" s="7" t="inlineStr">
        <is>
          <t>x</t>
        </is>
      </c>
      <c r="D64" s="97" t="inlineStr">
        <is>
          <t>7.12</t>
        </is>
      </c>
      <c r="E64" s="98" t="inlineStr">
        <is>
          <t>Olives</t>
        </is>
      </c>
      <c r="F64" s="195" t="inlineStr">
        <is>
          <t>الزيتون</t>
        </is>
      </c>
    </row>
    <row r="65" ht="16.05" customHeight="1">
      <c r="B65" s="93" t="n"/>
      <c r="C65" s="7" t="n"/>
      <c r="D65" s="97" t="inlineStr">
        <is>
          <t>7.13</t>
        </is>
      </c>
      <c r="E65" s="98" t="inlineStr">
        <is>
          <t>Apple</t>
        </is>
      </c>
      <c r="F65" s="195" t="inlineStr">
        <is>
          <t>التفاح</t>
        </is>
      </c>
    </row>
    <row r="66" ht="16.05" customHeight="1">
      <c r="B66" s="93" t="n"/>
      <c r="C66" s="7" t="n"/>
      <c r="D66" s="97" t="inlineStr">
        <is>
          <t>7.14</t>
        </is>
      </c>
      <c r="E66" s="98" t="inlineStr">
        <is>
          <t>Apricot</t>
        </is>
      </c>
      <c r="F66" s="195" t="inlineStr">
        <is>
          <t>المشمش</t>
        </is>
      </c>
    </row>
    <row r="67" ht="16.05" customHeight="1">
      <c r="B67" s="93" t="n"/>
      <c r="C67" s="7" t="inlineStr">
        <is>
          <t>x</t>
        </is>
      </c>
      <c r="D67" s="97" t="inlineStr">
        <is>
          <t>7.15</t>
        </is>
      </c>
      <c r="E67" s="98" t="inlineStr">
        <is>
          <t>Cherries</t>
        </is>
      </c>
      <c r="F67" s="195" t="inlineStr">
        <is>
          <t>الكرز</t>
        </is>
      </c>
    </row>
    <row r="68" ht="16.05" customHeight="1">
      <c r="B68" s="93" t="n"/>
      <c r="C68" s="7" t="n"/>
      <c r="D68" s="97" t="inlineStr">
        <is>
          <t>7.16</t>
        </is>
      </c>
      <c r="E68" s="98" t="inlineStr">
        <is>
          <t>Peach/nectarine</t>
        </is>
      </c>
      <c r="F68" s="195" t="inlineStr">
        <is>
          <t>الدراق / النكتارين</t>
        </is>
      </c>
    </row>
    <row r="69" ht="16.05" customHeight="1">
      <c r="B69" s="93" t="n"/>
      <c r="C69" s="7" t="n"/>
      <c r="D69" s="97" t="inlineStr">
        <is>
          <t>7.17</t>
        </is>
      </c>
      <c r="E69" s="98" t="inlineStr">
        <is>
          <t>Strawberries</t>
        </is>
      </c>
      <c r="F69" s="195" t="inlineStr">
        <is>
          <t>الفراولة</t>
        </is>
      </c>
    </row>
    <row r="70" ht="16.05" customHeight="1">
      <c r="B70" s="93" t="n"/>
      <c r="C70" s="7" t="n"/>
      <c r="D70" s="97" t="inlineStr">
        <is>
          <t>7.18</t>
        </is>
      </c>
      <c r="E70" s="98" t="inlineStr">
        <is>
          <t>Melon (Cantaloupe)</t>
        </is>
      </c>
      <c r="F70" s="195" t="inlineStr">
        <is>
          <t>الشمام</t>
        </is>
      </c>
    </row>
    <row r="71" ht="16.05" customHeight="1">
      <c r="B71" s="93" t="n"/>
      <c r="C71" s="130" t="n"/>
      <c r="D71" s="97" t="inlineStr">
        <is>
          <t>7.99</t>
        </is>
      </c>
      <c r="E71" s="99" t="inlineStr">
        <is>
          <t>Other fruit</t>
        </is>
      </c>
      <c r="F71" s="196" t="inlineStr">
        <is>
          <t>الفواكه الأخرى</t>
        </is>
      </c>
    </row>
    <row r="72" ht="16.05" customHeight="1">
      <c r="B72" s="93" t="n"/>
      <c r="C72" s="7" t="n"/>
      <c r="D72" s="97" t="inlineStr">
        <is>
          <t>8.1</t>
        </is>
      </c>
      <c r="E72" s="98" t="inlineStr">
        <is>
          <t>Coconuts</t>
        </is>
      </c>
      <c r="F72" s="195" t="inlineStr">
        <is>
          <t>جوز الهند</t>
        </is>
      </c>
    </row>
    <row r="73" ht="16.05" customHeight="1">
      <c r="B73" s="93" t="n"/>
      <c r="C73" s="7" t="n"/>
      <c r="D73" s="97" t="inlineStr">
        <is>
          <t>8.2</t>
        </is>
      </c>
      <c r="E73" s="98" t="inlineStr">
        <is>
          <t>Groundnut/peanut</t>
        </is>
      </c>
      <c r="F73" s="195" t="inlineStr">
        <is>
          <t>الفول السوداني</t>
        </is>
      </c>
    </row>
    <row r="74" ht="16.05" customHeight="1">
      <c r="B74" s="93" t="n"/>
      <c r="C74" s="7" t="n"/>
      <c r="D74" s="97" t="inlineStr">
        <is>
          <t>8.3</t>
        </is>
      </c>
      <c r="E74" s="98" t="inlineStr">
        <is>
          <t>Cashew Nut</t>
        </is>
      </c>
      <c r="F74" s="195" t="inlineStr">
        <is>
          <t>الكاجو</t>
        </is>
      </c>
    </row>
    <row r="75" ht="16.05" customHeight="1">
      <c r="B75" s="93" t="n"/>
      <c r="C75" s="7" t="n"/>
      <c r="D75" s="97" t="inlineStr">
        <is>
          <t>8.4</t>
        </is>
      </c>
      <c r="E75" s="98" t="inlineStr">
        <is>
          <t>Kola Nut</t>
        </is>
      </c>
      <c r="F75" s="195" t="inlineStr">
        <is>
          <t>جوز الكولا</t>
        </is>
      </c>
    </row>
    <row r="76" ht="16.05" customHeight="1">
      <c r="B76" s="93" t="n"/>
      <c r="C76" s="7" t="inlineStr">
        <is>
          <t>x</t>
        </is>
      </c>
      <c r="D76" s="97" t="inlineStr">
        <is>
          <t>8.5</t>
        </is>
      </c>
      <c r="E76" s="98" t="inlineStr">
        <is>
          <t>Sesame</t>
        </is>
      </c>
      <c r="F76" s="195" t="inlineStr">
        <is>
          <t>السمسم</t>
        </is>
      </c>
    </row>
    <row r="77" ht="16.05" customHeight="1">
      <c r="B77" s="93" t="n"/>
      <c r="C77" s="7" t="n"/>
      <c r="D77" s="97" t="inlineStr">
        <is>
          <t>8.6</t>
        </is>
      </c>
      <c r="E77" s="98" t="inlineStr">
        <is>
          <t>Bambara nut</t>
        </is>
      </c>
      <c r="F77" s="195" t="inlineStr">
        <is>
          <t>جوز البامبارا</t>
        </is>
      </c>
    </row>
    <row r="78" ht="16.05" customHeight="1">
      <c r="B78" s="93" t="n"/>
      <c r="C78" s="7" t="inlineStr">
        <is>
          <t>x</t>
        </is>
      </c>
      <c r="D78" s="97" t="inlineStr">
        <is>
          <t>8.7</t>
        </is>
      </c>
      <c r="E78" s="98" t="inlineStr">
        <is>
          <t>Almond</t>
        </is>
      </c>
      <c r="F78" s="195" t="inlineStr">
        <is>
          <t>اللوز</t>
        </is>
      </c>
    </row>
    <row r="79" ht="16.05" customHeight="1">
      <c r="B79" s="93" t="n"/>
      <c r="C79" s="7" t="n"/>
      <c r="D79" s="97" t="inlineStr">
        <is>
          <t>8.8</t>
        </is>
      </c>
      <c r="E79" s="98" t="inlineStr">
        <is>
          <t>Walnut</t>
        </is>
      </c>
      <c r="F79" s="195" t="inlineStr">
        <is>
          <t>الجوز</t>
        </is>
      </c>
    </row>
    <row r="80" ht="16.05" customHeight="1">
      <c r="B80" s="93" t="n"/>
      <c r="C80" s="130" t="n"/>
      <c r="D80" s="97" t="inlineStr">
        <is>
          <t>8.99</t>
        </is>
      </c>
      <c r="E80" s="99" t="inlineStr">
        <is>
          <t>Other nuts</t>
        </is>
      </c>
      <c r="F80" s="196" t="inlineStr">
        <is>
          <t>المكسرات الأخرى</t>
        </is>
      </c>
    </row>
    <row r="81" ht="16.05" customHeight="1">
      <c r="B81" s="93" t="n"/>
      <c r="C81" s="7" t="n"/>
      <c r="D81" s="97" t="inlineStr">
        <is>
          <t>9.1</t>
        </is>
      </c>
      <c r="E81" s="98" t="inlineStr">
        <is>
          <t>Cocoa</t>
        </is>
      </c>
      <c r="F81" s="195" t="inlineStr">
        <is>
          <t>الكاكاو</t>
        </is>
      </c>
    </row>
    <row r="82" ht="16.05" customHeight="1">
      <c r="B82" s="93" t="n"/>
      <c r="C82" s="7" t="n"/>
      <c r="D82" s="97" t="inlineStr">
        <is>
          <t>9.2</t>
        </is>
      </c>
      <c r="E82" s="98" t="inlineStr">
        <is>
          <t>Coffee</t>
        </is>
      </c>
      <c r="F82" s="195" t="inlineStr">
        <is>
          <t>القهوة</t>
        </is>
      </c>
    </row>
    <row r="83" ht="16.05" customHeight="1">
      <c r="B83" s="93" t="n"/>
      <c r="C83" s="7" t="n"/>
      <c r="D83" s="97" t="inlineStr">
        <is>
          <t>9.3</t>
        </is>
      </c>
      <c r="E83" s="98" t="inlineStr">
        <is>
          <t>Tea</t>
        </is>
      </c>
      <c r="F83" s="195" t="inlineStr">
        <is>
          <t>الشاي</t>
        </is>
      </c>
    </row>
    <row r="84" ht="16.05" customHeight="1">
      <c r="B84" s="93" t="n"/>
      <c r="C84" s="7" t="n"/>
      <c r="D84" s="97" t="inlineStr">
        <is>
          <t>9.4</t>
        </is>
      </c>
      <c r="E84" s="98" t="inlineStr">
        <is>
          <t>Sugarcane</t>
        </is>
      </c>
      <c r="F84" s="195" t="inlineStr">
        <is>
          <t>قصب السكر</t>
        </is>
      </c>
    </row>
    <row r="85" ht="16.05" customHeight="1">
      <c r="B85" s="93" t="n"/>
      <c r="C85" s="7" t="n"/>
      <c r="D85" s="97" t="inlineStr">
        <is>
          <t>9.5</t>
        </is>
      </c>
      <c r="E85" s="98" t="inlineStr">
        <is>
          <t>Sunflower</t>
        </is>
      </c>
      <c r="F85" s="195" t="inlineStr">
        <is>
          <t>دوار الشمس</t>
        </is>
      </c>
    </row>
    <row r="86" ht="16.05" customHeight="1">
      <c r="B86" s="93" t="n"/>
      <c r="C86" s="130" t="n"/>
      <c r="D86" s="97" t="inlineStr">
        <is>
          <t>9.99</t>
        </is>
      </c>
      <c r="E86" s="99" t="inlineStr">
        <is>
          <t>Other food cash crop</t>
        </is>
      </c>
      <c r="F86" s="196" t="inlineStr">
        <is>
          <t xml:space="preserve">المحاصيل الغذائية النقدية الأخرى </t>
        </is>
      </c>
    </row>
    <row r="87" ht="16.05" customHeight="1">
      <c r="B87" s="93" t="n"/>
      <c r="C87" s="7" t="n"/>
      <c r="D87" s="97" t="inlineStr">
        <is>
          <t>10.1</t>
        </is>
      </c>
      <c r="E87" s="98" t="inlineStr">
        <is>
          <t>Cotton</t>
        </is>
      </c>
      <c r="F87" s="195" t="inlineStr">
        <is>
          <t>القطن</t>
        </is>
      </c>
    </row>
    <row r="88" ht="16.05" customHeight="1">
      <c r="B88" s="93" t="n"/>
      <c r="C88" s="7" t="n"/>
      <c r="D88" s="97" t="inlineStr">
        <is>
          <t>10.2</t>
        </is>
      </c>
      <c r="E88" s="98" t="inlineStr">
        <is>
          <t>Rubber</t>
        </is>
      </c>
      <c r="F88" s="195" t="inlineStr">
        <is>
          <t>المطاط</t>
        </is>
      </c>
    </row>
    <row r="89" ht="16.05" customHeight="1">
      <c r="B89" s="93" t="n"/>
      <c r="C89" s="7" t="n"/>
      <c r="D89" s="97" t="inlineStr">
        <is>
          <t>10.3</t>
        </is>
      </c>
      <c r="E89" s="98" t="inlineStr">
        <is>
          <t>Jute</t>
        </is>
      </c>
      <c r="F89" s="195" t="inlineStr">
        <is>
          <t>الجوت</t>
        </is>
      </c>
    </row>
    <row r="90" ht="16.05" customHeight="1">
      <c r="B90" s="93" t="n"/>
      <c r="C90" s="7" t="n"/>
      <c r="D90" s="97" t="inlineStr">
        <is>
          <t>10.4</t>
        </is>
      </c>
      <c r="E90" s="98" t="inlineStr">
        <is>
          <t>Fodder</t>
        </is>
      </c>
      <c r="F90" s="195" t="inlineStr">
        <is>
          <t>العلف</t>
        </is>
      </c>
    </row>
    <row r="91" ht="16.05" customHeight="1">
      <c r="B91" s="93" t="n"/>
      <c r="C91" s="7" t="n"/>
      <c r="D91" s="97" t="inlineStr">
        <is>
          <t>10.5</t>
        </is>
      </c>
      <c r="E91" s="98" t="inlineStr">
        <is>
          <t>Tobacco</t>
        </is>
      </c>
      <c r="F91" s="195" t="inlineStr">
        <is>
          <t>التبغ</t>
        </is>
      </c>
    </row>
    <row r="92" ht="16.05" customHeight="1">
      <c r="B92" s="93" t="n"/>
      <c r="C92" s="7" t="n"/>
      <c r="D92" s="97" t="inlineStr">
        <is>
          <t>10.6</t>
        </is>
      </c>
      <c r="E92" s="98" t="inlineStr">
        <is>
          <t>Qat</t>
        </is>
      </c>
      <c r="F92" s="195" t="inlineStr">
        <is>
          <t>القات</t>
        </is>
      </c>
    </row>
    <row r="93" ht="16.05" customHeight="1">
      <c r="B93" s="93" t="n"/>
      <c r="C93" s="130" t="n"/>
      <c r="D93" s="97" t="inlineStr">
        <is>
          <t>10.99</t>
        </is>
      </c>
      <c r="E93" s="99" t="inlineStr">
        <is>
          <t>Other non-food cash crop</t>
        </is>
      </c>
      <c r="F93" s="196" t="inlineStr">
        <is>
          <t xml:space="preserve"> المحاصيل النقدية غير الغذائية الأخرى </t>
        </is>
      </c>
    </row>
    <row r="94">
      <c r="C94" s="100" t="n"/>
      <c r="D94" s="101" t="n"/>
      <c r="E94" s="102" t="n"/>
      <c r="F94" s="102" t="n"/>
    </row>
  </sheetData>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17"/>
  <sheetViews>
    <sheetView zoomScale="85" zoomScaleNormal="85" workbookViewId="0">
      <selection activeCell="E5" sqref="E5"/>
    </sheetView>
  </sheetViews>
  <sheetFormatPr baseColWidth="8" defaultColWidth="10.77734375" defaultRowHeight="15.6"/>
  <cols>
    <col width="10.77734375" customWidth="1" style="9" min="1" max="1"/>
    <col width="27.6640625" customWidth="1" style="9" min="2" max="2"/>
    <col width="20.77734375" customWidth="1" style="9" min="3" max="4"/>
    <col width="46.44140625" customWidth="1" style="25" min="5" max="6"/>
    <col width="20.77734375" customWidth="1" style="162" min="7" max="7"/>
    <col width="20.77734375" customWidth="1" style="9" min="8" max="8"/>
    <col width="10.77734375" customWidth="1" style="9" min="9" max="9"/>
    <col width="10.77734375" customWidth="1" style="9" min="10" max="16384"/>
  </cols>
  <sheetData>
    <row r="1" ht="16.95" customHeight="1" thickBot="1">
      <c r="B1" s="10" t="n"/>
      <c r="C1" s="10" t="n"/>
      <c r="D1" s="10" t="n"/>
      <c r="E1" s="22" t="n"/>
      <c r="F1" s="22" t="n"/>
      <c r="G1" s="160" t="n"/>
      <c r="H1" s="10" t="n"/>
    </row>
    <row r="2" ht="16.95" customFormat="1" customHeight="1" s="25" thickBot="1">
      <c r="A2" s="41" t="n"/>
      <c r="B2" s="42" t="inlineStr">
        <is>
          <t xml:space="preserve">Original </t>
        </is>
      </c>
      <c r="C2" s="43" t="inlineStr">
        <is>
          <t>Replacement (AR)</t>
        </is>
      </c>
      <c r="D2" s="155" t="inlineStr">
        <is>
          <t>Replacement (EN)</t>
        </is>
      </c>
      <c r="E2" s="157" t="inlineStr">
        <is>
          <t>Comment (AR)</t>
        </is>
      </c>
      <c r="F2" s="23" t="inlineStr">
        <is>
          <t>Comment (EN)</t>
        </is>
      </c>
      <c r="G2" s="163" t="inlineStr">
        <is>
          <t>Exemple (AR)</t>
        </is>
      </c>
      <c r="H2" s="44" t="inlineStr">
        <is>
          <t>Example(EN)</t>
        </is>
      </c>
      <c r="I2" s="45" t="n"/>
    </row>
    <row r="3" ht="31.8" customHeight="1">
      <c r="A3" s="11" t="n"/>
      <c r="B3" s="17" t="inlineStr">
        <is>
          <t>age</t>
        </is>
      </c>
      <c r="C3" s="126" t="n">
        <v>16</v>
      </c>
      <c r="D3" s="166">
        <f>IF(C3="","",C3)</f>
        <v/>
      </c>
      <c r="E3" s="128" t="inlineStr">
        <is>
          <t xml:space="preserve">الحد الأدنى لسن المجيب (يفضل أن يكون عمره 18 عامًا على الأقل).  يرجى إدخال الأرقام في الأبجدية اللاتينية (...3, 2, 1). </t>
        </is>
      </c>
      <c r="F3" s="127" t="inlineStr">
        <is>
          <t>Minimum age of respondent (recommend 18 years old). Only digits in Latin numbers should be inputted.</t>
        </is>
      </c>
      <c r="G3" s="193" t="n">
        <v>18</v>
      </c>
      <c r="H3" s="179" t="n">
        <v>18</v>
      </c>
      <c r="I3" s="12" t="n"/>
    </row>
    <row r="4" ht="43.5" customHeight="1">
      <c r="A4" s="11" t="n"/>
      <c r="B4" s="17" t="inlineStr">
        <is>
          <t>ADMIN1</t>
        </is>
      </c>
      <c r="C4" s="237" t="inlineStr">
        <is>
          <t>المحافظة</t>
        </is>
      </c>
      <c r="D4" s="237" t="inlineStr">
        <is>
          <t>Governorate</t>
        </is>
      </c>
      <c r="E4" s="182" t="inlineStr">
        <is>
          <t>التقسيم الأول للبلاد ، بعد المستوى الوطني ؛ منطقة؛ محافظة؛ ولاية ؛ إلخ. يجب إدخال كلمة واحدة فقط - لا تقم بتضمين مسافات.</t>
        </is>
      </c>
      <c r="F4" s="127" t="inlineStr">
        <is>
          <t>The first subdivision of the country, after national level; region; province; governorate; etc. Only one word should be inputted - Do not include spaces.</t>
        </is>
      </c>
      <c r="G4" s="192" t="inlineStr">
        <is>
          <t>منطقة</t>
        </is>
      </c>
      <c r="H4" s="180" t="inlineStr">
        <is>
          <t>region</t>
        </is>
      </c>
      <c r="I4" s="12" t="n"/>
    </row>
    <row r="5" ht="48" customHeight="1">
      <c r="A5" s="11" t="n"/>
      <c r="B5" s="17" t="inlineStr">
        <is>
          <t>ADMIN2</t>
        </is>
      </c>
      <c r="C5" s="237" t="inlineStr">
        <is>
          <t>المنطقة</t>
        </is>
      </c>
      <c r="D5" s="237" t="inlineStr">
        <is>
          <t>District</t>
        </is>
      </c>
      <c r="E5" s="182" t="inlineStr">
        <is>
          <t>التقسيم الثاني للبلاد ؛ قضاء؛ بلدية؛ إلخ. يجب إدخال كلمة واحدة فقط - لا تقم بتضمين مسافات.</t>
        </is>
      </c>
      <c r="F5" s="128" t="inlineStr">
        <is>
          <t>The second subdivision of the country; district; municipality; LGA; etc. Only one word should be inputted - Do not include spaces.</t>
        </is>
      </c>
      <c r="G5" s="189" t="inlineStr">
        <is>
          <t>قضاء</t>
        </is>
      </c>
      <c r="H5" s="177" t="inlineStr">
        <is>
          <t>district</t>
        </is>
      </c>
      <c r="I5" s="12" t="n"/>
    </row>
    <row r="6">
      <c r="A6" s="11" t="n"/>
      <c r="B6" s="17" t="inlineStr">
        <is>
          <t>ADMIN 3</t>
        </is>
      </c>
      <c r="C6" s="237" t="inlineStr">
        <is>
          <t>الناحية</t>
        </is>
      </c>
      <c r="D6" s="237" t="inlineStr">
        <is>
          <t>Sub-District</t>
        </is>
      </c>
      <c r="E6" s="182" t="n"/>
      <c r="F6" s="236" t="n"/>
      <c r="G6" s="189" t="n"/>
      <c r="H6" s="177" t="n"/>
      <c r="I6" s="12" t="n"/>
    </row>
    <row r="7">
      <c r="A7" s="11" t="n"/>
      <c r="B7" s="17" t="inlineStr">
        <is>
          <t>ADMIN 4</t>
        </is>
      </c>
      <c r="C7" s="237" t="inlineStr">
        <is>
          <t>القرية</t>
        </is>
      </c>
      <c r="D7" s="237" t="inlineStr">
        <is>
          <t>Community</t>
        </is>
      </c>
      <c r="E7" s="182" t="n"/>
      <c r="F7" s="236" t="n"/>
      <c r="G7" s="189" t="n"/>
      <c r="H7" s="177" t="n"/>
      <c r="I7" s="12" t="n"/>
    </row>
    <row r="8" ht="79.95" customFormat="1" customHeight="1" s="147">
      <c r="A8" s="143" t="n"/>
      <c r="B8" s="144" t="inlineStr">
        <is>
          <t>reference year</t>
        </is>
      </c>
      <c r="C8" s="167" t="inlineStr">
        <is>
          <t>العام العادي</t>
        </is>
      </c>
      <c r="D8" s="240" t="inlineStr">
        <is>
          <t>Normal year</t>
        </is>
      </c>
      <c r="E8" s="182"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F8" s="14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8" s="189" t="inlineStr">
        <is>
          <t>العام العادي</t>
        </is>
      </c>
      <c r="H8" s="178" t="inlineStr">
        <is>
          <t>a normal year</t>
        </is>
      </c>
      <c r="I8" s="146" t="n"/>
    </row>
    <row r="9" ht="79.95" customHeight="1">
      <c r="A9" s="11" t="n"/>
      <c r="B9" s="144" t="inlineStr">
        <is>
          <t>season</t>
        </is>
      </c>
      <c r="C9" s="237" t="inlineStr">
        <is>
          <t>الموسم الجاري</t>
        </is>
      </c>
      <c r="D9" s="237" t="inlineStr">
        <is>
          <t>ongoing season</t>
        </is>
      </c>
      <c r="E9" s="18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F9" s="181" t="inlineStr">
        <is>
          <t>Name the crop season(s) of interest if there are several cropping seasons in the country (e.g. Meher and Belg in Ethiopia, rainy season / flood-recession cropping / irrigated dry season in the Sahel). You can refer to the “last season” or “ongoing season".</t>
        </is>
      </c>
      <c r="G9" s="190" t="inlineStr">
        <is>
          <t>موسم الأمطار</t>
        </is>
      </c>
      <c r="H9" s="13" t="inlineStr">
        <is>
          <t>wet season</t>
        </is>
      </c>
      <c r="I9" s="12" t="n"/>
      <c r="J9" s="203" t="n"/>
    </row>
    <row r="10" ht="58.05" customFormat="1" customHeight="1" s="147">
      <c r="A10" s="143" t="n"/>
      <c r="B10" s="201" t="inlineStr">
        <is>
          <t>local measurement unit</t>
        </is>
      </c>
      <c r="C10" s="241" t="inlineStr">
        <is>
          <t>دنم</t>
        </is>
      </c>
      <c r="D10" s="241" t="inlineStr">
        <is>
          <t>donum</t>
        </is>
      </c>
      <c r="E10" s="158"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F10" s="15" t="inlineStr">
        <is>
          <t xml:space="preserve">Specify the local measurement unit for land size, other than acres, hectares, square meters and square feet. If no other unit of measurement is needed, keep this cell blank. </t>
        </is>
      </c>
      <c r="G10" s="191" t="inlineStr">
        <is>
          <t>جريب</t>
        </is>
      </c>
      <c r="H10" s="148" t="inlineStr">
        <is>
          <t>Jeribs</t>
        </is>
      </c>
      <c r="I10" s="146" t="n"/>
    </row>
    <row r="11" ht="63" customFormat="1" customHeight="1" s="147" thickBot="1">
      <c r="A11" s="143" t="n"/>
      <c r="B11" s="202" t="inlineStr">
        <is>
          <t>local measurement unit conversion</t>
        </is>
      </c>
      <c r="C11" s="204" t="n">
        <v>0.1</v>
      </c>
      <c r="D11" s="168">
        <f>IF(C11&lt;&gt;"",C11,"")</f>
        <v/>
      </c>
      <c r="E11" s="184"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F11" s="14" t="inlineStr">
        <is>
          <t>Include the conversion of the local measurement unit to hectares. In other words, how many local measurement units are in 1 ha. Only digits in Latin numbers should be inputted.</t>
        </is>
      </c>
      <c r="G11" s="164" t="n">
        <v>0.2</v>
      </c>
      <c r="H11" s="176" t="n">
        <v>0.2</v>
      </c>
      <c r="I11" s="146" t="n"/>
    </row>
    <row r="12" ht="28.8" customHeight="1">
      <c r="A12" s="11" t="n"/>
      <c r="B12" s="18" t="inlineStr">
        <is>
          <t>currency</t>
        </is>
      </c>
      <c r="C12" s="238" t="inlineStr">
        <is>
          <t>دولار أمريكي</t>
        </is>
      </c>
      <c r="D12" s="239" t="inlineStr">
        <is>
          <t>USD</t>
        </is>
      </c>
      <c r="E12" s="185" t="inlineStr">
        <is>
          <t>اسم العملة الرئيسية المستخدمة وطنيا ؛ دولار أمريكي؛ نيرة؛ الريال؛ بيزو؛ إلخ.</t>
        </is>
      </c>
      <c r="F12" s="187" t="inlineStr">
        <is>
          <t xml:space="preserve">The name of the main currency used nationally; USD; Naira; Rial; Pesos; etc. </t>
        </is>
      </c>
      <c r="G12" s="188" t="inlineStr">
        <is>
          <t>نيرة</t>
        </is>
      </c>
      <c r="H12" s="175" t="inlineStr">
        <is>
          <t>Naira</t>
        </is>
      </c>
      <c r="I12" s="12" t="n"/>
    </row>
    <row r="13" ht="5.55" customFormat="1" customHeight="1" s="40" thickBot="1">
      <c r="A13" s="35" t="n"/>
      <c r="B13" s="36" t="n"/>
      <c r="C13" s="88" t="n"/>
      <c r="D13" s="156" t="n"/>
      <c r="E13" s="159" t="n"/>
      <c r="F13" s="37" t="n"/>
      <c r="G13" s="165" t="n"/>
      <c r="H13" s="38" t="n"/>
      <c r="I13" s="39" t="n"/>
    </row>
    <row r="14" ht="158.55" customHeight="1">
      <c r="A14" s="11" t="n"/>
      <c r="B14" s="31" t="inlineStr">
        <is>
          <t>Expected percentage of respondents cultivating crops</t>
        </is>
      </c>
      <c r="C14" s="123" t="n">
        <v>0.91</v>
      </c>
      <c r="D14" s="205">
        <f>IF(C14="","",C14)</f>
        <v/>
      </c>
      <c r="E14" s="198"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F14" s="3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4" s="169" t="n">
        <v>0.91</v>
      </c>
      <c r="H14" s="170" t="n">
        <v>0.91</v>
      </c>
      <c r="I14" s="12" t="n"/>
    </row>
    <row r="15" ht="160.05" customHeight="1">
      <c r="A15" s="11" t="n"/>
      <c r="B15" s="19" t="inlineStr">
        <is>
          <t>Expected percentage of respondents raising livestock</t>
        </is>
      </c>
      <c r="C15" s="124" t="n">
        <v>0.91</v>
      </c>
      <c r="D15" s="206">
        <f>IF(C15="","",C15)</f>
        <v/>
      </c>
      <c r="E15" s="199"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F15" s="33"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5" s="171" t="n">
        <v>0.91</v>
      </c>
      <c r="H15" s="172" t="n">
        <v>0.91</v>
      </c>
      <c r="I15" s="12" t="n"/>
    </row>
    <row r="16" ht="141" customHeight="1" thickBot="1">
      <c r="A16" s="11" t="n"/>
      <c r="B16" s="20" t="inlineStr">
        <is>
          <t>Expected percentage of respondents involved in fishery</t>
        </is>
      </c>
      <c r="C16" s="125" t="n">
        <v>0.05</v>
      </c>
      <c r="D16" s="207">
        <f>IF(C16="","",C16)</f>
        <v/>
      </c>
      <c r="E16" s="186"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F16" s="34"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6" s="173" t="n">
        <v>0.05</v>
      </c>
      <c r="H16" s="174" t="n">
        <v>0.05</v>
      </c>
      <c r="I16" s="12" t="n"/>
    </row>
    <row r="17">
      <c r="B17" s="16" t="n"/>
      <c r="C17" s="16" t="n"/>
      <c r="D17" s="16" t="n"/>
      <c r="E17" s="24" t="n"/>
      <c r="F17" s="24" t="n"/>
      <c r="G17" s="161" t="n"/>
      <c r="H17" s="16" t="n"/>
    </row>
  </sheetData>
  <dataValidations count="1">
    <dataValidation sqref="C8" showErrorMessage="1" showInputMessage="1" allowBlank="0" type="list">
      <formula1>"العام العادي,  العام الماضي"</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2023-08-08T11:03:34Z</dcterms:modified>
  <cp:lastModifiedBy>Rama Ibrahim</cp:lastModifiedBy>
</cp:coreProperties>
</file>